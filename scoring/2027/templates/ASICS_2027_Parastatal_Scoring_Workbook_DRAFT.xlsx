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 before use" sheetId="1" state="visible" r:id="rId1"/>
    <sheet name="PARASTATAL_SUMMARY_RAW" sheetId="2" state="visible" r:id="rId2"/>
    <sheet name="PARASTATAL_CITY_SCORES" sheetId="3" state="visible" r:id="rId3"/>
    <sheet name="PARASTATAL Questions" sheetId="4" state="visible" r:id="rId4"/>
    <sheet name="UPD1a" sheetId="5" state="visible" r:id="rId5"/>
    <sheet name="UPD1b" sheetId="6" state="visible" r:id="rId6"/>
    <sheet name="UPD2a" sheetId="7" state="visible" r:id="rId7"/>
    <sheet name="UPD2b" sheetId="8" state="visible" r:id="rId8"/>
    <sheet name="UPD2c" sheetId="9" state="visible" r:id="rId9"/>
    <sheet name="UPD2d" sheetId="10" state="visible" r:id="rId10"/>
    <sheet name="UPD3a" sheetId="11" state="visible" r:id="rId11"/>
    <sheet name="UPD3b" sheetId="12" state="visible" r:id="rId12"/>
    <sheet name="UPD4a" sheetId="13" state="visible" r:id="rId13"/>
    <sheet name="UPD4b" sheetId="14" state="visible" r:id="rId14"/>
    <sheet name="UPD5a" sheetId="15" state="visible" r:id="rId15"/>
    <sheet name="UPD5b" sheetId="16" state="visible" r:id="rId16"/>
    <sheet name="UPD6a" sheetId="17" state="visible" r:id="rId17"/>
    <sheet name="UPD6b" sheetId="18" state="visible" r:id="rId18"/>
    <sheet name="DPG1a" sheetId="19" state="visible" r:id="rId19"/>
    <sheet name="DPG1b" sheetId="20" state="visible" r:id="rId20"/>
    <sheet name="DPG2a" sheetId="21" state="visible" r:id="rId21"/>
    <sheet name="DPG2b" sheetId="22" state="visible" r:id="rId22"/>
    <sheet name="DPG4" sheetId="23" state="visible" r:id="rId23"/>
    <sheet name="DPG5a" sheetId="24" state="visible" r:id="rId24"/>
    <sheet name="DPG5b" sheetId="25" state="visible" r:id="rId25"/>
    <sheet name="DPG5c" sheetId="26" state="visible" r:id="rId26"/>
    <sheet name="DPG5d" sheetId="27" state="visible" r:id="rId27"/>
    <sheet name="DPG5f" sheetId="28" state="visible" r:id="rId28"/>
    <sheet name="DPG5g" sheetId="29" state="visible" r:id="rId29"/>
    <sheet name="DPG5h" sheetId="30" state="visible" r:id="rId30"/>
    <sheet name="DPG5i" sheetId="31" state="visible" r:id="rId31"/>
    <sheet name="DPG5j" sheetId="32" state="visible" r:id="rId32"/>
    <sheet name="DPG5k" sheetId="33" state="visible" r:id="rId33"/>
    <sheet name="DPG6a" sheetId="34" state="visible" r:id="rId34"/>
    <sheet name="DPG6b" sheetId="35" state="visible" r:id="rId35"/>
    <sheet name="DPG7a" sheetId="36" state="visible" r:id="rId36"/>
    <sheet name="DPG7b" sheetId="37" state="visible" r:id="rId37"/>
    <sheet name="SC1" sheetId="38" state="visible" r:id="rId38"/>
    <sheet name="SC2" sheetId="39" state="visible" r:id="rId39"/>
    <sheet name="SC3" sheetId="40" state="visible" r:id="rId40"/>
    <sheet name="SC4a" sheetId="41" state="visible" r:id="rId41"/>
    <sheet name="SC4b" sheetId="42" state="visible" r:id="rId42"/>
    <sheet name="SC5" sheetId="43" state="visible" r:id="rId43"/>
    <sheet name="SC6" sheetId="44" state="visible" r:id="rId44"/>
    <sheet name="SC7a" sheetId="45" state="visible" r:id="rId45"/>
    <sheet name="SC7b" sheetId="46" state="visible" r:id="rId4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i val="1"/>
    </font>
    <font>
      <b val="1"/>
      <sz val="9"/>
    </font>
  </fonts>
  <fills count="5">
    <fill>
      <patternFill/>
    </fill>
    <fill>
      <patternFill patternType="gray125"/>
    </fill>
    <fill>
      <patternFill patternType="solid">
        <fgColor rgb="00DDE7F0"/>
      </patternFill>
    </fill>
    <fill>
      <patternFill patternType="solid">
        <fgColor rgb="00FFF6D5"/>
      </patternFill>
    </fill>
    <fill>
      <patternFill patternType="solid">
        <fgColor rgb="00E7E6E6"/>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styles" Target="styles.xml" Id="rId47" /><Relationship Type="http://schemas.openxmlformats.org/officeDocument/2006/relationships/theme" Target="theme/theme1.xml" Id="rId4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DRAFT PARASTATAL scoring workbook - generated from the methodology sheet</t>
        </is>
      </c>
    </row>
    <row r="2">
      <c r="A2" s="2" t="inlineStr"/>
    </row>
    <row r="3">
      <c r="A3" s="2" t="inlineStr">
        <is>
          <t>This draft follows the same layout as the UPD scoring workbook, so the app can fill, merge and read it. The scoring experts should:</t>
        </is>
      </c>
    </row>
    <row r="4">
      <c r="A4" s="2" t="inlineStr">
        <is>
          <t xml:space="preserve">  1. Replace each question sheet's simple inputs (yellow) and Points formula with the real ones, keeping the row-11 instructions (e.g. SELECT YES / NO) and the column names 'Points (Auto-generate)' and 'SCORER COMMENTS'.</t>
        </is>
      </c>
    </row>
    <row r="5">
      <c r="A5" s="2" t="inlineStr">
        <is>
          <t xml:space="preserve">  2. Check 'Applies?' (filled in from each agency's type and the question's Applicability). To change it, fix the agency in the city register or Sources workbook and generate again.</t>
        </is>
      </c>
    </row>
    <row r="6">
      <c r="A6" s="2" t="inlineStr">
        <is>
          <t xml:space="preserve">  3. Fix the points below in the methodology sheet and generate again.</t>
        </is>
      </c>
    </row>
    <row r="7">
      <c r="A7" s="2" t="inlineStr"/>
    </row>
    <row r="8">
      <c r="A8" s="2" t="inlineStr">
        <is>
          <t>Points to check:</t>
        </is>
      </c>
    </row>
    <row r="9">
      <c r="A9" s="2" t="inlineStr">
        <is>
          <t xml:space="preserve">  • Section 'Decentralised Participatory Governance' has no (CODE); using DPG</t>
        </is>
      </c>
    </row>
    <row r="10">
      <c r="A10" s="2" t="inlineStr">
        <is>
          <t xml:space="preserve">  • Question Bank row 35: the ID "DPG d" has no number. We treated it as part of DPG 5. Please correct the ID in the question bank.</t>
        </is>
      </c>
    </row>
    <row r="11">
      <c r="A11" s="2" t="inlineStr">
        <is>
          <t xml:space="preserve">  • Question Bank row 36: the ID "DPG f" has no number. We treated it as part of DPG 5. Please correct the ID in the question bank.</t>
        </is>
      </c>
    </row>
    <row r="12">
      <c r="A12" s="2" t="inlineStr">
        <is>
          <t xml:space="preserve">  • Question Bank row 38: the ID "DPG h" has no number. We treated it as part of DPG 5. Please correct the ID in the question bank.</t>
        </is>
      </c>
    </row>
    <row r="13">
      <c r="A13" s="2" t="inlineStr">
        <is>
          <t xml:space="preserve">  • Section 'State Capacities' has no (CODE); using SC</t>
        </is>
      </c>
    </row>
    <row r="14">
      <c r="A14" s="2" t="inlineStr">
        <is>
          <t xml:space="preserve">  • UPD 1a: the methodology gives scores up to 10, but the Max Score is 5. Say how the score should be scaled.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2"/>
  <sheetViews>
    <sheetView workbookViewId="0">
      <pane xSplit="6" ySplit="2" topLeftCell="G3"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50" customWidth="1" min="4" max="4"/>
    <col width="18" customWidth="1" min="5" max="5"/>
  </cols>
  <sheetData>
    <row r="1">
      <c r="A1" s="3" t="inlineStr">
        <is>
          <t>ASICS 2027_Report_Q No</t>
        </is>
      </c>
      <c r="B1" s="3" t="inlineStr">
        <is>
          <t>Group</t>
        </is>
      </c>
      <c r="C1" s="3" t="inlineStr">
        <is>
          <t>MQ_SQ</t>
        </is>
      </c>
      <c r="D1" s="3" t="inlineStr">
        <is>
          <t>Question</t>
        </is>
      </c>
      <c r="E1" s="3" t="inlineStr">
        <is>
          <t>Assessment level</t>
        </is>
      </c>
      <c r="F1" s="3" t="inlineStr">
        <is>
          <t>Max Score</t>
        </is>
      </c>
      <c r="G1" s="3" t="inlineStr">
        <is>
          <t>Bengaluru – BWSSB</t>
        </is>
      </c>
      <c r="H1" s="3" t="inlineStr">
        <is>
          <t>Bengaluru – BMTC</t>
        </is>
      </c>
      <c r="I1" s="3" t="inlineStr">
        <is>
          <t>Bengaluru – BDA</t>
        </is>
      </c>
      <c r="J1" s="3" t="inlineStr">
        <is>
          <t>Bengaluru – BMRCL</t>
        </is>
      </c>
      <c r="K1" s="3" t="inlineStr">
        <is>
          <t>Bengaluru – BMRDA</t>
        </is>
      </c>
      <c r="L1" s="3" t="inlineStr">
        <is>
          <t>Surat – SUDA</t>
        </is>
      </c>
      <c r="M1" s="3" t="inlineStr">
        <is>
          <t>Surat – GMRC</t>
        </is>
      </c>
    </row>
    <row r="2">
      <c r="A2" t="inlineStr">
        <is>
          <t>ENTER</t>
        </is>
      </c>
      <c r="B2" t="inlineStr">
        <is>
          <t>Derived</t>
        </is>
      </c>
      <c r="C2" t="inlineStr">
        <is>
          <t>Derived</t>
        </is>
      </c>
      <c r="D2" t="inlineStr">
        <is>
          <t>Derived</t>
        </is>
      </c>
      <c r="E2" t="inlineStr">
        <is>
          <t>Derived</t>
        </is>
      </c>
      <c r="F2" t="inlineStr">
        <is>
          <t>Derived</t>
        </is>
      </c>
      <c r="G2" t="inlineStr">
        <is>
          <t>Derived</t>
        </is>
      </c>
      <c r="H2" t="inlineStr">
        <is>
          <t>Derived</t>
        </is>
      </c>
      <c r="I2" t="inlineStr">
        <is>
          <t>Derived</t>
        </is>
      </c>
      <c r="J2" t="inlineStr">
        <is>
          <t>Derived</t>
        </is>
      </c>
      <c r="K2" t="inlineStr">
        <is>
          <t>Derived</t>
        </is>
      </c>
      <c r="L2" t="inlineStr">
        <is>
          <t>Derived</t>
        </is>
      </c>
      <c r="M2" t="inlineStr">
        <is>
          <t>Derived</t>
        </is>
      </c>
    </row>
    <row r="3">
      <c r="A3" s="4" t="inlineStr">
        <is>
          <t>UPD1</t>
        </is>
      </c>
      <c r="B3" s="4">
        <f>VLOOKUP($A3,'PARASTATAL Questions'!$A:$J,3,0)&amp;""</f>
        <v/>
      </c>
      <c r="C3" s="4">
        <f>VLOOKUP($A3,'PARASTATAL Questions'!$A:$J,4,0)&amp;""</f>
        <v/>
      </c>
      <c r="D3" s="4">
        <f>VLOOKUP($A3,'PARASTATAL Questions'!$A:$J,5,0)&amp;""</f>
        <v/>
      </c>
      <c r="E3" s="4">
        <f>VLOOKUP($A3,'PARASTATAL Questions'!$A:$J,7,0)&amp;""</f>
        <v/>
      </c>
      <c r="F3" s="4">
        <f>VLOOKUP($A3,'PARASTATAL Questions'!$A:$J,6,0)</f>
        <v/>
      </c>
      <c r="G3" s="4">
        <f>IF(OR(G4="ER",G5="ER"),"ER",IF(OR(G4="?",G5="?"),"?",IF(AND(G4="NA",G5="NA"),"NA",SUM(G4,G5)/((G4&lt;&gt;"NA")*$F$4+(G5&lt;&gt;"NA")*$F$5)*$F3)))</f>
        <v/>
      </c>
      <c r="H3" s="4">
        <f>IF(OR(H4="ER",H5="ER"),"ER",IF(OR(H4="?",H5="?"),"?",IF(AND(H4="NA",H5="NA"),"NA",SUM(H4,H5)/((H4&lt;&gt;"NA")*$F$4+(H5&lt;&gt;"NA")*$F$5)*$F3)))</f>
        <v/>
      </c>
      <c r="I3" s="4">
        <f>IF(OR(I4="ER",I5="ER"),"ER",IF(OR(I4="?",I5="?"),"?",IF(AND(I4="NA",I5="NA"),"NA",SUM(I4,I5)/((I4&lt;&gt;"NA")*$F$4+(I5&lt;&gt;"NA")*$F$5)*$F3)))</f>
        <v/>
      </c>
      <c r="J3" s="4">
        <f>IF(OR(J4="ER",J5="ER"),"ER",IF(OR(J4="?",J5="?"),"?",IF(AND(J4="NA",J5="NA"),"NA",SUM(J4,J5)/((J4&lt;&gt;"NA")*$F$4+(J5&lt;&gt;"NA")*$F$5)*$F3)))</f>
        <v/>
      </c>
      <c r="K3" s="4">
        <f>IF(OR(K4="ER",K5="ER"),"ER",IF(OR(K4="?",K5="?"),"?",IF(AND(K4="NA",K5="NA"),"NA",SUM(K4,K5)/((K4&lt;&gt;"NA")*$F$4+(K5&lt;&gt;"NA")*$F$5)*$F3)))</f>
        <v/>
      </c>
      <c r="L3" s="4">
        <f>IF(OR(L4="ER",L5="ER"),"ER",IF(OR(L4="?",L5="?"),"?",IF(AND(L4="NA",L5="NA"),"NA",SUM(L4,L5)/((L4&lt;&gt;"NA")*$F$4+(L5&lt;&gt;"NA")*$F$5)*$F3)))</f>
        <v/>
      </c>
      <c r="M3" s="4">
        <f>IF(OR(M4="ER",M5="ER"),"ER",IF(OR(M4="?",M5="?"),"?",IF(AND(M4="NA",M5="NA"),"NA",SUM(M4,M5)/((M4&lt;&gt;"NA")*$F$4+(M5&lt;&gt;"NA")*$F$5)*$F3)))</f>
        <v/>
      </c>
    </row>
    <row r="4">
      <c r="A4" t="inlineStr">
        <is>
          <t>UPD1a</t>
        </is>
      </c>
      <c r="B4">
        <f>VLOOKUP($A4,'PARASTATAL Questions'!$A:$J,3,0)&amp;""</f>
        <v/>
      </c>
      <c r="C4">
        <f>VLOOKUP($A4,'PARASTATAL Questions'!$A:$J,4,0)&amp;""</f>
        <v/>
      </c>
      <c r="D4">
        <f>VLOOKUP($A4,'PARASTATAL Questions'!$A:$J,5,0)&amp;""</f>
        <v/>
      </c>
      <c r="E4">
        <f>VLOOKUP($A4,'PARASTATAL Questions'!$A:$J,7,0)&amp;""</f>
        <v/>
      </c>
      <c r="F4">
        <f>VLOOKUP($A4,'PARASTATAL Questions'!$A:$J,6,0)</f>
        <v/>
      </c>
      <c r="G4">
        <f>IF($F4=0,"NA",IF($A4=INDIRECT("'"&amp;$A4&amp;"'!$B$1"),IF(VLOOKUP(G$1,INDIRECT("'"&amp;$A4&amp;"'!$A$12:$Z$19"),MATCH("Points (Auto-generate)",INDIRECT("'"&amp;$A4&amp;"'!$A$12:$Z$12"),0),0)="","?",VLOOKUP(G$1,INDIRECT("'"&amp;$A4&amp;"'!$A$12:$Z$19"),MATCH("Points (Auto-generate)",INDIRECT("'"&amp;$A4&amp;"'!$A$12:$Z$12"),0),0)),"ER"))</f>
        <v/>
      </c>
      <c r="H4">
        <f>IF($F4=0,"NA",IF($A4=INDIRECT("'"&amp;$A4&amp;"'!$B$1"),IF(VLOOKUP(H$1,INDIRECT("'"&amp;$A4&amp;"'!$A$12:$Z$19"),MATCH("Points (Auto-generate)",INDIRECT("'"&amp;$A4&amp;"'!$A$12:$Z$12"),0),0)="","?",VLOOKUP(H$1,INDIRECT("'"&amp;$A4&amp;"'!$A$12:$Z$19"),MATCH("Points (Auto-generate)",INDIRECT("'"&amp;$A4&amp;"'!$A$12:$Z$12"),0),0)),"ER"))</f>
        <v/>
      </c>
      <c r="I4">
        <f>IF($F4=0,"NA",IF($A4=INDIRECT("'"&amp;$A4&amp;"'!$B$1"),IF(VLOOKUP(I$1,INDIRECT("'"&amp;$A4&amp;"'!$A$12:$Z$19"),MATCH("Points (Auto-generate)",INDIRECT("'"&amp;$A4&amp;"'!$A$12:$Z$12"),0),0)="","?",VLOOKUP(I$1,INDIRECT("'"&amp;$A4&amp;"'!$A$12:$Z$19"),MATCH("Points (Auto-generate)",INDIRECT("'"&amp;$A4&amp;"'!$A$12:$Z$12"),0),0)),"ER"))</f>
        <v/>
      </c>
      <c r="J4">
        <f>IF($F4=0,"NA",IF($A4=INDIRECT("'"&amp;$A4&amp;"'!$B$1"),IF(VLOOKUP(J$1,INDIRECT("'"&amp;$A4&amp;"'!$A$12:$Z$19"),MATCH("Points (Auto-generate)",INDIRECT("'"&amp;$A4&amp;"'!$A$12:$Z$12"),0),0)="","?",VLOOKUP(J$1,INDIRECT("'"&amp;$A4&amp;"'!$A$12:$Z$19"),MATCH("Points (Auto-generate)",INDIRECT("'"&amp;$A4&amp;"'!$A$12:$Z$12"),0),0)),"ER"))</f>
        <v/>
      </c>
      <c r="K4">
        <f>IF($F4=0,"NA",IF($A4=INDIRECT("'"&amp;$A4&amp;"'!$B$1"),IF(VLOOKUP(K$1,INDIRECT("'"&amp;$A4&amp;"'!$A$12:$Z$19"),MATCH("Points (Auto-generate)",INDIRECT("'"&amp;$A4&amp;"'!$A$12:$Z$12"),0),0)="","?",VLOOKUP(K$1,INDIRECT("'"&amp;$A4&amp;"'!$A$12:$Z$19"),MATCH("Points (Auto-generate)",INDIRECT("'"&amp;$A4&amp;"'!$A$12:$Z$12"),0),0)),"ER"))</f>
        <v/>
      </c>
      <c r="L4">
        <f>IF($F4=0,"NA",IF($A4=INDIRECT("'"&amp;$A4&amp;"'!$B$1"),IF(VLOOKUP(L$1,INDIRECT("'"&amp;$A4&amp;"'!$A$12:$Z$19"),MATCH("Points (Auto-generate)",INDIRECT("'"&amp;$A4&amp;"'!$A$12:$Z$12"),0),0)="","?",VLOOKUP(L$1,INDIRECT("'"&amp;$A4&amp;"'!$A$12:$Z$19"),MATCH("Points (Auto-generate)",INDIRECT("'"&amp;$A4&amp;"'!$A$12:$Z$12"),0),0)),"ER"))</f>
        <v/>
      </c>
      <c r="M4">
        <f>IF($F4=0,"NA",IF($A4=INDIRECT("'"&amp;$A4&amp;"'!$B$1"),IF(VLOOKUP(M$1,INDIRECT("'"&amp;$A4&amp;"'!$A$12:$Z$19"),MATCH("Points (Auto-generate)",INDIRECT("'"&amp;$A4&amp;"'!$A$12:$Z$12"),0),0)="","?",VLOOKUP(M$1,INDIRECT("'"&amp;$A4&amp;"'!$A$12:$Z$19"),MATCH("Points (Auto-generate)",INDIRECT("'"&amp;$A4&amp;"'!$A$12:$Z$12"),0),0)),"ER"))</f>
        <v/>
      </c>
    </row>
    <row r="5">
      <c r="A5" t="inlineStr">
        <is>
          <t>UPD1b</t>
        </is>
      </c>
      <c r="B5">
        <f>VLOOKUP($A5,'PARASTATAL Questions'!$A:$J,3,0)&amp;""</f>
        <v/>
      </c>
      <c r="C5">
        <f>VLOOKUP($A5,'PARASTATAL Questions'!$A:$J,4,0)&amp;""</f>
        <v/>
      </c>
      <c r="D5">
        <f>VLOOKUP($A5,'PARASTATAL Questions'!$A:$J,5,0)&amp;""</f>
        <v/>
      </c>
      <c r="E5">
        <f>VLOOKUP($A5,'PARASTATAL Questions'!$A:$J,7,0)&amp;""</f>
        <v/>
      </c>
      <c r="F5">
        <f>VLOOKUP($A5,'PARASTATAL Questions'!$A:$J,6,0)</f>
        <v/>
      </c>
      <c r="G5">
        <f>IF($F5=0,"NA",IF($A5=INDIRECT("'"&amp;$A5&amp;"'!$B$1"),IF(VLOOKUP(G$1,INDIRECT("'"&amp;$A5&amp;"'!$A$12:$Z$19"),MATCH("Points (Auto-generate)",INDIRECT("'"&amp;$A5&amp;"'!$A$12:$Z$12"),0),0)="","?",VLOOKUP(G$1,INDIRECT("'"&amp;$A5&amp;"'!$A$12:$Z$19"),MATCH("Points (Auto-generate)",INDIRECT("'"&amp;$A5&amp;"'!$A$12:$Z$12"),0),0)),"ER"))</f>
        <v/>
      </c>
      <c r="H5">
        <f>IF($F5=0,"NA",IF($A5=INDIRECT("'"&amp;$A5&amp;"'!$B$1"),IF(VLOOKUP(H$1,INDIRECT("'"&amp;$A5&amp;"'!$A$12:$Z$19"),MATCH("Points (Auto-generate)",INDIRECT("'"&amp;$A5&amp;"'!$A$12:$Z$12"),0),0)="","?",VLOOKUP(H$1,INDIRECT("'"&amp;$A5&amp;"'!$A$12:$Z$19"),MATCH("Points (Auto-generate)",INDIRECT("'"&amp;$A5&amp;"'!$A$12:$Z$12"),0),0)),"ER"))</f>
        <v/>
      </c>
      <c r="I5">
        <f>IF($F5=0,"NA",IF($A5=INDIRECT("'"&amp;$A5&amp;"'!$B$1"),IF(VLOOKUP(I$1,INDIRECT("'"&amp;$A5&amp;"'!$A$12:$Z$19"),MATCH("Points (Auto-generate)",INDIRECT("'"&amp;$A5&amp;"'!$A$12:$Z$12"),0),0)="","?",VLOOKUP(I$1,INDIRECT("'"&amp;$A5&amp;"'!$A$12:$Z$19"),MATCH("Points (Auto-generate)",INDIRECT("'"&amp;$A5&amp;"'!$A$12:$Z$12"),0),0)),"ER"))</f>
        <v/>
      </c>
      <c r="J5">
        <f>IF($F5=0,"NA",IF($A5=INDIRECT("'"&amp;$A5&amp;"'!$B$1"),IF(VLOOKUP(J$1,INDIRECT("'"&amp;$A5&amp;"'!$A$12:$Z$19"),MATCH("Points (Auto-generate)",INDIRECT("'"&amp;$A5&amp;"'!$A$12:$Z$12"),0),0)="","?",VLOOKUP(J$1,INDIRECT("'"&amp;$A5&amp;"'!$A$12:$Z$19"),MATCH("Points (Auto-generate)",INDIRECT("'"&amp;$A5&amp;"'!$A$12:$Z$12"),0),0)),"ER"))</f>
        <v/>
      </c>
      <c r="K5">
        <f>IF($F5=0,"NA",IF($A5=INDIRECT("'"&amp;$A5&amp;"'!$B$1"),IF(VLOOKUP(K$1,INDIRECT("'"&amp;$A5&amp;"'!$A$12:$Z$19"),MATCH("Points (Auto-generate)",INDIRECT("'"&amp;$A5&amp;"'!$A$12:$Z$12"),0),0)="","?",VLOOKUP(K$1,INDIRECT("'"&amp;$A5&amp;"'!$A$12:$Z$19"),MATCH("Points (Auto-generate)",INDIRECT("'"&amp;$A5&amp;"'!$A$12:$Z$12"),0),0)),"ER"))</f>
        <v/>
      </c>
      <c r="L5">
        <f>IF($F5=0,"NA",IF($A5=INDIRECT("'"&amp;$A5&amp;"'!$B$1"),IF(VLOOKUP(L$1,INDIRECT("'"&amp;$A5&amp;"'!$A$12:$Z$19"),MATCH("Points (Auto-generate)",INDIRECT("'"&amp;$A5&amp;"'!$A$12:$Z$12"),0),0)="","?",VLOOKUP(L$1,INDIRECT("'"&amp;$A5&amp;"'!$A$12:$Z$19"),MATCH("Points (Auto-generate)",INDIRECT("'"&amp;$A5&amp;"'!$A$12:$Z$12"),0),0)),"ER"))</f>
        <v/>
      </c>
      <c r="M5">
        <f>IF($F5=0,"NA",IF($A5=INDIRECT("'"&amp;$A5&amp;"'!$B$1"),IF(VLOOKUP(M$1,INDIRECT("'"&amp;$A5&amp;"'!$A$12:$Z$19"),MATCH("Points (Auto-generate)",INDIRECT("'"&amp;$A5&amp;"'!$A$12:$Z$12"),0),0)="","?",VLOOKUP(M$1,INDIRECT("'"&amp;$A5&amp;"'!$A$12:$Z$19"),MATCH("Points (Auto-generate)",INDIRECT("'"&amp;$A5&amp;"'!$A$12:$Z$12"),0),0)),"ER"))</f>
        <v/>
      </c>
    </row>
    <row r="6">
      <c r="A6" s="4" t="inlineStr">
        <is>
          <t>UPD2</t>
        </is>
      </c>
      <c r="B6" s="4">
        <f>VLOOKUP($A6,'PARASTATAL Questions'!$A:$J,3,0)&amp;""</f>
        <v/>
      </c>
      <c r="C6" s="4">
        <f>VLOOKUP($A6,'PARASTATAL Questions'!$A:$J,4,0)&amp;""</f>
        <v/>
      </c>
      <c r="D6" s="4">
        <f>VLOOKUP($A6,'PARASTATAL Questions'!$A:$J,5,0)&amp;""</f>
        <v/>
      </c>
      <c r="E6" s="4">
        <f>VLOOKUP($A6,'PARASTATAL Questions'!$A:$J,7,0)&amp;""</f>
        <v/>
      </c>
      <c r="F6" s="4">
        <f>VLOOKUP($A6,'PARASTATAL Questions'!$A:$J,6,0)</f>
        <v/>
      </c>
      <c r="G6" s="4">
        <f>IF(OR(G7="ER",G8="ER",G9="ER",G10="ER"),"ER",IF(OR(G7="?",G8="?",G9="?",G10="?"),"?",IF(AND(G7="NA",G8="NA",G9="NA",G10="NA"),"NA",SUM(G7,G8,G9,G10)/((G7&lt;&gt;"NA")*$F$7+(G8&lt;&gt;"NA")*$F$8+(G9&lt;&gt;"NA")*$F$9+(G10&lt;&gt;"NA")*$F$10)*$F6)))</f>
        <v/>
      </c>
      <c r="H6" s="4">
        <f>IF(OR(H7="ER",H8="ER",H9="ER",H10="ER"),"ER",IF(OR(H7="?",H8="?",H9="?",H10="?"),"?",IF(AND(H7="NA",H8="NA",H9="NA",H10="NA"),"NA",SUM(H7,H8,H9,H10)/((H7&lt;&gt;"NA")*$F$7+(H8&lt;&gt;"NA")*$F$8+(H9&lt;&gt;"NA")*$F$9+(H10&lt;&gt;"NA")*$F$10)*$F6)))</f>
        <v/>
      </c>
      <c r="I6" s="4">
        <f>IF(OR(I7="ER",I8="ER",I9="ER",I10="ER"),"ER",IF(OR(I7="?",I8="?",I9="?",I10="?"),"?",IF(AND(I7="NA",I8="NA",I9="NA",I10="NA"),"NA",SUM(I7,I8,I9,I10)/((I7&lt;&gt;"NA")*$F$7+(I8&lt;&gt;"NA")*$F$8+(I9&lt;&gt;"NA")*$F$9+(I10&lt;&gt;"NA")*$F$10)*$F6)))</f>
        <v/>
      </c>
      <c r="J6" s="4">
        <f>IF(OR(J7="ER",J8="ER",J9="ER",J10="ER"),"ER",IF(OR(J7="?",J8="?",J9="?",J10="?"),"?",IF(AND(J7="NA",J8="NA",J9="NA",J10="NA"),"NA",SUM(J7,J8,J9,J10)/((J7&lt;&gt;"NA")*$F$7+(J8&lt;&gt;"NA")*$F$8+(J9&lt;&gt;"NA")*$F$9+(J10&lt;&gt;"NA")*$F$10)*$F6)))</f>
        <v/>
      </c>
      <c r="K6" s="4">
        <f>IF(OR(K7="ER",K8="ER",K9="ER",K10="ER"),"ER",IF(OR(K7="?",K8="?",K9="?",K10="?"),"?",IF(AND(K7="NA",K8="NA",K9="NA",K10="NA"),"NA",SUM(K7,K8,K9,K10)/((K7&lt;&gt;"NA")*$F$7+(K8&lt;&gt;"NA")*$F$8+(K9&lt;&gt;"NA")*$F$9+(K10&lt;&gt;"NA")*$F$10)*$F6)))</f>
        <v/>
      </c>
      <c r="L6" s="4">
        <f>IF(OR(L7="ER",L8="ER",L9="ER",L10="ER"),"ER",IF(OR(L7="?",L8="?",L9="?",L10="?"),"?",IF(AND(L7="NA",L8="NA",L9="NA",L10="NA"),"NA",SUM(L7,L8,L9,L10)/((L7&lt;&gt;"NA")*$F$7+(L8&lt;&gt;"NA")*$F$8+(L9&lt;&gt;"NA")*$F$9+(L10&lt;&gt;"NA")*$F$10)*$F6)))</f>
        <v/>
      </c>
      <c r="M6" s="4">
        <f>IF(OR(M7="ER",M8="ER",M9="ER",M10="ER"),"ER",IF(OR(M7="?",M8="?",M9="?",M10="?"),"?",IF(AND(M7="NA",M8="NA",M9="NA",M10="NA"),"NA",SUM(M7,M8,M9,M10)/((M7&lt;&gt;"NA")*$F$7+(M8&lt;&gt;"NA")*$F$8+(M9&lt;&gt;"NA")*$F$9+(M10&lt;&gt;"NA")*$F$10)*$F6)))</f>
        <v/>
      </c>
    </row>
    <row r="7">
      <c r="A7" t="inlineStr">
        <is>
          <t>UPD2a</t>
        </is>
      </c>
      <c r="B7">
        <f>VLOOKUP($A7,'PARASTATAL Questions'!$A:$J,3,0)&amp;""</f>
        <v/>
      </c>
      <c r="C7">
        <f>VLOOKUP($A7,'PARASTATAL Questions'!$A:$J,4,0)&amp;""</f>
        <v/>
      </c>
      <c r="D7">
        <f>VLOOKUP($A7,'PARASTATAL Questions'!$A:$J,5,0)&amp;""</f>
        <v/>
      </c>
      <c r="E7">
        <f>VLOOKUP($A7,'PARASTATAL Questions'!$A:$J,7,0)&amp;""</f>
        <v/>
      </c>
      <c r="F7">
        <f>VLOOKUP($A7,'PARASTATAL Questions'!$A:$J,6,0)</f>
        <v/>
      </c>
      <c r="G7">
        <f>IF($F7=0,"NA",IF($A7=INDIRECT("'"&amp;$A7&amp;"'!$B$1"),IF(VLOOKUP(G$1,INDIRECT("'"&amp;$A7&amp;"'!$A$12:$Z$19"),MATCH("Points (Auto-generate)",INDIRECT("'"&amp;$A7&amp;"'!$A$12:$Z$12"),0),0)="","?",VLOOKUP(G$1,INDIRECT("'"&amp;$A7&amp;"'!$A$12:$Z$19"),MATCH("Points (Auto-generate)",INDIRECT("'"&amp;$A7&amp;"'!$A$12:$Z$12"),0),0)),"ER"))</f>
        <v/>
      </c>
      <c r="H7">
        <f>IF($F7=0,"NA",IF($A7=INDIRECT("'"&amp;$A7&amp;"'!$B$1"),IF(VLOOKUP(H$1,INDIRECT("'"&amp;$A7&amp;"'!$A$12:$Z$19"),MATCH("Points (Auto-generate)",INDIRECT("'"&amp;$A7&amp;"'!$A$12:$Z$12"),0),0)="","?",VLOOKUP(H$1,INDIRECT("'"&amp;$A7&amp;"'!$A$12:$Z$19"),MATCH("Points (Auto-generate)",INDIRECT("'"&amp;$A7&amp;"'!$A$12:$Z$12"),0),0)),"ER"))</f>
        <v/>
      </c>
      <c r="I7">
        <f>IF($F7=0,"NA",IF($A7=INDIRECT("'"&amp;$A7&amp;"'!$B$1"),IF(VLOOKUP(I$1,INDIRECT("'"&amp;$A7&amp;"'!$A$12:$Z$19"),MATCH("Points (Auto-generate)",INDIRECT("'"&amp;$A7&amp;"'!$A$12:$Z$12"),0),0)="","?",VLOOKUP(I$1,INDIRECT("'"&amp;$A7&amp;"'!$A$12:$Z$19"),MATCH("Points (Auto-generate)",INDIRECT("'"&amp;$A7&amp;"'!$A$12:$Z$12"),0),0)),"ER"))</f>
        <v/>
      </c>
      <c r="J7">
        <f>IF($F7=0,"NA",IF($A7=INDIRECT("'"&amp;$A7&amp;"'!$B$1"),IF(VLOOKUP(J$1,INDIRECT("'"&amp;$A7&amp;"'!$A$12:$Z$19"),MATCH("Points (Auto-generate)",INDIRECT("'"&amp;$A7&amp;"'!$A$12:$Z$12"),0),0)="","?",VLOOKUP(J$1,INDIRECT("'"&amp;$A7&amp;"'!$A$12:$Z$19"),MATCH("Points (Auto-generate)",INDIRECT("'"&amp;$A7&amp;"'!$A$12:$Z$12"),0),0)),"ER"))</f>
        <v/>
      </c>
      <c r="K7">
        <f>IF($F7=0,"NA",IF($A7=INDIRECT("'"&amp;$A7&amp;"'!$B$1"),IF(VLOOKUP(K$1,INDIRECT("'"&amp;$A7&amp;"'!$A$12:$Z$19"),MATCH("Points (Auto-generate)",INDIRECT("'"&amp;$A7&amp;"'!$A$12:$Z$12"),0),0)="","?",VLOOKUP(K$1,INDIRECT("'"&amp;$A7&amp;"'!$A$12:$Z$19"),MATCH("Points (Auto-generate)",INDIRECT("'"&amp;$A7&amp;"'!$A$12:$Z$12"),0),0)),"ER"))</f>
        <v/>
      </c>
      <c r="L7">
        <f>IF($F7=0,"NA",IF($A7=INDIRECT("'"&amp;$A7&amp;"'!$B$1"),IF(VLOOKUP(L$1,INDIRECT("'"&amp;$A7&amp;"'!$A$12:$Z$19"),MATCH("Points (Auto-generate)",INDIRECT("'"&amp;$A7&amp;"'!$A$12:$Z$12"),0),0)="","?",VLOOKUP(L$1,INDIRECT("'"&amp;$A7&amp;"'!$A$12:$Z$19"),MATCH("Points (Auto-generate)",INDIRECT("'"&amp;$A7&amp;"'!$A$12:$Z$12"),0),0)),"ER"))</f>
        <v/>
      </c>
      <c r="M7">
        <f>IF($F7=0,"NA",IF($A7=INDIRECT("'"&amp;$A7&amp;"'!$B$1"),IF(VLOOKUP(M$1,INDIRECT("'"&amp;$A7&amp;"'!$A$12:$Z$19"),MATCH("Points (Auto-generate)",INDIRECT("'"&amp;$A7&amp;"'!$A$12:$Z$12"),0),0)="","?",VLOOKUP(M$1,INDIRECT("'"&amp;$A7&amp;"'!$A$12:$Z$19"),MATCH("Points (Auto-generate)",INDIRECT("'"&amp;$A7&amp;"'!$A$12:$Z$12"),0),0)),"ER"))</f>
        <v/>
      </c>
    </row>
    <row r="8">
      <c r="A8" t="inlineStr">
        <is>
          <t>UPD2b</t>
        </is>
      </c>
      <c r="B8">
        <f>VLOOKUP($A8,'PARASTATAL Questions'!$A:$J,3,0)&amp;""</f>
        <v/>
      </c>
      <c r="C8">
        <f>VLOOKUP($A8,'PARASTATAL Questions'!$A:$J,4,0)&amp;""</f>
        <v/>
      </c>
      <c r="D8">
        <f>VLOOKUP($A8,'PARASTATAL Questions'!$A:$J,5,0)&amp;""</f>
        <v/>
      </c>
      <c r="E8">
        <f>VLOOKUP($A8,'PARASTATAL Questions'!$A:$J,7,0)&amp;""</f>
        <v/>
      </c>
      <c r="F8">
        <f>VLOOKUP($A8,'PARASTATAL Questions'!$A:$J,6,0)</f>
        <v/>
      </c>
      <c r="G8">
        <f>IF($F8=0,"NA",IF($A8=INDIRECT("'"&amp;$A8&amp;"'!$B$1"),IF(VLOOKUP(G$1,INDIRECT("'"&amp;$A8&amp;"'!$A$12:$Z$19"),MATCH("Points (Auto-generate)",INDIRECT("'"&amp;$A8&amp;"'!$A$12:$Z$12"),0),0)="","?",VLOOKUP(G$1,INDIRECT("'"&amp;$A8&amp;"'!$A$12:$Z$19"),MATCH("Points (Auto-generate)",INDIRECT("'"&amp;$A8&amp;"'!$A$12:$Z$12"),0),0)),"ER"))</f>
        <v/>
      </c>
      <c r="H8">
        <f>IF($F8=0,"NA",IF($A8=INDIRECT("'"&amp;$A8&amp;"'!$B$1"),IF(VLOOKUP(H$1,INDIRECT("'"&amp;$A8&amp;"'!$A$12:$Z$19"),MATCH("Points (Auto-generate)",INDIRECT("'"&amp;$A8&amp;"'!$A$12:$Z$12"),0),0)="","?",VLOOKUP(H$1,INDIRECT("'"&amp;$A8&amp;"'!$A$12:$Z$19"),MATCH("Points (Auto-generate)",INDIRECT("'"&amp;$A8&amp;"'!$A$12:$Z$12"),0),0)),"ER"))</f>
        <v/>
      </c>
      <c r="I8">
        <f>IF($F8=0,"NA",IF($A8=INDIRECT("'"&amp;$A8&amp;"'!$B$1"),IF(VLOOKUP(I$1,INDIRECT("'"&amp;$A8&amp;"'!$A$12:$Z$19"),MATCH("Points (Auto-generate)",INDIRECT("'"&amp;$A8&amp;"'!$A$12:$Z$12"),0),0)="","?",VLOOKUP(I$1,INDIRECT("'"&amp;$A8&amp;"'!$A$12:$Z$19"),MATCH("Points (Auto-generate)",INDIRECT("'"&amp;$A8&amp;"'!$A$12:$Z$12"),0),0)),"ER"))</f>
        <v/>
      </c>
      <c r="J8">
        <f>IF($F8=0,"NA",IF($A8=INDIRECT("'"&amp;$A8&amp;"'!$B$1"),IF(VLOOKUP(J$1,INDIRECT("'"&amp;$A8&amp;"'!$A$12:$Z$19"),MATCH("Points (Auto-generate)",INDIRECT("'"&amp;$A8&amp;"'!$A$12:$Z$12"),0),0)="","?",VLOOKUP(J$1,INDIRECT("'"&amp;$A8&amp;"'!$A$12:$Z$19"),MATCH("Points (Auto-generate)",INDIRECT("'"&amp;$A8&amp;"'!$A$12:$Z$12"),0),0)),"ER"))</f>
        <v/>
      </c>
      <c r="K8">
        <f>IF($F8=0,"NA",IF($A8=INDIRECT("'"&amp;$A8&amp;"'!$B$1"),IF(VLOOKUP(K$1,INDIRECT("'"&amp;$A8&amp;"'!$A$12:$Z$19"),MATCH("Points (Auto-generate)",INDIRECT("'"&amp;$A8&amp;"'!$A$12:$Z$12"),0),0)="","?",VLOOKUP(K$1,INDIRECT("'"&amp;$A8&amp;"'!$A$12:$Z$19"),MATCH("Points (Auto-generate)",INDIRECT("'"&amp;$A8&amp;"'!$A$12:$Z$12"),0),0)),"ER"))</f>
        <v/>
      </c>
      <c r="L8">
        <f>IF($F8=0,"NA",IF($A8=INDIRECT("'"&amp;$A8&amp;"'!$B$1"),IF(VLOOKUP(L$1,INDIRECT("'"&amp;$A8&amp;"'!$A$12:$Z$19"),MATCH("Points (Auto-generate)",INDIRECT("'"&amp;$A8&amp;"'!$A$12:$Z$12"),0),0)="","?",VLOOKUP(L$1,INDIRECT("'"&amp;$A8&amp;"'!$A$12:$Z$19"),MATCH("Points (Auto-generate)",INDIRECT("'"&amp;$A8&amp;"'!$A$12:$Z$12"),0),0)),"ER"))</f>
        <v/>
      </c>
      <c r="M8">
        <f>IF($F8=0,"NA",IF($A8=INDIRECT("'"&amp;$A8&amp;"'!$B$1"),IF(VLOOKUP(M$1,INDIRECT("'"&amp;$A8&amp;"'!$A$12:$Z$19"),MATCH("Points (Auto-generate)",INDIRECT("'"&amp;$A8&amp;"'!$A$12:$Z$12"),0),0)="","?",VLOOKUP(M$1,INDIRECT("'"&amp;$A8&amp;"'!$A$12:$Z$19"),MATCH("Points (Auto-generate)",INDIRECT("'"&amp;$A8&amp;"'!$A$12:$Z$12"),0),0)),"ER"))</f>
        <v/>
      </c>
    </row>
    <row r="9">
      <c r="A9" t="inlineStr">
        <is>
          <t>UPD2c</t>
        </is>
      </c>
      <c r="B9">
        <f>VLOOKUP($A9,'PARASTATAL Questions'!$A:$J,3,0)&amp;""</f>
        <v/>
      </c>
      <c r="C9">
        <f>VLOOKUP($A9,'PARASTATAL Questions'!$A:$J,4,0)&amp;""</f>
        <v/>
      </c>
      <c r="D9">
        <f>VLOOKUP($A9,'PARASTATAL Questions'!$A:$J,5,0)&amp;""</f>
        <v/>
      </c>
      <c r="E9">
        <f>VLOOKUP($A9,'PARASTATAL Questions'!$A:$J,7,0)&amp;""</f>
        <v/>
      </c>
      <c r="F9">
        <f>VLOOKUP($A9,'PARASTATAL Questions'!$A:$J,6,0)</f>
        <v/>
      </c>
      <c r="G9">
        <f>IF($F9=0,"NA",IF($A9=INDIRECT("'"&amp;$A9&amp;"'!$B$1"),IF(VLOOKUP(G$1,INDIRECT("'"&amp;$A9&amp;"'!$A$12:$Z$19"),MATCH("Points (Auto-generate)",INDIRECT("'"&amp;$A9&amp;"'!$A$12:$Z$12"),0),0)="","?",VLOOKUP(G$1,INDIRECT("'"&amp;$A9&amp;"'!$A$12:$Z$19"),MATCH("Points (Auto-generate)",INDIRECT("'"&amp;$A9&amp;"'!$A$12:$Z$12"),0),0)),"ER"))</f>
        <v/>
      </c>
      <c r="H9">
        <f>IF($F9=0,"NA",IF($A9=INDIRECT("'"&amp;$A9&amp;"'!$B$1"),IF(VLOOKUP(H$1,INDIRECT("'"&amp;$A9&amp;"'!$A$12:$Z$19"),MATCH("Points (Auto-generate)",INDIRECT("'"&amp;$A9&amp;"'!$A$12:$Z$12"),0),0)="","?",VLOOKUP(H$1,INDIRECT("'"&amp;$A9&amp;"'!$A$12:$Z$19"),MATCH("Points (Auto-generate)",INDIRECT("'"&amp;$A9&amp;"'!$A$12:$Z$12"),0),0)),"ER"))</f>
        <v/>
      </c>
      <c r="I9">
        <f>IF($F9=0,"NA",IF($A9=INDIRECT("'"&amp;$A9&amp;"'!$B$1"),IF(VLOOKUP(I$1,INDIRECT("'"&amp;$A9&amp;"'!$A$12:$Z$19"),MATCH("Points (Auto-generate)",INDIRECT("'"&amp;$A9&amp;"'!$A$12:$Z$12"),0),0)="","?",VLOOKUP(I$1,INDIRECT("'"&amp;$A9&amp;"'!$A$12:$Z$19"),MATCH("Points (Auto-generate)",INDIRECT("'"&amp;$A9&amp;"'!$A$12:$Z$12"),0),0)),"ER"))</f>
        <v/>
      </c>
      <c r="J9">
        <f>IF($F9=0,"NA",IF($A9=INDIRECT("'"&amp;$A9&amp;"'!$B$1"),IF(VLOOKUP(J$1,INDIRECT("'"&amp;$A9&amp;"'!$A$12:$Z$19"),MATCH("Points (Auto-generate)",INDIRECT("'"&amp;$A9&amp;"'!$A$12:$Z$12"),0),0)="","?",VLOOKUP(J$1,INDIRECT("'"&amp;$A9&amp;"'!$A$12:$Z$19"),MATCH("Points (Auto-generate)",INDIRECT("'"&amp;$A9&amp;"'!$A$12:$Z$12"),0),0)),"ER"))</f>
        <v/>
      </c>
      <c r="K9">
        <f>IF($F9=0,"NA",IF($A9=INDIRECT("'"&amp;$A9&amp;"'!$B$1"),IF(VLOOKUP(K$1,INDIRECT("'"&amp;$A9&amp;"'!$A$12:$Z$19"),MATCH("Points (Auto-generate)",INDIRECT("'"&amp;$A9&amp;"'!$A$12:$Z$12"),0),0)="","?",VLOOKUP(K$1,INDIRECT("'"&amp;$A9&amp;"'!$A$12:$Z$19"),MATCH("Points (Auto-generate)",INDIRECT("'"&amp;$A9&amp;"'!$A$12:$Z$12"),0),0)),"ER"))</f>
        <v/>
      </c>
      <c r="L9">
        <f>IF($F9=0,"NA",IF($A9=INDIRECT("'"&amp;$A9&amp;"'!$B$1"),IF(VLOOKUP(L$1,INDIRECT("'"&amp;$A9&amp;"'!$A$12:$Z$19"),MATCH("Points (Auto-generate)",INDIRECT("'"&amp;$A9&amp;"'!$A$12:$Z$12"),0),0)="","?",VLOOKUP(L$1,INDIRECT("'"&amp;$A9&amp;"'!$A$12:$Z$19"),MATCH("Points (Auto-generate)",INDIRECT("'"&amp;$A9&amp;"'!$A$12:$Z$12"),0),0)),"ER"))</f>
        <v/>
      </c>
      <c r="M9">
        <f>IF($F9=0,"NA",IF($A9=INDIRECT("'"&amp;$A9&amp;"'!$B$1"),IF(VLOOKUP(M$1,INDIRECT("'"&amp;$A9&amp;"'!$A$12:$Z$19"),MATCH("Points (Auto-generate)",INDIRECT("'"&amp;$A9&amp;"'!$A$12:$Z$12"),0),0)="","?",VLOOKUP(M$1,INDIRECT("'"&amp;$A9&amp;"'!$A$12:$Z$19"),MATCH("Points (Auto-generate)",INDIRECT("'"&amp;$A9&amp;"'!$A$12:$Z$12"),0),0)),"ER"))</f>
        <v/>
      </c>
    </row>
    <row r="10">
      <c r="A10" t="inlineStr">
        <is>
          <t>UPD2d</t>
        </is>
      </c>
      <c r="B10">
        <f>VLOOKUP($A10,'PARASTATAL Questions'!$A:$J,3,0)&amp;""</f>
        <v/>
      </c>
      <c r="C10">
        <f>VLOOKUP($A10,'PARASTATAL Questions'!$A:$J,4,0)&amp;""</f>
        <v/>
      </c>
      <c r="D10">
        <f>VLOOKUP($A10,'PARASTATAL Questions'!$A:$J,5,0)&amp;""</f>
        <v/>
      </c>
      <c r="E10">
        <f>VLOOKUP($A10,'PARASTATAL Questions'!$A:$J,7,0)&amp;""</f>
        <v/>
      </c>
      <c r="F10">
        <f>VLOOKUP($A10,'PARASTATAL Questions'!$A:$J,6,0)</f>
        <v/>
      </c>
      <c r="G10">
        <f>IF($F10=0,"NA",IF($A10=INDIRECT("'"&amp;$A10&amp;"'!$B$1"),IF(VLOOKUP(G$1,INDIRECT("'"&amp;$A10&amp;"'!$A$12:$Z$19"),MATCH("Points (Auto-generate)",INDIRECT("'"&amp;$A10&amp;"'!$A$12:$Z$12"),0),0)="","?",VLOOKUP(G$1,INDIRECT("'"&amp;$A10&amp;"'!$A$12:$Z$19"),MATCH("Points (Auto-generate)",INDIRECT("'"&amp;$A10&amp;"'!$A$12:$Z$12"),0),0)),"ER"))</f>
        <v/>
      </c>
      <c r="H10">
        <f>IF($F10=0,"NA",IF($A10=INDIRECT("'"&amp;$A10&amp;"'!$B$1"),IF(VLOOKUP(H$1,INDIRECT("'"&amp;$A10&amp;"'!$A$12:$Z$19"),MATCH("Points (Auto-generate)",INDIRECT("'"&amp;$A10&amp;"'!$A$12:$Z$12"),0),0)="","?",VLOOKUP(H$1,INDIRECT("'"&amp;$A10&amp;"'!$A$12:$Z$19"),MATCH("Points (Auto-generate)",INDIRECT("'"&amp;$A10&amp;"'!$A$12:$Z$12"),0),0)),"ER"))</f>
        <v/>
      </c>
      <c r="I10">
        <f>IF($F10=0,"NA",IF($A10=INDIRECT("'"&amp;$A10&amp;"'!$B$1"),IF(VLOOKUP(I$1,INDIRECT("'"&amp;$A10&amp;"'!$A$12:$Z$19"),MATCH("Points (Auto-generate)",INDIRECT("'"&amp;$A10&amp;"'!$A$12:$Z$12"),0),0)="","?",VLOOKUP(I$1,INDIRECT("'"&amp;$A10&amp;"'!$A$12:$Z$19"),MATCH("Points (Auto-generate)",INDIRECT("'"&amp;$A10&amp;"'!$A$12:$Z$12"),0),0)),"ER"))</f>
        <v/>
      </c>
      <c r="J10">
        <f>IF($F10=0,"NA",IF($A10=INDIRECT("'"&amp;$A10&amp;"'!$B$1"),IF(VLOOKUP(J$1,INDIRECT("'"&amp;$A10&amp;"'!$A$12:$Z$19"),MATCH("Points (Auto-generate)",INDIRECT("'"&amp;$A10&amp;"'!$A$12:$Z$12"),0),0)="","?",VLOOKUP(J$1,INDIRECT("'"&amp;$A10&amp;"'!$A$12:$Z$19"),MATCH("Points (Auto-generate)",INDIRECT("'"&amp;$A10&amp;"'!$A$12:$Z$12"),0),0)),"ER"))</f>
        <v/>
      </c>
      <c r="K10">
        <f>IF($F10=0,"NA",IF($A10=INDIRECT("'"&amp;$A10&amp;"'!$B$1"),IF(VLOOKUP(K$1,INDIRECT("'"&amp;$A10&amp;"'!$A$12:$Z$19"),MATCH("Points (Auto-generate)",INDIRECT("'"&amp;$A10&amp;"'!$A$12:$Z$12"),0),0)="","?",VLOOKUP(K$1,INDIRECT("'"&amp;$A10&amp;"'!$A$12:$Z$19"),MATCH("Points (Auto-generate)",INDIRECT("'"&amp;$A10&amp;"'!$A$12:$Z$12"),0),0)),"ER"))</f>
        <v/>
      </c>
      <c r="L10">
        <f>IF($F10=0,"NA",IF($A10=INDIRECT("'"&amp;$A10&amp;"'!$B$1"),IF(VLOOKUP(L$1,INDIRECT("'"&amp;$A10&amp;"'!$A$12:$Z$19"),MATCH("Points (Auto-generate)",INDIRECT("'"&amp;$A10&amp;"'!$A$12:$Z$12"),0),0)="","?",VLOOKUP(L$1,INDIRECT("'"&amp;$A10&amp;"'!$A$12:$Z$19"),MATCH("Points (Auto-generate)",INDIRECT("'"&amp;$A10&amp;"'!$A$12:$Z$12"),0),0)),"ER"))</f>
        <v/>
      </c>
      <c r="M10">
        <f>IF($F10=0,"NA",IF($A10=INDIRECT("'"&amp;$A10&amp;"'!$B$1"),IF(VLOOKUP(M$1,INDIRECT("'"&amp;$A10&amp;"'!$A$12:$Z$19"),MATCH("Points (Auto-generate)",INDIRECT("'"&amp;$A10&amp;"'!$A$12:$Z$12"),0),0)="","?",VLOOKUP(M$1,INDIRECT("'"&amp;$A10&amp;"'!$A$12:$Z$19"),MATCH("Points (Auto-generate)",INDIRECT("'"&amp;$A10&amp;"'!$A$12:$Z$12"),0),0)),"ER"))</f>
        <v/>
      </c>
    </row>
    <row r="11">
      <c r="A11" s="4" t="inlineStr">
        <is>
          <t>UPD3</t>
        </is>
      </c>
      <c r="B11" s="4">
        <f>VLOOKUP($A11,'PARASTATAL Questions'!$A:$J,3,0)&amp;""</f>
        <v/>
      </c>
      <c r="C11" s="4">
        <f>VLOOKUP($A11,'PARASTATAL Questions'!$A:$J,4,0)&amp;""</f>
        <v/>
      </c>
      <c r="D11" s="4">
        <f>VLOOKUP($A11,'PARASTATAL Questions'!$A:$J,5,0)&amp;""</f>
        <v/>
      </c>
      <c r="E11" s="4">
        <f>VLOOKUP($A11,'PARASTATAL Questions'!$A:$J,7,0)&amp;""</f>
        <v/>
      </c>
      <c r="F11" s="4">
        <f>VLOOKUP($A11,'PARASTATAL Questions'!$A:$J,6,0)</f>
        <v/>
      </c>
      <c r="G11" s="4">
        <f>IF(OR(G12="ER",G13="ER"),"ER",IF(OR(G12="?",G13="?"),"?",IF(AND(G12="NA",G13="NA"),"NA",SUM(G12,G13)/((G12&lt;&gt;"NA")*$F$12+(G13&lt;&gt;"NA")*$F$13)*$F11)))</f>
        <v/>
      </c>
      <c r="H11" s="4">
        <f>IF(OR(H12="ER",H13="ER"),"ER",IF(OR(H12="?",H13="?"),"?",IF(AND(H12="NA",H13="NA"),"NA",SUM(H12,H13)/((H12&lt;&gt;"NA")*$F$12+(H13&lt;&gt;"NA")*$F$13)*$F11)))</f>
        <v/>
      </c>
      <c r="I11" s="4">
        <f>IF(OR(I12="ER",I13="ER"),"ER",IF(OR(I12="?",I13="?"),"?",IF(AND(I12="NA",I13="NA"),"NA",SUM(I12,I13)/((I12&lt;&gt;"NA")*$F$12+(I13&lt;&gt;"NA")*$F$13)*$F11)))</f>
        <v/>
      </c>
      <c r="J11" s="4">
        <f>IF(OR(J12="ER",J13="ER"),"ER",IF(OR(J12="?",J13="?"),"?",IF(AND(J12="NA",J13="NA"),"NA",SUM(J12,J13)/((J12&lt;&gt;"NA")*$F$12+(J13&lt;&gt;"NA")*$F$13)*$F11)))</f>
        <v/>
      </c>
      <c r="K11" s="4">
        <f>IF(OR(K12="ER",K13="ER"),"ER",IF(OR(K12="?",K13="?"),"?",IF(AND(K12="NA",K13="NA"),"NA",SUM(K12,K13)/((K12&lt;&gt;"NA")*$F$12+(K13&lt;&gt;"NA")*$F$13)*$F11)))</f>
        <v/>
      </c>
      <c r="L11" s="4">
        <f>IF(OR(L12="ER",L13="ER"),"ER",IF(OR(L12="?",L13="?"),"?",IF(AND(L12="NA",L13="NA"),"NA",SUM(L12,L13)/((L12&lt;&gt;"NA")*$F$12+(L13&lt;&gt;"NA")*$F$13)*$F11)))</f>
        <v/>
      </c>
      <c r="M11" s="4">
        <f>IF(OR(M12="ER",M13="ER"),"ER",IF(OR(M12="?",M13="?"),"?",IF(AND(M12="NA",M13="NA"),"NA",SUM(M12,M13)/((M12&lt;&gt;"NA")*$F$12+(M13&lt;&gt;"NA")*$F$13)*$F11)))</f>
        <v/>
      </c>
    </row>
    <row r="12">
      <c r="A12" t="inlineStr">
        <is>
          <t>UPD3a</t>
        </is>
      </c>
      <c r="B12">
        <f>VLOOKUP($A12,'PARASTATAL Questions'!$A:$J,3,0)&amp;""</f>
        <v/>
      </c>
      <c r="C12">
        <f>VLOOKUP($A12,'PARASTATAL Questions'!$A:$J,4,0)&amp;""</f>
        <v/>
      </c>
      <c r="D12">
        <f>VLOOKUP($A12,'PARASTATAL Questions'!$A:$J,5,0)&amp;""</f>
        <v/>
      </c>
      <c r="E12">
        <f>VLOOKUP($A12,'PARASTATAL Questions'!$A:$J,7,0)&amp;""</f>
        <v/>
      </c>
      <c r="F12">
        <f>VLOOKUP($A12,'PARASTATAL Questions'!$A:$J,6,0)</f>
        <v/>
      </c>
      <c r="G12">
        <f>IF($F12=0,"NA",IF($A12=INDIRECT("'"&amp;$A12&amp;"'!$B$1"),IF(VLOOKUP(G$1,INDIRECT("'"&amp;$A12&amp;"'!$A$12:$Z$19"),MATCH("Points (Auto-generate)",INDIRECT("'"&amp;$A12&amp;"'!$A$12:$Z$12"),0),0)="","?",VLOOKUP(G$1,INDIRECT("'"&amp;$A12&amp;"'!$A$12:$Z$19"),MATCH("Points (Auto-generate)",INDIRECT("'"&amp;$A12&amp;"'!$A$12:$Z$12"),0),0)),"ER"))</f>
        <v/>
      </c>
      <c r="H12">
        <f>IF($F12=0,"NA",IF($A12=INDIRECT("'"&amp;$A12&amp;"'!$B$1"),IF(VLOOKUP(H$1,INDIRECT("'"&amp;$A12&amp;"'!$A$12:$Z$19"),MATCH("Points (Auto-generate)",INDIRECT("'"&amp;$A12&amp;"'!$A$12:$Z$12"),0),0)="","?",VLOOKUP(H$1,INDIRECT("'"&amp;$A12&amp;"'!$A$12:$Z$19"),MATCH("Points (Auto-generate)",INDIRECT("'"&amp;$A12&amp;"'!$A$12:$Z$12"),0),0)),"ER"))</f>
        <v/>
      </c>
      <c r="I12">
        <f>IF($F12=0,"NA",IF($A12=INDIRECT("'"&amp;$A12&amp;"'!$B$1"),IF(VLOOKUP(I$1,INDIRECT("'"&amp;$A12&amp;"'!$A$12:$Z$19"),MATCH("Points (Auto-generate)",INDIRECT("'"&amp;$A12&amp;"'!$A$12:$Z$12"),0),0)="","?",VLOOKUP(I$1,INDIRECT("'"&amp;$A12&amp;"'!$A$12:$Z$19"),MATCH("Points (Auto-generate)",INDIRECT("'"&amp;$A12&amp;"'!$A$12:$Z$12"),0),0)),"ER"))</f>
        <v/>
      </c>
      <c r="J12">
        <f>IF($F12=0,"NA",IF($A12=INDIRECT("'"&amp;$A12&amp;"'!$B$1"),IF(VLOOKUP(J$1,INDIRECT("'"&amp;$A12&amp;"'!$A$12:$Z$19"),MATCH("Points (Auto-generate)",INDIRECT("'"&amp;$A12&amp;"'!$A$12:$Z$12"),0),0)="","?",VLOOKUP(J$1,INDIRECT("'"&amp;$A12&amp;"'!$A$12:$Z$19"),MATCH("Points (Auto-generate)",INDIRECT("'"&amp;$A12&amp;"'!$A$12:$Z$12"),0),0)),"ER"))</f>
        <v/>
      </c>
      <c r="K12">
        <f>IF($F12=0,"NA",IF($A12=INDIRECT("'"&amp;$A12&amp;"'!$B$1"),IF(VLOOKUP(K$1,INDIRECT("'"&amp;$A12&amp;"'!$A$12:$Z$19"),MATCH("Points (Auto-generate)",INDIRECT("'"&amp;$A12&amp;"'!$A$12:$Z$12"),0),0)="","?",VLOOKUP(K$1,INDIRECT("'"&amp;$A12&amp;"'!$A$12:$Z$19"),MATCH("Points (Auto-generate)",INDIRECT("'"&amp;$A12&amp;"'!$A$12:$Z$12"),0),0)),"ER"))</f>
        <v/>
      </c>
      <c r="L12">
        <f>IF($F12=0,"NA",IF($A12=INDIRECT("'"&amp;$A12&amp;"'!$B$1"),IF(VLOOKUP(L$1,INDIRECT("'"&amp;$A12&amp;"'!$A$12:$Z$19"),MATCH("Points (Auto-generate)",INDIRECT("'"&amp;$A12&amp;"'!$A$12:$Z$12"),0),0)="","?",VLOOKUP(L$1,INDIRECT("'"&amp;$A12&amp;"'!$A$12:$Z$19"),MATCH("Points (Auto-generate)",INDIRECT("'"&amp;$A12&amp;"'!$A$12:$Z$12"),0),0)),"ER"))</f>
        <v/>
      </c>
      <c r="M12">
        <f>IF($F12=0,"NA",IF($A12=INDIRECT("'"&amp;$A12&amp;"'!$B$1"),IF(VLOOKUP(M$1,INDIRECT("'"&amp;$A12&amp;"'!$A$12:$Z$19"),MATCH("Points (Auto-generate)",INDIRECT("'"&amp;$A12&amp;"'!$A$12:$Z$12"),0),0)="","?",VLOOKUP(M$1,INDIRECT("'"&amp;$A12&amp;"'!$A$12:$Z$19"),MATCH("Points (Auto-generate)",INDIRECT("'"&amp;$A12&amp;"'!$A$12:$Z$12"),0),0)),"ER"))</f>
        <v/>
      </c>
    </row>
    <row r="13">
      <c r="A13" t="inlineStr">
        <is>
          <t>UPD3b</t>
        </is>
      </c>
      <c r="B13">
        <f>VLOOKUP($A13,'PARASTATAL Questions'!$A:$J,3,0)&amp;""</f>
        <v/>
      </c>
      <c r="C13">
        <f>VLOOKUP($A13,'PARASTATAL Questions'!$A:$J,4,0)&amp;""</f>
        <v/>
      </c>
      <c r="D13">
        <f>VLOOKUP($A13,'PARASTATAL Questions'!$A:$J,5,0)&amp;""</f>
        <v/>
      </c>
      <c r="E13">
        <f>VLOOKUP($A13,'PARASTATAL Questions'!$A:$J,7,0)&amp;""</f>
        <v/>
      </c>
      <c r="F13">
        <f>VLOOKUP($A13,'PARASTATAL Questions'!$A:$J,6,0)</f>
        <v/>
      </c>
      <c r="G13">
        <f>IF($F13=0,"NA",IF($A13=INDIRECT("'"&amp;$A13&amp;"'!$B$1"),IF(VLOOKUP(G$1,INDIRECT("'"&amp;$A13&amp;"'!$A$12:$Z$19"),MATCH("Points (Auto-generate)",INDIRECT("'"&amp;$A13&amp;"'!$A$12:$Z$12"),0),0)="","?",VLOOKUP(G$1,INDIRECT("'"&amp;$A13&amp;"'!$A$12:$Z$19"),MATCH("Points (Auto-generate)",INDIRECT("'"&amp;$A13&amp;"'!$A$12:$Z$12"),0),0)),"ER"))</f>
        <v/>
      </c>
      <c r="H13">
        <f>IF($F13=0,"NA",IF($A13=INDIRECT("'"&amp;$A13&amp;"'!$B$1"),IF(VLOOKUP(H$1,INDIRECT("'"&amp;$A13&amp;"'!$A$12:$Z$19"),MATCH("Points (Auto-generate)",INDIRECT("'"&amp;$A13&amp;"'!$A$12:$Z$12"),0),0)="","?",VLOOKUP(H$1,INDIRECT("'"&amp;$A13&amp;"'!$A$12:$Z$19"),MATCH("Points (Auto-generate)",INDIRECT("'"&amp;$A13&amp;"'!$A$12:$Z$12"),0),0)),"ER"))</f>
        <v/>
      </c>
      <c r="I13">
        <f>IF($F13=0,"NA",IF($A13=INDIRECT("'"&amp;$A13&amp;"'!$B$1"),IF(VLOOKUP(I$1,INDIRECT("'"&amp;$A13&amp;"'!$A$12:$Z$19"),MATCH("Points (Auto-generate)",INDIRECT("'"&amp;$A13&amp;"'!$A$12:$Z$12"),0),0)="","?",VLOOKUP(I$1,INDIRECT("'"&amp;$A13&amp;"'!$A$12:$Z$19"),MATCH("Points (Auto-generate)",INDIRECT("'"&amp;$A13&amp;"'!$A$12:$Z$12"),0),0)),"ER"))</f>
        <v/>
      </c>
      <c r="J13">
        <f>IF($F13=0,"NA",IF($A13=INDIRECT("'"&amp;$A13&amp;"'!$B$1"),IF(VLOOKUP(J$1,INDIRECT("'"&amp;$A13&amp;"'!$A$12:$Z$19"),MATCH("Points (Auto-generate)",INDIRECT("'"&amp;$A13&amp;"'!$A$12:$Z$12"),0),0)="","?",VLOOKUP(J$1,INDIRECT("'"&amp;$A13&amp;"'!$A$12:$Z$19"),MATCH("Points (Auto-generate)",INDIRECT("'"&amp;$A13&amp;"'!$A$12:$Z$12"),0),0)),"ER"))</f>
        <v/>
      </c>
      <c r="K13">
        <f>IF($F13=0,"NA",IF($A13=INDIRECT("'"&amp;$A13&amp;"'!$B$1"),IF(VLOOKUP(K$1,INDIRECT("'"&amp;$A13&amp;"'!$A$12:$Z$19"),MATCH("Points (Auto-generate)",INDIRECT("'"&amp;$A13&amp;"'!$A$12:$Z$12"),0),0)="","?",VLOOKUP(K$1,INDIRECT("'"&amp;$A13&amp;"'!$A$12:$Z$19"),MATCH("Points (Auto-generate)",INDIRECT("'"&amp;$A13&amp;"'!$A$12:$Z$12"),0),0)),"ER"))</f>
        <v/>
      </c>
      <c r="L13">
        <f>IF($F13=0,"NA",IF($A13=INDIRECT("'"&amp;$A13&amp;"'!$B$1"),IF(VLOOKUP(L$1,INDIRECT("'"&amp;$A13&amp;"'!$A$12:$Z$19"),MATCH("Points (Auto-generate)",INDIRECT("'"&amp;$A13&amp;"'!$A$12:$Z$12"),0),0)="","?",VLOOKUP(L$1,INDIRECT("'"&amp;$A13&amp;"'!$A$12:$Z$19"),MATCH("Points (Auto-generate)",INDIRECT("'"&amp;$A13&amp;"'!$A$12:$Z$12"),0),0)),"ER"))</f>
        <v/>
      </c>
      <c r="M13">
        <f>IF($F13=0,"NA",IF($A13=INDIRECT("'"&amp;$A13&amp;"'!$B$1"),IF(VLOOKUP(M$1,INDIRECT("'"&amp;$A13&amp;"'!$A$12:$Z$19"),MATCH("Points (Auto-generate)",INDIRECT("'"&amp;$A13&amp;"'!$A$12:$Z$12"),0),0)="","?",VLOOKUP(M$1,INDIRECT("'"&amp;$A13&amp;"'!$A$12:$Z$19"),MATCH("Points (Auto-generate)",INDIRECT("'"&amp;$A13&amp;"'!$A$12:$Z$12"),0),0)),"ER"))</f>
        <v/>
      </c>
    </row>
    <row r="14">
      <c r="A14" s="4" t="inlineStr">
        <is>
          <t>UPD4</t>
        </is>
      </c>
      <c r="B14" s="4">
        <f>VLOOKUP($A14,'PARASTATAL Questions'!$A:$J,3,0)&amp;""</f>
        <v/>
      </c>
      <c r="C14" s="4">
        <f>VLOOKUP($A14,'PARASTATAL Questions'!$A:$J,4,0)&amp;""</f>
        <v/>
      </c>
      <c r="D14" s="4">
        <f>VLOOKUP($A14,'PARASTATAL Questions'!$A:$J,5,0)&amp;""</f>
        <v/>
      </c>
      <c r="E14" s="4">
        <f>VLOOKUP($A14,'PARASTATAL Questions'!$A:$J,7,0)&amp;""</f>
        <v/>
      </c>
      <c r="F14" s="4">
        <f>VLOOKUP($A14,'PARASTATAL Questions'!$A:$J,6,0)</f>
        <v/>
      </c>
      <c r="G14" s="4">
        <f>IF(OR(G15="ER",G16="ER"),"ER",IF(OR(G15="?",G16="?"),"?",IF(AND(G15="NA",G16="NA"),"NA",SUM(G15,G16)/((G15&lt;&gt;"NA")*$F$15+(G16&lt;&gt;"NA")*$F$16)*$F14)))</f>
        <v/>
      </c>
      <c r="H14" s="4">
        <f>IF(OR(H15="ER",H16="ER"),"ER",IF(OR(H15="?",H16="?"),"?",IF(AND(H15="NA",H16="NA"),"NA",SUM(H15,H16)/((H15&lt;&gt;"NA")*$F$15+(H16&lt;&gt;"NA")*$F$16)*$F14)))</f>
        <v/>
      </c>
      <c r="I14" s="4">
        <f>IF(OR(I15="ER",I16="ER"),"ER",IF(OR(I15="?",I16="?"),"?",IF(AND(I15="NA",I16="NA"),"NA",SUM(I15,I16)/((I15&lt;&gt;"NA")*$F$15+(I16&lt;&gt;"NA")*$F$16)*$F14)))</f>
        <v/>
      </c>
      <c r="J14" s="4">
        <f>IF(OR(J15="ER",J16="ER"),"ER",IF(OR(J15="?",J16="?"),"?",IF(AND(J15="NA",J16="NA"),"NA",SUM(J15,J16)/((J15&lt;&gt;"NA")*$F$15+(J16&lt;&gt;"NA")*$F$16)*$F14)))</f>
        <v/>
      </c>
      <c r="K14" s="4">
        <f>IF(OR(K15="ER",K16="ER"),"ER",IF(OR(K15="?",K16="?"),"?",IF(AND(K15="NA",K16="NA"),"NA",SUM(K15,K16)/((K15&lt;&gt;"NA")*$F$15+(K16&lt;&gt;"NA")*$F$16)*$F14)))</f>
        <v/>
      </c>
      <c r="L14" s="4">
        <f>IF(OR(L15="ER",L16="ER"),"ER",IF(OR(L15="?",L16="?"),"?",IF(AND(L15="NA",L16="NA"),"NA",SUM(L15,L16)/((L15&lt;&gt;"NA")*$F$15+(L16&lt;&gt;"NA")*$F$16)*$F14)))</f>
        <v/>
      </c>
      <c r="M14" s="4">
        <f>IF(OR(M15="ER",M16="ER"),"ER",IF(OR(M15="?",M16="?"),"?",IF(AND(M15="NA",M16="NA"),"NA",SUM(M15,M16)/((M15&lt;&gt;"NA")*$F$15+(M16&lt;&gt;"NA")*$F$16)*$F14)))</f>
        <v/>
      </c>
    </row>
    <row r="15">
      <c r="A15" t="inlineStr">
        <is>
          <t>UPD4a</t>
        </is>
      </c>
      <c r="B15">
        <f>VLOOKUP($A15,'PARASTATAL Questions'!$A:$J,3,0)&amp;""</f>
        <v/>
      </c>
      <c r="C15">
        <f>VLOOKUP($A15,'PARASTATAL Questions'!$A:$J,4,0)&amp;""</f>
        <v/>
      </c>
      <c r="D15">
        <f>VLOOKUP($A15,'PARASTATAL Questions'!$A:$J,5,0)&amp;""</f>
        <v/>
      </c>
      <c r="E15">
        <f>VLOOKUP($A15,'PARASTATAL Questions'!$A:$J,7,0)&amp;""</f>
        <v/>
      </c>
      <c r="F15">
        <f>VLOOKUP($A15,'PARASTATAL Questions'!$A:$J,6,0)</f>
        <v/>
      </c>
      <c r="G15">
        <f>IF($F15=0,"NA",IF($A15=INDIRECT("'"&amp;$A15&amp;"'!$B$1"),IF(VLOOKUP(G$1,INDIRECT("'"&amp;$A15&amp;"'!$A$12:$Z$19"),MATCH("Points (Auto-generate)",INDIRECT("'"&amp;$A15&amp;"'!$A$12:$Z$12"),0),0)="","?",VLOOKUP(G$1,INDIRECT("'"&amp;$A15&amp;"'!$A$12:$Z$19"),MATCH("Points (Auto-generate)",INDIRECT("'"&amp;$A15&amp;"'!$A$12:$Z$12"),0),0)),"ER"))</f>
        <v/>
      </c>
      <c r="H15">
        <f>IF($F15=0,"NA",IF($A15=INDIRECT("'"&amp;$A15&amp;"'!$B$1"),IF(VLOOKUP(H$1,INDIRECT("'"&amp;$A15&amp;"'!$A$12:$Z$19"),MATCH("Points (Auto-generate)",INDIRECT("'"&amp;$A15&amp;"'!$A$12:$Z$12"),0),0)="","?",VLOOKUP(H$1,INDIRECT("'"&amp;$A15&amp;"'!$A$12:$Z$19"),MATCH("Points (Auto-generate)",INDIRECT("'"&amp;$A15&amp;"'!$A$12:$Z$12"),0),0)),"ER"))</f>
        <v/>
      </c>
      <c r="I15">
        <f>IF($F15=0,"NA",IF($A15=INDIRECT("'"&amp;$A15&amp;"'!$B$1"),IF(VLOOKUP(I$1,INDIRECT("'"&amp;$A15&amp;"'!$A$12:$Z$19"),MATCH("Points (Auto-generate)",INDIRECT("'"&amp;$A15&amp;"'!$A$12:$Z$12"),0),0)="","?",VLOOKUP(I$1,INDIRECT("'"&amp;$A15&amp;"'!$A$12:$Z$19"),MATCH("Points (Auto-generate)",INDIRECT("'"&amp;$A15&amp;"'!$A$12:$Z$12"),0),0)),"ER"))</f>
        <v/>
      </c>
      <c r="J15">
        <f>IF($F15=0,"NA",IF($A15=INDIRECT("'"&amp;$A15&amp;"'!$B$1"),IF(VLOOKUP(J$1,INDIRECT("'"&amp;$A15&amp;"'!$A$12:$Z$19"),MATCH("Points (Auto-generate)",INDIRECT("'"&amp;$A15&amp;"'!$A$12:$Z$12"),0),0)="","?",VLOOKUP(J$1,INDIRECT("'"&amp;$A15&amp;"'!$A$12:$Z$19"),MATCH("Points (Auto-generate)",INDIRECT("'"&amp;$A15&amp;"'!$A$12:$Z$12"),0),0)),"ER"))</f>
        <v/>
      </c>
      <c r="K15">
        <f>IF($F15=0,"NA",IF($A15=INDIRECT("'"&amp;$A15&amp;"'!$B$1"),IF(VLOOKUP(K$1,INDIRECT("'"&amp;$A15&amp;"'!$A$12:$Z$19"),MATCH("Points (Auto-generate)",INDIRECT("'"&amp;$A15&amp;"'!$A$12:$Z$12"),0),0)="","?",VLOOKUP(K$1,INDIRECT("'"&amp;$A15&amp;"'!$A$12:$Z$19"),MATCH("Points (Auto-generate)",INDIRECT("'"&amp;$A15&amp;"'!$A$12:$Z$12"),0),0)),"ER"))</f>
        <v/>
      </c>
      <c r="L15">
        <f>IF($F15=0,"NA",IF($A15=INDIRECT("'"&amp;$A15&amp;"'!$B$1"),IF(VLOOKUP(L$1,INDIRECT("'"&amp;$A15&amp;"'!$A$12:$Z$19"),MATCH("Points (Auto-generate)",INDIRECT("'"&amp;$A15&amp;"'!$A$12:$Z$12"),0),0)="","?",VLOOKUP(L$1,INDIRECT("'"&amp;$A15&amp;"'!$A$12:$Z$19"),MATCH("Points (Auto-generate)",INDIRECT("'"&amp;$A15&amp;"'!$A$12:$Z$12"),0),0)),"ER"))</f>
        <v/>
      </c>
      <c r="M15">
        <f>IF($F15=0,"NA",IF($A15=INDIRECT("'"&amp;$A15&amp;"'!$B$1"),IF(VLOOKUP(M$1,INDIRECT("'"&amp;$A15&amp;"'!$A$12:$Z$19"),MATCH("Points (Auto-generate)",INDIRECT("'"&amp;$A15&amp;"'!$A$12:$Z$12"),0),0)="","?",VLOOKUP(M$1,INDIRECT("'"&amp;$A15&amp;"'!$A$12:$Z$19"),MATCH("Points (Auto-generate)",INDIRECT("'"&amp;$A15&amp;"'!$A$12:$Z$12"),0),0)),"ER"))</f>
        <v/>
      </c>
    </row>
    <row r="16">
      <c r="A16" t="inlineStr">
        <is>
          <t>UPD4b</t>
        </is>
      </c>
      <c r="B16">
        <f>VLOOKUP($A16,'PARASTATAL Questions'!$A:$J,3,0)&amp;""</f>
        <v/>
      </c>
      <c r="C16">
        <f>VLOOKUP($A16,'PARASTATAL Questions'!$A:$J,4,0)&amp;""</f>
        <v/>
      </c>
      <c r="D16">
        <f>VLOOKUP($A16,'PARASTATAL Questions'!$A:$J,5,0)&amp;""</f>
        <v/>
      </c>
      <c r="E16">
        <f>VLOOKUP($A16,'PARASTATAL Questions'!$A:$J,7,0)&amp;""</f>
        <v/>
      </c>
      <c r="F16">
        <f>VLOOKUP($A16,'PARASTATAL Questions'!$A:$J,6,0)</f>
        <v/>
      </c>
      <c r="G16">
        <f>IF($F16=0,"NA",IF($A16=INDIRECT("'"&amp;$A16&amp;"'!$B$1"),IF(VLOOKUP(G$1,INDIRECT("'"&amp;$A16&amp;"'!$A$12:$Z$19"),MATCH("Points (Auto-generate)",INDIRECT("'"&amp;$A16&amp;"'!$A$12:$Z$12"),0),0)="","?",VLOOKUP(G$1,INDIRECT("'"&amp;$A16&amp;"'!$A$12:$Z$19"),MATCH("Points (Auto-generate)",INDIRECT("'"&amp;$A16&amp;"'!$A$12:$Z$12"),0),0)),"ER"))</f>
        <v/>
      </c>
      <c r="H16">
        <f>IF($F16=0,"NA",IF($A16=INDIRECT("'"&amp;$A16&amp;"'!$B$1"),IF(VLOOKUP(H$1,INDIRECT("'"&amp;$A16&amp;"'!$A$12:$Z$19"),MATCH("Points (Auto-generate)",INDIRECT("'"&amp;$A16&amp;"'!$A$12:$Z$12"),0),0)="","?",VLOOKUP(H$1,INDIRECT("'"&amp;$A16&amp;"'!$A$12:$Z$19"),MATCH("Points (Auto-generate)",INDIRECT("'"&amp;$A16&amp;"'!$A$12:$Z$12"),0),0)),"ER"))</f>
        <v/>
      </c>
      <c r="I16">
        <f>IF($F16=0,"NA",IF($A16=INDIRECT("'"&amp;$A16&amp;"'!$B$1"),IF(VLOOKUP(I$1,INDIRECT("'"&amp;$A16&amp;"'!$A$12:$Z$19"),MATCH("Points (Auto-generate)",INDIRECT("'"&amp;$A16&amp;"'!$A$12:$Z$12"),0),0)="","?",VLOOKUP(I$1,INDIRECT("'"&amp;$A16&amp;"'!$A$12:$Z$19"),MATCH("Points (Auto-generate)",INDIRECT("'"&amp;$A16&amp;"'!$A$12:$Z$12"),0),0)),"ER"))</f>
        <v/>
      </c>
      <c r="J16">
        <f>IF($F16=0,"NA",IF($A16=INDIRECT("'"&amp;$A16&amp;"'!$B$1"),IF(VLOOKUP(J$1,INDIRECT("'"&amp;$A16&amp;"'!$A$12:$Z$19"),MATCH("Points (Auto-generate)",INDIRECT("'"&amp;$A16&amp;"'!$A$12:$Z$12"),0),0)="","?",VLOOKUP(J$1,INDIRECT("'"&amp;$A16&amp;"'!$A$12:$Z$19"),MATCH("Points (Auto-generate)",INDIRECT("'"&amp;$A16&amp;"'!$A$12:$Z$12"),0),0)),"ER"))</f>
        <v/>
      </c>
      <c r="K16">
        <f>IF($F16=0,"NA",IF($A16=INDIRECT("'"&amp;$A16&amp;"'!$B$1"),IF(VLOOKUP(K$1,INDIRECT("'"&amp;$A16&amp;"'!$A$12:$Z$19"),MATCH("Points (Auto-generate)",INDIRECT("'"&amp;$A16&amp;"'!$A$12:$Z$12"),0),0)="","?",VLOOKUP(K$1,INDIRECT("'"&amp;$A16&amp;"'!$A$12:$Z$19"),MATCH("Points (Auto-generate)",INDIRECT("'"&amp;$A16&amp;"'!$A$12:$Z$12"),0),0)),"ER"))</f>
        <v/>
      </c>
      <c r="L16">
        <f>IF($F16=0,"NA",IF($A16=INDIRECT("'"&amp;$A16&amp;"'!$B$1"),IF(VLOOKUP(L$1,INDIRECT("'"&amp;$A16&amp;"'!$A$12:$Z$19"),MATCH("Points (Auto-generate)",INDIRECT("'"&amp;$A16&amp;"'!$A$12:$Z$12"),0),0)="","?",VLOOKUP(L$1,INDIRECT("'"&amp;$A16&amp;"'!$A$12:$Z$19"),MATCH("Points (Auto-generate)",INDIRECT("'"&amp;$A16&amp;"'!$A$12:$Z$12"),0),0)),"ER"))</f>
        <v/>
      </c>
      <c r="M16">
        <f>IF($F16=0,"NA",IF($A16=INDIRECT("'"&amp;$A16&amp;"'!$B$1"),IF(VLOOKUP(M$1,INDIRECT("'"&amp;$A16&amp;"'!$A$12:$Z$19"),MATCH("Points (Auto-generate)",INDIRECT("'"&amp;$A16&amp;"'!$A$12:$Z$12"),0),0)="","?",VLOOKUP(M$1,INDIRECT("'"&amp;$A16&amp;"'!$A$12:$Z$19"),MATCH("Points (Auto-generate)",INDIRECT("'"&amp;$A16&amp;"'!$A$12:$Z$12"),0),0)),"ER"))</f>
        <v/>
      </c>
    </row>
    <row r="17">
      <c r="A17" s="4" t="inlineStr">
        <is>
          <t>UPD5</t>
        </is>
      </c>
      <c r="B17" s="4">
        <f>VLOOKUP($A17,'PARASTATAL Questions'!$A:$J,3,0)&amp;""</f>
        <v/>
      </c>
      <c r="C17" s="4">
        <f>VLOOKUP($A17,'PARASTATAL Questions'!$A:$J,4,0)&amp;""</f>
        <v/>
      </c>
      <c r="D17" s="4">
        <f>VLOOKUP($A17,'PARASTATAL Questions'!$A:$J,5,0)&amp;""</f>
        <v/>
      </c>
      <c r="E17" s="4">
        <f>VLOOKUP($A17,'PARASTATAL Questions'!$A:$J,7,0)&amp;""</f>
        <v/>
      </c>
      <c r="F17" s="4">
        <f>VLOOKUP($A17,'PARASTATAL Questions'!$A:$J,6,0)</f>
        <v/>
      </c>
      <c r="G17" s="4">
        <f>IF(OR(G18="ER",G19="ER"),"ER",IF(OR(G18="?",G19="?"),"?",IF(AND(G18="NA",G19="NA"),"NA",SUM(G18,G19)/((G18&lt;&gt;"NA")*$F$18+(G19&lt;&gt;"NA")*$F$19)*$F17)))</f>
        <v/>
      </c>
      <c r="H17" s="4">
        <f>IF(OR(H18="ER",H19="ER"),"ER",IF(OR(H18="?",H19="?"),"?",IF(AND(H18="NA",H19="NA"),"NA",SUM(H18,H19)/((H18&lt;&gt;"NA")*$F$18+(H19&lt;&gt;"NA")*$F$19)*$F17)))</f>
        <v/>
      </c>
      <c r="I17" s="4">
        <f>IF(OR(I18="ER",I19="ER"),"ER",IF(OR(I18="?",I19="?"),"?",IF(AND(I18="NA",I19="NA"),"NA",SUM(I18,I19)/((I18&lt;&gt;"NA")*$F$18+(I19&lt;&gt;"NA")*$F$19)*$F17)))</f>
        <v/>
      </c>
      <c r="J17" s="4">
        <f>IF(OR(J18="ER",J19="ER"),"ER",IF(OR(J18="?",J19="?"),"?",IF(AND(J18="NA",J19="NA"),"NA",SUM(J18,J19)/((J18&lt;&gt;"NA")*$F$18+(J19&lt;&gt;"NA")*$F$19)*$F17)))</f>
        <v/>
      </c>
      <c r="K17" s="4">
        <f>IF(OR(K18="ER",K19="ER"),"ER",IF(OR(K18="?",K19="?"),"?",IF(AND(K18="NA",K19="NA"),"NA",SUM(K18,K19)/((K18&lt;&gt;"NA")*$F$18+(K19&lt;&gt;"NA")*$F$19)*$F17)))</f>
        <v/>
      </c>
      <c r="L17" s="4">
        <f>IF(OR(L18="ER",L19="ER"),"ER",IF(OR(L18="?",L19="?"),"?",IF(AND(L18="NA",L19="NA"),"NA",SUM(L18,L19)/((L18&lt;&gt;"NA")*$F$18+(L19&lt;&gt;"NA")*$F$19)*$F17)))</f>
        <v/>
      </c>
      <c r="M17" s="4">
        <f>IF(OR(M18="ER",M19="ER"),"ER",IF(OR(M18="?",M19="?"),"?",IF(AND(M18="NA",M19="NA"),"NA",SUM(M18,M19)/((M18&lt;&gt;"NA")*$F$18+(M19&lt;&gt;"NA")*$F$19)*$F17)))</f>
        <v/>
      </c>
    </row>
    <row r="18">
      <c r="A18" t="inlineStr">
        <is>
          <t>UPD5a</t>
        </is>
      </c>
      <c r="B18">
        <f>VLOOKUP($A18,'PARASTATAL Questions'!$A:$J,3,0)&amp;""</f>
        <v/>
      </c>
      <c r="C18">
        <f>VLOOKUP($A18,'PARASTATAL Questions'!$A:$J,4,0)&amp;""</f>
        <v/>
      </c>
      <c r="D18">
        <f>VLOOKUP($A18,'PARASTATAL Questions'!$A:$J,5,0)&amp;""</f>
        <v/>
      </c>
      <c r="E18">
        <f>VLOOKUP($A18,'PARASTATAL Questions'!$A:$J,7,0)&amp;""</f>
        <v/>
      </c>
      <c r="F18">
        <f>VLOOKUP($A18,'PARASTATAL Questions'!$A:$J,6,0)</f>
        <v/>
      </c>
      <c r="G18">
        <f>IF($F18=0,"NA",IF($A18=INDIRECT("'"&amp;$A18&amp;"'!$B$1"),IF(VLOOKUP(G$1,INDIRECT("'"&amp;$A18&amp;"'!$A$12:$Z$19"),MATCH("Points (Auto-generate)",INDIRECT("'"&amp;$A18&amp;"'!$A$12:$Z$12"),0),0)="","?",VLOOKUP(G$1,INDIRECT("'"&amp;$A18&amp;"'!$A$12:$Z$19"),MATCH("Points (Auto-generate)",INDIRECT("'"&amp;$A18&amp;"'!$A$12:$Z$12"),0),0)),"ER"))</f>
        <v/>
      </c>
      <c r="H18">
        <f>IF($F18=0,"NA",IF($A18=INDIRECT("'"&amp;$A18&amp;"'!$B$1"),IF(VLOOKUP(H$1,INDIRECT("'"&amp;$A18&amp;"'!$A$12:$Z$19"),MATCH("Points (Auto-generate)",INDIRECT("'"&amp;$A18&amp;"'!$A$12:$Z$12"),0),0)="","?",VLOOKUP(H$1,INDIRECT("'"&amp;$A18&amp;"'!$A$12:$Z$19"),MATCH("Points (Auto-generate)",INDIRECT("'"&amp;$A18&amp;"'!$A$12:$Z$12"),0),0)),"ER"))</f>
        <v/>
      </c>
      <c r="I18">
        <f>IF($F18=0,"NA",IF($A18=INDIRECT("'"&amp;$A18&amp;"'!$B$1"),IF(VLOOKUP(I$1,INDIRECT("'"&amp;$A18&amp;"'!$A$12:$Z$19"),MATCH("Points (Auto-generate)",INDIRECT("'"&amp;$A18&amp;"'!$A$12:$Z$12"),0),0)="","?",VLOOKUP(I$1,INDIRECT("'"&amp;$A18&amp;"'!$A$12:$Z$19"),MATCH("Points (Auto-generate)",INDIRECT("'"&amp;$A18&amp;"'!$A$12:$Z$12"),0),0)),"ER"))</f>
        <v/>
      </c>
      <c r="J18">
        <f>IF($F18=0,"NA",IF($A18=INDIRECT("'"&amp;$A18&amp;"'!$B$1"),IF(VLOOKUP(J$1,INDIRECT("'"&amp;$A18&amp;"'!$A$12:$Z$19"),MATCH("Points (Auto-generate)",INDIRECT("'"&amp;$A18&amp;"'!$A$12:$Z$12"),0),0)="","?",VLOOKUP(J$1,INDIRECT("'"&amp;$A18&amp;"'!$A$12:$Z$19"),MATCH("Points (Auto-generate)",INDIRECT("'"&amp;$A18&amp;"'!$A$12:$Z$12"),0),0)),"ER"))</f>
        <v/>
      </c>
      <c r="K18">
        <f>IF($F18=0,"NA",IF($A18=INDIRECT("'"&amp;$A18&amp;"'!$B$1"),IF(VLOOKUP(K$1,INDIRECT("'"&amp;$A18&amp;"'!$A$12:$Z$19"),MATCH("Points (Auto-generate)",INDIRECT("'"&amp;$A18&amp;"'!$A$12:$Z$12"),0),0)="","?",VLOOKUP(K$1,INDIRECT("'"&amp;$A18&amp;"'!$A$12:$Z$19"),MATCH("Points (Auto-generate)",INDIRECT("'"&amp;$A18&amp;"'!$A$12:$Z$12"),0),0)),"ER"))</f>
        <v/>
      </c>
      <c r="L18">
        <f>IF($F18=0,"NA",IF($A18=INDIRECT("'"&amp;$A18&amp;"'!$B$1"),IF(VLOOKUP(L$1,INDIRECT("'"&amp;$A18&amp;"'!$A$12:$Z$19"),MATCH("Points (Auto-generate)",INDIRECT("'"&amp;$A18&amp;"'!$A$12:$Z$12"),0),0)="","?",VLOOKUP(L$1,INDIRECT("'"&amp;$A18&amp;"'!$A$12:$Z$19"),MATCH("Points (Auto-generate)",INDIRECT("'"&amp;$A18&amp;"'!$A$12:$Z$12"),0),0)),"ER"))</f>
        <v/>
      </c>
      <c r="M18">
        <f>IF($F18=0,"NA",IF($A18=INDIRECT("'"&amp;$A18&amp;"'!$B$1"),IF(VLOOKUP(M$1,INDIRECT("'"&amp;$A18&amp;"'!$A$12:$Z$19"),MATCH("Points (Auto-generate)",INDIRECT("'"&amp;$A18&amp;"'!$A$12:$Z$12"),0),0)="","?",VLOOKUP(M$1,INDIRECT("'"&amp;$A18&amp;"'!$A$12:$Z$19"),MATCH("Points (Auto-generate)",INDIRECT("'"&amp;$A18&amp;"'!$A$12:$Z$12"),0),0)),"ER"))</f>
        <v/>
      </c>
    </row>
    <row r="19">
      <c r="A19" t="inlineStr">
        <is>
          <t>UPD5b</t>
        </is>
      </c>
      <c r="B19">
        <f>VLOOKUP($A19,'PARASTATAL Questions'!$A:$J,3,0)&amp;""</f>
        <v/>
      </c>
      <c r="C19">
        <f>VLOOKUP($A19,'PARASTATAL Questions'!$A:$J,4,0)&amp;""</f>
        <v/>
      </c>
      <c r="D19">
        <f>VLOOKUP($A19,'PARASTATAL Questions'!$A:$J,5,0)&amp;""</f>
        <v/>
      </c>
      <c r="E19">
        <f>VLOOKUP($A19,'PARASTATAL Questions'!$A:$J,7,0)&amp;""</f>
        <v/>
      </c>
      <c r="F19">
        <f>VLOOKUP($A19,'PARASTATAL Questions'!$A:$J,6,0)</f>
        <v/>
      </c>
      <c r="G19">
        <f>IF($F19=0,"NA",IF($A19=INDIRECT("'"&amp;$A19&amp;"'!$B$1"),IF(VLOOKUP(G$1,INDIRECT("'"&amp;$A19&amp;"'!$A$12:$Z$19"),MATCH("Points (Auto-generate)",INDIRECT("'"&amp;$A19&amp;"'!$A$12:$Z$12"),0),0)="","?",VLOOKUP(G$1,INDIRECT("'"&amp;$A19&amp;"'!$A$12:$Z$19"),MATCH("Points (Auto-generate)",INDIRECT("'"&amp;$A19&amp;"'!$A$12:$Z$12"),0),0)),"ER"))</f>
        <v/>
      </c>
      <c r="H19">
        <f>IF($F19=0,"NA",IF($A19=INDIRECT("'"&amp;$A19&amp;"'!$B$1"),IF(VLOOKUP(H$1,INDIRECT("'"&amp;$A19&amp;"'!$A$12:$Z$19"),MATCH("Points (Auto-generate)",INDIRECT("'"&amp;$A19&amp;"'!$A$12:$Z$12"),0),0)="","?",VLOOKUP(H$1,INDIRECT("'"&amp;$A19&amp;"'!$A$12:$Z$19"),MATCH("Points (Auto-generate)",INDIRECT("'"&amp;$A19&amp;"'!$A$12:$Z$12"),0),0)),"ER"))</f>
        <v/>
      </c>
      <c r="I19">
        <f>IF($F19=0,"NA",IF($A19=INDIRECT("'"&amp;$A19&amp;"'!$B$1"),IF(VLOOKUP(I$1,INDIRECT("'"&amp;$A19&amp;"'!$A$12:$Z$19"),MATCH("Points (Auto-generate)",INDIRECT("'"&amp;$A19&amp;"'!$A$12:$Z$12"),0),0)="","?",VLOOKUP(I$1,INDIRECT("'"&amp;$A19&amp;"'!$A$12:$Z$19"),MATCH("Points (Auto-generate)",INDIRECT("'"&amp;$A19&amp;"'!$A$12:$Z$12"),0),0)),"ER"))</f>
        <v/>
      </c>
      <c r="J19">
        <f>IF($F19=0,"NA",IF($A19=INDIRECT("'"&amp;$A19&amp;"'!$B$1"),IF(VLOOKUP(J$1,INDIRECT("'"&amp;$A19&amp;"'!$A$12:$Z$19"),MATCH("Points (Auto-generate)",INDIRECT("'"&amp;$A19&amp;"'!$A$12:$Z$12"),0),0)="","?",VLOOKUP(J$1,INDIRECT("'"&amp;$A19&amp;"'!$A$12:$Z$19"),MATCH("Points (Auto-generate)",INDIRECT("'"&amp;$A19&amp;"'!$A$12:$Z$12"),0),0)),"ER"))</f>
        <v/>
      </c>
      <c r="K19">
        <f>IF($F19=0,"NA",IF($A19=INDIRECT("'"&amp;$A19&amp;"'!$B$1"),IF(VLOOKUP(K$1,INDIRECT("'"&amp;$A19&amp;"'!$A$12:$Z$19"),MATCH("Points (Auto-generate)",INDIRECT("'"&amp;$A19&amp;"'!$A$12:$Z$12"),0),0)="","?",VLOOKUP(K$1,INDIRECT("'"&amp;$A19&amp;"'!$A$12:$Z$19"),MATCH("Points (Auto-generate)",INDIRECT("'"&amp;$A19&amp;"'!$A$12:$Z$12"),0),0)),"ER"))</f>
        <v/>
      </c>
      <c r="L19">
        <f>IF($F19=0,"NA",IF($A19=INDIRECT("'"&amp;$A19&amp;"'!$B$1"),IF(VLOOKUP(L$1,INDIRECT("'"&amp;$A19&amp;"'!$A$12:$Z$19"),MATCH("Points (Auto-generate)",INDIRECT("'"&amp;$A19&amp;"'!$A$12:$Z$12"),0),0)="","?",VLOOKUP(L$1,INDIRECT("'"&amp;$A19&amp;"'!$A$12:$Z$19"),MATCH("Points (Auto-generate)",INDIRECT("'"&amp;$A19&amp;"'!$A$12:$Z$12"),0),0)),"ER"))</f>
        <v/>
      </c>
      <c r="M19">
        <f>IF($F19=0,"NA",IF($A19=INDIRECT("'"&amp;$A19&amp;"'!$B$1"),IF(VLOOKUP(M$1,INDIRECT("'"&amp;$A19&amp;"'!$A$12:$Z$19"),MATCH("Points (Auto-generate)",INDIRECT("'"&amp;$A19&amp;"'!$A$12:$Z$12"),0),0)="","?",VLOOKUP(M$1,INDIRECT("'"&amp;$A19&amp;"'!$A$12:$Z$19"),MATCH("Points (Auto-generate)",INDIRECT("'"&amp;$A19&amp;"'!$A$12:$Z$12"),0),0)),"ER"))</f>
        <v/>
      </c>
    </row>
    <row r="20">
      <c r="A20" s="4" t="inlineStr">
        <is>
          <t>UPD6</t>
        </is>
      </c>
      <c r="B20" s="4">
        <f>VLOOKUP($A20,'PARASTATAL Questions'!$A:$J,3,0)&amp;""</f>
        <v/>
      </c>
      <c r="C20" s="4">
        <f>VLOOKUP($A20,'PARASTATAL Questions'!$A:$J,4,0)&amp;""</f>
        <v/>
      </c>
      <c r="D20" s="4">
        <f>VLOOKUP($A20,'PARASTATAL Questions'!$A:$J,5,0)&amp;""</f>
        <v/>
      </c>
      <c r="E20" s="4">
        <f>VLOOKUP($A20,'PARASTATAL Questions'!$A:$J,7,0)&amp;""</f>
        <v/>
      </c>
      <c r="F20" s="4">
        <f>VLOOKUP($A20,'PARASTATAL Questions'!$A:$J,6,0)</f>
        <v/>
      </c>
      <c r="G20" s="4">
        <f>IF(OR(G21="ER",G22="ER"),"ER",IF(OR(G21="?",G22="?"),"?",IF(AND(G21="NA",G22="NA"),"NA",SUM(G21,G22)/((G21&lt;&gt;"NA")*$F$21+(G22&lt;&gt;"NA")*$F$22)*$F20)))</f>
        <v/>
      </c>
      <c r="H20" s="4">
        <f>IF(OR(H21="ER",H22="ER"),"ER",IF(OR(H21="?",H22="?"),"?",IF(AND(H21="NA",H22="NA"),"NA",SUM(H21,H22)/((H21&lt;&gt;"NA")*$F$21+(H22&lt;&gt;"NA")*$F$22)*$F20)))</f>
        <v/>
      </c>
      <c r="I20" s="4">
        <f>IF(OR(I21="ER",I22="ER"),"ER",IF(OR(I21="?",I22="?"),"?",IF(AND(I21="NA",I22="NA"),"NA",SUM(I21,I22)/((I21&lt;&gt;"NA")*$F$21+(I22&lt;&gt;"NA")*$F$22)*$F20)))</f>
        <v/>
      </c>
      <c r="J20" s="4">
        <f>IF(OR(J21="ER",J22="ER"),"ER",IF(OR(J21="?",J22="?"),"?",IF(AND(J21="NA",J22="NA"),"NA",SUM(J21,J22)/((J21&lt;&gt;"NA")*$F$21+(J22&lt;&gt;"NA")*$F$22)*$F20)))</f>
        <v/>
      </c>
      <c r="K20" s="4">
        <f>IF(OR(K21="ER",K22="ER"),"ER",IF(OR(K21="?",K22="?"),"?",IF(AND(K21="NA",K22="NA"),"NA",SUM(K21,K22)/((K21&lt;&gt;"NA")*$F$21+(K22&lt;&gt;"NA")*$F$22)*$F20)))</f>
        <v/>
      </c>
      <c r="L20" s="4">
        <f>IF(OR(L21="ER",L22="ER"),"ER",IF(OR(L21="?",L22="?"),"?",IF(AND(L21="NA",L22="NA"),"NA",SUM(L21,L22)/((L21&lt;&gt;"NA")*$F$21+(L22&lt;&gt;"NA")*$F$22)*$F20)))</f>
        <v/>
      </c>
      <c r="M20" s="4">
        <f>IF(OR(M21="ER",M22="ER"),"ER",IF(OR(M21="?",M22="?"),"?",IF(AND(M21="NA",M22="NA"),"NA",SUM(M21,M22)/((M21&lt;&gt;"NA")*$F$21+(M22&lt;&gt;"NA")*$F$22)*$F20)))</f>
        <v/>
      </c>
    </row>
    <row r="21">
      <c r="A21" t="inlineStr">
        <is>
          <t>UPD6a</t>
        </is>
      </c>
      <c r="B21">
        <f>VLOOKUP($A21,'PARASTATAL Questions'!$A:$J,3,0)&amp;""</f>
        <v/>
      </c>
      <c r="C21">
        <f>VLOOKUP($A21,'PARASTATAL Questions'!$A:$J,4,0)&amp;""</f>
        <v/>
      </c>
      <c r="D21">
        <f>VLOOKUP($A21,'PARASTATAL Questions'!$A:$J,5,0)&amp;""</f>
        <v/>
      </c>
      <c r="E21">
        <f>VLOOKUP($A21,'PARASTATAL Questions'!$A:$J,7,0)&amp;""</f>
        <v/>
      </c>
      <c r="F21">
        <f>VLOOKUP($A21,'PARASTATAL Questions'!$A:$J,6,0)</f>
        <v/>
      </c>
      <c r="G21">
        <f>IF($F21=0,"NA",IF($A21=INDIRECT("'"&amp;$A21&amp;"'!$B$1"),IF(VLOOKUP(G$1,INDIRECT("'"&amp;$A21&amp;"'!$A$12:$Z$19"),MATCH("Points (Auto-generate)",INDIRECT("'"&amp;$A21&amp;"'!$A$12:$Z$12"),0),0)="","?",VLOOKUP(G$1,INDIRECT("'"&amp;$A21&amp;"'!$A$12:$Z$19"),MATCH("Points (Auto-generate)",INDIRECT("'"&amp;$A21&amp;"'!$A$12:$Z$12"),0),0)),"ER"))</f>
        <v/>
      </c>
      <c r="H21">
        <f>IF($F21=0,"NA",IF($A21=INDIRECT("'"&amp;$A21&amp;"'!$B$1"),IF(VLOOKUP(H$1,INDIRECT("'"&amp;$A21&amp;"'!$A$12:$Z$19"),MATCH("Points (Auto-generate)",INDIRECT("'"&amp;$A21&amp;"'!$A$12:$Z$12"),0),0)="","?",VLOOKUP(H$1,INDIRECT("'"&amp;$A21&amp;"'!$A$12:$Z$19"),MATCH("Points (Auto-generate)",INDIRECT("'"&amp;$A21&amp;"'!$A$12:$Z$12"),0),0)),"ER"))</f>
        <v/>
      </c>
      <c r="I21">
        <f>IF($F21=0,"NA",IF($A21=INDIRECT("'"&amp;$A21&amp;"'!$B$1"),IF(VLOOKUP(I$1,INDIRECT("'"&amp;$A21&amp;"'!$A$12:$Z$19"),MATCH("Points (Auto-generate)",INDIRECT("'"&amp;$A21&amp;"'!$A$12:$Z$12"),0),0)="","?",VLOOKUP(I$1,INDIRECT("'"&amp;$A21&amp;"'!$A$12:$Z$19"),MATCH("Points (Auto-generate)",INDIRECT("'"&amp;$A21&amp;"'!$A$12:$Z$12"),0),0)),"ER"))</f>
        <v/>
      </c>
      <c r="J21">
        <f>IF($F21=0,"NA",IF($A21=INDIRECT("'"&amp;$A21&amp;"'!$B$1"),IF(VLOOKUP(J$1,INDIRECT("'"&amp;$A21&amp;"'!$A$12:$Z$19"),MATCH("Points (Auto-generate)",INDIRECT("'"&amp;$A21&amp;"'!$A$12:$Z$12"),0),0)="","?",VLOOKUP(J$1,INDIRECT("'"&amp;$A21&amp;"'!$A$12:$Z$19"),MATCH("Points (Auto-generate)",INDIRECT("'"&amp;$A21&amp;"'!$A$12:$Z$12"),0),0)),"ER"))</f>
        <v/>
      </c>
      <c r="K21">
        <f>IF($F21=0,"NA",IF($A21=INDIRECT("'"&amp;$A21&amp;"'!$B$1"),IF(VLOOKUP(K$1,INDIRECT("'"&amp;$A21&amp;"'!$A$12:$Z$19"),MATCH("Points (Auto-generate)",INDIRECT("'"&amp;$A21&amp;"'!$A$12:$Z$12"),0),0)="","?",VLOOKUP(K$1,INDIRECT("'"&amp;$A21&amp;"'!$A$12:$Z$19"),MATCH("Points (Auto-generate)",INDIRECT("'"&amp;$A21&amp;"'!$A$12:$Z$12"),0),0)),"ER"))</f>
        <v/>
      </c>
      <c r="L21">
        <f>IF($F21=0,"NA",IF($A21=INDIRECT("'"&amp;$A21&amp;"'!$B$1"),IF(VLOOKUP(L$1,INDIRECT("'"&amp;$A21&amp;"'!$A$12:$Z$19"),MATCH("Points (Auto-generate)",INDIRECT("'"&amp;$A21&amp;"'!$A$12:$Z$12"),0),0)="","?",VLOOKUP(L$1,INDIRECT("'"&amp;$A21&amp;"'!$A$12:$Z$19"),MATCH("Points (Auto-generate)",INDIRECT("'"&amp;$A21&amp;"'!$A$12:$Z$12"),0),0)),"ER"))</f>
        <v/>
      </c>
      <c r="M21">
        <f>IF($F21=0,"NA",IF($A21=INDIRECT("'"&amp;$A21&amp;"'!$B$1"),IF(VLOOKUP(M$1,INDIRECT("'"&amp;$A21&amp;"'!$A$12:$Z$19"),MATCH("Points (Auto-generate)",INDIRECT("'"&amp;$A21&amp;"'!$A$12:$Z$12"),0),0)="","?",VLOOKUP(M$1,INDIRECT("'"&amp;$A21&amp;"'!$A$12:$Z$19"),MATCH("Points (Auto-generate)",INDIRECT("'"&amp;$A21&amp;"'!$A$12:$Z$12"),0),0)),"ER"))</f>
        <v/>
      </c>
    </row>
    <row r="22">
      <c r="A22" t="inlineStr">
        <is>
          <t>UPD6b</t>
        </is>
      </c>
      <c r="B22">
        <f>VLOOKUP($A22,'PARASTATAL Questions'!$A:$J,3,0)&amp;""</f>
        <v/>
      </c>
      <c r="C22">
        <f>VLOOKUP($A22,'PARASTATAL Questions'!$A:$J,4,0)&amp;""</f>
        <v/>
      </c>
      <c r="D22">
        <f>VLOOKUP($A22,'PARASTATAL Questions'!$A:$J,5,0)&amp;""</f>
        <v/>
      </c>
      <c r="E22">
        <f>VLOOKUP($A22,'PARASTATAL Questions'!$A:$J,7,0)&amp;""</f>
        <v/>
      </c>
      <c r="F22">
        <f>VLOOKUP($A22,'PARASTATAL Questions'!$A:$J,6,0)</f>
        <v/>
      </c>
      <c r="G22">
        <f>IF($F22=0,"NA",IF($A22=INDIRECT("'"&amp;$A22&amp;"'!$B$1"),IF(VLOOKUP(G$1,INDIRECT("'"&amp;$A22&amp;"'!$A$12:$Z$19"),MATCH("Points (Auto-generate)",INDIRECT("'"&amp;$A22&amp;"'!$A$12:$Z$12"),0),0)="","?",VLOOKUP(G$1,INDIRECT("'"&amp;$A22&amp;"'!$A$12:$Z$19"),MATCH("Points (Auto-generate)",INDIRECT("'"&amp;$A22&amp;"'!$A$12:$Z$12"),0),0)),"ER"))</f>
        <v/>
      </c>
      <c r="H22">
        <f>IF($F22=0,"NA",IF($A22=INDIRECT("'"&amp;$A22&amp;"'!$B$1"),IF(VLOOKUP(H$1,INDIRECT("'"&amp;$A22&amp;"'!$A$12:$Z$19"),MATCH("Points (Auto-generate)",INDIRECT("'"&amp;$A22&amp;"'!$A$12:$Z$12"),0),0)="","?",VLOOKUP(H$1,INDIRECT("'"&amp;$A22&amp;"'!$A$12:$Z$19"),MATCH("Points (Auto-generate)",INDIRECT("'"&amp;$A22&amp;"'!$A$12:$Z$12"),0),0)),"ER"))</f>
        <v/>
      </c>
      <c r="I22">
        <f>IF($F22=0,"NA",IF($A22=INDIRECT("'"&amp;$A22&amp;"'!$B$1"),IF(VLOOKUP(I$1,INDIRECT("'"&amp;$A22&amp;"'!$A$12:$Z$19"),MATCH("Points (Auto-generate)",INDIRECT("'"&amp;$A22&amp;"'!$A$12:$Z$12"),0),0)="","?",VLOOKUP(I$1,INDIRECT("'"&amp;$A22&amp;"'!$A$12:$Z$19"),MATCH("Points (Auto-generate)",INDIRECT("'"&amp;$A22&amp;"'!$A$12:$Z$12"),0),0)),"ER"))</f>
        <v/>
      </c>
      <c r="J22">
        <f>IF($F22=0,"NA",IF($A22=INDIRECT("'"&amp;$A22&amp;"'!$B$1"),IF(VLOOKUP(J$1,INDIRECT("'"&amp;$A22&amp;"'!$A$12:$Z$19"),MATCH("Points (Auto-generate)",INDIRECT("'"&amp;$A22&amp;"'!$A$12:$Z$12"),0),0)="","?",VLOOKUP(J$1,INDIRECT("'"&amp;$A22&amp;"'!$A$12:$Z$19"),MATCH("Points (Auto-generate)",INDIRECT("'"&amp;$A22&amp;"'!$A$12:$Z$12"),0),0)),"ER"))</f>
        <v/>
      </c>
      <c r="K22">
        <f>IF($F22=0,"NA",IF($A22=INDIRECT("'"&amp;$A22&amp;"'!$B$1"),IF(VLOOKUP(K$1,INDIRECT("'"&amp;$A22&amp;"'!$A$12:$Z$19"),MATCH("Points (Auto-generate)",INDIRECT("'"&amp;$A22&amp;"'!$A$12:$Z$12"),0),0)="","?",VLOOKUP(K$1,INDIRECT("'"&amp;$A22&amp;"'!$A$12:$Z$19"),MATCH("Points (Auto-generate)",INDIRECT("'"&amp;$A22&amp;"'!$A$12:$Z$12"),0),0)),"ER"))</f>
        <v/>
      </c>
      <c r="L22">
        <f>IF($F22=0,"NA",IF($A22=INDIRECT("'"&amp;$A22&amp;"'!$B$1"),IF(VLOOKUP(L$1,INDIRECT("'"&amp;$A22&amp;"'!$A$12:$Z$19"),MATCH("Points (Auto-generate)",INDIRECT("'"&amp;$A22&amp;"'!$A$12:$Z$12"),0),0)="","?",VLOOKUP(L$1,INDIRECT("'"&amp;$A22&amp;"'!$A$12:$Z$19"),MATCH("Points (Auto-generate)",INDIRECT("'"&amp;$A22&amp;"'!$A$12:$Z$12"),0),0)),"ER"))</f>
        <v/>
      </c>
      <c r="M22">
        <f>IF($F22=0,"NA",IF($A22=INDIRECT("'"&amp;$A22&amp;"'!$B$1"),IF(VLOOKUP(M$1,INDIRECT("'"&amp;$A22&amp;"'!$A$12:$Z$19"),MATCH("Points (Auto-generate)",INDIRECT("'"&amp;$A22&amp;"'!$A$12:$Z$12"),0),0)="","?",VLOOKUP(M$1,INDIRECT("'"&amp;$A22&amp;"'!$A$12:$Z$19"),MATCH("Points (Auto-generate)",INDIRECT("'"&amp;$A22&amp;"'!$A$12:$Z$12"),0),0)),"ER"))</f>
        <v/>
      </c>
    </row>
    <row r="23">
      <c r="A23" s="4" t="inlineStr">
        <is>
          <t>DPG1</t>
        </is>
      </c>
      <c r="B23" s="4">
        <f>VLOOKUP($A23,'PARASTATAL Questions'!$A:$J,3,0)&amp;""</f>
        <v/>
      </c>
      <c r="C23" s="4">
        <f>VLOOKUP($A23,'PARASTATAL Questions'!$A:$J,4,0)&amp;""</f>
        <v/>
      </c>
      <c r="D23" s="4">
        <f>VLOOKUP($A23,'PARASTATAL Questions'!$A:$J,5,0)&amp;""</f>
        <v/>
      </c>
      <c r="E23" s="4">
        <f>VLOOKUP($A23,'PARASTATAL Questions'!$A:$J,7,0)&amp;""</f>
        <v/>
      </c>
      <c r="F23" s="4">
        <f>VLOOKUP($A23,'PARASTATAL Questions'!$A:$J,6,0)</f>
        <v/>
      </c>
      <c r="G23" s="4">
        <f>IF(OR(G24="ER",G25="ER"),"ER",IF(OR(G24="?",G25="?"),"?",IF(AND(G24="NA",G25="NA"),"NA",SUM(G24,G25)/((G24&lt;&gt;"NA")*$F$24+(G25&lt;&gt;"NA")*$F$25)*$F23)))</f>
        <v/>
      </c>
      <c r="H23" s="4">
        <f>IF(OR(H24="ER",H25="ER"),"ER",IF(OR(H24="?",H25="?"),"?",IF(AND(H24="NA",H25="NA"),"NA",SUM(H24,H25)/((H24&lt;&gt;"NA")*$F$24+(H25&lt;&gt;"NA")*$F$25)*$F23)))</f>
        <v/>
      </c>
      <c r="I23" s="4">
        <f>IF(OR(I24="ER",I25="ER"),"ER",IF(OR(I24="?",I25="?"),"?",IF(AND(I24="NA",I25="NA"),"NA",SUM(I24,I25)/((I24&lt;&gt;"NA")*$F$24+(I25&lt;&gt;"NA")*$F$25)*$F23)))</f>
        <v/>
      </c>
      <c r="J23" s="4">
        <f>IF(OR(J24="ER",J25="ER"),"ER",IF(OR(J24="?",J25="?"),"?",IF(AND(J24="NA",J25="NA"),"NA",SUM(J24,J25)/((J24&lt;&gt;"NA")*$F$24+(J25&lt;&gt;"NA")*$F$25)*$F23)))</f>
        <v/>
      </c>
      <c r="K23" s="4">
        <f>IF(OR(K24="ER",K25="ER"),"ER",IF(OR(K24="?",K25="?"),"?",IF(AND(K24="NA",K25="NA"),"NA",SUM(K24,K25)/((K24&lt;&gt;"NA")*$F$24+(K25&lt;&gt;"NA")*$F$25)*$F23)))</f>
        <v/>
      </c>
      <c r="L23" s="4">
        <f>IF(OR(L24="ER",L25="ER"),"ER",IF(OR(L24="?",L25="?"),"?",IF(AND(L24="NA",L25="NA"),"NA",SUM(L24,L25)/((L24&lt;&gt;"NA")*$F$24+(L25&lt;&gt;"NA")*$F$25)*$F23)))</f>
        <v/>
      </c>
      <c r="M23" s="4">
        <f>IF(OR(M24="ER",M25="ER"),"ER",IF(OR(M24="?",M25="?"),"?",IF(AND(M24="NA",M25="NA"),"NA",SUM(M24,M25)/((M24&lt;&gt;"NA")*$F$24+(M25&lt;&gt;"NA")*$F$25)*$F23)))</f>
        <v/>
      </c>
    </row>
    <row r="24">
      <c r="A24" t="inlineStr">
        <is>
          <t>DPG1a</t>
        </is>
      </c>
      <c r="B24">
        <f>VLOOKUP($A24,'PARASTATAL Questions'!$A:$J,3,0)&amp;""</f>
        <v/>
      </c>
      <c r="C24">
        <f>VLOOKUP($A24,'PARASTATAL Questions'!$A:$J,4,0)&amp;""</f>
        <v/>
      </c>
      <c r="D24">
        <f>VLOOKUP($A24,'PARASTATAL Questions'!$A:$J,5,0)&amp;""</f>
        <v/>
      </c>
      <c r="E24">
        <f>VLOOKUP($A24,'PARASTATAL Questions'!$A:$J,7,0)&amp;""</f>
        <v/>
      </c>
      <c r="F24">
        <f>VLOOKUP($A24,'PARASTATAL Questions'!$A:$J,6,0)</f>
        <v/>
      </c>
      <c r="G24">
        <f>IF($F24=0,"NA",IF($A24=INDIRECT("'"&amp;$A24&amp;"'!$B$1"),IF(VLOOKUP(G$1,INDIRECT("'"&amp;$A24&amp;"'!$A$12:$Z$19"),MATCH("Points (Auto-generate)",INDIRECT("'"&amp;$A24&amp;"'!$A$12:$Z$12"),0),0)="","?",VLOOKUP(G$1,INDIRECT("'"&amp;$A24&amp;"'!$A$12:$Z$19"),MATCH("Points (Auto-generate)",INDIRECT("'"&amp;$A24&amp;"'!$A$12:$Z$12"),0),0)),"ER"))</f>
        <v/>
      </c>
      <c r="H24">
        <f>IF($F24=0,"NA",IF($A24=INDIRECT("'"&amp;$A24&amp;"'!$B$1"),IF(VLOOKUP(H$1,INDIRECT("'"&amp;$A24&amp;"'!$A$12:$Z$19"),MATCH("Points (Auto-generate)",INDIRECT("'"&amp;$A24&amp;"'!$A$12:$Z$12"),0),0)="","?",VLOOKUP(H$1,INDIRECT("'"&amp;$A24&amp;"'!$A$12:$Z$19"),MATCH("Points (Auto-generate)",INDIRECT("'"&amp;$A24&amp;"'!$A$12:$Z$12"),0),0)),"ER"))</f>
        <v/>
      </c>
      <c r="I24">
        <f>IF($F24=0,"NA",IF($A24=INDIRECT("'"&amp;$A24&amp;"'!$B$1"),IF(VLOOKUP(I$1,INDIRECT("'"&amp;$A24&amp;"'!$A$12:$Z$19"),MATCH("Points (Auto-generate)",INDIRECT("'"&amp;$A24&amp;"'!$A$12:$Z$12"),0),0)="","?",VLOOKUP(I$1,INDIRECT("'"&amp;$A24&amp;"'!$A$12:$Z$19"),MATCH("Points (Auto-generate)",INDIRECT("'"&amp;$A24&amp;"'!$A$12:$Z$12"),0),0)),"ER"))</f>
        <v/>
      </c>
      <c r="J24">
        <f>IF($F24=0,"NA",IF($A24=INDIRECT("'"&amp;$A24&amp;"'!$B$1"),IF(VLOOKUP(J$1,INDIRECT("'"&amp;$A24&amp;"'!$A$12:$Z$19"),MATCH("Points (Auto-generate)",INDIRECT("'"&amp;$A24&amp;"'!$A$12:$Z$12"),0),0)="","?",VLOOKUP(J$1,INDIRECT("'"&amp;$A24&amp;"'!$A$12:$Z$19"),MATCH("Points (Auto-generate)",INDIRECT("'"&amp;$A24&amp;"'!$A$12:$Z$12"),0),0)),"ER"))</f>
        <v/>
      </c>
      <c r="K24">
        <f>IF($F24=0,"NA",IF($A24=INDIRECT("'"&amp;$A24&amp;"'!$B$1"),IF(VLOOKUP(K$1,INDIRECT("'"&amp;$A24&amp;"'!$A$12:$Z$19"),MATCH("Points (Auto-generate)",INDIRECT("'"&amp;$A24&amp;"'!$A$12:$Z$12"),0),0)="","?",VLOOKUP(K$1,INDIRECT("'"&amp;$A24&amp;"'!$A$12:$Z$19"),MATCH("Points (Auto-generate)",INDIRECT("'"&amp;$A24&amp;"'!$A$12:$Z$12"),0),0)),"ER"))</f>
        <v/>
      </c>
      <c r="L24">
        <f>IF($F24=0,"NA",IF($A24=INDIRECT("'"&amp;$A24&amp;"'!$B$1"),IF(VLOOKUP(L$1,INDIRECT("'"&amp;$A24&amp;"'!$A$12:$Z$19"),MATCH("Points (Auto-generate)",INDIRECT("'"&amp;$A24&amp;"'!$A$12:$Z$12"),0),0)="","?",VLOOKUP(L$1,INDIRECT("'"&amp;$A24&amp;"'!$A$12:$Z$19"),MATCH("Points (Auto-generate)",INDIRECT("'"&amp;$A24&amp;"'!$A$12:$Z$12"),0),0)),"ER"))</f>
        <v/>
      </c>
      <c r="M24">
        <f>IF($F24=0,"NA",IF($A24=INDIRECT("'"&amp;$A24&amp;"'!$B$1"),IF(VLOOKUP(M$1,INDIRECT("'"&amp;$A24&amp;"'!$A$12:$Z$19"),MATCH("Points (Auto-generate)",INDIRECT("'"&amp;$A24&amp;"'!$A$12:$Z$12"),0),0)="","?",VLOOKUP(M$1,INDIRECT("'"&amp;$A24&amp;"'!$A$12:$Z$19"),MATCH("Points (Auto-generate)",INDIRECT("'"&amp;$A24&amp;"'!$A$12:$Z$12"),0),0)),"ER"))</f>
        <v/>
      </c>
    </row>
    <row r="25">
      <c r="A25" t="inlineStr">
        <is>
          <t>DPG1b</t>
        </is>
      </c>
      <c r="B25">
        <f>VLOOKUP($A25,'PARASTATAL Questions'!$A:$J,3,0)&amp;""</f>
        <v/>
      </c>
      <c r="C25">
        <f>VLOOKUP($A25,'PARASTATAL Questions'!$A:$J,4,0)&amp;""</f>
        <v/>
      </c>
      <c r="D25">
        <f>VLOOKUP($A25,'PARASTATAL Questions'!$A:$J,5,0)&amp;""</f>
        <v/>
      </c>
      <c r="E25">
        <f>VLOOKUP($A25,'PARASTATAL Questions'!$A:$J,7,0)&amp;""</f>
        <v/>
      </c>
      <c r="F25">
        <f>VLOOKUP($A25,'PARASTATAL Questions'!$A:$J,6,0)</f>
        <v/>
      </c>
      <c r="G25">
        <f>IF($F25=0,"NA",IF($A25=INDIRECT("'"&amp;$A25&amp;"'!$B$1"),IF(VLOOKUP(G$1,INDIRECT("'"&amp;$A25&amp;"'!$A$12:$Z$19"),MATCH("Points (Auto-generate)",INDIRECT("'"&amp;$A25&amp;"'!$A$12:$Z$12"),0),0)="","?",VLOOKUP(G$1,INDIRECT("'"&amp;$A25&amp;"'!$A$12:$Z$19"),MATCH("Points (Auto-generate)",INDIRECT("'"&amp;$A25&amp;"'!$A$12:$Z$12"),0),0)),"ER"))</f>
        <v/>
      </c>
      <c r="H25">
        <f>IF($F25=0,"NA",IF($A25=INDIRECT("'"&amp;$A25&amp;"'!$B$1"),IF(VLOOKUP(H$1,INDIRECT("'"&amp;$A25&amp;"'!$A$12:$Z$19"),MATCH("Points (Auto-generate)",INDIRECT("'"&amp;$A25&amp;"'!$A$12:$Z$12"),0),0)="","?",VLOOKUP(H$1,INDIRECT("'"&amp;$A25&amp;"'!$A$12:$Z$19"),MATCH("Points (Auto-generate)",INDIRECT("'"&amp;$A25&amp;"'!$A$12:$Z$12"),0),0)),"ER"))</f>
        <v/>
      </c>
      <c r="I25">
        <f>IF($F25=0,"NA",IF($A25=INDIRECT("'"&amp;$A25&amp;"'!$B$1"),IF(VLOOKUP(I$1,INDIRECT("'"&amp;$A25&amp;"'!$A$12:$Z$19"),MATCH("Points (Auto-generate)",INDIRECT("'"&amp;$A25&amp;"'!$A$12:$Z$12"),0),0)="","?",VLOOKUP(I$1,INDIRECT("'"&amp;$A25&amp;"'!$A$12:$Z$19"),MATCH("Points (Auto-generate)",INDIRECT("'"&amp;$A25&amp;"'!$A$12:$Z$12"),0),0)),"ER"))</f>
        <v/>
      </c>
      <c r="J25">
        <f>IF($F25=0,"NA",IF($A25=INDIRECT("'"&amp;$A25&amp;"'!$B$1"),IF(VLOOKUP(J$1,INDIRECT("'"&amp;$A25&amp;"'!$A$12:$Z$19"),MATCH("Points (Auto-generate)",INDIRECT("'"&amp;$A25&amp;"'!$A$12:$Z$12"),0),0)="","?",VLOOKUP(J$1,INDIRECT("'"&amp;$A25&amp;"'!$A$12:$Z$19"),MATCH("Points (Auto-generate)",INDIRECT("'"&amp;$A25&amp;"'!$A$12:$Z$12"),0),0)),"ER"))</f>
        <v/>
      </c>
      <c r="K25">
        <f>IF($F25=0,"NA",IF($A25=INDIRECT("'"&amp;$A25&amp;"'!$B$1"),IF(VLOOKUP(K$1,INDIRECT("'"&amp;$A25&amp;"'!$A$12:$Z$19"),MATCH("Points (Auto-generate)",INDIRECT("'"&amp;$A25&amp;"'!$A$12:$Z$12"),0),0)="","?",VLOOKUP(K$1,INDIRECT("'"&amp;$A25&amp;"'!$A$12:$Z$19"),MATCH("Points (Auto-generate)",INDIRECT("'"&amp;$A25&amp;"'!$A$12:$Z$12"),0),0)),"ER"))</f>
        <v/>
      </c>
      <c r="L25">
        <f>IF($F25=0,"NA",IF($A25=INDIRECT("'"&amp;$A25&amp;"'!$B$1"),IF(VLOOKUP(L$1,INDIRECT("'"&amp;$A25&amp;"'!$A$12:$Z$19"),MATCH("Points (Auto-generate)",INDIRECT("'"&amp;$A25&amp;"'!$A$12:$Z$12"),0),0)="","?",VLOOKUP(L$1,INDIRECT("'"&amp;$A25&amp;"'!$A$12:$Z$19"),MATCH("Points (Auto-generate)",INDIRECT("'"&amp;$A25&amp;"'!$A$12:$Z$12"),0),0)),"ER"))</f>
        <v/>
      </c>
      <c r="M25">
        <f>IF($F25=0,"NA",IF($A25=INDIRECT("'"&amp;$A25&amp;"'!$B$1"),IF(VLOOKUP(M$1,INDIRECT("'"&amp;$A25&amp;"'!$A$12:$Z$19"),MATCH("Points (Auto-generate)",INDIRECT("'"&amp;$A25&amp;"'!$A$12:$Z$12"),0),0)="","?",VLOOKUP(M$1,INDIRECT("'"&amp;$A25&amp;"'!$A$12:$Z$19"),MATCH("Points (Auto-generate)",INDIRECT("'"&amp;$A25&amp;"'!$A$12:$Z$12"),0),0)),"ER"))</f>
        <v/>
      </c>
    </row>
    <row r="26">
      <c r="A26" s="4" t="inlineStr">
        <is>
          <t>DPG2</t>
        </is>
      </c>
      <c r="B26" s="4">
        <f>VLOOKUP($A26,'PARASTATAL Questions'!$A:$J,3,0)&amp;""</f>
        <v/>
      </c>
      <c r="C26" s="4">
        <f>VLOOKUP($A26,'PARASTATAL Questions'!$A:$J,4,0)&amp;""</f>
        <v/>
      </c>
      <c r="D26" s="4">
        <f>VLOOKUP($A26,'PARASTATAL Questions'!$A:$J,5,0)&amp;""</f>
        <v/>
      </c>
      <c r="E26" s="4">
        <f>VLOOKUP($A26,'PARASTATAL Questions'!$A:$J,7,0)&amp;""</f>
        <v/>
      </c>
      <c r="F26" s="4">
        <f>VLOOKUP($A26,'PARASTATAL Questions'!$A:$J,6,0)</f>
        <v/>
      </c>
      <c r="G26" s="4">
        <f>IF(OR(G27="ER",G28="ER"),"ER",IF(OR(G27="?",G28="?"),"?",IF(AND(G27="NA",G28="NA"),"NA",SUM(G27,G28)/((G27&lt;&gt;"NA")*$F$27+(G28&lt;&gt;"NA")*$F$28)*$F26)))</f>
        <v/>
      </c>
      <c r="H26" s="4">
        <f>IF(OR(H27="ER",H28="ER"),"ER",IF(OR(H27="?",H28="?"),"?",IF(AND(H27="NA",H28="NA"),"NA",SUM(H27,H28)/((H27&lt;&gt;"NA")*$F$27+(H28&lt;&gt;"NA")*$F$28)*$F26)))</f>
        <v/>
      </c>
      <c r="I26" s="4">
        <f>IF(OR(I27="ER",I28="ER"),"ER",IF(OR(I27="?",I28="?"),"?",IF(AND(I27="NA",I28="NA"),"NA",SUM(I27,I28)/((I27&lt;&gt;"NA")*$F$27+(I28&lt;&gt;"NA")*$F$28)*$F26)))</f>
        <v/>
      </c>
      <c r="J26" s="4">
        <f>IF(OR(J27="ER",J28="ER"),"ER",IF(OR(J27="?",J28="?"),"?",IF(AND(J27="NA",J28="NA"),"NA",SUM(J27,J28)/((J27&lt;&gt;"NA")*$F$27+(J28&lt;&gt;"NA")*$F$28)*$F26)))</f>
        <v/>
      </c>
      <c r="K26" s="4">
        <f>IF(OR(K27="ER",K28="ER"),"ER",IF(OR(K27="?",K28="?"),"?",IF(AND(K27="NA",K28="NA"),"NA",SUM(K27,K28)/((K27&lt;&gt;"NA")*$F$27+(K28&lt;&gt;"NA")*$F$28)*$F26)))</f>
        <v/>
      </c>
      <c r="L26" s="4">
        <f>IF(OR(L27="ER",L28="ER"),"ER",IF(OR(L27="?",L28="?"),"?",IF(AND(L27="NA",L28="NA"),"NA",SUM(L27,L28)/((L27&lt;&gt;"NA")*$F$27+(L28&lt;&gt;"NA")*$F$28)*$F26)))</f>
        <v/>
      </c>
      <c r="M26" s="4">
        <f>IF(OR(M27="ER",M28="ER"),"ER",IF(OR(M27="?",M28="?"),"?",IF(AND(M27="NA",M28="NA"),"NA",SUM(M27,M28)/((M27&lt;&gt;"NA")*$F$27+(M28&lt;&gt;"NA")*$F$28)*$F26)))</f>
        <v/>
      </c>
    </row>
    <row r="27">
      <c r="A27" t="inlineStr">
        <is>
          <t>DPG2a</t>
        </is>
      </c>
      <c r="B27">
        <f>VLOOKUP($A27,'PARASTATAL Questions'!$A:$J,3,0)&amp;""</f>
        <v/>
      </c>
      <c r="C27">
        <f>VLOOKUP($A27,'PARASTATAL Questions'!$A:$J,4,0)&amp;""</f>
        <v/>
      </c>
      <c r="D27">
        <f>VLOOKUP($A27,'PARASTATAL Questions'!$A:$J,5,0)&amp;""</f>
        <v/>
      </c>
      <c r="E27">
        <f>VLOOKUP($A27,'PARASTATAL Questions'!$A:$J,7,0)&amp;""</f>
        <v/>
      </c>
      <c r="F27">
        <f>VLOOKUP($A27,'PARASTATAL Questions'!$A:$J,6,0)</f>
        <v/>
      </c>
      <c r="G27">
        <f>IF($F27=0,"NA",IF($A27=INDIRECT("'"&amp;$A27&amp;"'!$B$1"),IF(VLOOKUP(G$1,INDIRECT("'"&amp;$A27&amp;"'!$A$12:$Z$19"),MATCH("Points (Auto-generate)",INDIRECT("'"&amp;$A27&amp;"'!$A$12:$Z$12"),0),0)="","?",VLOOKUP(G$1,INDIRECT("'"&amp;$A27&amp;"'!$A$12:$Z$19"),MATCH("Points (Auto-generate)",INDIRECT("'"&amp;$A27&amp;"'!$A$12:$Z$12"),0),0)),"ER"))</f>
        <v/>
      </c>
      <c r="H27">
        <f>IF($F27=0,"NA",IF($A27=INDIRECT("'"&amp;$A27&amp;"'!$B$1"),IF(VLOOKUP(H$1,INDIRECT("'"&amp;$A27&amp;"'!$A$12:$Z$19"),MATCH("Points (Auto-generate)",INDIRECT("'"&amp;$A27&amp;"'!$A$12:$Z$12"),0),0)="","?",VLOOKUP(H$1,INDIRECT("'"&amp;$A27&amp;"'!$A$12:$Z$19"),MATCH("Points (Auto-generate)",INDIRECT("'"&amp;$A27&amp;"'!$A$12:$Z$12"),0),0)),"ER"))</f>
        <v/>
      </c>
      <c r="I27">
        <f>IF($F27=0,"NA",IF($A27=INDIRECT("'"&amp;$A27&amp;"'!$B$1"),IF(VLOOKUP(I$1,INDIRECT("'"&amp;$A27&amp;"'!$A$12:$Z$19"),MATCH("Points (Auto-generate)",INDIRECT("'"&amp;$A27&amp;"'!$A$12:$Z$12"),0),0)="","?",VLOOKUP(I$1,INDIRECT("'"&amp;$A27&amp;"'!$A$12:$Z$19"),MATCH("Points (Auto-generate)",INDIRECT("'"&amp;$A27&amp;"'!$A$12:$Z$12"),0),0)),"ER"))</f>
        <v/>
      </c>
      <c r="J27">
        <f>IF($F27=0,"NA",IF($A27=INDIRECT("'"&amp;$A27&amp;"'!$B$1"),IF(VLOOKUP(J$1,INDIRECT("'"&amp;$A27&amp;"'!$A$12:$Z$19"),MATCH("Points (Auto-generate)",INDIRECT("'"&amp;$A27&amp;"'!$A$12:$Z$12"),0),0)="","?",VLOOKUP(J$1,INDIRECT("'"&amp;$A27&amp;"'!$A$12:$Z$19"),MATCH("Points (Auto-generate)",INDIRECT("'"&amp;$A27&amp;"'!$A$12:$Z$12"),0),0)),"ER"))</f>
        <v/>
      </c>
      <c r="K27">
        <f>IF($F27=0,"NA",IF($A27=INDIRECT("'"&amp;$A27&amp;"'!$B$1"),IF(VLOOKUP(K$1,INDIRECT("'"&amp;$A27&amp;"'!$A$12:$Z$19"),MATCH("Points (Auto-generate)",INDIRECT("'"&amp;$A27&amp;"'!$A$12:$Z$12"),0),0)="","?",VLOOKUP(K$1,INDIRECT("'"&amp;$A27&amp;"'!$A$12:$Z$19"),MATCH("Points (Auto-generate)",INDIRECT("'"&amp;$A27&amp;"'!$A$12:$Z$12"),0),0)),"ER"))</f>
        <v/>
      </c>
      <c r="L27">
        <f>IF($F27=0,"NA",IF($A27=INDIRECT("'"&amp;$A27&amp;"'!$B$1"),IF(VLOOKUP(L$1,INDIRECT("'"&amp;$A27&amp;"'!$A$12:$Z$19"),MATCH("Points (Auto-generate)",INDIRECT("'"&amp;$A27&amp;"'!$A$12:$Z$12"),0),0)="","?",VLOOKUP(L$1,INDIRECT("'"&amp;$A27&amp;"'!$A$12:$Z$19"),MATCH("Points (Auto-generate)",INDIRECT("'"&amp;$A27&amp;"'!$A$12:$Z$12"),0),0)),"ER"))</f>
        <v/>
      </c>
      <c r="M27">
        <f>IF($F27=0,"NA",IF($A27=INDIRECT("'"&amp;$A27&amp;"'!$B$1"),IF(VLOOKUP(M$1,INDIRECT("'"&amp;$A27&amp;"'!$A$12:$Z$19"),MATCH("Points (Auto-generate)",INDIRECT("'"&amp;$A27&amp;"'!$A$12:$Z$12"),0),0)="","?",VLOOKUP(M$1,INDIRECT("'"&amp;$A27&amp;"'!$A$12:$Z$19"),MATCH("Points (Auto-generate)",INDIRECT("'"&amp;$A27&amp;"'!$A$12:$Z$12"),0),0)),"ER"))</f>
        <v/>
      </c>
    </row>
    <row r="28">
      <c r="A28" t="inlineStr">
        <is>
          <t>DPG2b</t>
        </is>
      </c>
      <c r="B28">
        <f>VLOOKUP($A28,'PARASTATAL Questions'!$A:$J,3,0)&amp;""</f>
        <v/>
      </c>
      <c r="C28">
        <f>VLOOKUP($A28,'PARASTATAL Questions'!$A:$J,4,0)&amp;""</f>
        <v/>
      </c>
      <c r="D28">
        <f>VLOOKUP($A28,'PARASTATAL Questions'!$A:$J,5,0)&amp;""</f>
        <v/>
      </c>
      <c r="E28">
        <f>VLOOKUP($A28,'PARASTATAL Questions'!$A:$J,7,0)&amp;""</f>
        <v/>
      </c>
      <c r="F28">
        <f>VLOOKUP($A28,'PARASTATAL Questions'!$A:$J,6,0)</f>
        <v/>
      </c>
      <c r="G28">
        <f>IF($F28=0,"NA",IF($A28=INDIRECT("'"&amp;$A28&amp;"'!$B$1"),IF(VLOOKUP(G$1,INDIRECT("'"&amp;$A28&amp;"'!$A$12:$Z$19"),MATCH("Points (Auto-generate)",INDIRECT("'"&amp;$A28&amp;"'!$A$12:$Z$12"),0),0)="","?",VLOOKUP(G$1,INDIRECT("'"&amp;$A28&amp;"'!$A$12:$Z$19"),MATCH("Points (Auto-generate)",INDIRECT("'"&amp;$A28&amp;"'!$A$12:$Z$12"),0),0)),"ER"))</f>
        <v/>
      </c>
      <c r="H28">
        <f>IF($F28=0,"NA",IF($A28=INDIRECT("'"&amp;$A28&amp;"'!$B$1"),IF(VLOOKUP(H$1,INDIRECT("'"&amp;$A28&amp;"'!$A$12:$Z$19"),MATCH("Points (Auto-generate)",INDIRECT("'"&amp;$A28&amp;"'!$A$12:$Z$12"),0),0)="","?",VLOOKUP(H$1,INDIRECT("'"&amp;$A28&amp;"'!$A$12:$Z$19"),MATCH("Points (Auto-generate)",INDIRECT("'"&amp;$A28&amp;"'!$A$12:$Z$12"),0),0)),"ER"))</f>
        <v/>
      </c>
      <c r="I28">
        <f>IF($F28=0,"NA",IF($A28=INDIRECT("'"&amp;$A28&amp;"'!$B$1"),IF(VLOOKUP(I$1,INDIRECT("'"&amp;$A28&amp;"'!$A$12:$Z$19"),MATCH("Points (Auto-generate)",INDIRECT("'"&amp;$A28&amp;"'!$A$12:$Z$12"),0),0)="","?",VLOOKUP(I$1,INDIRECT("'"&amp;$A28&amp;"'!$A$12:$Z$19"),MATCH("Points (Auto-generate)",INDIRECT("'"&amp;$A28&amp;"'!$A$12:$Z$12"),0),0)),"ER"))</f>
        <v/>
      </c>
      <c r="J28">
        <f>IF($F28=0,"NA",IF($A28=INDIRECT("'"&amp;$A28&amp;"'!$B$1"),IF(VLOOKUP(J$1,INDIRECT("'"&amp;$A28&amp;"'!$A$12:$Z$19"),MATCH("Points (Auto-generate)",INDIRECT("'"&amp;$A28&amp;"'!$A$12:$Z$12"),0),0)="","?",VLOOKUP(J$1,INDIRECT("'"&amp;$A28&amp;"'!$A$12:$Z$19"),MATCH("Points (Auto-generate)",INDIRECT("'"&amp;$A28&amp;"'!$A$12:$Z$12"),0),0)),"ER"))</f>
        <v/>
      </c>
      <c r="K28">
        <f>IF($F28=0,"NA",IF($A28=INDIRECT("'"&amp;$A28&amp;"'!$B$1"),IF(VLOOKUP(K$1,INDIRECT("'"&amp;$A28&amp;"'!$A$12:$Z$19"),MATCH("Points (Auto-generate)",INDIRECT("'"&amp;$A28&amp;"'!$A$12:$Z$12"),0),0)="","?",VLOOKUP(K$1,INDIRECT("'"&amp;$A28&amp;"'!$A$12:$Z$19"),MATCH("Points (Auto-generate)",INDIRECT("'"&amp;$A28&amp;"'!$A$12:$Z$12"),0),0)),"ER"))</f>
        <v/>
      </c>
      <c r="L28">
        <f>IF($F28=0,"NA",IF($A28=INDIRECT("'"&amp;$A28&amp;"'!$B$1"),IF(VLOOKUP(L$1,INDIRECT("'"&amp;$A28&amp;"'!$A$12:$Z$19"),MATCH("Points (Auto-generate)",INDIRECT("'"&amp;$A28&amp;"'!$A$12:$Z$12"),0),0)="","?",VLOOKUP(L$1,INDIRECT("'"&amp;$A28&amp;"'!$A$12:$Z$19"),MATCH("Points (Auto-generate)",INDIRECT("'"&amp;$A28&amp;"'!$A$12:$Z$12"),0),0)),"ER"))</f>
        <v/>
      </c>
      <c r="M28">
        <f>IF($F28=0,"NA",IF($A28=INDIRECT("'"&amp;$A28&amp;"'!$B$1"),IF(VLOOKUP(M$1,INDIRECT("'"&amp;$A28&amp;"'!$A$12:$Z$19"),MATCH("Points (Auto-generate)",INDIRECT("'"&amp;$A28&amp;"'!$A$12:$Z$12"),0),0)="","?",VLOOKUP(M$1,INDIRECT("'"&amp;$A28&amp;"'!$A$12:$Z$19"),MATCH("Points (Auto-generate)",INDIRECT("'"&amp;$A28&amp;"'!$A$12:$Z$12"),0),0)),"ER"))</f>
        <v/>
      </c>
    </row>
    <row r="29">
      <c r="A29" s="4" t="inlineStr">
        <is>
          <t>DPG4</t>
        </is>
      </c>
      <c r="B29" s="4">
        <f>VLOOKUP($A29,'PARASTATAL Questions'!$A:$J,3,0)&amp;""</f>
        <v/>
      </c>
      <c r="C29" s="4">
        <f>VLOOKUP($A29,'PARASTATAL Questions'!$A:$J,4,0)&amp;""</f>
        <v/>
      </c>
      <c r="D29" s="4">
        <f>VLOOKUP($A29,'PARASTATAL Questions'!$A:$J,5,0)&amp;""</f>
        <v/>
      </c>
      <c r="E29" s="4">
        <f>VLOOKUP($A29,'PARASTATAL Questions'!$A:$J,7,0)&amp;""</f>
        <v/>
      </c>
      <c r="F29" s="4">
        <f>VLOOKUP($A29,'PARASTATAL Questions'!$A:$J,6,0)</f>
        <v/>
      </c>
      <c r="G29" s="4">
        <f>IF($F29=0,"NA",IF($A29=INDIRECT("'"&amp;$A29&amp;"'!$B$1"),IF(VLOOKUP(G$1,INDIRECT("'"&amp;$A29&amp;"'!$A$12:$Z$19"),MATCH("Points (Auto-generate)",INDIRECT("'"&amp;$A29&amp;"'!$A$12:$Z$12"),0),0)="","?",VLOOKUP(G$1,INDIRECT("'"&amp;$A29&amp;"'!$A$12:$Z$19"),MATCH("Points (Auto-generate)",INDIRECT("'"&amp;$A29&amp;"'!$A$12:$Z$12"),0),0)),"ER"))</f>
        <v/>
      </c>
      <c r="H29" s="4">
        <f>IF($F29=0,"NA",IF($A29=INDIRECT("'"&amp;$A29&amp;"'!$B$1"),IF(VLOOKUP(H$1,INDIRECT("'"&amp;$A29&amp;"'!$A$12:$Z$19"),MATCH("Points (Auto-generate)",INDIRECT("'"&amp;$A29&amp;"'!$A$12:$Z$12"),0),0)="","?",VLOOKUP(H$1,INDIRECT("'"&amp;$A29&amp;"'!$A$12:$Z$19"),MATCH("Points (Auto-generate)",INDIRECT("'"&amp;$A29&amp;"'!$A$12:$Z$12"),0),0)),"ER"))</f>
        <v/>
      </c>
      <c r="I29" s="4">
        <f>IF($F29=0,"NA",IF($A29=INDIRECT("'"&amp;$A29&amp;"'!$B$1"),IF(VLOOKUP(I$1,INDIRECT("'"&amp;$A29&amp;"'!$A$12:$Z$19"),MATCH("Points (Auto-generate)",INDIRECT("'"&amp;$A29&amp;"'!$A$12:$Z$12"),0),0)="","?",VLOOKUP(I$1,INDIRECT("'"&amp;$A29&amp;"'!$A$12:$Z$19"),MATCH("Points (Auto-generate)",INDIRECT("'"&amp;$A29&amp;"'!$A$12:$Z$12"),0),0)),"ER"))</f>
        <v/>
      </c>
      <c r="J29" s="4">
        <f>IF($F29=0,"NA",IF($A29=INDIRECT("'"&amp;$A29&amp;"'!$B$1"),IF(VLOOKUP(J$1,INDIRECT("'"&amp;$A29&amp;"'!$A$12:$Z$19"),MATCH("Points (Auto-generate)",INDIRECT("'"&amp;$A29&amp;"'!$A$12:$Z$12"),0),0)="","?",VLOOKUP(J$1,INDIRECT("'"&amp;$A29&amp;"'!$A$12:$Z$19"),MATCH("Points (Auto-generate)",INDIRECT("'"&amp;$A29&amp;"'!$A$12:$Z$12"),0),0)),"ER"))</f>
        <v/>
      </c>
      <c r="K29" s="4">
        <f>IF($F29=0,"NA",IF($A29=INDIRECT("'"&amp;$A29&amp;"'!$B$1"),IF(VLOOKUP(K$1,INDIRECT("'"&amp;$A29&amp;"'!$A$12:$Z$19"),MATCH("Points (Auto-generate)",INDIRECT("'"&amp;$A29&amp;"'!$A$12:$Z$12"),0),0)="","?",VLOOKUP(K$1,INDIRECT("'"&amp;$A29&amp;"'!$A$12:$Z$19"),MATCH("Points (Auto-generate)",INDIRECT("'"&amp;$A29&amp;"'!$A$12:$Z$12"),0),0)),"ER"))</f>
        <v/>
      </c>
      <c r="L29" s="4">
        <f>IF($F29=0,"NA",IF($A29=INDIRECT("'"&amp;$A29&amp;"'!$B$1"),IF(VLOOKUP(L$1,INDIRECT("'"&amp;$A29&amp;"'!$A$12:$Z$19"),MATCH("Points (Auto-generate)",INDIRECT("'"&amp;$A29&amp;"'!$A$12:$Z$12"),0),0)="","?",VLOOKUP(L$1,INDIRECT("'"&amp;$A29&amp;"'!$A$12:$Z$19"),MATCH("Points (Auto-generate)",INDIRECT("'"&amp;$A29&amp;"'!$A$12:$Z$12"),0),0)),"ER"))</f>
        <v/>
      </c>
      <c r="M29" s="4">
        <f>IF($F29=0,"NA",IF($A29=INDIRECT("'"&amp;$A29&amp;"'!$B$1"),IF(VLOOKUP(M$1,INDIRECT("'"&amp;$A29&amp;"'!$A$12:$Z$19"),MATCH("Points (Auto-generate)",INDIRECT("'"&amp;$A29&amp;"'!$A$12:$Z$12"),0),0)="","?",VLOOKUP(M$1,INDIRECT("'"&amp;$A29&amp;"'!$A$12:$Z$19"),MATCH("Points (Auto-generate)",INDIRECT("'"&amp;$A29&amp;"'!$A$12:$Z$12"),0),0)),"ER"))</f>
        <v/>
      </c>
    </row>
    <row r="30">
      <c r="A30" s="4" t="inlineStr">
        <is>
          <t>DPG5</t>
        </is>
      </c>
      <c r="B30" s="4">
        <f>VLOOKUP($A30,'PARASTATAL Questions'!$A:$J,3,0)&amp;""</f>
        <v/>
      </c>
      <c r="C30" s="4">
        <f>VLOOKUP($A30,'PARASTATAL Questions'!$A:$J,4,0)&amp;""</f>
        <v/>
      </c>
      <c r="D30" s="4">
        <f>VLOOKUP($A30,'PARASTATAL Questions'!$A:$J,5,0)&amp;""</f>
        <v/>
      </c>
      <c r="E30" s="4">
        <f>VLOOKUP($A30,'PARASTATAL Questions'!$A:$J,7,0)&amp;""</f>
        <v/>
      </c>
      <c r="F30" s="4">
        <f>VLOOKUP($A30,'PARASTATAL Questions'!$A:$J,6,0)</f>
        <v/>
      </c>
      <c r="G30" s="4">
        <f>IF(OR(G31="ER",G32="ER",G33="ER",G34="ER",G35="ER",G36="ER",G37="ER",G38="ER",G39="ER",G40="ER"),"ER",IF(OR(G31="?",G32="?",G33="?",G34="?",G35="?",G36="?",G37="?",G38="?",G39="?",G40="?"),"?",IF(AND(G31="NA",G32="NA",G33="NA",G34="NA",G35="NA",G36="NA",G37="NA",G38="NA",G39="NA",G40="NA"),"NA",SUM(G31,G32,G33,G34,G35,G36,G37,G38,G39,G40)/((G31&lt;&gt;"NA")*$F$31+(G32&lt;&gt;"NA")*$F$32+(G33&lt;&gt;"NA")*$F$33+(G34&lt;&gt;"NA")*$F$34+(G35&lt;&gt;"NA")*$F$35+(G36&lt;&gt;"NA")*$F$36+(G37&lt;&gt;"NA")*$F$37+(G38&lt;&gt;"NA")*$F$38+(G39&lt;&gt;"NA")*$F$39+(G40&lt;&gt;"NA")*$F$40)*$F30)))</f>
        <v/>
      </c>
      <c r="H30" s="4">
        <f>IF(OR(H31="ER",H32="ER",H33="ER",H34="ER",H35="ER",H36="ER",H37="ER",H38="ER",H39="ER",H40="ER"),"ER",IF(OR(H31="?",H32="?",H33="?",H34="?",H35="?",H36="?",H37="?",H38="?",H39="?",H40="?"),"?",IF(AND(H31="NA",H32="NA",H33="NA",H34="NA",H35="NA",H36="NA",H37="NA",H38="NA",H39="NA",H40="NA"),"NA",SUM(H31,H32,H33,H34,H35,H36,H37,H38,H39,H40)/((H31&lt;&gt;"NA")*$F$31+(H32&lt;&gt;"NA")*$F$32+(H33&lt;&gt;"NA")*$F$33+(H34&lt;&gt;"NA")*$F$34+(H35&lt;&gt;"NA")*$F$35+(H36&lt;&gt;"NA")*$F$36+(H37&lt;&gt;"NA")*$F$37+(H38&lt;&gt;"NA")*$F$38+(H39&lt;&gt;"NA")*$F$39+(H40&lt;&gt;"NA")*$F$40)*$F30)))</f>
        <v/>
      </c>
      <c r="I30" s="4">
        <f>IF(OR(I31="ER",I32="ER",I33="ER",I34="ER",I35="ER",I36="ER",I37="ER",I38="ER",I39="ER",I40="ER"),"ER",IF(OR(I31="?",I32="?",I33="?",I34="?",I35="?",I36="?",I37="?",I38="?",I39="?",I40="?"),"?",IF(AND(I31="NA",I32="NA",I33="NA",I34="NA",I35="NA",I36="NA",I37="NA",I38="NA",I39="NA",I40="NA"),"NA",SUM(I31,I32,I33,I34,I35,I36,I37,I38,I39,I40)/((I31&lt;&gt;"NA")*$F$31+(I32&lt;&gt;"NA")*$F$32+(I33&lt;&gt;"NA")*$F$33+(I34&lt;&gt;"NA")*$F$34+(I35&lt;&gt;"NA")*$F$35+(I36&lt;&gt;"NA")*$F$36+(I37&lt;&gt;"NA")*$F$37+(I38&lt;&gt;"NA")*$F$38+(I39&lt;&gt;"NA")*$F$39+(I40&lt;&gt;"NA")*$F$40)*$F30)))</f>
        <v/>
      </c>
      <c r="J30" s="4">
        <f>IF(OR(J31="ER",J32="ER",J33="ER",J34="ER",J35="ER",J36="ER",J37="ER",J38="ER",J39="ER",J40="ER"),"ER",IF(OR(J31="?",J32="?",J33="?",J34="?",J35="?",J36="?",J37="?",J38="?",J39="?",J40="?"),"?",IF(AND(J31="NA",J32="NA",J33="NA",J34="NA",J35="NA",J36="NA",J37="NA",J38="NA",J39="NA",J40="NA"),"NA",SUM(J31,J32,J33,J34,J35,J36,J37,J38,J39,J40)/((J31&lt;&gt;"NA")*$F$31+(J32&lt;&gt;"NA")*$F$32+(J33&lt;&gt;"NA")*$F$33+(J34&lt;&gt;"NA")*$F$34+(J35&lt;&gt;"NA")*$F$35+(J36&lt;&gt;"NA")*$F$36+(J37&lt;&gt;"NA")*$F$37+(J38&lt;&gt;"NA")*$F$38+(J39&lt;&gt;"NA")*$F$39+(J40&lt;&gt;"NA")*$F$40)*$F30)))</f>
        <v/>
      </c>
      <c r="K30" s="4">
        <f>IF(OR(K31="ER",K32="ER",K33="ER",K34="ER",K35="ER",K36="ER",K37="ER",K38="ER",K39="ER",K40="ER"),"ER",IF(OR(K31="?",K32="?",K33="?",K34="?",K35="?",K36="?",K37="?",K38="?",K39="?",K40="?"),"?",IF(AND(K31="NA",K32="NA",K33="NA",K34="NA",K35="NA",K36="NA",K37="NA",K38="NA",K39="NA",K40="NA"),"NA",SUM(K31,K32,K33,K34,K35,K36,K37,K38,K39,K40)/((K31&lt;&gt;"NA")*$F$31+(K32&lt;&gt;"NA")*$F$32+(K33&lt;&gt;"NA")*$F$33+(K34&lt;&gt;"NA")*$F$34+(K35&lt;&gt;"NA")*$F$35+(K36&lt;&gt;"NA")*$F$36+(K37&lt;&gt;"NA")*$F$37+(K38&lt;&gt;"NA")*$F$38+(K39&lt;&gt;"NA")*$F$39+(K40&lt;&gt;"NA")*$F$40)*$F30)))</f>
        <v/>
      </c>
      <c r="L30" s="4">
        <f>IF(OR(L31="ER",L32="ER",L33="ER",L34="ER",L35="ER",L36="ER",L37="ER",L38="ER",L39="ER",L40="ER"),"ER",IF(OR(L31="?",L32="?",L33="?",L34="?",L35="?",L36="?",L37="?",L38="?",L39="?",L40="?"),"?",IF(AND(L31="NA",L32="NA",L33="NA",L34="NA",L35="NA",L36="NA",L37="NA",L38="NA",L39="NA",L40="NA"),"NA",SUM(L31,L32,L33,L34,L35,L36,L37,L38,L39,L40)/((L31&lt;&gt;"NA")*$F$31+(L32&lt;&gt;"NA")*$F$32+(L33&lt;&gt;"NA")*$F$33+(L34&lt;&gt;"NA")*$F$34+(L35&lt;&gt;"NA")*$F$35+(L36&lt;&gt;"NA")*$F$36+(L37&lt;&gt;"NA")*$F$37+(L38&lt;&gt;"NA")*$F$38+(L39&lt;&gt;"NA")*$F$39+(L40&lt;&gt;"NA")*$F$40)*$F30)))</f>
        <v/>
      </c>
      <c r="M30" s="4">
        <f>IF(OR(M31="ER",M32="ER",M33="ER",M34="ER",M35="ER",M36="ER",M37="ER",M38="ER",M39="ER",M40="ER"),"ER",IF(OR(M31="?",M32="?",M33="?",M34="?",M35="?",M36="?",M37="?",M38="?",M39="?",M40="?"),"?",IF(AND(M31="NA",M32="NA",M33="NA",M34="NA",M35="NA",M36="NA",M37="NA",M38="NA",M39="NA",M40="NA"),"NA",SUM(M31,M32,M33,M34,M35,M36,M37,M38,M39,M40)/((M31&lt;&gt;"NA")*$F$31+(M32&lt;&gt;"NA")*$F$32+(M33&lt;&gt;"NA")*$F$33+(M34&lt;&gt;"NA")*$F$34+(M35&lt;&gt;"NA")*$F$35+(M36&lt;&gt;"NA")*$F$36+(M37&lt;&gt;"NA")*$F$37+(M38&lt;&gt;"NA")*$F$38+(M39&lt;&gt;"NA")*$F$39+(M40&lt;&gt;"NA")*$F$40)*$F30)))</f>
        <v/>
      </c>
    </row>
    <row r="31">
      <c r="A31" t="inlineStr">
        <is>
          <t>DPG5a</t>
        </is>
      </c>
      <c r="B31">
        <f>VLOOKUP($A31,'PARASTATAL Questions'!$A:$J,3,0)&amp;""</f>
        <v/>
      </c>
      <c r="C31">
        <f>VLOOKUP($A31,'PARASTATAL Questions'!$A:$J,4,0)&amp;""</f>
        <v/>
      </c>
      <c r="D31">
        <f>VLOOKUP($A31,'PARASTATAL Questions'!$A:$J,5,0)&amp;""</f>
        <v/>
      </c>
      <c r="E31">
        <f>VLOOKUP($A31,'PARASTATAL Questions'!$A:$J,7,0)&amp;""</f>
        <v/>
      </c>
      <c r="F31">
        <f>VLOOKUP($A31,'PARASTATAL Questions'!$A:$J,6,0)</f>
        <v/>
      </c>
      <c r="G31">
        <f>IF($F31=0,"NA",IF($A31=INDIRECT("'"&amp;$A31&amp;"'!$B$1"),IF(VLOOKUP(G$1,INDIRECT("'"&amp;$A31&amp;"'!$A$12:$Z$19"),MATCH("Points (Auto-generate)",INDIRECT("'"&amp;$A31&amp;"'!$A$12:$Z$12"),0),0)="","?",VLOOKUP(G$1,INDIRECT("'"&amp;$A31&amp;"'!$A$12:$Z$19"),MATCH("Points (Auto-generate)",INDIRECT("'"&amp;$A31&amp;"'!$A$12:$Z$12"),0),0)),"ER"))</f>
        <v/>
      </c>
      <c r="H31">
        <f>IF($F31=0,"NA",IF($A31=INDIRECT("'"&amp;$A31&amp;"'!$B$1"),IF(VLOOKUP(H$1,INDIRECT("'"&amp;$A31&amp;"'!$A$12:$Z$19"),MATCH("Points (Auto-generate)",INDIRECT("'"&amp;$A31&amp;"'!$A$12:$Z$12"),0),0)="","?",VLOOKUP(H$1,INDIRECT("'"&amp;$A31&amp;"'!$A$12:$Z$19"),MATCH("Points (Auto-generate)",INDIRECT("'"&amp;$A31&amp;"'!$A$12:$Z$12"),0),0)),"ER"))</f>
        <v/>
      </c>
      <c r="I31">
        <f>IF($F31=0,"NA",IF($A31=INDIRECT("'"&amp;$A31&amp;"'!$B$1"),IF(VLOOKUP(I$1,INDIRECT("'"&amp;$A31&amp;"'!$A$12:$Z$19"),MATCH("Points (Auto-generate)",INDIRECT("'"&amp;$A31&amp;"'!$A$12:$Z$12"),0),0)="","?",VLOOKUP(I$1,INDIRECT("'"&amp;$A31&amp;"'!$A$12:$Z$19"),MATCH("Points (Auto-generate)",INDIRECT("'"&amp;$A31&amp;"'!$A$12:$Z$12"),0),0)),"ER"))</f>
        <v/>
      </c>
      <c r="J31">
        <f>IF($F31=0,"NA",IF($A31=INDIRECT("'"&amp;$A31&amp;"'!$B$1"),IF(VLOOKUP(J$1,INDIRECT("'"&amp;$A31&amp;"'!$A$12:$Z$19"),MATCH("Points (Auto-generate)",INDIRECT("'"&amp;$A31&amp;"'!$A$12:$Z$12"),0),0)="","?",VLOOKUP(J$1,INDIRECT("'"&amp;$A31&amp;"'!$A$12:$Z$19"),MATCH("Points (Auto-generate)",INDIRECT("'"&amp;$A31&amp;"'!$A$12:$Z$12"),0),0)),"ER"))</f>
        <v/>
      </c>
      <c r="K31">
        <f>IF($F31=0,"NA",IF($A31=INDIRECT("'"&amp;$A31&amp;"'!$B$1"),IF(VLOOKUP(K$1,INDIRECT("'"&amp;$A31&amp;"'!$A$12:$Z$19"),MATCH("Points (Auto-generate)",INDIRECT("'"&amp;$A31&amp;"'!$A$12:$Z$12"),0),0)="","?",VLOOKUP(K$1,INDIRECT("'"&amp;$A31&amp;"'!$A$12:$Z$19"),MATCH("Points (Auto-generate)",INDIRECT("'"&amp;$A31&amp;"'!$A$12:$Z$12"),0),0)),"ER"))</f>
        <v/>
      </c>
      <c r="L31">
        <f>IF($F31=0,"NA",IF($A31=INDIRECT("'"&amp;$A31&amp;"'!$B$1"),IF(VLOOKUP(L$1,INDIRECT("'"&amp;$A31&amp;"'!$A$12:$Z$19"),MATCH("Points (Auto-generate)",INDIRECT("'"&amp;$A31&amp;"'!$A$12:$Z$12"),0),0)="","?",VLOOKUP(L$1,INDIRECT("'"&amp;$A31&amp;"'!$A$12:$Z$19"),MATCH("Points (Auto-generate)",INDIRECT("'"&amp;$A31&amp;"'!$A$12:$Z$12"),0),0)),"ER"))</f>
        <v/>
      </c>
      <c r="M31">
        <f>IF($F31=0,"NA",IF($A31=INDIRECT("'"&amp;$A31&amp;"'!$B$1"),IF(VLOOKUP(M$1,INDIRECT("'"&amp;$A31&amp;"'!$A$12:$Z$19"),MATCH("Points (Auto-generate)",INDIRECT("'"&amp;$A31&amp;"'!$A$12:$Z$12"),0),0)="","?",VLOOKUP(M$1,INDIRECT("'"&amp;$A31&amp;"'!$A$12:$Z$19"),MATCH("Points (Auto-generate)",INDIRECT("'"&amp;$A31&amp;"'!$A$12:$Z$12"),0),0)),"ER"))</f>
        <v/>
      </c>
    </row>
    <row r="32">
      <c r="A32" t="inlineStr">
        <is>
          <t>DPG5b</t>
        </is>
      </c>
      <c r="B32">
        <f>VLOOKUP($A32,'PARASTATAL Questions'!$A:$J,3,0)&amp;""</f>
        <v/>
      </c>
      <c r="C32">
        <f>VLOOKUP($A32,'PARASTATAL Questions'!$A:$J,4,0)&amp;""</f>
        <v/>
      </c>
      <c r="D32">
        <f>VLOOKUP($A32,'PARASTATAL Questions'!$A:$J,5,0)&amp;""</f>
        <v/>
      </c>
      <c r="E32">
        <f>VLOOKUP($A32,'PARASTATAL Questions'!$A:$J,7,0)&amp;""</f>
        <v/>
      </c>
      <c r="F32">
        <f>VLOOKUP($A32,'PARASTATAL Questions'!$A:$J,6,0)</f>
        <v/>
      </c>
      <c r="G32">
        <f>IF($F32=0,"NA",IF($A32=INDIRECT("'"&amp;$A32&amp;"'!$B$1"),IF(VLOOKUP(G$1,INDIRECT("'"&amp;$A32&amp;"'!$A$12:$Z$19"),MATCH("Points (Auto-generate)",INDIRECT("'"&amp;$A32&amp;"'!$A$12:$Z$12"),0),0)="","?",VLOOKUP(G$1,INDIRECT("'"&amp;$A32&amp;"'!$A$12:$Z$19"),MATCH("Points (Auto-generate)",INDIRECT("'"&amp;$A32&amp;"'!$A$12:$Z$12"),0),0)),"ER"))</f>
        <v/>
      </c>
      <c r="H32">
        <f>IF($F32=0,"NA",IF($A32=INDIRECT("'"&amp;$A32&amp;"'!$B$1"),IF(VLOOKUP(H$1,INDIRECT("'"&amp;$A32&amp;"'!$A$12:$Z$19"),MATCH("Points (Auto-generate)",INDIRECT("'"&amp;$A32&amp;"'!$A$12:$Z$12"),0),0)="","?",VLOOKUP(H$1,INDIRECT("'"&amp;$A32&amp;"'!$A$12:$Z$19"),MATCH("Points (Auto-generate)",INDIRECT("'"&amp;$A32&amp;"'!$A$12:$Z$12"),0),0)),"ER"))</f>
        <v/>
      </c>
      <c r="I32">
        <f>IF($F32=0,"NA",IF($A32=INDIRECT("'"&amp;$A32&amp;"'!$B$1"),IF(VLOOKUP(I$1,INDIRECT("'"&amp;$A32&amp;"'!$A$12:$Z$19"),MATCH("Points (Auto-generate)",INDIRECT("'"&amp;$A32&amp;"'!$A$12:$Z$12"),0),0)="","?",VLOOKUP(I$1,INDIRECT("'"&amp;$A32&amp;"'!$A$12:$Z$19"),MATCH("Points (Auto-generate)",INDIRECT("'"&amp;$A32&amp;"'!$A$12:$Z$12"),0),0)),"ER"))</f>
        <v/>
      </c>
      <c r="J32">
        <f>IF($F32=0,"NA",IF($A32=INDIRECT("'"&amp;$A32&amp;"'!$B$1"),IF(VLOOKUP(J$1,INDIRECT("'"&amp;$A32&amp;"'!$A$12:$Z$19"),MATCH("Points (Auto-generate)",INDIRECT("'"&amp;$A32&amp;"'!$A$12:$Z$12"),0),0)="","?",VLOOKUP(J$1,INDIRECT("'"&amp;$A32&amp;"'!$A$12:$Z$19"),MATCH("Points (Auto-generate)",INDIRECT("'"&amp;$A32&amp;"'!$A$12:$Z$12"),0),0)),"ER"))</f>
        <v/>
      </c>
      <c r="K32">
        <f>IF($F32=0,"NA",IF($A32=INDIRECT("'"&amp;$A32&amp;"'!$B$1"),IF(VLOOKUP(K$1,INDIRECT("'"&amp;$A32&amp;"'!$A$12:$Z$19"),MATCH("Points (Auto-generate)",INDIRECT("'"&amp;$A32&amp;"'!$A$12:$Z$12"),0),0)="","?",VLOOKUP(K$1,INDIRECT("'"&amp;$A32&amp;"'!$A$12:$Z$19"),MATCH("Points (Auto-generate)",INDIRECT("'"&amp;$A32&amp;"'!$A$12:$Z$12"),0),0)),"ER"))</f>
        <v/>
      </c>
      <c r="L32">
        <f>IF($F32=0,"NA",IF($A32=INDIRECT("'"&amp;$A32&amp;"'!$B$1"),IF(VLOOKUP(L$1,INDIRECT("'"&amp;$A32&amp;"'!$A$12:$Z$19"),MATCH("Points (Auto-generate)",INDIRECT("'"&amp;$A32&amp;"'!$A$12:$Z$12"),0),0)="","?",VLOOKUP(L$1,INDIRECT("'"&amp;$A32&amp;"'!$A$12:$Z$19"),MATCH("Points (Auto-generate)",INDIRECT("'"&amp;$A32&amp;"'!$A$12:$Z$12"),0),0)),"ER"))</f>
        <v/>
      </c>
      <c r="M32">
        <f>IF($F32=0,"NA",IF($A32=INDIRECT("'"&amp;$A32&amp;"'!$B$1"),IF(VLOOKUP(M$1,INDIRECT("'"&amp;$A32&amp;"'!$A$12:$Z$19"),MATCH("Points (Auto-generate)",INDIRECT("'"&amp;$A32&amp;"'!$A$12:$Z$12"),0),0)="","?",VLOOKUP(M$1,INDIRECT("'"&amp;$A32&amp;"'!$A$12:$Z$19"),MATCH("Points (Auto-generate)",INDIRECT("'"&amp;$A32&amp;"'!$A$12:$Z$12"),0),0)),"ER"))</f>
        <v/>
      </c>
    </row>
    <row r="33">
      <c r="A33" t="inlineStr">
        <is>
          <t>DPG5c</t>
        </is>
      </c>
      <c r="B33">
        <f>VLOOKUP($A33,'PARASTATAL Questions'!$A:$J,3,0)&amp;""</f>
        <v/>
      </c>
      <c r="C33">
        <f>VLOOKUP($A33,'PARASTATAL Questions'!$A:$J,4,0)&amp;""</f>
        <v/>
      </c>
      <c r="D33">
        <f>VLOOKUP($A33,'PARASTATAL Questions'!$A:$J,5,0)&amp;""</f>
        <v/>
      </c>
      <c r="E33">
        <f>VLOOKUP($A33,'PARASTATAL Questions'!$A:$J,7,0)&amp;""</f>
        <v/>
      </c>
      <c r="F33">
        <f>VLOOKUP($A33,'PARASTATAL Questions'!$A:$J,6,0)</f>
        <v/>
      </c>
      <c r="G33">
        <f>IF($F33=0,"NA",IF($A33=INDIRECT("'"&amp;$A33&amp;"'!$B$1"),IF(VLOOKUP(G$1,INDIRECT("'"&amp;$A33&amp;"'!$A$12:$Z$19"),MATCH("Points (Auto-generate)",INDIRECT("'"&amp;$A33&amp;"'!$A$12:$Z$12"),0),0)="","?",VLOOKUP(G$1,INDIRECT("'"&amp;$A33&amp;"'!$A$12:$Z$19"),MATCH("Points (Auto-generate)",INDIRECT("'"&amp;$A33&amp;"'!$A$12:$Z$12"),0),0)),"ER"))</f>
        <v/>
      </c>
      <c r="H33">
        <f>IF($F33=0,"NA",IF($A33=INDIRECT("'"&amp;$A33&amp;"'!$B$1"),IF(VLOOKUP(H$1,INDIRECT("'"&amp;$A33&amp;"'!$A$12:$Z$19"),MATCH("Points (Auto-generate)",INDIRECT("'"&amp;$A33&amp;"'!$A$12:$Z$12"),0),0)="","?",VLOOKUP(H$1,INDIRECT("'"&amp;$A33&amp;"'!$A$12:$Z$19"),MATCH("Points (Auto-generate)",INDIRECT("'"&amp;$A33&amp;"'!$A$12:$Z$12"),0),0)),"ER"))</f>
        <v/>
      </c>
      <c r="I33">
        <f>IF($F33=0,"NA",IF($A33=INDIRECT("'"&amp;$A33&amp;"'!$B$1"),IF(VLOOKUP(I$1,INDIRECT("'"&amp;$A33&amp;"'!$A$12:$Z$19"),MATCH("Points (Auto-generate)",INDIRECT("'"&amp;$A33&amp;"'!$A$12:$Z$12"),0),0)="","?",VLOOKUP(I$1,INDIRECT("'"&amp;$A33&amp;"'!$A$12:$Z$19"),MATCH("Points (Auto-generate)",INDIRECT("'"&amp;$A33&amp;"'!$A$12:$Z$12"),0),0)),"ER"))</f>
        <v/>
      </c>
      <c r="J33">
        <f>IF($F33=0,"NA",IF($A33=INDIRECT("'"&amp;$A33&amp;"'!$B$1"),IF(VLOOKUP(J$1,INDIRECT("'"&amp;$A33&amp;"'!$A$12:$Z$19"),MATCH("Points (Auto-generate)",INDIRECT("'"&amp;$A33&amp;"'!$A$12:$Z$12"),0),0)="","?",VLOOKUP(J$1,INDIRECT("'"&amp;$A33&amp;"'!$A$12:$Z$19"),MATCH("Points (Auto-generate)",INDIRECT("'"&amp;$A33&amp;"'!$A$12:$Z$12"),0),0)),"ER"))</f>
        <v/>
      </c>
      <c r="K33">
        <f>IF($F33=0,"NA",IF($A33=INDIRECT("'"&amp;$A33&amp;"'!$B$1"),IF(VLOOKUP(K$1,INDIRECT("'"&amp;$A33&amp;"'!$A$12:$Z$19"),MATCH("Points (Auto-generate)",INDIRECT("'"&amp;$A33&amp;"'!$A$12:$Z$12"),0),0)="","?",VLOOKUP(K$1,INDIRECT("'"&amp;$A33&amp;"'!$A$12:$Z$19"),MATCH("Points (Auto-generate)",INDIRECT("'"&amp;$A33&amp;"'!$A$12:$Z$12"),0),0)),"ER"))</f>
        <v/>
      </c>
      <c r="L33">
        <f>IF($F33=0,"NA",IF($A33=INDIRECT("'"&amp;$A33&amp;"'!$B$1"),IF(VLOOKUP(L$1,INDIRECT("'"&amp;$A33&amp;"'!$A$12:$Z$19"),MATCH("Points (Auto-generate)",INDIRECT("'"&amp;$A33&amp;"'!$A$12:$Z$12"),0),0)="","?",VLOOKUP(L$1,INDIRECT("'"&amp;$A33&amp;"'!$A$12:$Z$19"),MATCH("Points (Auto-generate)",INDIRECT("'"&amp;$A33&amp;"'!$A$12:$Z$12"),0),0)),"ER"))</f>
        <v/>
      </c>
      <c r="M33">
        <f>IF($F33=0,"NA",IF($A33=INDIRECT("'"&amp;$A33&amp;"'!$B$1"),IF(VLOOKUP(M$1,INDIRECT("'"&amp;$A33&amp;"'!$A$12:$Z$19"),MATCH("Points (Auto-generate)",INDIRECT("'"&amp;$A33&amp;"'!$A$12:$Z$12"),0),0)="","?",VLOOKUP(M$1,INDIRECT("'"&amp;$A33&amp;"'!$A$12:$Z$19"),MATCH("Points (Auto-generate)",INDIRECT("'"&amp;$A33&amp;"'!$A$12:$Z$12"),0),0)),"ER"))</f>
        <v/>
      </c>
    </row>
    <row r="34">
      <c r="A34" t="inlineStr">
        <is>
          <t>DPG5d</t>
        </is>
      </c>
      <c r="B34">
        <f>VLOOKUP($A34,'PARASTATAL Questions'!$A:$J,3,0)&amp;""</f>
        <v/>
      </c>
      <c r="C34">
        <f>VLOOKUP($A34,'PARASTATAL Questions'!$A:$J,4,0)&amp;""</f>
        <v/>
      </c>
      <c r="D34">
        <f>VLOOKUP($A34,'PARASTATAL Questions'!$A:$J,5,0)&amp;""</f>
        <v/>
      </c>
      <c r="E34">
        <f>VLOOKUP($A34,'PARASTATAL Questions'!$A:$J,7,0)&amp;""</f>
        <v/>
      </c>
      <c r="F34">
        <f>VLOOKUP($A34,'PARASTATAL Questions'!$A:$J,6,0)</f>
        <v/>
      </c>
      <c r="G34">
        <f>IF($F34=0,"NA",IF($A34=INDIRECT("'"&amp;$A34&amp;"'!$B$1"),IF(VLOOKUP(G$1,INDIRECT("'"&amp;$A34&amp;"'!$A$12:$Z$19"),MATCH("Points (Auto-generate)",INDIRECT("'"&amp;$A34&amp;"'!$A$12:$Z$12"),0),0)="","?",VLOOKUP(G$1,INDIRECT("'"&amp;$A34&amp;"'!$A$12:$Z$19"),MATCH("Points (Auto-generate)",INDIRECT("'"&amp;$A34&amp;"'!$A$12:$Z$12"),0),0)),"ER"))</f>
        <v/>
      </c>
      <c r="H34">
        <f>IF($F34=0,"NA",IF($A34=INDIRECT("'"&amp;$A34&amp;"'!$B$1"),IF(VLOOKUP(H$1,INDIRECT("'"&amp;$A34&amp;"'!$A$12:$Z$19"),MATCH("Points (Auto-generate)",INDIRECT("'"&amp;$A34&amp;"'!$A$12:$Z$12"),0),0)="","?",VLOOKUP(H$1,INDIRECT("'"&amp;$A34&amp;"'!$A$12:$Z$19"),MATCH("Points (Auto-generate)",INDIRECT("'"&amp;$A34&amp;"'!$A$12:$Z$12"),0),0)),"ER"))</f>
        <v/>
      </c>
      <c r="I34">
        <f>IF($F34=0,"NA",IF($A34=INDIRECT("'"&amp;$A34&amp;"'!$B$1"),IF(VLOOKUP(I$1,INDIRECT("'"&amp;$A34&amp;"'!$A$12:$Z$19"),MATCH("Points (Auto-generate)",INDIRECT("'"&amp;$A34&amp;"'!$A$12:$Z$12"),0),0)="","?",VLOOKUP(I$1,INDIRECT("'"&amp;$A34&amp;"'!$A$12:$Z$19"),MATCH("Points (Auto-generate)",INDIRECT("'"&amp;$A34&amp;"'!$A$12:$Z$12"),0),0)),"ER"))</f>
        <v/>
      </c>
      <c r="J34">
        <f>IF($F34=0,"NA",IF($A34=INDIRECT("'"&amp;$A34&amp;"'!$B$1"),IF(VLOOKUP(J$1,INDIRECT("'"&amp;$A34&amp;"'!$A$12:$Z$19"),MATCH("Points (Auto-generate)",INDIRECT("'"&amp;$A34&amp;"'!$A$12:$Z$12"),0),0)="","?",VLOOKUP(J$1,INDIRECT("'"&amp;$A34&amp;"'!$A$12:$Z$19"),MATCH("Points (Auto-generate)",INDIRECT("'"&amp;$A34&amp;"'!$A$12:$Z$12"),0),0)),"ER"))</f>
        <v/>
      </c>
      <c r="K34">
        <f>IF($F34=0,"NA",IF($A34=INDIRECT("'"&amp;$A34&amp;"'!$B$1"),IF(VLOOKUP(K$1,INDIRECT("'"&amp;$A34&amp;"'!$A$12:$Z$19"),MATCH("Points (Auto-generate)",INDIRECT("'"&amp;$A34&amp;"'!$A$12:$Z$12"),0),0)="","?",VLOOKUP(K$1,INDIRECT("'"&amp;$A34&amp;"'!$A$12:$Z$19"),MATCH("Points (Auto-generate)",INDIRECT("'"&amp;$A34&amp;"'!$A$12:$Z$12"),0),0)),"ER"))</f>
        <v/>
      </c>
      <c r="L34">
        <f>IF($F34=0,"NA",IF($A34=INDIRECT("'"&amp;$A34&amp;"'!$B$1"),IF(VLOOKUP(L$1,INDIRECT("'"&amp;$A34&amp;"'!$A$12:$Z$19"),MATCH("Points (Auto-generate)",INDIRECT("'"&amp;$A34&amp;"'!$A$12:$Z$12"),0),0)="","?",VLOOKUP(L$1,INDIRECT("'"&amp;$A34&amp;"'!$A$12:$Z$19"),MATCH("Points (Auto-generate)",INDIRECT("'"&amp;$A34&amp;"'!$A$12:$Z$12"),0),0)),"ER"))</f>
        <v/>
      </c>
      <c r="M34">
        <f>IF($F34=0,"NA",IF($A34=INDIRECT("'"&amp;$A34&amp;"'!$B$1"),IF(VLOOKUP(M$1,INDIRECT("'"&amp;$A34&amp;"'!$A$12:$Z$19"),MATCH("Points (Auto-generate)",INDIRECT("'"&amp;$A34&amp;"'!$A$12:$Z$12"),0),0)="","?",VLOOKUP(M$1,INDIRECT("'"&amp;$A34&amp;"'!$A$12:$Z$19"),MATCH("Points (Auto-generate)",INDIRECT("'"&amp;$A34&amp;"'!$A$12:$Z$12"),0),0)),"ER"))</f>
        <v/>
      </c>
    </row>
    <row r="35">
      <c r="A35" t="inlineStr">
        <is>
          <t>DPG5f</t>
        </is>
      </c>
      <c r="B35">
        <f>VLOOKUP($A35,'PARASTATAL Questions'!$A:$J,3,0)&amp;""</f>
        <v/>
      </c>
      <c r="C35">
        <f>VLOOKUP($A35,'PARASTATAL Questions'!$A:$J,4,0)&amp;""</f>
        <v/>
      </c>
      <c r="D35">
        <f>VLOOKUP($A35,'PARASTATAL Questions'!$A:$J,5,0)&amp;""</f>
        <v/>
      </c>
      <c r="E35">
        <f>VLOOKUP($A35,'PARASTATAL Questions'!$A:$J,7,0)&amp;""</f>
        <v/>
      </c>
      <c r="F35">
        <f>VLOOKUP($A35,'PARASTATAL Questions'!$A:$J,6,0)</f>
        <v/>
      </c>
      <c r="G35">
        <f>IF($F35=0,"NA",IF($A35=INDIRECT("'"&amp;$A35&amp;"'!$B$1"),IF(VLOOKUP(G$1,INDIRECT("'"&amp;$A35&amp;"'!$A$12:$Z$19"),MATCH("Points (Auto-generate)",INDIRECT("'"&amp;$A35&amp;"'!$A$12:$Z$12"),0),0)="","?",VLOOKUP(G$1,INDIRECT("'"&amp;$A35&amp;"'!$A$12:$Z$19"),MATCH("Points (Auto-generate)",INDIRECT("'"&amp;$A35&amp;"'!$A$12:$Z$12"),0),0)),"ER"))</f>
        <v/>
      </c>
      <c r="H35">
        <f>IF($F35=0,"NA",IF($A35=INDIRECT("'"&amp;$A35&amp;"'!$B$1"),IF(VLOOKUP(H$1,INDIRECT("'"&amp;$A35&amp;"'!$A$12:$Z$19"),MATCH("Points (Auto-generate)",INDIRECT("'"&amp;$A35&amp;"'!$A$12:$Z$12"),0),0)="","?",VLOOKUP(H$1,INDIRECT("'"&amp;$A35&amp;"'!$A$12:$Z$19"),MATCH("Points (Auto-generate)",INDIRECT("'"&amp;$A35&amp;"'!$A$12:$Z$12"),0),0)),"ER"))</f>
        <v/>
      </c>
      <c r="I35">
        <f>IF($F35=0,"NA",IF($A35=INDIRECT("'"&amp;$A35&amp;"'!$B$1"),IF(VLOOKUP(I$1,INDIRECT("'"&amp;$A35&amp;"'!$A$12:$Z$19"),MATCH("Points (Auto-generate)",INDIRECT("'"&amp;$A35&amp;"'!$A$12:$Z$12"),0),0)="","?",VLOOKUP(I$1,INDIRECT("'"&amp;$A35&amp;"'!$A$12:$Z$19"),MATCH("Points (Auto-generate)",INDIRECT("'"&amp;$A35&amp;"'!$A$12:$Z$12"),0),0)),"ER"))</f>
        <v/>
      </c>
      <c r="J35">
        <f>IF($F35=0,"NA",IF($A35=INDIRECT("'"&amp;$A35&amp;"'!$B$1"),IF(VLOOKUP(J$1,INDIRECT("'"&amp;$A35&amp;"'!$A$12:$Z$19"),MATCH("Points (Auto-generate)",INDIRECT("'"&amp;$A35&amp;"'!$A$12:$Z$12"),0),0)="","?",VLOOKUP(J$1,INDIRECT("'"&amp;$A35&amp;"'!$A$12:$Z$19"),MATCH("Points (Auto-generate)",INDIRECT("'"&amp;$A35&amp;"'!$A$12:$Z$12"),0),0)),"ER"))</f>
        <v/>
      </c>
      <c r="K35">
        <f>IF($F35=0,"NA",IF($A35=INDIRECT("'"&amp;$A35&amp;"'!$B$1"),IF(VLOOKUP(K$1,INDIRECT("'"&amp;$A35&amp;"'!$A$12:$Z$19"),MATCH("Points (Auto-generate)",INDIRECT("'"&amp;$A35&amp;"'!$A$12:$Z$12"),0),0)="","?",VLOOKUP(K$1,INDIRECT("'"&amp;$A35&amp;"'!$A$12:$Z$19"),MATCH("Points (Auto-generate)",INDIRECT("'"&amp;$A35&amp;"'!$A$12:$Z$12"),0),0)),"ER"))</f>
        <v/>
      </c>
      <c r="L35">
        <f>IF($F35=0,"NA",IF($A35=INDIRECT("'"&amp;$A35&amp;"'!$B$1"),IF(VLOOKUP(L$1,INDIRECT("'"&amp;$A35&amp;"'!$A$12:$Z$19"),MATCH("Points (Auto-generate)",INDIRECT("'"&amp;$A35&amp;"'!$A$12:$Z$12"),0),0)="","?",VLOOKUP(L$1,INDIRECT("'"&amp;$A35&amp;"'!$A$12:$Z$19"),MATCH("Points (Auto-generate)",INDIRECT("'"&amp;$A35&amp;"'!$A$12:$Z$12"),0),0)),"ER"))</f>
        <v/>
      </c>
      <c r="M35">
        <f>IF($F35=0,"NA",IF($A35=INDIRECT("'"&amp;$A35&amp;"'!$B$1"),IF(VLOOKUP(M$1,INDIRECT("'"&amp;$A35&amp;"'!$A$12:$Z$19"),MATCH("Points (Auto-generate)",INDIRECT("'"&amp;$A35&amp;"'!$A$12:$Z$12"),0),0)="","?",VLOOKUP(M$1,INDIRECT("'"&amp;$A35&amp;"'!$A$12:$Z$19"),MATCH("Points (Auto-generate)",INDIRECT("'"&amp;$A35&amp;"'!$A$12:$Z$12"),0),0)),"ER"))</f>
        <v/>
      </c>
    </row>
    <row r="36">
      <c r="A36" t="inlineStr">
        <is>
          <t>DPG5g</t>
        </is>
      </c>
      <c r="B36">
        <f>VLOOKUP($A36,'PARASTATAL Questions'!$A:$J,3,0)&amp;""</f>
        <v/>
      </c>
      <c r="C36">
        <f>VLOOKUP($A36,'PARASTATAL Questions'!$A:$J,4,0)&amp;""</f>
        <v/>
      </c>
      <c r="D36">
        <f>VLOOKUP($A36,'PARASTATAL Questions'!$A:$J,5,0)&amp;""</f>
        <v/>
      </c>
      <c r="E36">
        <f>VLOOKUP($A36,'PARASTATAL Questions'!$A:$J,7,0)&amp;""</f>
        <v/>
      </c>
      <c r="F36">
        <f>VLOOKUP($A36,'PARASTATAL Questions'!$A:$J,6,0)</f>
        <v/>
      </c>
      <c r="G36">
        <f>IF($F36=0,"NA",IF($A36=INDIRECT("'"&amp;$A36&amp;"'!$B$1"),IF(VLOOKUP(G$1,INDIRECT("'"&amp;$A36&amp;"'!$A$12:$Z$19"),MATCH("Points (Auto-generate)",INDIRECT("'"&amp;$A36&amp;"'!$A$12:$Z$12"),0),0)="","?",VLOOKUP(G$1,INDIRECT("'"&amp;$A36&amp;"'!$A$12:$Z$19"),MATCH("Points (Auto-generate)",INDIRECT("'"&amp;$A36&amp;"'!$A$12:$Z$12"),0),0)),"ER"))</f>
        <v/>
      </c>
      <c r="H36">
        <f>IF($F36=0,"NA",IF($A36=INDIRECT("'"&amp;$A36&amp;"'!$B$1"),IF(VLOOKUP(H$1,INDIRECT("'"&amp;$A36&amp;"'!$A$12:$Z$19"),MATCH("Points (Auto-generate)",INDIRECT("'"&amp;$A36&amp;"'!$A$12:$Z$12"),0),0)="","?",VLOOKUP(H$1,INDIRECT("'"&amp;$A36&amp;"'!$A$12:$Z$19"),MATCH("Points (Auto-generate)",INDIRECT("'"&amp;$A36&amp;"'!$A$12:$Z$12"),0),0)),"ER"))</f>
        <v/>
      </c>
      <c r="I36">
        <f>IF($F36=0,"NA",IF($A36=INDIRECT("'"&amp;$A36&amp;"'!$B$1"),IF(VLOOKUP(I$1,INDIRECT("'"&amp;$A36&amp;"'!$A$12:$Z$19"),MATCH("Points (Auto-generate)",INDIRECT("'"&amp;$A36&amp;"'!$A$12:$Z$12"),0),0)="","?",VLOOKUP(I$1,INDIRECT("'"&amp;$A36&amp;"'!$A$12:$Z$19"),MATCH("Points (Auto-generate)",INDIRECT("'"&amp;$A36&amp;"'!$A$12:$Z$12"),0),0)),"ER"))</f>
        <v/>
      </c>
      <c r="J36">
        <f>IF($F36=0,"NA",IF($A36=INDIRECT("'"&amp;$A36&amp;"'!$B$1"),IF(VLOOKUP(J$1,INDIRECT("'"&amp;$A36&amp;"'!$A$12:$Z$19"),MATCH("Points (Auto-generate)",INDIRECT("'"&amp;$A36&amp;"'!$A$12:$Z$12"),0),0)="","?",VLOOKUP(J$1,INDIRECT("'"&amp;$A36&amp;"'!$A$12:$Z$19"),MATCH("Points (Auto-generate)",INDIRECT("'"&amp;$A36&amp;"'!$A$12:$Z$12"),0),0)),"ER"))</f>
        <v/>
      </c>
      <c r="K36">
        <f>IF($F36=0,"NA",IF($A36=INDIRECT("'"&amp;$A36&amp;"'!$B$1"),IF(VLOOKUP(K$1,INDIRECT("'"&amp;$A36&amp;"'!$A$12:$Z$19"),MATCH("Points (Auto-generate)",INDIRECT("'"&amp;$A36&amp;"'!$A$12:$Z$12"),0),0)="","?",VLOOKUP(K$1,INDIRECT("'"&amp;$A36&amp;"'!$A$12:$Z$19"),MATCH("Points (Auto-generate)",INDIRECT("'"&amp;$A36&amp;"'!$A$12:$Z$12"),0),0)),"ER"))</f>
        <v/>
      </c>
      <c r="L36">
        <f>IF($F36=0,"NA",IF($A36=INDIRECT("'"&amp;$A36&amp;"'!$B$1"),IF(VLOOKUP(L$1,INDIRECT("'"&amp;$A36&amp;"'!$A$12:$Z$19"),MATCH("Points (Auto-generate)",INDIRECT("'"&amp;$A36&amp;"'!$A$12:$Z$12"),0),0)="","?",VLOOKUP(L$1,INDIRECT("'"&amp;$A36&amp;"'!$A$12:$Z$19"),MATCH("Points (Auto-generate)",INDIRECT("'"&amp;$A36&amp;"'!$A$12:$Z$12"),0),0)),"ER"))</f>
        <v/>
      </c>
      <c r="M36">
        <f>IF($F36=0,"NA",IF($A36=INDIRECT("'"&amp;$A36&amp;"'!$B$1"),IF(VLOOKUP(M$1,INDIRECT("'"&amp;$A36&amp;"'!$A$12:$Z$19"),MATCH("Points (Auto-generate)",INDIRECT("'"&amp;$A36&amp;"'!$A$12:$Z$12"),0),0)="","?",VLOOKUP(M$1,INDIRECT("'"&amp;$A36&amp;"'!$A$12:$Z$19"),MATCH("Points (Auto-generate)",INDIRECT("'"&amp;$A36&amp;"'!$A$12:$Z$12"),0),0)),"ER"))</f>
        <v/>
      </c>
    </row>
    <row r="37">
      <c r="A37" t="inlineStr">
        <is>
          <t>DPG5h</t>
        </is>
      </c>
      <c r="B37">
        <f>VLOOKUP($A37,'PARASTATAL Questions'!$A:$J,3,0)&amp;""</f>
        <v/>
      </c>
      <c r="C37">
        <f>VLOOKUP($A37,'PARASTATAL Questions'!$A:$J,4,0)&amp;""</f>
        <v/>
      </c>
      <c r="D37">
        <f>VLOOKUP($A37,'PARASTATAL Questions'!$A:$J,5,0)&amp;""</f>
        <v/>
      </c>
      <c r="E37">
        <f>VLOOKUP($A37,'PARASTATAL Questions'!$A:$J,7,0)&amp;""</f>
        <v/>
      </c>
      <c r="F37">
        <f>VLOOKUP($A37,'PARASTATAL Questions'!$A:$J,6,0)</f>
        <v/>
      </c>
      <c r="G37">
        <f>IF($F37=0,"NA",IF($A37=INDIRECT("'"&amp;$A37&amp;"'!$B$1"),IF(VLOOKUP(G$1,INDIRECT("'"&amp;$A37&amp;"'!$A$12:$Z$19"),MATCH("Points (Auto-generate)",INDIRECT("'"&amp;$A37&amp;"'!$A$12:$Z$12"),0),0)="","?",VLOOKUP(G$1,INDIRECT("'"&amp;$A37&amp;"'!$A$12:$Z$19"),MATCH("Points (Auto-generate)",INDIRECT("'"&amp;$A37&amp;"'!$A$12:$Z$12"),0),0)),"ER"))</f>
        <v/>
      </c>
      <c r="H37">
        <f>IF($F37=0,"NA",IF($A37=INDIRECT("'"&amp;$A37&amp;"'!$B$1"),IF(VLOOKUP(H$1,INDIRECT("'"&amp;$A37&amp;"'!$A$12:$Z$19"),MATCH("Points (Auto-generate)",INDIRECT("'"&amp;$A37&amp;"'!$A$12:$Z$12"),0),0)="","?",VLOOKUP(H$1,INDIRECT("'"&amp;$A37&amp;"'!$A$12:$Z$19"),MATCH("Points (Auto-generate)",INDIRECT("'"&amp;$A37&amp;"'!$A$12:$Z$12"),0),0)),"ER"))</f>
        <v/>
      </c>
      <c r="I37">
        <f>IF($F37=0,"NA",IF($A37=INDIRECT("'"&amp;$A37&amp;"'!$B$1"),IF(VLOOKUP(I$1,INDIRECT("'"&amp;$A37&amp;"'!$A$12:$Z$19"),MATCH("Points (Auto-generate)",INDIRECT("'"&amp;$A37&amp;"'!$A$12:$Z$12"),0),0)="","?",VLOOKUP(I$1,INDIRECT("'"&amp;$A37&amp;"'!$A$12:$Z$19"),MATCH("Points (Auto-generate)",INDIRECT("'"&amp;$A37&amp;"'!$A$12:$Z$12"),0),0)),"ER"))</f>
        <v/>
      </c>
      <c r="J37">
        <f>IF($F37=0,"NA",IF($A37=INDIRECT("'"&amp;$A37&amp;"'!$B$1"),IF(VLOOKUP(J$1,INDIRECT("'"&amp;$A37&amp;"'!$A$12:$Z$19"),MATCH("Points (Auto-generate)",INDIRECT("'"&amp;$A37&amp;"'!$A$12:$Z$12"),0),0)="","?",VLOOKUP(J$1,INDIRECT("'"&amp;$A37&amp;"'!$A$12:$Z$19"),MATCH("Points (Auto-generate)",INDIRECT("'"&amp;$A37&amp;"'!$A$12:$Z$12"),0),0)),"ER"))</f>
        <v/>
      </c>
      <c r="K37">
        <f>IF($F37=0,"NA",IF($A37=INDIRECT("'"&amp;$A37&amp;"'!$B$1"),IF(VLOOKUP(K$1,INDIRECT("'"&amp;$A37&amp;"'!$A$12:$Z$19"),MATCH("Points (Auto-generate)",INDIRECT("'"&amp;$A37&amp;"'!$A$12:$Z$12"),0),0)="","?",VLOOKUP(K$1,INDIRECT("'"&amp;$A37&amp;"'!$A$12:$Z$19"),MATCH("Points (Auto-generate)",INDIRECT("'"&amp;$A37&amp;"'!$A$12:$Z$12"),0),0)),"ER"))</f>
        <v/>
      </c>
      <c r="L37">
        <f>IF($F37=0,"NA",IF($A37=INDIRECT("'"&amp;$A37&amp;"'!$B$1"),IF(VLOOKUP(L$1,INDIRECT("'"&amp;$A37&amp;"'!$A$12:$Z$19"),MATCH("Points (Auto-generate)",INDIRECT("'"&amp;$A37&amp;"'!$A$12:$Z$12"),0),0)="","?",VLOOKUP(L$1,INDIRECT("'"&amp;$A37&amp;"'!$A$12:$Z$19"),MATCH("Points (Auto-generate)",INDIRECT("'"&amp;$A37&amp;"'!$A$12:$Z$12"),0),0)),"ER"))</f>
        <v/>
      </c>
      <c r="M37">
        <f>IF($F37=0,"NA",IF($A37=INDIRECT("'"&amp;$A37&amp;"'!$B$1"),IF(VLOOKUP(M$1,INDIRECT("'"&amp;$A37&amp;"'!$A$12:$Z$19"),MATCH("Points (Auto-generate)",INDIRECT("'"&amp;$A37&amp;"'!$A$12:$Z$12"),0),0)="","?",VLOOKUP(M$1,INDIRECT("'"&amp;$A37&amp;"'!$A$12:$Z$19"),MATCH("Points (Auto-generate)",INDIRECT("'"&amp;$A37&amp;"'!$A$12:$Z$12"),0),0)),"ER"))</f>
        <v/>
      </c>
    </row>
    <row r="38">
      <c r="A38" t="inlineStr">
        <is>
          <t>DPG5i</t>
        </is>
      </c>
      <c r="B38">
        <f>VLOOKUP($A38,'PARASTATAL Questions'!$A:$J,3,0)&amp;""</f>
        <v/>
      </c>
      <c r="C38">
        <f>VLOOKUP($A38,'PARASTATAL Questions'!$A:$J,4,0)&amp;""</f>
        <v/>
      </c>
      <c r="D38">
        <f>VLOOKUP($A38,'PARASTATAL Questions'!$A:$J,5,0)&amp;""</f>
        <v/>
      </c>
      <c r="E38">
        <f>VLOOKUP($A38,'PARASTATAL Questions'!$A:$J,7,0)&amp;""</f>
        <v/>
      </c>
      <c r="F38">
        <f>VLOOKUP($A38,'PARASTATAL Questions'!$A:$J,6,0)</f>
        <v/>
      </c>
      <c r="G38">
        <f>IF($F38=0,"NA",IF($A38=INDIRECT("'"&amp;$A38&amp;"'!$B$1"),IF(VLOOKUP(G$1,INDIRECT("'"&amp;$A38&amp;"'!$A$12:$Z$19"),MATCH("Points (Auto-generate)",INDIRECT("'"&amp;$A38&amp;"'!$A$12:$Z$12"),0),0)="","?",VLOOKUP(G$1,INDIRECT("'"&amp;$A38&amp;"'!$A$12:$Z$19"),MATCH("Points (Auto-generate)",INDIRECT("'"&amp;$A38&amp;"'!$A$12:$Z$12"),0),0)),"ER"))</f>
        <v/>
      </c>
      <c r="H38">
        <f>IF($F38=0,"NA",IF($A38=INDIRECT("'"&amp;$A38&amp;"'!$B$1"),IF(VLOOKUP(H$1,INDIRECT("'"&amp;$A38&amp;"'!$A$12:$Z$19"),MATCH("Points (Auto-generate)",INDIRECT("'"&amp;$A38&amp;"'!$A$12:$Z$12"),0),0)="","?",VLOOKUP(H$1,INDIRECT("'"&amp;$A38&amp;"'!$A$12:$Z$19"),MATCH("Points (Auto-generate)",INDIRECT("'"&amp;$A38&amp;"'!$A$12:$Z$12"),0),0)),"ER"))</f>
        <v/>
      </c>
      <c r="I38">
        <f>IF($F38=0,"NA",IF($A38=INDIRECT("'"&amp;$A38&amp;"'!$B$1"),IF(VLOOKUP(I$1,INDIRECT("'"&amp;$A38&amp;"'!$A$12:$Z$19"),MATCH("Points (Auto-generate)",INDIRECT("'"&amp;$A38&amp;"'!$A$12:$Z$12"),0),0)="","?",VLOOKUP(I$1,INDIRECT("'"&amp;$A38&amp;"'!$A$12:$Z$19"),MATCH("Points (Auto-generate)",INDIRECT("'"&amp;$A38&amp;"'!$A$12:$Z$12"),0),0)),"ER"))</f>
        <v/>
      </c>
      <c r="J38">
        <f>IF($F38=0,"NA",IF($A38=INDIRECT("'"&amp;$A38&amp;"'!$B$1"),IF(VLOOKUP(J$1,INDIRECT("'"&amp;$A38&amp;"'!$A$12:$Z$19"),MATCH("Points (Auto-generate)",INDIRECT("'"&amp;$A38&amp;"'!$A$12:$Z$12"),0),0)="","?",VLOOKUP(J$1,INDIRECT("'"&amp;$A38&amp;"'!$A$12:$Z$19"),MATCH("Points (Auto-generate)",INDIRECT("'"&amp;$A38&amp;"'!$A$12:$Z$12"),0),0)),"ER"))</f>
        <v/>
      </c>
      <c r="K38">
        <f>IF($F38=0,"NA",IF($A38=INDIRECT("'"&amp;$A38&amp;"'!$B$1"),IF(VLOOKUP(K$1,INDIRECT("'"&amp;$A38&amp;"'!$A$12:$Z$19"),MATCH("Points (Auto-generate)",INDIRECT("'"&amp;$A38&amp;"'!$A$12:$Z$12"),0),0)="","?",VLOOKUP(K$1,INDIRECT("'"&amp;$A38&amp;"'!$A$12:$Z$19"),MATCH("Points (Auto-generate)",INDIRECT("'"&amp;$A38&amp;"'!$A$12:$Z$12"),0),0)),"ER"))</f>
        <v/>
      </c>
      <c r="L38">
        <f>IF($F38=0,"NA",IF($A38=INDIRECT("'"&amp;$A38&amp;"'!$B$1"),IF(VLOOKUP(L$1,INDIRECT("'"&amp;$A38&amp;"'!$A$12:$Z$19"),MATCH("Points (Auto-generate)",INDIRECT("'"&amp;$A38&amp;"'!$A$12:$Z$12"),0),0)="","?",VLOOKUP(L$1,INDIRECT("'"&amp;$A38&amp;"'!$A$12:$Z$19"),MATCH("Points (Auto-generate)",INDIRECT("'"&amp;$A38&amp;"'!$A$12:$Z$12"),0),0)),"ER"))</f>
        <v/>
      </c>
      <c r="M38">
        <f>IF($F38=0,"NA",IF($A38=INDIRECT("'"&amp;$A38&amp;"'!$B$1"),IF(VLOOKUP(M$1,INDIRECT("'"&amp;$A38&amp;"'!$A$12:$Z$19"),MATCH("Points (Auto-generate)",INDIRECT("'"&amp;$A38&amp;"'!$A$12:$Z$12"),0),0)="","?",VLOOKUP(M$1,INDIRECT("'"&amp;$A38&amp;"'!$A$12:$Z$19"),MATCH("Points (Auto-generate)",INDIRECT("'"&amp;$A38&amp;"'!$A$12:$Z$12"),0),0)),"ER"))</f>
        <v/>
      </c>
    </row>
    <row r="39">
      <c r="A39" t="inlineStr">
        <is>
          <t>DPG5j</t>
        </is>
      </c>
      <c r="B39">
        <f>VLOOKUP($A39,'PARASTATAL Questions'!$A:$J,3,0)&amp;""</f>
        <v/>
      </c>
      <c r="C39">
        <f>VLOOKUP($A39,'PARASTATAL Questions'!$A:$J,4,0)&amp;""</f>
        <v/>
      </c>
      <c r="D39">
        <f>VLOOKUP($A39,'PARASTATAL Questions'!$A:$J,5,0)&amp;""</f>
        <v/>
      </c>
      <c r="E39">
        <f>VLOOKUP($A39,'PARASTATAL Questions'!$A:$J,7,0)&amp;""</f>
        <v/>
      </c>
      <c r="F39">
        <f>VLOOKUP($A39,'PARASTATAL Questions'!$A:$J,6,0)</f>
        <v/>
      </c>
      <c r="G39">
        <f>IF($F39=0,"NA",IF($A39=INDIRECT("'"&amp;$A39&amp;"'!$B$1"),IF(VLOOKUP(G$1,INDIRECT("'"&amp;$A39&amp;"'!$A$12:$Z$19"),MATCH("Points (Auto-generate)",INDIRECT("'"&amp;$A39&amp;"'!$A$12:$Z$12"),0),0)="","?",VLOOKUP(G$1,INDIRECT("'"&amp;$A39&amp;"'!$A$12:$Z$19"),MATCH("Points (Auto-generate)",INDIRECT("'"&amp;$A39&amp;"'!$A$12:$Z$12"),0),0)),"ER"))</f>
        <v/>
      </c>
      <c r="H39">
        <f>IF($F39=0,"NA",IF($A39=INDIRECT("'"&amp;$A39&amp;"'!$B$1"),IF(VLOOKUP(H$1,INDIRECT("'"&amp;$A39&amp;"'!$A$12:$Z$19"),MATCH("Points (Auto-generate)",INDIRECT("'"&amp;$A39&amp;"'!$A$12:$Z$12"),0),0)="","?",VLOOKUP(H$1,INDIRECT("'"&amp;$A39&amp;"'!$A$12:$Z$19"),MATCH("Points (Auto-generate)",INDIRECT("'"&amp;$A39&amp;"'!$A$12:$Z$12"),0),0)),"ER"))</f>
        <v/>
      </c>
      <c r="I39">
        <f>IF($F39=0,"NA",IF($A39=INDIRECT("'"&amp;$A39&amp;"'!$B$1"),IF(VLOOKUP(I$1,INDIRECT("'"&amp;$A39&amp;"'!$A$12:$Z$19"),MATCH("Points (Auto-generate)",INDIRECT("'"&amp;$A39&amp;"'!$A$12:$Z$12"),0),0)="","?",VLOOKUP(I$1,INDIRECT("'"&amp;$A39&amp;"'!$A$12:$Z$19"),MATCH("Points (Auto-generate)",INDIRECT("'"&amp;$A39&amp;"'!$A$12:$Z$12"),0),0)),"ER"))</f>
        <v/>
      </c>
      <c r="J39">
        <f>IF($F39=0,"NA",IF($A39=INDIRECT("'"&amp;$A39&amp;"'!$B$1"),IF(VLOOKUP(J$1,INDIRECT("'"&amp;$A39&amp;"'!$A$12:$Z$19"),MATCH("Points (Auto-generate)",INDIRECT("'"&amp;$A39&amp;"'!$A$12:$Z$12"),0),0)="","?",VLOOKUP(J$1,INDIRECT("'"&amp;$A39&amp;"'!$A$12:$Z$19"),MATCH("Points (Auto-generate)",INDIRECT("'"&amp;$A39&amp;"'!$A$12:$Z$12"),0),0)),"ER"))</f>
        <v/>
      </c>
      <c r="K39">
        <f>IF($F39=0,"NA",IF($A39=INDIRECT("'"&amp;$A39&amp;"'!$B$1"),IF(VLOOKUP(K$1,INDIRECT("'"&amp;$A39&amp;"'!$A$12:$Z$19"),MATCH("Points (Auto-generate)",INDIRECT("'"&amp;$A39&amp;"'!$A$12:$Z$12"),0),0)="","?",VLOOKUP(K$1,INDIRECT("'"&amp;$A39&amp;"'!$A$12:$Z$19"),MATCH("Points (Auto-generate)",INDIRECT("'"&amp;$A39&amp;"'!$A$12:$Z$12"),0),0)),"ER"))</f>
        <v/>
      </c>
      <c r="L39">
        <f>IF($F39=0,"NA",IF($A39=INDIRECT("'"&amp;$A39&amp;"'!$B$1"),IF(VLOOKUP(L$1,INDIRECT("'"&amp;$A39&amp;"'!$A$12:$Z$19"),MATCH("Points (Auto-generate)",INDIRECT("'"&amp;$A39&amp;"'!$A$12:$Z$12"),0),0)="","?",VLOOKUP(L$1,INDIRECT("'"&amp;$A39&amp;"'!$A$12:$Z$19"),MATCH("Points (Auto-generate)",INDIRECT("'"&amp;$A39&amp;"'!$A$12:$Z$12"),0),0)),"ER"))</f>
        <v/>
      </c>
      <c r="M39">
        <f>IF($F39=0,"NA",IF($A39=INDIRECT("'"&amp;$A39&amp;"'!$B$1"),IF(VLOOKUP(M$1,INDIRECT("'"&amp;$A39&amp;"'!$A$12:$Z$19"),MATCH("Points (Auto-generate)",INDIRECT("'"&amp;$A39&amp;"'!$A$12:$Z$12"),0),0)="","?",VLOOKUP(M$1,INDIRECT("'"&amp;$A39&amp;"'!$A$12:$Z$19"),MATCH("Points (Auto-generate)",INDIRECT("'"&amp;$A39&amp;"'!$A$12:$Z$12"),0),0)),"ER"))</f>
        <v/>
      </c>
    </row>
    <row r="40">
      <c r="A40" t="inlineStr">
        <is>
          <t>DPG5k</t>
        </is>
      </c>
      <c r="B40">
        <f>VLOOKUP($A40,'PARASTATAL Questions'!$A:$J,3,0)&amp;""</f>
        <v/>
      </c>
      <c r="C40">
        <f>VLOOKUP($A40,'PARASTATAL Questions'!$A:$J,4,0)&amp;""</f>
        <v/>
      </c>
      <c r="D40">
        <f>VLOOKUP($A40,'PARASTATAL Questions'!$A:$J,5,0)&amp;""</f>
        <v/>
      </c>
      <c r="E40">
        <f>VLOOKUP($A40,'PARASTATAL Questions'!$A:$J,7,0)&amp;""</f>
        <v/>
      </c>
      <c r="F40">
        <f>VLOOKUP($A40,'PARASTATAL Questions'!$A:$J,6,0)</f>
        <v/>
      </c>
      <c r="G40">
        <f>IF($F40=0,"NA",IF($A40=INDIRECT("'"&amp;$A40&amp;"'!$B$1"),IF(VLOOKUP(G$1,INDIRECT("'"&amp;$A40&amp;"'!$A$12:$Z$19"),MATCH("Points (Auto-generate)",INDIRECT("'"&amp;$A40&amp;"'!$A$12:$Z$12"),0),0)="","?",VLOOKUP(G$1,INDIRECT("'"&amp;$A40&amp;"'!$A$12:$Z$19"),MATCH("Points (Auto-generate)",INDIRECT("'"&amp;$A40&amp;"'!$A$12:$Z$12"),0),0)),"ER"))</f>
        <v/>
      </c>
      <c r="H40">
        <f>IF($F40=0,"NA",IF($A40=INDIRECT("'"&amp;$A40&amp;"'!$B$1"),IF(VLOOKUP(H$1,INDIRECT("'"&amp;$A40&amp;"'!$A$12:$Z$19"),MATCH("Points (Auto-generate)",INDIRECT("'"&amp;$A40&amp;"'!$A$12:$Z$12"),0),0)="","?",VLOOKUP(H$1,INDIRECT("'"&amp;$A40&amp;"'!$A$12:$Z$19"),MATCH("Points (Auto-generate)",INDIRECT("'"&amp;$A40&amp;"'!$A$12:$Z$12"),0),0)),"ER"))</f>
        <v/>
      </c>
      <c r="I40">
        <f>IF($F40=0,"NA",IF($A40=INDIRECT("'"&amp;$A40&amp;"'!$B$1"),IF(VLOOKUP(I$1,INDIRECT("'"&amp;$A40&amp;"'!$A$12:$Z$19"),MATCH("Points (Auto-generate)",INDIRECT("'"&amp;$A40&amp;"'!$A$12:$Z$12"),0),0)="","?",VLOOKUP(I$1,INDIRECT("'"&amp;$A40&amp;"'!$A$12:$Z$19"),MATCH("Points (Auto-generate)",INDIRECT("'"&amp;$A40&amp;"'!$A$12:$Z$12"),0),0)),"ER"))</f>
        <v/>
      </c>
      <c r="J40">
        <f>IF($F40=0,"NA",IF($A40=INDIRECT("'"&amp;$A40&amp;"'!$B$1"),IF(VLOOKUP(J$1,INDIRECT("'"&amp;$A40&amp;"'!$A$12:$Z$19"),MATCH("Points (Auto-generate)",INDIRECT("'"&amp;$A40&amp;"'!$A$12:$Z$12"),0),0)="","?",VLOOKUP(J$1,INDIRECT("'"&amp;$A40&amp;"'!$A$12:$Z$19"),MATCH("Points (Auto-generate)",INDIRECT("'"&amp;$A40&amp;"'!$A$12:$Z$12"),0),0)),"ER"))</f>
        <v/>
      </c>
      <c r="K40">
        <f>IF($F40=0,"NA",IF($A40=INDIRECT("'"&amp;$A40&amp;"'!$B$1"),IF(VLOOKUP(K$1,INDIRECT("'"&amp;$A40&amp;"'!$A$12:$Z$19"),MATCH("Points (Auto-generate)",INDIRECT("'"&amp;$A40&amp;"'!$A$12:$Z$12"),0),0)="","?",VLOOKUP(K$1,INDIRECT("'"&amp;$A40&amp;"'!$A$12:$Z$19"),MATCH("Points (Auto-generate)",INDIRECT("'"&amp;$A40&amp;"'!$A$12:$Z$12"),0),0)),"ER"))</f>
        <v/>
      </c>
      <c r="L40">
        <f>IF($F40=0,"NA",IF($A40=INDIRECT("'"&amp;$A40&amp;"'!$B$1"),IF(VLOOKUP(L$1,INDIRECT("'"&amp;$A40&amp;"'!$A$12:$Z$19"),MATCH("Points (Auto-generate)",INDIRECT("'"&amp;$A40&amp;"'!$A$12:$Z$12"),0),0)="","?",VLOOKUP(L$1,INDIRECT("'"&amp;$A40&amp;"'!$A$12:$Z$19"),MATCH("Points (Auto-generate)",INDIRECT("'"&amp;$A40&amp;"'!$A$12:$Z$12"),0),0)),"ER"))</f>
        <v/>
      </c>
      <c r="M40">
        <f>IF($F40=0,"NA",IF($A40=INDIRECT("'"&amp;$A40&amp;"'!$B$1"),IF(VLOOKUP(M$1,INDIRECT("'"&amp;$A40&amp;"'!$A$12:$Z$19"),MATCH("Points (Auto-generate)",INDIRECT("'"&amp;$A40&amp;"'!$A$12:$Z$12"),0),0)="","?",VLOOKUP(M$1,INDIRECT("'"&amp;$A40&amp;"'!$A$12:$Z$19"),MATCH("Points (Auto-generate)",INDIRECT("'"&amp;$A40&amp;"'!$A$12:$Z$12"),0),0)),"ER"))</f>
        <v/>
      </c>
    </row>
    <row r="41">
      <c r="A41" s="4" t="inlineStr">
        <is>
          <t>DPG6</t>
        </is>
      </c>
      <c r="B41" s="4">
        <f>VLOOKUP($A41,'PARASTATAL Questions'!$A:$J,3,0)&amp;""</f>
        <v/>
      </c>
      <c r="C41" s="4">
        <f>VLOOKUP($A41,'PARASTATAL Questions'!$A:$J,4,0)&amp;""</f>
        <v/>
      </c>
      <c r="D41" s="4">
        <f>VLOOKUP($A41,'PARASTATAL Questions'!$A:$J,5,0)&amp;""</f>
        <v/>
      </c>
      <c r="E41" s="4">
        <f>VLOOKUP($A41,'PARASTATAL Questions'!$A:$J,7,0)&amp;""</f>
        <v/>
      </c>
      <c r="F41" s="4">
        <f>VLOOKUP($A41,'PARASTATAL Questions'!$A:$J,6,0)</f>
        <v/>
      </c>
      <c r="G41" s="4">
        <f>IF(OR(G42="ER",G43="ER"),"ER",IF(OR(G42="?",G43="?"),"?",IF(AND(G42="NA",G43="NA"),"NA",SUM(G42,G43)/((G42&lt;&gt;"NA")*$F$42+(G43&lt;&gt;"NA")*$F$43)*$F41)))</f>
        <v/>
      </c>
      <c r="H41" s="4">
        <f>IF(OR(H42="ER",H43="ER"),"ER",IF(OR(H42="?",H43="?"),"?",IF(AND(H42="NA",H43="NA"),"NA",SUM(H42,H43)/((H42&lt;&gt;"NA")*$F$42+(H43&lt;&gt;"NA")*$F$43)*$F41)))</f>
        <v/>
      </c>
      <c r="I41" s="4">
        <f>IF(OR(I42="ER",I43="ER"),"ER",IF(OR(I42="?",I43="?"),"?",IF(AND(I42="NA",I43="NA"),"NA",SUM(I42,I43)/((I42&lt;&gt;"NA")*$F$42+(I43&lt;&gt;"NA")*$F$43)*$F41)))</f>
        <v/>
      </c>
      <c r="J41" s="4">
        <f>IF(OR(J42="ER",J43="ER"),"ER",IF(OR(J42="?",J43="?"),"?",IF(AND(J42="NA",J43="NA"),"NA",SUM(J42,J43)/((J42&lt;&gt;"NA")*$F$42+(J43&lt;&gt;"NA")*$F$43)*$F41)))</f>
        <v/>
      </c>
      <c r="K41" s="4">
        <f>IF(OR(K42="ER",K43="ER"),"ER",IF(OR(K42="?",K43="?"),"?",IF(AND(K42="NA",K43="NA"),"NA",SUM(K42,K43)/((K42&lt;&gt;"NA")*$F$42+(K43&lt;&gt;"NA")*$F$43)*$F41)))</f>
        <v/>
      </c>
      <c r="L41" s="4">
        <f>IF(OR(L42="ER",L43="ER"),"ER",IF(OR(L42="?",L43="?"),"?",IF(AND(L42="NA",L43="NA"),"NA",SUM(L42,L43)/((L42&lt;&gt;"NA")*$F$42+(L43&lt;&gt;"NA")*$F$43)*$F41)))</f>
        <v/>
      </c>
      <c r="M41" s="4">
        <f>IF(OR(M42="ER",M43="ER"),"ER",IF(OR(M42="?",M43="?"),"?",IF(AND(M42="NA",M43="NA"),"NA",SUM(M42,M43)/((M42&lt;&gt;"NA")*$F$42+(M43&lt;&gt;"NA")*$F$43)*$F41)))</f>
        <v/>
      </c>
    </row>
    <row r="42">
      <c r="A42" t="inlineStr">
        <is>
          <t>DPG6a</t>
        </is>
      </c>
      <c r="B42">
        <f>VLOOKUP($A42,'PARASTATAL Questions'!$A:$J,3,0)&amp;""</f>
        <v/>
      </c>
      <c r="C42">
        <f>VLOOKUP($A42,'PARASTATAL Questions'!$A:$J,4,0)&amp;""</f>
        <v/>
      </c>
      <c r="D42">
        <f>VLOOKUP($A42,'PARASTATAL Questions'!$A:$J,5,0)&amp;""</f>
        <v/>
      </c>
      <c r="E42">
        <f>VLOOKUP($A42,'PARASTATAL Questions'!$A:$J,7,0)&amp;""</f>
        <v/>
      </c>
      <c r="F42">
        <f>VLOOKUP($A42,'PARASTATAL Questions'!$A:$J,6,0)</f>
        <v/>
      </c>
      <c r="G42">
        <f>IF($F42=0,"NA",IF($A42=INDIRECT("'"&amp;$A42&amp;"'!$B$1"),IF(VLOOKUP(G$1,INDIRECT("'"&amp;$A42&amp;"'!$A$12:$Z$19"),MATCH("Points (Auto-generate)",INDIRECT("'"&amp;$A42&amp;"'!$A$12:$Z$12"),0),0)="","?",VLOOKUP(G$1,INDIRECT("'"&amp;$A42&amp;"'!$A$12:$Z$19"),MATCH("Points (Auto-generate)",INDIRECT("'"&amp;$A42&amp;"'!$A$12:$Z$12"),0),0)),"ER"))</f>
        <v/>
      </c>
      <c r="H42">
        <f>IF($F42=0,"NA",IF($A42=INDIRECT("'"&amp;$A42&amp;"'!$B$1"),IF(VLOOKUP(H$1,INDIRECT("'"&amp;$A42&amp;"'!$A$12:$Z$19"),MATCH("Points (Auto-generate)",INDIRECT("'"&amp;$A42&amp;"'!$A$12:$Z$12"),0),0)="","?",VLOOKUP(H$1,INDIRECT("'"&amp;$A42&amp;"'!$A$12:$Z$19"),MATCH("Points (Auto-generate)",INDIRECT("'"&amp;$A42&amp;"'!$A$12:$Z$12"),0),0)),"ER"))</f>
        <v/>
      </c>
      <c r="I42">
        <f>IF($F42=0,"NA",IF($A42=INDIRECT("'"&amp;$A42&amp;"'!$B$1"),IF(VLOOKUP(I$1,INDIRECT("'"&amp;$A42&amp;"'!$A$12:$Z$19"),MATCH("Points (Auto-generate)",INDIRECT("'"&amp;$A42&amp;"'!$A$12:$Z$12"),0),0)="","?",VLOOKUP(I$1,INDIRECT("'"&amp;$A42&amp;"'!$A$12:$Z$19"),MATCH("Points (Auto-generate)",INDIRECT("'"&amp;$A42&amp;"'!$A$12:$Z$12"),0),0)),"ER"))</f>
        <v/>
      </c>
      <c r="J42">
        <f>IF($F42=0,"NA",IF($A42=INDIRECT("'"&amp;$A42&amp;"'!$B$1"),IF(VLOOKUP(J$1,INDIRECT("'"&amp;$A42&amp;"'!$A$12:$Z$19"),MATCH("Points (Auto-generate)",INDIRECT("'"&amp;$A42&amp;"'!$A$12:$Z$12"),0),0)="","?",VLOOKUP(J$1,INDIRECT("'"&amp;$A42&amp;"'!$A$12:$Z$19"),MATCH("Points (Auto-generate)",INDIRECT("'"&amp;$A42&amp;"'!$A$12:$Z$12"),0),0)),"ER"))</f>
        <v/>
      </c>
      <c r="K42">
        <f>IF($F42=0,"NA",IF($A42=INDIRECT("'"&amp;$A42&amp;"'!$B$1"),IF(VLOOKUP(K$1,INDIRECT("'"&amp;$A42&amp;"'!$A$12:$Z$19"),MATCH("Points (Auto-generate)",INDIRECT("'"&amp;$A42&amp;"'!$A$12:$Z$12"),0),0)="","?",VLOOKUP(K$1,INDIRECT("'"&amp;$A42&amp;"'!$A$12:$Z$19"),MATCH("Points (Auto-generate)",INDIRECT("'"&amp;$A42&amp;"'!$A$12:$Z$12"),0),0)),"ER"))</f>
        <v/>
      </c>
      <c r="L42">
        <f>IF($F42=0,"NA",IF($A42=INDIRECT("'"&amp;$A42&amp;"'!$B$1"),IF(VLOOKUP(L$1,INDIRECT("'"&amp;$A42&amp;"'!$A$12:$Z$19"),MATCH("Points (Auto-generate)",INDIRECT("'"&amp;$A42&amp;"'!$A$12:$Z$12"),0),0)="","?",VLOOKUP(L$1,INDIRECT("'"&amp;$A42&amp;"'!$A$12:$Z$19"),MATCH("Points (Auto-generate)",INDIRECT("'"&amp;$A42&amp;"'!$A$12:$Z$12"),0),0)),"ER"))</f>
        <v/>
      </c>
      <c r="M42">
        <f>IF($F42=0,"NA",IF($A42=INDIRECT("'"&amp;$A42&amp;"'!$B$1"),IF(VLOOKUP(M$1,INDIRECT("'"&amp;$A42&amp;"'!$A$12:$Z$19"),MATCH("Points (Auto-generate)",INDIRECT("'"&amp;$A42&amp;"'!$A$12:$Z$12"),0),0)="","?",VLOOKUP(M$1,INDIRECT("'"&amp;$A42&amp;"'!$A$12:$Z$19"),MATCH("Points (Auto-generate)",INDIRECT("'"&amp;$A42&amp;"'!$A$12:$Z$12"),0),0)),"ER"))</f>
        <v/>
      </c>
    </row>
    <row r="43">
      <c r="A43" t="inlineStr">
        <is>
          <t>DPG6b</t>
        </is>
      </c>
      <c r="B43">
        <f>VLOOKUP($A43,'PARASTATAL Questions'!$A:$J,3,0)&amp;""</f>
        <v/>
      </c>
      <c r="C43">
        <f>VLOOKUP($A43,'PARASTATAL Questions'!$A:$J,4,0)&amp;""</f>
        <v/>
      </c>
      <c r="D43">
        <f>VLOOKUP($A43,'PARASTATAL Questions'!$A:$J,5,0)&amp;""</f>
        <v/>
      </c>
      <c r="E43">
        <f>VLOOKUP($A43,'PARASTATAL Questions'!$A:$J,7,0)&amp;""</f>
        <v/>
      </c>
      <c r="F43">
        <f>VLOOKUP($A43,'PARASTATAL Questions'!$A:$J,6,0)</f>
        <v/>
      </c>
      <c r="G43">
        <f>IF($F43=0,"NA",IF($A43=INDIRECT("'"&amp;$A43&amp;"'!$B$1"),IF(VLOOKUP(G$1,INDIRECT("'"&amp;$A43&amp;"'!$A$12:$Z$19"),MATCH("Points (Auto-generate)",INDIRECT("'"&amp;$A43&amp;"'!$A$12:$Z$12"),0),0)="","?",VLOOKUP(G$1,INDIRECT("'"&amp;$A43&amp;"'!$A$12:$Z$19"),MATCH("Points (Auto-generate)",INDIRECT("'"&amp;$A43&amp;"'!$A$12:$Z$12"),0),0)),"ER"))</f>
        <v/>
      </c>
      <c r="H43">
        <f>IF($F43=0,"NA",IF($A43=INDIRECT("'"&amp;$A43&amp;"'!$B$1"),IF(VLOOKUP(H$1,INDIRECT("'"&amp;$A43&amp;"'!$A$12:$Z$19"),MATCH("Points (Auto-generate)",INDIRECT("'"&amp;$A43&amp;"'!$A$12:$Z$12"),0),0)="","?",VLOOKUP(H$1,INDIRECT("'"&amp;$A43&amp;"'!$A$12:$Z$19"),MATCH("Points (Auto-generate)",INDIRECT("'"&amp;$A43&amp;"'!$A$12:$Z$12"),0),0)),"ER"))</f>
        <v/>
      </c>
      <c r="I43">
        <f>IF($F43=0,"NA",IF($A43=INDIRECT("'"&amp;$A43&amp;"'!$B$1"),IF(VLOOKUP(I$1,INDIRECT("'"&amp;$A43&amp;"'!$A$12:$Z$19"),MATCH("Points (Auto-generate)",INDIRECT("'"&amp;$A43&amp;"'!$A$12:$Z$12"),0),0)="","?",VLOOKUP(I$1,INDIRECT("'"&amp;$A43&amp;"'!$A$12:$Z$19"),MATCH("Points (Auto-generate)",INDIRECT("'"&amp;$A43&amp;"'!$A$12:$Z$12"),0),0)),"ER"))</f>
        <v/>
      </c>
      <c r="J43">
        <f>IF($F43=0,"NA",IF($A43=INDIRECT("'"&amp;$A43&amp;"'!$B$1"),IF(VLOOKUP(J$1,INDIRECT("'"&amp;$A43&amp;"'!$A$12:$Z$19"),MATCH("Points (Auto-generate)",INDIRECT("'"&amp;$A43&amp;"'!$A$12:$Z$12"),0),0)="","?",VLOOKUP(J$1,INDIRECT("'"&amp;$A43&amp;"'!$A$12:$Z$19"),MATCH("Points (Auto-generate)",INDIRECT("'"&amp;$A43&amp;"'!$A$12:$Z$12"),0),0)),"ER"))</f>
        <v/>
      </c>
      <c r="K43">
        <f>IF($F43=0,"NA",IF($A43=INDIRECT("'"&amp;$A43&amp;"'!$B$1"),IF(VLOOKUP(K$1,INDIRECT("'"&amp;$A43&amp;"'!$A$12:$Z$19"),MATCH("Points (Auto-generate)",INDIRECT("'"&amp;$A43&amp;"'!$A$12:$Z$12"),0),0)="","?",VLOOKUP(K$1,INDIRECT("'"&amp;$A43&amp;"'!$A$12:$Z$19"),MATCH("Points (Auto-generate)",INDIRECT("'"&amp;$A43&amp;"'!$A$12:$Z$12"),0),0)),"ER"))</f>
        <v/>
      </c>
      <c r="L43">
        <f>IF($F43=0,"NA",IF($A43=INDIRECT("'"&amp;$A43&amp;"'!$B$1"),IF(VLOOKUP(L$1,INDIRECT("'"&amp;$A43&amp;"'!$A$12:$Z$19"),MATCH("Points (Auto-generate)",INDIRECT("'"&amp;$A43&amp;"'!$A$12:$Z$12"),0),0)="","?",VLOOKUP(L$1,INDIRECT("'"&amp;$A43&amp;"'!$A$12:$Z$19"),MATCH("Points (Auto-generate)",INDIRECT("'"&amp;$A43&amp;"'!$A$12:$Z$12"),0),0)),"ER"))</f>
        <v/>
      </c>
      <c r="M43">
        <f>IF($F43=0,"NA",IF($A43=INDIRECT("'"&amp;$A43&amp;"'!$B$1"),IF(VLOOKUP(M$1,INDIRECT("'"&amp;$A43&amp;"'!$A$12:$Z$19"),MATCH("Points (Auto-generate)",INDIRECT("'"&amp;$A43&amp;"'!$A$12:$Z$12"),0),0)="","?",VLOOKUP(M$1,INDIRECT("'"&amp;$A43&amp;"'!$A$12:$Z$19"),MATCH("Points (Auto-generate)",INDIRECT("'"&amp;$A43&amp;"'!$A$12:$Z$12"),0),0)),"ER"))</f>
        <v/>
      </c>
    </row>
    <row r="44">
      <c r="A44" s="4" t="inlineStr">
        <is>
          <t>DPG7</t>
        </is>
      </c>
      <c r="B44" s="4">
        <f>VLOOKUP($A44,'PARASTATAL Questions'!$A:$J,3,0)&amp;""</f>
        <v/>
      </c>
      <c r="C44" s="4">
        <f>VLOOKUP($A44,'PARASTATAL Questions'!$A:$J,4,0)&amp;""</f>
        <v/>
      </c>
      <c r="D44" s="4">
        <f>VLOOKUP($A44,'PARASTATAL Questions'!$A:$J,5,0)&amp;""</f>
        <v/>
      </c>
      <c r="E44" s="4">
        <f>VLOOKUP($A44,'PARASTATAL Questions'!$A:$J,7,0)&amp;""</f>
        <v/>
      </c>
      <c r="F44" s="4">
        <f>VLOOKUP($A44,'PARASTATAL Questions'!$A:$J,6,0)</f>
        <v/>
      </c>
      <c r="G44" s="4">
        <f>IF(OR(G45="ER",G46="ER"),"ER",IF(OR(G45="?",G46="?"),"?",IF(AND(G45="NA",G46="NA"),"NA",SUM(G45,G46)/((G45&lt;&gt;"NA")*$F$45+(G46&lt;&gt;"NA")*$F$46)*$F44)))</f>
        <v/>
      </c>
      <c r="H44" s="4">
        <f>IF(OR(H45="ER",H46="ER"),"ER",IF(OR(H45="?",H46="?"),"?",IF(AND(H45="NA",H46="NA"),"NA",SUM(H45,H46)/((H45&lt;&gt;"NA")*$F$45+(H46&lt;&gt;"NA")*$F$46)*$F44)))</f>
        <v/>
      </c>
      <c r="I44" s="4">
        <f>IF(OR(I45="ER",I46="ER"),"ER",IF(OR(I45="?",I46="?"),"?",IF(AND(I45="NA",I46="NA"),"NA",SUM(I45,I46)/((I45&lt;&gt;"NA")*$F$45+(I46&lt;&gt;"NA")*$F$46)*$F44)))</f>
        <v/>
      </c>
      <c r="J44" s="4">
        <f>IF(OR(J45="ER",J46="ER"),"ER",IF(OR(J45="?",J46="?"),"?",IF(AND(J45="NA",J46="NA"),"NA",SUM(J45,J46)/((J45&lt;&gt;"NA")*$F$45+(J46&lt;&gt;"NA")*$F$46)*$F44)))</f>
        <v/>
      </c>
      <c r="K44" s="4">
        <f>IF(OR(K45="ER",K46="ER"),"ER",IF(OR(K45="?",K46="?"),"?",IF(AND(K45="NA",K46="NA"),"NA",SUM(K45,K46)/((K45&lt;&gt;"NA")*$F$45+(K46&lt;&gt;"NA")*$F$46)*$F44)))</f>
        <v/>
      </c>
      <c r="L44" s="4">
        <f>IF(OR(L45="ER",L46="ER"),"ER",IF(OR(L45="?",L46="?"),"?",IF(AND(L45="NA",L46="NA"),"NA",SUM(L45,L46)/((L45&lt;&gt;"NA")*$F$45+(L46&lt;&gt;"NA")*$F$46)*$F44)))</f>
        <v/>
      </c>
      <c r="M44" s="4">
        <f>IF(OR(M45="ER",M46="ER"),"ER",IF(OR(M45="?",M46="?"),"?",IF(AND(M45="NA",M46="NA"),"NA",SUM(M45,M46)/((M45&lt;&gt;"NA")*$F$45+(M46&lt;&gt;"NA")*$F$46)*$F44)))</f>
        <v/>
      </c>
    </row>
    <row r="45">
      <c r="A45" t="inlineStr">
        <is>
          <t>DPG7a</t>
        </is>
      </c>
      <c r="B45">
        <f>VLOOKUP($A45,'PARASTATAL Questions'!$A:$J,3,0)&amp;""</f>
        <v/>
      </c>
      <c r="C45">
        <f>VLOOKUP($A45,'PARASTATAL Questions'!$A:$J,4,0)&amp;""</f>
        <v/>
      </c>
      <c r="D45">
        <f>VLOOKUP($A45,'PARASTATAL Questions'!$A:$J,5,0)&amp;""</f>
        <v/>
      </c>
      <c r="E45">
        <f>VLOOKUP($A45,'PARASTATAL Questions'!$A:$J,7,0)&amp;""</f>
        <v/>
      </c>
      <c r="F45">
        <f>VLOOKUP($A45,'PARASTATAL Questions'!$A:$J,6,0)</f>
        <v/>
      </c>
      <c r="G45">
        <f>IF($F45=0,"NA",IF($A45=INDIRECT("'"&amp;$A45&amp;"'!$B$1"),IF(VLOOKUP(G$1,INDIRECT("'"&amp;$A45&amp;"'!$A$12:$Z$19"),MATCH("Points (Auto-generate)",INDIRECT("'"&amp;$A45&amp;"'!$A$12:$Z$12"),0),0)="","?",VLOOKUP(G$1,INDIRECT("'"&amp;$A45&amp;"'!$A$12:$Z$19"),MATCH("Points (Auto-generate)",INDIRECT("'"&amp;$A45&amp;"'!$A$12:$Z$12"),0),0)),"ER"))</f>
        <v/>
      </c>
      <c r="H45">
        <f>IF($F45=0,"NA",IF($A45=INDIRECT("'"&amp;$A45&amp;"'!$B$1"),IF(VLOOKUP(H$1,INDIRECT("'"&amp;$A45&amp;"'!$A$12:$Z$19"),MATCH("Points (Auto-generate)",INDIRECT("'"&amp;$A45&amp;"'!$A$12:$Z$12"),0),0)="","?",VLOOKUP(H$1,INDIRECT("'"&amp;$A45&amp;"'!$A$12:$Z$19"),MATCH("Points (Auto-generate)",INDIRECT("'"&amp;$A45&amp;"'!$A$12:$Z$12"),0),0)),"ER"))</f>
        <v/>
      </c>
      <c r="I45">
        <f>IF($F45=0,"NA",IF($A45=INDIRECT("'"&amp;$A45&amp;"'!$B$1"),IF(VLOOKUP(I$1,INDIRECT("'"&amp;$A45&amp;"'!$A$12:$Z$19"),MATCH("Points (Auto-generate)",INDIRECT("'"&amp;$A45&amp;"'!$A$12:$Z$12"),0),0)="","?",VLOOKUP(I$1,INDIRECT("'"&amp;$A45&amp;"'!$A$12:$Z$19"),MATCH("Points (Auto-generate)",INDIRECT("'"&amp;$A45&amp;"'!$A$12:$Z$12"),0),0)),"ER"))</f>
        <v/>
      </c>
      <c r="J45">
        <f>IF($F45=0,"NA",IF($A45=INDIRECT("'"&amp;$A45&amp;"'!$B$1"),IF(VLOOKUP(J$1,INDIRECT("'"&amp;$A45&amp;"'!$A$12:$Z$19"),MATCH("Points (Auto-generate)",INDIRECT("'"&amp;$A45&amp;"'!$A$12:$Z$12"),0),0)="","?",VLOOKUP(J$1,INDIRECT("'"&amp;$A45&amp;"'!$A$12:$Z$19"),MATCH("Points (Auto-generate)",INDIRECT("'"&amp;$A45&amp;"'!$A$12:$Z$12"),0),0)),"ER"))</f>
        <v/>
      </c>
      <c r="K45">
        <f>IF($F45=0,"NA",IF($A45=INDIRECT("'"&amp;$A45&amp;"'!$B$1"),IF(VLOOKUP(K$1,INDIRECT("'"&amp;$A45&amp;"'!$A$12:$Z$19"),MATCH("Points (Auto-generate)",INDIRECT("'"&amp;$A45&amp;"'!$A$12:$Z$12"),0),0)="","?",VLOOKUP(K$1,INDIRECT("'"&amp;$A45&amp;"'!$A$12:$Z$19"),MATCH("Points (Auto-generate)",INDIRECT("'"&amp;$A45&amp;"'!$A$12:$Z$12"),0),0)),"ER"))</f>
        <v/>
      </c>
      <c r="L45">
        <f>IF($F45=0,"NA",IF($A45=INDIRECT("'"&amp;$A45&amp;"'!$B$1"),IF(VLOOKUP(L$1,INDIRECT("'"&amp;$A45&amp;"'!$A$12:$Z$19"),MATCH("Points (Auto-generate)",INDIRECT("'"&amp;$A45&amp;"'!$A$12:$Z$12"),0),0)="","?",VLOOKUP(L$1,INDIRECT("'"&amp;$A45&amp;"'!$A$12:$Z$19"),MATCH("Points (Auto-generate)",INDIRECT("'"&amp;$A45&amp;"'!$A$12:$Z$12"),0),0)),"ER"))</f>
        <v/>
      </c>
      <c r="M45">
        <f>IF($F45=0,"NA",IF($A45=INDIRECT("'"&amp;$A45&amp;"'!$B$1"),IF(VLOOKUP(M$1,INDIRECT("'"&amp;$A45&amp;"'!$A$12:$Z$19"),MATCH("Points (Auto-generate)",INDIRECT("'"&amp;$A45&amp;"'!$A$12:$Z$12"),0),0)="","?",VLOOKUP(M$1,INDIRECT("'"&amp;$A45&amp;"'!$A$12:$Z$19"),MATCH("Points (Auto-generate)",INDIRECT("'"&amp;$A45&amp;"'!$A$12:$Z$12"),0),0)),"ER"))</f>
        <v/>
      </c>
    </row>
    <row r="46">
      <c r="A46" t="inlineStr">
        <is>
          <t>DPG7b</t>
        </is>
      </c>
      <c r="B46">
        <f>VLOOKUP($A46,'PARASTATAL Questions'!$A:$J,3,0)&amp;""</f>
        <v/>
      </c>
      <c r="C46">
        <f>VLOOKUP($A46,'PARASTATAL Questions'!$A:$J,4,0)&amp;""</f>
        <v/>
      </c>
      <c r="D46">
        <f>VLOOKUP($A46,'PARASTATAL Questions'!$A:$J,5,0)&amp;""</f>
        <v/>
      </c>
      <c r="E46">
        <f>VLOOKUP($A46,'PARASTATAL Questions'!$A:$J,7,0)&amp;""</f>
        <v/>
      </c>
      <c r="F46">
        <f>VLOOKUP($A46,'PARASTATAL Questions'!$A:$J,6,0)</f>
        <v/>
      </c>
      <c r="G46">
        <f>IF($F46=0,"NA",IF($A46=INDIRECT("'"&amp;$A46&amp;"'!$B$1"),IF(VLOOKUP(G$1,INDIRECT("'"&amp;$A46&amp;"'!$A$12:$Z$19"),MATCH("Points (Auto-generate)",INDIRECT("'"&amp;$A46&amp;"'!$A$12:$Z$12"),0),0)="","?",VLOOKUP(G$1,INDIRECT("'"&amp;$A46&amp;"'!$A$12:$Z$19"),MATCH("Points (Auto-generate)",INDIRECT("'"&amp;$A46&amp;"'!$A$12:$Z$12"),0),0)),"ER"))</f>
        <v/>
      </c>
      <c r="H46">
        <f>IF($F46=0,"NA",IF($A46=INDIRECT("'"&amp;$A46&amp;"'!$B$1"),IF(VLOOKUP(H$1,INDIRECT("'"&amp;$A46&amp;"'!$A$12:$Z$19"),MATCH("Points (Auto-generate)",INDIRECT("'"&amp;$A46&amp;"'!$A$12:$Z$12"),0),0)="","?",VLOOKUP(H$1,INDIRECT("'"&amp;$A46&amp;"'!$A$12:$Z$19"),MATCH("Points (Auto-generate)",INDIRECT("'"&amp;$A46&amp;"'!$A$12:$Z$12"),0),0)),"ER"))</f>
        <v/>
      </c>
      <c r="I46">
        <f>IF($F46=0,"NA",IF($A46=INDIRECT("'"&amp;$A46&amp;"'!$B$1"),IF(VLOOKUP(I$1,INDIRECT("'"&amp;$A46&amp;"'!$A$12:$Z$19"),MATCH("Points (Auto-generate)",INDIRECT("'"&amp;$A46&amp;"'!$A$12:$Z$12"),0),0)="","?",VLOOKUP(I$1,INDIRECT("'"&amp;$A46&amp;"'!$A$12:$Z$19"),MATCH("Points (Auto-generate)",INDIRECT("'"&amp;$A46&amp;"'!$A$12:$Z$12"),0),0)),"ER"))</f>
        <v/>
      </c>
      <c r="J46">
        <f>IF($F46=0,"NA",IF($A46=INDIRECT("'"&amp;$A46&amp;"'!$B$1"),IF(VLOOKUP(J$1,INDIRECT("'"&amp;$A46&amp;"'!$A$12:$Z$19"),MATCH("Points (Auto-generate)",INDIRECT("'"&amp;$A46&amp;"'!$A$12:$Z$12"),0),0)="","?",VLOOKUP(J$1,INDIRECT("'"&amp;$A46&amp;"'!$A$12:$Z$19"),MATCH("Points (Auto-generate)",INDIRECT("'"&amp;$A46&amp;"'!$A$12:$Z$12"),0),0)),"ER"))</f>
        <v/>
      </c>
      <c r="K46">
        <f>IF($F46=0,"NA",IF($A46=INDIRECT("'"&amp;$A46&amp;"'!$B$1"),IF(VLOOKUP(K$1,INDIRECT("'"&amp;$A46&amp;"'!$A$12:$Z$19"),MATCH("Points (Auto-generate)",INDIRECT("'"&amp;$A46&amp;"'!$A$12:$Z$12"),0),0)="","?",VLOOKUP(K$1,INDIRECT("'"&amp;$A46&amp;"'!$A$12:$Z$19"),MATCH("Points (Auto-generate)",INDIRECT("'"&amp;$A46&amp;"'!$A$12:$Z$12"),0),0)),"ER"))</f>
        <v/>
      </c>
      <c r="L46">
        <f>IF($F46=0,"NA",IF($A46=INDIRECT("'"&amp;$A46&amp;"'!$B$1"),IF(VLOOKUP(L$1,INDIRECT("'"&amp;$A46&amp;"'!$A$12:$Z$19"),MATCH("Points (Auto-generate)",INDIRECT("'"&amp;$A46&amp;"'!$A$12:$Z$12"),0),0)="","?",VLOOKUP(L$1,INDIRECT("'"&amp;$A46&amp;"'!$A$12:$Z$19"),MATCH("Points (Auto-generate)",INDIRECT("'"&amp;$A46&amp;"'!$A$12:$Z$12"),0),0)),"ER"))</f>
        <v/>
      </c>
      <c r="M46">
        <f>IF($F46=0,"NA",IF($A46=INDIRECT("'"&amp;$A46&amp;"'!$B$1"),IF(VLOOKUP(M$1,INDIRECT("'"&amp;$A46&amp;"'!$A$12:$Z$19"),MATCH("Points (Auto-generate)",INDIRECT("'"&amp;$A46&amp;"'!$A$12:$Z$12"),0),0)="","?",VLOOKUP(M$1,INDIRECT("'"&amp;$A46&amp;"'!$A$12:$Z$19"),MATCH("Points (Auto-generate)",INDIRECT("'"&amp;$A46&amp;"'!$A$12:$Z$12"),0),0)),"ER"))</f>
        <v/>
      </c>
    </row>
    <row r="47">
      <c r="A47" s="4" t="inlineStr">
        <is>
          <t>SC1</t>
        </is>
      </c>
      <c r="B47" s="4">
        <f>VLOOKUP($A47,'PARASTATAL Questions'!$A:$J,3,0)&amp;""</f>
        <v/>
      </c>
      <c r="C47" s="4">
        <f>VLOOKUP($A47,'PARASTATAL Questions'!$A:$J,4,0)&amp;""</f>
        <v/>
      </c>
      <c r="D47" s="4">
        <f>VLOOKUP($A47,'PARASTATAL Questions'!$A:$J,5,0)&amp;""</f>
        <v/>
      </c>
      <c r="E47" s="4">
        <f>VLOOKUP($A47,'PARASTATAL Questions'!$A:$J,7,0)&amp;""</f>
        <v/>
      </c>
      <c r="F47" s="4">
        <f>VLOOKUP($A47,'PARASTATAL Questions'!$A:$J,6,0)</f>
        <v/>
      </c>
      <c r="G47" s="4">
        <f>IF($F47=0,"NA",IF($A47=INDIRECT("'"&amp;$A47&amp;"'!$B$1"),IF(VLOOKUP(G$1,INDIRECT("'"&amp;$A47&amp;"'!$A$12:$Z$19"),MATCH("Points (Auto-generate)",INDIRECT("'"&amp;$A47&amp;"'!$A$12:$Z$12"),0),0)="","?",VLOOKUP(G$1,INDIRECT("'"&amp;$A47&amp;"'!$A$12:$Z$19"),MATCH("Points (Auto-generate)",INDIRECT("'"&amp;$A47&amp;"'!$A$12:$Z$12"),0),0)),"ER"))</f>
        <v/>
      </c>
      <c r="H47" s="4">
        <f>IF($F47=0,"NA",IF($A47=INDIRECT("'"&amp;$A47&amp;"'!$B$1"),IF(VLOOKUP(H$1,INDIRECT("'"&amp;$A47&amp;"'!$A$12:$Z$19"),MATCH("Points (Auto-generate)",INDIRECT("'"&amp;$A47&amp;"'!$A$12:$Z$12"),0),0)="","?",VLOOKUP(H$1,INDIRECT("'"&amp;$A47&amp;"'!$A$12:$Z$19"),MATCH("Points (Auto-generate)",INDIRECT("'"&amp;$A47&amp;"'!$A$12:$Z$12"),0),0)),"ER"))</f>
        <v/>
      </c>
      <c r="I47" s="4">
        <f>IF($F47=0,"NA",IF($A47=INDIRECT("'"&amp;$A47&amp;"'!$B$1"),IF(VLOOKUP(I$1,INDIRECT("'"&amp;$A47&amp;"'!$A$12:$Z$19"),MATCH("Points (Auto-generate)",INDIRECT("'"&amp;$A47&amp;"'!$A$12:$Z$12"),0),0)="","?",VLOOKUP(I$1,INDIRECT("'"&amp;$A47&amp;"'!$A$12:$Z$19"),MATCH("Points (Auto-generate)",INDIRECT("'"&amp;$A47&amp;"'!$A$12:$Z$12"),0),0)),"ER"))</f>
        <v/>
      </c>
      <c r="J47" s="4">
        <f>IF($F47=0,"NA",IF($A47=INDIRECT("'"&amp;$A47&amp;"'!$B$1"),IF(VLOOKUP(J$1,INDIRECT("'"&amp;$A47&amp;"'!$A$12:$Z$19"),MATCH("Points (Auto-generate)",INDIRECT("'"&amp;$A47&amp;"'!$A$12:$Z$12"),0),0)="","?",VLOOKUP(J$1,INDIRECT("'"&amp;$A47&amp;"'!$A$12:$Z$19"),MATCH("Points (Auto-generate)",INDIRECT("'"&amp;$A47&amp;"'!$A$12:$Z$12"),0),0)),"ER"))</f>
        <v/>
      </c>
      <c r="K47" s="4">
        <f>IF($F47=0,"NA",IF($A47=INDIRECT("'"&amp;$A47&amp;"'!$B$1"),IF(VLOOKUP(K$1,INDIRECT("'"&amp;$A47&amp;"'!$A$12:$Z$19"),MATCH("Points (Auto-generate)",INDIRECT("'"&amp;$A47&amp;"'!$A$12:$Z$12"),0),0)="","?",VLOOKUP(K$1,INDIRECT("'"&amp;$A47&amp;"'!$A$12:$Z$19"),MATCH("Points (Auto-generate)",INDIRECT("'"&amp;$A47&amp;"'!$A$12:$Z$12"),0),0)),"ER"))</f>
        <v/>
      </c>
      <c r="L47" s="4">
        <f>IF($F47=0,"NA",IF($A47=INDIRECT("'"&amp;$A47&amp;"'!$B$1"),IF(VLOOKUP(L$1,INDIRECT("'"&amp;$A47&amp;"'!$A$12:$Z$19"),MATCH("Points (Auto-generate)",INDIRECT("'"&amp;$A47&amp;"'!$A$12:$Z$12"),0),0)="","?",VLOOKUP(L$1,INDIRECT("'"&amp;$A47&amp;"'!$A$12:$Z$19"),MATCH("Points (Auto-generate)",INDIRECT("'"&amp;$A47&amp;"'!$A$12:$Z$12"),0),0)),"ER"))</f>
        <v/>
      </c>
      <c r="M47" s="4">
        <f>IF($F47=0,"NA",IF($A47=INDIRECT("'"&amp;$A47&amp;"'!$B$1"),IF(VLOOKUP(M$1,INDIRECT("'"&amp;$A47&amp;"'!$A$12:$Z$19"),MATCH("Points (Auto-generate)",INDIRECT("'"&amp;$A47&amp;"'!$A$12:$Z$12"),0),0)="","?",VLOOKUP(M$1,INDIRECT("'"&amp;$A47&amp;"'!$A$12:$Z$19"),MATCH("Points (Auto-generate)",INDIRECT("'"&amp;$A47&amp;"'!$A$12:$Z$12"),0),0)),"ER"))</f>
        <v/>
      </c>
    </row>
    <row r="48">
      <c r="A48" s="4" t="inlineStr">
        <is>
          <t>SC2</t>
        </is>
      </c>
      <c r="B48" s="4">
        <f>VLOOKUP($A48,'PARASTATAL Questions'!$A:$J,3,0)&amp;""</f>
        <v/>
      </c>
      <c r="C48" s="4">
        <f>VLOOKUP($A48,'PARASTATAL Questions'!$A:$J,4,0)&amp;""</f>
        <v/>
      </c>
      <c r="D48" s="4">
        <f>VLOOKUP($A48,'PARASTATAL Questions'!$A:$J,5,0)&amp;""</f>
        <v/>
      </c>
      <c r="E48" s="4">
        <f>VLOOKUP($A48,'PARASTATAL Questions'!$A:$J,7,0)&amp;""</f>
        <v/>
      </c>
      <c r="F48" s="4">
        <f>VLOOKUP($A48,'PARASTATAL Questions'!$A:$J,6,0)</f>
        <v/>
      </c>
      <c r="G48" s="4">
        <f>IF($F48=0,"NA",IF($A48=INDIRECT("'"&amp;$A48&amp;"'!$B$1"),IF(VLOOKUP(G$1,INDIRECT("'"&amp;$A48&amp;"'!$A$12:$Z$19"),MATCH("Points (Auto-generate)",INDIRECT("'"&amp;$A48&amp;"'!$A$12:$Z$12"),0),0)="","?",VLOOKUP(G$1,INDIRECT("'"&amp;$A48&amp;"'!$A$12:$Z$19"),MATCH("Points (Auto-generate)",INDIRECT("'"&amp;$A48&amp;"'!$A$12:$Z$12"),0),0)),"ER"))</f>
        <v/>
      </c>
      <c r="H48" s="4">
        <f>IF($F48=0,"NA",IF($A48=INDIRECT("'"&amp;$A48&amp;"'!$B$1"),IF(VLOOKUP(H$1,INDIRECT("'"&amp;$A48&amp;"'!$A$12:$Z$19"),MATCH("Points (Auto-generate)",INDIRECT("'"&amp;$A48&amp;"'!$A$12:$Z$12"),0),0)="","?",VLOOKUP(H$1,INDIRECT("'"&amp;$A48&amp;"'!$A$12:$Z$19"),MATCH("Points (Auto-generate)",INDIRECT("'"&amp;$A48&amp;"'!$A$12:$Z$12"),0),0)),"ER"))</f>
        <v/>
      </c>
      <c r="I48" s="4">
        <f>IF($F48=0,"NA",IF($A48=INDIRECT("'"&amp;$A48&amp;"'!$B$1"),IF(VLOOKUP(I$1,INDIRECT("'"&amp;$A48&amp;"'!$A$12:$Z$19"),MATCH("Points (Auto-generate)",INDIRECT("'"&amp;$A48&amp;"'!$A$12:$Z$12"),0),0)="","?",VLOOKUP(I$1,INDIRECT("'"&amp;$A48&amp;"'!$A$12:$Z$19"),MATCH("Points (Auto-generate)",INDIRECT("'"&amp;$A48&amp;"'!$A$12:$Z$12"),0),0)),"ER"))</f>
        <v/>
      </c>
      <c r="J48" s="4">
        <f>IF($F48=0,"NA",IF($A48=INDIRECT("'"&amp;$A48&amp;"'!$B$1"),IF(VLOOKUP(J$1,INDIRECT("'"&amp;$A48&amp;"'!$A$12:$Z$19"),MATCH("Points (Auto-generate)",INDIRECT("'"&amp;$A48&amp;"'!$A$12:$Z$12"),0),0)="","?",VLOOKUP(J$1,INDIRECT("'"&amp;$A48&amp;"'!$A$12:$Z$19"),MATCH("Points (Auto-generate)",INDIRECT("'"&amp;$A48&amp;"'!$A$12:$Z$12"),0),0)),"ER"))</f>
        <v/>
      </c>
      <c r="K48" s="4">
        <f>IF($F48=0,"NA",IF($A48=INDIRECT("'"&amp;$A48&amp;"'!$B$1"),IF(VLOOKUP(K$1,INDIRECT("'"&amp;$A48&amp;"'!$A$12:$Z$19"),MATCH("Points (Auto-generate)",INDIRECT("'"&amp;$A48&amp;"'!$A$12:$Z$12"),0),0)="","?",VLOOKUP(K$1,INDIRECT("'"&amp;$A48&amp;"'!$A$12:$Z$19"),MATCH("Points (Auto-generate)",INDIRECT("'"&amp;$A48&amp;"'!$A$12:$Z$12"),0),0)),"ER"))</f>
        <v/>
      </c>
      <c r="L48" s="4">
        <f>IF($F48=0,"NA",IF($A48=INDIRECT("'"&amp;$A48&amp;"'!$B$1"),IF(VLOOKUP(L$1,INDIRECT("'"&amp;$A48&amp;"'!$A$12:$Z$19"),MATCH("Points (Auto-generate)",INDIRECT("'"&amp;$A48&amp;"'!$A$12:$Z$12"),0),0)="","?",VLOOKUP(L$1,INDIRECT("'"&amp;$A48&amp;"'!$A$12:$Z$19"),MATCH("Points (Auto-generate)",INDIRECT("'"&amp;$A48&amp;"'!$A$12:$Z$12"),0),0)),"ER"))</f>
        <v/>
      </c>
      <c r="M48" s="4">
        <f>IF($F48=0,"NA",IF($A48=INDIRECT("'"&amp;$A48&amp;"'!$B$1"),IF(VLOOKUP(M$1,INDIRECT("'"&amp;$A48&amp;"'!$A$12:$Z$19"),MATCH("Points (Auto-generate)",INDIRECT("'"&amp;$A48&amp;"'!$A$12:$Z$12"),0),0)="","?",VLOOKUP(M$1,INDIRECT("'"&amp;$A48&amp;"'!$A$12:$Z$19"),MATCH("Points (Auto-generate)",INDIRECT("'"&amp;$A48&amp;"'!$A$12:$Z$12"),0),0)),"ER"))</f>
        <v/>
      </c>
    </row>
    <row r="49">
      <c r="A49" s="4" t="inlineStr">
        <is>
          <t>SC3</t>
        </is>
      </c>
      <c r="B49" s="4">
        <f>VLOOKUP($A49,'PARASTATAL Questions'!$A:$J,3,0)&amp;""</f>
        <v/>
      </c>
      <c r="C49" s="4">
        <f>VLOOKUP($A49,'PARASTATAL Questions'!$A:$J,4,0)&amp;""</f>
        <v/>
      </c>
      <c r="D49" s="4">
        <f>VLOOKUP($A49,'PARASTATAL Questions'!$A:$J,5,0)&amp;""</f>
        <v/>
      </c>
      <c r="E49" s="4">
        <f>VLOOKUP($A49,'PARASTATAL Questions'!$A:$J,7,0)&amp;""</f>
        <v/>
      </c>
      <c r="F49" s="4">
        <f>VLOOKUP($A49,'PARASTATAL Questions'!$A:$J,6,0)</f>
        <v/>
      </c>
      <c r="G49" s="4">
        <f>IF($F49=0,"NA",IF($A49=INDIRECT("'"&amp;$A49&amp;"'!$B$1"),IF(VLOOKUP(G$1,INDIRECT("'"&amp;$A49&amp;"'!$A$12:$Z$19"),MATCH("Points (Auto-generate)",INDIRECT("'"&amp;$A49&amp;"'!$A$12:$Z$12"),0),0)="","?",VLOOKUP(G$1,INDIRECT("'"&amp;$A49&amp;"'!$A$12:$Z$19"),MATCH("Points (Auto-generate)",INDIRECT("'"&amp;$A49&amp;"'!$A$12:$Z$12"),0),0)),"ER"))</f>
        <v/>
      </c>
      <c r="H49" s="4">
        <f>IF($F49=0,"NA",IF($A49=INDIRECT("'"&amp;$A49&amp;"'!$B$1"),IF(VLOOKUP(H$1,INDIRECT("'"&amp;$A49&amp;"'!$A$12:$Z$19"),MATCH("Points (Auto-generate)",INDIRECT("'"&amp;$A49&amp;"'!$A$12:$Z$12"),0),0)="","?",VLOOKUP(H$1,INDIRECT("'"&amp;$A49&amp;"'!$A$12:$Z$19"),MATCH("Points (Auto-generate)",INDIRECT("'"&amp;$A49&amp;"'!$A$12:$Z$12"),0),0)),"ER"))</f>
        <v/>
      </c>
      <c r="I49" s="4">
        <f>IF($F49=0,"NA",IF($A49=INDIRECT("'"&amp;$A49&amp;"'!$B$1"),IF(VLOOKUP(I$1,INDIRECT("'"&amp;$A49&amp;"'!$A$12:$Z$19"),MATCH("Points (Auto-generate)",INDIRECT("'"&amp;$A49&amp;"'!$A$12:$Z$12"),0),0)="","?",VLOOKUP(I$1,INDIRECT("'"&amp;$A49&amp;"'!$A$12:$Z$19"),MATCH("Points (Auto-generate)",INDIRECT("'"&amp;$A49&amp;"'!$A$12:$Z$12"),0),0)),"ER"))</f>
        <v/>
      </c>
      <c r="J49" s="4">
        <f>IF($F49=0,"NA",IF($A49=INDIRECT("'"&amp;$A49&amp;"'!$B$1"),IF(VLOOKUP(J$1,INDIRECT("'"&amp;$A49&amp;"'!$A$12:$Z$19"),MATCH("Points (Auto-generate)",INDIRECT("'"&amp;$A49&amp;"'!$A$12:$Z$12"),0),0)="","?",VLOOKUP(J$1,INDIRECT("'"&amp;$A49&amp;"'!$A$12:$Z$19"),MATCH("Points (Auto-generate)",INDIRECT("'"&amp;$A49&amp;"'!$A$12:$Z$12"),0),0)),"ER"))</f>
        <v/>
      </c>
      <c r="K49" s="4">
        <f>IF($F49=0,"NA",IF($A49=INDIRECT("'"&amp;$A49&amp;"'!$B$1"),IF(VLOOKUP(K$1,INDIRECT("'"&amp;$A49&amp;"'!$A$12:$Z$19"),MATCH("Points (Auto-generate)",INDIRECT("'"&amp;$A49&amp;"'!$A$12:$Z$12"),0),0)="","?",VLOOKUP(K$1,INDIRECT("'"&amp;$A49&amp;"'!$A$12:$Z$19"),MATCH("Points (Auto-generate)",INDIRECT("'"&amp;$A49&amp;"'!$A$12:$Z$12"),0),0)),"ER"))</f>
        <v/>
      </c>
      <c r="L49" s="4">
        <f>IF($F49=0,"NA",IF($A49=INDIRECT("'"&amp;$A49&amp;"'!$B$1"),IF(VLOOKUP(L$1,INDIRECT("'"&amp;$A49&amp;"'!$A$12:$Z$19"),MATCH("Points (Auto-generate)",INDIRECT("'"&amp;$A49&amp;"'!$A$12:$Z$12"),0),0)="","?",VLOOKUP(L$1,INDIRECT("'"&amp;$A49&amp;"'!$A$12:$Z$19"),MATCH("Points (Auto-generate)",INDIRECT("'"&amp;$A49&amp;"'!$A$12:$Z$12"),0),0)),"ER"))</f>
        <v/>
      </c>
      <c r="M49" s="4">
        <f>IF($F49=0,"NA",IF($A49=INDIRECT("'"&amp;$A49&amp;"'!$B$1"),IF(VLOOKUP(M$1,INDIRECT("'"&amp;$A49&amp;"'!$A$12:$Z$19"),MATCH("Points (Auto-generate)",INDIRECT("'"&amp;$A49&amp;"'!$A$12:$Z$12"),0),0)="","?",VLOOKUP(M$1,INDIRECT("'"&amp;$A49&amp;"'!$A$12:$Z$19"),MATCH("Points (Auto-generate)",INDIRECT("'"&amp;$A49&amp;"'!$A$12:$Z$12"),0),0)),"ER"))</f>
        <v/>
      </c>
    </row>
    <row r="50">
      <c r="A50" s="4" t="inlineStr">
        <is>
          <t>SC4</t>
        </is>
      </c>
      <c r="B50" s="4">
        <f>VLOOKUP($A50,'PARASTATAL Questions'!$A:$J,3,0)&amp;""</f>
        <v/>
      </c>
      <c r="C50" s="4">
        <f>VLOOKUP($A50,'PARASTATAL Questions'!$A:$J,4,0)&amp;""</f>
        <v/>
      </c>
      <c r="D50" s="4">
        <f>VLOOKUP($A50,'PARASTATAL Questions'!$A:$J,5,0)&amp;""</f>
        <v/>
      </c>
      <c r="E50" s="4">
        <f>VLOOKUP($A50,'PARASTATAL Questions'!$A:$J,7,0)&amp;""</f>
        <v/>
      </c>
      <c r="F50" s="4">
        <f>VLOOKUP($A50,'PARASTATAL Questions'!$A:$J,6,0)</f>
        <v/>
      </c>
      <c r="G50" s="4">
        <f>IF(OR(G51="ER",G52="ER"),"ER",IF(OR(G51="?",G52="?"),"?",IF(AND(G51="NA",G52="NA"),"NA",SUM(G51,G52)/((G51&lt;&gt;"NA")*$F$51+(G52&lt;&gt;"NA")*$F$52)*$F50)))</f>
        <v/>
      </c>
      <c r="H50" s="4">
        <f>IF(OR(H51="ER",H52="ER"),"ER",IF(OR(H51="?",H52="?"),"?",IF(AND(H51="NA",H52="NA"),"NA",SUM(H51,H52)/((H51&lt;&gt;"NA")*$F$51+(H52&lt;&gt;"NA")*$F$52)*$F50)))</f>
        <v/>
      </c>
      <c r="I50" s="4">
        <f>IF(OR(I51="ER",I52="ER"),"ER",IF(OR(I51="?",I52="?"),"?",IF(AND(I51="NA",I52="NA"),"NA",SUM(I51,I52)/((I51&lt;&gt;"NA")*$F$51+(I52&lt;&gt;"NA")*$F$52)*$F50)))</f>
        <v/>
      </c>
      <c r="J50" s="4">
        <f>IF(OR(J51="ER",J52="ER"),"ER",IF(OR(J51="?",J52="?"),"?",IF(AND(J51="NA",J52="NA"),"NA",SUM(J51,J52)/((J51&lt;&gt;"NA")*$F$51+(J52&lt;&gt;"NA")*$F$52)*$F50)))</f>
        <v/>
      </c>
      <c r="K50" s="4">
        <f>IF(OR(K51="ER",K52="ER"),"ER",IF(OR(K51="?",K52="?"),"?",IF(AND(K51="NA",K52="NA"),"NA",SUM(K51,K52)/((K51&lt;&gt;"NA")*$F$51+(K52&lt;&gt;"NA")*$F$52)*$F50)))</f>
        <v/>
      </c>
      <c r="L50" s="4">
        <f>IF(OR(L51="ER",L52="ER"),"ER",IF(OR(L51="?",L52="?"),"?",IF(AND(L51="NA",L52="NA"),"NA",SUM(L51,L52)/((L51&lt;&gt;"NA")*$F$51+(L52&lt;&gt;"NA")*$F$52)*$F50)))</f>
        <v/>
      </c>
      <c r="M50" s="4">
        <f>IF(OR(M51="ER",M52="ER"),"ER",IF(OR(M51="?",M52="?"),"?",IF(AND(M51="NA",M52="NA"),"NA",SUM(M51,M52)/((M51&lt;&gt;"NA")*$F$51+(M52&lt;&gt;"NA")*$F$52)*$F50)))</f>
        <v/>
      </c>
    </row>
    <row r="51">
      <c r="A51" t="inlineStr">
        <is>
          <t>SC4a</t>
        </is>
      </c>
      <c r="B51">
        <f>VLOOKUP($A51,'PARASTATAL Questions'!$A:$J,3,0)&amp;""</f>
        <v/>
      </c>
      <c r="C51">
        <f>VLOOKUP($A51,'PARASTATAL Questions'!$A:$J,4,0)&amp;""</f>
        <v/>
      </c>
      <c r="D51">
        <f>VLOOKUP($A51,'PARASTATAL Questions'!$A:$J,5,0)&amp;""</f>
        <v/>
      </c>
      <c r="E51">
        <f>VLOOKUP($A51,'PARASTATAL Questions'!$A:$J,7,0)&amp;""</f>
        <v/>
      </c>
      <c r="F51">
        <f>VLOOKUP($A51,'PARASTATAL Questions'!$A:$J,6,0)</f>
        <v/>
      </c>
      <c r="G51">
        <f>IF($F51=0,"NA",IF($A51=INDIRECT("'"&amp;$A51&amp;"'!$B$1"),IF(VLOOKUP(G$1,INDIRECT("'"&amp;$A51&amp;"'!$A$12:$Z$19"),MATCH("Points (Auto-generate)",INDIRECT("'"&amp;$A51&amp;"'!$A$12:$Z$12"),0),0)="","?",VLOOKUP(G$1,INDIRECT("'"&amp;$A51&amp;"'!$A$12:$Z$19"),MATCH("Points (Auto-generate)",INDIRECT("'"&amp;$A51&amp;"'!$A$12:$Z$12"),0),0)),"ER"))</f>
        <v/>
      </c>
      <c r="H51">
        <f>IF($F51=0,"NA",IF($A51=INDIRECT("'"&amp;$A51&amp;"'!$B$1"),IF(VLOOKUP(H$1,INDIRECT("'"&amp;$A51&amp;"'!$A$12:$Z$19"),MATCH("Points (Auto-generate)",INDIRECT("'"&amp;$A51&amp;"'!$A$12:$Z$12"),0),0)="","?",VLOOKUP(H$1,INDIRECT("'"&amp;$A51&amp;"'!$A$12:$Z$19"),MATCH("Points (Auto-generate)",INDIRECT("'"&amp;$A51&amp;"'!$A$12:$Z$12"),0),0)),"ER"))</f>
        <v/>
      </c>
      <c r="I51">
        <f>IF($F51=0,"NA",IF($A51=INDIRECT("'"&amp;$A51&amp;"'!$B$1"),IF(VLOOKUP(I$1,INDIRECT("'"&amp;$A51&amp;"'!$A$12:$Z$19"),MATCH("Points (Auto-generate)",INDIRECT("'"&amp;$A51&amp;"'!$A$12:$Z$12"),0),0)="","?",VLOOKUP(I$1,INDIRECT("'"&amp;$A51&amp;"'!$A$12:$Z$19"),MATCH("Points (Auto-generate)",INDIRECT("'"&amp;$A51&amp;"'!$A$12:$Z$12"),0),0)),"ER"))</f>
        <v/>
      </c>
      <c r="J51">
        <f>IF($F51=0,"NA",IF($A51=INDIRECT("'"&amp;$A51&amp;"'!$B$1"),IF(VLOOKUP(J$1,INDIRECT("'"&amp;$A51&amp;"'!$A$12:$Z$19"),MATCH("Points (Auto-generate)",INDIRECT("'"&amp;$A51&amp;"'!$A$12:$Z$12"),0),0)="","?",VLOOKUP(J$1,INDIRECT("'"&amp;$A51&amp;"'!$A$12:$Z$19"),MATCH("Points (Auto-generate)",INDIRECT("'"&amp;$A51&amp;"'!$A$12:$Z$12"),0),0)),"ER"))</f>
        <v/>
      </c>
      <c r="K51">
        <f>IF($F51=0,"NA",IF($A51=INDIRECT("'"&amp;$A51&amp;"'!$B$1"),IF(VLOOKUP(K$1,INDIRECT("'"&amp;$A51&amp;"'!$A$12:$Z$19"),MATCH("Points (Auto-generate)",INDIRECT("'"&amp;$A51&amp;"'!$A$12:$Z$12"),0),0)="","?",VLOOKUP(K$1,INDIRECT("'"&amp;$A51&amp;"'!$A$12:$Z$19"),MATCH("Points (Auto-generate)",INDIRECT("'"&amp;$A51&amp;"'!$A$12:$Z$12"),0),0)),"ER"))</f>
        <v/>
      </c>
      <c r="L51">
        <f>IF($F51=0,"NA",IF($A51=INDIRECT("'"&amp;$A51&amp;"'!$B$1"),IF(VLOOKUP(L$1,INDIRECT("'"&amp;$A51&amp;"'!$A$12:$Z$19"),MATCH("Points (Auto-generate)",INDIRECT("'"&amp;$A51&amp;"'!$A$12:$Z$12"),0),0)="","?",VLOOKUP(L$1,INDIRECT("'"&amp;$A51&amp;"'!$A$12:$Z$19"),MATCH("Points (Auto-generate)",INDIRECT("'"&amp;$A51&amp;"'!$A$12:$Z$12"),0),0)),"ER"))</f>
        <v/>
      </c>
      <c r="M51">
        <f>IF($F51=0,"NA",IF($A51=INDIRECT("'"&amp;$A51&amp;"'!$B$1"),IF(VLOOKUP(M$1,INDIRECT("'"&amp;$A51&amp;"'!$A$12:$Z$19"),MATCH("Points (Auto-generate)",INDIRECT("'"&amp;$A51&amp;"'!$A$12:$Z$12"),0),0)="","?",VLOOKUP(M$1,INDIRECT("'"&amp;$A51&amp;"'!$A$12:$Z$19"),MATCH("Points (Auto-generate)",INDIRECT("'"&amp;$A51&amp;"'!$A$12:$Z$12"),0),0)),"ER"))</f>
        <v/>
      </c>
    </row>
    <row r="52">
      <c r="A52" t="inlineStr">
        <is>
          <t>SC4b</t>
        </is>
      </c>
      <c r="B52">
        <f>VLOOKUP($A52,'PARASTATAL Questions'!$A:$J,3,0)&amp;""</f>
        <v/>
      </c>
      <c r="C52">
        <f>VLOOKUP($A52,'PARASTATAL Questions'!$A:$J,4,0)&amp;""</f>
        <v/>
      </c>
      <c r="D52">
        <f>VLOOKUP($A52,'PARASTATAL Questions'!$A:$J,5,0)&amp;""</f>
        <v/>
      </c>
      <c r="E52">
        <f>VLOOKUP($A52,'PARASTATAL Questions'!$A:$J,7,0)&amp;""</f>
        <v/>
      </c>
      <c r="F52">
        <f>VLOOKUP($A52,'PARASTATAL Questions'!$A:$J,6,0)</f>
        <v/>
      </c>
      <c r="G52">
        <f>IF($F52=0,"NA",IF($A52=INDIRECT("'"&amp;$A52&amp;"'!$B$1"),IF(VLOOKUP(G$1,INDIRECT("'"&amp;$A52&amp;"'!$A$12:$Z$19"),MATCH("Points (Auto-generate)",INDIRECT("'"&amp;$A52&amp;"'!$A$12:$Z$12"),0),0)="","?",VLOOKUP(G$1,INDIRECT("'"&amp;$A52&amp;"'!$A$12:$Z$19"),MATCH("Points (Auto-generate)",INDIRECT("'"&amp;$A52&amp;"'!$A$12:$Z$12"),0),0)),"ER"))</f>
        <v/>
      </c>
      <c r="H52">
        <f>IF($F52=0,"NA",IF($A52=INDIRECT("'"&amp;$A52&amp;"'!$B$1"),IF(VLOOKUP(H$1,INDIRECT("'"&amp;$A52&amp;"'!$A$12:$Z$19"),MATCH("Points (Auto-generate)",INDIRECT("'"&amp;$A52&amp;"'!$A$12:$Z$12"),0),0)="","?",VLOOKUP(H$1,INDIRECT("'"&amp;$A52&amp;"'!$A$12:$Z$19"),MATCH("Points (Auto-generate)",INDIRECT("'"&amp;$A52&amp;"'!$A$12:$Z$12"),0),0)),"ER"))</f>
        <v/>
      </c>
      <c r="I52">
        <f>IF($F52=0,"NA",IF($A52=INDIRECT("'"&amp;$A52&amp;"'!$B$1"),IF(VLOOKUP(I$1,INDIRECT("'"&amp;$A52&amp;"'!$A$12:$Z$19"),MATCH("Points (Auto-generate)",INDIRECT("'"&amp;$A52&amp;"'!$A$12:$Z$12"),0),0)="","?",VLOOKUP(I$1,INDIRECT("'"&amp;$A52&amp;"'!$A$12:$Z$19"),MATCH("Points (Auto-generate)",INDIRECT("'"&amp;$A52&amp;"'!$A$12:$Z$12"),0),0)),"ER"))</f>
        <v/>
      </c>
      <c r="J52">
        <f>IF($F52=0,"NA",IF($A52=INDIRECT("'"&amp;$A52&amp;"'!$B$1"),IF(VLOOKUP(J$1,INDIRECT("'"&amp;$A52&amp;"'!$A$12:$Z$19"),MATCH("Points (Auto-generate)",INDIRECT("'"&amp;$A52&amp;"'!$A$12:$Z$12"),0),0)="","?",VLOOKUP(J$1,INDIRECT("'"&amp;$A52&amp;"'!$A$12:$Z$19"),MATCH("Points (Auto-generate)",INDIRECT("'"&amp;$A52&amp;"'!$A$12:$Z$12"),0),0)),"ER"))</f>
        <v/>
      </c>
      <c r="K52">
        <f>IF($F52=0,"NA",IF($A52=INDIRECT("'"&amp;$A52&amp;"'!$B$1"),IF(VLOOKUP(K$1,INDIRECT("'"&amp;$A52&amp;"'!$A$12:$Z$19"),MATCH("Points (Auto-generate)",INDIRECT("'"&amp;$A52&amp;"'!$A$12:$Z$12"),0),0)="","?",VLOOKUP(K$1,INDIRECT("'"&amp;$A52&amp;"'!$A$12:$Z$19"),MATCH("Points (Auto-generate)",INDIRECT("'"&amp;$A52&amp;"'!$A$12:$Z$12"),0),0)),"ER"))</f>
        <v/>
      </c>
      <c r="L52">
        <f>IF($F52=0,"NA",IF($A52=INDIRECT("'"&amp;$A52&amp;"'!$B$1"),IF(VLOOKUP(L$1,INDIRECT("'"&amp;$A52&amp;"'!$A$12:$Z$19"),MATCH("Points (Auto-generate)",INDIRECT("'"&amp;$A52&amp;"'!$A$12:$Z$12"),0),0)="","?",VLOOKUP(L$1,INDIRECT("'"&amp;$A52&amp;"'!$A$12:$Z$19"),MATCH("Points (Auto-generate)",INDIRECT("'"&amp;$A52&amp;"'!$A$12:$Z$12"),0),0)),"ER"))</f>
        <v/>
      </c>
      <c r="M52">
        <f>IF($F52=0,"NA",IF($A52=INDIRECT("'"&amp;$A52&amp;"'!$B$1"),IF(VLOOKUP(M$1,INDIRECT("'"&amp;$A52&amp;"'!$A$12:$Z$19"),MATCH("Points (Auto-generate)",INDIRECT("'"&amp;$A52&amp;"'!$A$12:$Z$12"),0),0)="","?",VLOOKUP(M$1,INDIRECT("'"&amp;$A52&amp;"'!$A$12:$Z$19"),MATCH("Points (Auto-generate)",INDIRECT("'"&amp;$A52&amp;"'!$A$12:$Z$12"),0),0)),"ER"))</f>
        <v/>
      </c>
    </row>
    <row r="53">
      <c r="A53" s="4" t="inlineStr">
        <is>
          <t>SC5</t>
        </is>
      </c>
      <c r="B53" s="4">
        <f>VLOOKUP($A53,'PARASTATAL Questions'!$A:$J,3,0)&amp;""</f>
        <v/>
      </c>
      <c r="C53" s="4">
        <f>VLOOKUP($A53,'PARASTATAL Questions'!$A:$J,4,0)&amp;""</f>
        <v/>
      </c>
      <c r="D53" s="4">
        <f>VLOOKUP($A53,'PARASTATAL Questions'!$A:$J,5,0)&amp;""</f>
        <v/>
      </c>
      <c r="E53" s="4">
        <f>VLOOKUP($A53,'PARASTATAL Questions'!$A:$J,7,0)&amp;""</f>
        <v/>
      </c>
      <c r="F53" s="4">
        <f>VLOOKUP($A53,'PARASTATAL Questions'!$A:$J,6,0)</f>
        <v/>
      </c>
      <c r="G53" s="4">
        <f>IF($F53=0,"NA",IF($A53=INDIRECT("'"&amp;$A53&amp;"'!$B$1"),IF(VLOOKUP(G$1,INDIRECT("'"&amp;$A53&amp;"'!$A$12:$Z$19"),MATCH("Points (Auto-generate)",INDIRECT("'"&amp;$A53&amp;"'!$A$12:$Z$12"),0),0)="","?",VLOOKUP(G$1,INDIRECT("'"&amp;$A53&amp;"'!$A$12:$Z$19"),MATCH("Points (Auto-generate)",INDIRECT("'"&amp;$A53&amp;"'!$A$12:$Z$12"),0),0)),"ER"))</f>
        <v/>
      </c>
      <c r="H53" s="4">
        <f>IF($F53=0,"NA",IF($A53=INDIRECT("'"&amp;$A53&amp;"'!$B$1"),IF(VLOOKUP(H$1,INDIRECT("'"&amp;$A53&amp;"'!$A$12:$Z$19"),MATCH("Points (Auto-generate)",INDIRECT("'"&amp;$A53&amp;"'!$A$12:$Z$12"),0),0)="","?",VLOOKUP(H$1,INDIRECT("'"&amp;$A53&amp;"'!$A$12:$Z$19"),MATCH("Points (Auto-generate)",INDIRECT("'"&amp;$A53&amp;"'!$A$12:$Z$12"),0),0)),"ER"))</f>
        <v/>
      </c>
      <c r="I53" s="4">
        <f>IF($F53=0,"NA",IF($A53=INDIRECT("'"&amp;$A53&amp;"'!$B$1"),IF(VLOOKUP(I$1,INDIRECT("'"&amp;$A53&amp;"'!$A$12:$Z$19"),MATCH("Points (Auto-generate)",INDIRECT("'"&amp;$A53&amp;"'!$A$12:$Z$12"),0),0)="","?",VLOOKUP(I$1,INDIRECT("'"&amp;$A53&amp;"'!$A$12:$Z$19"),MATCH("Points (Auto-generate)",INDIRECT("'"&amp;$A53&amp;"'!$A$12:$Z$12"),0),0)),"ER"))</f>
        <v/>
      </c>
      <c r="J53" s="4">
        <f>IF($F53=0,"NA",IF($A53=INDIRECT("'"&amp;$A53&amp;"'!$B$1"),IF(VLOOKUP(J$1,INDIRECT("'"&amp;$A53&amp;"'!$A$12:$Z$19"),MATCH("Points (Auto-generate)",INDIRECT("'"&amp;$A53&amp;"'!$A$12:$Z$12"),0),0)="","?",VLOOKUP(J$1,INDIRECT("'"&amp;$A53&amp;"'!$A$12:$Z$19"),MATCH("Points (Auto-generate)",INDIRECT("'"&amp;$A53&amp;"'!$A$12:$Z$12"),0),0)),"ER"))</f>
        <v/>
      </c>
      <c r="K53" s="4">
        <f>IF($F53=0,"NA",IF($A53=INDIRECT("'"&amp;$A53&amp;"'!$B$1"),IF(VLOOKUP(K$1,INDIRECT("'"&amp;$A53&amp;"'!$A$12:$Z$19"),MATCH("Points (Auto-generate)",INDIRECT("'"&amp;$A53&amp;"'!$A$12:$Z$12"),0),0)="","?",VLOOKUP(K$1,INDIRECT("'"&amp;$A53&amp;"'!$A$12:$Z$19"),MATCH("Points (Auto-generate)",INDIRECT("'"&amp;$A53&amp;"'!$A$12:$Z$12"),0),0)),"ER"))</f>
        <v/>
      </c>
      <c r="L53" s="4">
        <f>IF($F53=0,"NA",IF($A53=INDIRECT("'"&amp;$A53&amp;"'!$B$1"),IF(VLOOKUP(L$1,INDIRECT("'"&amp;$A53&amp;"'!$A$12:$Z$19"),MATCH("Points (Auto-generate)",INDIRECT("'"&amp;$A53&amp;"'!$A$12:$Z$12"),0),0)="","?",VLOOKUP(L$1,INDIRECT("'"&amp;$A53&amp;"'!$A$12:$Z$19"),MATCH("Points (Auto-generate)",INDIRECT("'"&amp;$A53&amp;"'!$A$12:$Z$12"),0),0)),"ER"))</f>
        <v/>
      </c>
      <c r="M53" s="4">
        <f>IF($F53=0,"NA",IF($A53=INDIRECT("'"&amp;$A53&amp;"'!$B$1"),IF(VLOOKUP(M$1,INDIRECT("'"&amp;$A53&amp;"'!$A$12:$Z$19"),MATCH("Points (Auto-generate)",INDIRECT("'"&amp;$A53&amp;"'!$A$12:$Z$12"),0),0)="","?",VLOOKUP(M$1,INDIRECT("'"&amp;$A53&amp;"'!$A$12:$Z$19"),MATCH("Points (Auto-generate)",INDIRECT("'"&amp;$A53&amp;"'!$A$12:$Z$12"),0),0)),"ER"))</f>
        <v/>
      </c>
    </row>
    <row r="54">
      <c r="A54" s="4" t="inlineStr">
        <is>
          <t>SC6</t>
        </is>
      </c>
      <c r="B54" s="4">
        <f>VLOOKUP($A54,'PARASTATAL Questions'!$A:$J,3,0)&amp;""</f>
        <v/>
      </c>
      <c r="C54" s="4">
        <f>VLOOKUP($A54,'PARASTATAL Questions'!$A:$J,4,0)&amp;""</f>
        <v/>
      </c>
      <c r="D54" s="4">
        <f>VLOOKUP($A54,'PARASTATAL Questions'!$A:$J,5,0)&amp;""</f>
        <v/>
      </c>
      <c r="E54" s="4">
        <f>VLOOKUP($A54,'PARASTATAL Questions'!$A:$J,7,0)&amp;""</f>
        <v/>
      </c>
      <c r="F54" s="4">
        <f>VLOOKUP($A54,'PARASTATAL Questions'!$A:$J,6,0)</f>
        <v/>
      </c>
      <c r="G54" s="4">
        <f>IF($F54=0,"NA",IF($A54=INDIRECT("'"&amp;$A54&amp;"'!$B$1"),IF(VLOOKUP(G$1,INDIRECT("'"&amp;$A54&amp;"'!$A$12:$Z$19"),MATCH("Points (Auto-generate)",INDIRECT("'"&amp;$A54&amp;"'!$A$12:$Z$12"),0),0)="","?",VLOOKUP(G$1,INDIRECT("'"&amp;$A54&amp;"'!$A$12:$Z$19"),MATCH("Points (Auto-generate)",INDIRECT("'"&amp;$A54&amp;"'!$A$12:$Z$12"),0),0)),"ER"))</f>
        <v/>
      </c>
      <c r="H54" s="4">
        <f>IF($F54=0,"NA",IF($A54=INDIRECT("'"&amp;$A54&amp;"'!$B$1"),IF(VLOOKUP(H$1,INDIRECT("'"&amp;$A54&amp;"'!$A$12:$Z$19"),MATCH("Points (Auto-generate)",INDIRECT("'"&amp;$A54&amp;"'!$A$12:$Z$12"),0),0)="","?",VLOOKUP(H$1,INDIRECT("'"&amp;$A54&amp;"'!$A$12:$Z$19"),MATCH("Points (Auto-generate)",INDIRECT("'"&amp;$A54&amp;"'!$A$12:$Z$12"),0),0)),"ER"))</f>
        <v/>
      </c>
      <c r="I54" s="4">
        <f>IF($F54=0,"NA",IF($A54=INDIRECT("'"&amp;$A54&amp;"'!$B$1"),IF(VLOOKUP(I$1,INDIRECT("'"&amp;$A54&amp;"'!$A$12:$Z$19"),MATCH("Points (Auto-generate)",INDIRECT("'"&amp;$A54&amp;"'!$A$12:$Z$12"),0),0)="","?",VLOOKUP(I$1,INDIRECT("'"&amp;$A54&amp;"'!$A$12:$Z$19"),MATCH("Points (Auto-generate)",INDIRECT("'"&amp;$A54&amp;"'!$A$12:$Z$12"),0),0)),"ER"))</f>
        <v/>
      </c>
      <c r="J54" s="4">
        <f>IF($F54=0,"NA",IF($A54=INDIRECT("'"&amp;$A54&amp;"'!$B$1"),IF(VLOOKUP(J$1,INDIRECT("'"&amp;$A54&amp;"'!$A$12:$Z$19"),MATCH("Points (Auto-generate)",INDIRECT("'"&amp;$A54&amp;"'!$A$12:$Z$12"),0),0)="","?",VLOOKUP(J$1,INDIRECT("'"&amp;$A54&amp;"'!$A$12:$Z$19"),MATCH("Points (Auto-generate)",INDIRECT("'"&amp;$A54&amp;"'!$A$12:$Z$12"),0),0)),"ER"))</f>
        <v/>
      </c>
      <c r="K54" s="4">
        <f>IF($F54=0,"NA",IF($A54=INDIRECT("'"&amp;$A54&amp;"'!$B$1"),IF(VLOOKUP(K$1,INDIRECT("'"&amp;$A54&amp;"'!$A$12:$Z$19"),MATCH("Points (Auto-generate)",INDIRECT("'"&amp;$A54&amp;"'!$A$12:$Z$12"),0),0)="","?",VLOOKUP(K$1,INDIRECT("'"&amp;$A54&amp;"'!$A$12:$Z$19"),MATCH("Points (Auto-generate)",INDIRECT("'"&amp;$A54&amp;"'!$A$12:$Z$12"),0),0)),"ER"))</f>
        <v/>
      </c>
      <c r="L54" s="4">
        <f>IF($F54=0,"NA",IF($A54=INDIRECT("'"&amp;$A54&amp;"'!$B$1"),IF(VLOOKUP(L$1,INDIRECT("'"&amp;$A54&amp;"'!$A$12:$Z$19"),MATCH("Points (Auto-generate)",INDIRECT("'"&amp;$A54&amp;"'!$A$12:$Z$12"),0),0)="","?",VLOOKUP(L$1,INDIRECT("'"&amp;$A54&amp;"'!$A$12:$Z$19"),MATCH("Points (Auto-generate)",INDIRECT("'"&amp;$A54&amp;"'!$A$12:$Z$12"),0),0)),"ER"))</f>
        <v/>
      </c>
      <c r="M54" s="4">
        <f>IF($F54=0,"NA",IF($A54=INDIRECT("'"&amp;$A54&amp;"'!$B$1"),IF(VLOOKUP(M$1,INDIRECT("'"&amp;$A54&amp;"'!$A$12:$Z$19"),MATCH("Points (Auto-generate)",INDIRECT("'"&amp;$A54&amp;"'!$A$12:$Z$12"),0),0)="","?",VLOOKUP(M$1,INDIRECT("'"&amp;$A54&amp;"'!$A$12:$Z$19"),MATCH("Points (Auto-generate)",INDIRECT("'"&amp;$A54&amp;"'!$A$12:$Z$12"),0),0)),"ER"))</f>
        <v/>
      </c>
    </row>
    <row r="55">
      <c r="A55" s="4" t="inlineStr">
        <is>
          <t>SC7</t>
        </is>
      </c>
      <c r="B55" s="4">
        <f>VLOOKUP($A55,'PARASTATAL Questions'!$A:$J,3,0)&amp;""</f>
        <v/>
      </c>
      <c r="C55" s="4">
        <f>VLOOKUP($A55,'PARASTATAL Questions'!$A:$J,4,0)&amp;""</f>
        <v/>
      </c>
      <c r="D55" s="4">
        <f>VLOOKUP($A55,'PARASTATAL Questions'!$A:$J,5,0)&amp;""</f>
        <v/>
      </c>
      <c r="E55" s="4">
        <f>VLOOKUP($A55,'PARASTATAL Questions'!$A:$J,7,0)&amp;""</f>
        <v/>
      </c>
      <c r="F55" s="4">
        <f>VLOOKUP($A55,'PARASTATAL Questions'!$A:$J,6,0)</f>
        <v/>
      </c>
      <c r="G55" s="4">
        <f>IF(OR(G56="ER",G57="ER"),"ER",IF(OR(G56="?",G57="?"),"?",IF(AND(G56="NA",G57="NA"),"NA",SUM(G56,G57)/((G56&lt;&gt;"NA")*$F$56+(G57&lt;&gt;"NA")*$F$57)*$F55)))</f>
        <v/>
      </c>
      <c r="H55" s="4">
        <f>IF(OR(H56="ER",H57="ER"),"ER",IF(OR(H56="?",H57="?"),"?",IF(AND(H56="NA",H57="NA"),"NA",SUM(H56,H57)/((H56&lt;&gt;"NA")*$F$56+(H57&lt;&gt;"NA")*$F$57)*$F55)))</f>
        <v/>
      </c>
      <c r="I55" s="4">
        <f>IF(OR(I56="ER",I57="ER"),"ER",IF(OR(I56="?",I57="?"),"?",IF(AND(I56="NA",I57="NA"),"NA",SUM(I56,I57)/((I56&lt;&gt;"NA")*$F$56+(I57&lt;&gt;"NA")*$F$57)*$F55)))</f>
        <v/>
      </c>
      <c r="J55" s="4">
        <f>IF(OR(J56="ER",J57="ER"),"ER",IF(OR(J56="?",J57="?"),"?",IF(AND(J56="NA",J57="NA"),"NA",SUM(J56,J57)/((J56&lt;&gt;"NA")*$F$56+(J57&lt;&gt;"NA")*$F$57)*$F55)))</f>
        <v/>
      </c>
      <c r="K55" s="4">
        <f>IF(OR(K56="ER",K57="ER"),"ER",IF(OR(K56="?",K57="?"),"?",IF(AND(K56="NA",K57="NA"),"NA",SUM(K56,K57)/((K56&lt;&gt;"NA")*$F$56+(K57&lt;&gt;"NA")*$F$57)*$F55)))</f>
        <v/>
      </c>
      <c r="L55" s="4">
        <f>IF(OR(L56="ER",L57="ER"),"ER",IF(OR(L56="?",L57="?"),"?",IF(AND(L56="NA",L57="NA"),"NA",SUM(L56,L57)/((L56&lt;&gt;"NA")*$F$56+(L57&lt;&gt;"NA")*$F$57)*$F55)))</f>
        <v/>
      </c>
      <c r="M55" s="4">
        <f>IF(OR(M56="ER",M57="ER"),"ER",IF(OR(M56="?",M57="?"),"?",IF(AND(M56="NA",M57="NA"),"NA",SUM(M56,M57)/((M56&lt;&gt;"NA")*$F$56+(M57&lt;&gt;"NA")*$F$57)*$F55)))</f>
        <v/>
      </c>
    </row>
    <row r="56">
      <c r="A56" t="inlineStr">
        <is>
          <t>SC7a</t>
        </is>
      </c>
      <c r="B56">
        <f>VLOOKUP($A56,'PARASTATAL Questions'!$A:$J,3,0)&amp;""</f>
        <v/>
      </c>
      <c r="C56">
        <f>VLOOKUP($A56,'PARASTATAL Questions'!$A:$J,4,0)&amp;""</f>
        <v/>
      </c>
      <c r="D56">
        <f>VLOOKUP($A56,'PARASTATAL Questions'!$A:$J,5,0)&amp;""</f>
        <v/>
      </c>
      <c r="E56">
        <f>VLOOKUP($A56,'PARASTATAL Questions'!$A:$J,7,0)&amp;""</f>
        <v/>
      </c>
      <c r="F56">
        <f>VLOOKUP($A56,'PARASTATAL Questions'!$A:$J,6,0)</f>
        <v/>
      </c>
      <c r="G56">
        <f>IF($F56=0,"NA",IF($A56=INDIRECT("'"&amp;$A56&amp;"'!$B$1"),IF(VLOOKUP(G$1,INDIRECT("'"&amp;$A56&amp;"'!$A$12:$Z$19"),MATCH("Points (Auto-generate)",INDIRECT("'"&amp;$A56&amp;"'!$A$12:$Z$12"),0),0)="","?",VLOOKUP(G$1,INDIRECT("'"&amp;$A56&amp;"'!$A$12:$Z$19"),MATCH("Points (Auto-generate)",INDIRECT("'"&amp;$A56&amp;"'!$A$12:$Z$12"),0),0)),"ER"))</f>
        <v/>
      </c>
      <c r="H56">
        <f>IF($F56=0,"NA",IF($A56=INDIRECT("'"&amp;$A56&amp;"'!$B$1"),IF(VLOOKUP(H$1,INDIRECT("'"&amp;$A56&amp;"'!$A$12:$Z$19"),MATCH("Points (Auto-generate)",INDIRECT("'"&amp;$A56&amp;"'!$A$12:$Z$12"),0),0)="","?",VLOOKUP(H$1,INDIRECT("'"&amp;$A56&amp;"'!$A$12:$Z$19"),MATCH("Points (Auto-generate)",INDIRECT("'"&amp;$A56&amp;"'!$A$12:$Z$12"),0),0)),"ER"))</f>
        <v/>
      </c>
      <c r="I56">
        <f>IF($F56=0,"NA",IF($A56=INDIRECT("'"&amp;$A56&amp;"'!$B$1"),IF(VLOOKUP(I$1,INDIRECT("'"&amp;$A56&amp;"'!$A$12:$Z$19"),MATCH("Points (Auto-generate)",INDIRECT("'"&amp;$A56&amp;"'!$A$12:$Z$12"),0),0)="","?",VLOOKUP(I$1,INDIRECT("'"&amp;$A56&amp;"'!$A$12:$Z$19"),MATCH("Points (Auto-generate)",INDIRECT("'"&amp;$A56&amp;"'!$A$12:$Z$12"),0),0)),"ER"))</f>
        <v/>
      </c>
      <c r="J56">
        <f>IF($F56=0,"NA",IF($A56=INDIRECT("'"&amp;$A56&amp;"'!$B$1"),IF(VLOOKUP(J$1,INDIRECT("'"&amp;$A56&amp;"'!$A$12:$Z$19"),MATCH("Points (Auto-generate)",INDIRECT("'"&amp;$A56&amp;"'!$A$12:$Z$12"),0),0)="","?",VLOOKUP(J$1,INDIRECT("'"&amp;$A56&amp;"'!$A$12:$Z$19"),MATCH("Points (Auto-generate)",INDIRECT("'"&amp;$A56&amp;"'!$A$12:$Z$12"),0),0)),"ER"))</f>
        <v/>
      </c>
      <c r="K56">
        <f>IF($F56=0,"NA",IF($A56=INDIRECT("'"&amp;$A56&amp;"'!$B$1"),IF(VLOOKUP(K$1,INDIRECT("'"&amp;$A56&amp;"'!$A$12:$Z$19"),MATCH("Points (Auto-generate)",INDIRECT("'"&amp;$A56&amp;"'!$A$12:$Z$12"),0),0)="","?",VLOOKUP(K$1,INDIRECT("'"&amp;$A56&amp;"'!$A$12:$Z$19"),MATCH("Points (Auto-generate)",INDIRECT("'"&amp;$A56&amp;"'!$A$12:$Z$12"),0),0)),"ER"))</f>
        <v/>
      </c>
      <c r="L56">
        <f>IF($F56=0,"NA",IF($A56=INDIRECT("'"&amp;$A56&amp;"'!$B$1"),IF(VLOOKUP(L$1,INDIRECT("'"&amp;$A56&amp;"'!$A$12:$Z$19"),MATCH("Points (Auto-generate)",INDIRECT("'"&amp;$A56&amp;"'!$A$12:$Z$12"),0),0)="","?",VLOOKUP(L$1,INDIRECT("'"&amp;$A56&amp;"'!$A$12:$Z$19"),MATCH("Points (Auto-generate)",INDIRECT("'"&amp;$A56&amp;"'!$A$12:$Z$12"),0),0)),"ER"))</f>
        <v/>
      </c>
      <c r="M56">
        <f>IF($F56=0,"NA",IF($A56=INDIRECT("'"&amp;$A56&amp;"'!$B$1"),IF(VLOOKUP(M$1,INDIRECT("'"&amp;$A56&amp;"'!$A$12:$Z$19"),MATCH("Points (Auto-generate)",INDIRECT("'"&amp;$A56&amp;"'!$A$12:$Z$12"),0),0)="","?",VLOOKUP(M$1,INDIRECT("'"&amp;$A56&amp;"'!$A$12:$Z$19"),MATCH("Points (Auto-generate)",INDIRECT("'"&amp;$A56&amp;"'!$A$12:$Z$12"),0),0)),"ER"))</f>
        <v/>
      </c>
    </row>
    <row r="57">
      <c r="A57" t="inlineStr">
        <is>
          <t>SC7b</t>
        </is>
      </c>
      <c r="B57">
        <f>VLOOKUP($A57,'PARASTATAL Questions'!$A:$J,3,0)&amp;""</f>
        <v/>
      </c>
      <c r="C57">
        <f>VLOOKUP($A57,'PARASTATAL Questions'!$A:$J,4,0)&amp;""</f>
        <v/>
      </c>
      <c r="D57">
        <f>VLOOKUP($A57,'PARASTATAL Questions'!$A:$J,5,0)&amp;""</f>
        <v/>
      </c>
      <c r="E57">
        <f>VLOOKUP($A57,'PARASTATAL Questions'!$A:$J,7,0)&amp;""</f>
        <v/>
      </c>
      <c r="F57">
        <f>VLOOKUP($A57,'PARASTATAL Questions'!$A:$J,6,0)</f>
        <v/>
      </c>
      <c r="G57">
        <f>IF($F57=0,"NA",IF($A57=INDIRECT("'"&amp;$A57&amp;"'!$B$1"),IF(VLOOKUP(G$1,INDIRECT("'"&amp;$A57&amp;"'!$A$12:$Z$19"),MATCH("Points (Auto-generate)",INDIRECT("'"&amp;$A57&amp;"'!$A$12:$Z$12"),0),0)="","?",VLOOKUP(G$1,INDIRECT("'"&amp;$A57&amp;"'!$A$12:$Z$19"),MATCH("Points (Auto-generate)",INDIRECT("'"&amp;$A57&amp;"'!$A$12:$Z$12"),0),0)),"ER"))</f>
        <v/>
      </c>
      <c r="H57">
        <f>IF($F57=0,"NA",IF($A57=INDIRECT("'"&amp;$A57&amp;"'!$B$1"),IF(VLOOKUP(H$1,INDIRECT("'"&amp;$A57&amp;"'!$A$12:$Z$19"),MATCH("Points (Auto-generate)",INDIRECT("'"&amp;$A57&amp;"'!$A$12:$Z$12"),0),0)="","?",VLOOKUP(H$1,INDIRECT("'"&amp;$A57&amp;"'!$A$12:$Z$19"),MATCH("Points (Auto-generate)",INDIRECT("'"&amp;$A57&amp;"'!$A$12:$Z$12"),0),0)),"ER"))</f>
        <v/>
      </c>
      <c r="I57">
        <f>IF($F57=0,"NA",IF($A57=INDIRECT("'"&amp;$A57&amp;"'!$B$1"),IF(VLOOKUP(I$1,INDIRECT("'"&amp;$A57&amp;"'!$A$12:$Z$19"),MATCH("Points (Auto-generate)",INDIRECT("'"&amp;$A57&amp;"'!$A$12:$Z$12"),0),0)="","?",VLOOKUP(I$1,INDIRECT("'"&amp;$A57&amp;"'!$A$12:$Z$19"),MATCH("Points (Auto-generate)",INDIRECT("'"&amp;$A57&amp;"'!$A$12:$Z$12"),0),0)),"ER"))</f>
        <v/>
      </c>
      <c r="J57">
        <f>IF($F57=0,"NA",IF($A57=INDIRECT("'"&amp;$A57&amp;"'!$B$1"),IF(VLOOKUP(J$1,INDIRECT("'"&amp;$A57&amp;"'!$A$12:$Z$19"),MATCH("Points (Auto-generate)",INDIRECT("'"&amp;$A57&amp;"'!$A$12:$Z$12"),0),0)="","?",VLOOKUP(J$1,INDIRECT("'"&amp;$A57&amp;"'!$A$12:$Z$19"),MATCH("Points (Auto-generate)",INDIRECT("'"&amp;$A57&amp;"'!$A$12:$Z$12"),0),0)),"ER"))</f>
        <v/>
      </c>
      <c r="K57">
        <f>IF($F57=0,"NA",IF($A57=INDIRECT("'"&amp;$A57&amp;"'!$B$1"),IF(VLOOKUP(K$1,INDIRECT("'"&amp;$A57&amp;"'!$A$12:$Z$19"),MATCH("Points (Auto-generate)",INDIRECT("'"&amp;$A57&amp;"'!$A$12:$Z$12"),0),0)="","?",VLOOKUP(K$1,INDIRECT("'"&amp;$A57&amp;"'!$A$12:$Z$19"),MATCH("Points (Auto-generate)",INDIRECT("'"&amp;$A57&amp;"'!$A$12:$Z$12"),0),0)),"ER"))</f>
        <v/>
      </c>
      <c r="L57">
        <f>IF($F57=0,"NA",IF($A57=INDIRECT("'"&amp;$A57&amp;"'!$B$1"),IF(VLOOKUP(L$1,INDIRECT("'"&amp;$A57&amp;"'!$A$12:$Z$19"),MATCH("Points (Auto-generate)",INDIRECT("'"&amp;$A57&amp;"'!$A$12:$Z$12"),0),0)="","?",VLOOKUP(L$1,INDIRECT("'"&amp;$A57&amp;"'!$A$12:$Z$19"),MATCH("Points (Auto-generate)",INDIRECT("'"&amp;$A57&amp;"'!$A$12:$Z$12"),0),0)),"ER"))</f>
        <v/>
      </c>
      <c r="M57">
        <f>IF($F57=0,"NA",IF($A57=INDIRECT("'"&amp;$A57&amp;"'!$B$1"),IF(VLOOKUP(M$1,INDIRECT("'"&amp;$A57&amp;"'!$A$12:$Z$19"),MATCH("Points (Auto-generate)",INDIRECT("'"&amp;$A57&amp;"'!$A$12:$Z$12"),0),0)="","?",VLOOKUP(M$1,INDIRECT("'"&amp;$A57&amp;"'!$A$12:$Z$19"),MATCH("Points (Auto-generate)",INDIRECT("'"&amp;$A57&amp;"'!$A$12:$Z$12"),0),0)),"ER"))</f>
        <v/>
      </c>
    </row>
    <row r="59">
      <c r="D59" s="4" t="inlineStr">
        <is>
          <t>PARASTATAL_Scores</t>
        </is>
      </c>
      <c r="G59" s="4" t="inlineStr">
        <is>
          <t>Bengaluru – BWSSB</t>
        </is>
      </c>
      <c r="H59" s="4" t="inlineStr">
        <is>
          <t>Bengaluru – BMTC</t>
        </is>
      </c>
      <c r="I59" s="4" t="inlineStr">
        <is>
          <t>Bengaluru – BDA</t>
        </is>
      </c>
      <c r="J59" s="4" t="inlineStr">
        <is>
          <t>Bengaluru – BMRCL</t>
        </is>
      </c>
      <c r="K59" s="4" t="inlineStr">
        <is>
          <t>Bengaluru – BMRDA</t>
        </is>
      </c>
      <c r="L59" s="4" t="inlineStr">
        <is>
          <t>Surat – SUDA</t>
        </is>
      </c>
      <c r="M59" s="4" t="inlineStr">
        <is>
          <t>Surat – GMRC</t>
        </is>
      </c>
    </row>
    <row r="60">
      <c r="D60" s="4" t="inlineStr">
        <is>
          <t>PARASTATAL_OVERALL_SCORE</t>
        </is>
      </c>
      <c r="G60">
        <f>IFERROR(SUMIFS(G$3:G$57,$C$3:$C$57,"MQ")/(COUNTIFS($C$3:$C$57,"MQ")-COUNTIFS($C$3:$C$57,"MQ",G$3:G$57,"NA")),"NA")</f>
        <v/>
      </c>
      <c r="H60">
        <f>IFERROR(SUMIFS(H$3:H$57,$C$3:$C$57,"MQ")/(COUNTIFS($C$3:$C$57,"MQ")-COUNTIFS($C$3:$C$57,"MQ",H$3:H$57,"NA")),"NA")</f>
        <v/>
      </c>
      <c r="I60">
        <f>IFERROR(SUMIFS(I$3:I$57,$C$3:$C$57,"MQ")/(COUNTIFS($C$3:$C$57,"MQ")-COUNTIFS($C$3:$C$57,"MQ",I$3:I$57,"NA")),"NA")</f>
        <v/>
      </c>
      <c r="J60">
        <f>IFERROR(SUMIFS(J$3:J$57,$C$3:$C$57,"MQ")/(COUNTIFS($C$3:$C$57,"MQ")-COUNTIFS($C$3:$C$57,"MQ",J$3:J$57,"NA")),"NA")</f>
        <v/>
      </c>
      <c r="K60">
        <f>IFERROR(SUMIFS(K$3:K$57,$C$3:$C$57,"MQ")/(COUNTIFS($C$3:$C$57,"MQ")-COUNTIFS($C$3:$C$57,"MQ",K$3:K$57,"NA")),"NA")</f>
        <v/>
      </c>
      <c r="L60">
        <f>IFERROR(SUMIFS(L$3:L$57,$C$3:$C$57,"MQ")/(COUNTIFS($C$3:$C$57,"MQ")-COUNTIFS($C$3:$C$57,"MQ",L$3:L$57,"NA")),"NA")</f>
        <v/>
      </c>
      <c r="M60">
        <f>IFERROR(SUMIFS(M$3:M$57,$C$3:$C$57,"MQ")/(COUNTIFS($C$3:$C$57,"MQ")-COUNTIFS($C$3:$C$57,"MQ",M$3:M$57,"NA")),"NA")</f>
        <v/>
      </c>
    </row>
    <row r="61">
      <c r="D61" s="4" t="inlineStr">
        <is>
          <t>No. of MQs not yet scored ("?") - overall score is provisional while &gt; 0</t>
        </is>
      </c>
      <c r="G61">
        <f>COUNTIFS($C$3:$C$57,"MQ",G$3:G$57,"?")</f>
        <v/>
      </c>
      <c r="H61">
        <f>COUNTIFS($C$3:$C$57,"MQ",H$3:H$57,"?")</f>
        <v/>
      </c>
      <c r="I61">
        <f>COUNTIFS($C$3:$C$57,"MQ",I$3:I$57,"?")</f>
        <v/>
      </c>
      <c r="J61">
        <f>COUNTIFS($C$3:$C$57,"MQ",J$3:J$57,"?")</f>
        <v/>
      </c>
      <c r="K61">
        <f>COUNTIFS($C$3:$C$57,"MQ",K$3:K$57,"?")</f>
        <v/>
      </c>
      <c r="L61">
        <f>COUNTIFS($C$3:$C$57,"MQ",L$3:L$57,"?")</f>
        <v/>
      </c>
      <c r="M61">
        <f>COUNTIFS($C$3:$C$57,"MQ",M$3:M$57,"?")</f>
        <v/>
      </c>
    </row>
    <row r="62">
      <c r="D62" s="4" t="inlineStr">
        <is>
          <t>No. of MQs marked NA (excluded from overall score)</t>
        </is>
      </c>
      <c r="G62">
        <f>COUNTIFS($C$3:$C$57,"MQ",G$3:G$57,"NA")</f>
        <v/>
      </c>
      <c r="H62">
        <f>COUNTIFS($C$3:$C$57,"MQ",H$3:H$57,"NA")</f>
        <v/>
      </c>
      <c r="I62">
        <f>COUNTIFS($C$3:$C$57,"MQ",I$3:I$57,"NA")</f>
        <v/>
      </c>
      <c r="J62">
        <f>COUNTIFS($C$3:$C$57,"MQ",J$3:J$57,"NA")</f>
        <v/>
      </c>
      <c r="K62">
        <f>COUNTIFS($C$3:$C$57,"MQ",K$3:K$57,"NA")</f>
        <v/>
      </c>
      <c r="L62">
        <f>COUNTIFS($C$3:$C$57,"MQ",L$3:L$57,"NA")</f>
        <v/>
      </c>
      <c r="M62">
        <f>COUNTIFS($C$3:$C$57,"MQ",M$3:M$57,"NA")</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50" customWidth="1" min="2" max="2"/>
    <col width="16" customWidth="1" min="3" max="3"/>
    <col width="20" customWidth="1" min="4" max="4"/>
  </cols>
  <sheetData>
    <row r="1">
      <c r="A1" s="3" t="inlineStr">
        <is>
          <t>City</t>
        </is>
      </c>
      <c r="B1" s="3" t="inlineStr">
        <is>
          <t>Agencies</t>
        </is>
      </c>
      <c r="C1" s="3" t="inlineStr">
        <is>
          <t>PARASTATAL score</t>
        </is>
      </c>
      <c r="D1" s="3" t="inlineStr">
        <is>
          <t>Agencies with a score</t>
        </is>
      </c>
    </row>
    <row r="2">
      <c r="A2" t="inlineStr">
        <is>
          <t>Bengaluru</t>
        </is>
      </c>
      <c r="B2" t="inlineStr">
        <is>
          <t>BWSSB, BMTC, BDA, BMRCL, BMRDA</t>
        </is>
      </c>
      <c r="C2">
        <f>IFERROR(AVERAGEIFS('PARASTATAL_SUMMARY_RAW'!$G$60:$M$60,'PARASTATAL_SUMMARY_RAW'!$G$59:$M$59,$A2&amp;" – *"),"NA")</f>
        <v/>
      </c>
      <c r="D2">
        <f>COUNTIFS('PARASTATAL_SUMMARY_RAW'!$G$59:$M$59,$A2&amp;" – *",'PARASTATAL_SUMMARY_RAW'!$G$60:$M$60,"&gt;=0")</f>
        <v/>
      </c>
    </row>
    <row r="3">
      <c r="A3" t="inlineStr">
        <is>
          <t>Surat</t>
        </is>
      </c>
      <c r="B3" t="inlineStr">
        <is>
          <t>SUDA, GMRC</t>
        </is>
      </c>
      <c r="C3">
        <f>IFERROR(AVERAGEIFS('PARASTATAL_SUMMARY_RAW'!$G$60:$M$60,'PARASTATAL_SUMMARY_RAW'!$G$59:$M$59,$A3&amp;" – *"),"NA")</f>
        <v/>
      </c>
      <c r="D3">
        <f>COUNTIFS('PARASTATAL_SUMMARY_RAW'!$G$59:$M$59,$A3&amp;" – *",'PARASTATAL_SUMMARY_RAW'!$G$60:$M$60,"&gt;=0")</f>
        <v/>
      </c>
    </row>
    <row r="5">
      <c r="A5" s="5" t="inlineStr">
        <is>
          <t>A city's score is the average of its agencies' overall scores. Agencies with no applicable questions (NA) are left out.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30" customWidth="1" min="3" max="3"/>
    <col width="60" customWidth="1" min="5" max="5"/>
    <col width="30" customWidth="1" min="8" max="8"/>
    <col width="80" customWidth="1" min="9" max="9"/>
    <col width="50" customWidth="1" min="10" max="10"/>
  </cols>
  <sheetData>
    <row r="1">
      <c r="A1" s="3" t="inlineStr">
        <is>
          <t>Q No</t>
        </is>
      </c>
      <c r="B1" s="3" t="inlineStr">
        <is>
          <t>Original ID</t>
        </is>
      </c>
      <c r="C1" s="3" t="inlineStr">
        <is>
          <t>Group</t>
        </is>
      </c>
      <c r="D1" s="3" t="inlineStr">
        <is>
          <t>MQ_SQ</t>
        </is>
      </c>
      <c r="E1" s="3" t="inlineStr">
        <is>
          <t>Question</t>
        </is>
      </c>
      <c r="F1" s="3" t="inlineStr">
        <is>
          <t>Max Score</t>
        </is>
      </c>
      <c r="G1" s="3" t="inlineStr">
        <is>
          <t>Assessment level</t>
        </is>
      </c>
      <c r="H1" s="3" t="inlineStr">
        <is>
          <t>Applicability</t>
        </is>
      </c>
      <c r="I1" s="3" t="inlineStr">
        <is>
          <t>Detailed Methodology</t>
        </is>
      </c>
      <c r="J1" s="3" t="inlineStr">
        <is>
          <t>Notes for scorers</t>
        </is>
      </c>
    </row>
    <row r="2">
      <c r="A2" t="inlineStr">
        <is>
          <t>UPD1</t>
        </is>
      </c>
      <c r="B2" t="inlineStr">
        <is>
          <t>UPD 1</t>
        </is>
      </c>
      <c r="C2" t="inlineStr">
        <is>
          <t>Urban Planning &amp; Design (UPD)</t>
        </is>
      </c>
      <c r="D2" t="inlineStr">
        <is>
          <t>MQ</t>
        </is>
      </c>
      <c r="E2" t="inlineStr">
        <is>
          <t>Does the parastatal coordinate with the ULG(s) in preparing its spatial and/or sectoral plans?</t>
        </is>
      </c>
      <c r="F2" t="n">
        <v>10</v>
      </c>
      <c r="H2" t="inlineStr">
        <is>
          <t>Common — all parastatal types.</t>
        </is>
      </c>
      <c r="I2" t="inlineStr">
        <is>
          <t>Sum total of the sub-indicators below -</t>
        </is>
      </c>
      <c r="J2" t="inlineStr">
        <is>
          <t>See sub-indicators</t>
        </is>
      </c>
    </row>
    <row r="3">
      <c r="A3" t="inlineStr">
        <is>
          <t>UPD1a</t>
        </is>
      </c>
      <c r="B3" t="inlineStr">
        <is>
          <t>UPD 1a</t>
        </is>
      </c>
      <c r="C3" t="inlineStr">
        <is>
          <t>Urban Planning &amp; Design (UPD)</t>
        </is>
      </c>
      <c r="D3" t="inlineStr">
        <is>
          <t>SQ</t>
        </is>
      </c>
      <c r="E3" t="inlineStr">
        <is>
          <t>Is the parastatal mandated to prepare its spatial and/or sectoral plans in coordination with the ULG(s) within its jurisdiction?</t>
        </is>
      </c>
      <c r="F3" t="n">
        <v>5</v>
      </c>
      <c r="G3" t="inlineStr">
        <is>
          <t>Law/Policy</t>
        </is>
      </c>
      <c r="H3" t="inlineStr">
        <is>
          <t>Common — all parastatal types.</t>
        </is>
      </c>
      <c r="I3" t="inlineStr">
        <is>
          <t>Review the relevant Parastatal Act and the State Town and Country Planning (T&amp;CP) Act.
10 — ULG approval/concurrence or joint preparation is required. 
7.5 — formal consultation is mandatory, and ULG response must be considered/responded to. 
5 — consultation is mandatory, but there is no obligation to incorporate/respond. 
2.5 — consultation is discretionary (“may”). 
0 — no formal role.</t>
        </is>
      </c>
      <c r="J3" t="inlineStr">
        <is>
          <t>Relevant Parastatal Act; applicable Town and Country Planning (T&amp;CP) Act.</t>
        </is>
      </c>
    </row>
    <row r="4">
      <c r="A4" t="inlineStr">
        <is>
          <t>UPD1b</t>
        </is>
      </c>
      <c r="B4" t="inlineStr">
        <is>
          <t>UPD 1b</t>
        </is>
      </c>
      <c r="C4" t="inlineStr">
        <is>
          <t>Urban Planning &amp; Design (UPD)</t>
        </is>
      </c>
      <c r="D4" t="inlineStr">
        <is>
          <t>SQ</t>
        </is>
      </c>
      <c r="E4" t="inlineStr">
        <is>
          <t>Has the ULG participated in the parastatal’s plan-making process?</t>
        </is>
      </c>
      <c r="F4" t="n">
        <v>5</v>
      </c>
      <c r="G4" t="inlineStr">
        <is>
          <t>Implementation</t>
        </is>
      </c>
      <c r="H4" t="inlineStr">
        <is>
          <t>Common — all parastatal types.</t>
        </is>
      </c>
      <c r="I4" t="inlineStr">
        <is>
          <t>Review the latest available plan-making cycle for evidence of ULG participation in the parastatal’s plan-making process, irrespective of whether such participation is legally mandated.
Score 10 where there is evidence of substantive ULG participation, such as joint preparation, concurrence/approval, or documented consideration of and response to ULG inputs.
Score 5 where the ULG was formally consulted or invited to provide inputs, but there is no evidence of how these inputs were considered.
Score 2.5 where there is evidence of limited or informal engagement with the ULG.
Score 0 where there is no evidence of ULG participation.
Evidence may include plan documents, consultation records, meeting minutes, ULG resolutions/comments, responses to ULG inputs, or information published on the parastatal/ULG website.</t>
        </is>
      </c>
      <c r="J4" t="inlineStr">
        <is>
          <t>Evidence may include plan documents, consultation records, meeting minutes, ULG resolutions/comments, responses to ULG inputs, or information published on the parastatal website.</t>
        </is>
      </c>
    </row>
    <row r="5">
      <c r="A5" t="inlineStr">
        <is>
          <t>UPD2</t>
        </is>
      </c>
      <c r="B5" t="inlineStr">
        <is>
          <t>UPD 2</t>
        </is>
      </c>
      <c r="C5" t="inlineStr">
        <is>
          <t>Urban Planning &amp; Design (UPD)</t>
        </is>
      </c>
      <c r="D5" t="inlineStr">
        <is>
          <t>MQ</t>
        </is>
      </c>
      <c r="E5" t="inlineStr">
        <is>
          <t>Where multiple statutory or sectoral plans apply to the same territory, does the water supply board and transport corporation ensure consistency with the applicable metropolitan/regional or city master plan/strategic plan for the city?</t>
        </is>
      </c>
      <c r="F5" t="n">
        <v>10</v>
      </c>
      <c r="H5" t="inlineStr">
        <is>
          <t>All parastatals excluding Development Authorities</t>
        </is>
      </c>
      <c r="I5" t="inlineStr">
        <is>
          <t>Sum of the sub-questions below -</t>
        </is>
      </c>
      <c r="J5" t="inlineStr">
        <is>
          <t>See sub-indicators</t>
        </is>
      </c>
    </row>
    <row r="6">
      <c r="A6" t="inlineStr">
        <is>
          <t>UPD2a</t>
        </is>
      </c>
      <c r="B6" t="inlineStr">
        <is>
          <t>UPD 2a</t>
        </is>
      </c>
      <c r="C6" t="inlineStr">
        <is>
          <t>Urban Planning &amp; Design (UPD)</t>
        </is>
      </c>
      <c r="D6" t="inlineStr">
        <is>
          <t>SQ</t>
        </is>
      </c>
      <c r="E6" t="inlineStr">
        <is>
          <t>Where multiple statutory or sectoral plans apply to the same territory, is the water board mandated to ensure consistency with the applicable metropolitan/regional or city master plan/strategic plan for the city?</t>
        </is>
      </c>
      <c r="F6" t="n">
        <v>2.5</v>
      </c>
      <c r="G6" t="inlineStr">
        <is>
          <t>Law/Policy</t>
        </is>
      </c>
      <c r="H6" t="inlineStr">
        <is>
          <t>Water supply board</t>
        </is>
      </c>
      <c r="I6" t="inlineStr">
        <is>
          <t>Review the relevant Parastatal Act and Town and Country Planning Act.
Score 2.50 if the parastatal shall/is required to ensure that its spatial/sectoral plan is consistent with the applicable city, metropolitan or regional statutory plan.
Score 1.25 if the law provides that the parastatal may ensure/seek such consistency or otherwise makes alignment discretionary.
Score 0 if no such provision exists.
For example, a provision stating that a water supply plan shall conform to the applicable Master Plan or Metropolitan Plan would score 2.5, while a provision stating that the authority may have regard to such a plan would score 1.25.</t>
        </is>
      </c>
      <c r="J6" t="inlineStr">
        <is>
          <t>Relevant Parastatal Act; applicable Town and Country Planning (T&amp;CP) Act.</t>
        </is>
      </c>
    </row>
    <row r="7">
      <c r="A7" t="inlineStr">
        <is>
          <t>UPD2b</t>
        </is>
      </c>
      <c r="B7" t="inlineStr">
        <is>
          <t>UPD 2b</t>
        </is>
      </c>
      <c r="C7" t="inlineStr">
        <is>
          <t>Urban Planning &amp; Design (UPD)</t>
        </is>
      </c>
      <c r="D7" t="inlineStr">
        <is>
          <t>SQ</t>
        </is>
      </c>
      <c r="E7" t="inlineStr">
        <is>
          <t>Where multiple statutory or sectoral plans apply to the same territory, does the water supply board ensure consistency with the applicable metropolitan/regional or city master plan/strategic plan for the city?</t>
        </is>
      </c>
      <c r="F7" t="n">
        <v>2.5</v>
      </c>
      <c r="G7" t="inlineStr">
        <is>
          <t>Implementation</t>
        </is>
      </c>
      <c r="H7" t="inlineStr">
        <is>
          <t>Water supply board</t>
        </is>
      </c>
      <c r="I7" t="inlineStr">
        <is>
          <t>Review the Board’s current water supply/sewerage master plan, or equivalent sectoral planning document, together with the applicable Master Plan/Development Plan/Metropolitan or Regional Plan.
Score 2.5 if the water plan demonstrates substantive spatial alignment with the city’s master plan: It explicitly draws reference to the city master plan, uses the master plan’s growth/service areas and/or land-use framework to determine network expansion and major infrastructure siting, and also refers to the master plan or its projections as an input.
Score 1.25 if there is partial alignment: the water plan refers to the master plan and/or uses its population, density or land-use projections, but does not clearly demonstrate that these inputs determine the spatial location of network expansion, service areas or major infrastructure.
Score 0 if there is no identifiable evidence that the Master Plan or its spatial/population framework informs water planning.
The score sheet should record components for scores, the plan/document relied upon, year, applicable statutory master plan and the specific reference demonstrating alignment.
Additional quality check, and not for scoring:
Where readily available, record whether major treatment plants, trunk infrastructure or other significant facilities have required subsequent land-use conversion/regularisation because they were located on land not originally designated for that use. Treat this as contextual evidence of planning misalignment; it should not require a project-by-project review across the entire city.</t>
        </is>
      </c>
      <c r="J7" t="inlineStr">
        <is>
          <t>Water Supply Board's current water supply/sewerage master plan or equivalent sectoral planning document; applicable Master Plan/Development Plan/Metropolitan or Regional Plan; land-use conversion/regularisation records for major treatment plants or trunk infrastructure, where available.</t>
        </is>
      </c>
    </row>
    <row r="8">
      <c r="A8" t="inlineStr">
        <is>
          <t>UPD2c</t>
        </is>
      </c>
      <c r="B8" t="inlineStr">
        <is>
          <t>UPD 2c</t>
        </is>
      </c>
      <c r="C8" t="inlineStr">
        <is>
          <t>Urban Planning &amp; Design (UPD)</t>
        </is>
      </c>
      <c r="D8" t="inlineStr">
        <is>
          <t>SQ</t>
        </is>
      </c>
      <c r="E8" t="inlineStr">
        <is>
          <t>Where multiple statutory or sectoral plans apply to the same territory, is the transport corporation mandated to ensure consistency with the applicable metropolitan/regional or city master plan/strategic plan for the city?</t>
        </is>
      </c>
      <c r="F8" t="n">
        <v>2.5</v>
      </c>
      <c r="G8" t="inlineStr">
        <is>
          <t>Law/Policy</t>
        </is>
      </c>
      <c r="H8" t="inlineStr">
        <is>
          <t>Transport Corporation</t>
        </is>
      </c>
      <c r="I8" t="inlineStr">
        <is>
          <t>Review the relevant Parastatal Act and Town and Country Planning Act.
Score 2.5 if the parastatal shall/is required to ensure that its spatial/sectoral plan is consistent with the applicable city, metropolitan or regional statutory plan.
Score 1.25 if the law provides that the parastatal may ensure/seek such consistency or otherwise makes alignment discretionary.
Score 0 if no such provision exists.
For example, a provision stating that a transport plan shall conform to the applicable Master Plan or Metropolitan Plan would score 2.5, while a provision stating that the authority may have regard to such a plan would score 1.25.</t>
        </is>
      </c>
      <c r="J8" t="inlineStr">
        <is>
          <t>Relevant Parastatal Act; applicable Town and Country Planning (T&amp;CP) Act.</t>
        </is>
      </c>
    </row>
    <row r="9">
      <c r="A9" t="inlineStr">
        <is>
          <t>UPD2d</t>
        </is>
      </c>
      <c r="B9" t="inlineStr">
        <is>
          <t>UPD 2d</t>
        </is>
      </c>
      <c r="C9" t="inlineStr">
        <is>
          <t>Urban Planning &amp; Design (UPD)</t>
        </is>
      </c>
      <c r="D9" t="inlineStr">
        <is>
          <t>SQ</t>
        </is>
      </c>
      <c r="E9" t="inlineStr">
        <is>
          <t>Where multiple statutory or sectoral plans apply to the same territory, does the transport corporation ensure consistency with the applicable metropolitan/regional or city master plan/strategic plan for the city?</t>
        </is>
      </c>
      <c r="F9" t="n">
        <v>2.5</v>
      </c>
      <c r="G9" t="inlineStr">
        <is>
          <t>Implementation</t>
        </is>
      </c>
      <c r="H9" t="inlineStr">
        <is>
          <t>Transport Corporation</t>
        </is>
      </c>
      <c r="I9" t="inlineStr">
        <is>
          <t>Review the transport corporation's current transport/mobility master plan, network expansion plan, or equivalent sectoral planning document, together with the applicable Master Plan/Development Plan/Metropolitan or Regional Plan.
Score 2.5 if the transport plan demonstrates substantive spatial alignment with the city's master plan: it explicitly draws reference to the city master plan, uses the master plan's growth corridors, land-use framework and/or density projections to determine route planning, station/depot siting or network expansion, and refers to the master plan or its projections as an input.
Score 1.25 if there is partial alignment: the transport plan refers to the master plan and/or uses its population, density or land-use projections, but does not clearly demonstrate that these inputs determine the spatial location of routes, stations or major infrastructure.
Score 0 if there is no identifiable evidence that the Master Plan or its spatial/population framework informs transport planning.
The score sheet should record components for scores, the plan/document relied upon, year, applicable statutory master plan, and the specific reference demonstrating alignment.
Additional quality check, not for scoring: where readily available, record whether major depots, terminals or transit infrastructure required subsequent land-use conversion/regularisation because they were sited on land not originally designated for that use. Treat this as contextual evidence of planning misalignment; it should not require a project-by-project review across the entire city.</t>
        </is>
      </c>
      <c r="J9" t="inlineStr">
        <is>
          <t>Transport corporation's current mobility/network plan; applicable Master Plan/Development Plan/Metropolitan or Regional Plan; land-use conversion/regularisation records for major transport infrastructure, where available.</t>
        </is>
      </c>
    </row>
    <row r="10">
      <c r="A10" t="inlineStr">
        <is>
          <t>UPD3</t>
        </is>
      </c>
      <c r="B10" t="inlineStr">
        <is>
          <t>UPD 3</t>
        </is>
      </c>
      <c r="C10" t="inlineStr">
        <is>
          <t>Urban Planning &amp; Design (UPD)</t>
        </is>
      </c>
      <c r="D10" t="inlineStr">
        <is>
          <t>MQ</t>
        </is>
      </c>
      <c r="E10" t="inlineStr">
        <is>
          <t>Are the needs of women, the urban poor, and other vulnerable groups explicitly considered in the water board’s planning, service delivery or major investment decisions?</t>
        </is>
      </c>
      <c r="F10" t="n">
        <v>10</v>
      </c>
      <c r="G10" t="inlineStr">
        <is>
          <t>Law/Policy</t>
        </is>
      </c>
      <c r="H10" t="inlineStr">
        <is>
          <t>Water supply board</t>
        </is>
      </c>
      <c r="I10" t="inlineStr">
        <is>
          <t>Review the relevant Act of the parastatal and applicable sectoral legislation, rules, regulations and other binding policy instruments. Do not award credit solely for broad references such as “public interest”, “public welfare” or “welfare of inhabitants”; there must be an identifiable requirement relating to women, the urban poor, EWS/slum residents, persons with disabilities, informal workers, disadvantaged/vulnerable groups, affordability, equitable/universal access, safety, or rehabilitation/resettlement protections.</t>
        </is>
      </c>
      <c r="J10" t="inlineStr">
        <is>
          <t>Relevant Act of the parastatal and applicable sectoral legislation, rules, regulations and other binding policy instruments</t>
        </is>
      </c>
    </row>
    <row r="11">
      <c r="A11" t="inlineStr">
        <is>
          <t>UPD3a</t>
        </is>
      </c>
      <c r="B11" t="inlineStr">
        <is>
          <t>UPD 3a</t>
        </is>
      </c>
      <c r="C11" t="inlineStr">
        <is>
          <t>Urban Planning &amp; Design (UPD)</t>
        </is>
      </c>
      <c r="D11" t="inlineStr">
        <is>
          <t>SQ</t>
        </is>
      </c>
      <c r="E11" t="inlineStr">
        <is>
          <t>Is the water supply board mandated to consider the needs of women, the urban poor and other vulnerable groups in decisions relating to access, affordability and delivery of water and sanitation services?</t>
        </is>
      </c>
      <c r="F11" t="n">
        <v>5</v>
      </c>
      <c r="G11" t="inlineStr">
        <is>
          <t>Law/Policy</t>
        </is>
      </c>
      <c r="H11" t="inlineStr">
        <is>
          <t>Water supply board</t>
        </is>
      </c>
      <c r="I11" t="inlineStr">
        <is>
          <t>Review the Water Supply Board/utility Act, water and sanitation legislation, tariff regulations, service rules, State policies and other applicable binding instruments. Look for explicit requirements relating to universal/equitable access, service to slums or informal settlements, low-income/EWS households, affordability or concessional tariffs, minimum/lifeline supply, tenure-neutral access, women’s needs, persons with disabilities or other identified vulnerable groups.
Score 5 if equity requirements apply across core service-access and delivery decisions
Score 2.5 if limited to particular groups, services or schemes
Score 0 if no explicit requirement is found.</t>
        </is>
      </c>
      <c r="J11" t="inlineStr">
        <is>
          <t>Water Supply Board/utility Act, water and sanitation legislation, tariff regulations, service rules, State policies and other applicable binding instruments</t>
        </is>
      </c>
    </row>
    <row r="12">
      <c r="A12" t="inlineStr">
        <is>
          <t>UPD3b</t>
        </is>
      </c>
      <c r="B12" t="inlineStr">
        <is>
          <t>UPD 3b</t>
        </is>
      </c>
      <c r="C12" t="inlineStr">
        <is>
          <t>Urban Planning &amp; Design (UPD)</t>
        </is>
      </c>
      <c r="D12" t="inlineStr">
        <is>
          <t>SQ</t>
        </is>
      </c>
      <c r="E12" t="inlineStr">
        <is>
          <t>Does the water supply board actually consider the needs of women, the urban poor and other vulnerable groups in decisions relating to access, affordability and delivery of water and sanitation services?</t>
        </is>
      </c>
      <c r="F12" t="n">
        <v>5</v>
      </c>
      <c r="G12" t="inlineStr">
        <is>
          <t>Implementation</t>
        </is>
      </c>
      <c r="H12" t="inlineStr">
        <is>
          <t>Water supply board</t>
        </is>
      </c>
      <c r="I12" t="inlineStr">
        <is>
          <t>Review the Board’s current water supply plan. Assess whether the Board’s it contains identifiable equity and inclusion measures for groups such as EWS/BPL households, slum/informal-settlement residents, women, persons with disabilities, elderly persons or other specifically identified vulnerable/disadvantaged groups.
Do not award credit for generic language such as “public interest”, “all consumers”, “universal service” or “inclusive development” unless this is translated into a specific planning, service, tariff, connection or design provision.
Component 1 – Affordability and inclusion in service coverage: 2.5 marks
Look for identifiable provisions such as:
concessional/lifeline tariff, connection fee concession, deposit concession or other affordability measure for EWS/BPL/slum/low-income households
a named scheme or coverage commitment for slums/informal settlements
inclusion of slums/informal settlements within the water-supply master plan’s demand assessment, network design or service area, including where relevant irrespective of land tenure or notified status
priority/admissible category for network extension to low-income or underserved settlements
decentralised/service alternatives such as community stand posts, water ATMs or mini-networks where individual household connections are not feasible.
Scoring
Score 2.5 if there is evidence of both (i) an affordability/access measure and (ii) an explicit service-planning/coverage measure for an identified vulnerable group.
Score 1.25 if only one of the above is present.
Score 0 if neither is present.
Component 2 – Gender, and accessible design: 2.5 marks
Look for identifiable planning or design measures such as:
GESI/gender/social inclusion screening or analysis within water-supply planning or DPR preparation
explicit design consideration for women, PwDs, elderly persons, children or other identified vulnerable users
siting of shared water infrastructure to reduce time, distance or physical burden
safe and accessible approaches to community water points
barrier-free/universal-access design standards for public-facing water infrastructure, including ramps, step-free access, appropriate tap heights or other accessible design features
other specific design or service measures intended to address identified access barriers.
Scoring
Score 2.5 if the Board’s current planning/design framework contains specific operational or design measures addressing the needs of identified vulnerable groups.
Score 1.25 if vulnerable groups are specifically identified and considered, but the provision does not translate into a clear operational/design requirement.
Score 0 if there is no identifiable equity/accessibility consideration.</t>
        </is>
      </c>
      <c r="J12" t="inlineStr">
        <is>
          <t>Water Supply Board's current water supply/sanitation plan; scheme/coverage documents; tariff or connection-concession orders; design/service standards.</t>
        </is>
      </c>
    </row>
    <row r="13">
      <c r="A13" t="inlineStr">
        <is>
          <t>UPD4</t>
        </is>
      </c>
      <c r="B13" t="inlineStr">
        <is>
          <t>UPD 4</t>
        </is>
      </c>
      <c r="C13" t="inlineStr">
        <is>
          <t>Urban Planning &amp; Design (UPD)</t>
        </is>
      </c>
      <c r="D13" t="inlineStr">
        <is>
          <t>MQ</t>
        </is>
      </c>
      <c r="E13" t="inlineStr">
        <is>
          <t>Are the needs of women, the urban poor, and other vulnerable groups explicitly considered in the transport Corporation’s planning, service delivery or major investment decisions?</t>
        </is>
      </c>
      <c r="F13" t="n">
        <v>10</v>
      </c>
      <c r="H13" t="inlineStr">
        <is>
          <t>Transport Corporation</t>
        </is>
      </c>
      <c r="I13" t="inlineStr">
        <is>
          <t>Sum of the sub-questions below -</t>
        </is>
      </c>
      <c r="J13" t="inlineStr">
        <is>
          <t>See sub-indicators</t>
        </is>
      </c>
    </row>
    <row r="14">
      <c r="A14" t="inlineStr">
        <is>
          <t>UPD4a</t>
        </is>
      </c>
      <c r="B14" t="inlineStr">
        <is>
          <t>UPD 4a</t>
        </is>
      </c>
      <c r="C14" t="inlineStr">
        <is>
          <t>Urban Planning &amp; Design (UPD)</t>
        </is>
      </c>
      <c r="D14" t="inlineStr">
        <is>
          <t>SQ</t>
        </is>
      </c>
      <c r="E14" t="inlineStr">
        <is>
          <t>Is the transport corporation mandated to consider the mobility needs of women, the urban poor and other vulnerable groups in planning and delivering public transport services?</t>
        </is>
      </c>
      <c r="F14" t="n">
        <v>5</v>
      </c>
      <c r="G14" t="inlineStr">
        <is>
          <t>Law/Policy</t>
        </is>
      </c>
      <c r="H14" t="inlineStr">
        <is>
          <t>Transport Corporation</t>
        </is>
      </c>
      <c r="I14" t="inlineStr">
        <is>
          <t>Review the transport authority/corporation Act, applicable transport legislation, rules, service regulations, fare policies and other binding policy instruments. Look for requirements relating to women’s safety and mobility, affordability/concessional fares, service coverage for low-income or peripheral areas, universal accessibility, persons with disabilities, last-mile access or other identified vulnerable users.
Score 5 if such considerations are explicitly embedded across core service-planning and delivery functions
Score 2.5 if limited to specific groups, services or schemes
Score 0 if no explicit requirement is found.</t>
        </is>
      </c>
      <c r="J14" t="inlineStr">
        <is>
          <t>Transport authority/corporation Act, applicable transport legislation, rules, service regulations, fare policies and other binding policy instruments</t>
        </is>
      </c>
    </row>
    <row r="15">
      <c r="A15" t="inlineStr">
        <is>
          <t>UPD4b</t>
        </is>
      </c>
      <c r="B15" t="inlineStr">
        <is>
          <t>UPD 4b</t>
        </is>
      </c>
      <c r="C15" t="inlineStr">
        <is>
          <t>Urban Planning &amp; Design (UPD)</t>
        </is>
      </c>
      <c r="D15" t="inlineStr">
        <is>
          <t>SQ</t>
        </is>
      </c>
      <c r="E15" t="inlineStr">
        <is>
          <t>Does the Transport Corporation actually consider the needs of women, the urban poor and other vulnerable groups in decisions relating to access, affordability and delivery of public transport services?</t>
        </is>
      </c>
      <c r="F15" t="n">
        <v>5</v>
      </c>
      <c r="G15" t="inlineStr">
        <is>
          <t>Implementation</t>
        </is>
      </c>
      <c r="H15" t="inlineStr">
        <is>
          <t>Transport Corporation</t>
        </is>
      </c>
      <c r="I15" t="inlineStr">
        <is>
          <t>Review the Corporation's current transport/mobility plan or service-delivery framework. Assess whether it contains identifiable equity and inclusion measures for groups such as EWS/BPL households, informal-settlement residents, women, persons with disabilities, elderly persons or other specifically identified vulnerable/disadvantaged groups.
Do not award credit for generic language such as "public interest," "all commuters," "universal service" or "inclusive development" unless this is translated into a specific route, fare, service or design provision.
Component 1 – Affordability and inclusion in service coverage: 2.5 marks. Look for: concessional/subsidised fares for EWS/BPL, students, elderly persons, persons with disabilities or women; a named coverage commitment for low-income/peripheral areas; inclusion of informal settlements within route planning; last-mile connectivity measures for underserved settlements.
Score 2.5 if there is evidence of both (i) an affordability/fare-concession measure and (ii) an explicit route/coverage measure for an identified vulnerable group. Score 1.25 if only one is present. Score 0 if neither is present.
Component 2 – Gender, safety and accessible design: 2.5 marks. Look for: women's safety features (CCTV, panic buttons, adequate lighting); GESI/gender screening in transport planning; accessible design for persons with disabilities and elderly users (low-floor buses, ramps, priority seating, step-free access).
Score 2.5 if the Corporation's current planning/design framework contains specific operational or design measures. Score 1.25 if vulnerable groups are identified but this doesn't translate into an operational/design requirement. Score 0 if no identifiable consideration.</t>
        </is>
      </c>
      <c r="J15" t="inlineStr">
        <is>
          <t>Transport Corporation's current transport/mobility plan; fare policy/concession orders; service design standards or specifications; annual report.</t>
        </is>
      </c>
    </row>
    <row r="16">
      <c r="A16" t="inlineStr">
        <is>
          <t>UPD5</t>
        </is>
      </c>
      <c r="B16" t="inlineStr">
        <is>
          <t>UPD 5</t>
        </is>
      </c>
      <c r="C16" t="inlineStr">
        <is>
          <t>Urban Planning &amp; Design (UPD)</t>
        </is>
      </c>
      <c r="D16" t="inlineStr">
        <is>
          <t>MQ</t>
        </is>
      </c>
      <c r="E16" t="inlineStr">
        <is>
          <t>Are environmental considerations explicitly required to be integrated into the water supply board’s planning, service-delivery or major investment decisions?</t>
        </is>
      </c>
      <c r="F16" t="n">
        <v>10</v>
      </c>
      <c r="G16" t="inlineStr">
        <is>
          <t>Law/Policy</t>
        </is>
      </c>
      <c r="H16" t="inlineStr">
        <is>
          <t>Water supply board</t>
        </is>
      </c>
      <c r="I16" t="inlineStr">
        <is>
          <t>Assess through the relevant parastatal-specific question below. Review the enabling Act of the parastatal, applicable sectoral legislation, T&amp;CP/planning legislation where relevant, environmental rules/regulations, and other binding policy instruments governing the parastatal’s functions. Do not award credit solely for general references to “environment”, “public interest” or compliance with project-level environmental clearances. The legal/policy framework should require environmental considerations to inform the parastatal’s own planning, investment or service-delivery decisions.</t>
        </is>
      </c>
      <c r="J16" t="inlineStr">
        <is>
          <t>Enabling Act of the parastatal, applicable sectoral legislation, T&amp;CP/planning legislation, relevant environmental rules/regulations, and other binding policy instruments</t>
        </is>
      </c>
    </row>
    <row r="17">
      <c r="A17" t="inlineStr">
        <is>
          <t>UPD5a</t>
        </is>
      </c>
      <c r="B17" t="inlineStr">
        <is>
          <t>UPD 5a</t>
        </is>
      </c>
      <c r="C17" t="inlineStr">
        <is>
          <t>Urban Planning &amp; Design (UPD)</t>
        </is>
      </c>
      <c r="D17" t="inlineStr">
        <is>
          <t>SQ</t>
        </is>
      </c>
      <c r="E17" t="inlineStr">
        <is>
          <t>Is the water supply board mandated to consider environmental sustainability in planning and delivering water and sanitation services?</t>
        </is>
      </c>
      <c r="F17" t="n">
        <v>5</v>
      </c>
      <c r="G17" t="inlineStr">
        <is>
          <t>Law/Policy</t>
        </is>
      </c>
      <c r="H17" t="inlineStr">
        <is>
          <t>Water supply board</t>
        </is>
      </c>
      <c r="I17" t="inlineStr">
        <is>
          <t>Review the Water Supply Board/utility Act, water and sanitation legislation, service rules, State water policies, groundwater/source-protection provisions and other binding instruments. Look for explicit requirements relating to sustainable water sources, source protection, demand management or conservation, reduction of water losses, wastewater treatment/reuse, protection from pollution, environmental flows where applicable, climate resilience or environmentally sustainable service delivery. 
Score 5 if environmental sustainability requirements apply across core water/sanitation planning and service-delivery functions; 
Score 2.5 if limited to particular functions, schemes or environmental concerns; 
Score 0 if no explicit requirement is found.</t>
        </is>
      </c>
      <c r="J17" t="inlineStr">
        <is>
          <t>Water Supply Board/utility Act, water and sanitation legislation, service rules, State water policies, groundwater/source-protection provisions and other binding instruments</t>
        </is>
      </c>
    </row>
    <row r="18">
      <c r="A18" t="inlineStr">
        <is>
          <t>UPD5b</t>
        </is>
      </c>
      <c r="B18" t="inlineStr">
        <is>
          <t>UPD 5b</t>
        </is>
      </c>
      <c r="C18" t="inlineStr">
        <is>
          <t>Urban Planning &amp; Design (UPD)</t>
        </is>
      </c>
      <c r="D18" t="inlineStr">
        <is>
          <t>SQ</t>
        </is>
      </c>
      <c r="E18" t="inlineStr">
        <is>
          <t>Does the water supply board actually consider environmental sustainability in planning and delivering water and sanitation services?</t>
        </is>
      </c>
      <c r="F18" t="n">
        <v>5</v>
      </c>
      <c r="G18" t="inlineStr">
        <is>
          <t>Implementation</t>
        </is>
      </c>
      <c r="H18" t="inlineStr">
        <is>
          <t>Water supply board</t>
        </is>
      </c>
      <c r="I18" t="inlineStr">
        <is>
          <t>Review the Board's latest water supply plan. Assess whether it contains identifiable environmental sustainability measures relating to source management, conservation, wastewater management, or climate resilience.
Do not award credit for generic language such as "sustainable development," "efficient service," "environment friendly" or "public interest" unless this is translated into a specific planning, operational, or design provision.
Component 1 – Sustainable source management, conservation and loss reduction: 2.5 marks
Look for identifiable provisions such as:
sustainable or diversified water source development, or measures to reduce over-extraction/dependence on a stressed source
groundwater recharge, rainwater harvesting, or source-protection measures within the Board's own infrastructure planning
a non-revenue water (NRW)/water-loss reduction target or programme
demand management or water conservation measures (e.g., universal metering, leak detection and repair programme, conservation-oriented design standards)
measures to protect water sources from pollution or encroachment (buffer/catchment protection, control of upstream effluent discharge)
any other specific measure on sustainable source management, and/or conservation and loss reduction
Scoring:
Score 2.5 if there is evidence of both (i) a sustainable source/protection measure and (ii) an explicit loss-reduction or demand-management target/programme.
Score 1.25 if only one of the above is present. Score 0 if neither is present.
Component 2 – Wastewater management, reuse and climate resilience: 2.5 marks
Look for identifiable planning or operational measures such as:
wastewater treatment capacity or quality targets aligned with service expansion
a treated-wastewater reuse/recycling target or scheme (industrial, horticultural, non-potable reuse, etc.)
climate resilience or adaptation measures for water sources or infrastructure (drought contingency planning, flood-proofing of treatment/pumping assets)
energy efficiency measures in water/wastewater operations (energy audits, renewable energy use in pumping/treatment)
environmental flow or ecological considerations where surface water sources are used
other specific measures addressing the environmental impact of water or wastewater operations
Scoring:
Score 2.5 if the Board's current planning framework contains specific operational measures addressing wastewater management, climate resilience or energy use.
Score 1.25 if such considerations are mentioned or identified but do not translate into a clear operational or target-based requirement.
Score 0 if there is no identifiable environmental sustainability consideration.</t>
        </is>
      </c>
      <c r="J18" t="inlineStr">
        <is>
          <t>Water Supply Board's current water supply/sanitation plan; source-protection or conservation programme documents; wastewater treatment/reuse scheme documents; annual report.</t>
        </is>
      </c>
    </row>
    <row r="19">
      <c r="A19" t="inlineStr">
        <is>
          <t>UPD6</t>
        </is>
      </c>
      <c r="B19" t="inlineStr">
        <is>
          <t>UPD 6</t>
        </is>
      </c>
      <c r="C19" t="inlineStr">
        <is>
          <t>Urban Planning &amp; Design (UPD)</t>
        </is>
      </c>
      <c r="D19" t="inlineStr">
        <is>
          <t>MQ</t>
        </is>
      </c>
      <c r="E19" t="inlineStr">
        <is>
          <t>Are environmental considerations explicitly required to be integrated into the transport corporation’s planning, service-delivery or major investment decisions?</t>
        </is>
      </c>
      <c r="F19" t="n">
        <v>10</v>
      </c>
      <c r="H19" t="inlineStr">
        <is>
          <t>Transport Corporation</t>
        </is>
      </c>
      <c r="I19" t="inlineStr">
        <is>
          <t>Sum of the sub-questions below -</t>
        </is>
      </c>
      <c r="J19" t="inlineStr">
        <is>
          <t>See sub-indicators</t>
        </is>
      </c>
    </row>
    <row r="20">
      <c r="A20" t="inlineStr">
        <is>
          <t>UPD6a</t>
        </is>
      </c>
      <c r="B20" t="inlineStr">
        <is>
          <t>UPD 6a</t>
        </is>
      </c>
      <c r="C20" t="inlineStr">
        <is>
          <t>Urban Planning &amp; Design (UPD)</t>
        </is>
      </c>
      <c r="D20" t="inlineStr">
        <is>
          <t>SQ</t>
        </is>
      </c>
      <c r="E20" t="inlineStr">
        <is>
          <t>Is the transport corporation mandated to consider environmental sustainability in planning and delivering urban transport services and investments?</t>
        </is>
      </c>
      <c r="F20" t="n">
        <v>5</v>
      </c>
      <c r="G20" t="inlineStr">
        <is>
          <t>Law/Policy</t>
        </is>
      </c>
      <c r="H20" t="inlineStr">
        <is>
          <t>Transport Corporation</t>
        </is>
      </c>
      <c r="I20" t="inlineStr">
        <is>
          <t>Review the transport authority/corporation Act, applicable transport legislation, rules, mobility/transport policies and other binding instruments. Look for explicit requirements relating to public and non-motorised transport prioritisation, emissions reduction, cleaner vehicle/fuel transition, energy efficiency, integration of land use and transport, reduction of congestion or vehicle dependence, climate resilience, or environmental impacts of major transport investments.
Score 5 if environmental considerations are explicitly embedded across core transport planning/investment/service-delivery functions
Score 2.5 if limited to specific modes, projects or environmental objectives
Score 0 if no explicit requirement is found.</t>
        </is>
      </c>
      <c r="J20" t="inlineStr">
        <is>
          <t>Transport authority/corporation Act, applicable transport legislation, rules, mobility/transport policies and other binding instruments</t>
        </is>
      </c>
    </row>
    <row r="21">
      <c r="A21" t="inlineStr">
        <is>
          <t>UPD6b</t>
        </is>
      </c>
      <c r="B21" t="inlineStr">
        <is>
          <t>UPD 6b</t>
        </is>
      </c>
      <c r="C21" t="inlineStr">
        <is>
          <t>Urban Planning &amp; Design (UPD)</t>
        </is>
      </c>
      <c r="D21" t="inlineStr">
        <is>
          <t>SQ</t>
        </is>
      </c>
      <c r="E21" t="inlineStr">
        <is>
          <t>Does the transport corporation actually considers environmental sustainability in planning and delivering urban transport services and investments?</t>
        </is>
      </c>
      <c r="F21" t="n">
        <v>5</v>
      </c>
      <c r="G21" t="inlineStr">
        <is>
          <t>Implementation</t>
        </is>
      </c>
      <c r="H21" t="inlineStr">
        <is>
          <t>Transport Corporation</t>
        </is>
      </c>
      <c r="I21" t="inlineStr">
        <is>
          <t>Review the Corporation's current fleet plan, network/route plan or environmental/sustainability policy. Assess whether it contains identifiable environmental sustainability measures relating to fleet composition, emissions, energy use or modal integration.
Do not award credit for generic language such as "sustainable development," "green transport" or "environment friendly" unless translated into a specific fleet, operational or design provision.
Component 1 – Cleaner fleet and emissions reduction: 2.5 marks. Look for: an electric/CNG/hybrid fleet-transition target; an emissions or fuel-efficiency target; a retirement/phase-out schedule for high-emission vehicles.
Score 2.5 if evidence of both (i) a cleaner-fuel/fleet-transition measure and (ii) an explicit emissions/efficiency target. Score 1.25 if only one is present. Score 0 if neither.
Component 2 – Modal integration and demand-side measures: 2.5 marks. Look for: route planning informed by land-use/density to reduce vehicle-km travelled; NMT integration at stops/stations; multimodal integration (common ticketing, interchange with metro/rail); energy efficiency in depots/operations.
Score 2.5 if the Corporation's planning framework contains specific operational measures. Score 1.25 if mentioned but not operationalised/targeted. Score 0 if no identifiable consideration.</t>
        </is>
      </c>
      <c r="J21" t="inlineStr">
        <is>
          <t>Transport Corporation's fleet plan; route/network plan; environmental/sustainability policy; annual report.</t>
        </is>
      </c>
    </row>
    <row r="22">
      <c r="A22" t="inlineStr">
        <is>
          <t>DPG1</t>
        </is>
      </c>
      <c r="B22" t="inlineStr">
        <is>
          <t>DPG 1</t>
        </is>
      </c>
      <c r="C22" t="inlineStr">
        <is>
          <t>Decentralised Participatory Governance</t>
        </is>
      </c>
      <c r="D22" t="inlineStr">
        <is>
          <t>MQ</t>
        </is>
      </c>
      <c r="E22" t="inlineStr">
        <is>
          <t>Are the functions and geographical jurisdiction of the parastatal clearly defined vis-à-vis the ULG and other relevant agencies?</t>
        </is>
      </c>
      <c r="F22" t="n">
        <v>10</v>
      </c>
      <c r="G22" t="inlineStr">
        <is>
          <t>Institutional Design</t>
        </is>
      </c>
      <c r="H22" t="inlineStr">
        <is>
          <t>Common — all parastatal types.</t>
        </is>
      </c>
      <c r="I22" t="inlineStr">
        <is>
          <t>Sum of the sub-questions below -</t>
        </is>
      </c>
      <c r="J22" t="inlineStr">
        <is>
          <t>Parastatal, 12th Schedule mapping exercise</t>
        </is>
      </c>
    </row>
    <row r="23">
      <c r="A23" t="inlineStr">
        <is>
          <t>DPG1a</t>
        </is>
      </c>
      <c r="B23" t="inlineStr">
        <is>
          <t>DPG 1a</t>
        </is>
      </c>
      <c r="C23" t="inlineStr">
        <is>
          <t>Decentralised Participatory Governance</t>
        </is>
      </c>
      <c r="D23" t="inlineStr">
        <is>
          <t>SQ</t>
        </is>
      </c>
      <c r="E23" t="inlineStr">
        <is>
          <t>Does the legal framework clearly demarcate the functions/responsibilities of the parastatal vis-à-vis the ULG?</t>
        </is>
      </c>
      <c r="F23" t="n">
        <v>5</v>
      </c>
      <c r="G23" t="inlineStr">
        <is>
          <t>Institutional Design</t>
        </is>
      </c>
      <c r="H23" t="inlineStr">
        <is>
          <t>Common — all parastatal types.</t>
        </is>
      </c>
      <c r="I23" t="inlineStr">
        <is>
          <t>Step 1 — Check devolution status under the Municipal Act.
Review the Municipal Act to determine whether the specific function/service is:
A — Not devolved: the function is not assigned to the ULG at all.
B — Fully devolved: the function is assigned to the ULG in full, and the parastatal also delivers it (i.e. a potential overlap exists).
C — Partially devolved: only specific sub-functions are assigned to the ULG (e.g. domestic water supply to the ULG, bulk supply/production to the parastatal).
Step 2 — Score based on which scenario applies.
If A (not devolved): Score 5. There is no ULG claim to the function, so there is nothing to demarcate against — the parastatal Act's assignment stands on its own.
If B (fully devolved, both deliver it): Check whether the Parastatal Act explicitly carves out or distinguishes the parastatal's role from the ULG's (e.g. the parastatal Act specifies it handles a particular aspect, area, or scale of the function, rather than simply repeating the ULG's full assignment).
Score 5 if such a distinction is explicit in the Parastatal Act.
Score 0 if both Acts assign the same function with no distinction between them.
If C (partially devolved): Check whether the aspect assigned to the parastatal is explicit and does not overlap with the aspect assigned to the ULG (e.g. Municipal Act assigns domestic water supply to the ULG; Parastatal Act assigns bulk supply/production to the parastatal — no overlap).
Score 5 if the two Acts' assignments are explicit and non-overlapping.
Score 0 if the assigned aspects overlap, or if the parastatal's aspect is not clearly specified in its Act.
Record the devolution scenario (A/B/C) and the specific provisions relied upon in the evidence column.</t>
        </is>
      </c>
      <c r="J23" t="inlineStr">
        <is>
          <t>Relevant Parastatal Act; State Municipal Act — record the specific provisions establishing devolution status and (where applicable) the functional carve-out.</t>
        </is>
      </c>
    </row>
    <row r="24">
      <c r="A24" t="inlineStr">
        <is>
          <t>DPG1b</t>
        </is>
      </c>
      <c r="B24" t="inlineStr">
        <is>
          <t>DPG 1b</t>
        </is>
      </c>
      <c r="C24" t="inlineStr">
        <is>
          <t>Decentralised Participatory Governance</t>
        </is>
      </c>
      <c r="D24" t="inlineStr">
        <is>
          <t>SQ</t>
        </is>
      </c>
      <c r="E24" t="inlineStr">
        <is>
          <t>Is the parastatal's territorial/geographic jurisdiction clearly and specifically defined in its enabling legal framework?</t>
        </is>
      </c>
      <c r="F24" t="n">
        <v>5</v>
      </c>
      <c r="G24" t="inlineStr">
        <is>
          <t>Institutional Design</t>
        </is>
      </c>
      <c r="H24" t="inlineStr">
        <is>
          <t>Common — all parastatal types.</t>
        </is>
      </c>
      <c r="I24" t="inlineStr">
        <is>
          <t>Review the relevant Parastatal Act and Municipal Act as the primary source. Since jurisdiction may be amended or updated after the parent Act through subsequent notifications, gazette orders, or administrative boundary changes not yet reflected in the Act, also cross-check the parastatal's official website and any government notifications/gazette publications for the current jurisdictional boundary. 
Score 5 if jurisdiction is defined with a specific boundary description, schedule, or map reference in the enabling Act. Review the relevant Parastatal Act and Municipal Act. 
Score 2.5 if defined only in general terms (e.g. "notified area" with no schedule). Score 0 if jurisdiction is not defined.</t>
        </is>
      </c>
      <c r="J24" t="inlineStr">
        <is>
          <t>Enabling Act, 12th Schedule mapping exercise</t>
        </is>
      </c>
    </row>
    <row r="25">
      <c r="A25" t="inlineStr">
        <is>
          <t>DPG2</t>
        </is>
      </c>
      <c r="B25" t="inlineStr">
        <is>
          <t>DPG 2</t>
        </is>
      </c>
      <c r="C25" t="inlineStr">
        <is>
          <t>Decentralised Participatory Governance</t>
        </is>
      </c>
      <c r="D25" t="inlineStr">
        <is>
          <t>MQ</t>
        </is>
      </c>
      <c r="E25" t="inlineStr">
        <is>
          <t>Is the parastatal accountable to the ULG?</t>
        </is>
      </c>
      <c r="F25" t="n">
        <v>10</v>
      </c>
      <c r="G25" t="inlineStr">
        <is>
          <t>Institutional Design</t>
        </is>
      </c>
      <c r="H25" t="inlineStr">
        <is>
          <t>Common — all parastatal types.</t>
        </is>
      </c>
      <c r="I25" t="inlineStr">
        <is>
          <t>Sum of the sub-questions below -</t>
        </is>
      </c>
      <c r="J25" t="inlineStr">
        <is>
          <t>See sub-indicators</t>
        </is>
      </c>
    </row>
    <row r="26">
      <c r="A26" t="inlineStr">
        <is>
          <t>DPG2a</t>
        </is>
      </c>
      <c r="B26" t="inlineStr">
        <is>
          <t>DPG 2a</t>
        </is>
      </c>
      <c r="C26" t="inlineStr">
        <is>
          <t>Decentralised Participatory Governance</t>
        </is>
      </c>
      <c r="D26" t="inlineStr">
        <is>
          <t>SQ</t>
        </is>
      </c>
      <c r="E26" t="inlineStr">
        <is>
          <t>Does the ULG have representation on the parastatal's governing board?</t>
        </is>
      </c>
      <c r="F26" t="n">
        <v>5</v>
      </c>
      <c r="G26" t="inlineStr">
        <is>
          <t>Institutional Design</t>
        </is>
      </c>
      <c r="H26" t="inlineStr">
        <is>
          <t>Common — all parastatal types.</t>
        </is>
      </c>
      <c r="I26" t="inlineStr">
        <is>
          <t>Review the relevant Parastatal Act and Municipal Act for composition.
Score 5 if ULG-elected representatives sit on the board with voting rights. 
Score 2.5 if represented without voting rights or only as invitees. 
Score 0 if no representation.</t>
        </is>
      </c>
      <c r="J26" t="inlineStr">
        <is>
          <t>Composition clause of enabling Act; current board member list</t>
        </is>
      </c>
    </row>
    <row r="27">
      <c r="A27" t="inlineStr">
        <is>
          <t>DPG2b</t>
        </is>
      </c>
      <c r="B27" t="inlineStr">
        <is>
          <t>DPG-2b</t>
        </is>
      </c>
      <c r="C27" t="inlineStr">
        <is>
          <t>Decentralised Participatory Governance</t>
        </is>
      </c>
      <c r="D27" t="inlineStr">
        <is>
          <t>SQ</t>
        </is>
      </c>
      <c r="E27" t="inlineStr">
        <is>
          <t>Is the parastatal mandated to submit its plans, budgets or reports to the ULG/council?</t>
        </is>
      </c>
      <c r="F27" t="n">
        <v>5</v>
      </c>
      <c r="G27" t="inlineStr">
        <is>
          <t>Law/Policy</t>
        </is>
      </c>
      <c r="H27" t="inlineStr">
        <is>
          <t>Common — all parastatal types.</t>
        </is>
      </c>
      <c r="I27" t="inlineStr">
        <is>
          <t>Review the relevant Parastatal Act and Municipal Act for provisions requiring the parastatal to submit or table its plans, budgets and reports before the ULG/council. The requirement may be provided through a general provision covering these documents or through specific provisions for each.
Award 1.67 points each where:
1. plans are required to be submitted/tabled;
2. budgets are required to be submitted/tabled; and
3. annual/performance reports are required to be submitted/tabled.
Score 0 for each component where no such requirement exists. 
Where all three are provided for, award the full score of 5.
Record the relevant provision and the documents covered in the evidence column. Submission only to the State Government or another authority should not be counted as submission to the ULG/council.</t>
        </is>
      </c>
      <c r="J27" t="inlineStr">
        <is>
          <t>Plan/Budget preparation/Annual report preparation clause of the enabling Act of the relevant parastatal</t>
        </is>
      </c>
    </row>
    <row r="28">
      <c r="A28" t="inlineStr">
        <is>
          <t>DPG4</t>
        </is>
      </c>
      <c r="B28" t="inlineStr">
        <is>
          <t>DPG 4</t>
        </is>
      </c>
      <c r="C28" t="inlineStr">
        <is>
          <t>Decentralised Participatory Governance</t>
        </is>
      </c>
      <c r="D28" t="inlineStr">
        <is>
          <t>MQ</t>
        </is>
      </c>
      <c r="E28" t="inlineStr">
        <is>
          <t>Does the parastatal maintain an active and functional website?</t>
        </is>
      </c>
      <c r="F28" t="n">
        <v>10</v>
      </c>
      <c r="G28" t="inlineStr">
        <is>
          <t>Implementation</t>
        </is>
      </c>
      <c r="H28" t="inlineStr">
        <is>
          <t>Common.</t>
        </is>
      </c>
      <c r="I28" t="inlineStr">
        <is>
          <t>Check the official website of the relevant parastatal.
Score 10 if an official website of the relevant parastatal exists, opens without error, and shows content updated within the last 12 months (verifiable "last updated" date or dated content such as a recent notice/circular). 
Score 0 if no official website is found. This is a point-in-time check — record the date of verification and an archived screenshot/link as evidence, since website status can change.</t>
        </is>
      </c>
      <c r="J28" t="inlineStr">
        <is>
          <t>Live URL, screenshot/web-archive capture, date of check of the website of the relevant parastatal</t>
        </is>
      </c>
    </row>
    <row r="29">
      <c r="A29" t="inlineStr">
        <is>
          <t>DPG5</t>
        </is>
      </c>
      <c r="B29" t="inlineStr">
        <is>
          <t>DPG 5</t>
        </is>
      </c>
      <c r="C29" t="inlineStr">
        <is>
          <t>Decentralised Participatory Governance</t>
        </is>
      </c>
      <c r="D29" t="inlineStr">
        <is>
          <t>MQ</t>
        </is>
      </c>
      <c r="E29" t="inlineStr">
        <is>
          <t>Are the parastatal's key financial, governance, and operational documents available on the website and published in accessible, open-data formats?</t>
        </is>
      </c>
      <c r="F29" t="n">
        <v>10</v>
      </c>
      <c r="G29" t="inlineStr">
        <is>
          <t>Implementation</t>
        </is>
      </c>
      <c r="H29" t="inlineStr">
        <is>
          <t>Common.</t>
        </is>
      </c>
      <c r="I29" t="inlineStr">
        <is>
          <t>Sum of sub-questions below - 
Assess each of the ten components below independently. Each component carries 1 point: 0.5 for online availability and 0.5 for publication in an open, machine-readable/reusable format, as appropriate to the information type. 
For online availability, score 0.5 if the document/information is publicly available online and current, relating to the current financial year or at least the immediately preceding financial year, as applicable; 
score 0 if it is unavailable or outdated. 
Aggregate the scores across all ten components to arrive at the total score out of 10.</t>
        </is>
      </c>
      <c r="J29" t="inlineStr">
        <is>
          <t>Website screenshots/archived URLs with date of access, for each document type</t>
        </is>
      </c>
    </row>
    <row r="30">
      <c r="A30" t="inlineStr">
        <is>
          <t>DPG5a</t>
        </is>
      </c>
      <c r="B30" t="inlineStr">
        <is>
          <t>DPG5a</t>
        </is>
      </c>
      <c r="C30" t="inlineStr">
        <is>
          <t>Decentralised Participatory Governance</t>
        </is>
      </c>
      <c r="D30" t="inlineStr">
        <is>
          <t>SQ</t>
        </is>
      </c>
      <c r="E30" t="inlineStr">
        <is>
          <t>Annual budget</t>
        </is>
      </c>
      <c r="F30" t="n">
        <v>1</v>
      </c>
      <c r="G30" t="inlineStr">
        <is>
          <t>Implementation</t>
        </is>
      </c>
      <c r="H30" t="inlineStr">
        <is>
          <t>Common.</t>
        </is>
      </c>
      <c r="I30" t="inlineStr">
        <is>
          <t>Availability and currency — 0.5
0.5: Budget for the current FY or immediately preceding FY is publicly available online
0: Budget cannot be found/accessed online or is older than the permitted period.
Record the FY/year/date of the latest information found in a separate evidence field even where the score is 0.
Minimum format/accessibility — 0.5
0.5: Budget data available in a structured, machine-readable/reusable format (XLS/XLSX, CSV, ODS, structured HTML table, downloadable structured dataset)
0: Budget data is available but does not meet that standard (Scanned PDF/image; PDF containing only tables that cannot be readily extracted/reused)</t>
        </is>
      </c>
      <c r="J30" t="inlineStr">
        <is>
          <t>Website screenshots/archived URLs with date of access, for each document type</t>
        </is>
      </c>
    </row>
    <row r="31">
      <c r="A31" t="inlineStr">
        <is>
          <t>DPG5b</t>
        </is>
      </c>
      <c r="B31" t="inlineStr">
        <is>
          <t>DPG 5b</t>
        </is>
      </c>
      <c r="C31" t="inlineStr">
        <is>
          <t>Decentralised Participatory Governance</t>
        </is>
      </c>
      <c r="D31" t="inlineStr">
        <is>
          <t>SQ</t>
        </is>
      </c>
      <c r="E31" t="inlineStr">
        <is>
          <t>Audited annual accounts</t>
        </is>
      </c>
      <c r="F31" t="n">
        <v>1</v>
      </c>
      <c r="G31" t="inlineStr">
        <is>
          <t>Implementation</t>
        </is>
      </c>
      <c r="H31" t="inlineStr">
        <is>
          <t>Common.</t>
        </is>
      </c>
      <c r="I31" t="inlineStr">
        <is>
          <t>Availability and currency — 0.5
Score 0.5: Audited accounts for the immediately preceding FY, or the latest FY for which audited accounts are due, are publicly available online. Allow a one-FY lag where audit timelines make preceding-year accounts not yet due.
Score 0: Audited accounts cannot be found/accessed online or is older than the permitted period.
Record the FY/year/date of the latest information found in a separate evidence field even where the score is 0.
Minimum format/accessibility — 0.5
Score 0.5: Financial statements available in a structured, machine-readable/reusable format (XLS/XLSX, CSV, ODS, structured HTML table, downloadable structured dataset)
Score 0: Financial statements is available but does not meet that standard (Scanned PDF/image; PDF containing only tables that cannot be readily extracted/reused)</t>
        </is>
      </c>
      <c r="J31" t="inlineStr">
        <is>
          <t>Website screenshots/archived URLs with date of access, for each document type</t>
        </is>
      </c>
    </row>
    <row r="32">
      <c r="A32" t="inlineStr">
        <is>
          <t>DPG5c</t>
        </is>
      </c>
      <c r="B32" t="inlineStr">
        <is>
          <t>DPG 5c</t>
        </is>
      </c>
      <c r="C32" t="inlineStr">
        <is>
          <t>Decentralised Participatory Governance</t>
        </is>
      </c>
      <c r="D32" t="inlineStr">
        <is>
          <t>SQ</t>
        </is>
      </c>
      <c r="E32" t="inlineStr">
        <is>
          <t>Annual report</t>
        </is>
      </c>
      <c r="F32" t="n">
        <v>1</v>
      </c>
      <c r="G32" t="inlineStr">
        <is>
          <t>Implementation</t>
        </is>
      </c>
      <c r="H32" t="inlineStr">
        <is>
          <t>Common.</t>
        </is>
      </c>
      <c r="I32" t="inlineStr">
        <is>
          <t>Availability and currency — 0.5
Score 0.5: Annual report for the immediately preceding FY, or latest report due, is publicly available online.
Score 0: Annual report cannot be found/accessed online or is older than the permitted period.
Record the FY/year/date of the latest information found in a separate evidence field even where the score is 0.
Minimum format/accessibility — 0.5
Score 0.5: Annual report available in a searchable/text-readable and downloadable document (Searchable PDF/PDF-A, HTML, DOC/DOCX, accessible e-publication)
Score 0: Annual report is available but does not meet that standard (Scanned/image-only PDF; images of report pages)</t>
        </is>
      </c>
      <c r="J32" t="inlineStr">
        <is>
          <t>Website screenshots/archived URLs with date of access, for each document type</t>
        </is>
      </c>
    </row>
    <row r="33">
      <c r="A33" t="inlineStr">
        <is>
          <t>DPG5d</t>
        </is>
      </c>
      <c r="B33" t="inlineStr">
        <is>
          <t>DPG d</t>
        </is>
      </c>
      <c r="C33" t="inlineStr">
        <is>
          <t>Decentralised Participatory Governance</t>
        </is>
      </c>
      <c r="D33" t="inlineStr">
        <is>
          <t>SQ</t>
        </is>
      </c>
      <c r="E33" t="inlineStr">
        <is>
          <t>Meeting minutes of governing board</t>
        </is>
      </c>
      <c r="F33" t="n">
        <v>1</v>
      </c>
      <c r="G33" t="inlineStr">
        <is>
          <t>Implementation</t>
        </is>
      </c>
      <c r="H33" t="inlineStr">
        <is>
          <t>Common.</t>
        </is>
      </c>
      <c r="I33" t="inlineStr">
        <is>
          <t>Availability and currency — 0.5
Score 0.5: At least one set of minutes from the current FY or immediately preceding FY is publicly available online
Score 0: Meeting Minutes cannot be found/accessed online or is older than the permitted period.
Record the FY/year/date of the latest information found in a separate evidence field even where the score is 0.
Minimum format/accessibility — 0.5
Score 0.5: Meeting Minutes available in a searchable/text-readable and downloadable document (Searchable PDF, HTML, DOC/DOCX)
Score 0: Meeting Minutes is available but does not meet that standard (Scanned/image-only minutes; image gallery)</t>
        </is>
      </c>
      <c r="J33" t="inlineStr">
        <is>
          <t>Website screenshots/archived URLs with date of access, for each document type</t>
        </is>
      </c>
    </row>
    <row r="34">
      <c r="A34" t="inlineStr">
        <is>
          <t>DPG5f</t>
        </is>
      </c>
      <c r="B34" t="inlineStr">
        <is>
          <t>DPG f</t>
        </is>
      </c>
      <c r="C34" t="inlineStr">
        <is>
          <t>Decentralised Participatory Governance</t>
        </is>
      </c>
      <c r="D34" t="inlineStr">
        <is>
          <t>SQ</t>
        </is>
      </c>
      <c r="E34" t="inlineStr">
        <is>
          <t>Organisation and staffing information</t>
        </is>
      </c>
      <c r="F34" t="n">
        <v>1</v>
      </c>
      <c r="G34" t="inlineStr">
        <is>
          <t>Implementation</t>
        </is>
      </c>
      <c r="H34" t="inlineStr">
        <is>
          <t>Common.</t>
        </is>
      </c>
      <c r="I34" t="inlineStr">
        <is>
          <t>Availability and currency — 0.5
Score 0.5: Information reflects the current organisational structure, or has evidence of being updated in the current or immediately preceding FY
Score 0: Current organisational structure cannot be found/accessed online or is older than the permitted period.
Record the FY/year/date of the latest information found in a separate evidence field even where the score is 0.
Minimum format/accessibility — 0.5
Score 0.5: Current organisational structure available in as searchable webpage or searchable/downloadable document with identifiable posts/officials/structure (HTML organisation/staff directory; searchable PDF organisation chart; XLS/CSV staff-position information)
Score 0: Current organisational structure is available but does not meet that standard (Image-only organisation chart; scanned list)</t>
        </is>
      </c>
      <c r="J34" t="inlineStr">
        <is>
          <t>Website screenshots/archived URLs with date of access, for each document type</t>
        </is>
      </c>
    </row>
    <row r="35">
      <c r="A35" t="inlineStr">
        <is>
          <t>DPG5g</t>
        </is>
      </c>
      <c r="B35" t="inlineStr">
        <is>
          <t>DPG5g</t>
        </is>
      </c>
      <c r="C35" t="inlineStr">
        <is>
          <t>Decentralised Participatory Governance</t>
        </is>
      </c>
      <c r="D35" t="inlineStr">
        <is>
          <t>SQ</t>
        </is>
      </c>
      <c r="E35" t="inlineStr">
        <is>
          <t>Major plans / projects</t>
        </is>
      </c>
      <c r="F35" t="n">
        <v>1</v>
      </c>
      <c r="G35" t="inlineStr">
        <is>
          <t>Implementation</t>
        </is>
      </c>
      <c r="H35" t="inlineStr">
        <is>
          <t>Common.</t>
        </is>
      </c>
      <c r="I35" t="inlineStr">
        <is>
          <t>Availability and currency — 0.5
Score 0.5: Major plans and/or information on ongoing projects is available and relates to the current FY or immediately preceding FY, as applicable
Score 0: Major plans and/or information on ongoing projects cannot be found/accessed online or is older than the permitted period.
Record the FY/year/date of the latest information found in a separate evidence field even where the score is 0.
Minimum format/accessibility — 0.5
Score 0.5: Major plans and/or information on ongoing projects available in the following manner
- Plans: searchable/text-readable downloadable document. 
- Project information: searchable webpage/table or structured downloadable data (Searchable plan PDF; HTML project dashboard; XLS/CSV project list)
Score 0: Major plans and/or information on ongoing projects is available but does not meet that standard (Scanned plan only; project information presented only as images)</t>
        </is>
      </c>
      <c r="J35" t="inlineStr">
        <is>
          <t>Website screenshots/archived URLs with date of access, for each document type</t>
        </is>
      </c>
    </row>
    <row r="36">
      <c r="A36" t="inlineStr">
        <is>
          <t>DPG5h</t>
        </is>
      </c>
      <c r="B36" t="inlineStr">
        <is>
          <t>DPG h</t>
        </is>
      </c>
      <c r="C36" t="inlineStr">
        <is>
          <t>Decentralised Participatory Governance</t>
        </is>
      </c>
      <c r="D36" t="inlineStr">
        <is>
          <t>SQ</t>
        </is>
      </c>
      <c r="E36" t="inlineStr">
        <is>
          <t>Service-level benchmarks and performance reports</t>
        </is>
      </c>
      <c r="F36" t="n">
        <v>1</v>
      </c>
      <c r="G36" t="inlineStr">
        <is>
          <t>Implementation</t>
        </is>
      </c>
      <c r="H36" t="inlineStr">
        <is>
          <t>Common.</t>
        </is>
      </c>
      <c r="I36" t="inlineStr">
        <is>
          <t>Availability and currency — 0.5
Score 0.5: Performance information for the current FY or immediately preceding FY is publicly available online
Score 0: Performance information cannot be found/accessed online or is older than the permitted period.
Record the FY/year/date of the latest information found in a separate evidence field even where the score is 0.
Minimum format/accessibility — 0.5
Score 0.5: Performance information available in a structured, machine-readable/reusable format (CSV, XLS/XLSX, ODS, structured HTML table/dashboard with downloadable data)
Score 0: Performance information is available but does not meet that standard (Scanned performance report; image/chart with no underlying readable/reusable values)</t>
        </is>
      </c>
      <c r="J36" t="inlineStr">
        <is>
          <t>Website screenshots/archived URLs with date of access, for each document type</t>
        </is>
      </c>
    </row>
    <row r="37">
      <c r="A37" t="inlineStr">
        <is>
          <t>DPG5i</t>
        </is>
      </c>
      <c r="B37" t="inlineStr">
        <is>
          <t>DPG5i</t>
        </is>
      </c>
      <c r="C37" t="inlineStr">
        <is>
          <t>Decentralised Participatory Governance</t>
        </is>
      </c>
      <c r="D37" t="inlineStr">
        <is>
          <t>SQ</t>
        </is>
      </c>
      <c r="E37" t="inlineStr">
        <is>
          <t>Citizen / Service Charter</t>
        </is>
      </c>
      <c r="F37" t="n">
        <v>1</v>
      </c>
      <c r="G37" t="inlineStr">
        <is>
          <t>Implementation</t>
        </is>
      </c>
      <c r="H37" t="inlineStr">
        <is>
          <t>Common.</t>
        </is>
      </c>
      <c r="I37" t="inlineStr">
        <is>
          <t>Availability and currency — 0.5
Score 0.5: A currently applicable Charter is publicly available. No annual publication requirement; do not treat it as outdated solely because it predates the preceding FY if it remains in force.
Score 0: Charter cannot be found/accessed online or is older than the permitted period.
Record the FY/year/date of the latest information found in a separate evidence field even where the score is 0.
Minimum format/accessibility — 0.5
Score 0.5: Charter available in a searchable/text-readable webpage or downloadable document (HTML, searchable PDF/PDF-A, DOC/DOCX)
Score 0: Charter is available but does not meet that standard (Scanned/image-only Charter)</t>
        </is>
      </c>
      <c r="J37" t="inlineStr">
        <is>
          <t>Website screenshots/archived URLs with date of access, for each document type</t>
        </is>
      </c>
    </row>
    <row r="38">
      <c r="A38" t="inlineStr">
        <is>
          <t>DPG5j</t>
        </is>
      </c>
      <c r="B38" t="inlineStr">
        <is>
          <t>DPG5j</t>
        </is>
      </c>
      <c r="C38" t="inlineStr">
        <is>
          <t>Decentralised Participatory Governance</t>
        </is>
      </c>
      <c r="D38" t="inlineStr">
        <is>
          <t>SQ</t>
        </is>
      </c>
      <c r="E38" t="inlineStr">
        <is>
          <t>RTI details and designated Public Information Officer contact/procedure</t>
        </is>
      </c>
      <c r="F38" t="n">
        <v>1</v>
      </c>
      <c r="G38" t="inlineStr">
        <is>
          <t>Implementation</t>
        </is>
      </c>
      <c r="H38" t="inlineStr">
        <is>
          <t>Common.</t>
        </is>
      </c>
      <c r="I38" t="inlineStr">
        <is>
          <t>Availability and currency — 0.5
Score 0.5: Current PIO/APIO details and RTI procedure are publicly available; information should be treated as current where the named office-holder/contact details remain valid
Score 0: Information cannot be found/accessed online or ithe named office-holder/contact details are invalid.
Record the FY/year/date of the latest information found in a separate evidence field even where the score is 0.
Minimum format/accessibility — 0.5
Score 0.5: Information available in a searchable webpage or searchable/downloadable document (HTML RTI page; searchable PDF/DOC containing PIO/contact details)
Score 0: Information is available but does not meet that standard (Image-only notice; scanned PDF)</t>
        </is>
      </c>
      <c r="J38" t="inlineStr">
        <is>
          <t>Website screenshots/archived URLs with date of access, for each document type</t>
        </is>
      </c>
    </row>
    <row r="39">
      <c r="A39" t="inlineStr">
        <is>
          <t>DPG5k</t>
        </is>
      </c>
      <c r="B39" t="inlineStr">
        <is>
          <t>DPG5k</t>
        </is>
      </c>
      <c r="C39" t="inlineStr">
        <is>
          <t>Decentralised Participatory Governance</t>
        </is>
      </c>
      <c r="D39" t="inlineStr">
        <is>
          <t>SQ</t>
        </is>
      </c>
      <c r="E39" t="inlineStr">
        <is>
          <t>Procurement / tender notices and awarded-contract details</t>
        </is>
      </c>
      <c r="F39" t="n">
        <v>1</v>
      </c>
      <c r="G39" t="inlineStr">
        <is>
          <t>Implementation</t>
        </is>
      </c>
      <c r="H39" t="inlineStr">
        <is>
          <t>Common.</t>
        </is>
      </c>
      <c r="I39" t="inlineStr">
        <is>
          <t>Availability and currency — 0.5
Score 0.5: Procurement information includes tenders/awards from the current FY or immediately preceding FY
Score 0: Information cannot be found/accessed online or is older than the permitted period.
Record the FY/year/date of the latest information found in a separate evidence field even where the score is 0.
Minimum format/accessibility — 0.5
Score 0.5: Tender/award information available as a searchable structured webpage/table or machine-readable/reusable dataset (Searchable e-procurement table, HTML contract register, CSV/XLS/XLSX/ODS download)
Score 0: Information is available but does not meet that standard (Scanned tender lists; image-only notices; individual PDFs with no searchable/indexed tender/award register)</t>
        </is>
      </c>
      <c r="J39" t="inlineStr">
        <is>
          <t>Website screenshots/archived URLs with date of access, for each document type</t>
        </is>
      </c>
    </row>
    <row r="40">
      <c r="A40" t="inlineStr">
        <is>
          <t>DPG6</t>
        </is>
      </c>
      <c r="B40" t="inlineStr">
        <is>
          <t>DPG 6</t>
        </is>
      </c>
      <c r="C40" t="inlineStr">
        <is>
          <t>Decentralised Participatory Governance</t>
        </is>
      </c>
      <c r="D40" t="inlineStr">
        <is>
          <t>MQ</t>
        </is>
      </c>
      <c r="E40" t="inlineStr">
        <is>
          <t>Does the parastatal provide for and maintain an accessible grievance-redressal mechanism?</t>
        </is>
      </c>
      <c r="F40" t="n">
        <v>10</v>
      </c>
      <c r="G40" t="inlineStr">
        <is>
          <t>Institutional Design</t>
        </is>
      </c>
      <c r="H40" t="inlineStr">
        <is>
          <t>Common.</t>
        </is>
      </c>
      <c r="I40" t="inlineStr">
        <is>
          <t>Composite of the legal-mandate and implementation sub-indicators below.</t>
        </is>
      </c>
      <c r="J40" t="inlineStr">
        <is>
          <t>See sub-indicators</t>
        </is>
      </c>
    </row>
    <row r="41">
      <c r="A41" t="inlineStr">
        <is>
          <t>DPG6a</t>
        </is>
      </c>
      <c r="B41" t="inlineStr">
        <is>
          <t>DPG 6a</t>
        </is>
      </c>
      <c r="C41" t="inlineStr">
        <is>
          <t>Decentralised Participatory Governance</t>
        </is>
      </c>
      <c r="D41" t="inlineStr">
        <is>
          <t>SQ</t>
        </is>
      </c>
      <c r="E41" t="inlineStr">
        <is>
          <t>Is the parastatal mandated to provide a grievance-redressal mechanism?</t>
        </is>
      </c>
      <c r="F41" t="n">
        <v>5</v>
      </c>
      <c r="G41" t="inlineStr">
        <is>
          <t>Law/Policy</t>
        </is>
      </c>
      <c r="H41" t="inlineStr">
        <is>
          <t>Common.</t>
        </is>
      </c>
      <c r="I41" t="inlineStr">
        <is>
          <t>Score 5 if  the Parastatal Act/ corresponding subordinate legislation/ citizen or service charter requires a grievance-redressal mechanism (any channel); 0 if not.</t>
        </is>
      </c>
      <c r="J41" t="inlineStr">
        <is>
          <t>Parastatal Act/ corresponding subordinate legislation/ citizen or service charter</t>
        </is>
      </c>
    </row>
    <row r="42">
      <c r="A42" t="inlineStr">
        <is>
          <t>DPG6b</t>
        </is>
      </c>
      <c r="B42" t="inlineStr">
        <is>
          <t>DPG 6b</t>
        </is>
      </c>
      <c r="C42" t="inlineStr">
        <is>
          <t>Decentralised Participatory Governance</t>
        </is>
      </c>
      <c r="D42" t="inlineStr">
        <is>
          <t>SQ</t>
        </is>
      </c>
      <c r="E42" t="inlineStr">
        <is>
          <t>Are accessible grievance-redressal channels available and functional in practice?</t>
        </is>
      </c>
      <c r="F42" t="n">
        <v>5</v>
      </c>
      <c r="G42" t="inlineStr">
        <is>
          <t>Implementation</t>
        </is>
      </c>
      <c r="H42" t="inlineStr">
        <is>
          <t>Common.</t>
        </is>
      </c>
      <c r="I42" t="inlineStr">
        <is>
          <t>Score out of 5 based on the following components - 
Score 1.00 if a Web-based grievance channel exists
Qualification - An official website/portal provides a functioning mechanism through which a grievance can be lodged online. A dedicated grievance form, integrated government grievance portal or equivalent qualifies.
Evidence - Live URL + dated screenshot showing grievance-submission functionality. Where the parastatal redirects users to a State/common grievance portal, capture both the parastatal link/reference and the relevant portal page.
Score 1.00 if a Mobile / electronic grievance channel exists
Qualification - A currently operational mobile app, designated grievance email, WhatsApp or other officially notified electronic channel is provided for lodging grievances
Evidence - Official website listing the channel; official app listing or screenshot 
Score 1.00  if a telephone grievance channel exists
Qualification - A dedicated or clearly designated helpline/call centre/telephone number is provided for complaints or grievances. A generic office switchboard does not qualify unless it is explicitly identified as accepting grievances.
Evidence - Official website showing the grievance/helpline number.
Score 1.00 if an in-person grievance channel exists
Qualification - Citizens can lodge grievances through an identified helpdesk, grievance counter, designated office/officer or other physical mechanism.
Evidence - Citizen/Service Charter, official website, office notice/order or other official document identifying where/how an in-person grievance can be lodged.
Score 1.00 if an in-person grievance channel
Qualification - The mechanism provides evidence that a registered grievance can be acknowledged and subsequently tracked, through a complaint/reference number, status-tracking facility or equivalent process.
Evidence - Portal screenshot showing acknowledgement/tracking functionality; 
Where all five are provided for, award the full score of 5.</t>
        </is>
      </c>
      <c r="J42" t="inlineStr">
        <is>
          <t>Relevant parastatal's official website 
Detailed evidence information provided in the methodology column (I 33)</t>
        </is>
      </c>
    </row>
    <row r="43">
      <c r="A43" t="inlineStr">
        <is>
          <t>DPG7</t>
        </is>
      </c>
      <c r="B43" t="inlineStr">
        <is>
          <t>DPG 7</t>
        </is>
      </c>
      <c r="C43" t="inlineStr">
        <is>
          <t>Decentralised Participatory Governance</t>
        </is>
      </c>
      <c r="D43" t="inlineStr">
        <is>
          <t>MQ</t>
        </is>
      </c>
      <c r="E43" t="inlineStr">
        <is>
          <t>Does the law mandate citizen participation in the preparation of plans for which the parastatal is responsible, and does the parastatal provide for such participation in practice?</t>
        </is>
      </c>
      <c r="F43" t="n">
        <v>10</v>
      </c>
      <c r="G43" t="inlineStr">
        <is>
          <t>Law/Policy</t>
        </is>
      </c>
      <c r="H43" t="inlineStr">
        <is>
          <t>All parastatals excluding Development Authorities</t>
        </is>
      </c>
      <c r="I43" t="inlineStr">
        <is>
          <t>Sum of sub-questions below -</t>
        </is>
      </c>
      <c r="J43" t="inlineStr">
        <is>
          <t>Provisions on plan approval procedure in enabling act of the relevant parastatal/T&amp;CP Act</t>
        </is>
      </c>
    </row>
    <row r="44">
      <c r="A44" t="inlineStr">
        <is>
          <t>DPG7a</t>
        </is>
      </c>
      <c r="B44" t="inlineStr">
        <is>
          <t>DPG 7a</t>
        </is>
      </c>
      <c r="C44" t="inlineStr">
        <is>
          <t>Decentralised Participatory Governance</t>
        </is>
      </c>
      <c r="D44" t="inlineStr">
        <is>
          <t>SQ</t>
        </is>
      </c>
      <c r="E44" t="inlineStr">
        <is>
          <t>Is citizen participation in the preparation of the parastatal's plans mandated?</t>
        </is>
      </c>
      <c r="F44" t="n">
        <v>5</v>
      </c>
      <c r="G44" t="inlineStr">
        <is>
          <t>Law/Policy</t>
        </is>
      </c>
      <c r="H44" t="inlineStr">
        <is>
          <t>All parastatals excluding Development Authorities</t>
        </is>
      </c>
      <c r="I44" t="inlineStr">
        <is>
          <t>Review the parastatal Act and rules first. Also review the applicable T&amp;CP/planning Act, Municipal Act  to identify whether a citizen-participation requirement applies to the parastatal directly or to all authorities preparing the relevant category of plan. 
Score 5 if the applicable law/rules mandate a defined citizen-participation process before finalisation/approval of the plan, including publication of a draft plan and invitation of objections/suggestions, public hearing, consultation or equivalent. 
Score 2.5 if participation is provided for but is discretionary, or applies only to specified plan types/stages. 
Score 0 if no applicable requirement is found. Record the legal provision, plan type, form of participation prescribed, and whether the provision uses mandatory or discretionary language.</t>
        </is>
      </c>
      <c r="J44" t="inlineStr">
        <is>
          <t>Parastatal Act and rules; applicable T&amp;CP Act; State Municipal Act.</t>
        </is>
      </c>
    </row>
    <row r="45">
      <c r="A45" t="inlineStr">
        <is>
          <t>DPG7b</t>
        </is>
      </c>
      <c r="B45" t="inlineStr">
        <is>
          <t>DPG 7b</t>
        </is>
      </c>
      <c r="C45" t="inlineStr">
        <is>
          <t>Decentralised Participatory Governance</t>
        </is>
      </c>
      <c r="D45" t="inlineStr">
        <is>
          <t>SQ</t>
        </is>
      </c>
      <c r="E45" t="inlineStr">
        <is>
          <t>Are citizens consulted in practice in the preparation of plans by the parastatal?</t>
        </is>
      </c>
      <c r="F45" t="n">
        <v>5</v>
      </c>
      <c r="G45" t="inlineStr">
        <is>
          <t>Law/Policy</t>
        </is>
      </c>
      <c r="H45" t="inlineStr">
        <is>
          <t>All parastatals excluding Development Authorities</t>
        </is>
      </c>
      <c r="I45" t="inlineStr">
        <is>
          <t>Review the parastatal’s official website and the latest applicable plan/planning exercise. Check the plan document, consultation reports, public notices, minutes/proceedings of consultations or public hearings, and other relevant records available on the website. 
Score 5 if there is publicly verifiable evidence that citizens were provided an opportunity to participate through objections/suggestions, public hearings, consultations or an equivalent process before the plan was finalised. 
Score 2.5 if there is credible evidence that consultation took place, but the process cannot be fully verified from official records—for example, where only a consultation notice, minutes/proceedings, a reference in the final plan, media reports, or other partial documentation is available.</t>
        </is>
      </c>
      <c r="J45" t="inlineStr">
        <is>
          <t>Plan document; consultation reports; public notices; minutes/proceedings of consultations or hearings on the parastatal's official website; media reports.</t>
        </is>
      </c>
    </row>
    <row r="46">
      <c r="A46" t="inlineStr">
        <is>
          <t>SC1</t>
        </is>
      </c>
      <c r="B46" t="inlineStr">
        <is>
          <t>SC-1</t>
        </is>
      </c>
      <c r="C46" t="inlineStr">
        <is>
          <t>State Capacities</t>
        </is>
      </c>
      <c r="D46" t="inlineStr">
        <is>
          <t>MQ</t>
        </is>
      </c>
      <c r="E46" t="inlineStr">
        <is>
          <t>What proportion of the parastatal's total expenditure is financed through its own revenues?</t>
        </is>
      </c>
      <c r="F46" t="n">
        <v>10</v>
      </c>
      <c r="G46" t="inlineStr">
        <is>
          <t>Implementation (Numeric)</t>
        </is>
      </c>
      <c r="H46" t="inlineStr">
        <is>
          <t>Revenue-raising parastatals only</t>
        </is>
      </c>
      <c r="I46" t="inlineStr">
        <is>
          <t>Compute Own Revenue (Tax and Non-Tax revenue excluding any government grants) and use 3 years average wherever available (at least 2 years but not more than 5 years). Score is own revenue percentage as a proportion of 10 marks i.e. 50% gets 5 out of 10.</t>
        </is>
      </c>
      <c r="J46" t="inlineStr">
        <is>
          <t>Annual budget of the last three financial years of the relevant parastatal.</t>
        </is>
      </c>
    </row>
    <row r="47">
      <c r="A47" t="inlineStr">
        <is>
          <t>SC2</t>
        </is>
      </c>
      <c r="B47" t="inlineStr">
        <is>
          <t>SC-2</t>
        </is>
      </c>
      <c r="C47" t="inlineStr">
        <is>
          <t>State Capacities</t>
        </is>
      </c>
      <c r="D47" t="inlineStr">
        <is>
          <t>MQ</t>
        </is>
      </c>
      <c r="E47" t="inlineStr">
        <is>
          <t>What is the parastatal's per-capita capital expenditure?</t>
        </is>
      </c>
      <c r="F47" t="n">
        <v>10</v>
      </c>
      <c r="G47" t="inlineStr">
        <is>
          <t>Implementation (Numeric)</t>
        </is>
      </c>
      <c r="H47" t="inlineStr">
        <is>
          <t>Parastatals with an infrastructure-delivery/capital-expenditure mandate.</t>
        </is>
      </c>
      <c r="I47" t="inlineStr">
        <is>
          <t>Per-capita capital expenditure = capital expenditure (latest completed FY) ÷ population of the jurisdiction served (latest Census or most recent official projection, source cited). Report the absolute figure; for a composite score convert to a percentile/decile rank against other assessed parastatals of the same type only. Do not pool figures across dissimilar parastatal types (e.g. a transport corporation vs. a development authority) — the comparison is not meaningful.</t>
        </is>
      </c>
      <c r="J47" t="inlineStr">
        <is>
          <t>Latest annual budget and capital-expenditure accounts of the relevant parastatal; population figure with source.</t>
        </is>
      </c>
    </row>
    <row r="48">
      <c r="A48" t="inlineStr">
        <is>
          <t>SC3</t>
        </is>
      </c>
      <c r="B48" t="inlineStr">
        <is>
          <t>SC-3</t>
        </is>
      </c>
      <c r="C48" t="inlineStr">
        <is>
          <t>State Capacities</t>
        </is>
      </c>
      <c r="D48" t="inlineStr">
        <is>
          <t>MQ</t>
        </is>
      </c>
      <c r="E48" t="inlineStr">
        <is>
          <t>How realistic is the parastatal's annual budget?</t>
        </is>
      </c>
      <c r="F48" t="n">
        <v>10</v>
      </c>
      <c r="G48" t="inlineStr">
        <is>
          <t>Implementation (Numeric)</t>
        </is>
      </c>
      <c r="H48" t="inlineStr">
        <is>
          <t>Common — all parastatal types with an annual budget.</t>
        </is>
      </c>
      <c r="I48" t="inlineStr">
        <is>
          <t>3 year average of budget variance wherever available (at least 2 years but not more than 5 years); If variance is within 15%, the score will be 10 but anything over 15% will score 0 out of 10</t>
        </is>
      </c>
      <c r="J48" t="inlineStr">
        <is>
          <t>Budget documents and audited accounts for the same financial year, compared side by side</t>
        </is>
      </c>
    </row>
    <row r="49">
      <c r="A49" t="inlineStr">
        <is>
          <t>SC4</t>
        </is>
      </c>
      <c r="B49" t="inlineStr">
        <is>
          <t>SC-4</t>
        </is>
      </c>
      <c r="C49" t="inlineStr">
        <is>
          <t>State Capacities</t>
        </is>
      </c>
      <c r="D49" t="inlineStr">
        <is>
          <t>MQ</t>
        </is>
      </c>
      <c r="E49" t="inlineStr">
        <is>
          <t>Is the parastatal mandated to prepare a medium-term and/or long-term fiscal plan, and has it prepared a current plan in accordance with that mandate?</t>
        </is>
      </c>
      <c r="F49" t="n">
        <v>10</v>
      </c>
      <c r="G49" t="inlineStr">
        <is>
          <t>Law/Policy</t>
        </is>
      </c>
      <c r="H49" t="inlineStr">
        <is>
          <t>Common.</t>
        </is>
      </c>
      <c r="I49" t="inlineStr">
        <is>
          <t>Sum of the legal-mandate and public availability sub-indicators below.</t>
        </is>
      </c>
      <c r="J49" t="inlineStr">
        <is>
          <t>See sub-indicators</t>
        </is>
      </c>
    </row>
    <row r="50">
      <c r="A50" t="inlineStr">
        <is>
          <t>SC4a</t>
        </is>
      </c>
      <c r="B50" t="inlineStr">
        <is>
          <t>SC-4a</t>
        </is>
      </c>
      <c r="C50" t="inlineStr">
        <is>
          <t>State Capacities</t>
        </is>
      </c>
      <c r="D50" t="inlineStr">
        <is>
          <t>SQ</t>
        </is>
      </c>
      <c r="E50" t="inlineStr">
        <is>
          <t>Is a medium-term (3-5 year) and/or long-term (&gt;5 year) fiscal plan legally mandated?</t>
        </is>
      </c>
      <c r="F50" t="n">
        <v>5</v>
      </c>
      <c r="G50" t="inlineStr">
        <is>
          <t>Law/Policy</t>
        </is>
      </c>
      <c r="H50" t="inlineStr">
        <is>
          <t>Common.</t>
        </is>
      </c>
      <c r="I50" t="inlineStr">
        <is>
          <t>Score 5 if enabling act of the relevant parastatal require a fiscal plan of defined horizon (Medium term at 3-5 years and long term at &gt;5 years). Score 0 if no such requirement.</t>
        </is>
      </c>
      <c r="J50" t="inlineStr">
        <is>
          <t>Enabling act of the relevant parastatal</t>
        </is>
      </c>
    </row>
    <row r="51">
      <c r="A51" t="inlineStr">
        <is>
          <t>SC4b</t>
        </is>
      </c>
      <c r="B51" t="inlineStr">
        <is>
          <t>SC-4b</t>
        </is>
      </c>
      <c r="C51" t="inlineStr">
        <is>
          <t>State Capacities</t>
        </is>
      </c>
      <c r="D51" t="inlineStr">
        <is>
          <t>SQ</t>
        </is>
      </c>
      <c r="E51" t="inlineStr">
        <is>
          <t>Is the medium/long-term fiscal plan publicly available?</t>
        </is>
      </c>
      <c r="F51" t="n">
        <v>5</v>
      </c>
      <c r="G51" t="inlineStr">
        <is>
          <t>Implementation</t>
        </is>
      </c>
      <c r="H51" t="inlineStr">
        <is>
          <t>Common.</t>
        </is>
      </c>
      <c r="I51" t="inlineStr">
        <is>
          <t>Score 5 if the fiscal plan is published online on the relevant parastatal's website. Score 0 if not available.</t>
        </is>
      </c>
      <c r="J51" t="inlineStr">
        <is>
          <t>Website of the relevant parastatal</t>
        </is>
      </c>
    </row>
    <row r="52">
      <c r="A52" t="inlineStr">
        <is>
          <t>SC5</t>
        </is>
      </c>
      <c r="B52" t="inlineStr">
        <is>
          <t>SC-5</t>
        </is>
      </c>
      <c r="C52" t="inlineStr">
        <is>
          <t>State Capacities</t>
        </is>
      </c>
      <c r="D52" t="inlineStr">
        <is>
          <t>MQ</t>
        </is>
      </c>
      <c r="E52" t="inlineStr">
        <is>
          <t>Does the law mandate a minimum tenure for the executive authority of the parastatal?</t>
        </is>
      </c>
      <c r="F52" t="n">
        <v>10</v>
      </c>
      <c r="G52" t="inlineStr">
        <is>
          <t>Law/Policy</t>
        </is>
      </c>
      <c r="H52" t="inlineStr">
        <is>
          <t>Common.</t>
        </is>
      </c>
      <c r="I52" t="inlineStr">
        <is>
          <t>Review the relevant Parastatal Act and rules governing the appointment of the chief executive/executive authority.
Score 10 — the law mandates a minimum tenure of two years (or more) for the executive authority, with removal permitted only on defined grounds (e.g. misconduct, incapacity) rather than at unrestricted discretion.
Score 5 — the law mandates a minimum tenure of less than two years.
Score 0 — no minimum tenure is prescribed in law.
This refers to the bureaucratic/administrative head of the parastatal — for example, the Managing Director, Commissioner, Chief Executive Officer or equivalent executive authority — and not to the Chairperson or political head.</t>
        </is>
      </c>
      <c r="J52" t="inlineStr">
        <is>
          <t>Relevant Parastatal Act; rules governing appointment, tenure and removal of the executive authority/chief executive.</t>
        </is>
      </c>
    </row>
    <row r="53">
      <c r="A53" t="inlineStr">
        <is>
          <t>SC6</t>
        </is>
      </c>
      <c r="B53" t="inlineStr">
        <is>
          <t>SC-6</t>
        </is>
      </c>
      <c r="C53" t="inlineStr">
        <is>
          <t>State Capacities</t>
        </is>
      </c>
      <c r="D53" t="inlineStr">
        <is>
          <t>MQ</t>
        </is>
      </c>
      <c r="E53" t="inlineStr">
        <is>
          <t>What is the average tenure of the chief executive/executive authority of the parastatal?</t>
        </is>
      </c>
      <c r="F53" t="n">
        <v>10</v>
      </c>
      <c r="G53" t="inlineStr">
        <is>
          <t>Implementation (Numeric)</t>
        </is>
      </c>
      <c r="H53" t="inlineStr">
        <is>
          <t>Common — all parastatal types with a designated chief executive/executive authority post.</t>
        </is>
      </c>
      <c r="I53" t="inlineStr">
        <is>
          <t>Review appointments/transfers of the chief executive or executive authority over the last five years. 
Score 10 if one chief executive has served during the period
Score 5 if 2–3 chief executives have served
Score 0 if more than 3 chief executives have served. 
Where an officer has held only additional/acting charge, record this separately.</t>
        </is>
      </c>
      <c r="J53" t="inlineStr">
        <is>
          <t>Newspaper reports, Gazette notifications of appointment/transfer and website of relevant parastatal</t>
        </is>
      </c>
    </row>
    <row r="54">
      <c r="A54" t="inlineStr">
        <is>
          <t>SC7</t>
        </is>
      </c>
      <c r="B54" t="inlineStr">
        <is>
          <t>SC-7</t>
        </is>
      </c>
      <c r="C54" t="inlineStr">
        <is>
          <t>State Capacities</t>
        </is>
      </c>
      <c r="D54" t="inlineStr">
        <is>
          <t>MQ</t>
        </is>
      </c>
      <c r="E54" t="inlineStr">
        <is>
          <t>Does the parastatal have adequate and representative staffing capacity to discharge its mandate?</t>
        </is>
      </c>
      <c r="F54" t="n">
        <v>10</v>
      </c>
      <c r="G54" t="inlineStr">
        <is>
          <t>Implementation (Numeric)</t>
        </is>
      </c>
      <c r="H54" t="inlineStr">
        <is>
          <t>Common — all parastatal types.</t>
        </is>
      </c>
      <c r="I54" t="inlineStr">
        <is>
          <t>Sum of the sub-indicators below.</t>
        </is>
      </c>
      <c r="J54" t="inlineStr">
        <is>
          <t>RTI / Formal data request with the parastatal and Website of the relevant parastatal</t>
        </is>
      </c>
    </row>
    <row r="55">
      <c r="A55" t="inlineStr">
        <is>
          <t>SC7a</t>
        </is>
      </c>
      <c r="B55" t="inlineStr">
        <is>
          <t>SC-7a</t>
        </is>
      </c>
      <c r="C55" t="inlineStr">
        <is>
          <t>State Capacities</t>
        </is>
      </c>
      <c r="D55" t="inlineStr">
        <is>
          <t>SQ</t>
        </is>
      </c>
      <c r="E55" t="inlineStr">
        <is>
          <t>Does the parastatal have adequate staffing capacity to discharge its mandate?</t>
        </is>
      </c>
      <c r="F55" t="n">
        <v>5</v>
      </c>
      <c r="G55" t="inlineStr">
        <is>
          <t>Implementation (Numeric)</t>
        </is>
      </c>
      <c r="H55" t="inlineStr">
        <is>
          <t>Common — all parastatal types.</t>
        </is>
      </c>
      <c r="I55" t="inlineStr">
        <is>
          <t>Collect the parastatal’s sanctioned and filled positions, including permanent and contractual staff where they form part of the approved staffing structure. Calculate the proportion of sanctioned positions that are filled.
Score 5 – 90% or more of sanctioned positions filled
Score 4 – 75%–89%
Score 3 – 60%–74%
Score 2 – 40%–59%
Score 1 – below 40%
Score 0 – no staffing data available / no evidence of sanctioned staffing structure</t>
        </is>
      </c>
      <c r="J55" t="inlineStr">
        <is>
          <t>Staffing records on the website/ RTI  and/or formal data request with the parastatal/ annual report</t>
        </is>
      </c>
    </row>
    <row r="56">
      <c r="A56" t="inlineStr">
        <is>
          <t>SC7b</t>
        </is>
      </c>
      <c r="B56" t="inlineStr">
        <is>
          <t>SC-7b</t>
        </is>
      </c>
      <c r="C56" t="inlineStr">
        <is>
          <t>State Capacities</t>
        </is>
      </c>
      <c r="D56" t="inlineStr">
        <is>
          <t>SQ</t>
        </is>
      </c>
      <c r="E56" t="inlineStr">
        <is>
          <t>What proportion of the parastatal's workforce is women?</t>
        </is>
      </c>
      <c r="F56" t="n">
        <v>5</v>
      </c>
      <c r="G56" t="inlineStr">
        <is>
          <t>Implementation (Numeric)</t>
        </is>
      </c>
      <c r="H56" t="inlineStr">
        <is>
          <t>Common — all parastatal types.</t>
        </is>
      </c>
      <c r="I56" t="inlineStr">
        <is>
          <t>Compute women employees as a proportion of total filled posts using the latest available staffing data. 
% women in workforce = (Number of women employees ÷ Total filled posts) × 100, using the latest available staffing data.
Scoring bands:
Score 5 — women constitute ≥33% of the workforce
Score 2.5 — women constitute 15–32% of the workforce
Score 0 — women constitute &lt;15% of the workforce
Also record, wherever available, the proportion of women in senior/decision-making positions and technical/professional cadres.</t>
        </is>
      </c>
      <c r="J56" t="inlineStr">
        <is>
          <t>Staffing records on the website/ RTI  and/or formal data request with the parastatal/ annual report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UPD1a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UPD1b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UPD2a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2.5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s="8" t="inlineStr">
        <is>
          <t>Bengaluru – BMTC</t>
        </is>
      </c>
      <c r="B14" s="8" t="inlineStr">
        <is>
          <t>NO</t>
        </is>
      </c>
      <c r="C14" s="8" t="n"/>
      <c r="D14" s="8" t="n"/>
      <c r="E14" s="8" t="n"/>
      <c r="F14" s="8" t="n"/>
      <c r="G14" s="8" t="n"/>
      <c r="H14" s="8" t="n"/>
      <c r="I14" s="8" t="n"/>
      <c r="J14" s="8">
        <f>IF($B14="NO","NA",IF(I14="","",MIN(I14,$B$6)))</f>
        <v/>
      </c>
      <c r="K14" s="8" t="n"/>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2.5</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UPD2b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2.5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s="8" t="inlineStr">
        <is>
          <t>Bengaluru – BMTC</t>
        </is>
      </c>
      <c r="B14" s="8" t="inlineStr">
        <is>
          <t>NO</t>
        </is>
      </c>
      <c r="C14" s="8" t="n"/>
      <c r="D14" s="8" t="n"/>
      <c r="E14" s="8" t="n"/>
      <c r="F14" s="8" t="n"/>
      <c r="G14" s="8" t="n"/>
      <c r="H14" s="8" t="n"/>
      <c r="I14" s="8" t="n"/>
      <c r="J14" s="8">
        <f>IF($B14="NO","NA",IF(I14="","",MIN(I14,$B$6)))</f>
        <v/>
      </c>
      <c r="K14" s="8" t="n"/>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2.5</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UPD2c</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2.5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s="8" t="inlineStr">
        <is>
          <t>Bengaluru – BWSSB</t>
        </is>
      </c>
      <c r="B13" s="8" t="inlineStr">
        <is>
          <t>NO</t>
        </is>
      </c>
      <c r="C13" s="8" t="n"/>
      <c r="D13" s="8" t="n"/>
      <c r="E13" s="8" t="n"/>
      <c r="F13" s="8" t="n"/>
      <c r="G13" s="8" t="n"/>
      <c r="H13" s="8" t="n"/>
      <c r="I13" s="8" t="n"/>
      <c r="J13" s="8">
        <f>IF($B13="NO","NA",IF(I13="","",MIN(I13,$B$6)))</f>
        <v/>
      </c>
      <c r="K13" s="8" t="n"/>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2.5</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UPD2d</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2.5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s="8" t="inlineStr">
        <is>
          <t>Bengaluru – BWSSB</t>
        </is>
      </c>
      <c r="B13" s="8" t="inlineStr">
        <is>
          <t>NO</t>
        </is>
      </c>
      <c r="C13" s="8" t="n"/>
      <c r="D13" s="8" t="n"/>
      <c r="E13" s="8" t="n"/>
      <c r="F13" s="8" t="n"/>
      <c r="G13" s="8" t="n"/>
      <c r="H13" s="8" t="n"/>
      <c r="I13" s="8" t="n"/>
      <c r="J13" s="8">
        <f>IF($B13="NO","NA",IF(I13="","",MIN(I13,$B$6)))</f>
        <v/>
      </c>
      <c r="K13" s="8" t="n"/>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2.5</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UPD3a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s="8" t="inlineStr">
        <is>
          <t>Bengaluru – BMTC</t>
        </is>
      </c>
      <c r="B14" s="8" t="inlineStr">
        <is>
          <t>NO</t>
        </is>
      </c>
      <c r="C14" s="8" t="n"/>
      <c r="D14" s="8" t="n"/>
      <c r="E14" s="8" t="n"/>
      <c r="F14" s="8" t="n"/>
      <c r="G14" s="8" t="n"/>
      <c r="H14" s="8" t="n"/>
      <c r="I14" s="8" t="n"/>
      <c r="J14" s="8">
        <f>IF($B14="NO","NA",IF(I14="","",MIN(I14,$B$6)))</f>
        <v/>
      </c>
      <c r="K14" s="8" t="n"/>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UPD3b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s="8" t="inlineStr">
        <is>
          <t>Bengaluru – BMTC</t>
        </is>
      </c>
      <c r="B14" s="8" t="inlineStr">
        <is>
          <t>NO</t>
        </is>
      </c>
      <c r="C14" s="8" t="n"/>
      <c r="D14" s="8" t="n"/>
      <c r="E14" s="8" t="n"/>
      <c r="F14" s="8" t="n"/>
      <c r="G14" s="8" t="n"/>
      <c r="H14" s="8" t="n"/>
      <c r="I14" s="8" t="n"/>
      <c r="J14" s="8">
        <f>IF($B14="NO","NA",IF(I14="","",MIN(I14,$B$6)))</f>
        <v/>
      </c>
      <c r="K14" s="8" t="n"/>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UPD4a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s="8" t="inlineStr">
        <is>
          <t>Bengaluru – BWSSB</t>
        </is>
      </c>
      <c r="B13" s="8" t="inlineStr">
        <is>
          <t>NO</t>
        </is>
      </c>
      <c r="C13" s="8" t="n"/>
      <c r="D13" s="8" t="n"/>
      <c r="E13" s="8" t="n"/>
      <c r="F13" s="8" t="n"/>
      <c r="G13" s="8" t="n"/>
      <c r="H13" s="8" t="n"/>
      <c r="I13" s="8" t="n"/>
      <c r="J13" s="8">
        <f>IF($B13="NO","NA",IF(I13="","",MIN(I13,$B$6)))</f>
        <v/>
      </c>
      <c r="K13" s="8" t="n"/>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UPD4b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s="8" t="inlineStr">
        <is>
          <t>Bengaluru – BWSSB</t>
        </is>
      </c>
      <c r="B13" s="8" t="inlineStr">
        <is>
          <t>NO</t>
        </is>
      </c>
      <c r="C13" s="8" t="n"/>
      <c r="D13" s="8" t="n"/>
      <c r="E13" s="8" t="n"/>
      <c r="F13" s="8" t="n"/>
      <c r="G13" s="8" t="n"/>
      <c r="H13" s="8" t="n"/>
      <c r="I13" s="8" t="n"/>
      <c r="J13" s="8">
        <f>IF($B13="NO","NA",IF(I13="","",MIN(I13,$B$6)))</f>
        <v/>
      </c>
      <c r="K13" s="8" t="n"/>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UPD5a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s="8" t="inlineStr">
        <is>
          <t>Bengaluru – BMTC</t>
        </is>
      </c>
      <c r="B14" s="8" t="inlineStr">
        <is>
          <t>NO</t>
        </is>
      </c>
      <c r="C14" s="8" t="n"/>
      <c r="D14" s="8" t="n"/>
      <c r="E14" s="8" t="n"/>
      <c r="F14" s="8" t="n"/>
      <c r="G14" s="8" t="n"/>
      <c r="H14" s="8" t="n"/>
      <c r="I14" s="8" t="n"/>
      <c r="J14" s="8">
        <f>IF($B14="NO","NA",IF(I14="","",MIN(I14,$B$6)))</f>
        <v/>
      </c>
      <c r="K14" s="8" t="n"/>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UPD5b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s="8" t="inlineStr">
        <is>
          <t>Bengaluru – BMTC</t>
        </is>
      </c>
      <c r="B14" s="8" t="inlineStr">
        <is>
          <t>NO</t>
        </is>
      </c>
      <c r="C14" s="8" t="n"/>
      <c r="D14" s="8" t="n"/>
      <c r="E14" s="8" t="n"/>
      <c r="F14" s="8" t="n"/>
      <c r="G14" s="8" t="n"/>
      <c r="H14" s="8" t="n"/>
      <c r="I14" s="8" t="n"/>
      <c r="J14" s="8">
        <f>IF($B14="NO","NA",IF(I14="","",MIN(I14,$B$6)))</f>
        <v/>
      </c>
      <c r="K14" s="8" t="n"/>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UPD6a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s="8" t="inlineStr">
        <is>
          <t>Bengaluru – BWSSB</t>
        </is>
      </c>
      <c r="B13" s="8" t="inlineStr">
        <is>
          <t>NO</t>
        </is>
      </c>
      <c r="C13" s="8" t="n"/>
      <c r="D13" s="8" t="n"/>
      <c r="E13" s="8" t="n"/>
      <c r="F13" s="8" t="n"/>
      <c r="G13" s="8" t="n"/>
      <c r="H13" s="8" t="n"/>
      <c r="I13" s="8" t="n"/>
      <c r="J13" s="8">
        <f>IF($B13="NO","NA",IF(I13="","",MIN(I13,$B$6)))</f>
        <v/>
      </c>
      <c r="K13" s="8" t="n"/>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UPD6b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s="8" t="inlineStr">
        <is>
          <t>Bengaluru – BWSSB</t>
        </is>
      </c>
      <c r="B13" s="8" t="inlineStr">
        <is>
          <t>NO</t>
        </is>
      </c>
      <c r="C13" s="8" t="n"/>
      <c r="D13" s="8" t="n"/>
      <c r="E13" s="8" t="n"/>
      <c r="F13" s="8" t="n"/>
      <c r="G13" s="8" t="n"/>
      <c r="H13" s="8" t="n"/>
      <c r="I13" s="8" t="n"/>
      <c r="J13" s="8">
        <f>IF($B13="NO","NA",IF(I13="","",MIN(I13,$B$6)))</f>
        <v/>
      </c>
      <c r="K13" s="8" t="n"/>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DPG1a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DPG1b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DPG2a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DPG2b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DPG4</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10</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10</formula2>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formula2>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formula2>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DPG5c</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formula2>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DPG5d</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formula2>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DPG5f</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formula2>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DPG5g</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formula2>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DPG5h</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formula2>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DPG5i</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formula2>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DPG5j</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formula2>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DPG5k</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formula2>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DPG6a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DPG6b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DPG7a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t="inlineStr">
        <is>
          <t>Bengaluru – BMRCL</t>
        </is>
      </c>
      <c r="B16" t="inlineStr">
        <is>
          <t>YES</t>
        </is>
      </c>
      <c r="I16" s="7" t="n"/>
      <c r="J16">
        <f>IF($B16="NO","NA",IF(I16="","",MIN(I16,$B$6)))</f>
        <v/>
      </c>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DPG7b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s="8" t="inlineStr">
        <is>
          <t>Bengaluru – BDA</t>
        </is>
      </c>
      <c r="B15" s="8" t="inlineStr">
        <is>
          <t>NO</t>
        </is>
      </c>
      <c r="C15" s="8" t="n"/>
      <c r="D15" s="8" t="n"/>
      <c r="E15" s="8" t="n"/>
      <c r="F15" s="8" t="n"/>
      <c r="G15" s="8" t="n"/>
      <c r="H15" s="8" t="n"/>
      <c r="I15" s="8" t="n"/>
      <c r="J15" s="8">
        <f>IF($B15="NO","NA",IF(I15="","",MIN(I15,$B$6)))</f>
        <v/>
      </c>
      <c r="K15" s="8" t="n"/>
    </row>
    <row r="16">
      <c r="A16" t="inlineStr">
        <is>
          <t>Bengaluru – BMRCL</t>
        </is>
      </c>
      <c r="B16" t="inlineStr">
        <is>
          <t>YES</t>
        </is>
      </c>
      <c r="I16" s="7" t="n"/>
      <c r="J16">
        <f>IF($B16="NO","NA",IF(I16="","",MIN(I16,$B$6)))</f>
        <v/>
      </c>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SC1</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10</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s="8" t="inlineStr">
        <is>
          <t>Bengaluru – BMRCL</t>
        </is>
      </c>
      <c r="B16" s="8" t="inlineStr">
        <is>
          <t>NO</t>
        </is>
      </c>
      <c r="C16" s="8" t="n"/>
      <c r="D16" s="8" t="n"/>
      <c r="E16" s="8" t="n"/>
      <c r="F16" s="8" t="n"/>
      <c r="G16" s="8" t="n"/>
      <c r="H16" s="8" t="n"/>
      <c r="I16" s="8" t="n"/>
      <c r="J16" s="8">
        <f>IF($B16="NO","NA",IF(I16="","",MIN(I16,$B$6)))</f>
        <v/>
      </c>
      <c r="K16" s="8" t="n"/>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s="8" t="inlineStr">
        <is>
          <t>Surat – GMRC</t>
        </is>
      </c>
      <c r="B19" s="8" t="inlineStr">
        <is>
          <t>NO</t>
        </is>
      </c>
      <c r="C19" s="8" t="n"/>
      <c r="D19" s="8" t="n"/>
      <c r="E19" s="8" t="n"/>
      <c r="F19" s="8" t="n"/>
      <c r="G19" s="8" t="n"/>
      <c r="H19" s="8" t="n"/>
      <c r="I19" s="8" t="n"/>
      <c r="J19" s="8">
        <f>IF($B19="NO","NA",IF(I19="","",MIN(I19,$B$6)))</f>
        <v/>
      </c>
      <c r="K19" s="8" t="n"/>
    </row>
  </sheetData>
  <dataValidations count="1">
    <dataValidation sqref="I13:I19" showDropDown="0" showInputMessage="0" showErrorMessage="1" allowBlank="1" error="See the instruction above the 'Score' column." type="decimal" operator="between">
      <formula1>0</formula1>
      <formula2>10</formula2>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SC2</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10</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s="8" t="inlineStr">
        <is>
          <t>Bengaluru – BMRDA</t>
        </is>
      </c>
      <c r="B17" s="8" t="inlineStr">
        <is>
          <t>NO</t>
        </is>
      </c>
      <c r="C17" s="8" t="n"/>
      <c r="D17" s="8" t="n"/>
      <c r="E17" s="8" t="n"/>
      <c r="F17" s="8" t="n"/>
      <c r="G17" s="8" t="n"/>
      <c r="H17" s="8" t="n"/>
      <c r="I17" s="8" t="n"/>
      <c r="J17" s="8">
        <f>IF($B17="NO","NA",IF(I17="","",MIN(I17,$B$6)))</f>
        <v/>
      </c>
      <c r="K17" s="8" t="n"/>
    </row>
    <row r="18">
      <c r="A18" s="8" t="inlineStr">
        <is>
          <t>Surat – SUDA</t>
        </is>
      </c>
      <c r="B18" s="8" t="inlineStr">
        <is>
          <t>NO</t>
        </is>
      </c>
      <c r="C18" s="8" t="n"/>
      <c r="D18" s="8" t="n"/>
      <c r="E18" s="8" t="n"/>
      <c r="F18" s="8" t="n"/>
      <c r="G18" s="8" t="n"/>
      <c r="H18" s="8" t="n"/>
      <c r="I18" s="8" t="n"/>
      <c r="J18" s="8">
        <f>IF($B18="NO","NA",IF(I18="","",MIN(I18,$B$6)))</f>
        <v/>
      </c>
      <c r="K18" s="8" t="n"/>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10</formula2>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SC3</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10</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10</formula2>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SC4a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SC4b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SC5</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10</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10</formula2>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SC6</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10</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10</formula2>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SC7a</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19"/>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30" customWidth="1" min="3" max="3"/>
    <col width="10" customWidth="1" min="8" max="8"/>
    <col width="40" customWidth="1" min="9" max="9"/>
  </cols>
  <sheetData>
    <row r="1">
      <c r="A1" t="inlineStr">
        <is>
          <t>Question Code</t>
        </is>
      </c>
      <c r="B1" t="inlineStr">
        <is>
          <t>SC7b</t>
        </is>
      </c>
      <c r="C1" t="inlineStr">
        <is>
          <t>&lt;Sheet name and this code must match&gt;</t>
        </is>
      </c>
    </row>
    <row r="2">
      <c r="A2" s="4" t="inlineStr">
        <is>
          <t>Group</t>
        </is>
      </c>
      <c r="B2" s="2">
        <f>VLOOKUP($B$1,'PARASTATAL Questions'!$A:$J,3,0)&amp;""</f>
        <v/>
      </c>
    </row>
    <row r="3">
      <c r="A3" s="4" t="inlineStr">
        <is>
          <t>Original ID</t>
        </is>
      </c>
      <c r="B3" s="2">
        <f>VLOOKUP($B$1,'PARASTATAL Questions'!$A:$J,2,0)&amp;""</f>
        <v/>
      </c>
    </row>
    <row r="4">
      <c r="A4" s="4" t="inlineStr">
        <is>
          <t>MQ_SQ</t>
        </is>
      </c>
      <c r="B4" s="2">
        <f>VLOOKUP($B$1,'PARASTATAL Questions'!$A:$J,4,0)&amp;""</f>
        <v/>
      </c>
    </row>
    <row r="5">
      <c r="A5" s="4" t="inlineStr">
        <is>
          <t>Question</t>
        </is>
      </c>
      <c r="B5" s="2">
        <f>VLOOKUP($B$1,'PARASTATAL Questions'!$A:$J,5,0)&amp;""</f>
        <v/>
      </c>
    </row>
    <row r="6">
      <c r="A6" s="4" t="inlineStr">
        <is>
          <t>Max Score</t>
        </is>
      </c>
      <c r="B6" s="2">
        <f>VLOOKUP($B$1,'PARASTATAL Questions'!$A:$J,6,0)</f>
        <v/>
      </c>
    </row>
    <row r="7">
      <c r="A7" s="4" t="inlineStr">
        <is>
          <t>Assessment level</t>
        </is>
      </c>
      <c r="B7" s="2">
        <f>VLOOKUP($B$1,'PARASTATAL Questions'!$A:$J,7,0)&amp;""</f>
        <v/>
      </c>
    </row>
    <row r="8">
      <c r="A8" s="4" t="inlineStr">
        <is>
          <t>Applicability</t>
        </is>
      </c>
      <c r="B8" s="2">
        <f>VLOOKUP($B$1,'PARASTATAL Questions'!$A:$J,8,0)&amp;""</f>
        <v/>
      </c>
    </row>
    <row r="9">
      <c r="A9" s="4" t="inlineStr">
        <is>
          <t>Detailed Methodology</t>
        </is>
      </c>
      <c r="B9" s="2">
        <f>VLOOKUP($B$1,'PARASTATAL Questions'!$A:$J,9,0)&amp;""</f>
        <v/>
      </c>
    </row>
    <row r="10">
      <c r="A10" s="4" t="inlineStr">
        <is>
          <t>Notes for scorers</t>
        </is>
      </c>
      <c r="B10" s="2">
        <f>VLOOKUP($B$1,'PARASTATAL Questions'!$A:$J,10,0)&amp;""</f>
        <v/>
      </c>
    </row>
    <row r="11">
      <c r="B11" s="6" t="inlineStr">
        <is>
          <t>PRE-FILLED - DO NOT ALTER</t>
        </is>
      </c>
      <c r="I11" s="6" t="inlineStr">
        <is>
          <t>ENTER A NUMBER 0 TO 5</t>
        </is>
      </c>
      <c r="J11" s="6" t="inlineStr">
        <is>
          <t>DO NOT ALTER FORMULA</t>
        </is>
      </c>
    </row>
    <row r="12">
      <c r="A12" s="3" t="inlineStr">
        <is>
          <t>City</t>
        </is>
      </c>
      <c r="B12" s="3" t="inlineStr">
        <is>
          <t>Applies?</t>
        </is>
      </c>
      <c r="C12" s="3" t="inlineStr">
        <is>
          <t>Act Name/Web name/Doc name</t>
        </is>
      </c>
      <c r="D12" s="3" t="inlineStr">
        <is>
          <t>Chapter</t>
        </is>
      </c>
      <c r="E12" s="3" t="inlineStr">
        <is>
          <t>Provision</t>
        </is>
      </c>
      <c r="F12" s="3" t="inlineStr">
        <is>
          <t>Clause</t>
        </is>
      </c>
      <c r="G12" s="3" t="inlineStr">
        <is>
          <t>Page Number</t>
        </is>
      </c>
      <c r="H12" s="3" t="inlineStr">
        <is>
          <t>Link</t>
        </is>
      </c>
      <c r="I12" s="3" t="inlineStr">
        <is>
          <t>Score</t>
        </is>
      </c>
      <c r="J12" s="3" t="inlineStr">
        <is>
          <t>Points (Auto-generate)</t>
        </is>
      </c>
      <c r="K12" s="3" t="inlineStr">
        <is>
          <t>SCORER COMMENTS</t>
        </is>
      </c>
    </row>
    <row r="13">
      <c r="A13" t="inlineStr">
        <is>
          <t>Bengaluru – BWSSB</t>
        </is>
      </c>
      <c r="B13" t="inlineStr">
        <is>
          <t>YES</t>
        </is>
      </c>
      <c r="I13" s="7" t="n"/>
      <c r="J13">
        <f>IF($B13="NO","NA",IF(I13="","",MIN(I13,$B$6)))</f>
        <v/>
      </c>
    </row>
    <row r="14">
      <c r="A14" t="inlineStr">
        <is>
          <t>Bengaluru – BMTC</t>
        </is>
      </c>
      <c r="B14" t="inlineStr">
        <is>
          <t>YES</t>
        </is>
      </c>
      <c r="I14" s="7" t="n"/>
      <c r="J14">
        <f>IF($B14="NO","NA",IF(I14="","",MIN(I14,$B$6)))</f>
        <v/>
      </c>
    </row>
    <row r="15">
      <c r="A15" t="inlineStr">
        <is>
          <t>Bengaluru – BDA</t>
        </is>
      </c>
      <c r="B15" t="inlineStr">
        <is>
          <t>YES</t>
        </is>
      </c>
      <c r="I15" s="7" t="n"/>
      <c r="J15">
        <f>IF($B15="NO","NA",IF(I15="","",MIN(I15,$B$6)))</f>
        <v/>
      </c>
    </row>
    <row r="16">
      <c r="A16" t="inlineStr">
        <is>
          <t>Bengaluru – BMRCL</t>
        </is>
      </c>
      <c r="B16" t="inlineStr">
        <is>
          <t>YES</t>
        </is>
      </c>
      <c r="I16" s="7" t="n"/>
      <c r="J16">
        <f>IF($B16="NO","NA",IF(I16="","",MIN(I16,$B$6)))</f>
        <v/>
      </c>
    </row>
    <row r="17">
      <c r="A17" t="inlineStr">
        <is>
          <t>Bengaluru – BMRDA</t>
        </is>
      </c>
      <c r="B17" t="inlineStr">
        <is>
          <t>YES</t>
        </is>
      </c>
      <c r="I17" s="7" t="n"/>
      <c r="J17">
        <f>IF($B17="NO","NA",IF(I17="","",MIN(I17,$B$6)))</f>
        <v/>
      </c>
    </row>
    <row r="18">
      <c r="A18" t="inlineStr">
        <is>
          <t>Surat – SUDA</t>
        </is>
      </c>
      <c r="B18" t="inlineStr">
        <is>
          <t>YES</t>
        </is>
      </c>
      <c r="I18" s="7" t="n"/>
      <c r="J18">
        <f>IF($B18="NO","NA",IF(I18="","",MIN(I18,$B$6)))</f>
        <v/>
      </c>
    </row>
    <row r="19">
      <c r="A19" t="inlineStr">
        <is>
          <t>Surat – GMRC</t>
        </is>
      </c>
      <c r="B19" t="inlineStr">
        <is>
          <t>YES</t>
        </is>
      </c>
      <c r="I19" s="7" t="n"/>
      <c r="J19">
        <f>IF($B19="NO","NA",IF(I19="","",MIN(I19,$B$6)))</f>
        <v/>
      </c>
    </row>
  </sheetData>
  <dataValidations count="1">
    <dataValidation sqref="I13:I19" showDropDown="0" showInputMessage="0" showErrorMessage="1" allowBlank="1" error="See the instruction above the 'Score' column." type="decimal" operator="between">
      <formula1>0</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2026-10-08T11:34:51Z</dcterms:created>
  <dcterms:modified xsi:type="dcterms:W3CDTF">2026-10-08T11:34:51Z</dcterms:modified>
</cp:coreProperties>
</file>