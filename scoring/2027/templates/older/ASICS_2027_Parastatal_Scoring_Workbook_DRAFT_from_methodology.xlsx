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 before use" sheetId="1" state="visible" r:id="rId1"/>
    <sheet name="PARASTATAL_SUMMARY_RAW" sheetId="2" state="visible" r:id="rId2"/>
    <sheet name="PARASTATAL_CITY_SCORES" sheetId="3" state="visible" r:id="rId3"/>
    <sheet name="PARASTATAL Questions" sheetId="4" state="visible" r:id="rId4"/>
    <sheet name="UPD1a" sheetId="5" state="visible" r:id="rId5"/>
    <sheet name="UPD1b" sheetId="6" state="visible" r:id="rId6"/>
    <sheet name="UPD2a" sheetId="7" state="visible" r:id="rId7"/>
    <sheet name="UPD2b" sheetId="8" state="visible" r:id="rId8"/>
    <sheet name="UPD2c" sheetId="9" state="visible" r:id="rId9"/>
    <sheet name="UPD2d" sheetId="10" state="visible" r:id="rId10"/>
    <sheet name="UPD3a" sheetId="11" state="visible" r:id="rId11"/>
    <sheet name="UPD3b" sheetId="12" state="visible" r:id="rId12"/>
    <sheet name="UPD4a" sheetId="13" state="visible" r:id="rId13"/>
    <sheet name="UPD4b" sheetId="14" state="visible" r:id="rId14"/>
    <sheet name="UPD5a" sheetId="15" state="visible" r:id="rId15"/>
    <sheet name="UPD5b" sheetId="16" state="visible" r:id="rId16"/>
    <sheet name="UPD6a" sheetId="17" state="visible" r:id="rId17"/>
    <sheet name="UPD6b" sheetId="18" state="visible" r:id="rId18"/>
    <sheet name="DPG1a" sheetId="19" state="visible" r:id="rId19"/>
    <sheet name="DPG1b" sheetId="20" state="visible" r:id="rId20"/>
    <sheet name="DPG2a" sheetId="21" state="visible" r:id="rId21"/>
    <sheet name="DPG2b" sheetId="22" state="visible" r:id="rId22"/>
    <sheet name="DPG3" sheetId="23" state="visible" r:id="rId23"/>
    <sheet name="DPG5a" sheetId="24" state="visible" r:id="rId24"/>
    <sheet name="DPG5b" sheetId="25" state="visible" r:id="rId25"/>
    <sheet name="DPG5c" sheetId="26" state="visible" r:id="rId26"/>
    <sheet name="DPG5d" sheetId="27" state="visible" r:id="rId27"/>
    <sheet name="DPG5e" sheetId="28" state="visible" r:id="rId28"/>
    <sheet name="DPG5f" sheetId="29" state="visible" r:id="rId29"/>
    <sheet name="DPG5g" sheetId="30" state="visible" r:id="rId30"/>
    <sheet name="DPG5h" sheetId="31" state="visible" r:id="rId31"/>
    <sheet name="DPG5i" sheetId="32" state="visible" r:id="rId32"/>
    <sheet name="DPG5j" sheetId="33" state="visible" r:id="rId33"/>
    <sheet name="DPG6a" sheetId="34" state="visible" r:id="rId34"/>
    <sheet name="DPG6b" sheetId="35" state="visible" r:id="rId35"/>
    <sheet name="DPG7a" sheetId="36" state="visible" r:id="rId36"/>
    <sheet name="DPG7b" sheetId="37" state="visible" r:id="rId37"/>
    <sheet name="SC1" sheetId="38" state="visible" r:id="rId38"/>
    <sheet name="SC2" sheetId="39" state="visible" r:id="rId39"/>
    <sheet name="SC3" sheetId="40" state="visible" r:id="rId40"/>
    <sheet name="SC4a" sheetId="41" state="visible" r:id="rId41"/>
    <sheet name="SC4b" sheetId="42" state="visible" r:id="rId42"/>
    <sheet name="SC5" sheetId="43" state="visible" r:id="rId43"/>
    <sheet name="SC6" sheetId="44" state="visible" r:id="rId44"/>
    <sheet name="SC7a" sheetId="45" state="visible" r:id="rId45"/>
    <sheet name="SC7b" sheetId="46" state="visible" r:id="rId4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i val="1"/>
    </font>
    <font>
      <b val="1"/>
      <sz val="9"/>
    </font>
  </fonts>
  <fills count="5">
    <fill>
      <patternFill/>
    </fill>
    <fill>
      <patternFill patternType="gray125"/>
    </fill>
    <fill>
      <patternFill patternType="solid">
        <fgColor rgb="00DDE7F0"/>
      </patternFill>
    </fill>
    <fill>
      <patternFill patternType="solid">
        <fgColor rgb="00FFF6D5"/>
      </patternFill>
    </fill>
    <fill>
      <patternFill patternType="solid">
        <fgColor rgb="00E7E6E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DRAFT PARASTATAL scoring workbook - generated from the methodology sheet</t>
        </is>
      </c>
    </row>
    <row r="2">
      <c r="A2" s="2" t="inlineStr"/>
    </row>
    <row r="3">
      <c r="A3" s="2" t="inlineStr">
        <is>
          <t>This draft follows the same layout as the UPD scoring workbook, so the app can fill, merge and read it. The scoring experts should:</t>
        </is>
      </c>
    </row>
    <row r="4">
      <c r="A4" s="2" t="inlineStr">
        <is>
          <t xml:space="preserve">  1. Replace each question sheet's simple inputs (yellow) and Points formula with the real ones, keeping the row-11 instructions (e.g. SELECT YES / NO) and the column names 'Points (Auto-generate)' and 'SCORER COMMENTS'.</t>
        </is>
      </c>
    </row>
    <row r="5">
      <c r="A5" s="2" t="inlineStr">
        <is>
          <t xml:space="preserve">  2. Check 'Applies?' (filled in from each agency's type and the question's Applicability). To change it, fix the agency in the city register or Sources workbook and generate again.</t>
        </is>
      </c>
    </row>
    <row r="6">
      <c r="A6" s="2" t="inlineStr">
        <is>
          <t xml:space="preserve">  3. Fix the points below in the methodology sheet and generate again.</t>
        </is>
      </c>
    </row>
    <row r="7">
      <c r="A7" s="2" t="inlineStr"/>
    </row>
    <row r="8">
      <c r="A8" s="2" t="inlineStr">
        <is>
          <t>Points to check:</t>
        </is>
      </c>
    </row>
    <row r="9">
      <c r="A9" s="2" t="inlineStr">
        <is>
          <t xml:space="preserve">  • Section 'Decentralised Participatory Governance' has no (CODE); using DPG</t>
        </is>
      </c>
    </row>
    <row r="10">
      <c r="A10" s="2" t="inlineStr">
        <is>
          <t xml:space="preserve">  • Section 'State Capacities' has no (CODE); using SC</t>
        </is>
      </c>
    </row>
    <row r="11">
      <c r="A11" s="2" t="inlineStr">
        <is>
          <t xml:space="preserve">  • Question Bank row 57: the ID "SC-5" is used twice. Each question needs its own ID; the second one was skipped.</t>
        </is>
      </c>
    </row>
    <row r="12">
      <c r="A12" s="2" t="inlineStr">
        <is>
          <t xml:space="preserve">  • UPD 1a: the methodology gives scores up to 10, but the Max Score is 5. Say how the score should be scaled.</t>
        </is>
      </c>
    </row>
    <row r="13">
      <c r="A13" s="2" t="inlineStr">
        <is>
          <t xml:space="preserve">  • DPG 4 has no Tag or Max Score, so it is left out of the scores. Add them if it should be scored.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
  <sheetViews>
    <sheetView workbookViewId="0">
      <pane xSplit="6" ySplit="2" topLeftCell="G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50" customWidth="1" min="4" max="4"/>
    <col width="18" customWidth="1" min="5" max="5"/>
  </cols>
  <sheetData>
    <row r="1">
      <c r="A1" s="3" t="inlineStr">
        <is>
          <t>ASICS 2027_Report_Q No</t>
        </is>
      </c>
      <c r="B1" s="3" t="inlineStr">
        <is>
          <t>Group</t>
        </is>
      </c>
      <c r="C1" s="3" t="inlineStr">
        <is>
          <t>MQ_SQ</t>
        </is>
      </c>
      <c r="D1" s="3" t="inlineStr">
        <is>
          <t>Question</t>
        </is>
      </c>
      <c r="E1" s="3" t="inlineStr">
        <is>
          <t>Assessment level</t>
        </is>
      </c>
      <c r="F1" s="3" t="inlineStr">
        <is>
          <t>Max Score</t>
        </is>
      </c>
      <c r="G1" s="3" t="inlineStr">
        <is>
          <t>Bengaluru – BWSSB</t>
        </is>
      </c>
      <c r="H1" s="3" t="inlineStr">
        <is>
          <t>Bengaluru – BMTC</t>
        </is>
      </c>
      <c r="I1" s="3" t="inlineStr">
        <is>
          <t>Bengaluru – BDA</t>
        </is>
      </c>
      <c r="J1" s="3" t="inlineStr">
        <is>
          <t>Bengaluru – BMRCL</t>
        </is>
      </c>
      <c r="K1" s="3" t="inlineStr">
        <is>
          <t>Bengaluru – BMRDA</t>
        </is>
      </c>
      <c r="L1" s="3" t="inlineStr">
        <is>
          <t>Surat – SUDA</t>
        </is>
      </c>
      <c r="M1" s="3" t="inlineStr">
        <is>
          <t>Surat – GMRC</t>
        </is>
      </c>
    </row>
    <row r="2">
      <c r="A2" t="inlineStr">
        <is>
          <t>ENTER</t>
        </is>
      </c>
      <c r="B2" t="inlineStr">
        <is>
          <t>Derived</t>
        </is>
      </c>
      <c r="C2" t="inlineStr">
        <is>
          <t>Derived</t>
        </is>
      </c>
      <c r="D2" t="inlineStr">
        <is>
          <t>Derived</t>
        </is>
      </c>
      <c r="E2" t="inlineStr">
        <is>
          <t>Derived</t>
        </is>
      </c>
      <c r="F2" t="inlineStr">
        <is>
          <t>Derived</t>
        </is>
      </c>
      <c r="G2" t="inlineStr">
        <is>
          <t>Derived</t>
        </is>
      </c>
      <c r="H2" t="inlineStr">
        <is>
          <t>Derived</t>
        </is>
      </c>
      <c r="I2" t="inlineStr">
        <is>
          <t>Derived</t>
        </is>
      </c>
      <c r="J2" t="inlineStr">
        <is>
          <t>Derived</t>
        </is>
      </c>
      <c r="K2" t="inlineStr">
        <is>
          <t>Derived</t>
        </is>
      </c>
      <c r="L2" t="inlineStr">
        <is>
          <t>Derived</t>
        </is>
      </c>
      <c r="M2" t="inlineStr">
        <is>
          <t>Derived</t>
        </is>
      </c>
    </row>
    <row r="3">
      <c r="A3" s="4" t="inlineStr">
        <is>
          <t>UPD1</t>
        </is>
      </c>
      <c r="B3" s="4">
        <f>VLOOKUP($A3,'PARASTATAL Questions'!$A:$J,3,0)&amp;""</f>
        <v/>
      </c>
      <c r="C3" s="4">
        <f>VLOOKUP($A3,'PARASTATAL Questions'!$A:$J,4,0)&amp;""</f>
        <v/>
      </c>
      <c r="D3" s="4">
        <f>VLOOKUP($A3,'PARASTATAL Questions'!$A:$J,5,0)&amp;""</f>
        <v/>
      </c>
      <c r="E3" s="4">
        <f>VLOOKUP($A3,'PARASTATAL Questions'!$A:$J,7,0)&amp;""</f>
        <v/>
      </c>
      <c r="F3" s="4">
        <f>VLOOKUP($A3,'PARASTATAL Questions'!$A:$J,6,0)</f>
        <v/>
      </c>
      <c r="G3" s="4">
        <f>IF(OR(G4="ER",G5="ER"),"ER",IF(OR(G4="?",G5="?"),"?",IF(AND(G4="NA",G5="NA"),"NA",SUM(G4,G5)/((G4&lt;&gt;"NA")*$F$4+(G5&lt;&gt;"NA")*$F$5)*$F3)))</f>
        <v/>
      </c>
      <c r="H3" s="4">
        <f>IF(OR(H4="ER",H5="ER"),"ER",IF(OR(H4="?",H5="?"),"?",IF(AND(H4="NA",H5="NA"),"NA",SUM(H4,H5)/((H4&lt;&gt;"NA")*$F$4+(H5&lt;&gt;"NA")*$F$5)*$F3)))</f>
        <v/>
      </c>
      <c r="I3" s="4">
        <f>IF(OR(I4="ER",I5="ER"),"ER",IF(OR(I4="?",I5="?"),"?",IF(AND(I4="NA",I5="NA"),"NA",SUM(I4,I5)/((I4&lt;&gt;"NA")*$F$4+(I5&lt;&gt;"NA")*$F$5)*$F3)))</f>
        <v/>
      </c>
      <c r="J3" s="4">
        <f>IF(OR(J4="ER",J5="ER"),"ER",IF(OR(J4="?",J5="?"),"?",IF(AND(J4="NA",J5="NA"),"NA",SUM(J4,J5)/((J4&lt;&gt;"NA")*$F$4+(J5&lt;&gt;"NA")*$F$5)*$F3)))</f>
        <v/>
      </c>
      <c r="K3" s="4">
        <f>IF(OR(K4="ER",K5="ER"),"ER",IF(OR(K4="?",K5="?"),"?",IF(AND(K4="NA",K5="NA"),"NA",SUM(K4,K5)/((K4&lt;&gt;"NA")*$F$4+(K5&lt;&gt;"NA")*$F$5)*$F3)))</f>
        <v/>
      </c>
      <c r="L3" s="4">
        <f>IF(OR(L4="ER",L5="ER"),"ER",IF(OR(L4="?",L5="?"),"?",IF(AND(L4="NA",L5="NA"),"NA",SUM(L4,L5)/((L4&lt;&gt;"NA")*$F$4+(L5&lt;&gt;"NA")*$F$5)*$F3)))</f>
        <v/>
      </c>
      <c r="M3" s="4">
        <f>IF(OR(M4="ER",M5="ER"),"ER",IF(OR(M4="?",M5="?"),"?",IF(AND(M4="NA",M5="NA"),"NA",SUM(M4,M5)/((M4&lt;&gt;"NA")*$F$4+(M5&lt;&gt;"NA")*$F$5)*$F3)))</f>
        <v/>
      </c>
    </row>
    <row r="4">
      <c r="A4" t="inlineStr">
        <is>
          <t>UPD1a</t>
        </is>
      </c>
      <c r="B4">
        <f>VLOOKUP($A4,'PARASTATAL Questions'!$A:$J,3,0)&amp;""</f>
        <v/>
      </c>
      <c r="C4">
        <f>VLOOKUP($A4,'PARASTATAL Questions'!$A:$J,4,0)&amp;""</f>
        <v/>
      </c>
      <c r="D4">
        <f>VLOOKUP($A4,'PARASTATAL Questions'!$A:$J,5,0)&amp;""</f>
        <v/>
      </c>
      <c r="E4">
        <f>VLOOKUP($A4,'PARASTATAL Questions'!$A:$J,7,0)&amp;""</f>
        <v/>
      </c>
      <c r="F4">
        <f>VLOOKUP($A4,'PARASTATAL Questions'!$A:$J,6,0)</f>
        <v/>
      </c>
      <c r="G4">
        <f>IF($F4=0,"NA",IF($A4=INDIRECT("'"&amp;$A4&amp;"'!$B$1"),IF(VLOOKUP(G$1,INDIRECT("'"&amp;$A4&amp;"'!$A$12:$Z$19"),MATCH("Points (Auto-generate)",INDIRECT("'"&amp;$A4&amp;"'!$A$12:$Z$12"),0),0)="","?",VLOOKUP(G$1,INDIRECT("'"&amp;$A4&amp;"'!$A$12:$Z$19"),MATCH("Points (Auto-generate)",INDIRECT("'"&amp;$A4&amp;"'!$A$12:$Z$12"),0),0)),"ER"))</f>
        <v/>
      </c>
      <c r="H4">
        <f>IF($F4=0,"NA",IF($A4=INDIRECT("'"&amp;$A4&amp;"'!$B$1"),IF(VLOOKUP(H$1,INDIRECT("'"&amp;$A4&amp;"'!$A$12:$Z$19"),MATCH("Points (Auto-generate)",INDIRECT("'"&amp;$A4&amp;"'!$A$12:$Z$12"),0),0)="","?",VLOOKUP(H$1,INDIRECT("'"&amp;$A4&amp;"'!$A$12:$Z$19"),MATCH("Points (Auto-generate)",INDIRECT("'"&amp;$A4&amp;"'!$A$12:$Z$12"),0),0)),"ER"))</f>
        <v/>
      </c>
      <c r="I4">
        <f>IF($F4=0,"NA",IF($A4=INDIRECT("'"&amp;$A4&amp;"'!$B$1"),IF(VLOOKUP(I$1,INDIRECT("'"&amp;$A4&amp;"'!$A$12:$Z$19"),MATCH("Points (Auto-generate)",INDIRECT("'"&amp;$A4&amp;"'!$A$12:$Z$12"),0),0)="","?",VLOOKUP(I$1,INDIRECT("'"&amp;$A4&amp;"'!$A$12:$Z$19"),MATCH("Points (Auto-generate)",INDIRECT("'"&amp;$A4&amp;"'!$A$12:$Z$12"),0),0)),"ER"))</f>
        <v/>
      </c>
      <c r="J4">
        <f>IF($F4=0,"NA",IF($A4=INDIRECT("'"&amp;$A4&amp;"'!$B$1"),IF(VLOOKUP(J$1,INDIRECT("'"&amp;$A4&amp;"'!$A$12:$Z$19"),MATCH("Points (Auto-generate)",INDIRECT("'"&amp;$A4&amp;"'!$A$12:$Z$12"),0),0)="","?",VLOOKUP(J$1,INDIRECT("'"&amp;$A4&amp;"'!$A$12:$Z$19"),MATCH("Points (Auto-generate)",INDIRECT("'"&amp;$A4&amp;"'!$A$12:$Z$12"),0),0)),"ER"))</f>
        <v/>
      </c>
      <c r="K4">
        <f>IF($F4=0,"NA",IF($A4=INDIRECT("'"&amp;$A4&amp;"'!$B$1"),IF(VLOOKUP(K$1,INDIRECT("'"&amp;$A4&amp;"'!$A$12:$Z$19"),MATCH("Points (Auto-generate)",INDIRECT("'"&amp;$A4&amp;"'!$A$12:$Z$12"),0),0)="","?",VLOOKUP(K$1,INDIRECT("'"&amp;$A4&amp;"'!$A$12:$Z$19"),MATCH("Points (Auto-generate)",INDIRECT("'"&amp;$A4&amp;"'!$A$12:$Z$12"),0),0)),"ER"))</f>
        <v/>
      </c>
      <c r="L4">
        <f>IF($F4=0,"NA",IF($A4=INDIRECT("'"&amp;$A4&amp;"'!$B$1"),IF(VLOOKUP(L$1,INDIRECT("'"&amp;$A4&amp;"'!$A$12:$Z$19"),MATCH("Points (Auto-generate)",INDIRECT("'"&amp;$A4&amp;"'!$A$12:$Z$12"),0),0)="","?",VLOOKUP(L$1,INDIRECT("'"&amp;$A4&amp;"'!$A$12:$Z$19"),MATCH("Points (Auto-generate)",INDIRECT("'"&amp;$A4&amp;"'!$A$12:$Z$12"),0),0)),"ER"))</f>
        <v/>
      </c>
      <c r="M4">
        <f>IF($F4=0,"NA",IF($A4=INDIRECT("'"&amp;$A4&amp;"'!$B$1"),IF(VLOOKUP(M$1,INDIRECT("'"&amp;$A4&amp;"'!$A$12:$Z$19"),MATCH("Points (Auto-generate)",INDIRECT("'"&amp;$A4&amp;"'!$A$12:$Z$12"),0),0)="","?",VLOOKUP(M$1,INDIRECT("'"&amp;$A4&amp;"'!$A$12:$Z$19"),MATCH("Points (Auto-generate)",INDIRECT("'"&amp;$A4&amp;"'!$A$12:$Z$12"),0),0)),"ER"))</f>
        <v/>
      </c>
    </row>
    <row r="5">
      <c r="A5" t="inlineStr">
        <is>
          <t>UPD1b</t>
        </is>
      </c>
      <c r="B5">
        <f>VLOOKUP($A5,'PARASTATAL Questions'!$A:$J,3,0)&amp;""</f>
        <v/>
      </c>
      <c r="C5">
        <f>VLOOKUP($A5,'PARASTATAL Questions'!$A:$J,4,0)&amp;""</f>
        <v/>
      </c>
      <c r="D5">
        <f>VLOOKUP($A5,'PARASTATAL Questions'!$A:$J,5,0)&amp;""</f>
        <v/>
      </c>
      <c r="E5">
        <f>VLOOKUP($A5,'PARASTATAL Questions'!$A:$J,7,0)&amp;""</f>
        <v/>
      </c>
      <c r="F5">
        <f>VLOOKUP($A5,'PARASTATAL Questions'!$A:$J,6,0)</f>
        <v/>
      </c>
      <c r="G5">
        <f>IF($F5=0,"NA",IF($A5=INDIRECT("'"&amp;$A5&amp;"'!$B$1"),IF(VLOOKUP(G$1,INDIRECT("'"&amp;$A5&amp;"'!$A$12:$Z$19"),MATCH("Points (Auto-generate)",INDIRECT("'"&amp;$A5&amp;"'!$A$12:$Z$12"),0),0)="","?",VLOOKUP(G$1,INDIRECT("'"&amp;$A5&amp;"'!$A$12:$Z$19"),MATCH("Points (Auto-generate)",INDIRECT("'"&amp;$A5&amp;"'!$A$12:$Z$12"),0),0)),"ER"))</f>
        <v/>
      </c>
      <c r="H5">
        <f>IF($F5=0,"NA",IF($A5=INDIRECT("'"&amp;$A5&amp;"'!$B$1"),IF(VLOOKUP(H$1,INDIRECT("'"&amp;$A5&amp;"'!$A$12:$Z$19"),MATCH("Points (Auto-generate)",INDIRECT("'"&amp;$A5&amp;"'!$A$12:$Z$12"),0),0)="","?",VLOOKUP(H$1,INDIRECT("'"&amp;$A5&amp;"'!$A$12:$Z$19"),MATCH("Points (Auto-generate)",INDIRECT("'"&amp;$A5&amp;"'!$A$12:$Z$12"),0),0)),"ER"))</f>
        <v/>
      </c>
      <c r="I5">
        <f>IF($F5=0,"NA",IF($A5=INDIRECT("'"&amp;$A5&amp;"'!$B$1"),IF(VLOOKUP(I$1,INDIRECT("'"&amp;$A5&amp;"'!$A$12:$Z$19"),MATCH("Points (Auto-generate)",INDIRECT("'"&amp;$A5&amp;"'!$A$12:$Z$12"),0),0)="","?",VLOOKUP(I$1,INDIRECT("'"&amp;$A5&amp;"'!$A$12:$Z$19"),MATCH("Points (Auto-generate)",INDIRECT("'"&amp;$A5&amp;"'!$A$12:$Z$12"),0),0)),"ER"))</f>
        <v/>
      </c>
      <c r="J5">
        <f>IF($F5=0,"NA",IF($A5=INDIRECT("'"&amp;$A5&amp;"'!$B$1"),IF(VLOOKUP(J$1,INDIRECT("'"&amp;$A5&amp;"'!$A$12:$Z$19"),MATCH("Points (Auto-generate)",INDIRECT("'"&amp;$A5&amp;"'!$A$12:$Z$12"),0),0)="","?",VLOOKUP(J$1,INDIRECT("'"&amp;$A5&amp;"'!$A$12:$Z$19"),MATCH("Points (Auto-generate)",INDIRECT("'"&amp;$A5&amp;"'!$A$12:$Z$12"),0),0)),"ER"))</f>
        <v/>
      </c>
      <c r="K5">
        <f>IF($F5=0,"NA",IF($A5=INDIRECT("'"&amp;$A5&amp;"'!$B$1"),IF(VLOOKUP(K$1,INDIRECT("'"&amp;$A5&amp;"'!$A$12:$Z$19"),MATCH("Points (Auto-generate)",INDIRECT("'"&amp;$A5&amp;"'!$A$12:$Z$12"),0),0)="","?",VLOOKUP(K$1,INDIRECT("'"&amp;$A5&amp;"'!$A$12:$Z$19"),MATCH("Points (Auto-generate)",INDIRECT("'"&amp;$A5&amp;"'!$A$12:$Z$12"),0),0)),"ER"))</f>
        <v/>
      </c>
      <c r="L5">
        <f>IF($F5=0,"NA",IF($A5=INDIRECT("'"&amp;$A5&amp;"'!$B$1"),IF(VLOOKUP(L$1,INDIRECT("'"&amp;$A5&amp;"'!$A$12:$Z$19"),MATCH("Points (Auto-generate)",INDIRECT("'"&amp;$A5&amp;"'!$A$12:$Z$12"),0),0)="","?",VLOOKUP(L$1,INDIRECT("'"&amp;$A5&amp;"'!$A$12:$Z$19"),MATCH("Points (Auto-generate)",INDIRECT("'"&amp;$A5&amp;"'!$A$12:$Z$12"),0),0)),"ER"))</f>
        <v/>
      </c>
      <c r="M5">
        <f>IF($F5=0,"NA",IF($A5=INDIRECT("'"&amp;$A5&amp;"'!$B$1"),IF(VLOOKUP(M$1,INDIRECT("'"&amp;$A5&amp;"'!$A$12:$Z$19"),MATCH("Points (Auto-generate)",INDIRECT("'"&amp;$A5&amp;"'!$A$12:$Z$12"),0),0)="","?",VLOOKUP(M$1,INDIRECT("'"&amp;$A5&amp;"'!$A$12:$Z$19"),MATCH("Points (Auto-generate)",INDIRECT("'"&amp;$A5&amp;"'!$A$12:$Z$12"),0),0)),"ER"))</f>
        <v/>
      </c>
    </row>
    <row r="6">
      <c r="A6" s="4" t="inlineStr">
        <is>
          <t>UPD2</t>
        </is>
      </c>
      <c r="B6" s="4">
        <f>VLOOKUP($A6,'PARASTATAL Questions'!$A:$J,3,0)&amp;""</f>
        <v/>
      </c>
      <c r="C6" s="4">
        <f>VLOOKUP($A6,'PARASTATAL Questions'!$A:$J,4,0)&amp;""</f>
        <v/>
      </c>
      <c r="D6" s="4">
        <f>VLOOKUP($A6,'PARASTATAL Questions'!$A:$J,5,0)&amp;""</f>
        <v/>
      </c>
      <c r="E6" s="4">
        <f>VLOOKUP($A6,'PARASTATAL Questions'!$A:$J,7,0)&amp;""</f>
        <v/>
      </c>
      <c r="F6" s="4">
        <f>VLOOKUP($A6,'PARASTATAL Questions'!$A:$J,6,0)</f>
        <v/>
      </c>
      <c r="G6" s="4">
        <f>IF(OR(G7="ER",G8="ER",G9="ER",G10="ER"),"ER",IF(OR(G7="?",G8="?",G9="?",G10="?"),"?",IF(AND(G7="NA",G8="NA",G9="NA",G10="NA"),"NA",SUM(G7,G8,G9,G10)/((G7&lt;&gt;"NA")*$F$7+(G8&lt;&gt;"NA")*$F$8+(G9&lt;&gt;"NA")*$F$9+(G10&lt;&gt;"NA")*$F$10)*$F6)))</f>
        <v/>
      </c>
      <c r="H6" s="4">
        <f>IF(OR(H7="ER",H8="ER",H9="ER",H10="ER"),"ER",IF(OR(H7="?",H8="?",H9="?",H10="?"),"?",IF(AND(H7="NA",H8="NA",H9="NA",H10="NA"),"NA",SUM(H7,H8,H9,H10)/((H7&lt;&gt;"NA")*$F$7+(H8&lt;&gt;"NA")*$F$8+(H9&lt;&gt;"NA")*$F$9+(H10&lt;&gt;"NA")*$F$10)*$F6)))</f>
        <v/>
      </c>
      <c r="I6" s="4">
        <f>IF(OR(I7="ER",I8="ER",I9="ER",I10="ER"),"ER",IF(OR(I7="?",I8="?",I9="?",I10="?"),"?",IF(AND(I7="NA",I8="NA",I9="NA",I10="NA"),"NA",SUM(I7,I8,I9,I10)/((I7&lt;&gt;"NA")*$F$7+(I8&lt;&gt;"NA")*$F$8+(I9&lt;&gt;"NA")*$F$9+(I10&lt;&gt;"NA")*$F$10)*$F6)))</f>
        <v/>
      </c>
      <c r="J6" s="4">
        <f>IF(OR(J7="ER",J8="ER",J9="ER",J10="ER"),"ER",IF(OR(J7="?",J8="?",J9="?",J10="?"),"?",IF(AND(J7="NA",J8="NA",J9="NA",J10="NA"),"NA",SUM(J7,J8,J9,J10)/((J7&lt;&gt;"NA")*$F$7+(J8&lt;&gt;"NA")*$F$8+(J9&lt;&gt;"NA")*$F$9+(J10&lt;&gt;"NA")*$F$10)*$F6)))</f>
        <v/>
      </c>
      <c r="K6" s="4">
        <f>IF(OR(K7="ER",K8="ER",K9="ER",K10="ER"),"ER",IF(OR(K7="?",K8="?",K9="?",K10="?"),"?",IF(AND(K7="NA",K8="NA",K9="NA",K10="NA"),"NA",SUM(K7,K8,K9,K10)/((K7&lt;&gt;"NA")*$F$7+(K8&lt;&gt;"NA")*$F$8+(K9&lt;&gt;"NA")*$F$9+(K10&lt;&gt;"NA")*$F$10)*$F6)))</f>
        <v/>
      </c>
      <c r="L6" s="4">
        <f>IF(OR(L7="ER",L8="ER",L9="ER",L10="ER"),"ER",IF(OR(L7="?",L8="?",L9="?",L10="?"),"?",IF(AND(L7="NA",L8="NA",L9="NA",L10="NA"),"NA",SUM(L7,L8,L9,L10)/((L7&lt;&gt;"NA")*$F$7+(L8&lt;&gt;"NA")*$F$8+(L9&lt;&gt;"NA")*$F$9+(L10&lt;&gt;"NA")*$F$10)*$F6)))</f>
        <v/>
      </c>
      <c r="M6" s="4">
        <f>IF(OR(M7="ER",M8="ER",M9="ER",M10="ER"),"ER",IF(OR(M7="?",M8="?",M9="?",M10="?"),"?",IF(AND(M7="NA",M8="NA",M9="NA",M10="NA"),"NA",SUM(M7,M8,M9,M10)/((M7&lt;&gt;"NA")*$F$7+(M8&lt;&gt;"NA")*$F$8+(M9&lt;&gt;"NA")*$F$9+(M10&lt;&gt;"NA")*$F$10)*$F6)))</f>
        <v/>
      </c>
    </row>
    <row r="7">
      <c r="A7" t="inlineStr">
        <is>
          <t>UPD2a</t>
        </is>
      </c>
      <c r="B7">
        <f>VLOOKUP($A7,'PARASTATAL Questions'!$A:$J,3,0)&amp;""</f>
        <v/>
      </c>
      <c r="C7">
        <f>VLOOKUP($A7,'PARASTATAL Questions'!$A:$J,4,0)&amp;""</f>
        <v/>
      </c>
      <c r="D7">
        <f>VLOOKUP($A7,'PARASTATAL Questions'!$A:$J,5,0)&amp;""</f>
        <v/>
      </c>
      <c r="E7">
        <f>VLOOKUP($A7,'PARASTATAL Questions'!$A:$J,7,0)&amp;""</f>
        <v/>
      </c>
      <c r="F7">
        <f>VLOOKUP($A7,'PARASTATAL Questions'!$A:$J,6,0)</f>
        <v/>
      </c>
      <c r="G7">
        <f>IF($F7=0,"NA",IF($A7=INDIRECT("'"&amp;$A7&amp;"'!$B$1"),IF(VLOOKUP(G$1,INDIRECT("'"&amp;$A7&amp;"'!$A$12:$Z$19"),MATCH("Points (Auto-generate)",INDIRECT("'"&amp;$A7&amp;"'!$A$12:$Z$12"),0),0)="","?",VLOOKUP(G$1,INDIRECT("'"&amp;$A7&amp;"'!$A$12:$Z$19"),MATCH("Points (Auto-generate)",INDIRECT("'"&amp;$A7&amp;"'!$A$12:$Z$12"),0),0)),"ER"))</f>
        <v/>
      </c>
      <c r="H7">
        <f>IF($F7=0,"NA",IF($A7=INDIRECT("'"&amp;$A7&amp;"'!$B$1"),IF(VLOOKUP(H$1,INDIRECT("'"&amp;$A7&amp;"'!$A$12:$Z$19"),MATCH("Points (Auto-generate)",INDIRECT("'"&amp;$A7&amp;"'!$A$12:$Z$12"),0),0)="","?",VLOOKUP(H$1,INDIRECT("'"&amp;$A7&amp;"'!$A$12:$Z$19"),MATCH("Points (Auto-generate)",INDIRECT("'"&amp;$A7&amp;"'!$A$12:$Z$12"),0),0)),"ER"))</f>
        <v/>
      </c>
      <c r="I7">
        <f>IF($F7=0,"NA",IF($A7=INDIRECT("'"&amp;$A7&amp;"'!$B$1"),IF(VLOOKUP(I$1,INDIRECT("'"&amp;$A7&amp;"'!$A$12:$Z$19"),MATCH("Points (Auto-generate)",INDIRECT("'"&amp;$A7&amp;"'!$A$12:$Z$12"),0),0)="","?",VLOOKUP(I$1,INDIRECT("'"&amp;$A7&amp;"'!$A$12:$Z$19"),MATCH("Points (Auto-generate)",INDIRECT("'"&amp;$A7&amp;"'!$A$12:$Z$12"),0),0)),"ER"))</f>
        <v/>
      </c>
      <c r="J7">
        <f>IF($F7=0,"NA",IF($A7=INDIRECT("'"&amp;$A7&amp;"'!$B$1"),IF(VLOOKUP(J$1,INDIRECT("'"&amp;$A7&amp;"'!$A$12:$Z$19"),MATCH("Points (Auto-generate)",INDIRECT("'"&amp;$A7&amp;"'!$A$12:$Z$12"),0),0)="","?",VLOOKUP(J$1,INDIRECT("'"&amp;$A7&amp;"'!$A$12:$Z$19"),MATCH("Points (Auto-generate)",INDIRECT("'"&amp;$A7&amp;"'!$A$12:$Z$12"),0),0)),"ER"))</f>
        <v/>
      </c>
      <c r="K7">
        <f>IF($F7=0,"NA",IF($A7=INDIRECT("'"&amp;$A7&amp;"'!$B$1"),IF(VLOOKUP(K$1,INDIRECT("'"&amp;$A7&amp;"'!$A$12:$Z$19"),MATCH("Points (Auto-generate)",INDIRECT("'"&amp;$A7&amp;"'!$A$12:$Z$12"),0),0)="","?",VLOOKUP(K$1,INDIRECT("'"&amp;$A7&amp;"'!$A$12:$Z$19"),MATCH("Points (Auto-generate)",INDIRECT("'"&amp;$A7&amp;"'!$A$12:$Z$12"),0),0)),"ER"))</f>
        <v/>
      </c>
      <c r="L7">
        <f>IF($F7=0,"NA",IF($A7=INDIRECT("'"&amp;$A7&amp;"'!$B$1"),IF(VLOOKUP(L$1,INDIRECT("'"&amp;$A7&amp;"'!$A$12:$Z$19"),MATCH("Points (Auto-generate)",INDIRECT("'"&amp;$A7&amp;"'!$A$12:$Z$12"),0),0)="","?",VLOOKUP(L$1,INDIRECT("'"&amp;$A7&amp;"'!$A$12:$Z$19"),MATCH("Points (Auto-generate)",INDIRECT("'"&amp;$A7&amp;"'!$A$12:$Z$12"),0),0)),"ER"))</f>
        <v/>
      </c>
      <c r="M7">
        <f>IF($F7=0,"NA",IF($A7=INDIRECT("'"&amp;$A7&amp;"'!$B$1"),IF(VLOOKUP(M$1,INDIRECT("'"&amp;$A7&amp;"'!$A$12:$Z$19"),MATCH("Points (Auto-generate)",INDIRECT("'"&amp;$A7&amp;"'!$A$12:$Z$12"),0),0)="","?",VLOOKUP(M$1,INDIRECT("'"&amp;$A7&amp;"'!$A$12:$Z$19"),MATCH("Points (Auto-generate)",INDIRECT("'"&amp;$A7&amp;"'!$A$12:$Z$12"),0),0)),"ER"))</f>
        <v/>
      </c>
    </row>
    <row r="8">
      <c r="A8" t="inlineStr">
        <is>
          <t>UPD2b</t>
        </is>
      </c>
      <c r="B8">
        <f>VLOOKUP($A8,'PARASTATAL Questions'!$A:$J,3,0)&amp;""</f>
        <v/>
      </c>
      <c r="C8">
        <f>VLOOKUP($A8,'PARASTATAL Questions'!$A:$J,4,0)&amp;""</f>
        <v/>
      </c>
      <c r="D8">
        <f>VLOOKUP($A8,'PARASTATAL Questions'!$A:$J,5,0)&amp;""</f>
        <v/>
      </c>
      <c r="E8">
        <f>VLOOKUP($A8,'PARASTATAL Questions'!$A:$J,7,0)&amp;""</f>
        <v/>
      </c>
      <c r="F8">
        <f>VLOOKUP($A8,'PARASTATAL Questions'!$A:$J,6,0)</f>
        <v/>
      </c>
      <c r="G8">
        <f>IF($F8=0,"NA",IF($A8=INDIRECT("'"&amp;$A8&amp;"'!$B$1"),IF(VLOOKUP(G$1,INDIRECT("'"&amp;$A8&amp;"'!$A$12:$Z$19"),MATCH("Points (Auto-generate)",INDIRECT("'"&amp;$A8&amp;"'!$A$12:$Z$12"),0),0)="","?",VLOOKUP(G$1,INDIRECT("'"&amp;$A8&amp;"'!$A$12:$Z$19"),MATCH("Points (Auto-generate)",INDIRECT("'"&amp;$A8&amp;"'!$A$12:$Z$12"),0),0)),"ER"))</f>
        <v/>
      </c>
      <c r="H8">
        <f>IF($F8=0,"NA",IF($A8=INDIRECT("'"&amp;$A8&amp;"'!$B$1"),IF(VLOOKUP(H$1,INDIRECT("'"&amp;$A8&amp;"'!$A$12:$Z$19"),MATCH("Points (Auto-generate)",INDIRECT("'"&amp;$A8&amp;"'!$A$12:$Z$12"),0),0)="","?",VLOOKUP(H$1,INDIRECT("'"&amp;$A8&amp;"'!$A$12:$Z$19"),MATCH("Points (Auto-generate)",INDIRECT("'"&amp;$A8&amp;"'!$A$12:$Z$12"),0),0)),"ER"))</f>
        <v/>
      </c>
      <c r="I8">
        <f>IF($F8=0,"NA",IF($A8=INDIRECT("'"&amp;$A8&amp;"'!$B$1"),IF(VLOOKUP(I$1,INDIRECT("'"&amp;$A8&amp;"'!$A$12:$Z$19"),MATCH("Points (Auto-generate)",INDIRECT("'"&amp;$A8&amp;"'!$A$12:$Z$12"),0),0)="","?",VLOOKUP(I$1,INDIRECT("'"&amp;$A8&amp;"'!$A$12:$Z$19"),MATCH("Points (Auto-generate)",INDIRECT("'"&amp;$A8&amp;"'!$A$12:$Z$12"),0),0)),"ER"))</f>
        <v/>
      </c>
      <c r="J8">
        <f>IF($F8=0,"NA",IF($A8=INDIRECT("'"&amp;$A8&amp;"'!$B$1"),IF(VLOOKUP(J$1,INDIRECT("'"&amp;$A8&amp;"'!$A$12:$Z$19"),MATCH("Points (Auto-generate)",INDIRECT("'"&amp;$A8&amp;"'!$A$12:$Z$12"),0),0)="","?",VLOOKUP(J$1,INDIRECT("'"&amp;$A8&amp;"'!$A$12:$Z$19"),MATCH("Points (Auto-generate)",INDIRECT("'"&amp;$A8&amp;"'!$A$12:$Z$12"),0),0)),"ER"))</f>
        <v/>
      </c>
      <c r="K8">
        <f>IF($F8=0,"NA",IF($A8=INDIRECT("'"&amp;$A8&amp;"'!$B$1"),IF(VLOOKUP(K$1,INDIRECT("'"&amp;$A8&amp;"'!$A$12:$Z$19"),MATCH("Points (Auto-generate)",INDIRECT("'"&amp;$A8&amp;"'!$A$12:$Z$12"),0),0)="","?",VLOOKUP(K$1,INDIRECT("'"&amp;$A8&amp;"'!$A$12:$Z$19"),MATCH("Points (Auto-generate)",INDIRECT("'"&amp;$A8&amp;"'!$A$12:$Z$12"),0),0)),"ER"))</f>
        <v/>
      </c>
      <c r="L8">
        <f>IF($F8=0,"NA",IF($A8=INDIRECT("'"&amp;$A8&amp;"'!$B$1"),IF(VLOOKUP(L$1,INDIRECT("'"&amp;$A8&amp;"'!$A$12:$Z$19"),MATCH("Points (Auto-generate)",INDIRECT("'"&amp;$A8&amp;"'!$A$12:$Z$12"),0),0)="","?",VLOOKUP(L$1,INDIRECT("'"&amp;$A8&amp;"'!$A$12:$Z$19"),MATCH("Points (Auto-generate)",INDIRECT("'"&amp;$A8&amp;"'!$A$12:$Z$12"),0),0)),"ER"))</f>
        <v/>
      </c>
      <c r="M8">
        <f>IF($F8=0,"NA",IF($A8=INDIRECT("'"&amp;$A8&amp;"'!$B$1"),IF(VLOOKUP(M$1,INDIRECT("'"&amp;$A8&amp;"'!$A$12:$Z$19"),MATCH("Points (Auto-generate)",INDIRECT("'"&amp;$A8&amp;"'!$A$12:$Z$12"),0),0)="","?",VLOOKUP(M$1,INDIRECT("'"&amp;$A8&amp;"'!$A$12:$Z$19"),MATCH("Points (Auto-generate)",INDIRECT("'"&amp;$A8&amp;"'!$A$12:$Z$12"),0),0)),"ER"))</f>
        <v/>
      </c>
    </row>
    <row r="9">
      <c r="A9" t="inlineStr">
        <is>
          <t>UPD2c</t>
        </is>
      </c>
      <c r="B9">
        <f>VLOOKUP($A9,'PARASTATAL Questions'!$A:$J,3,0)&amp;""</f>
        <v/>
      </c>
      <c r="C9">
        <f>VLOOKUP($A9,'PARASTATAL Questions'!$A:$J,4,0)&amp;""</f>
        <v/>
      </c>
      <c r="D9">
        <f>VLOOKUP($A9,'PARASTATAL Questions'!$A:$J,5,0)&amp;""</f>
        <v/>
      </c>
      <c r="E9">
        <f>VLOOKUP($A9,'PARASTATAL Questions'!$A:$J,7,0)&amp;""</f>
        <v/>
      </c>
      <c r="F9">
        <f>VLOOKUP($A9,'PARASTATAL Questions'!$A:$J,6,0)</f>
        <v/>
      </c>
      <c r="G9">
        <f>IF($F9=0,"NA",IF($A9=INDIRECT("'"&amp;$A9&amp;"'!$B$1"),IF(VLOOKUP(G$1,INDIRECT("'"&amp;$A9&amp;"'!$A$12:$Z$19"),MATCH("Points (Auto-generate)",INDIRECT("'"&amp;$A9&amp;"'!$A$12:$Z$12"),0),0)="","?",VLOOKUP(G$1,INDIRECT("'"&amp;$A9&amp;"'!$A$12:$Z$19"),MATCH("Points (Auto-generate)",INDIRECT("'"&amp;$A9&amp;"'!$A$12:$Z$12"),0),0)),"ER"))</f>
        <v/>
      </c>
      <c r="H9">
        <f>IF($F9=0,"NA",IF($A9=INDIRECT("'"&amp;$A9&amp;"'!$B$1"),IF(VLOOKUP(H$1,INDIRECT("'"&amp;$A9&amp;"'!$A$12:$Z$19"),MATCH("Points (Auto-generate)",INDIRECT("'"&amp;$A9&amp;"'!$A$12:$Z$12"),0),0)="","?",VLOOKUP(H$1,INDIRECT("'"&amp;$A9&amp;"'!$A$12:$Z$19"),MATCH("Points (Auto-generate)",INDIRECT("'"&amp;$A9&amp;"'!$A$12:$Z$12"),0),0)),"ER"))</f>
        <v/>
      </c>
      <c r="I9">
        <f>IF($F9=0,"NA",IF($A9=INDIRECT("'"&amp;$A9&amp;"'!$B$1"),IF(VLOOKUP(I$1,INDIRECT("'"&amp;$A9&amp;"'!$A$12:$Z$19"),MATCH("Points (Auto-generate)",INDIRECT("'"&amp;$A9&amp;"'!$A$12:$Z$12"),0),0)="","?",VLOOKUP(I$1,INDIRECT("'"&amp;$A9&amp;"'!$A$12:$Z$19"),MATCH("Points (Auto-generate)",INDIRECT("'"&amp;$A9&amp;"'!$A$12:$Z$12"),0),0)),"ER"))</f>
        <v/>
      </c>
      <c r="J9">
        <f>IF($F9=0,"NA",IF($A9=INDIRECT("'"&amp;$A9&amp;"'!$B$1"),IF(VLOOKUP(J$1,INDIRECT("'"&amp;$A9&amp;"'!$A$12:$Z$19"),MATCH("Points (Auto-generate)",INDIRECT("'"&amp;$A9&amp;"'!$A$12:$Z$12"),0),0)="","?",VLOOKUP(J$1,INDIRECT("'"&amp;$A9&amp;"'!$A$12:$Z$19"),MATCH("Points (Auto-generate)",INDIRECT("'"&amp;$A9&amp;"'!$A$12:$Z$12"),0),0)),"ER"))</f>
        <v/>
      </c>
      <c r="K9">
        <f>IF($F9=0,"NA",IF($A9=INDIRECT("'"&amp;$A9&amp;"'!$B$1"),IF(VLOOKUP(K$1,INDIRECT("'"&amp;$A9&amp;"'!$A$12:$Z$19"),MATCH("Points (Auto-generate)",INDIRECT("'"&amp;$A9&amp;"'!$A$12:$Z$12"),0),0)="","?",VLOOKUP(K$1,INDIRECT("'"&amp;$A9&amp;"'!$A$12:$Z$19"),MATCH("Points (Auto-generate)",INDIRECT("'"&amp;$A9&amp;"'!$A$12:$Z$12"),0),0)),"ER"))</f>
        <v/>
      </c>
      <c r="L9">
        <f>IF($F9=0,"NA",IF($A9=INDIRECT("'"&amp;$A9&amp;"'!$B$1"),IF(VLOOKUP(L$1,INDIRECT("'"&amp;$A9&amp;"'!$A$12:$Z$19"),MATCH("Points (Auto-generate)",INDIRECT("'"&amp;$A9&amp;"'!$A$12:$Z$12"),0),0)="","?",VLOOKUP(L$1,INDIRECT("'"&amp;$A9&amp;"'!$A$12:$Z$19"),MATCH("Points (Auto-generate)",INDIRECT("'"&amp;$A9&amp;"'!$A$12:$Z$12"),0),0)),"ER"))</f>
        <v/>
      </c>
      <c r="M9">
        <f>IF($F9=0,"NA",IF($A9=INDIRECT("'"&amp;$A9&amp;"'!$B$1"),IF(VLOOKUP(M$1,INDIRECT("'"&amp;$A9&amp;"'!$A$12:$Z$19"),MATCH("Points (Auto-generate)",INDIRECT("'"&amp;$A9&amp;"'!$A$12:$Z$12"),0),0)="","?",VLOOKUP(M$1,INDIRECT("'"&amp;$A9&amp;"'!$A$12:$Z$19"),MATCH("Points (Auto-generate)",INDIRECT("'"&amp;$A9&amp;"'!$A$12:$Z$12"),0),0)),"ER"))</f>
        <v/>
      </c>
    </row>
    <row r="10">
      <c r="A10" t="inlineStr">
        <is>
          <t>UPD2d</t>
        </is>
      </c>
      <c r="B10">
        <f>VLOOKUP($A10,'PARASTATAL Questions'!$A:$J,3,0)&amp;""</f>
        <v/>
      </c>
      <c r="C10">
        <f>VLOOKUP($A10,'PARASTATAL Questions'!$A:$J,4,0)&amp;""</f>
        <v/>
      </c>
      <c r="D10">
        <f>VLOOKUP($A10,'PARASTATAL Questions'!$A:$J,5,0)&amp;""</f>
        <v/>
      </c>
      <c r="E10">
        <f>VLOOKUP($A10,'PARASTATAL Questions'!$A:$J,7,0)&amp;""</f>
        <v/>
      </c>
      <c r="F10">
        <f>VLOOKUP($A10,'PARASTATAL Questions'!$A:$J,6,0)</f>
        <v/>
      </c>
      <c r="G10">
        <f>IF($F10=0,"NA",IF($A10=INDIRECT("'"&amp;$A10&amp;"'!$B$1"),IF(VLOOKUP(G$1,INDIRECT("'"&amp;$A10&amp;"'!$A$12:$Z$19"),MATCH("Points (Auto-generate)",INDIRECT("'"&amp;$A10&amp;"'!$A$12:$Z$12"),0),0)="","?",VLOOKUP(G$1,INDIRECT("'"&amp;$A10&amp;"'!$A$12:$Z$19"),MATCH("Points (Auto-generate)",INDIRECT("'"&amp;$A10&amp;"'!$A$12:$Z$12"),0),0)),"ER"))</f>
        <v/>
      </c>
      <c r="H10">
        <f>IF($F10=0,"NA",IF($A10=INDIRECT("'"&amp;$A10&amp;"'!$B$1"),IF(VLOOKUP(H$1,INDIRECT("'"&amp;$A10&amp;"'!$A$12:$Z$19"),MATCH("Points (Auto-generate)",INDIRECT("'"&amp;$A10&amp;"'!$A$12:$Z$12"),0),0)="","?",VLOOKUP(H$1,INDIRECT("'"&amp;$A10&amp;"'!$A$12:$Z$19"),MATCH("Points (Auto-generate)",INDIRECT("'"&amp;$A10&amp;"'!$A$12:$Z$12"),0),0)),"ER"))</f>
        <v/>
      </c>
      <c r="I10">
        <f>IF($F10=0,"NA",IF($A10=INDIRECT("'"&amp;$A10&amp;"'!$B$1"),IF(VLOOKUP(I$1,INDIRECT("'"&amp;$A10&amp;"'!$A$12:$Z$19"),MATCH("Points (Auto-generate)",INDIRECT("'"&amp;$A10&amp;"'!$A$12:$Z$12"),0),0)="","?",VLOOKUP(I$1,INDIRECT("'"&amp;$A10&amp;"'!$A$12:$Z$19"),MATCH("Points (Auto-generate)",INDIRECT("'"&amp;$A10&amp;"'!$A$12:$Z$12"),0),0)),"ER"))</f>
        <v/>
      </c>
      <c r="J10">
        <f>IF($F10=0,"NA",IF($A10=INDIRECT("'"&amp;$A10&amp;"'!$B$1"),IF(VLOOKUP(J$1,INDIRECT("'"&amp;$A10&amp;"'!$A$12:$Z$19"),MATCH("Points (Auto-generate)",INDIRECT("'"&amp;$A10&amp;"'!$A$12:$Z$12"),0),0)="","?",VLOOKUP(J$1,INDIRECT("'"&amp;$A10&amp;"'!$A$12:$Z$19"),MATCH("Points (Auto-generate)",INDIRECT("'"&amp;$A10&amp;"'!$A$12:$Z$12"),0),0)),"ER"))</f>
        <v/>
      </c>
      <c r="K10">
        <f>IF($F10=0,"NA",IF($A10=INDIRECT("'"&amp;$A10&amp;"'!$B$1"),IF(VLOOKUP(K$1,INDIRECT("'"&amp;$A10&amp;"'!$A$12:$Z$19"),MATCH("Points (Auto-generate)",INDIRECT("'"&amp;$A10&amp;"'!$A$12:$Z$12"),0),0)="","?",VLOOKUP(K$1,INDIRECT("'"&amp;$A10&amp;"'!$A$12:$Z$19"),MATCH("Points (Auto-generate)",INDIRECT("'"&amp;$A10&amp;"'!$A$12:$Z$12"),0),0)),"ER"))</f>
        <v/>
      </c>
      <c r="L10">
        <f>IF($F10=0,"NA",IF($A10=INDIRECT("'"&amp;$A10&amp;"'!$B$1"),IF(VLOOKUP(L$1,INDIRECT("'"&amp;$A10&amp;"'!$A$12:$Z$19"),MATCH("Points (Auto-generate)",INDIRECT("'"&amp;$A10&amp;"'!$A$12:$Z$12"),0),0)="","?",VLOOKUP(L$1,INDIRECT("'"&amp;$A10&amp;"'!$A$12:$Z$19"),MATCH("Points (Auto-generate)",INDIRECT("'"&amp;$A10&amp;"'!$A$12:$Z$12"),0),0)),"ER"))</f>
        <v/>
      </c>
      <c r="M10">
        <f>IF($F10=0,"NA",IF($A10=INDIRECT("'"&amp;$A10&amp;"'!$B$1"),IF(VLOOKUP(M$1,INDIRECT("'"&amp;$A10&amp;"'!$A$12:$Z$19"),MATCH("Points (Auto-generate)",INDIRECT("'"&amp;$A10&amp;"'!$A$12:$Z$12"),0),0)="","?",VLOOKUP(M$1,INDIRECT("'"&amp;$A10&amp;"'!$A$12:$Z$19"),MATCH("Points (Auto-generate)",INDIRECT("'"&amp;$A10&amp;"'!$A$12:$Z$12"),0),0)),"ER"))</f>
        <v/>
      </c>
    </row>
    <row r="11">
      <c r="A11" s="4" t="inlineStr">
        <is>
          <t>UPD3</t>
        </is>
      </c>
      <c r="B11" s="4">
        <f>VLOOKUP($A11,'PARASTATAL Questions'!$A:$J,3,0)&amp;""</f>
        <v/>
      </c>
      <c r="C11" s="4">
        <f>VLOOKUP($A11,'PARASTATAL Questions'!$A:$J,4,0)&amp;""</f>
        <v/>
      </c>
      <c r="D11" s="4">
        <f>VLOOKUP($A11,'PARASTATAL Questions'!$A:$J,5,0)&amp;""</f>
        <v/>
      </c>
      <c r="E11" s="4">
        <f>VLOOKUP($A11,'PARASTATAL Questions'!$A:$J,7,0)&amp;""</f>
        <v/>
      </c>
      <c r="F11" s="4">
        <f>VLOOKUP($A11,'PARASTATAL Questions'!$A:$J,6,0)</f>
        <v/>
      </c>
      <c r="G11" s="4">
        <f>IF(OR(G12="ER",G13="ER"),"ER",IF(OR(G12="?",G13="?"),"?",IF(AND(G12="NA",G13="NA"),"NA",SUM(G12,G13)/((G12&lt;&gt;"NA")*$F$12+(G13&lt;&gt;"NA")*$F$13)*$F11)))</f>
        <v/>
      </c>
      <c r="H11" s="4">
        <f>IF(OR(H12="ER",H13="ER"),"ER",IF(OR(H12="?",H13="?"),"?",IF(AND(H12="NA",H13="NA"),"NA",SUM(H12,H13)/((H12&lt;&gt;"NA")*$F$12+(H13&lt;&gt;"NA")*$F$13)*$F11)))</f>
        <v/>
      </c>
      <c r="I11" s="4">
        <f>IF(OR(I12="ER",I13="ER"),"ER",IF(OR(I12="?",I13="?"),"?",IF(AND(I12="NA",I13="NA"),"NA",SUM(I12,I13)/((I12&lt;&gt;"NA")*$F$12+(I13&lt;&gt;"NA")*$F$13)*$F11)))</f>
        <v/>
      </c>
      <c r="J11" s="4">
        <f>IF(OR(J12="ER",J13="ER"),"ER",IF(OR(J12="?",J13="?"),"?",IF(AND(J12="NA",J13="NA"),"NA",SUM(J12,J13)/((J12&lt;&gt;"NA")*$F$12+(J13&lt;&gt;"NA")*$F$13)*$F11)))</f>
        <v/>
      </c>
      <c r="K11" s="4">
        <f>IF(OR(K12="ER",K13="ER"),"ER",IF(OR(K12="?",K13="?"),"?",IF(AND(K12="NA",K13="NA"),"NA",SUM(K12,K13)/((K12&lt;&gt;"NA")*$F$12+(K13&lt;&gt;"NA")*$F$13)*$F11)))</f>
        <v/>
      </c>
      <c r="L11" s="4">
        <f>IF(OR(L12="ER",L13="ER"),"ER",IF(OR(L12="?",L13="?"),"?",IF(AND(L12="NA",L13="NA"),"NA",SUM(L12,L13)/((L12&lt;&gt;"NA")*$F$12+(L13&lt;&gt;"NA")*$F$13)*$F11)))</f>
        <v/>
      </c>
      <c r="M11" s="4">
        <f>IF(OR(M12="ER",M13="ER"),"ER",IF(OR(M12="?",M13="?"),"?",IF(AND(M12="NA",M13="NA"),"NA",SUM(M12,M13)/((M12&lt;&gt;"NA")*$F$12+(M13&lt;&gt;"NA")*$F$13)*$F11)))</f>
        <v/>
      </c>
    </row>
    <row r="12">
      <c r="A12" t="inlineStr">
        <is>
          <t>UPD3a</t>
        </is>
      </c>
      <c r="B12">
        <f>VLOOKUP($A12,'PARASTATAL Questions'!$A:$J,3,0)&amp;""</f>
        <v/>
      </c>
      <c r="C12">
        <f>VLOOKUP($A12,'PARASTATAL Questions'!$A:$J,4,0)&amp;""</f>
        <v/>
      </c>
      <c r="D12">
        <f>VLOOKUP($A12,'PARASTATAL Questions'!$A:$J,5,0)&amp;""</f>
        <v/>
      </c>
      <c r="E12">
        <f>VLOOKUP($A12,'PARASTATAL Questions'!$A:$J,7,0)&amp;""</f>
        <v/>
      </c>
      <c r="F12">
        <f>VLOOKUP($A12,'PARASTATAL Questions'!$A:$J,6,0)</f>
        <v/>
      </c>
      <c r="G12">
        <f>IF($F12=0,"NA",IF($A12=INDIRECT("'"&amp;$A12&amp;"'!$B$1"),IF(VLOOKUP(G$1,INDIRECT("'"&amp;$A12&amp;"'!$A$12:$Z$19"),MATCH("Points (Auto-generate)",INDIRECT("'"&amp;$A12&amp;"'!$A$12:$Z$12"),0),0)="","?",VLOOKUP(G$1,INDIRECT("'"&amp;$A12&amp;"'!$A$12:$Z$19"),MATCH("Points (Auto-generate)",INDIRECT("'"&amp;$A12&amp;"'!$A$12:$Z$12"),0),0)),"ER"))</f>
        <v/>
      </c>
      <c r="H12">
        <f>IF($F12=0,"NA",IF($A12=INDIRECT("'"&amp;$A12&amp;"'!$B$1"),IF(VLOOKUP(H$1,INDIRECT("'"&amp;$A12&amp;"'!$A$12:$Z$19"),MATCH("Points (Auto-generate)",INDIRECT("'"&amp;$A12&amp;"'!$A$12:$Z$12"),0),0)="","?",VLOOKUP(H$1,INDIRECT("'"&amp;$A12&amp;"'!$A$12:$Z$19"),MATCH("Points (Auto-generate)",INDIRECT("'"&amp;$A12&amp;"'!$A$12:$Z$12"),0),0)),"ER"))</f>
        <v/>
      </c>
      <c r="I12">
        <f>IF($F12=0,"NA",IF($A12=INDIRECT("'"&amp;$A12&amp;"'!$B$1"),IF(VLOOKUP(I$1,INDIRECT("'"&amp;$A12&amp;"'!$A$12:$Z$19"),MATCH("Points (Auto-generate)",INDIRECT("'"&amp;$A12&amp;"'!$A$12:$Z$12"),0),0)="","?",VLOOKUP(I$1,INDIRECT("'"&amp;$A12&amp;"'!$A$12:$Z$19"),MATCH("Points (Auto-generate)",INDIRECT("'"&amp;$A12&amp;"'!$A$12:$Z$12"),0),0)),"ER"))</f>
        <v/>
      </c>
      <c r="J12">
        <f>IF($F12=0,"NA",IF($A12=INDIRECT("'"&amp;$A12&amp;"'!$B$1"),IF(VLOOKUP(J$1,INDIRECT("'"&amp;$A12&amp;"'!$A$12:$Z$19"),MATCH("Points (Auto-generate)",INDIRECT("'"&amp;$A12&amp;"'!$A$12:$Z$12"),0),0)="","?",VLOOKUP(J$1,INDIRECT("'"&amp;$A12&amp;"'!$A$12:$Z$19"),MATCH("Points (Auto-generate)",INDIRECT("'"&amp;$A12&amp;"'!$A$12:$Z$12"),0),0)),"ER"))</f>
        <v/>
      </c>
      <c r="K12">
        <f>IF($F12=0,"NA",IF($A12=INDIRECT("'"&amp;$A12&amp;"'!$B$1"),IF(VLOOKUP(K$1,INDIRECT("'"&amp;$A12&amp;"'!$A$12:$Z$19"),MATCH("Points (Auto-generate)",INDIRECT("'"&amp;$A12&amp;"'!$A$12:$Z$12"),0),0)="","?",VLOOKUP(K$1,INDIRECT("'"&amp;$A12&amp;"'!$A$12:$Z$19"),MATCH("Points (Auto-generate)",INDIRECT("'"&amp;$A12&amp;"'!$A$12:$Z$12"),0),0)),"ER"))</f>
        <v/>
      </c>
      <c r="L12">
        <f>IF($F12=0,"NA",IF($A12=INDIRECT("'"&amp;$A12&amp;"'!$B$1"),IF(VLOOKUP(L$1,INDIRECT("'"&amp;$A12&amp;"'!$A$12:$Z$19"),MATCH("Points (Auto-generate)",INDIRECT("'"&amp;$A12&amp;"'!$A$12:$Z$12"),0),0)="","?",VLOOKUP(L$1,INDIRECT("'"&amp;$A12&amp;"'!$A$12:$Z$19"),MATCH("Points (Auto-generate)",INDIRECT("'"&amp;$A12&amp;"'!$A$12:$Z$12"),0),0)),"ER"))</f>
        <v/>
      </c>
      <c r="M12">
        <f>IF($F12=0,"NA",IF($A12=INDIRECT("'"&amp;$A12&amp;"'!$B$1"),IF(VLOOKUP(M$1,INDIRECT("'"&amp;$A12&amp;"'!$A$12:$Z$19"),MATCH("Points (Auto-generate)",INDIRECT("'"&amp;$A12&amp;"'!$A$12:$Z$12"),0),0)="","?",VLOOKUP(M$1,INDIRECT("'"&amp;$A12&amp;"'!$A$12:$Z$19"),MATCH("Points (Auto-generate)",INDIRECT("'"&amp;$A12&amp;"'!$A$12:$Z$12"),0),0)),"ER"))</f>
        <v/>
      </c>
    </row>
    <row r="13">
      <c r="A13" t="inlineStr">
        <is>
          <t>UPD3b</t>
        </is>
      </c>
      <c r="B13">
        <f>VLOOKUP($A13,'PARASTATAL Questions'!$A:$J,3,0)&amp;""</f>
        <v/>
      </c>
      <c r="C13">
        <f>VLOOKUP($A13,'PARASTATAL Questions'!$A:$J,4,0)&amp;""</f>
        <v/>
      </c>
      <c r="D13">
        <f>VLOOKUP($A13,'PARASTATAL Questions'!$A:$J,5,0)&amp;""</f>
        <v/>
      </c>
      <c r="E13">
        <f>VLOOKUP($A13,'PARASTATAL Questions'!$A:$J,7,0)&amp;""</f>
        <v/>
      </c>
      <c r="F13">
        <f>VLOOKUP($A13,'PARASTATAL Questions'!$A:$J,6,0)</f>
        <v/>
      </c>
      <c r="G13">
        <f>IF($F13=0,"NA",IF($A13=INDIRECT("'"&amp;$A13&amp;"'!$B$1"),IF(VLOOKUP(G$1,INDIRECT("'"&amp;$A13&amp;"'!$A$12:$Z$19"),MATCH("Points (Auto-generate)",INDIRECT("'"&amp;$A13&amp;"'!$A$12:$Z$12"),0),0)="","?",VLOOKUP(G$1,INDIRECT("'"&amp;$A13&amp;"'!$A$12:$Z$19"),MATCH("Points (Auto-generate)",INDIRECT("'"&amp;$A13&amp;"'!$A$12:$Z$12"),0),0)),"ER"))</f>
        <v/>
      </c>
      <c r="H13">
        <f>IF($F13=0,"NA",IF($A13=INDIRECT("'"&amp;$A13&amp;"'!$B$1"),IF(VLOOKUP(H$1,INDIRECT("'"&amp;$A13&amp;"'!$A$12:$Z$19"),MATCH("Points (Auto-generate)",INDIRECT("'"&amp;$A13&amp;"'!$A$12:$Z$12"),0),0)="","?",VLOOKUP(H$1,INDIRECT("'"&amp;$A13&amp;"'!$A$12:$Z$19"),MATCH("Points (Auto-generate)",INDIRECT("'"&amp;$A13&amp;"'!$A$12:$Z$12"),0),0)),"ER"))</f>
        <v/>
      </c>
      <c r="I13">
        <f>IF($F13=0,"NA",IF($A13=INDIRECT("'"&amp;$A13&amp;"'!$B$1"),IF(VLOOKUP(I$1,INDIRECT("'"&amp;$A13&amp;"'!$A$12:$Z$19"),MATCH("Points (Auto-generate)",INDIRECT("'"&amp;$A13&amp;"'!$A$12:$Z$12"),0),0)="","?",VLOOKUP(I$1,INDIRECT("'"&amp;$A13&amp;"'!$A$12:$Z$19"),MATCH("Points (Auto-generate)",INDIRECT("'"&amp;$A13&amp;"'!$A$12:$Z$12"),0),0)),"ER"))</f>
        <v/>
      </c>
      <c r="J13">
        <f>IF($F13=0,"NA",IF($A13=INDIRECT("'"&amp;$A13&amp;"'!$B$1"),IF(VLOOKUP(J$1,INDIRECT("'"&amp;$A13&amp;"'!$A$12:$Z$19"),MATCH("Points (Auto-generate)",INDIRECT("'"&amp;$A13&amp;"'!$A$12:$Z$12"),0),0)="","?",VLOOKUP(J$1,INDIRECT("'"&amp;$A13&amp;"'!$A$12:$Z$19"),MATCH("Points (Auto-generate)",INDIRECT("'"&amp;$A13&amp;"'!$A$12:$Z$12"),0),0)),"ER"))</f>
        <v/>
      </c>
      <c r="K13">
        <f>IF($F13=0,"NA",IF($A13=INDIRECT("'"&amp;$A13&amp;"'!$B$1"),IF(VLOOKUP(K$1,INDIRECT("'"&amp;$A13&amp;"'!$A$12:$Z$19"),MATCH("Points (Auto-generate)",INDIRECT("'"&amp;$A13&amp;"'!$A$12:$Z$12"),0),0)="","?",VLOOKUP(K$1,INDIRECT("'"&amp;$A13&amp;"'!$A$12:$Z$19"),MATCH("Points (Auto-generate)",INDIRECT("'"&amp;$A13&amp;"'!$A$12:$Z$12"),0),0)),"ER"))</f>
        <v/>
      </c>
      <c r="L13">
        <f>IF($F13=0,"NA",IF($A13=INDIRECT("'"&amp;$A13&amp;"'!$B$1"),IF(VLOOKUP(L$1,INDIRECT("'"&amp;$A13&amp;"'!$A$12:$Z$19"),MATCH("Points (Auto-generate)",INDIRECT("'"&amp;$A13&amp;"'!$A$12:$Z$12"),0),0)="","?",VLOOKUP(L$1,INDIRECT("'"&amp;$A13&amp;"'!$A$12:$Z$19"),MATCH("Points (Auto-generate)",INDIRECT("'"&amp;$A13&amp;"'!$A$12:$Z$12"),0),0)),"ER"))</f>
        <v/>
      </c>
      <c r="M13">
        <f>IF($F13=0,"NA",IF($A13=INDIRECT("'"&amp;$A13&amp;"'!$B$1"),IF(VLOOKUP(M$1,INDIRECT("'"&amp;$A13&amp;"'!$A$12:$Z$19"),MATCH("Points (Auto-generate)",INDIRECT("'"&amp;$A13&amp;"'!$A$12:$Z$12"),0),0)="","?",VLOOKUP(M$1,INDIRECT("'"&amp;$A13&amp;"'!$A$12:$Z$19"),MATCH("Points (Auto-generate)",INDIRECT("'"&amp;$A13&amp;"'!$A$12:$Z$12"),0),0)),"ER"))</f>
        <v/>
      </c>
    </row>
    <row r="14">
      <c r="A14" s="4" t="inlineStr">
        <is>
          <t>UPD4</t>
        </is>
      </c>
      <c r="B14" s="4">
        <f>VLOOKUP($A14,'PARASTATAL Questions'!$A:$J,3,0)&amp;""</f>
        <v/>
      </c>
      <c r="C14" s="4">
        <f>VLOOKUP($A14,'PARASTATAL Questions'!$A:$J,4,0)&amp;""</f>
        <v/>
      </c>
      <c r="D14" s="4">
        <f>VLOOKUP($A14,'PARASTATAL Questions'!$A:$J,5,0)&amp;""</f>
        <v/>
      </c>
      <c r="E14" s="4">
        <f>VLOOKUP($A14,'PARASTATAL Questions'!$A:$J,7,0)&amp;""</f>
        <v/>
      </c>
      <c r="F14" s="4">
        <f>VLOOKUP($A14,'PARASTATAL Questions'!$A:$J,6,0)</f>
        <v/>
      </c>
      <c r="G14" s="4">
        <f>IF(OR(G15="ER",G16="ER"),"ER",IF(OR(G15="?",G16="?"),"?",IF(AND(G15="NA",G16="NA"),"NA",SUM(G15,G16)/((G15&lt;&gt;"NA")*$F$15+(G16&lt;&gt;"NA")*$F$16)*$F14)))</f>
        <v/>
      </c>
      <c r="H14" s="4">
        <f>IF(OR(H15="ER",H16="ER"),"ER",IF(OR(H15="?",H16="?"),"?",IF(AND(H15="NA",H16="NA"),"NA",SUM(H15,H16)/((H15&lt;&gt;"NA")*$F$15+(H16&lt;&gt;"NA")*$F$16)*$F14)))</f>
        <v/>
      </c>
      <c r="I14" s="4">
        <f>IF(OR(I15="ER",I16="ER"),"ER",IF(OR(I15="?",I16="?"),"?",IF(AND(I15="NA",I16="NA"),"NA",SUM(I15,I16)/((I15&lt;&gt;"NA")*$F$15+(I16&lt;&gt;"NA")*$F$16)*$F14)))</f>
        <v/>
      </c>
      <c r="J14" s="4">
        <f>IF(OR(J15="ER",J16="ER"),"ER",IF(OR(J15="?",J16="?"),"?",IF(AND(J15="NA",J16="NA"),"NA",SUM(J15,J16)/((J15&lt;&gt;"NA")*$F$15+(J16&lt;&gt;"NA")*$F$16)*$F14)))</f>
        <v/>
      </c>
      <c r="K14" s="4">
        <f>IF(OR(K15="ER",K16="ER"),"ER",IF(OR(K15="?",K16="?"),"?",IF(AND(K15="NA",K16="NA"),"NA",SUM(K15,K16)/((K15&lt;&gt;"NA")*$F$15+(K16&lt;&gt;"NA")*$F$16)*$F14)))</f>
        <v/>
      </c>
      <c r="L14" s="4">
        <f>IF(OR(L15="ER",L16="ER"),"ER",IF(OR(L15="?",L16="?"),"?",IF(AND(L15="NA",L16="NA"),"NA",SUM(L15,L16)/((L15&lt;&gt;"NA")*$F$15+(L16&lt;&gt;"NA")*$F$16)*$F14)))</f>
        <v/>
      </c>
      <c r="M14" s="4">
        <f>IF(OR(M15="ER",M16="ER"),"ER",IF(OR(M15="?",M16="?"),"?",IF(AND(M15="NA",M16="NA"),"NA",SUM(M15,M16)/((M15&lt;&gt;"NA")*$F$15+(M16&lt;&gt;"NA")*$F$16)*$F14)))</f>
        <v/>
      </c>
    </row>
    <row r="15">
      <c r="A15" t="inlineStr">
        <is>
          <t>UPD4a</t>
        </is>
      </c>
      <c r="B15">
        <f>VLOOKUP($A15,'PARASTATAL Questions'!$A:$J,3,0)&amp;""</f>
        <v/>
      </c>
      <c r="C15">
        <f>VLOOKUP($A15,'PARASTATAL Questions'!$A:$J,4,0)&amp;""</f>
        <v/>
      </c>
      <c r="D15">
        <f>VLOOKUP($A15,'PARASTATAL Questions'!$A:$J,5,0)&amp;""</f>
        <v/>
      </c>
      <c r="E15">
        <f>VLOOKUP($A15,'PARASTATAL Questions'!$A:$J,7,0)&amp;""</f>
        <v/>
      </c>
      <c r="F15">
        <f>VLOOKUP($A15,'PARASTATAL Questions'!$A:$J,6,0)</f>
        <v/>
      </c>
      <c r="G15">
        <f>IF($F15=0,"NA",IF($A15=INDIRECT("'"&amp;$A15&amp;"'!$B$1"),IF(VLOOKUP(G$1,INDIRECT("'"&amp;$A15&amp;"'!$A$12:$Z$19"),MATCH("Points (Auto-generate)",INDIRECT("'"&amp;$A15&amp;"'!$A$12:$Z$12"),0),0)="","?",VLOOKUP(G$1,INDIRECT("'"&amp;$A15&amp;"'!$A$12:$Z$19"),MATCH("Points (Auto-generate)",INDIRECT("'"&amp;$A15&amp;"'!$A$12:$Z$12"),0),0)),"ER"))</f>
        <v/>
      </c>
      <c r="H15">
        <f>IF($F15=0,"NA",IF($A15=INDIRECT("'"&amp;$A15&amp;"'!$B$1"),IF(VLOOKUP(H$1,INDIRECT("'"&amp;$A15&amp;"'!$A$12:$Z$19"),MATCH("Points (Auto-generate)",INDIRECT("'"&amp;$A15&amp;"'!$A$12:$Z$12"),0),0)="","?",VLOOKUP(H$1,INDIRECT("'"&amp;$A15&amp;"'!$A$12:$Z$19"),MATCH("Points (Auto-generate)",INDIRECT("'"&amp;$A15&amp;"'!$A$12:$Z$12"),0),0)),"ER"))</f>
        <v/>
      </c>
      <c r="I15">
        <f>IF($F15=0,"NA",IF($A15=INDIRECT("'"&amp;$A15&amp;"'!$B$1"),IF(VLOOKUP(I$1,INDIRECT("'"&amp;$A15&amp;"'!$A$12:$Z$19"),MATCH("Points (Auto-generate)",INDIRECT("'"&amp;$A15&amp;"'!$A$12:$Z$12"),0),0)="","?",VLOOKUP(I$1,INDIRECT("'"&amp;$A15&amp;"'!$A$12:$Z$19"),MATCH("Points (Auto-generate)",INDIRECT("'"&amp;$A15&amp;"'!$A$12:$Z$12"),0),0)),"ER"))</f>
        <v/>
      </c>
      <c r="J15">
        <f>IF($F15=0,"NA",IF($A15=INDIRECT("'"&amp;$A15&amp;"'!$B$1"),IF(VLOOKUP(J$1,INDIRECT("'"&amp;$A15&amp;"'!$A$12:$Z$19"),MATCH("Points (Auto-generate)",INDIRECT("'"&amp;$A15&amp;"'!$A$12:$Z$12"),0),0)="","?",VLOOKUP(J$1,INDIRECT("'"&amp;$A15&amp;"'!$A$12:$Z$19"),MATCH("Points (Auto-generate)",INDIRECT("'"&amp;$A15&amp;"'!$A$12:$Z$12"),0),0)),"ER"))</f>
        <v/>
      </c>
      <c r="K15">
        <f>IF($F15=0,"NA",IF($A15=INDIRECT("'"&amp;$A15&amp;"'!$B$1"),IF(VLOOKUP(K$1,INDIRECT("'"&amp;$A15&amp;"'!$A$12:$Z$19"),MATCH("Points (Auto-generate)",INDIRECT("'"&amp;$A15&amp;"'!$A$12:$Z$12"),0),0)="","?",VLOOKUP(K$1,INDIRECT("'"&amp;$A15&amp;"'!$A$12:$Z$19"),MATCH("Points (Auto-generate)",INDIRECT("'"&amp;$A15&amp;"'!$A$12:$Z$12"),0),0)),"ER"))</f>
        <v/>
      </c>
      <c r="L15">
        <f>IF($F15=0,"NA",IF($A15=INDIRECT("'"&amp;$A15&amp;"'!$B$1"),IF(VLOOKUP(L$1,INDIRECT("'"&amp;$A15&amp;"'!$A$12:$Z$19"),MATCH("Points (Auto-generate)",INDIRECT("'"&amp;$A15&amp;"'!$A$12:$Z$12"),0),0)="","?",VLOOKUP(L$1,INDIRECT("'"&amp;$A15&amp;"'!$A$12:$Z$19"),MATCH("Points (Auto-generate)",INDIRECT("'"&amp;$A15&amp;"'!$A$12:$Z$12"),0),0)),"ER"))</f>
        <v/>
      </c>
      <c r="M15">
        <f>IF($F15=0,"NA",IF($A15=INDIRECT("'"&amp;$A15&amp;"'!$B$1"),IF(VLOOKUP(M$1,INDIRECT("'"&amp;$A15&amp;"'!$A$12:$Z$19"),MATCH("Points (Auto-generate)",INDIRECT("'"&amp;$A15&amp;"'!$A$12:$Z$12"),0),0)="","?",VLOOKUP(M$1,INDIRECT("'"&amp;$A15&amp;"'!$A$12:$Z$19"),MATCH("Points (Auto-generate)",INDIRECT("'"&amp;$A15&amp;"'!$A$12:$Z$12"),0),0)),"ER"))</f>
        <v/>
      </c>
    </row>
    <row r="16">
      <c r="A16" t="inlineStr">
        <is>
          <t>UPD4b</t>
        </is>
      </c>
      <c r="B16">
        <f>VLOOKUP($A16,'PARASTATAL Questions'!$A:$J,3,0)&amp;""</f>
        <v/>
      </c>
      <c r="C16">
        <f>VLOOKUP($A16,'PARASTATAL Questions'!$A:$J,4,0)&amp;""</f>
        <v/>
      </c>
      <c r="D16">
        <f>VLOOKUP($A16,'PARASTATAL Questions'!$A:$J,5,0)&amp;""</f>
        <v/>
      </c>
      <c r="E16">
        <f>VLOOKUP($A16,'PARASTATAL Questions'!$A:$J,7,0)&amp;""</f>
        <v/>
      </c>
      <c r="F16">
        <f>VLOOKUP($A16,'PARASTATAL Questions'!$A:$J,6,0)</f>
        <v/>
      </c>
      <c r="G16">
        <f>IF($F16=0,"NA",IF($A16=INDIRECT("'"&amp;$A16&amp;"'!$B$1"),IF(VLOOKUP(G$1,INDIRECT("'"&amp;$A16&amp;"'!$A$12:$Z$19"),MATCH("Points (Auto-generate)",INDIRECT("'"&amp;$A16&amp;"'!$A$12:$Z$12"),0),0)="","?",VLOOKUP(G$1,INDIRECT("'"&amp;$A16&amp;"'!$A$12:$Z$19"),MATCH("Points (Auto-generate)",INDIRECT("'"&amp;$A16&amp;"'!$A$12:$Z$12"),0),0)),"ER"))</f>
        <v/>
      </c>
      <c r="H16">
        <f>IF($F16=0,"NA",IF($A16=INDIRECT("'"&amp;$A16&amp;"'!$B$1"),IF(VLOOKUP(H$1,INDIRECT("'"&amp;$A16&amp;"'!$A$12:$Z$19"),MATCH("Points (Auto-generate)",INDIRECT("'"&amp;$A16&amp;"'!$A$12:$Z$12"),0),0)="","?",VLOOKUP(H$1,INDIRECT("'"&amp;$A16&amp;"'!$A$12:$Z$19"),MATCH("Points (Auto-generate)",INDIRECT("'"&amp;$A16&amp;"'!$A$12:$Z$12"),0),0)),"ER"))</f>
        <v/>
      </c>
      <c r="I16">
        <f>IF($F16=0,"NA",IF($A16=INDIRECT("'"&amp;$A16&amp;"'!$B$1"),IF(VLOOKUP(I$1,INDIRECT("'"&amp;$A16&amp;"'!$A$12:$Z$19"),MATCH("Points (Auto-generate)",INDIRECT("'"&amp;$A16&amp;"'!$A$12:$Z$12"),0),0)="","?",VLOOKUP(I$1,INDIRECT("'"&amp;$A16&amp;"'!$A$12:$Z$19"),MATCH("Points (Auto-generate)",INDIRECT("'"&amp;$A16&amp;"'!$A$12:$Z$12"),0),0)),"ER"))</f>
        <v/>
      </c>
      <c r="J16">
        <f>IF($F16=0,"NA",IF($A16=INDIRECT("'"&amp;$A16&amp;"'!$B$1"),IF(VLOOKUP(J$1,INDIRECT("'"&amp;$A16&amp;"'!$A$12:$Z$19"),MATCH("Points (Auto-generate)",INDIRECT("'"&amp;$A16&amp;"'!$A$12:$Z$12"),0),0)="","?",VLOOKUP(J$1,INDIRECT("'"&amp;$A16&amp;"'!$A$12:$Z$19"),MATCH("Points (Auto-generate)",INDIRECT("'"&amp;$A16&amp;"'!$A$12:$Z$12"),0),0)),"ER"))</f>
        <v/>
      </c>
      <c r="K16">
        <f>IF($F16=0,"NA",IF($A16=INDIRECT("'"&amp;$A16&amp;"'!$B$1"),IF(VLOOKUP(K$1,INDIRECT("'"&amp;$A16&amp;"'!$A$12:$Z$19"),MATCH("Points (Auto-generate)",INDIRECT("'"&amp;$A16&amp;"'!$A$12:$Z$12"),0),0)="","?",VLOOKUP(K$1,INDIRECT("'"&amp;$A16&amp;"'!$A$12:$Z$19"),MATCH("Points (Auto-generate)",INDIRECT("'"&amp;$A16&amp;"'!$A$12:$Z$12"),0),0)),"ER"))</f>
        <v/>
      </c>
      <c r="L16">
        <f>IF($F16=0,"NA",IF($A16=INDIRECT("'"&amp;$A16&amp;"'!$B$1"),IF(VLOOKUP(L$1,INDIRECT("'"&amp;$A16&amp;"'!$A$12:$Z$19"),MATCH("Points (Auto-generate)",INDIRECT("'"&amp;$A16&amp;"'!$A$12:$Z$12"),0),0)="","?",VLOOKUP(L$1,INDIRECT("'"&amp;$A16&amp;"'!$A$12:$Z$19"),MATCH("Points (Auto-generate)",INDIRECT("'"&amp;$A16&amp;"'!$A$12:$Z$12"),0),0)),"ER"))</f>
        <v/>
      </c>
      <c r="M16">
        <f>IF($F16=0,"NA",IF($A16=INDIRECT("'"&amp;$A16&amp;"'!$B$1"),IF(VLOOKUP(M$1,INDIRECT("'"&amp;$A16&amp;"'!$A$12:$Z$19"),MATCH("Points (Auto-generate)",INDIRECT("'"&amp;$A16&amp;"'!$A$12:$Z$12"),0),0)="","?",VLOOKUP(M$1,INDIRECT("'"&amp;$A16&amp;"'!$A$12:$Z$19"),MATCH("Points (Auto-generate)",INDIRECT("'"&amp;$A16&amp;"'!$A$12:$Z$12"),0),0)),"ER"))</f>
        <v/>
      </c>
    </row>
    <row r="17">
      <c r="A17" s="4" t="inlineStr">
        <is>
          <t>UPD5</t>
        </is>
      </c>
      <c r="B17" s="4">
        <f>VLOOKUP($A17,'PARASTATAL Questions'!$A:$J,3,0)&amp;""</f>
        <v/>
      </c>
      <c r="C17" s="4">
        <f>VLOOKUP($A17,'PARASTATAL Questions'!$A:$J,4,0)&amp;""</f>
        <v/>
      </c>
      <c r="D17" s="4">
        <f>VLOOKUP($A17,'PARASTATAL Questions'!$A:$J,5,0)&amp;""</f>
        <v/>
      </c>
      <c r="E17" s="4">
        <f>VLOOKUP($A17,'PARASTATAL Questions'!$A:$J,7,0)&amp;""</f>
        <v/>
      </c>
      <c r="F17" s="4">
        <f>VLOOKUP($A17,'PARASTATAL Questions'!$A:$J,6,0)</f>
        <v/>
      </c>
      <c r="G17" s="4">
        <f>IF(OR(G18="ER",G19="ER"),"ER",IF(OR(G18="?",G19="?"),"?",IF(AND(G18="NA",G19="NA"),"NA",SUM(G18,G19)/((G18&lt;&gt;"NA")*$F$18+(G19&lt;&gt;"NA")*$F$19)*$F17)))</f>
        <v/>
      </c>
      <c r="H17" s="4">
        <f>IF(OR(H18="ER",H19="ER"),"ER",IF(OR(H18="?",H19="?"),"?",IF(AND(H18="NA",H19="NA"),"NA",SUM(H18,H19)/((H18&lt;&gt;"NA")*$F$18+(H19&lt;&gt;"NA")*$F$19)*$F17)))</f>
        <v/>
      </c>
      <c r="I17" s="4">
        <f>IF(OR(I18="ER",I19="ER"),"ER",IF(OR(I18="?",I19="?"),"?",IF(AND(I18="NA",I19="NA"),"NA",SUM(I18,I19)/((I18&lt;&gt;"NA")*$F$18+(I19&lt;&gt;"NA")*$F$19)*$F17)))</f>
        <v/>
      </c>
      <c r="J17" s="4">
        <f>IF(OR(J18="ER",J19="ER"),"ER",IF(OR(J18="?",J19="?"),"?",IF(AND(J18="NA",J19="NA"),"NA",SUM(J18,J19)/((J18&lt;&gt;"NA")*$F$18+(J19&lt;&gt;"NA")*$F$19)*$F17)))</f>
        <v/>
      </c>
      <c r="K17" s="4">
        <f>IF(OR(K18="ER",K19="ER"),"ER",IF(OR(K18="?",K19="?"),"?",IF(AND(K18="NA",K19="NA"),"NA",SUM(K18,K19)/((K18&lt;&gt;"NA")*$F$18+(K19&lt;&gt;"NA")*$F$19)*$F17)))</f>
        <v/>
      </c>
      <c r="L17" s="4">
        <f>IF(OR(L18="ER",L19="ER"),"ER",IF(OR(L18="?",L19="?"),"?",IF(AND(L18="NA",L19="NA"),"NA",SUM(L18,L19)/((L18&lt;&gt;"NA")*$F$18+(L19&lt;&gt;"NA")*$F$19)*$F17)))</f>
        <v/>
      </c>
      <c r="M17" s="4">
        <f>IF(OR(M18="ER",M19="ER"),"ER",IF(OR(M18="?",M19="?"),"?",IF(AND(M18="NA",M19="NA"),"NA",SUM(M18,M19)/((M18&lt;&gt;"NA")*$F$18+(M19&lt;&gt;"NA")*$F$19)*$F17)))</f>
        <v/>
      </c>
    </row>
    <row r="18">
      <c r="A18" t="inlineStr">
        <is>
          <t>UPD5a</t>
        </is>
      </c>
      <c r="B18">
        <f>VLOOKUP($A18,'PARASTATAL Questions'!$A:$J,3,0)&amp;""</f>
        <v/>
      </c>
      <c r="C18">
        <f>VLOOKUP($A18,'PARASTATAL Questions'!$A:$J,4,0)&amp;""</f>
        <v/>
      </c>
      <c r="D18">
        <f>VLOOKUP($A18,'PARASTATAL Questions'!$A:$J,5,0)&amp;""</f>
        <v/>
      </c>
      <c r="E18">
        <f>VLOOKUP($A18,'PARASTATAL Questions'!$A:$J,7,0)&amp;""</f>
        <v/>
      </c>
      <c r="F18">
        <f>VLOOKUP($A18,'PARASTATAL Questions'!$A:$J,6,0)</f>
        <v/>
      </c>
      <c r="G18">
        <f>IF($F18=0,"NA",IF($A18=INDIRECT("'"&amp;$A18&amp;"'!$B$1"),IF(VLOOKUP(G$1,INDIRECT("'"&amp;$A18&amp;"'!$A$12:$Z$19"),MATCH("Points (Auto-generate)",INDIRECT("'"&amp;$A18&amp;"'!$A$12:$Z$12"),0),0)="","?",VLOOKUP(G$1,INDIRECT("'"&amp;$A18&amp;"'!$A$12:$Z$19"),MATCH("Points (Auto-generate)",INDIRECT("'"&amp;$A18&amp;"'!$A$12:$Z$12"),0),0)),"ER"))</f>
        <v/>
      </c>
      <c r="H18">
        <f>IF($F18=0,"NA",IF($A18=INDIRECT("'"&amp;$A18&amp;"'!$B$1"),IF(VLOOKUP(H$1,INDIRECT("'"&amp;$A18&amp;"'!$A$12:$Z$19"),MATCH("Points (Auto-generate)",INDIRECT("'"&amp;$A18&amp;"'!$A$12:$Z$12"),0),0)="","?",VLOOKUP(H$1,INDIRECT("'"&amp;$A18&amp;"'!$A$12:$Z$19"),MATCH("Points (Auto-generate)",INDIRECT("'"&amp;$A18&amp;"'!$A$12:$Z$12"),0),0)),"ER"))</f>
        <v/>
      </c>
      <c r="I18">
        <f>IF($F18=0,"NA",IF($A18=INDIRECT("'"&amp;$A18&amp;"'!$B$1"),IF(VLOOKUP(I$1,INDIRECT("'"&amp;$A18&amp;"'!$A$12:$Z$19"),MATCH("Points (Auto-generate)",INDIRECT("'"&amp;$A18&amp;"'!$A$12:$Z$12"),0),0)="","?",VLOOKUP(I$1,INDIRECT("'"&amp;$A18&amp;"'!$A$12:$Z$19"),MATCH("Points (Auto-generate)",INDIRECT("'"&amp;$A18&amp;"'!$A$12:$Z$12"),0),0)),"ER"))</f>
        <v/>
      </c>
      <c r="J18">
        <f>IF($F18=0,"NA",IF($A18=INDIRECT("'"&amp;$A18&amp;"'!$B$1"),IF(VLOOKUP(J$1,INDIRECT("'"&amp;$A18&amp;"'!$A$12:$Z$19"),MATCH("Points (Auto-generate)",INDIRECT("'"&amp;$A18&amp;"'!$A$12:$Z$12"),0),0)="","?",VLOOKUP(J$1,INDIRECT("'"&amp;$A18&amp;"'!$A$12:$Z$19"),MATCH("Points (Auto-generate)",INDIRECT("'"&amp;$A18&amp;"'!$A$12:$Z$12"),0),0)),"ER"))</f>
        <v/>
      </c>
      <c r="K18">
        <f>IF($F18=0,"NA",IF($A18=INDIRECT("'"&amp;$A18&amp;"'!$B$1"),IF(VLOOKUP(K$1,INDIRECT("'"&amp;$A18&amp;"'!$A$12:$Z$19"),MATCH("Points (Auto-generate)",INDIRECT("'"&amp;$A18&amp;"'!$A$12:$Z$12"),0),0)="","?",VLOOKUP(K$1,INDIRECT("'"&amp;$A18&amp;"'!$A$12:$Z$19"),MATCH("Points (Auto-generate)",INDIRECT("'"&amp;$A18&amp;"'!$A$12:$Z$12"),0),0)),"ER"))</f>
        <v/>
      </c>
      <c r="L18">
        <f>IF($F18=0,"NA",IF($A18=INDIRECT("'"&amp;$A18&amp;"'!$B$1"),IF(VLOOKUP(L$1,INDIRECT("'"&amp;$A18&amp;"'!$A$12:$Z$19"),MATCH("Points (Auto-generate)",INDIRECT("'"&amp;$A18&amp;"'!$A$12:$Z$12"),0),0)="","?",VLOOKUP(L$1,INDIRECT("'"&amp;$A18&amp;"'!$A$12:$Z$19"),MATCH("Points (Auto-generate)",INDIRECT("'"&amp;$A18&amp;"'!$A$12:$Z$12"),0),0)),"ER"))</f>
        <v/>
      </c>
      <c r="M18">
        <f>IF($F18=0,"NA",IF($A18=INDIRECT("'"&amp;$A18&amp;"'!$B$1"),IF(VLOOKUP(M$1,INDIRECT("'"&amp;$A18&amp;"'!$A$12:$Z$19"),MATCH("Points (Auto-generate)",INDIRECT("'"&amp;$A18&amp;"'!$A$12:$Z$12"),0),0)="","?",VLOOKUP(M$1,INDIRECT("'"&amp;$A18&amp;"'!$A$12:$Z$19"),MATCH("Points (Auto-generate)",INDIRECT("'"&amp;$A18&amp;"'!$A$12:$Z$12"),0),0)),"ER"))</f>
        <v/>
      </c>
    </row>
    <row r="19">
      <c r="A19" t="inlineStr">
        <is>
          <t>UPD5b</t>
        </is>
      </c>
      <c r="B19">
        <f>VLOOKUP($A19,'PARASTATAL Questions'!$A:$J,3,0)&amp;""</f>
        <v/>
      </c>
      <c r="C19">
        <f>VLOOKUP($A19,'PARASTATAL Questions'!$A:$J,4,0)&amp;""</f>
        <v/>
      </c>
      <c r="D19">
        <f>VLOOKUP($A19,'PARASTATAL Questions'!$A:$J,5,0)&amp;""</f>
        <v/>
      </c>
      <c r="E19">
        <f>VLOOKUP($A19,'PARASTATAL Questions'!$A:$J,7,0)&amp;""</f>
        <v/>
      </c>
      <c r="F19">
        <f>VLOOKUP($A19,'PARASTATAL Questions'!$A:$J,6,0)</f>
        <v/>
      </c>
      <c r="G19">
        <f>IF($F19=0,"NA",IF($A19=INDIRECT("'"&amp;$A19&amp;"'!$B$1"),IF(VLOOKUP(G$1,INDIRECT("'"&amp;$A19&amp;"'!$A$12:$Z$19"),MATCH("Points (Auto-generate)",INDIRECT("'"&amp;$A19&amp;"'!$A$12:$Z$12"),0),0)="","?",VLOOKUP(G$1,INDIRECT("'"&amp;$A19&amp;"'!$A$12:$Z$19"),MATCH("Points (Auto-generate)",INDIRECT("'"&amp;$A19&amp;"'!$A$12:$Z$12"),0),0)),"ER"))</f>
        <v/>
      </c>
      <c r="H19">
        <f>IF($F19=0,"NA",IF($A19=INDIRECT("'"&amp;$A19&amp;"'!$B$1"),IF(VLOOKUP(H$1,INDIRECT("'"&amp;$A19&amp;"'!$A$12:$Z$19"),MATCH("Points (Auto-generate)",INDIRECT("'"&amp;$A19&amp;"'!$A$12:$Z$12"),0),0)="","?",VLOOKUP(H$1,INDIRECT("'"&amp;$A19&amp;"'!$A$12:$Z$19"),MATCH("Points (Auto-generate)",INDIRECT("'"&amp;$A19&amp;"'!$A$12:$Z$12"),0),0)),"ER"))</f>
        <v/>
      </c>
      <c r="I19">
        <f>IF($F19=0,"NA",IF($A19=INDIRECT("'"&amp;$A19&amp;"'!$B$1"),IF(VLOOKUP(I$1,INDIRECT("'"&amp;$A19&amp;"'!$A$12:$Z$19"),MATCH("Points (Auto-generate)",INDIRECT("'"&amp;$A19&amp;"'!$A$12:$Z$12"),0),0)="","?",VLOOKUP(I$1,INDIRECT("'"&amp;$A19&amp;"'!$A$12:$Z$19"),MATCH("Points (Auto-generate)",INDIRECT("'"&amp;$A19&amp;"'!$A$12:$Z$12"),0),0)),"ER"))</f>
        <v/>
      </c>
      <c r="J19">
        <f>IF($F19=0,"NA",IF($A19=INDIRECT("'"&amp;$A19&amp;"'!$B$1"),IF(VLOOKUP(J$1,INDIRECT("'"&amp;$A19&amp;"'!$A$12:$Z$19"),MATCH("Points (Auto-generate)",INDIRECT("'"&amp;$A19&amp;"'!$A$12:$Z$12"),0),0)="","?",VLOOKUP(J$1,INDIRECT("'"&amp;$A19&amp;"'!$A$12:$Z$19"),MATCH("Points (Auto-generate)",INDIRECT("'"&amp;$A19&amp;"'!$A$12:$Z$12"),0),0)),"ER"))</f>
        <v/>
      </c>
      <c r="K19">
        <f>IF($F19=0,"NA",IF($A19=INDIRECT("'"&amp;$A19&amp;"'!$B$1"),IF(VLOOKUP(K$1,INDIRECT("'"&amp;$A19&amp;"'!$A$12:$Z$19"),MATCH("Points (Auto-generate)",INDIRECT("'"&amp;$A19&amp;"'!$A$12:$Z$12"),0),0)="","?",VLOOKUP(K$1,INDIRECT("'"&amp;$A19&amp;"'!$A$12:$Z$19"),MATCH("Points (Auto-generate)",INDIRECT("'"&amp;$A19&amp;"'!$A$12:$Z$12"),0),0)),"ER"))</f>
        <v/>
      </c>
      <c r="L19">
        <f>IF($F19=0,"NA",IF($A19=INDIRECT("'"&amp;$A19&amp;"'!$B$1"),IF(VLOOKUP(L$1,INDIRECT("'"&amp;$A19&amp;"'!$A$12:$Z$19"),MATCH("Points (Auto-generate)",INDIRECT("'"&amp;$A19&amp;"'!$A$12:$Z$12"),0),0)="","?",VLOOKUP(L$1,INDIRECT("'"&amp;$A19&amp;"'!$A$12:$Z$19"),MATCH("Points (Auto-generate)",INDIRECT("'"&amp;$A19&amp;"'!$A$12:$Z$12"),0),0)),"ER"))</f>
        <v/>
      </c>
      <c r="M19">
        <f>IF($F19=0,"NA",IF($A19=INDIRECT("'"&amp;$A19&amp;"'!$B$1"),IF(VLOOKUP(M$1,INDIRECT("'"&amp;$A19&amp;"'!$A$12:$Z$19"),MATCH("Points (Auto-generate)",INDIRECT("'"&amp;$A19&amp;"'!$A$12:$Z$12"),0),0)="","?",VLOOKUP(M$1,INDIRECT("'"&amp;$A19&amp;"'!$A$12:$Z$19"),MATCH("Points (Auto-generate)",INDIRECT("'"&amp;$A19&amp;"'!$A$12:$Z$12"),0),0)),"ER"))</f>
        <v/>
      </c>
    </row>
    <row r="20">
      <c r="A20" s="4" t="inlineStr">
        <is>
          <t>UPD6</t>
        </is>
      </c>
      <c r="B20" s="4">
        <f>VLOOKUP($A20,'PARASTATAL Questions'!$A:$J,3,0)&amp;""</f>
        <v/>
      </c>
      <c r="C20" s="4">
        <f>VLOOKUP($A20,'PARASTATAL Questions'!$A:$J,4,0)&amp;""</f>
        <v/>
      </c>
      <c r="D20" s="4">
        <f>VLOOKUP($A20,'PARASTATAL Questions'!$A:$J,5,0)&amp;""</f>
        <v/>
      </c>
      <c r="E20" s="4">
        <f>VLOOKUP($A20,'PARASTATAL Questions'!$A:$J,7,0)&amp;""</f>
        <v/>
      </c>
      <c r="F20" s="4">
        <f>VLOOKUP($A20,'PARASTATAL Questions'!$A:$J,6,0)</f>
        <v/>
      </c>
      <c r="G20" s="4">
        <f>IF(OR(G21="ER",G22="ER"),"ER",IF(OR(G21="?",G22="?"),"?",IF(AND(G21="NA",G22="NA"),"NA",SUM(G21,G22)/((G21&lt;&gt;"NA")*$F$21+(G22&lt;&gt;"NA")*$F$22)*$F20)))</f>
        <v/>
      </c>
      <c r="H20" s="4">
        <f>IF(OR(H21="ER",H22="ER"),"ER",IF(OR(H21="?",H22="?"),"?",IF(AND(H21="NA",H22="NA"),"NA",SUM(H21,H22)/((H21&lt;&gt;"NA")*$F$21+(H22&lt;&gt;"NA")*$F$22)*$F20)))</f>
        <v/>
      </c>
      <c r="I20" s="4">
        <f>IF(OR(I21="ER",I22="ER"),"ER",IF(OR(I21="?",I22="?"),"?",IF(AND(I21="NA",I22="NA"),"NA",SUM(I21,I22)/((I21&lt;&gt;"NA")*$F$21+(I22&lt;&gt;"NA")*$F$22)*$F20)))</f>
        <v/>
      </c>
      <c r="J20" s="4">
        <f>IF(OR(J21="ER",J22="ER"),"ER",IF(OR(J21="?",J22="?"),"?",IF(AND(J21="NA",J22="NA"),"NA",SUM(J21,J22)/((J21&lt;&gt;"NA")*$F$21+(J22&lt;&gt;"NA")*$F$22)*$F20)))</f>
        <v/>
      </c>
      <c r="K20" s="4">
        <f>IF(OR(K21="ER",K22="ER"),"ER",IF(OR(K21="?",K22="?"),"?",IF(AND(K21="NA",K22="NA"),"NA",SUM(K21,K22)/((K21&lt;&gt;"NA")*$F$21+(K22&lt;&gt;"NA")*$F$22)*$F20)))</f>
        <v/>
      </c>
      <c r="L20" s="4">
        <f>IF(OR(L21="ER",L22="ER"),"ER",IF(OR(L21="?",L22="?"),"?",IF(AND(L21="NA",L22="NA"),"NA",SUM(L21,L22)/((L21&lt;&gt;"NA")*$F$21+(L22&lt;&gt;"NA")*$F$22)*$F20)))</f>
        <v/>
      </c>
      <c r="M20" s="4">
        <f>IF(OR(M21="ER",M22="ER"),"ER",IF(OR(M21="?",M22="?"),"?",IF(AND(M21="NA",M22="NA"),"NA",SUM(M21,M22)/((M21&lt;&gt;"NA")*$F$21+(M22&lt;&gt;"NA")*$F$22)*$F20)))</f>
        <v/>
      </c>
    </row>
    <row r="21">
      <c r="A21" t="inlineStr">
        <is>
          <t>UPD6a</t>
        </is>
      </c>
      <c r="B21">
        <f>VLOOKUP($A21,'PARASTATAL Questions'!$A:$J,3,0)&amp;""</f>
        <v/>
      </c>
      <c r="C21">
        <f>VLOOKUP($A21,'PARASTATAL Questions'!$A:$J,4,0)&amp;""</f>
        <v/>
      </c>
      <c r="D21">
        <f>VLOOKUP($A21,'PARASTATAL Questions'!$A:$J,5,0)&amp;""</f>
        <v/>
      </c>
      <c r="E21">
        <f>VLOOKUP($A21,'PARASTATAL Questions'!$A:$J,7,0)&amp;""</f>
        <v/>
      </c>
      <c r="F21">
        <f>VLOOKUP($A21,'PARASTATAL Questions'!$A:$J,6,0)</f>
        <v/>
      </c>
      <c r="G21">
        <f>IF($F21=0,"NA",IF($A21=INDIRECT("'"&amp;$A21&amp;"'!$B$1"),IF(VLOOKUP(G$1,INDIRECT("'"&amp;$A21&amp;"'!$A$12:$Z$19"),MATCH("Points (Auto-generate)",INDIRECT("'"&amp;$A21&amp;"'!$A$12:$Z$12"),0),0)="","?",VLOOKUP(G$1,INDIRECT("'"&amp;$A21&amp;"'!$A$12:$Z$19"),MATCH("Points (Auto-generate)",INDIRECT("'"&amp;$A21&amp;"'!$A$12:$Z$12"),0),0)),"ER"))</f>
        <v/>
      </c>
      <c r="H21">
        <f>IF($F21=0,"NA",IF($A21=INDIRECT("'"&amp;$A21&amp;"'!$B$1"),IF(VLOOKUP(H$1,INDIRECT("'"&amp;$A21&amp;"'!$A$12:$Z$19"),MATCH("Points (Auto-generate)",INDIRECT("'"&amp;$A21&amp;"'!$A$12:$Z$12"),0),0)="","?",VLOOKUP(H$1,INDIRECT("'"&amp;$A21&amp;"'!$A$12:$Z$19"),MATCH("Points (Auto-generate)",INDIRECT("'"&amp;$A21&amp;"'!$A$12:$Z$12"),0),0)),"ER"))</f>
        <v/>
      </c>
      <c r="I21">
        <f>IF($F21=0,"NA",IF($A21=INDIRECT("'"&amp;$A21&amp;"'!$B$1"),IF(VLOOKUP(I$1,INDIRECT("'"&amp;$A21&amp;"'!$A$12:$Z$19"),MATCH("Points (Auto-generate)",INDIRECT("'"&amp;$A21&amp;"'!$A$12:$Z$12"),0),0)="","?",VLOOKUP(I$1,INDIRECT("'"&amp;$A21&amp;"'!$A$12:$Z$19"),MATCH("Points (Auto-generate)",INDIRECT("'"&amp;$A21&amp;"'!$A$12:$Z$12"),0),0)),"ER"))</f>
        <v/>
      </c>
      <c r="J21">
        <f>IF($F21=0,"NA",IF($A21=INDIRECT("'"&amp;$A21&amp;"'!$B$1"),IF(VLOOKUP(J$1,INDIRECT("'"&amp;$A21&amp;"'!$A$12:$Z$19"),MATCH("Points (Auto-generate)",INDIRECT("'"&amp;$A21&amp;"'!$A$12:$Z$12"),0),0)="","?",VLOOKUP(J$1,INDIRECT("'"&amp;$A21&amp;"'!$A$12:$Z$19"),MATCH("Points (Auto-generate)",INDIRECT("'"&amp;$A21&amp;"'!$A$12:$Z$12"),0),0)),"ER"))</f>
        <v/>
      </c>
      <c r="K21">
        <f>IF($F21=0,"NA",IF($A21=INDIRECT("'"&amp;$A21&amp;"'!$B$1"),IF(VLOOKUP(K$1,INDIRECT("'"&amp;$A21&amp;"'!$A$12:$Z$19"),MATCH("Points (Auto-generate)",INDIRECT("'"&amp;$A21&amp;"'!$A$12:$Z$12"),0),0)="","?",VLOOKUP(K$1,INDIRECT("'"&amp;$A21&amp;"'!$A$12:$Z$19"),MATCH("Points (Auto-generate)",INDIRECT("'"&amp;$A21&amp;"'!$A$12:$Z$12"),0),0)),"ER"))</f>
        <v/>
      </c>
      <c r="L21">
        <f>IF($F21=0,"NA",IF($A21=INDIRECT("'"&amp;$A21&amp;"'!$B$1"),IF(VLOOKUP(L$1,INDIRECT("'"&amp;$A21&amp;"'!$A$12:$Z$19"),MATCH("Points (Auto-generate)",INDIRECT("'"&amp;$A21&amp;"'!$A$12:$Z$12"),0),0)="","?",VLOOKUP(L$1,INDIRECT("'"&amp;$A21&amp;"'!$A$12:$Z$19"),MATCH("Points (Auto-generate)",INDIRECT("'"&amp;$A21&amp;"'!$A$12:$Z$12"),0),0)),"ER"))</f>
        <v/>
      </c>
      <c r="M21">
        <f>IF($F21=0,"NA",IF($A21=INDIRECT("'"&amp;$A21&amp;"'!$B$1"),IF(VLOOKUP(M$1,INDIRECT("'"&amp;$A21&amp;"'!$A$12:$Z$19"),MATCH("Points (Auto-generate)",INDIRECT("'"&amp;$A21&amp;"'!$A$12:$Z$12"),0),0)="","?",VLOOKUP(M$1,INDIRECT("'"&amp;$A21&amp;"'!$A$12:$Z$19"),MATCH("Points (Auto-generate)",INDIRECT("'"&amp;$A21&amp;"'!$A$12:$Z$12"),0),0)),"ER"))</f>
        <v/>
      </c>
    </row>
    <row r="22">
      <c r="A22" t="inlineStr">
        <is>
          <t>UPD6b</t>
        </is>
      </c>
      <c r="B22">
        <f>VLOOKUP($A22,'PARASTATAL Questions'!$A:$J,3,0)&amp;""</f>
        <v/>
      </c>
      <c r="C22">
        <f>VLOOKUP($A22,'PARASTATAL Questions'!$A:$J,4,0)&amp;""</f>
        <v/>
      </c>
      <c r="D22">
        <f>VLOOKUP($A22,'PARASTATAL Questions'!$A:$J,5,0)&amp;""</f>
        <v/>
      </c>
      <c r="E22">
        <f>VLOOKUP($A22,'PARASTATAL Questions'!$A:$J,7,0)&amp;""</f>
        <v/>
      </c>
      <c r="F22">
        <f>VLOOKUP($A22,'PARASTATAL Questions'!$A:$J,6,0)</f>
        <v/>
      </c>
      <c r="G22">
        <f>IF($F22=0,"NA",IF($A22=INDIRECT("'"&amp;$A22&amp;"'!$B$1"),IF(VLOOKUP(G$1,INDIRECT("'"&amp;$A22&amp;"'!$A$12:$Z$19"),MATCH("Points (Auto-generate)",INDIRECT("'"&amp;$A22&amp;"'!$A$12:$Z$12"),0),0)="","?",VLOOKUP(G$1,INDIRECT("'"&amp;$A22&amp;"'!$A$12:$Z$19"),MATCH("Points (Auto-generate)",INDIRECT("'"&amp;$A22&amp;"'!$A$12:$Z$12"),0),0)),"ER"))</f>
        <v/>
      </c>
      <c r="H22">
        <f>IF($F22=0,"NA",IF($A22=INDIRECT("'"&amp;$A22&amp;"'!$B$1"),IF(VLOOKUP(H$1,INDIRECT("'"&amp;$A22&amp;"'!$A$12:$Z$19"),MATCH("Points (Auto-generate)",INDIRECT("'"&amp;$A22&amp;"'!$A$12:$Z$12"),0),0)="","?",VLOOKUP(H$1,INDIRECT("'"&amp;$A22&amp;"'!$A$12:$Z$19"),MATCH("Points (Auto-generate)",INDIRECT("'"&amp;$A22&amp;"'!$A$12:$Z$12"),0),0)),"ER"))</f>
        <v/>
      </c>
      <c r="I22">
        <f>IF($F22=0,"NA",IF($A22=INDIRECT("'"&amp;$A22&amp;"'!$B$1"),IF(VLOOKUP(I$1,INDIRECT("'"&amp;$A22&amp;"'!$A$12:$Z$19"),MATCH("Points (Auto-generate)",INDIRECT("'"&amp;$A22&amp;"'!$A$12:$Z$12"),0),0)="","?",VLOOKUP(I$1,INDIRECT("'"&amp;$A22&amp;"'!$A$12:$Z$19"),MATCH("Points (Auto-generate)",INDIRECT("'"&amp;$A22&amp;"'!$A$12:$Z$12"),0),0)),"ER"))</f>
        <v/>
      </c>
      <c r="J22">
        <f>IF($F22=0,"NA",IF($A22=INDIRECT("'"&amp;$A22&amp;"'!$B$1"),IF(VLOOKUP(J$1,INDIRECT("'"&amp;$A22&amp;"'!$A$12:$Z$19"),MATCH("Points (Auto-generate)",INDIRECT("'"&amp;$A22&amp;"'!$A$12:$Z$12"),0),0)="","?",VLOOKUP(J$1,INDIRECT("'"&amp;$A22&amp;"'!$A$12:$Z$19"),MATCH("Points (Auto-generate)",INDIRECT("'"&amp;$A22&amp;"'!$A$12:$Z$12"),0),0)),"ER"))</f>
        <v/>
      </c>
      <c r="K22">
        <f>IF($F22=0,"NA",IF($A22=INDIRECT("'"&amp;$A22&amp;"'!$B$1"),IF(VLOOKUP(K$1,INDIRECT("'"&amp;$A22&amp;"'!$A$12:$Z$19"),MATCH("Points (Auto-generate)",INDIRECT("'"&amp;$A22&amp;"'!$A$12:$Z$12"),0),0)="","?",VLOOKUP(K$1,INDIRECT("'"&amp;$A22&amp;"'!$A$12:$Z$19"),MATCH("Points (Auto-generate)",INDIRECT("'"&amp;$A22&amp;"'!$A$12:$Z$12"),0),0)),"ER"))</f>
        <v/>
      </c>
      <c r="L22">
        <f>IF($F22=0,"NA",IF($A22=INDIRECT("'"&amp;$A22&amp;"'!$B$1"),IF(VLOOKUP(L$1,INDIRECT("'"&amp;$A22&amp;"'!$A$12:$Z$19"),MATCH("Points (Auto-generate)",INDIRECT("'"&amp;$A22&amp;"'!$A$12:$Z$12"),0),0)="","?",VLOOKUP(L$1,INDIRECT("'"&amp;$A22&amp;"'!$A$12:$Z$19"),MATCH("Points (Auto-generate)",INDIRECT("'"&amp;$A22&amp;"'!$A$12:$Z$12"),0),0)),"ER"))</f>
        <v/>
      </c>
      <c r="M22">
        <f>IF($F22=0,"NA",IF($A22=INDIRECT("'"&amp;$A22&amp;"'!$B$1"),IF(VLOOKUP(M$1,INDIRECT("'"&amp;$A22&amp;"'!$A$12:$Z$19"),MATCH("Points (Auto-generate)",INDIRECT("'"&amp;$A22&amp;"'!$A$12:$Z$12"),0),0)="","?",VLOOKUP(M$1,INDIRECT("'"&amp;$A22&amp;"'!$A$12:$Z$19"),MATCH("Points (Auto-generate)",INDIRECT("'"&amp;$A22&amp;"'!$A$12:$Z$12"),0),0)),"ER"))</f>
        <v/>
      </c>
    </row>
    <row r="23">
      <c r="A23" s="4" t="inlineStr">
        <is>
          <t>DPG1</t>
        </is>
      </c>
      <c r="B23" s="4">
        <f>VLOOKUP($A23,'PARASTATAL Questions'!$A:$J,3,0)&amp;""</f>
        <v/>
      </c>
      <c r="C23" s="4">
        <f>VLOOKUP($A23,'PARASTATAL Questions'!$A:$J,4,0)&amp;""</f>
        <v/>
      </c>
      <c r="D23" s="4">
        <f>VLOOKUP($A23,'PARASTATAL Questions'!$A:$J,5,0)&amp;""</f>
        <v/>
      </c>
      <c r="E23" s="4">
        <f>VLOOKUP($A23,'PARASTATAL Questions'!$A:$J,7,0)&amp;""</f>
        <v/>
      </c>
      <c r="F23" s="4">
        <f>VLOOKUP($A23,'PARASTATAL Questions'!$A:$J,6,0)</f>
        <v/>
      </c>
      <c r="G23" s="4">
        <f>IF(OR(G24="ER",G25="ER"),"ER",IF(OR(G24="?",G25="?"),"?",IF(AND(G24="NA",G25="NA"),"NA",SUM(G24,G25)/((G24&lt;&gt;"NA")*$F$24+(G25&lt;&gt;"NA")*$F$25)*$F23)))</f>
        <v/>
      </c>
      <c r="H23" s="4">
        <f>IF(OR(H24="ER",H25="ER"),"ER",IF(OR(H24="?",H25="?"),"?",IF(AND(H24="NA",H25="NA"),"NA",SUM(H24,H25)/((H24&lt;&gt;"NA")*$F$24+(H25&lt;&gt;"NA")*$F$25)*$F23)))</f>
        <v/>
      </c>
      <c r="I23" s="4">
        <f>IF(OR(I24="ER",I25="ER"),"ER",IF(OR(I24="?",I25="?"),"?",IF(AND(I24="NA",I25="NA"),"NA",SUM(I24,I25)/((I24&lt;&gt;"NA")*$F$24+(I25&lt;&gt;"NA")*$F$25)*$F23)))</f>
        <v/>
      </c>
      <c r="J23" s="4">
        <f>IF(OR(J24="ER",J25="ER"),"ER",IF(OR(J24="?",J25="?"),"?",IF(AND(J24="NA",J25="NA"),"NA",SUM(J24,J25)/((J24&lt;&gt;"NA")*$F$24+(J25&lt;&gt;"NA")*$F$25)*$F23)))</f>
        <v/>
      </c>
      <c r="K23" s="4">
        <f>IF(OR(K24="ER",K25="ER"),"ER",IF(OR(K24="?",K25="?"),"?",IF(AND(K24="NA",K25="NA"),"NA",SUM(K24,K25)/((K24&lt;&gt;"NA")*$F$24+(K25&lt;&gt;"NA")*$F$25)*$F23)))</f>
        <v/>
      </c>
      <c r="L23" s="4">
        <f>IF(OR(L24="ER",L25="ER"),"ER",IF(OR(L24="?",L25="?"),"?",IF(AND(L24="NA",L25="NA"),"NA",SUM(L24,L25)/((L24&lt;&gt;"NA")*$F$24+(L25&lt;&gt;"NA")*$F$25)*$F23)))</f>
        <v/>
      </c>
      <c r="M23" s="4">
        <f>IF(OR(M24="ER",M25="ER"),"ER",IF(OR(M24="?",M25="?"),"?",IF(AND(M24="NA",M25="NA"),"NA",SUM(M24,M25)/((M24&lt;&gt;"NA")*$F$24+(M25&lt;&gt;"NA")*$F$25)*$F23)))</f>
        <v/>
      </c>
    </row>
    <row r="24">
      <c r="A24" t="inlineStr">
        <is>
          <t>DPG1a</t>
        </is>
      </c>
      <c r="B24">
        <f>VLOOKUP($A24,'PARASTATAL Questions'!$A:$J,3,0)&amp;""</f>
        <v/>
      </c>
      <c r="C24">
        <f>VLOOKUP($A24,'PARASTATAL Questions'!$A:$J,4,0)&amp;""</f>
        <v/>
      </c>
      <c r="D24">
        <f>VLOOKUP($A24,'PARASTATAL Questions'!$A:$J,5,0)&amp;""</f>
        <v/>
      </c>
      <c r="E24">
        <f>VLOOKUP($A24,'PARASTATAL Questions'!$A:$J,7,0)&amp;""</f>
        <v/>
      </c>
      <c r="F24">
        <f>VLOOKUP($A24,'PARASTATAL Questions'!$A:$J,6,0)</f>
        <v/>
      </c>
      <c r="G24">
        <f>IF($F24=0,"NA",IF($A24=INDIRECT("'"&amp;$A24&amp;"'!$B$1"),IF(VLOOKUP(G$1,INDIRECT("'"&amp;$A24&amp;"'!$A$12:$Z$19"),MATCH("Points (Auto-generate)",INDIRECT("'"&amp;$A24&amp;"'!$A$12:$Z$12"),0),0)="","?",VLOOKUP(G$1,INDIRECT("'"&amp;$A24&amp;"'!$A$12:$Z$19"),MATCH("Points (Auto-generate)",INDIRECT("'"&amp;$A24&amp;"'!$A$12:$Z$12"),0),0)),"ER"))</f>
        <v/>
      </c>
      <c r="H24">
        <f>IF($F24=0,"NA",IF($A24=INDIRECT("'"&amp;$A24&amp;"'!$B$1"),IF(VLOOKUP(H$1,INDIRECT("'"&amp;$A24&amp;"'!$A$12:$Z$19"),MATCH("Points (Auto-generate)",INDIRECT("'"&amp;$A24&amp;"'!$A$12:$Z$12"),0),0)="","?",VLOOKUP(H$1,INDIRECT("'"&amp;$A24&amp;"'!$A$12:$Z$19"),MATCH("Points (Auto-generate)",INDIRECT("'"&amp;$A24&amp;"'!$A$12:$Z$12"),0),0)),"ER"))</f>
        <v/>
      </c>
      <c r="I24">
        <f>IF($F24=0,"NA",IF($A24=INDIRECT("'"&amp;$A24&amp;"'!$B$1"),IF(VLOOKUP(I$1,INDIRECT("'"&amp;$A24&amp;"'!$A$12:$Z$19"),MATCH("Points (Auto-generate)",INDIRECT("'"&amp;$A24&amp;"'!$A$12:$Z$12"),0),0)="","?",VLOOKUP(I$1,INDIRECT("'"&amp;$A24&amp;"'!$A$12:$Z$19"),MATCH("Points (Auto-generate)",INDIRECT("'"&amp;$A24&amp;"'!$A$12:$Z$12"),0),0)),"ER"))</f>
        <v/>
      </c>
      <c r="J24">
        <f>IF($F24=0,"NA",IF($A24=INDIRECT("'"&amp;$A24&amp;"'!$B$1"),IF(VLOOKUP(J$1,INDIRECT("'"&amp;$A24&amp;"'!$A$12:$Z$19"),MATCH("Points (Auto-generate)",INDIRECT("'"&amp;$A24&amp;"'!$A$12:$Z$12"),0),0)="","?",VLOOKUP(J$1,INDIRECT("'"&amp;$A24&amp;"'!$A$12:$Z$19"),MATCH("Points (Auto-generate)",INDIRECT("'"&amp;$A24&amp;"'!$A$12:$Z$12"),0),0)),"ER"))</f>
        <v/>
      </c>
      <c r="K24">
        <f>IF($F24=0,"NA",IF($A24=INDIRECT("'"&amp;$A24&amp;"'!$B$1"),IF(VLOOKUP(K$1,INDIRECT("'"&amp;$A24&amp;"'!$A$12:$Z$19"),MATCH("Points (Auto-generate)",INDIRECT("'"&amp;$A24&amp;"'!$A$12:$Z$12"),0),0)="","?",VLOOKUP(K$1,INDIRECT("'"&amp;$A24&amp;"'!$A$12:$Z$19"),MATCH("Points (Auto-generate)",INDIRECT("'"&amp;$A24&amp;"'!$A$12:$Z$12"),0),0)),"ER"))</f>
        <v/>
      </c>
      <c r="L24">
        <f>IF($F24=0,"NA",IF($A24=INDIRECT("'"&amp;$A24&amp;"'!$B$1"),IF(VLOOKUP(L$1,INDIRECT("'"&amp;$A24&amp;"'!$A$12:$Z$19"),MATCH("Points (Auto-generate)",INDIRECT("'"&amp;$A24&amp;"'!$A$12:$Z$12"),0),0)="","?",VLOOKUP(L$1,INDIRECT("'"&amp;$A24&amp;"'!$A$12:$Z$19"),MATCH("Points (Auto-generate)",INDIRECT("'"&amp;$A24&amp;"'!$A$12:$Z$12"),0),0)),"ER"))</f>
        <v/>
      </c>
      <c r="M24">
        <f>IF($F24=0,"NA",IF($A24=INDIRECT("'"&amp;$A24&amp;"'!$B$1"),IF(VLOOKUP(M$1,INDIRECT("'"&amp;$A24&amp;"'!$A$12:$Z$19"),MATCH("Points (Auto-generate)",INDIRECT("'"&amp;$A24&amp;"'!$A$12:$Z$12"),0),0)="","?",VLOOKUP(M$1,INDIRECT("'"&amp;$A24&amp;"'!$A$12:$Z$19"),MATCH("Points (Auto-generate)",INDIRECT("'"&amp;$A24&amp;"'!$A$12:$Z$12"),0),0)),"ER"))</f>
        <v/>
      </c>
    </row>
    <row r="25">
      <c r="A25" t="inlineStr">
        <is>
          <t>DPG1b</t>
        </is>
      </c>
      <c r="B25">
        <f>VLOOKUP($A25,'PARASTATAL Questions'!$A:$J,3,0)&amp;""</f>
        <v/>
      </c>
      <c r="C25">
        <f>VLOOKUP($A25,'PARASTATAL Questions'!$A:$J,4,0)&amp;""</f>
        <v/>
      </c>
      <c r="D25">
        <f>VLOOKUP($A25,'PARASTATAL Questions'!$A:$J,5,0)&amp;""</f>
        <v/>
      </c>
      <c r="E25">
        <f>VLOOKUP($A25,'PARASTATAL Questions'!$A:$J,7,0)&amp;""</f>
        <v/>
      </c>
      <c r="F25">
        <f>VLOOKUP($A25,'PARASTATAL Questions'!$A:$J,6,0)</f>
        <v/>
      </c>
      <c r="G25">
        <f>IF($F25=0,"NA",IF($A25=INDIRECT("'"&amp;$A25&amp;"'!$B$1"),IF(VLOOKUP(G$1,INDIRECT("'"&amp;$A25&amp;"'!$A$12:$Z$19"),MATCH("Points (Auto-generate)",INDIRECT("'"&amp;$A25&amp;"'!$A$12:$Z$12"),0),0)="","?",VLOOKUP(G$1,INDIRECT("'"&amp;$A25&amp;"'!$A$12:$Z$19"),MATCH("Points (Auto-generate)",INDIRECT("'"&amp;$A25&amp;"'!$A$12:$Z$12"),0),0)),"ER"))</f>
        <v/>
      </c>
      <c r="H25">
        <f>IF($F25=0,"NA",IF($A25=INDIRECT("'"&amp;$A25&amp;"'!$B$1"),IF(VLOOKUP(H$1,INDIRECT("'"&amp;$A25&amp;"'!$A$12:$Z$19"),MATCH("Points (Auto-generate)",INDIRECT("'"&amp;$A25&amp;"'!$A$12:$Z$12"),0),0)="","?",VLOOKUP(H$1,INDIRECT("'"&amp;$A25&amp;"'!$A$12:$Z$19"),MATCH("Points (Auto-generate)",INDIRECT("'"&amp;$A25&amp;"'!$A$12:$Z$12"),0),0)),"ER"))</f>
        <v/>
      </c>
      <c r="I25">
        <f>IF($F25=0,"NA",IF($A25=INDIRECT("'"&amp;$A25&amp;"'!$B$1"),IF(VLOOKUP(I$1,INDIRECT("'"&amp;$A25&amp;"'!$A$12:$Z$19"),MATCH("Points (Auto-generate)",INDIRECT("'"&amp;$A25&amp;"'!$A$12:$Z$12"),0),0)="","?",VLOOKUP(I$1,INDIRECT("'"&amp;$A25&amp;"'!$A$12:$Z$19"),MATCH("Points (Auto-generate)",INDIRECT("'"&amp;$A25&amp;"'!$A$12:$Z$12"),0),0)),"ER"))</f>
        <v/>
      </c>
      <c r="J25">
        <f>IF($F25=0,"NA",IF($A25=INDIRECT("'"&amp;$A25&amp;"'!$B$1"),IF(VLOOKUP(J$1,INDIRECT("'"&amp;$A25&amp;"'!$A$12:$Z$19"),MATCH("Points (Auto-generate)",INDIRECT("'"&amp;$A25&amp;"'!$A$12:$Z$12"),0),0)="","?",VLOOKUP(J$1,INDIRECT("'"&amp;$A25&amp;"'!$A$12:$Z$19"),MATCH("Points (Auto-generate)",INDIRECT("'"&amp;$A25&amp;"'!$A$12:$Z$12"),0),0)),"ER"))</f>
        <v/>
      </c>
      <c r="K25">
        <f>IF($F25=0,"NA",IF($A25=INDIRECT("'"&amp;$A25&amp;"'!$B$1"),IF(VLOOKUP(K$1,INDIRECT("'"&amp;$A25&amp;"'!$A$12:$Z$19"),MATCH("Points (Auto-generate)",INDIRECT("'"&amp;$A25&amp;"'!$A$12:$Z$12"),0),0)="","?",VLOOKUP(K$1,INDIRECT("'"&amp;$A25&amp;"'!$A$12:$Z$19"),MATCH("Points (Auto-generate)",INDIRECT("'"&amp;$A25&amp;"'!$A$12:$Z$12"),0),0)),"ER"))</f>
        <v/>
      </c>
      <c r="L25">
        <f>IF($F25=0,"NA",IF($A25=INDIRECT("'"&amp;$A25&amp;"'!$B$1"),IF(VLOOKUP(L$1,INDIRECT("'"&amp;$A25&amp;"'!$A$12:$Z$19"),MATCH("Points (Auto-generate)",INDIRECT("'"&amp;$A25&amp;"'!$A$12:$Z$12"),0),0)="","?",VLOOKUP(L$1,INDIRECT("'"&amp;$A25&amp;"'!$A$12:$Z$19"),MATCH("Points (Auto-generate)",INDIRECT("'"&amp;$A25&amp;"'!$A$12:$Z$12"),0),0)),"ER"))</f>
        <v/>
      </c>
      <c r="M25">
        <f>IF($F25=0,"NA",IF($A25=INDIRECT("'"&amp;$A25&amp;"'!$B$1"),IF(VLOOKUP(M$1,INDIRECT("'"&amp;$A25&amp;"'!$A$12:$Z$19"),MATCH("Points (Auto-generate)",INDIRECT("'"&amp;$A25&amp;"'!$A$12:$Z$12"),0),0)="","?",VLOOKUP(M$1,INDIRECT("'"&amp;$A25&amp;"'!$A$12:$Z$19"),MATCH("Points (Auto-generate)",INDIRECT("'"&amp;$A25&amp;"'!$A$12:$Z$12"),0),0)),"ER"))</f>
        <v/>
      </c>
    </row>
    <row r="26">
      <c r="A26" s="4" t="inlineStr">
        <is>
          <t>DPG2</t>
        </is>
      </c>
      <c r="B26" s="4">
        <f>VLOOKUP($A26,'PARASTATAL Questions'!$A:$J,3,0)&amp;""</f>
        <v/>
      </c>
      <c r="C26" s="4">
        <f>VLOOKUP($A26,'PARASTATAL Questions'!$A:$J,4,0)&amp;""</f>
        <v/>
      </c>
      <c r="D26" s="4">
        <f>VLOOKUP($A26,'PARASTATAL Questions'!$A:$J,5,0)&amp;""</f>
        <v/>
      </c>
      <c r="E26" s="4">
        <f>VLOOKUP($A26,'PARASTATAL Questions'!$A:$J,7,0)&amp;""</f>
        <v/>
      </c>
      <c r="F26" s="4">
        <f>VLOOKUP($A26,'PARASTATAL Questions'!$A:$J,6,0)</f>
        <v/>
      </c>
      <c r="G26" s="4">
        <f>IF(OR(G27="ER",G28="ER"),"ER",IF(OR(G27="?",G28="?"),"?",IF(AND(G27="NA",G28="NA"),"NA",SUM(G27,G28)/((G27&lt;&gt;"NA")*$F$27+(G28&lt;&gt;"NA")*$F$28)*$F26)))</f>
        <v/>
      </c>
      <c r="H26" s="4">
        <f>IF(OR(H27="ER",H28="ER"),"ER",IF(OR(H27="?",H28="?"),"?",IF(AND(H27="NA",H28="NA"),"NA",SUM(H27,H28)/((H27&lt;&gt;"NA")*$F$27+(H28&lt;&gt;"NA")*$F$28)*$F26)))</f>
        <v/>
      </c>
      <c r="I26" s="4">
        <f>IF(OR(I27="ER",I28="ER"),"ER",IF(OR(I27="?",I28="?"),"?",IF(AND(I27="NA",I28="NA"),"NA",SUM(I27,I28)/((I27&lt;&gt;"NA")*$F$27+(I28&lt;&gt;"NA")*$F$28)*$F26)))</f>
        <v/>
      </c>
      <c r="J26" s="4">
        <f>IF(OR(J27="ER",J28="ER"),"ER",IF(OR(J27="?",J28="?"),"?",IF(AND(J27="NA",J28="NA"),"NA",SUM(J27,J28)/((J27&lt;&gt;"NA")*$F$27+(J28&lt;&gt;"NA")*$F$28)*$F26)))</f>
        <v/>
      </c>
      <c r="K26" s="4">
        <f>IF(OR(K27="ER",K28="ER"),"ER",IF(OR(K27="?",K28="?"),"?",IF(AND(K27="NA",K28="NA"),"NA",SUM(K27,K28)/((K27&lt;&gt;"NA")*$F$27+(K28&lt;&gt;"NA")*$F$28)*$F26)))</f>
        <v/>
      </c>
      <c r="L26" s="4">
        <f>IF(OR(L27="ER",L28="ER"),"ER",IF(OR(L27="?",L28="?"),"?",IF(AND(L27="NA",L28="NA"),"NA",SUM(L27,L28)/((L27&lt;&gt;"NA")*$F$27+(L28&lt;&gt;"NA")*$F$28)*$F26)))</f>
        <v/>
      </c>
      <c r="M26" s="4">
        <f>IF(OR(M27="ER",M28="ER"),"ER",IF(OR(M27="?",M28="?"),"?",IF(AND(M27="NA",M28="NA"),"NA",SUM(M27,M28)/((M27&lt;&gt;"NA")*$F$27+(M28&lt;&gt;"NA")*$F$28)*$F26)))</f>
        <v/>
      </c>
    </row>
    <row r="27">
      <c r="A27" t="inlineStr">
        <is>
          <t>DPG2a</t>
        </is>
      </c>
      <c r="B27">
        <f>VLOOKUP($A27,'PARASTATAL Questions'!$A:$J,3,0)&amp;""</f>
        <v/>
      </c>
      <c r="C27">
        <f>VLOOKUP($A27,'PARASTATAL Questions'!$A:$J,4,0)&amp;""</f>
        <v/>
      </c>
      <c r="D27">
        <f>VLOOKUP($A27,'PARASTATAL Questions'!$A:$J,5,0)&amp;""</f>
        <v/>
      </c>
      <c r="E27">
        <f>VLOOKUP($A27,'PARASTATAL Questions'!$A:$J,7,0)&amp;""</f>
        <v/>
      </c>
      <c r="F27">
        <f>VLOOKUP($A27,'PARASTATAL Questions'!$A:$J,6,0)</f>
        <v/>
      </c>
      <c r="G27">
        <f>IF($F27=0,"NA",IF($A27=INDIRECT("'"&amp;$A27&amp;"'!$B$1"),IF(VLOOKUP(G$1,INDIRECT("'"&amp;$A27&amp;"'!$A$12:$Z$19"),MATCH("Points (Auto-generate)",INDIRECT("'"&amp;$A27&amp;"'!$A$12:$Z$12"),0),0)="","?",VLOOKUP(G$1,INDIRECT("'"&amp;$A27&amp;"'!$A$12:$Z$19"),MATCH("Points (Auto-generate)",INDIRECT("'"&amp;$A27&amp;"'!$A$12:$Z$12"),0),0)),"ER"))</f>
        <v/>
      </c>
      <c r="H27">
        <f>IF($F27=0,"NA",IF($A27=INDIRECT("'"&amp;$A27&amp;"'!$B$1"),IF(VLOOKUP(H$1,INDIRECT("'"&amp;$A27&amp;"'!$A$12:$Z$19"),MATCH("Points (Auto-generate)",INDIRECT("'"&amp;$A27&amp;"'!$A$12:$Z$12"),0),0)="","?",VLOOKUP(H$1,INDIRECT("'"&amp;$A27&amp;"'!$A$12:$Z$19"),MATCH("Points (Auto-generate)",INDIRECT("'"&amp;$A27&amp;"'!$A$12:$Z$12"),0),0)),"ER"))</f>
        <v/>
      </c>
      <c r="I27">
        <f>IF($F27=0,"NA",IF($A27=INDIRECT("'"&amp;$A27&amp;"'!$B$1"),IF(VLOOKUP(I$1,INDIRECT("'"&amp;$A27&amp;"'!$A$12:$Z$19"),MATCH("Points (Auto-generate)",INDIRECT("'"&amp;$A27&amp;"'!$A$12:$Z$12"),0),0)="","?",VLOOKUP(I$1,INDIRECT("'"&amp;$A27&amp;"'!$A$12:$Z$19"),MATCH("Points (Auto-generate)",INDIRECT("'"&amp;$A27&amp;"'!$A$12:$Z$12"),0),0)),"ER"))</f>
        <v/>
      </c>
      <c r="J27">
        <f>IF($F27=0,"NA",IF($A27=INDIRECT("'"&amp;$A27&amp;"'!$B$1"),IF(VLOOKUP(J$1,INDIRECT("'"&amp;$A27&amp;"'!$A$12:$Z$19"),MATCH("Points (Auto-generate)",INDIRECT("'"&amp;$A27&amp;"'!$A$12:$Z$12"),0),0)="","?",VLOOKUP(J$1,INDIRECT("'"&amp;$A27&amp;"'!$A$12:$Z$19"),MATCH("Points (Auto-generate)",INDIRECT("'"&amp;$A27&amp;"'!$A$12:$Z$12"),0),0)),"ER"))</f>
        <v/>
      </c>
      <c r="K27">
        <f>IF($F27=0,"NA",IF($A27=INDIRECT("'"&amp;$A27&amp;"'!$B$1"),IF(VLOOKUP(K$1,INDIRECT("'"&amp;$A27&amp;"'!$A$12:$Z$19"),MATCH("Points (Auto-generate)",INDIRECT("'"&amp;$A27&amp;"'!$A$12:$Z$12"),0),0)="","?",VLOOKUP(K$1,INDIRECT("'"&amp;$A27&amp;"'!$A$12:$Z$19"),MATCH("Points (Auto-generate)",INDIRECT("'"&amp;$A27&amp;"'!$A$12:$Z$12"),0),0)),"ER"))</f>
        <v/>
      </c>
      <c r="L27">
        <f>IF($F27=0,"NA",IF($A27=INDIRECT("'"&amp;$A27&amp;"'!$B$1"),IF(VLOOKUP(L$1,INDIRECT("'"&amp;$A27&amp;"'!$A$12:$Z$19"),MATCH("Points (Auto-generate)",INDIRECT("'"&amp;$A27&amp;"'!$A$12:$Z$12"),0),0)="","?",VLOOKUP(L$1,INDIRECT("'"&amp;$A27&amp;"'!$A$12:$Z$19"),MATCH("Points (Auto-generate)",INDIRECT("'"&amp;$A27&amp;"'!$A$12:$Z$12"),0),0)),"ER"))</f>
        <v/>
      </c>
      <c r="M27">
        <f>IF($F27=0,"NA",IF($A27=INDIRECT("'"&amp;$A27&amp;"'!$B$1"),IF(VLOOKUP(M$1,INDIRECT("'"&amp;$A27&amp;"'!$A$12:$Z$19"),MATCH("Points (Auto-generate)",INDIRECT("'"&amp;$A27&amp;"'!$A$12:$Z$12"),0),0)="","?",VLOOKUP(M$1,INDIRECT("'"&amp;$A27&amp;"'!$A$12:$Z$19"),MATCH("Points (Auto-generate)",INDIRECT("'"&amp;$A27&amp;"'!$A$12:$Z$12"),0),0)),"ER"))</f>
        <v/>
      </c>
    </row>
    <row r="28">
      <c r="A28" t="inlineStr">
        <is>
          <t>DPG2b</t>
        </is>
      </c>
      <c r="B28">
        <f>VLOOKUP($A28,'PARASTATAL Questions'!$A:$J,3,0)&amp;""</f>
        <v/>
      </c>
      <c r="C28">
        <f>VLOOKUP($A28,'PARASTATAL Questions'!$A:$J,4,0)&amp;""</f>
        <v/>
      </c>
      <c r="D28">
        <f>VLOOKUP($A28,'PARASTATAL Questions'!$A:$J,5,0)&amp;""</f>
        <v/>
      </c>
      <c r="E28">
        <f>VLOOKUP($A28,'PARASTATAL Questions'!$A:$J,7,0)&amp;""</f>
        <v/>
      </c>
      <c r="F28">
        <f>VLOOKUP($A28,'PARASTATAL Questions'!$A:$J,6,0)</f>
        <v/>
      </c>
      <c r="G28">
        <f>IF($F28=0,"NA",IF($A28=INDIRECT("'"&amp;$A28&amp;"'!$B$1"),IF(VLOOKUP(G$1,INDIRECT("'"&amp;$A28&amp;"'!$A$12:$Z$19"),MATCH("Points (Auto-generate)",INDIRECT("'"&amp;$A28&amp;"'!$A$12:$Z$12"),0),0)="","?",VLOOKUP(G$1,INDIRECT("'"&amp;$A28&amp;"'!$A$12:$Z$19"),MATCH("Points (Auto-generate)",INDIRECT("'"&amp;$A28&amp;"'!$A$12:$Z$12"),0),0)),"ER"))</f>
        <v/>
      </c>
      <c r="H28">
        <f>IF($F28=0,"NA",IF($A28=INDIRECT("'"&amp;$A28&amp;"'!$B$1"),IF(VLOOKUP(H$1,INDIRECT("'"&amp;$A28&amp;"'!$A$12:$Z$19"),MATCH("Points (Auto-generate)",INDIRECT("'"&amp;$A28&amp;"'!$A$12:$Z$12"),0),0)="","?",VLOOKUP(H$1,INDIRECT("'"&amp;$A28&amp;"'!$A$12:$Z$19"),MATCH("Points (Auto-generate)",INDIRECT("'"&amp;$A28&amp;"'!$A$12:$Z$12"),0),0)),"ER"))</f>
        <v/>
      </c>
      <c r="I28">
        <f>IF($F28=0,"NA",IF($A28=INDIRECT("'"&amp;$A28&amp;"'!$B$1"),IF(VLOOKUP(I$1,INDIRECT("'"&amp;$A28&amp;"'!$A$12:$Z$19"),MATCH("Points (Auto-generate)",INDIRECT("'"&amp;$A28&amp;"'!$A$12:$Z$12"),0),0)="","?",VLOOKUP(I$1,INDIRECT("'"&amp;$A28&amp;"'!$A$12:$Z$19"),MATCH("Points (Auto-generate)",INDIRECT("'"&amp;$A28&amp;"'!$A$12:$Z$12"),0),0)),"ER"))</f>
        <v/>
      </c>
      <c r="J28">
        <f>IF($F28=0,"NA",IF($A28=INDIRECT("'"&amp;$A28&amp;"'!$B$1"),IF(VLOOKUP(J$1,INDIRECT("'"&amp;$A28&amp;"'!$A$12:$Z$19"),MATCH("Points (Auto-generate)",INDIRECT("'"&amp;$A28&amp;"'!$A$12:$Z$12"),0),0)="","?",VLOOKUP(J$1,INDIRECT("'"&amp;$A28&amp;"'!$A$12:$Z$19"),MATCH("Points (Auto-generate)",INDIRECT("'"&amp;$A28&amp;"'!$A$12:$Z$12"),0),0)),"ER"))</f>
        <v/>
      </c>
      <c r="K28">
        <f>IF($F28=0,"NA",IF($A28=INDIRECT("'"&amp;$A28&amp;"'!$B$1"),IF(VLOOKUP(K$1,INDIRECT("'"&amp;$A28&amp;"'!$A$12:$Z$19"),MATCH("Points (Auto-generate)",INDIRECT("'"&amp;$A28&amp;"'!$A$12:$Z$12"),0),0)="","?",VLOOKUP(K$1,INDIRECT("'"&amp;$A28&amp;"'!$A$12:$Z$19"),MATCH("Points (Auto-generate)",INDIRECT("'"&amp;$A28&amp;"'!$A$12:$Z$12"),0),0)),"ER"))</f>
        <v/>
      </c>
      <c r="L28">
        <f>IF($F28=0,"NA",IF($A28=INDIRECT("'"&amp;$A28&amp;"'!$B$1"),IF(VLOOKUP(L$1,INDIRECT("'"&amp;$A28&amp;"'!$A$12:$Z$19"),MATCH("Points (Auto-generate)",INDIRECT("'"&amp;$A28&amp;"'!$A$12:$Z$12"),0),0)="","?",VLOOKUP(L$1,INDIRECT("'"&amp;$A28&amp;"'!$A$12:$Z$19"),MATCH("Points (Auto-generate)",INDIRECT("'"&amp;$A28&amp;"'!$A$12:$Z$12"),0),0)),"ER"))</f>
        <v/>
      </c>
      <c r="M28">
        <f>IF($F28=0,"NA",IF($A28=INDIRECT("'"&amp;$A28&amp;"'!$B$1"),IF(VLOOKUP(M$1,INDIRECT("'"&amp;$A28&amp;"'!$A$12:$Z$19"),MATCH("Points (Auto-generate)",INDIRECT("'"&amp;$A28&amp;"'!$A$12:$Z$12"),0),0)="","?",VLOOKUP(M$1,INDIRECT("'"&amp;$A28&amp;"'!$A$12:$Z$19"),MATCH("Points (Auto-generate)",INDIRECT("'"&amp;$A28&amp;"'!$A$12:$Z$12"),0),0)),"ER"))</f>
        <v/>
      </c>
    </row>
    <row r="29">
      <c r="A29" s="4" t="inlineStr">
        <is>
          <t>DPG3</t>
        </is>
      </c>
      <c r="B29" s="4">
        <f>VLOOKUP($A29,'PARASTATAL Questions'!$A:$J,3,0)&amp;""</f>
        <v/>
      </c>
      <c r="C29" s="4">
        <f>VLOOKUP($A29,'PARASTATAL Questions'!$A:$J,4,0)&amp;""</f>
        <v/>
      </c>
      <c r="D29" s="4">
        <f>VLOOKUP($A29,'PARASTATAL Questions'!$A:$J,5,0)&amp;""</f>
        <v/>
      </c>
      <c r="E29" s="4">
        <f>VLOOKUP($A29,'PARASTATAL Questions'!$A:$J,7,0)&amp;""</f>
        <v/>
      </c>
      <c r="F29" s="4">
        <f>VLOOKUP($A29,'PARASTATAL Questions'!$A:$J,6,0)</f>
        <v/>
      </c>
      <c r="G29" s="4">
        <f>IF($F29=0,"NA",IF($A29=INDIRECT("'"&amp;$A29&amp;"'!$B$1"),IF(VLOOKUP(G$1,INDIRECT("'"&amp;$A29&amp;"'!$A$12:$Z$19"),MATCH("Points (Auto-generate)",INDIRECT("'"&amp;$A29&amp;"'!$A$12:$Z$12"),0),0)="","?",VLOOKUP(G$1,INDIRECT("'"&amp;$A29&amp;"'!$A$12:$Z$19"),MATCH("Points (Auto-generate)",INDIRECT("'"&amp;$A29&amp;"'!$A$12:$Z$12"),0),0)),"ER"))</f>
        <v/>
      </c>
      <c r="H29" s="4">
        <f>IF($F29=0,"NA",IF($A29=INDIRECT("'"&amp;$A29&amp;"'!$B$1"),IF(VLOOKUP(H$1,INDIRECT("'"&amp;$A29&amp;"'!$A$12:$Z$19"),MATCH("Points (Auto-generate)",INDIRECT("'"&amp;$A29&amp;"'!$A$12:$Z$12"),0),0)="","?",VLOOKUP(H$1,INDIRECT("'"&amp;$A29&amp;"'!$A$12:$Z$19"),MATCH("Points (Auto-generate)",INDIRECT("'"&amp;$A29&amp;"'!$A$12:$Z$12"),0),0)),"ER"))</f>
        <v/>
      </c>
      <c r="I29" s="4">
        <f>IF($F29=0,"NA",IF($A29=INDIRECT("'"&amp;$A29&amp;"'!$B$1"),IF(VLOOKUP(I$1,INDIRECT("'"&amp;$A29&amp;"'!$A$12:$Z$19"),MATCH("Points (Auto-generate)",INDIRECT("'"&amp;$A29&amp;"'!$A$12:$Z$12"),0),0)="","?",VLOOKUP(I$1,INDIRECT("'"&amp;$A29&amp;"'!$A$12:$Z$19"),MATCH("Points (Auto-generate)",INDIRECT("'"&amp;$A29&amp;"'!$A$12:$Z$12"),0),0)),"ER"))</f>
        <v/>
      </c>
      <c r="J29" s="4">
        <f>IF($F29=0,"NA",IF($A29=INDIRECT("'"&amp;$A29&amp;"'!$B$1"),IF(VLOOKUP(J$1,INDIRECT("'"&amp;$A29&amp;"'!$A$12:$Z$19"),MATCH("Points (Auto-generate)",INDIRECT("'"&amp;$A29&amp;"'!$A$12:$Z$12"),0),0)="","?",VLOOKUP(J$1,INDIRECT("'"&amp;$A29&amp;"'!$A$12:$Z$19"),MATCH("Points (Auto-generate)",INDIRECT("'"&amp;$A29&amp;"'!$A$12:$Z$12"),0),0)),"ER"))</f>
        <v/>
      </c>
      <c r="K29" s="4">
        <f>IF($F29=0,"NA",IF($A29=INDIRECT("'"&amp;$A29&amp;"'!$B$1"),IF(VLOOKUP(K$1,INDIRECT("'"&amp;$A29&amp;"'!$A$12:$Z$19"),MATCH("Points (Auto-generate)",INDIRECT("'"&amp;$A29&amp;"'!$A$12:$Z$12"),0),0)="","?",VLOOKUP(K$1,INDIRECT("'"&amp;$A29&amp;"'!$A$12:$Z$19"),MATCH("Points (Auto-generate)",INDIRECT("'"&amp;$A29&amp;"'!$A$12:$Z$12"),0),0)),"ER"))</f>
        <v/>
      </c>
      <c r="L29" s="4">
        <f>IF($F29=0,"NA",IF($A29=INDIRECT("'"&amp;$A29&amp;"'!$B$1"),IF(VLOOKUP(L$1,INDIRECT("'"&amp;$A29&amp;"'!$A$12:$Z$19"),MATCH("Points (Auto-generate)",INDIRECT("'"&amp;$A29&amp;"'!$A$12:$Z$12"),0),0)="","?",VLOOKUP(L$1,INDIRECT("'"&amp;$A29&amp;"'!$A$12:$Z$19"),MATCH("Points (Auto-generate)",INDIRECT("'"&amp;$A29&amp;"'!$A$12:$Z$12"),0),0)),"ER"))</f>
        <v/>
      </c>
      <c r="M29" s="4">
        <f>IF($F29=0,"NA",IF($A29=INDIRECT("'"&amp;$A29&amp;"'!$B$1"),IF(VLOOKUP(M$1,INDIRECT("'"&amp;$A29&amp;"'!$A$12:$Z$19"),MATCH("Points (Auto-generate)",INDIRECT("'"&amp;$A29&amp;"'!$A$12:$Z$12"),0),0)="","?",VLOOKUP(M$1,INDIRECT("'"&amp;$A29&amp;"'!$A$12:$Z$19"),MATCH("Points (Auto-generate)",INDIRECT("'"&amp;$A29&amp;"'!$A$12:$Z$12"),0),0)),"ER"))</f>
        <v/>
      </c>
    </row>
    <row r="30">
      <c r="A30" s="4" t="inlineStr">
        <is>
          <t>DPG5</t>
        </is>
      </c>
      <c r="B30" s="4">
        <f>VLOOKUP($A30,'PARASTATAL Questions'!$A:$J,3,0)&amp;""</f>
        <v/>
      </c>
      <c r="C30" s="4">
        <f>VLOOKUP($A30,'PARASTATAL Questions'!$A:$J,4,0)&amp;""</f>
        <v/>
      </c>
      <c r="D30" s="4">
        <f>VLOOKUP($A30,'PARASTATAL Questions'!$A:$J,5,0)&amp;""</f>
        <v/>
      </c>
      <c r="E30" s="4">
        <f>VLOOKUP($A30,'PARASTATAL Questions'!$A:$J,7,0)&amp;""</f>
        <v/>
      </c>
      <c r="F30" s="4">
        <f>VLOOKUP($A30,'PARASTATAL Questions'!$A:$J,6,0)</f>
        <v/>
      </c>
      <c r="G30" s="4">
        <f>IF(OR(G31="ER",G32="ER",G33="ER",G34="ER",G35="ER",G36="ER",G37="ER",G38="ER",G39="ER",G40="ER"),"ER",IF(OR(G31="?",G32="?",G33="?",G34="?",G35="?",G36="?",G37="?",G38="?",G39="?",G40="?"),"?",IF(AND(G31="NA",G32="NA",G33="NA",G34="NA",G35="NA",G36="NA",G37="NA",G38="NA",G39="NA",G40="NA"),"NA",SUM(G31,G32,G33,G34,G35,G36,G37,G38,G39,G40)/((G31&lt;&gt;"NA")*$F$31+(G32&lt;&gt;"NA")*$F$32+(G33&lt;&gt;"NA")*$F$33+(G34&lt;&gt;"NA")*$F$34+(G35&lt;&gt;"NA")*$F$35+(G36&lt;&gt;"NA")*$F$36+(G37&lt;&gt;"NA")*$F$37+(G38&lt;&gt;"NA")*$F$38+(G39&lt;&gt;"NA")*$F$39+(G40&lt;&gt;"NA")*$F$40)*$F30)))</f>
        <v/>
      </c>
      <c r="H30" s="4">
        <f>IF(OR(H31="ER",H32="ER",H33="ER",H34="ER",H35="ER",H36="ER",H37="ER",H38="ER",H39="ER",H40="ER"),"ER",IF(OR(H31="?",H32="?",H33="?",H34="?",H35="?",H36="?",H37="?",H38="?",H39="?",H40="?"),"?",IF(AND(H31="NA",H32="NA",H33="NA",H34="NA",H35="NA",H36="NA",H37="NA",H38="NA",H39="NA",H40="NA"),"NA",SUM(H31,H32,H33,H34,H35,H36,H37,H38,H39,H40)/((H31&lt;&gt;"NA")*$F$31+(H32&lt;&gt;"NA")*$F$32+(H33&lt;&gt;"NA")*$F$33+(H34&lt;&gt;"NA")*$F$34+(H35&lt;&gt;"NA")*$F$35+(H36&lt;&gt;"NA")*$F$36+(H37&lt;&gt;"NA")*$F$37+(H38&lt;&gt;"NA")*$F$38+(H39&lt;&gt;"NA")*$F$39+(H40&lt;&gt;"NA")*$F$40)*$F30)))</f>
        <v/>
      </c>
      <c r="I30" s="4">
        <f>IF(OR(I31="ER",I32="ER",I33="ER",I34="ER",I35="ER",I36="ER",I37="ER",I38="ER",I39="ER",I40="ER"),"ER",IF(OR(I31="?",I32="?",I33="?",I34="?",I35="?",I36="?",I37="?",I38="?",I39="?",I40="?"),"?",IF(AND(I31="NA",I32="NA",I33="NA",I34="NA",I35="NA",I36="NA",I37="NA",I38="NA",I39="NA",I40="NA"),"NA",SUM(I31,I32,I33,I34,I35,I36,I37,I38,I39,I40)/((I31&lt;&gt;"NA")*$F$31+(I32&lt;&gt;"NA")*$F$32+(I33&lt;&gt;"NA")*$F$33+(I34&lt;&gt;"NA")*$F$34+(I35&lt;&gt;"NA")*$F$35+(I36&lt;&gt;"NA")*$F$36+(I37&lt;&gt;"NA")*$F$37+(I38&lt;&gt;"NA")*$F$38+(I39&lt;&gt;"NA")*$F$39+(I40&lt;&gt;"NA")*$F$40)*$F30)))</f>
        <v/>
      </c>
      <c r="J30" s="4">
        <f>IF(OR(J31="ER",J32="ER",J33="ER",J34="ER",J35="ER",J36="ER",J37="ER",J38="ER",J39="ER",J40="ER"),"ER",IF(OR(J31="?",J32="?",J33="?",J34="?",J35="?",J36="?",J37="?",J38="?",J39="?",J40="?"),"?",IF(AND(J31="NA",J32="NA",J33="NA",J34="NA",J35="NA",J36="NA",J37="NA",J38="NA",J39="NA",J40="NA"),"NA",SUM(J31,J32,J33,J34,J35,J36,J37,J38,J39,J40)/((J31&lt;&gt;"NA")*$F$31+(J32&lt;&gt;"NA")*$F$32+(J33&lt;&gt;"NA")*$F$33+(J34&lt;&gt;"NA")*$F$34+(J35&lt;&gt;"NA")*$F$35+(J36&lt;&gt;"NA")*$F$36+(J37&lt;&gt;"NA")*$F$37+(J38&lt;&gt;"NA")*$F$38+(J39&lt;&gt;"NA")*$F$39+(J40&lt;&gt;"NA")*$F$40)*$F30)))</f>
        <v/>
      </c>
      <c r="K30" s="4">
        <f>IF(OR(K31="ER",K32="ER",K33="ER",K34="ER",K35="ER",K36="ER",K37="ER",K38="ER",K39="ER",K40="ER"),"ER",IF(OR(K31="?",K32="?",K33="?",K34="?",K35="?",K36="?",K37="?",K38="?",K39="?",K40="?"),"?",IF(AND(K31="NA",K32="NA",K33="NA",K34="NA",K35="NA",K36="NA",K37="NA",K38="NA",K39="NA",K40="NA"),"NA",SUM(K31,K32,K33,K34,K35,K36,K37,K38,K39,K40)/((K31&lt;&gt;"NA")*$F$31+(K32&lt;&gt;"NA")*$F$32+(K33&lt;&gt;"NA")*$F$33+(K34&lt;&gt;"NA")*$F$34+(K35&lt;&gt;"NA")*$F$35+(K36&lt;&gt;"NA")*$F$36+(K37&lt;&gt;"NA")*$F$37+(K38&lt;&gt;"NA")*$F$38+(K39&lt;&gt;"NA")*$F$39+(K40&lt;&gt;"NA")*$F$40)*$F30)))</f>
        <v/>
      </c>
      <c r="L30" s="4">
        <f>IF(OR(L31="ER",L32="ER",L33="ER",L34="ER",L35="ER",L36="ER",L37="ER",L38="ER",L39="ER",L40="ER"),"ER",IF(OR(L31="?",L32="?",L33="?",L34="?",L35="?",L36="?",L37="?",L38="?",L39="?",L40="?"),"?",IF(AND(L31="NA",L32="NA",L33="NA",L34="NA",L35="NA",L36="NA",L37="NA",L38="NA",L39="NA",L40="NA"),"NA",SUM(L31,L32,L33,L34,L35,L36,L37,L38,L39,L40)/((L31&lt;&gt;"NA")*$F$31+(L32&lt;&gt;"NA")*$F$32+(L33&lt;&gt;"NA")*$F$33+(L34&lt;&gt;"NA")*$F$34+(L35&lt;&gt;"NA")*$F$35+(L36&lt;&gt;"NA")*$F$36+(L37&lt;&gt;"NA")*$F$37+(L38&lt;&gt;"NA")*$F$38+(L39&lt;&gt;"NA")*$F$39+(L40&lt;&gt;"NA")*$F$40)*$F30)))</f>
        <v/>
      </c>
      <c r="M30" s="4">
        <f>IF(OR(M31="ER",M32="ER",M33="ER",M34="ER",M35="ER",M36="ER",M37="ER",M38="ER",M39="ER",M40="ER"),"ER",IF(OR(M31="?",M32="?",M33="?",M34="?",M35="?",M36="?",M37="?",M38="?",M39="?",M40="?"),"?",IF(AND(M31="NA",M32="NA",M33="NA",M34="NA",M35="NA",M36="NA",M37="NA",M38="NA",M39="NA",M40="NA"),"NA",SUM(M31,M32,M33,M34,M35,M36,M37,M38,M39,M40)/((M31&lt;&gt;"NA")*$F$31+(M32&lt;&gt;"NA")*$F$32+(M33&lt;&gt;"NA")*$F$33+(M34&lt;&gt;"NA")*$F$34+(M35&lt;&gt;"NA")*$F$35+(M36&lt;&gt;"NA")*$F$36+(M37&lt;&gt;"NA")*$F$37+(M38&lt;&gt;"NA")*$F$38+(M39&lt;&gt;"NA")*$F$39+(M40&lt;&gt;"NA")*$F$40)*$F30)))</f>
        <v/>
      </c>
    </row>
    <row r="31">
      <c r="A31" t="inlineStr">
        <is>
          <t>DPG5a</t>
        </is>
      </c>
      <c r="B31">
        <f>VLOOKUP($A31,'PARASTATAL Questions'!$A:$J,3,0)&amp;""</f>
        <v/>
      </c>
      <c r="C31">
        <f>VLOOKUP($A31,'PARASTATAL Questions'!$A:$J,4,0)&amp;""</f>
        <v/>
      </c>
      <c r="D31">
        <f>VLOOKUP($A31,'PARASTATAL Questions'!$A:$J,5,0)&amp;""</f>
        <v/>
      </c>
      <c r="E31">
        <f>VLOOKUP($A31,'PARASTATAL Questions'!$A:$J,7,0)&amp;""</f>
        <v/>
      </c>
      <c r="F31">
        <f>VLOOKUP($A31,'PARASTATAL Questions'!$A:$J,6,0)</f>
        <v/>
      </c>
      <c r="G31">
        <f>IF($F31=0,"NA",IF($A31=INDIRECT("'"&amp;$A31&amp;"'!$B$1"),IF(VLOOKUP(G$1,INDIRECT("'"&amp;$A31&amp;"'!$A$12:$Z$19"),MATCH("Points (Auto-generate)",INDIRECT("'"&amp;$A31&amp;"'!$A$12:$Z$12"),0),0)="","?",VLOOKUP(G$1,INDIRECT("'"&amp;$A31&amp;"'!$A$12:$Z$19"),MATCH("Points (Auto-generate)",INDIRECT("'"&amp;$A31&amp;"'!$A$12:$Z$12"),0),0)),"ER"))</f>
        <v/>
      </c>
      <c r="H31">
        <f>IF($F31=0,"NA",IF($A31=INDIRECT("'"&amp;$A31&amp;"'!$B$1"),IF(VLOOKUP(H$1,INDIRECT("'"&amp;$A31&amp;"'!$A$12:$Z$19"),MATCH("Points (Auto-generate)",INDIRECT("'"&amp;$A31&amp;"'!$A$12:$Z$12"),0),0)="","?",VLOOKUP(H$1,INDIRECT("'"&amp;$A31&amp;"'!$A$12:$Z$19"),MATCH("Points (Auto-generate)",INDIRECT("'"&amp;$A31&amp;"'!$A$12:$Z$12"),0),0)),"ER"))</f>
        <v/>
      </c>
      <c r="I31">
        <f>IF($F31=0,"NA",IF($A31=INDIRECT("'"&amp;$A31&amp;"'!$B$1"),IF(VLOOKUP(I$1,INDIRECT("'"&amp;$A31&amp;"'!$A$12:$Z$19"),MATCH("Points (Auto-generate)",INDIRECT("'"&amp;$A31&amp;"'!$A$12:$Z$12"),0),0)="","?",VLOOKUP(I$1,INDIRECT("'"&amp;$A31&amp;"'!$A$12:$Z$19"),MATCH("Points (Auto-generate)",INDIRECT("'"&amp;$A31&amp;"'!$A$12:$Z$12"),0),0)),"ER"))</f>
        <v/>
      </c>
      <c r="J31">
        <f>IF($F31=0,"NA",IF($A31=INDIRECT("'"&amp;$A31&amp;"'!$B$1"),IF(VLOOKUP(J$1,INDIRECT("'"&amp;$A31&amp;"'!$A$12:$Z$19"),MATCH("Points (Auto-generate)",INDIRECT("'"&amp;$A31&amp;"'!$A$12:$Z$12"),0),0)="","?",VLOOKUP(J$1,INDIRECT("'"&amp;$A31&amp;"'!$A$12:$Z$19"),MATCH("Points (Auto-generate)",INDIRECT("'"&amp;$A31&amp;"'!$A$12:$Z$12"),0),0)),"ER"))</f>
        <v/>
      </c>
      <c r="K31">
        <f>IF($F31=0,"NA",IF($A31=INDIRECT("'"&amp;$A31&amp;"'!$B$1"),IF(VLOOKUP(K$1,INDIRECT("'"&amp;$A31&amp;"'!$A$12:$Z$19"),MATCH("Points (Auto-generate)",INDIRECT("'"&amp;$A31&amp;"'!$A$12:$Z$12"),0),0)="","?",VLOOKUP(K$1,INDIRECT("'"&amp;$A31&amp;"'!$A$12:$Z$19"),MATCH("Points (Auto-generate)",INDIRECT("'"&amp;$A31&amp;"'!$A$12:$Z$12"),0),0)),"ER"))</f>
        <v/>
      </c>
      <c r="L31">
        <f>IF($F31=0,"NA",IF($A31=INDIRECT("'"&amp;$A31&amp;"'!$B$1"),IF(VLOOKUP(L$1,INDIRECT("'"&amp;$A31&amp;"'!$A$12:$Z$19"),MATCH("Points (Auto-generate)",INDIRECT("'"&amp;$A31&amp;"'!$A$12:$Z$12"),0),0)="","?",VLOOKUP(L$1,INDIRECT("'"&amp;$A31&amp;"'!$A$12:$Z$19"),MATCH("Points (Auto-generate)",INDIRECT("'"&amp;$A31&amp;"'!$A$12:$Z$12"),0),0)),"ER"))</f>
        <v/>
      </c>
      <c r="M31">
        <f>IF($F31=0,"NA",IF($A31=INDIRECT("'"&amp;$A31&amp;"'!$B$1"),IF(VLOOKUP(M$1,INDIRECT("'"&amp;$A31&amp;"'!$A$12:$Z$19"),MATCH("Points (Auto-generate)",INDIRECT("'"&amp;$A31&amp;"'!$A$12:$Z$12"),0),0)="","?",VLOOKUP(M$1,INDIRECT("'"&amp;$A31&amp;"'!$A$12:$Z$19"),MATCH("Points (Auto-generate)",INDIRECT("'"&amp;$A31&amp;"'!$A$12:$Z$12"),0),0)),"ER"))</f>
        <v/>
      </c>
    </row>
    <row r="32">
      <c r="A32" t="inlineStr">
        <is>
          <t>DPG5b</t>
        </is>
      </c>
      <c r="B32">
        <f>VLOOKUP($A32,'PARASTATAL Questions'!$A:$J,3,0)&amp;""</f>
        <v/>
      </c>
      <c r="C32">
        <f>VLOOKUP($A32,'PARASTATAL Questions'!$A:$J,4,0)&amp;""</f>
        <v/>
      </c>
      <c r="D32">
        <f>VLOOKUP($A32,'PARASTATAL Questions'!$A:$J,5,0)&amp;""</f>
        <v/>
      </c>
      <c r="E32">
        <f>VLOOKUP($A32,'PARASTATAL Questions'!$A:$J,7,0)&amp;""</f>
        <v/>
      </c>
      <c r="F32">
        <f>VLOOKUP($A32,'PARASTATAL Questions'!$A:$J,6,0)</f>
        <v/>
      </c>
      <c r="G32">
        <f>IF($F32=0,"NA",IF($A32=INDIRECT("'"&amp;$A32&amp;"'!$B$1"),IF(VLOOKUP(G$1,INDIRECT("'"&amp;$A32&amp;"'!$A$12:$Z$19"),MATCH("Points (Auto-generate)",INDIRECT("'"&amp;$A32&amp;"'!$A$12:$Z$12"),0),0)="","?",VLOOKUP(G$1,INDIRECT("'"&amp;$A32&amp;"'!$A$12:$Z$19"),MATCH("Points (Auto-generate)",INDIRECT("'"&amp;$A32&amp;"'!$A$12:$Z$12"),0),0)),"ER"))</f>
        <v/>
      </c>
      <c r="H32">
        <f>IF($F32=0,"NA",IF($A32=INDIRECT("'"&amp;$A32&amp;"'!$B$1"),IF(VLOOKUP(H$1,INDIRECT("'"&amp;$A32&amp;"'!$A$12:$Z$19"),MATCH("Points (Auto-generate)",INDIRECT("'"&amp;$A32&amp;"'!$A$12:$Z$12"),0),0)="","?",VLOOKUP(H$1,INDIRECT("'"&amp;$A32&amp;"'!$A$12:$Z$19"),MATCH("Points (Auto-generate)",INDIRECT("'"&amp;$A32&amp;"'!$A$12:$Z$12"),0),0)),"ER"))</f>
        <v/>
      </c>
      <c r="I32">
        <f>IF($F32=0,"NA",IF($A32=INDIRECT("'"&amp;$A32&amp;"'!$B$1"),IF(VLOOKUP(I$1,INDIRECT("'"&amp;$A32&amp;"'!$A$12:$Z$19"),MATCH("Points (Auto-generate)",INDIRECT("'"&amp;$A32&amp;"'!$A$12:$Z$12"),0),0)="","?",VLOOKUP(I$1,INDIRECT("'"&amp;$A32&amp;"'!$A$12:$Z$19"),MATCH("Points (Auto-generate)",INDIRECT("'"&amp;$A32&amp;"'!$A$12:$Z$12"),0),0)),"ER"))</f>
        <v/>
      </c>
      <c r="J32">
        <f>IF($F32=0,"NA",IF($A32=INDIRECT("'"&amp;$A32&amp;"'!$B$1"),IF(VLOOKUP(J$1,INDIRECT("'"&amp;$A32&amp;"'!$A$12:$Z$19"),MATCH("Points (Auto-generate)",INDIRECT("'"&amp;$A32&amp;"'!$A$12:$Z$12"),0),0)="","?",VLOOKUP(J$1,INDIRECT("'"&amp;$A32&amp;"'!$A$12:$Z$19"),MATCH("Points (Auto-generate)",INDIRECT("'"&amp;$A32&amp;"'!$A$12:$Z$12"),0),0)),"ER"))</f>
        <v/>
      </c>
      <c r="K32">
        <f>IF($F32=0,"NA",IF($A32=INDIRECT("'"&amp;$A32&amp;"'!$B$1"),IF(VLOOKUP(K$1,INDIRECT("'"&amp;$A32&amp;"'!$A$12:$Z$19"),MATCH("Points (Auto-generate)",INDIRECT("'"&amp;$A32&amp;"'!$A$12:$Z$12"),0),0)="","?",VLOOKUP(K$1,INDIRECT("'"&amp;$A32&amp;"'!$A$12:$Z$19"),MATCH("Points (Auto-generate)",INDIRECT("'"&amp;$A32&amp;"'!$A$12:$Z$12"),0),0)),"ER"))</f>
        <v/>
      </c>
      <c r="L32">
        <f>IF($F32=0,"NA",IF($A32=INDIRECT("'"&amp;$A32&amp;"'!$B$1"),IF(VLOOKUP(L$1,INDIRECT("'"&amp;$A32&amp;"'!$A$12:$Z$19"),MATCH("Points (Auto-generate)",INDIRECT("'"&amp;$A32&amp;"'!$A$12:$Z$12"),0),0)="","?",VLOOKUP(L$1,INDIRECT("'"&amp;$A32&amp;"'!$A$12:$Z$19"),MATCH("Points (Auto-generate)",INDIRECT("'"&amp;$A32&amp;"'!$A$12:$Z$12"),0),0)),"ER"))</f>
        <v/>
      </c>
      <c r="M32">
        <f>IF($F32=0,"NA",IF($A32=INDIRECT("'"&amp;$A32&amp;"'!$B$1"),IF(VLOOKUP(M$1,INDIRECT("'"&amp;$A32&amp;"'!$A$12:$Z$19"),MATCH("Points (Auto-generate)",INDIRECT("'"&amp;$A32&amp;"'!$A$12:$Z$12"),0),0)="","?",VLOOKUP(M$1,INDIRECT("'"&amp;$A32&amp;"'!$A$12:$Z$19"),MATCH("Points (Auto-generate)",INDIRECT("'"&amp;$A32&amp;"'!$A$12:$Z$12"),0),0)),"ER"))</f>
        <v/>
      </c>
    </row>
    <row r="33">
      <c r="A33" t="inlineStr">
        <is>
          <t>DPG5c</t>
        </is>
      </c>
      <c r="B33">
        <f>VLOOKUP($A33,'PARASTATAL Questions'!$A:$J,3,0)&amp;""</f>
        <v/>
      </c>
      <c r="C33">
        <f>VLOOKUP($A33,'PARASTATAL Questions'!$A:$J,4,0)&amp;""</f>
        <v/>
      </c>
      <c r="D33">
        <f>VLOOKUP($A33,'PARASTATAL Questions'!$A:$J,5,0)&amp;""</f>
        <v/>
      </c>
      <c r="E33">
        <f>VLOOKUP($A33,'PARASTATAL Questions'!$A:$J,7,0)&amp;""</f>
        <v/>
      </c>
      <c r="F33">
        <f>VLOOKUP($A33,'PARASTATAL Questions'!$A:$J,6,0)</f>
        <v/>
      </c>
      <c r="G33">
        <f>IF($F33=0,"NA",IF($A33=INDIRECT("'"&amp;$A33&amp;"'!$B$1"),IF(VLOOKUP(G$1,INDIRECT("'"&amp;$A33&amp;"'!$A$12:$Z$19"),MATCH("Points (Auto-generate)",INDIRECT("'"&amp;$A33&amp;"'!$A$12:$Z$12"),0),0)="","?",VLOOKUP(G$1,INDIRECT("'"&amp;$A33&amp;"'!$A$12:$Z$19"),MATCH("Points (Auto-generate)",INDIRECT("'"&amp;$A33&amp;"'!$A$12:$Z$12"),0),0)),"ER"))</f>
        <v/>
      </c>
      <c r="H33">
        <f>IF($F33=0,"NA",IF($A33=INDIRECT("'"&amp;$A33&amp;"'!$B$1"),IF(VLOOKUP(H$1,INDIRECT("'"&amp;$A33&amp;"'!$A$12:$Z$19"),MATCH("Points (Auto-generate)",INDIRECT("'"&amp;$A33&amp;"'!$A$12:$Z$12"),0),0)="","?",VLOOKUP(H$1,INDIRECT("'"&amp;$A33&amp;"'!$A$12:$Z$19"),MATCH("Points (Auto-generate)",INDIRECT("'"&amp;$A33&amp;"'!$A$12:$Z$12"),0),0)),"ER"))</f>
        <v/>
      </c>
      <c r="I33">
        <f>IF($F33=0,"NA",IF($A33=INDIRECT("'"&amp;$A33&amp;"'!$B$1"),IF(VLOOKUP(I$1,INDIRECT("'"&amp;$A33&amp;"'!$A$12:$Z$19"),MATCH("Points (Auto-generate)",INDIRECT("'"&amp;$A33&amp;"'!$A$12:$Z$12"),0),0)="","?",VLOOKUP(I$1,INDIRECT("'"&amp;$A33&amp;"'!$A$12:$Z$19"),MATCH("Points (Auto-generate)",INDIRECT("'"&amp;$A33&amp;"'!$A$12:$Z$12"),0),0)),"ER"))</f>
        <v/>
      </c>
      <c r="J33">
        <f>IF($F33=0,"NA",IF($A33=INDIRECT("'"&amp;$A33&amp;"'!$B$1"),IF(VLOOKUP(J$1,INDIRECT("'"&amp;$A33&amp;"'!$A$12:$Z$19"),MATCH("Points (Auto-generate)",INDIRECT("'"&amp;$A33&amp;"'!$A$12:$Z$12"),0),0)="","?",VLOOKUP(J$1,INDIRECT("'"&amp;$A33&amp;"'!$A$12:$Z$19"),MATCH("Points (Auto-generate)",INDIRECT("'"&amp;$A33&amp;"'!$A$12:$Z$12"),0),0)),"ER"))</f>
        <v/>
      </c>
      <c r="K33">
        <f>IF($F33=0,"NA",IF($A33=INDIRECT("'"&amp;$A33&amp;"'!$B$1"),IF(VLOOKUP(K$1,INDIRECT("'"&amp;$A33&amp;"'!$A$12:$Z$19"),MATCH("Points (Auto-generate)",INDIRECT("'"&amp;$A33&amp;"'!$A$12:$Z$12"),0),0)="","?",VLOOKUP(K$1,INDIRECT("'"&amp;$A33&amp;"'!$A$12:$Z$19"),MATCH("Points (Auto-generate)",INDIRECT("'"&amp;$A33&amp;"'!$A$12:$Z$12"),0),0)),"ER"))</f>
        <v/>
      </c>
      <c r="L33">
        <f>IF($F33=0,"NA",IF($A33=INDIRECT("'"&amp;$A33&amp;"'!$B$1"),IF(VLOOKUP(L$1,INDIRECT("'"&amp;$A33&amp;"'!$A$12:$Z$19"),MATCH("Points (Auto-generate)",INDIRECT("'"&amp;$A33&amp;"'!$A$12:$Z$12"),0),0)="","?",VLOOKUP(L$1,INDIRECT("'"&amp;$A33&amp;"'!$A$12:$Z$19"),MATCH("Points (Auto-generate)",INDIRECT("'"&amp;$A33&amp;"'!$A$12:$Z$12"),0),0)),"ER"))</f>
        <v/>
      </c>
      <c r="M33">
        <f>IF($F33=0,"NA",IF($A33=INDIRECT("'"&amp;$A33&amp;"'!$B$1"),IF(VLOOKUP(M$1,INDIRECT("'"&amp;$A33&amp;"'!$A$12:$Z$19"),MATCH("Points (Auto-generate)",INDIRECT("'"&amp;$A33&amp;"'!$A$12:$Z$12"),0),0)="","?",VLOOKUP(M$1,INDIRECT("'"&amp;$A33&amp;"'!$A$12:$Z$19"),MATCH("Points (Auto-generate)",INDIRECT("'"&amp;$A33&amp;"'!$A$12:$Z$12"),0),0)),"ER"))</f>
        <v/>
      </c>
    </row>
    <row r="34">
      <c r="A34" t="inlineStr">
        <is>
          <t>DPG5d</t>
        </is>
      </c>
      <c r="B34">
        <f>VLOOKUP($A34,'PARASTATAL Questions'!$A:$J,3,0)&amp;""</f>
        <v/>
      </c>
      <c r="C34">
        <f>VLOOKUP($A34,'PARASTATAL Questions'!$A:$J,4,0)&amp;""</f>
        <v/>
      </c>
      <c r="D34">
        <f>VLOOKUP($A34,'PARASTATAL Questions'!$A:$J,5,0)&amp;""</f>
        <v/>
      </c>
      <c r="E34">
        <f>VLOOKUP($A34,'PARASTATAL Questions'!$A:$J,7,0)&amp;""</f>
        <v/>
      </c>
      <c r="F34">
        <f>VLOOKUP($A34,'PARASTATAL Questions'!$A:$J,6,0)</f>
        <v/>
      </c>
      <c r="G34">
        <f>IF($F34=0,"NA",IF($A34=INDIRECT("'"&amp;$A34&amp;"'!$B$1"),IF(VLOOKUP(G$1,INDIRECT("'"&amp;$A34&amp;"'!$A$12:$Z$19"),MATCH("Points (Auto-generate)",INDIRECT("'"&amp;$A34&amp;"'!$A$12:$Z$12"),0),0)="","?",VLOOKUP(G$1,INDIRECT("'"&amp;$A34&amp;"'!$A$12:$Z$19"),MATCH("Points (Auto-generate)",INDIRECT("'"&amp;$A34&amp;"'!$A$12:$Z$12"),0),0)),"ER"))</f>
        <v/>
      </c>
      <c r="H34">
        <f>IF($F34=0,"NA",IF($A34=INDIRECT("'"&amp;$A34&amp;"'!$B$1"),IF(VLOOKUP(H$1,INDIRECT("'"&amp;$A34&amp;"'!$A$12:$Z$19"),MATCH("Points (Auto-generate)",INDIRECT("'"&amp;$A34&amp;"'!$A$12:$Z$12"),0),0)="","?",VLOOKUP(H$1,INDIRECT("'"&amp;$A34&amp;"'!$A$12:$Z$19"),MATCH("Points (Auto-generate)",INDIRECT("'"&amp;$A34&amp;"'!$A$12:$Z$12"),0),0)),"ER"))</f>
        <v/>
      </c>
      <c r="I34">
        <f>IF($F34=0,"NA",IF($A34=INDIRECT("'"&amp;$A34&amp;"'!$B$1"),IF(VLOOKUP(I$1,INDIRECT("'"&amp;$A34&amp;"'!$A$12:$Z$19"),MATCH("Points (Auto-generate)",INDIRECT("'"&amp;$A34&amp;"'!$A$12:$Z$12"),0),0)="","?",VLOOKUP(I$1,INDIRECT("'"&amp;$A34&amp;"'!$A$12:$Z$19"),MATCH("Points (Auto-generate)",INDIRECT("'"&amp;$A34&amp;"'!$A$12:$Z$12"),0),0)),"ER"))</f>
        <v/>
      </c>
      <c r="J34">
        <f>IF($F34=0,"NA",IF($A34=INDIRECT("'"&amp;$A34&amp;"'!$B$1"),IF(VLOOKUP(J$1,INDIRECT("'"&amp;$A34&amp;"'!$A$12:$Z$19"),MATCH("Points (Auto-generate)",INDIRECT("'"&amp;$A34&amp;"'!$A$12:$Z$12"),0),0)="","?",VLOOKUP(J$1,INDIRECT("'"&amp;$A34&amp;"'!$A$12:$Z$19"),MATCH("Points (Auto-generate)",INDIRECT("'"&amp;$A34&amp;"'!$A$12:$Z$12"),0),0)),"ER"))</f>
        <v/>
      </c>
      <c r="K34">
        <f>IF($F34=0,"NA",IF($A34=INDIRECT("'"&amp;$A34&amp;"'!$B$1"),IF(VLOOKUP(K$1,INDIRECT("'"&amp;$A34&amp;"'!$A$12:$Z$19"),MATCH("Points (Auto-generate)",INDIRECT("'"&amp;$A34&amp;"'!$A$12:$Z$12"),0),0)="","?",VLOOKUP(K$1,INDIRECT("'"&amp;$A34&amp;"'!$A$12:$Z$19"),MATCH("Points (Auto-generate)",INDIRECT("'"&amp;$A34&amp;"'!$A$12:$Z$12"),0),0)),"ER"))</f>
        <v/>
      </c>
      <c r="L34">
        <f>IF($F34=0,"NA",IF($A34=INDIRECT("'"&amp;$A34&amp;"'!$B$1"),IF(VLOOKUP(L$1,INDIRECT("'"&amp;$A34&amp;"'!$A$12:$Z$19"),MATCH("Points (Auto-generate)",INDIRECT("'"&amp;$A34&amp;"'!$A$12:$Z$12"),0),0)="","?",VLOOKUP(L$1,INDIRECT("'"&amp;$A34&amp;"'!$A$12:$Z$19"),MATCH("Points (Auto-generate)",INDIRECT("'"&amp;$A34&amp;"'!$A$12:$Z$12"),0),0)),"ER"))</f>
        <v/>
      </c>
      <c r="M34">
        <f>IF($F34=0,"NA",IF($A34=INDIRECT("'"&amp;$A34&amp;"'!$B$1"),IF(VLOOKUP(M$1,INDIRECT("'"&amp;$A34&amp;"'!$A$12:$Z$19"),MATCH("Points (Auto-generate)",INDIRECT("'"&amp;$A34&amp;"'!$A$12:$Z$12"),0),0)="","?",VLOOKUP(M$1,INDIRECT("'"&amp;$A34&amp;"'!$A$12:$Z$19"),MATCH("Points (Auto-generate)",INDIRECT("'"&amp;$A34&amp;"'!$A$12:$Z$12"),0),0)),"ER"))</f>
        <v/>
      </c>
    </row>
    <row r="35">
      <c r="A35" t="inlineStr">
        <is>
          <t>DPG5e</t>
        </is>
      </c>
      <c r="B35">
        <f>VLOOKUP($A35,'PARASTATAL Questions'!$A:$J,3,0)&amp;""</f>
        <v/>
      </c>
      <c r="C35">
        <f>VLOOKUP($A35,'PARASTATAL Questions'!$A:$J,4,0)&amp;""</f>
        <v/>
      </c>
      <c r="D35">
        <f>VLOOKUP($A35,'PARASTATAL Questions'!$A:$J,5,0)&amp;""</f>
        <v/>
      </c>
      <c r="E35">
        <f>VLOOKUP($A35,'PARASTATAL Questions'!$A:$J,7,0)&amp;""</f>
        <v/>
      </c>
      <c r="F35">
        <f>VLOOKUP($A35,'PARASTATAL Questions'!$A:$J,6,0)</f>
        <v/>
      </c>
      <c r="G35">
        <f>IF($F35=0,"NA",IF($A35=INDIRECT("'"&amp;$A35&amp;"'!$B$1"),IF(VLOOKUP(G$1,INDIRECT("'"&amp;$A35&amp;"'!$A$12:$Z$19"),MATCH("Points (Auto-generate)",INDIRECT("'"&amp;$A35&amp;"'!$A$12:$Z$12"),0),0)="","?",VLOOKUP(G$1,INDIRECT("'"&amp;$A35&amp;"'!$A$12:$Z$19"),MATCH("Points (Auto-generate)",INDIRECT("'"&amp;$A35&amp;"'!$A$12:$Z$12"),0),0)),"ER"))</f>
        <v/>
      </c>
      <c r="H35">
        <f>IF($F35=0,"NA",IF($A35=INDIRECT("'"&amp;$A35&amp;"'!$B$1"),IF(VLOOKUP(H$1,INDIRECT("'"&amp;$A35&amp;"'!$A$12:$Z$19"),MATCH("Points (Auto-generate)",INDIRECT("'"&amp;$A35&amp;"'!$A$12:$Z$12"),0),0)="","?",VLOOKUP(H$1,INDIRECT("'"&amp;$A35&amp;"'!$A$12:$Z$19"),MATCH("Points (Auto-generate)",INDIRECT("'"&amp;$A35&amp;"'!$A$12:$Z$12"),0),0)),"ER"))</f>
        <v/>
      </c>
      <c r="I35">
        <f>IF($F35=0,"NA",IF($A35=INDIRECT("'"&amp;$A35&amp;"'!$B$1"),IF(VLOOKUP(I$1,INDIRECT("'"&amp;$A35&amp;"'!$A$12:$Z$19"),MATCH("Points (Auto-generate)",INDIRECT("'"&amp;$A35&amp;"'!$A$12:$Z$12"),0),0)="","?",VLOOKUP(I$1,INDIRECT("'"&amp;$A35&amp;"'!$A$12:$Z$19"),MATCH("Points (Auto-generate)",INDIRECT("'"&amp;$A35&amp;"'!$A$12:$Z$12"),0),0)),"ER"))</f>
        <v/>
      </c>
      <c r="J35">
        <f>IF($F35=0,"NA",IF($A35=INDIRECT("'"&amp;$A35&amp;"'!$B$1"),IF(VLOOKUP(J$1,INDIRECT("'"&amp;$A35&amp;"'!$A$12:$Z$19"),MATCH("Points (Auto-generate)",INDIRECT("'"&amp;$A35&amp;"'!$A$12:$Z$12"),0),0)="","?",VLOOKUP(J$1,INDIRECT("'"&amp;$A35&amp;"'!$A$12:$Z$19"),MATCH("Points (Auto-generate)",INDIRECT("'"&amp;$A35&amp;"'!$A$12:$Z$12"),0),0)),"ER"))</f>
        <v/>
      </c>
      <c r="K35">
        <f>IF($F35=0,"NA",IF($A35=INDIRECT("'"&amp;$A35&amp;"'!$B$1"),IF(VLOOKUP(K$1,INDIRECT("'"&amp;$A35&amp;"'!$A$12:$Z$19"),MATCH("Points (Auto-generate)",INDIRECT("'"&amp;$A35&amp;"'!$A$12:$Z$12"),0),0)="","?",VLOOKUP(K$1,INDIRECT("'"&amp;$A35&amp;"'!$A$12:$Z$19"),MATCH("Points (Auto-generate)",INDIRECT("'"&amp;$A35&amp;"'!$A$12:$Z$12"),0),0)),"ER"))</f>
        <v/>
      </c>
      <c r="L35">
        <f>IF($F35=0,"NA",IF($A35=INDIRECT("'"&amp;$A35&amp;"'!$B$1"),IF(VLOOKUP(L$1,INDIRECT("'"&amp;$A35&amp;"'!$A$12:$Z$19"),MATCH("Points (Auto-generate)",INDIRECT("'"&amp;$A35&amp;"'!$A$12:$Z$12"),0),0)="","?",VLOOKUP(L$1,INDIRECT("'"&amp;$A35&amp;"'!$A$12:$Z$19"),MATCH("Points (Auto-generate)",INDIRECT("'"&amp;$A35&amp;"'!$A$12:$Z$12"),0),0)),"ER"))</f>
        <v/>
      </c>
      <c r="M35">
        <f>IF($F35=0,"NA",IF($A35=INDIRECT("'"&amp;$A35&amp;"'!$B$1"),IF(VLOOKUP(M$1,INDIRECT("'"&amp;$A35&amp;"'!$A$12:$Z$19"),MATCH("Points (Auto-generate)",INDIRECT("'"&amp;$A35&amp;"'!$A$12:$Z$12"),0),0)="","?",VLOOKUP(M$1,INDIRECT("'"&amp;$A35&amp;"'!$A$12:$Z$19"),MATCH("Points (Auto-generate)",INDIRECT("'"&amp;$A35&amp;"'!$A$12:$Z$12"),0),0)),"ER"))</f>
        <v/>
      </c>
    </row>
    <row r="36">
      <c r="A36" t="inlineStr">
        <is>
          <t>DPG5f</t>
        </is>
      </c>
      <c r="B36">
        <f>VLOOKUP($A36,'PARASTATAL Questions'!$A:$J,3,0)&amp;""</f>
        <v/>
      </c>
      <c r="C36">
        <f>VLOOKUP($A36,'PARASTATAL Questions'!$A:$J,4,0)&amp;""</f>
        <v/>
      </c>
      <c r="D36">
        <f>VLOOKUP($A36,'PARASTATAL Questions'!$A:$J,5,0)&amp;""</f>
        <v/>
      </c>
      <c r="E36">
        <f>VLOOKUP($A36,'PARASTATAL Questions'!$A:$J,7,0)&amp;""</f>
        <v/>
      </c>
      <c r="F36">
        <f>VLOOKUP($A36,'PARASTATAL Questions'!$A:$J,6,0)</f>
        <v/>
      </c>
      <c r="G36">
        <f>IF($F36=0,"NA",IF($A36=INDIRECT("'"&amp;$A36&amp;"'!$B$1"),IF(VLOOKUP(G$1,INDIRECT("'"&amp;$A36&amp;"'!$A$12:$Z$19"),MATCH("Points (Auto-generate)",INDIRECT("'"&amp;$A36&amp;"'!$A$12:$Z$12"),0),0)="","?",VLOOKUP(G$1,INDIRECT("'"&amp;$A36&amp;"'!$A$12:$Z$19"),MATCH("Points (Auto-generate)",INDIRECT("'"&amp;$A36&amp;"'!$A$12:$Z$12"),0),0)),"ER"))</f>
        <v/>
      </c>
      <c r="H36">
        <f>IF($F36=0,"NA",IF($A36=INDIRECT("'"&amp;$A36&amp;"'!$B$1"),IF(VLOOKUP(H$1,INDIRECT("'"&amp;$A36&amp;"'!$A$12:$Z$19"),MATCH("Points (Auto-generate)",INDIRECT("'"&amp;$A36&amp;"'!$A$12:$Z$12"),0),0)="","?",VLOOKUP(H$1,INDIRECT("'"&amp;$A36&amp;"'!$A$12:$Z$19"),MATCH("Points (Auto-generate)",INDIRECT("'"&amp;$A36&amp;"'!$A$12:$Z$12"),0),0)),"ER"))</f>
        <v/>
      </c>
      <c r="I36">
        <f>IF($F36=0,"NA",IF($A36=INDIRECT("'"&amp;$A36&amp;"'!$B$1"),IF(VLOOKUP(I$1,INDIRECT("'"&amp;$A36&amp;"'!$A$12:$Z$19"),MATCH("Points (Auto-generate)",INDIRECT("'"&amp;$A36&amp;"'!$A$12:$Z$12"),0),0)="","?",VLOOKUP(I$1,INDIRECT("'"&amp;$A36&amp;"'!$A$12:$Z$19"),MATCH("Points (Auto-generate)",INDIRECT("'"&amp;$A36&amp;"'!$A$12:$Z$12"),0),0)),"ER"))</f>
        <v/>
      </c>
      <c r="J36">
        <f>IF($F36=0,"NA",IF($A36=INDIRECT("'"&amp;$A36&amp;"'!$B$1"),IF(VLOOKUP(J$1,INDIRECT("'"&amp;$A36&amp;"'!$A$12:$Z$19"),MATCH("Points (Auto-generate)",INDIRECT("'"&amp;$A36&amp;"'!$A$12:$Z$12"),0),0)="","?",VLOOKUP(J$1,INDIRECT("'"&amp;$A36&amp;"'!$A$12:$Z$19"),MATCH("Points (Auto-generate)",INDIRECT("'"&amp;$A36&amp;"'!$A$12:$Z$12"),0),0)),"ER"))</f>
        <v/>
      </c>
      <c r="K36">
        <f>IF($F36=0,"NA",IF($A36=INDIRECT("'"&amp;$A36&amp;"'!$B$1"),IF(VLOOKUP(K$1,INDIRECT("'"&amp;$A36&amp;"'!$A$12:$Z$19"),MATCH("Points (Auto-generate)",INDIRECT("'"&amp;$A36&amp;"'!$A$12:$Z$12"),0),0)="","?",VLOOKUP(K$1,INDIRECT("'"&amp;$A36&amp;"'!$A$12:$Z$19"),MATCH("Points (Auto-generate)",INDIRECT("'"&amp;$A36&amp;"'!$A$12:$Z$12"),0),0)),"ER"))</f>
        <v/>
      </c>
      <c r="L36">
        <f>IF($F36=0,"NA",IF($A36=INDIRECT("'"&amp;$A36&amp;"'!$B$1"),IF(VLOOKUP(L$1,INDIRECT("'"&amp;$A36&amp;"'!$A$12:$Z$19"),MATCH("Points (Auto-generate)",INDIRECT("'"&amp;$A36&amp;"'!$A$12:$Z$12"),0),0)="","?",VLOOKUP(L$1,INDIRECT("'"&amp;$A36&amp;"'!$A$12:$Z$19"),MATCH("Points (Auto-generate)",INDIRECT("'"&amp;$A36&amp;"'!$A$12:$Z$12"),0),0)),"ER"))</f>
        <v/>
      </c>
      <c r="M36">
        <f>IF($F36=0,"NA",IF($A36=INDIRECT("'"&amp;$A36&amp;"'!$B$1"),IF(VLOOKUP(M$1,INDIRECT("'"&amp;$A36&amp;"'!$A$12:$Z$19"),MATCH("Points (Auto-generate)",INDIRECT("'"&amp;$A36&amp;"'!$A$12:$Z$12"),0),0)="","?",VLOOKUP(M$1,INDIRECT("'"&amp;$A36&amp;"'!$A$12:$Z$19"),MATCH("Points (Auto-generate)",INDIRECT("'"&amp;$A36&amp;"'!$A$12:$Z$12"),0),0)),"ER"))</f>
        <v/>
      </c>
    </row>
    <row r="37">
      <c r="A37" t="inlineStr">
        <is>
          <t>DPG5g</t>
        </is>
      </c>
      <c r="B37">
        <f>VLOOKUP($A37,'PARASTATAL Questions'!$A:$J,3,0)&amp;""</f>
        <v/>
      </c>
      <c r="C37">
        <f>VLOOKUP($A37,'PARASTATAL Questions'!$A:$J,4,0)&amp;""</f>
        <v/>
      </c>
      <c r="D37">
        <f>VLOOKUP($A37,'PARASTATAL Questions'!$A:$J,5,0)&amp;""</f>
        <v/>
      </c>
      <c r="E37">
        <f>VLOOKUP($A37,'PARASTATAL Questions'!$A:$J,7,0)&amp;""</f>
        <v/>
      </c>
      <c r="F37">
        <f>VLOOKUP($A37,'PARASTATAL Questions'!$A:$J,6,0)</f>
        <v/>
      </c>
      <c r="G37">
        <f>IF($F37=0,"NA",IF($A37=INDIRECT("'"&amp;$A37&amp;"'!$B$1"),IF(VLOOKUP(G$1,INDIRECT("'"&amp;$A37&amp;"'!$A$12:$Z$19"),MATCH("Points (Auto-generate)",INDIRECT("'"&amp;$A37&amp;"'!$A$12:$Z$12"),0),0)="","?",VLOOKUP(G$1,INDIRECT("'"&amp;$A37&amp;"'!$A$12:$Z$19"),MATCH("Points (Auto-generate)",INDIRECT("'"&amp;$A37&amp;"'!$A$12:$Z$12"),0),0)),"ER"))</f>
        <v/>
      </c>
      <c r="H37">
        <f>IF($F37=0,"NA",IF($A37=INDIRECT("'"&amp;$A37&amp;"'!$B$1"),IF(VLOOKUP(H$1,INDIRECT("'"&amp;$A37&amp;"'!$A$12:$Z$19"),MATCH("Points (Auto-generate)",INDIRECT("'"&amp;$A37&amp;"'!$A$12:$Z$12"),0),0)="","?",VLOOKUP(H$1,INDIRECT("'"&amp;$A37&amp;"'!$A$12:$Z$19"),MATCH("Points (Auto-generate)",INDIRECT("'"&amp;$A37&amp;"'!$A$12:$Z$12"),0),0)),"ER"))</f>
        <v/>
      </c>
      <c r="I37">
        <f>IF($F37=0,"NA",IF($A37=INDIRECT("'"&amp;$A37&amp;"'!$B$1"),IF(VLOOKUP(I$1,INDIRECT("'"&amp;$A37&amp;"'!$A$12:$Z$19"),MATCH("Points (Auto-generate)",INDIRECT("'"&amp;$A37&amp;"'!$A$12:$Z$12"),0),0)="","?",VLOOKUP(I$1,INDIRECT("'"&amp;$A37&amp;"'!$A$12:$Z$19"),MATCH("Points (Auto-generate)",INDIRECT("'"&amp;$A37&amp;"'!$A$12:$Z$12"),0),0)),"ER"))</f>
        <v/>
      </c>
      <c r="J37">
        <f>IF($F37=0,"NA",IF($A37=INDIRECT("'"&amp;$A37&amp;"'!$B$1"),IF(VLOOKUP(J$1,INDIRECT("'"&amp;$A37&amp;"'!$A$12:$Z$19"),MATCH("Points (Auto-generate)",INDIRECT("'"&amp;$A37&amp;"'!$A$12:$Z$12"),0),0)="","?",VLOOKUP(J$1,INDIRECT("'"&amp;$A37&amp;"'!$A$12:$Z$19"),MATCH("Points (Auto-generate)",INDIRECT("'"&amp;$A37&amp;"'!$A$12:$Z$12"),0),0)),"ER"))</f>
        <v/>
      </c>
      <c r="K37">
        <f>IF($F37=0,"NA",IF($A37=INDIRECT("'"&amp;$A37&amp;"'!$B$1"),IF(VLOOKUP(K$1,INDIRECT("'"&amp;$A37&amp;"'!$A$12:$Z$19"),MATCH("Points (Auto-generate)",INDIRECT("'"&amp;$A37&amp;"'!$A$12:$Z$12"),0),0)="","?",VLOOKUP(K$1,INDIRECT("'"&amp;$A37&amp;"'!$A$12:$Z$19"),MATCH("Points (Auto-generate)",INDIRECT("'"&amp;$A37&amp;"'!$A$12:$Z$12"),0),0)),"ER"))</f>
        <v/>
      </c>
      <c r="L37">
        <f>IF($F37=0,"NA",IF($A37=INDIRECT("'"&amp;$A37&amp;"'!$B$1"),IF(VLOOKUP(L$1,INDIRECT("'"&amp;$A37&amp;"'!$A$12:$Z$19"),MATCH("Points (Auto-generate)",INDIRECT("'"&amp;$A37&amp;"'!$A$12:$Z$12"),0),0)="","?",VLOOKUP(L$1,INDIRECT("'"&amp;$A37&amp;"'!$A$12:$Z$19"),MATCH("Points (Auto-generate)",INDIRECT("'"&amp;$A37&amp;"'!$A$12:$Z$12"),0),0)),"ER"))</f>
        <v/>
      </c>
      <c r="M37">
        <f>IF($F37=0,"NA",IF($A37=INDIRECT("'"&amp;$A37&amp;"'!$B$1"),IF(VLOOKUP(M$1,INDIRECT("'"&amp;$A37&amp;"'!$A$12:$Z$19"),MATCH("Points (Auto-generate)",INDIRECT("'"&amp;$A37&amp;"'!$A$12:$Z$12"),0),0)="","?",VLOOKUP(M$1,INDIRECT("'"&amp;$A37&amp;"'!$A$12:$Z$19"),MATCH("Points (Auto-generate)",INDIRECT("'"&amp;$A37&amp;"'!$A$12:$Z$12"),0),0)),"ER"))</f>
        <v/>
      </c>
    </row>
    <row r="38">
      <c r="A38" t="inlineStr">
        <is>
          <t>DPG5h</t>
        </is>
      </c>
      <c r="B38">
        <f>VLOOKUP($A38,'PARASTATAL Questions'!$A:$J,3,0)&amp;""</f>
        <v/>
      </c>
      <c r="C38">
        <f>VLOOKUP($A38,'PARASTATAL Questions'!$A:$J,4,0)&amp;""</f>
        <v/>
      </c>
      <c r="D38">
        <f>VLOOKUP($A38,'PARASTATAL Questions'!$A:$J,5,0)&amp;""</f>
        <v/>
      </c>
      <c r="E38">
        <f>VLOOKUP($A38,'PARASTATAL Questions'!$A:$J,7,0)&amp;""</f>
        <v/>
      </c>
      <c r="F38">
        <f>VLOOKUP($A38,'PARASTATAL Questions'!$A:$J,6,0)</f>
        <v/>
      </c>
      <c r="G38">
        <f>IF($F38=0,"NA",IF($A38=INDIRECT("'"&amp;$A38&amp;"'!$B$1"),IF(VLOOKUP(G$1,INDIRECT("'"&amp;$A38&amp;"'!$A$12:$Z$19"),MATCH("Points (Auto-generate)",INDIRECT("'"&amp;$A38&amp;"'!$A$12:$Z$12"),0),0)="","?",VLOOKUP(G$1,INDIRECT("'"&amp;$A38&amp;"'!$A$12:$Z$19"),MATCH("Points (Auto-generate)",INDIRECT("'"&amp;$A38&amp;"'!$A$12:$Z$12"),0),0)),"ER"))</f>
        <v/>
      </c>
      <c r="H38">
        <f>IF($F38=0,"NA",IF($A38=INDIRECT("'"&amp;$A38&amp;"'!$B$1"),IF(VLOOKUP(H$1,INDIRECT("'"&amp;$A38&amp;"'!$A$12:$Z$19"),MATCH("Points (Auto-generate)",INDIRECT("'"&amp;$A38&amp;"'!$A$12:$Z$12"),0),0)="","?",VLOOKUP(H$1,INDIRECT("'"&amp;$A38&amp;"'!$A$12:$Z$19"),MATCH("Points (Auto-generate)",INDIRECT("'"&amp;$A38&amp;"'!$A$12:$Z$12"),0),0)),"ER"))</f>
        <v/>
      </c>
      <c r="I38">
        <f>IF($F38=0,"NA",IF($A38=INDIRECT("'"&amp;$A38&amp;"'!$B$1"),IF(VLOOKUP(I$1,INDIRECT("'"&amp;$A38&amp;"'!$A$12:$Z$19"),MATCH("Points (Auto-generate)",INDIRECT("'"&amp;$A38&amp;"'!$A$12:$Z$12"),0),0)="","?",VLOOKUP(I$1,INDIRECT("'"&amp;$A38&amp;"'!$A$12:$Z$19"),MATCH("Points (Auto-generate)",INDIRECT("'"&amp;$A38&amp;"'!$A$12:$Z$12"),0),0)),"ER"))</f>
        <v/>
      </c>
      <c r="J38">
        <f>IF($F38=0,"NA",IF($A38=INDIRECT("'"&amp;$A38&amp;"'!$B$1"),IF(VLOOKUP(J$1,INDIRECT("'"&amp;$A38&amp;"'!$A$12:$Z$19"),MATCH("Points (Auto-generate)",INDIRECT("'"&amp;$A38&amp;"'!$A$12:$Z$12"),0),0)="","?",VLOOKUP(J$1,INDIRECT("'"&amp;$A38&amp;"'!$A$12:$Z$19"),MATCH("Points (Auto-generate)",INDIRECT("'"&amp;$A38&amp;"'!$A$12:$Z$12"),0),0)),"ER"))</f>
        <v/>
      </c>
      <c r="K38">
        <f>IF($F38=0,"NA",IF($A38=INDIRECT("'"&amp;$A38&amp;"'!$B$1"),IF(VLOOKUP(K$1,INDIRECT("'"&amp;$A38&amp;"'!$A$12:$Z$19"),MATCH("Points (Auto-generate)",INDIRECT("'"&amp;$A38&amp;"'!$A$12:$Z$12"),0),0)="","?",VLOOKUP(K$1,INDIRECT("'"&amp;$A38&amp;"'!$A$12:$Z$19"),MATCH("Points (Auto-generate)",INDIRECT("'"&amp;$A38&amp;"'!$A$12:$Z$12"),0),0)),"ER"))</f>
        <v/>
      </c>
      <c r="L38">
        <f>IF($F38=0,"NA",IF($A38=INDIRECT("'"&amp;$A38&amp;"'!$B$1"),IF(VLOOKUP(L$1,INDIRECT("'"&amp;$A38&amp;"'!$A$12:$Z$19"),MATCH("Points (Auto-generate)",INDIRECT("'"&amp;$A38&amp;"'!$A$12:$Z$12"),0),0)="","?",VLOOKUP(L$1,INDIRECT("'"&amp;$A38&amp;"'!$A$12:$Z$19"),MATCH("Points (Auto-generate)",INDIRECT("'"&amp;$A38&amp;"'!$A$12:$Z$12"),0),0)),"ER"))</f>
        <v/>
      </c>
      <c r="M38">
        <f>IF($F38=0,"NA",IF($A38=INDIRECT("'"&amp;$A38&amp;"'!$B$1"),IF(VLOOKUP(M$1,INDIRECT("'"&amp;$A38&amp;"'!$A$12:$Z$19"),MATCH("Points (Auto-generate)",INDIRECT("'"&amp;$A38&amp;"'!$A$12:$Z$12"),0),0)="","?",VLOOKUP(M$1,INDIRECT("'"&amp;$A38&amp;"'!$A$12:$Z$19"),MATCH("Points (Auto-generate)",INDIRECT("'"&amp;$A38&amp;"'!$A$12:$Z$12"),0),0)),"ER"))</f>
        <v/>
      </c>
    </row>
    <row r="39">
      <c r="A39" t="inlineStr">
        <is>
          <t>DPG5i</t>
        </is>
      </c>
      <c r="B39">
        <f>VLOOKUP($A39,'PARASTATAL Questions'!$A:$J,3,0)&amp;""</f>
        <v/>
      </c>
      <c r="C39">
        <f>VLOOKUP($A39,'PARASTATAL Questions'!$A:$J,4,0)&amp;""</f>
        <v/>
      </c>
      <c r="D39">
        <f>VLOOKUP($A39,'PARASTATAL Questions'!$A:$J,5,0)&amp;""</f>
        <v/>
      </c>
      <c r="E39">
        <f>VLOOKUP($A39,'PARASTATAL Questions'!$A:$J,7,0)&amp;""</f>
        <v/>
      </c>
      <c r="F39">
        <f>VLOOKUP($A39,'PARASTATAL Questions'!$A:$J,6,0)</f>
        <v/>
      </c>
      <c r="G39">
        <f>IF($F39=0,"NA",IF($A39=INDIRECT("'"&amp;$A39&amp;"'!$B$1"),IF(VLOOKUP(G$1,INDIRECT("'"&amp;$A39&amp;"'!$A$12:$Z$19"),MATCH("Points (Auto-generate)",INDIRECT("'"&amp;$A39&amp;"'!$A$12:$Z$12"),0),0)="","?",VLOOKUP(G$1,INDIRECT("'"&amp;$A39&amp;"'!$A$12:$Z$19"),MATCH("Points (Auto-generate)",INDIRECT("'"&amp;$A39&amp;"'!$A$12:$Z$12"),0),0)),"ER"))</f>
        <v/>
      </c>
      <c r="H39">
        <f>IF($F39=0,"NA",IF($A39=INDIRECT("'"&amp;$A39&amp;"'!$B$1"),IF(VLOOKUP(H$1,INDIRECT("'"&amp;$A39&amp;"'!$A$12:$Z$19"),MATCH("Points (Auto-generate)",INDIRECT("'"&amp;$A39&amp;"'!$A$12:$Z$12"),0),0)="","?",VLOOKUP(H$1,INDIRECT("'"&amp;$A39&amp;"'!$A$12:$Z$19"),MATCH("Points (Auto-generate)",INDIRECT("'"&amp;$A39&amp;"'!$A$12:$Z$12"),0),0)),"ER"))</f>
        <v/>
      </c>
      <c r="I39">
        <f>IF($F39=0,"NA",IF($A39=INDIRECT("'"&amp;$A39&amp;"'!$B$1"),IF(VLOOKUP(I$1,INDIRECT("'"&amp;$A39&amp;"'!$A$12:$Z$19"),MATCH("Points (Auto-generate)",INDIRECT("'"&amp;$A39&amp;"'!$A$12:$Z$12"),0),0)="","?",VLOOKUP(I$1,INDIRECT("'"&amp;$A39&amp;"'!$A$12:$Z$19"),MATCH("Points (Auto-generate)",INDIRECT("'"&amp;$A39&amp;"'!$A$12:$Z$12"),0),0)),"ER"))</f>
        <v/>
      </c>
      <c r="J39">
        <f>IF($F39=0,"NA",IF($A39=INDIRECT("'"&amp;$A39&amp;"'!$B$1"),IF(VLOOKUP(J$1,INDIRECT("'"&amp;$A39&amp;"'!$A$12:$Z$19"),MATCH("Points (Auto-generate)",INDIRECT("'"&amp;$A39&amp;"'!$A$12:$Z$12"),0),0)="","?",VLOOKUP(J$1,INDIRECT("'"&amp;$A39&amp;"'!$A$12:$Z$19"),MATCH("Points (Auto-generate)",INDIRECT("'"&amp;$A39&amp;"'!$A$12:$Z$12"),0),0)),"ER"))</f>
        <v/>
      </c>
      <c r="K39">
        <f>IF($F39=0,"NA",IF($A39=INDIRECT("'"&amp;$A39&amp;"'!$B$1"),IF(VLOOKUP(K$1,INDIRECT("'"&amp;$A39&amp;"'!$A$12:$Z$19"),MATCH("Points (Auto-generate)",INDIRECT("'"&amp;$A39&amp;"'!$A$12:$Z$12"),0),0)="","?",VLOOKUP(K$1,INDIRECT("'"&amp;$A39&amp;"'!$A$12:$Z$19"),MATCH("Points (Auto-generate)",INDIRECT("'"&amp;$A39&amp;"'!$A$12:$Z$12"),0),0)),"ER"))</f>
        <v/>
      </c>
      <c r="L39">
        <f>IF($F39=0,"NA",IF($A39=INDIRECT("'"&amp;$A39&amp;"'!$B$1"),IF(VLOOKUP(L$1,INDIRECT("'"&amp;$A39&amp;"'!$A$12:$Z$19"),MATCH("Points (Auto-generate)",INDIRECT("'"&amp;$A39&amp;"'!$A$12:$Z$12"),0),0)="","?",VLOOKUP(L$1,INDIRECT("'"&amp;$A39&amp;"'!$A$12:$Z$19"),MATCH("Points (Auto-generate)",INDIRECT("'"&amp;$A39&amp;"'!$A$12:$Z$12"),0),0)),"ER"))</f>
        <v/>
      </c>
      <c r="M39">
        <f>IF($F39=0,"NA",IF($A39=INDIRECT("'"&amp;$A39&amp;"'!$B$1"),IF(VLOOKUP(M$1,INDIRECT("'"&amp;$A39&amp;"'!$A$12:$Z$19"),MATCH("Points (Auto-generate)",INDIRECT("'"&amp;$A39&amp;"'!$A$12:$Z$12"),0),0)="","?",VLOOKUP(M$1,INDIRECT("'"&amp;$A39&amp;"'!$A$12:$Z$19"),MATCH("Points (Auto-generate)",INDIRECT("'"&amp;$A39&amp;"'!$A$12:$Z$12"),0),0)),"ER"))</f>
        <v/>
      </c>
    </row>
    <row r="40">
      <c r="A40" t="inlineStr">
        <is>
          <t>DPG5j</t>
        </is>
      </c>
      <c r="B40">
        <f>VLOOKUP($A40,'PARASTATAL Questions'!$A:$J,3,0)&amp;""</f>
        <v/>
      </c>
      <c r="C40">
        <f>VLOOKUP($A40,'PARASTATAL Questions'!$A:$J,4,0)&amp;""</f>
        <v/>
      </c>
      <c r="D40">
        <f>VLOOKUP($A40,'PARASTATAL Questions'!$A:$J,5,0)&amp;""</f>
        <v/>
      </c>
      <c r="E40">
        <f>VLOOKUP($A40,'PARASTATAL Questions'!$A:$J,7,0)&amp;""</f>
        <v/>
      </c>
      <c r="F40">
        <f>VLOOKUP($A40,'PARASTATAL Questions'!$A:$J,6,0)</f>
        <v/>
      </c>
      <c r="G40">
        <f>IF($F40=0,"NA",IF($A40=INDIRECT("'"&amp;$A40&amp;"'!$B$1"),IF(VLOOKUP(G$1,INDIRECT("'"&amp;$A40&amp;"'!$A$12:$Z$19"),MATCH("Points (Auto-generate)",INDIRECT("'"&amp;$A40&amp;"'!$A$12:$Z$12"),0),0)="","?",VLOOKUP(G$1,INDIRECT("'"&amp;$A40&amp;"'!$A$12:$Z$19"),MATCH("Points (Auto-generate)",INDIRECT("'"&amp;$A40&amp;"'!$A$12:$Z$12"),0),0)),"ER"))</f>
        <v/>
      </c>
      <c r="H40">
        <f>IF($F40=0,"NA",IF($A40=INDIRECT("'"&amp;$A40&amp;"'!$B$1"),IF(VLOOKUP(H$1,INDIRECT("'"&amp;$A40&amp;"'!$A$12:$Z$19"),MATCH("Points (Auto-generate)",INDIRECT("'"&amp;$A40&amp;"'!$A$12:$Z$12"),0),0)="","?",VLOOKUP(H$1,INDIRECT("'"&amp;$A40&amp;"'!$A$12:$Z$19"),MATCH("Points (Auto-generate)",INDIRECT("'"&amp;$A40&amp;"'!$A$12:$Z$12"),0),0)),"ER"))</f>
        <v/>
      </c>
      <c r="I40">
        <f>IF($F40=0,"NA",IF($A40=INDIRECT("'"&amp;$A40&amp;"'!$B$1"),IF(VLOOKUP(I$1,INDIRECT("'"&amp;$A40&amp;"'!$A$12:$Z$19"),MATCH("Points (Auto-generate)",INDIRECT("'"&amp;$A40&amp;"'!$A$12:$Z$12"),0),0)="","?",VLOOKUP(I$1,INDIRECT("'"&amp;$A40&amp;"'!$A$12:$Z$19"),MATCH("Points (Auto-generate)",INDIRECT("'"&amp;$A40&amp;"'!$A$12:$Z$12"),0),0)),"ER"))</f>
        <v/>
      </c>
      <c r="J40">
        <f>IF($F40=0,"NA",IF($A40=INDIRECT("'"&amp;$A40&amp;"'!$B$1"),IF(VLOOKUP(J$1,INDIRECT("'"&amp;$A40&amp;"'!$A$12:$Z$19"),MATCH("Points (Auto-generate)",INDIRECT("'"&amp;$A40&amp;"'!$A$12:$Z$12"),0),0)="","?",VLOOKUP(J$1,INDIRECT("'"&amp;$A40&amp;"'!$A$12:$Z$19"),MATCH("Points (Auto-generate)",INDIRECT("'"&amp;$A40&amp;"'!$A$12:$Z$12"),0),0)),"ER"))</f>
        <v/>
      </c>
      <c r="K40">
        <f>IF($F40=0,"NA",IF($A40=INDIRECT("'"&amp;$A40&amp;"'!$B$1"),IF(VLOOKUP(K$1,INDIRECT("'"&amp;$A40&amp;"'!$A$12:$Z$19"),MATCH("Points (Auto-generate)",INDIRECT("'"&amp;$A40&amp;"'!$A$12:$Z$12"),0),0)="","?",VLOOKUP(K$1,INDIRECT("'"&amp;$A40&amp;"'!$A$12:$Z$19"),MATCH("Points (Auto-generate)",INDIRECT("'"&amp;$A40&amp;"'!$A$12:$Z$12"),0),0)),"ER"))</f>
        <v/>
      </c>
      <c r="L40">
        <f>IF($F40=0,"NA",IF($A40=INDIRECT("'"&amp;$A40&amp;"'!$B$1"),IF(VLOOKUP(L$1,INDIRECT("'"&amp;$A40&amp;"'!$A$12:$Z$19"),MATCH("Points (Auto-generate)",INDIRECT("'"&amp;$A40&amp;"'!$A$12:$Z$12"),0),0)="","?",VLOOKUP(L$1,INDIRECT("'"&amp;$A40&amp;"'!$A$12:$Z$19"),MATCH("Points (Auto-generate)",INDIRECT("'"&amp;$A40&amp;"'!$A$12:$Z$12"),0),0)),"ER"))</f>
        <v/>
      </c>
      <c r="M40">
        <f>IF($F40=0,"NA",IF($A40=INDIRECT("'"&amp;$A40&amp;"'!$B$1"),IF(VLOOKUP(M$1,INDIRECT("'"&amp;$A40&amp;"'!$A$12:$Z$19"),MATCH("Points (Auto-generate)",INDIRECT("'"&amp;$A40&amp;"'!$A$12:$Z$12"),0),0)="","?",VLOOKUP(M$1,INDIRECT("'"&amp;$A40&amp;"'!$A$12:$Z$19"),MATCH("Points (Auto-generate)",INDIRECT("'"&amp;$A40&amp;"'!$A$12:$Z$12"),0),0)),"ER"))</f>
        <v/>
      </c>
    </row>
    <row r="41">
      <c r="A41" s="4" t="inlineStr">
        <is>
          <t>DPG6</t>
        </is>
      </c>
      <c r="B41" s="4">
        <f>VLOOKUP($A41,'PARASTATAL Questions'!$A:$J,3,0)&amp;""</f>
        <v/>
      </c>
      <c r="C41" s="4">
        <f>VLOOKUP($A41,'PARASTATAL Questions'!$A:$J,4,0)&amp;""</f>
        <v/>
      </c>
      <c r="D41" s="4">
        <f>VLOOKUP($A41,'PARASTATAL Questions'!$A:$J,5,0)&amp;""</f>
        <v/>
      </c>
      <c r="E41" s="4">
        <f>VLOOKUP($A41,'PARASTATAL Questions'!$A:$J,7,0)&amp;""</f>
        <v/>
      </c>
      <c r="F41" s="4">
        <f>VLOOKUP($A41,'PARASTATAL Questions'!$A:$J,6,0)</f>
        <v/>
      </c>
      <c r="G41" s="4">
        <f>IF(OR(G42="ER",G43="ER"),"ER",IF(OR(G42="?",G43="?"),"?",IF(AND(G42="NA",G43="NA"),"NA",SUM(G42,G43)/((G42&lt;&gt;"NA")*$F$42+(G43&lt;&gt;"NA")*$F$43)*$F41)))</f>
        <v/>
      </c>
      <c r="H41" s="4">
        <f>IF(OR(H42="ER",H43="ER"),"ER",IF(OR(H42="?",H43="?"),"?",IF(AND(H42="NA",H43="NA"),"NA",SUM(H42,H43)/((H42&lt;&gt;"NA")*$F$42+(H43&lt;&gt;"NA")*$F$43)*$F41)))</f>
        <v/>
      </c>
      <c r="I41" s="4">
        <f>IF(OR(I42="ER",I43="ER"),"ER",IF(OR(I42="?",I43="?"),"?",IF(AND(I42="NA",I43="NA"),"NA",SUM(I42,I43)/((I42&lt;&gt;"NA")*$F$42+(I43&lt;&gt;"NA")*$F$43)*$F41)))</f>
        <v/>
      </c>
      <c r="J41" s="4">
        <f>IF(OR(J42="ER",J43="ER"),"ER",IF(OR(J42="?",J43="?"),"?",IF(AND(J42="NA",J43="NA"),"NA",SUM(J42,J43)/((J42&lt;&gt;"NA")*$F$42+(J43&lt;&gt;"NA")*$F$43)*$F41)))</f>
        <v/>
      </c>
      <c r="K41" s="4">
        <f>IF(OR(K42="ER",K43="ER"),"ER",IF(OR(K42="?",K43="?"),"?",IF(AND(K42="NA",K43="NA"),"NA",SUM(K42,K43)/((K42&lt;&gt;"NA")*$F$42+(K43&lt;&gt;"NA")*$F$43)*$F41)))</f>
        <v/>
      </c>
      <c r="L41" s="4">
        <f>IF(OR(L42="ER",L43="ER"),"ER",IF(OR(L42="?",L43="?"),"?",IF(AND(L42="NA",L43="NA"),"NA",SUM(L42,L43)/((L42&lt;&gt;"NA")*$F$42+(L43&lt;&gt;"NA")*$F$43)*$F41)))</f>
        <v/>
      </c>
      <c r="M41" s="4">
        <f>IF(OR(M42="ER",M43="ER"),"ER",IF(OR(M42="?",M43="?"),"?",IF(AND(M42="NA",M43="NA"),"NA",SUM(M42,M43)/((M42&lt;&gt;"NA")*$F$42+(M43&lt;&gt;"NA")*$F$43)*$F41)))</f>
        <v/>
      </c>
    </row>
    <row r="42">
      <c r="A42" t="inlineStr">
        <is>
          <t>DPG6a</t>
        </is>
      </c>
      <c r="B42">
        <f>VLOOKUP($A42,'PARASTATAL Questions'!$A:$J,3,0)&amp;""</f>
        <v/>
      </c>
      <c r="C42">
        <f>VLOOKUP($A42,'PARASTATAL Questions'!$A:$J,4,0)&amp;""</f>
        <v/>
      </c>
      <c r="D42">
        <f>VLOOKUP($A42,'PARASTATAL Questions'!$A:$J,5,0)&amp;""</f>
        <v/>
      </c>
      <c r="E42">
        <f>VLOOKUP($A42,'PARASTATAL Questions'!$A:$J,7,0)&amp;""</f>
        <v/>
      </c>
      <c r="F42">
        <f>VLOOKUP($A42,'PARASTATAL Questions'!$A:$J,6,0)</f>
        <v/>
      </c>
      <c r="G42">
        <f>IF($F42=0,"NA",IF($A42=INDIRECT("'"&amp;$A42&amp;"'!$B$1"),IF(VLOOKUP(G$1,INDIRECT("'"&amp;$A42&amp;"'!$A$12:$Z$19"),MATCH("Points (Auto-generate)",INDIRECT("'"&amp;$A42&amp;"'!$A$12:$Z$12"),0),0)="","?",VLOOKUP(G$1,INDIRECT("'"&amp;$A42&amp;"'!$A$12:$Z$19"),MATCH("Points (Auto-generate)",INDIRECT("'"&amp;$A42&amp;"'!$A$12:$Z$12"),0),0)),"ER"))</f>
        <v/>
      </c>
      <c r="H42">
        <f>IF($F42=0,"NA",IF($A42=INDIRECT("'"&amp;$A42&amp;"'!$B$1"),IF(VLOOKUP(H$1,INDIRECT("'"&amp;$A42&amp;"'!$A$12:$Z$19"),MATCH("Points (Auto-generate)",INDIRECT("'"&amp;$A42&amp;"'!$A$12:$Z$12"),0),0)="","?",VLOOKUP(H$1,INDIRECT("'"&amp;$A42&amp;"'!$A$12:$Z$19"),MATCH("Points (Auto-generate)",INDIRECT("'"&amp;$A42&amp;"'!$A$12:$Z$12"),0),0)),"ER"))</f>
        <v/>
      </c>
      <c r="I42">
        <f>IF($F42=0,"NA",IF($A42=INDIRECT("'"&amp;$A42&amp;"'!$B$1"),IF(VLOOKUP(I$1,INDIRECT("'"&amp;$A42&amp;"'!$A$12:$Z$19"),MATCH("Points (Auto-generate)",INDIRECT("'"&amp;$A42&amp;"'!$A$12:$Z$12"),0),0)="","?",VLOOKUP(I$1,INDIRECT("'"&amp;$A42&amp;"'!$A$12:$Z$19"),MATCH("Points (Auto-generate)",INDIRECT("'"&amp;$A42&amp;"'!$A$12:$Z$12"),0),0)),"ER"))</f>
        <v/>
      </c>
      <c r="J42">
        <f>IF($F42=0,"NA",IF($A42=INDIRECT("'"&amp;$A42&amp;"'!$B$1"),IF(VLOOKUP(J$1,INDIRECT("'"&amp;$A42&amp;"'!$A$12:$Z$19"),MATCH("Points (Auto-generate)",INDIRECT("'"&amp;$A42&amp;"'!$A$12:$Z$12"),0),0)="","?",VLOOKUP(J$1,INDIRECT("'"&amp;$A42&amp;"'!$A$12:$Z$19"),MATCH("Points (Auto-generate)",INDIRECT("'"&amp;$A42&amp;"'!$A$12:$Z$12"),0),0)),"ER"))</f>
        <v/>
      </c>
      <c r="K42">
        <f>IF($F42=0,"NA",IF($A42=INDIRECT("'"&amp;$A42&amp;"'!$B$1"),IF(VLOOKUP(K$1,INDIRECT("'"&amp;$A42&amp;"'!$A$12:$Z$19"),MATCH("Points (Auto-generate)",INDIRECT("'"&amp;$A42&amp;"'!$A$12:$Z$12"),0),0)="","?",VLOOKUP(K$1,INDIRECT("'"&amp;$A42&amp;"'!$A$12:$Z$19"),MATCH("Points (Auto-generate)",INDIRECT("'"&amp;$A42&amp;"'!$A$12:$Z$12"),0),0)),"ER"))</f>
        <v/>
      </c>
      <c r="L42">
        <f>IF($F42=0,"NA",IF($A42=INDIRECT("'"&amp;$A42&amp;"'!$B$1"),IF(VLOOKUP(L$1,INDIRECT("'"&amp;$A42&amp;"'!$A$12:$Z$19"),MATCH("Points (Auto-generate)",INDIRECT("'"&amp;$A42&amp;"'!$A$12:$Z$12"),0),0)="","?",VLOOKUP(L$1,INDIRECT("'"&amp;$A42&amp;"'!$A$12:$Z$19"),MATCH("Points (Auto-generate)",INDIRECT("'"&amp;$A42&amp;"'!$A$12:$Z$12"),0),0)),"ER"))</f>
        <v/>
      </c>
      <c r="M42">
        <f>IF($F42=0,"NA",IF($A42=INDIRECT("'"&amp;$A42&amp;"'!$B$1"),IF(VLOOKUP(M$1,INDIRECT("'"&amp;$A42&amp;"'!$A$12:$Z$19"),MATCH("Points (Auto-generate)",INDIRECT("'"&amp;$A42&amp;"'!$A$12:$Z$12"),0),0)="","?",VLOOKUP(M$1,INDIRECT("'"&amp;$A42&amp;"'!$A$12:$Z$19"),MATCH("Points (Auto-generate)",INDIRECT("'"&amp;$A42&amp;"'!$A$12:$Z$12"),0),0)),"ER"))</f>
        <v/>
      </c>
    </row>
    <row r="43">
      <c r="A43" t="inlineStr">
        <is>
          <t>DPG6b</t>
        </is>
      </c>
      <c r="B43">
        <f>VLOOKUP($A43,'PARASTATAL Questions'!$A:$J,3,0)&amp;""</f>
        <v/>
      </c>
      <c r="C43">
        <f>VLOOKUP($A43,'PARASTATAL Questions'!$A:$J,4,0)&amp;""</f>
        <v/>
      </c>
      <c r="D43">
        <f>VLOOKUP($A43,'PARASTATAL Questions'!$A:$J,5,0)&amp;""</f>
        <v/>
      </c>
      <c r="E43">
        <f>VLOOKUP($A43,'PARASTATAL Questions'!$A:$J,7,0)&amp;""</f>
        <v/>
      </c>
      <c r="F43">
        <f>VLOOKUP($A43,'PARASTATAL Questions'!$A:$J,6,0)</f>
        <v/>
      </c>
      <c r="G43">
        <f>IF($F43=0,"NA",IF($A43=INDIRECT("'"&amp;$A43&amp;"'!$B$1"),IF(VLOOKUP(G$1,INDIRECT("'"&amp;$A43&amp;"'!$A$12:$Z$19"),MATCH("Points (Auto-generate)",INDIRECT("'"&amp;$A43&amp;"'!$A$12:$Z$12"),0),0)="","?",VLOOKUP(G$1,INDIRECT("'"&amp;$A43&amp;"'!$A$12:$Z$19"),MATCH("Points (Auto-generate)",INDIRECT("'"&amp;$A43&amp;"'!$A$12:$Z$12"),0),0)),"ER"))</f>
        <v/>
      </c>
      <c r="H43">
        <f>IF($F43=0,"NA",IF($A43=INDIRECT("'"&amp;$A43&amp;"'!$B$1"),IF(VLOOKUP(H$1,INDIRECT("'"&amp;$A43&amp;"'!$A$12:$Z$19"),MATCH("Points (Auto-generate)",INDIRECT("'"&amp;$A43&amp;"'!$A$12:$Z$12"),0),0)="","?",VLOOKUP(H$1,INDIRECT("'"&amp;$A43&amp;"'!$A$12:$Z$19"),MATCH("Points (Auto-generate)",INDIRECT("'"&amp;$A43&amp;"'!$A$12:$Z$12"),0),0)),"ER"))</f>
        <v/>
      </c>
      <c r="I43">
        <f>IF($F43=0,"NA",IF($A43=INDIRECT("'"&amp;$A43&amp;"'!$B$1"),IF(VLOOKUP(I$1,INDIRECT("'"&amp;$A43&amp;"'!$A$12:$Z$19"),MATCH("Points (Auto-generate)",INDIRECT("'"&amp;$A43&amp;"'!$A$12:$Z$12"),0),0)="","?",VLOOKUP(I$1,INDIRECT("'"&amp;$A43&amp;"'!$A$12:$Z$19"),MATCH("Points (Auto-generate)",INDIRECT("'"&amp;$A43&amp;"'!$A$12:$Z$12"),0),0)),"ER"))</f>
        <v/>
      </c>
      <c r="J43">
        <f>IF($F43=0,"NA",IF($A43=INDIRECT("'"&amp;$A43&amp;"'!$B$1"),IF(VLOOKUP(J$1,INDIRECT("'"&amp;$A43&amp;"'!$A$12:$Z$19"),MATCH("Points (Auto-generate)",INDIRECT("'"&amp;$A43&amp;"'!$A$12:$Z$12"),0),0)="","?",VLOOKUP(J$1,INDIRECT("'"&amp;$A43&amp;"'!$A$12:$Z$19"),MATCH("Points (Auto-generate)",INDIRECT("'"&amp;$A43&amp;"'!$A$12:$Z$12"),0),0)),"ER"))</f>
        <v/>
      </c>
      <c r="K43">
        <f>IF($F43=0,"NA",IF($A43=INDIRECT("'"&amp;$A43&amp;"'!$B$1"),IF(VLOOKUP(K$1,INDIRECT("'"&amp;$A43&amp;"'!$A$12:$Z$19"),MATCH("Points (Auto-generate)",INDIRECT("'"&amp;$A43&amp;"'!$A$12:$Z$12"),0),0)="","?",VLOOKUP(K$1,INDIRECT("'"&amp;$A43&amp;"'!$A$12:$Z$19"),MATCH("Points (Auto-generate)",INDIRECT("'"&amp;$A43&amp;"'!$A$12:$Z$12"),0),0)),"ER"))</f>
        <v/>
      </c>
      <c r="L43">
        <f>IF($F43=0,"NA",IF($A43=INDIRECT("'"&amp;$A43&amp;"'!$B$1"),IF(VLOOKUP(L$1,INDIRECT("'"&amp;$A43&amp;"'!$A$12:$Z$19"),MATCH("Points (Auto-generate)",INDIRECT("'"&amp;$A43&amp;"'!$A$12:$Z$12"),0),0)="","?",VLOOKUP(L$1,INDIRECT("'"&amp;$A43&amp;"'!$A$12:$Z$19"),MATCH("Points (Auto-generate)",INDIRECT("'"&amp;$A43&amp;"'!$A$12:$Z$12"),0),0)),"ER"))</f>
        <v/>
      </c>
      <c r="M43">
        <f>IF($F43=0,"NA",IF($A43=INDIRECT("'"&amp;$A43&amp;"'!$B$1"),IF(VLOOKUP(M$1,INDIRECT("'"&amp;$A43&amp;"'!$A$12:$Z$19"),MATCH("Points (Auto-generate)",INDIRECT("'"&amp;$A43&amp;"'!$A$12:$Z$12"),0),0)="","?",VLOOKUP(M$1,INDIRECT("'"&amp;$A43&amp;"'!$A$12:$Z$19"),MATCH("Points (Auto-generate)",INDIRECT("'"&amp;$A43&amp;"'!$A$12:$Z$12"),0),0)),"ER"))</f>
        <v/>
      </c>
    </row>
    <row r="44">
      <c r="A44" s="4" t="inlineStr">
        <is>
          <t>DPG7</t>
        </is>
      </c>
      <c r="B44" s="4">
        <f>VLOOKUP($A44,'PARASTATAL Questions'!$A:$J,3,0)&amp;""</f>
        <v/>
      </c>
      <c r="C44" s="4">
        <f>VLOOKUP($A44,'PARASTATAL Questions'!$A:$J,4,0)&amp;""</f>
        <v/>
      </c>
      <c r="D44" s="4">
        <f>VLOOKUP($A44,'PARASTATAL Questions'!$A:$J,5,0)&amp;""</f>
        <v/>
      </c>
      <c r="E44" s="4">
        <f>VLOOKUP($A44,'PARASTATAL Questions'!$A:$J,7,0)&amp;""</f>
        <v/>
      </c>
      <c r="F44" s="4">
        <f>VLOOKUP($A44,'PARASTATAL Questions'!$A:$J,6,0)</f>
        <v/>
      </c>
      <c r="G44" s="4">
        <f>IF(OR(G45="ER",G46="ER"),"ER",IF(OR(G45="?",G46="?"),"?",IF(AND(G45="NA",G46="NA"),"NA",SUM(G45,G46)/((G45&lt;&gt;"NA")*$F$45+(G46&lt;&gt;"NA")*$F$46)*$F44)))</f>
        <v/>
      </c>
      <c r="H44" s="4">
        <f>IF(OR(H45="ER",H46="ER"),"ER",IF(OR(H45="?",H46="?"),"?",IF(AND(H45="NA",H46="NA"),"NA",SUM(H45,H46)/((H45&lt;&gt;"NA")*$F$45+(H46&lt;&gt;"NA")*$F$46)*$F44)))</f>
        <v/>
      </c>
      <c r="I44" s="4">
        <f>IF(OR(I45="ER",I46="ER"),"ER",IF(OR(I45="?",I46="?"),"?",IF(AND(I45="NA",I46="NA"),"NA",SUM(I45,I46)/((I45&lt;&gt;"NA")*$F$45+(I46&lt;&gt;"NA")*$F$46)*$F44)))</f>
        <v/>
      </c>
      <c r="J44" s="4">
        <f>IF(OR(J45="ER",J46="ER"),"ER",IF(OR(J45="?",J46="?"),"?",IF(AND(J45="NA",J46="NA"),"NA",SUM(J45,J46)/((J45&lt;&gt;"NA")*$F$45+(J46&lt;&gt;"NA")*$F$46)*$F44)))</f>
        <v/>
      </c>
      <c r="K44" s="4">
        <f>IF(OR(K45="ER",K46="ER"),"ER",IF(OR(K45="?",K46="?"),"?",IF(AND(K45="NA",K46="NA"),"NA",SUM(K45,K46)/((K45&lt;&gt;"NA")*$F$45+(K46&lt;&gt;"NA")*$F$46)*$F44)))</f>
        <v/>
      </c>
      <c r="L44" s="4">
        <f>IF(OR(L45="ER",L46="ER"),"ER",IF(OR(L45="?",L46="?"),"?",IF(AND(L45="NA",L46="NA"),"NA",SUM(L45,L46)/((L45&lt;&gt;"NA")*$F$45+(L46&lt;&gt;"NA")*$F$46)*$F44)))</f>
        <v/>
      </c>
      <c r="M44" s="4">
        <f>IF(OR(M45="ER",M46="ER"),"ER",IF(OR(M45="?",M46="?"),"?",IF(AND(M45="NA",M46="NA"),"NA",SUM(M45,M46)/((M45&lt;&gt;"NA")*$F$45+(M46&lt;&gt;"NA")*$F$46)*$F44)))</f>
        <v/>
      </c>
    </row>
    <row r="45">
      <c r="A45" t="inlineStr">
        <is>
          <t>DPG7a</t>
        </is>
      </c>
      <c r="B45">
        <f>VLOOKUP($A45,'PARASTATAL Questions'!$A:$J,3,0)&amp;""</f>
        <v/>
      </c>
      <c r="C45">
        <f>VLOOKUP($A45,'PARASTATAL Questions'!$A:$J,4,0)&amp;""</f>
        <v/>
      </c>
      <c r="D45">
        <f>VLOOKUP($A45,'PARASTATAL Questions'!$A:$J,5,0)&amp;""</f>
        <v/>
      </c>
      <c r="E45">
        <f>VLOOKUP($A45,'PARASTATAL Questions'!$A:$J,7,0)&amp;""</f>
        <v/>
      </c>
      <c r="F45">
        <f>VLOOKUP($A45,'PARASTATAL Questions'!$A:$J,6,0)</f>
        <v/>
      </c>
      <c r="G45">
        <f>IF($F45=0,"NA",IF($A45=INDIRECT("'"&amp;$A45&amp;"'!$B$1"),IF(VLOOKUP(G$1,INDIRECT("'"&amp;$A45&amp;"'!$A$12:$Z$19"),MATCH("Points (Auto-generate)",INDIRECT("'"&amp;$A45&amp;"'!$A$12:$Z$12"),0),0)="","?",VLOOKUP(G$1,INDIRECT("'"&amp;$A45&amp;"'!$A$12:$Z$19"),MATCH("Points (Auto-generate)",INDIRECT("'"&amp;$A45&amp;"'!$A$12:$Z$12"),0),0)),"ER"))</f>
        <v/>
      </c>
      <c r="H45">
        <f>IF($F45=0,"NA",IF($A45=INDIRECT("'"&amp;$A45&amp;"'!$B$1"),IF(VLOOKUP(H$1,INDIRECT("'"&amp;$A45&amp;"'!$A$12:$Z$19"),MATCH("Points (Auto-generate)",INDIRECT("'"&amp;$A45&amp;"'!$A$12:$Z$12"),0),0)="","?",VLOOKUP(H$1,INDIRECT("'"&amp;$A45&amp;"'!$A$12:$Z$19"),MATCH("Points (Auto-generate)",INDIRECT("'"&amp;$A45&amp;"'!$A$12:$Z$12"),0),0)),"ER"))</f>
        <v/>
      </c>
      <c r="I45">
        <f>IF($F45=0,"NA",IF($A45=INDIRECT("'"&amp;$A45&amp;"'!$B$1"),IF(VLOOKUP(I$1,INDIRECT("'"&amp;$A45&amp;"'!$A$12:$Z$19"),MATCH("Points (Auto-generate)",INDIRECT("'"&amp;$A45&amp;"'!$A$12:$Z$12"),0),0)="","?",VLOOKUP(I$1,INDIRECT("'"&amp;$A45&amp;"'!$A$12:$Z$19"),MATCH("Points (Auto-generate)",INDIRECT("'"&amp;$A45&amp;"'!$A$12:$Z$12"),0),0)),"ER"))</f>
        <v/>
      </c>
      <c r="J45">
        <f>IF($F45=0,"NA",IF($A45=INDIRECT("'"&amp;$A45&amp;"'!$B$1"),IF(VLOOKUP(J$1,INDIRECT("'"&amp;$A45&amp;"'!$A$12:$Z$19"),MATCH("Points (Auto-generate)",INDIRECT("'"&amp;$A45&amp;"'!$A$12:$Z$12"),0),0)="","?",VLOOKUP(J$1,INDIRECT("'"&amp;$A45&amp;"'!$A$12:$Z$19"),MATCH("Points (Auto-generate)",INDIRECT("'"&amp;$A45&amp;"'!$A$12:$Z$12"),0),0)),"ER"))</f>
        <v/>
      </c>
      <c r="K45">
        <f>IF($F45=0,"NA",IF($A45=INDIRECT("'"&amp;$A45&amp;"'!$B$1"),IF(VLOOKUP(K$1,INDIRECT("'"&amp;$A45&amp;"'!$A$12:$Z$19"),MATCH("Points (Auto-generate)",INDIRECT("'"&amp;$A45&amp;"'!$A$12:$Z$12"),0),0)="","?",VLOOKUP(K$1,INDIRECT("'"&amp;$A45&amp;"'!$A$12:$Z$19"),MATCH("Points (Auto-generate)",INDIRECT("'"&amp;$A45&amp;"'!$A$12:$Z$12"),0),0)),"ER"))</f>
        <v/>
      </c>
      <c r="L45">
        <f>IF($F45=0,"NA",IF($A45=INDIRECT("'"&amp;$A45&amp;"'!$B$1"),IF(VLOOKUP(L$1,INDIRECT("'"&amp;$A45&amp;"'!$A$12:$Z$19"),MATCH("Points (Auto-generate)",INDIRECT("'"&amp;$A45&amp;"'!$A$12:$Z$12"),0),0)="","?",VLOOKUP(L$1,INDIRECT("'"&amp;$A45&amp;"'!$A$12:$Z$19"),MATCH("Points (Auto-generate)",INDIRECT("'"&amp;$A45&amp;"'!$A$12:$Z$12"),0),0)),"ER"))</f>
        <v/>
      </c>
      <c r="M45">
        <f>IF($F45=0,"NA",IF($A45=INDIRECT("'"&amp;$A45&amp;"'!$B$1"),IF(VLOOKUP(M$1,INDIRECT("'"&amp;$A45&amp;"'!$A$12:$Z$19"),MATCH("Points (Auto-generate)",INDIRECT("'"&amp;$A45&amp;"'!$A$12:$Z$12"),0),0)="","?",VLOOKUP(M$1,INDIRECT("'"&amp;$A45&amp;"'!$A$12:$Z$19"),MATCH("Points (Auto-generate)",INDIRECT("'"&amp;$A45&amp;"'!$A$12:$Z$12"),0),0)),"ER"))</f>
        <v/>
      </c>
    </row>
    <row r="46">
      <c r="A46" t="inlineStr">
        <is>
          <t>DPG7b</t>
        </is>
      </c>
      <c r="B46">
        <f>VLOOKUP($A46,'PARASTATAL Questions'!$A:$J,3,0)&amp;""</f>
        <v/>
      </c>
      <c r="C46">
        <f>VLOOKUP($A46,'PARASTATAL Questions'!$A:$J,4,0)&amp;""</f>
        <v/>
      </c>
      <c r="D46">
        <f>VLOOKUP($A46,'PARASTATAL Questions'!$A:$J,5,0)&amp;""</f>
        <v/>
      </c>
      <c r="E46">
        <f>VLOOKUP($A46,'PARASTATAL Questions'!$A:$J,7,0)&amp;""</f>
        <v/>
      </c>
      <c r="F46">
        <f>VLOOKUP($A46,'PARASTATAL Questions'!$A:$J,6,0)</f>
        <v/>
      </c>
      <c r="G46">
        <f>IF($F46=0,"NA",IF($A46=INDIRECT("'"&amp;$A46&amp;"'!$B$1"),IF(VLOOKUP(G$1,INDIRECT("'"&amp;$A46&amp;"'!$A$12:$Z$19"),MATCH("Points (Auto-generate)",INDIRECT("'"&amp;$A46&amp;"'!$A$12:$Z$12"),0),0)="","?",VLOOKUP(G$1,INDIRECT("'"&amp;$A46&amp;"'!$A$12:$Z$19"),MATCH("Points (Auto-generate)",INDIRECT("'"&amp;$A46&amp;"'!$A$12:$Z$12"),0),0)),"ER"))</f>
        <v/>
      </c>
      <c r="H46">
        <f>IF($F46=0,"NA",IF($A46=INDIRECT("'"&amp;$A46&amp;"'!$B$1"),IF(VLOOKUP(H$1,INDIRECT("'"&amp;$A46&amp;"'!$A$12:$Z$19"),MATCH("Points (Auto-generate)",INDIRECT("'"&amp;$A46&amp;"'!$A$12:$Z$12"),0),0)="","?",VLOOKUP(H$1,INDIRECT("'"&amp;$A46&amp;"'!$A$12:$Z$19"),MATCH("Points (Auto-generate)",INDIRECT("'"&amp;$A46&amp;"'!$A$12:$Z$12"),0),0)),"ER"))</f>
        <v/>
      </c>
      <c r="I46">
        <f>IF($F46=0,"NA",IF($A46=INDIRECT("'"&amp;$A46&amp;"'!$B$1"),IF(VLOOKUP(I$1,INDIRECT("'"&amp;$A46&amp;"'!$A$12:$Z$19"),MATCH("Points (Auto-generate)",INDIRECT("'"&amp;$A46&amp;"'!$A$12:$Z$12"),0),0)="","?",VLOOKUP(I$1,INDIRECT("'"&amp;$A46&amp;"'!$A$12:$Z$19"),MATCH("Points (Auto-generate)",INDIRECT("'"&amp;$A46&amp;"'!$A$12:$Z$12"),0),0)),"ER"))</f>
        <v/>
      </c>
      <c r="J46">
        <f>IF($F46=0,"NA",IF($A46=INDIRECT("'"&amp;$A46&amp;"'!$B$1"),IF(VLOOKUP(J$1,INDIRECT("'"&amp;$A46&amp;"'!$A$12:$Z$19"),MATCH("Points (Auto-generate)",INDIRECT("'"&amp;$A46&amp;"'!$A$12:$Z$12"),0),0)="","?",VLOOKUP(J$1,INDIRECT("'"&amp;$A46&amp;"'!$A$12:$Z$19"),MATCH("Points (Auto-generate)",INDIRECT("'"&amp;$A46&amp;"'!$A$12:$Z$12"),0),0)),"ER"))</f>
        <v/>
      </c>
      <c r="K46">
        <f>IF($F46=0,"NA",IF($A46=INDIRECT("'"&amp;$A46&amp;"'!$B$1"),IF(VLOOKUP(K$1,INDIRECT("'"&amp;$A46&amp;"'!$A$12:$Z$19"),MATCH("Points (Auto-generate)",INDIRECT("'"&amp;$A46&amp;"'!$A$12:$Z$12"),0),0)="","?",VLOOKUP(K$1,INDIRECT("'"&amp;$A46&amp;"'!$A$12:$Z$19"),MATCH("Points (Auto-generate)",INDIRECT("'"&amp;$A46&amp;"'!$A$12:$Z$12"),0),0)),"ER"))</f>
        <v/>
      </c>
      <c r="L46">
        <f>IF($F46=0,"NA",IF($A46=INDIRECT("'"&amp;$A46&amp;"'!$B$1"),IF(VLOOKUP(L$1,INDIRECT("'"&amp;$A46&amp;"'!$A$12:$Z$19"),MATCH("Points (Auto-generate)",INDIRECT("'"&amp;$A46&amp;"'!$A$12:$Z$12"),0),0)="","?",VLOOKUP(L$1,INDIRECT("'"&amp;$A46&amp;"'!$A$12:$Z$19"),MATCH("Points (Auto-generate)",INDIRECT("'"&amp;$A46&amp;"'!$A$12:$Z$12"),0),0)),"ER"))</f>
        <v/>
      </c>
      <c r="M46">
        <f>IF($F46=0,"NA",IF($A46=INDIRECT("'"&amp;$A46&amp;"'!$B$1"),IF(VLOOKUP(M$1,INDIRECT("'"&amp;$A46&amp;"'!$A$12:$Z$19"),MATCH("Points (Auto-generate)",INDIRECT("'"&amp;$A46&amp;"'!$A$12:$Z$12"),0),0)="","?",VLOOKUP(M$1,INDIRECT("'"&amp;$A46&amp;"'!$A$12:$Z$19"),MATCH("Points (Auto-generate)",INDIRECT("'"&amp;$A46&amp;"'!$A$12:$Z$12"),0),0)),"ER"))</f>
        <v/>
      </c>
    </row>
    <row r="47">
      <c r="A47" s="4" t="inlineStr">
        <is>
          <t>SC1</t>
        </is>
      </c>
      <c r="B47" s="4">
        <f>VLOOKUP($A47,'PARASTATAL Questions'!$A:$J,3,0)&amp;""</f>
        <v/>
      </c>
      <c r="C47" s="4">
        <f>VLOOKUP($A47,'PARASTATAL Questions'!$A:$J,4,0)&amp;""</f>
        <v/>
      </c>
      <c r="D47" s="4">
        <f>VLOOKUP($A47,'PARASTATAL Questions'!$A:$J,5,0)&amp;""</f>
        <v/>
      </c>
      <c r="E47" s="4">
        <f>VLOOKUP($A47,'PARASTATAL Questions'!$A:$J,7,0)&amp;""</f>
        <v/>
      </c>
      <c r="F47" s="4">
        <f>VLOOKUP($A47,'PARASTATAL Questions'!$A:$J,6,0)</f>
        <v/>
      </c>
      <c r="G47" s="4">
        <f>IF($F47=0,"NA",IF($A47=INDIRECT("'"&amp;$A47&amp;"'!$B$1"),IF(VLOOKUP(G$1,INDIRECT("'"&amp;$A47&amp;"'!$A$12:$Z$19"),MATCH("Points (Auto-generate)",INDIRECT("'"&amp;$A47&amp;"'!$A$12:$Z$12"),0),0)="","?",VLOOKUP(G$1,INDIRECT("'"&amp;$A47&amp;"'!$A$12:$Z$19"),MATCH("Points (Auto-generate)",INDIRECT("'"&amp;$A47&amp;"'!$A$12:$Z$12"),0),0)),"ER"))</f>
        <v/>
      </c>
      <c r="H47" s="4">
        <f>IF($F47=0,"NA",IF($A47=INDIRECT("'"&amp;$A47&amp;"'!$B$1"),IF(VLOOKUP(H$1,INDIRECT("'"&amp;$A47&amp;"'!$A$12:$Z$19"),MATCH("Points (Auto-generate)",INDIRECT("'"&amp;$A47&amp;"'!$A$12:$Z$12"),0),0)="","?",VLOOKUP(H$1,INDIRECT("'"&amp;$A47&amp;"'!$A$12:$Z$19"),MATCH("Points (Auto-generate)",INDIRECT("'"&amp;$A47&amp;"'!$A$12:$Z$12"),0),0)),"ER"))</f>
        <v/>
      </c>
      <c r="I47" s="4">
        <f>IF($F47=0,"NA",IF($A47=INDIRECT("'"&amp;$A47&amp;"'!$B$1"),IF(VLOOKUP(I$1,INDIRECT("'"&amp;$A47&amp;"'!$A$12:$Z$19"),MATCH("Points (Auto-generate)",INDIRECT("'"&amp;$A47&amp;"'!$A$12:$Z$12"),0),0)="","?",VLOOKUP(I$1,INDIRECT("'"&amp;$A47&amp;"'!$A$12:$Z$19"),MATCH("Points (Auto-generate)",INDIRECT("'"&amp;$A47&amp;"'!$A$12:$Z$12"),0),0)),"ER"))</f>
        <v/>
      </c>
      <c r="J47" s="4">
        <f>IF($F47=0,"NA",IF($A47=INDIRECT("'"&amp;$A47&amp;"'!$B$1"),IF(VLOOKUP(J$1,INDIRECT("'"&amp;$A47&amp;"'!$A$12:$Z$19"),MATCH("Points (Auto-generate)",INDIRECT("'"&amp;$A47&amp;"'!$A$12:$Z$12"),0),0)="","?",VLOOKUP(J$1,INDIRECT("'"&amp;$A47&amp;"'!$A$12:$Z$19"),MATCH("Points (Auto-generate)",INDIRECT("'"&amp;$A47&amp;"'!$A$12:$Z$12"),0),0)),"ER"))</f>
        <v/>
      </c>
      <c r="K47" s="4">
        <f>IF($F47=0,"NA",IF($A47=INDIRECT("'"&amp;$A47&amp;"'!$B$1"),IF(VLOOKUP(K$1,INDIRECT("'"&amp;$A47&amp;"'!$A$12:$Z$19"),MATCH("Points (Auto-generate)",INDIRECT("'"&amp;$A47&amp;"'!$A$12:$Z$12"),0),0)="","?",VLOOKUP(K$1,INDIRECT("'"&amp;$A47&amp;"'!$A$12:$Z$19"),MATCH("Points (Auto-generate)",INDIRECT("'"&amp;$A47&amp;"'!$A$12:$Z$12"),0),0)),"ER"))</f>
        <v/>
      </c>
      <c r="L47" s="4">
        <f>IF($F47=0,"NA",IF($A47=INDIRECT("'"&amp;$A47&amp;"'!$B$1"),IF(VLOOKUP(L$1,INDIRECT("'"&amp;$A47&amp;"'!$A$12:$Z$19"),MATCH("Points (Auto-generate)",INDIRECT("'"&amp;$A47&amp;"'!$A$12:$Z$12"),0),0)="","?",VLOOKUP(L$1,INDIRECT("'"&amp;$A47&amp;"'!$A$12:$Z$19"),MATCH("Points (Auto-generate)",INDIRECT("'"&amp;$A47&amp;"'!$A$12:$Z$12"),0),0)),"ER"))</f>
        <v/>
      </c>
      <c r="M47" s="4">
        <f>IF($F47=0,"NA",IF($A47=INDIRECT("'"&amp;$A47&amp;"'!$B$1"),IF(VLOOKUP(M$1,INDIRECT("'"&amp;$A47&amp;"'!$A$12:$Z$19"),MATCH("Points (Auto-generate)",INDIRECT("'"&amp;$A47&amp;"'!$A$12:$Z$12"),0),0)="","?",VLOOKUP(M$1,INDIRECT("'"&amp;$A47&amp;"'!$A$12:$Z$19"),MATCH("Points (Auto-generate)",INDIRECT("'"&amp;$A47&amp;"'!$A$12:$Z$12"),0),0)),"ER"))</f>
        <v/>
      </c>
    </row>
    <row r="48">
      <c r="A48" s="4" t="inlineStr">
        <is>
          <t>SC2</t>
        </is>
      </c>
      <c r="B48" s="4">
        <f>VLOOKUP($A48,'PARASTATAL Questions'!$A:$J,3,0)&amp;""</f>
        <v/>
      </c>
      <c r="C48" s="4">
        <f>VLOOKUP($A48,'PARASTATAL Questions'!$A:$J,4,0)&amp;""</f>
        <v/>
      </c>
      <c r="D48" s="4">
        <f>VLOOKUP($A48,'PARASTATAL Questions'!$A:$J,5,0)&amp;""</f>
        <v/>
      </c>
      <c r="E48" s="4">
        <f>VLOOKUP($A48,'PARASTATAL Questions'!$A:$J,7,0)&amp;""</f>
        <v/>
      </c>
      <c r="F48" s="4">
        <f>VLOOKUP($A48,'PARASTATAL Questions'!$A:$J,6,0)</f>
        <v/>
      </c>
      <c r="G48" s="4">
        <f>IF($F48=0,"NA",IF($A48=INDIRECT("'"&amp;$A48&amp;"'!$B$1"),IF(VLOOKUP(G$1,INDIRECT("'"&amp;$A48&amp;"'!$A$12:$Z$19"),MATCH("Points (Auto-generate)",INDIRECT("'"&amp;$A48&amp;"'!$A$12:$Z$12"),0),0)="","?",VLOOKUP(G$1,INDIRECT("'"&amp;$A48&amp;"'!$A$12:$Z$19"),MATCH("Points (Auto-generate)",INDIRECT("'"&amp;$A48&amp;"'!$A$12:$Z$12"),0),0)),"ER"))</f>
        <v/>
      </c>
      <c r="H48" s="4">
        <f>IF($F48=0,"NA",IF($A48=INDIRECT("'"&amp;$A48&amp;"'!$B$1"),IF(VLOOKUP(H$1,INDIRECT("'"&amp;$A48&amp;"'!$A$12:$Z$19"),MATCH("Points (Auto-generate)",INDIRECT("'"&amp;$A48&amp;"'!$A$12:$Z$12"),0),0)="","?",VLOOKUP(H$1,INDIRECT("'"&amp;$A48&amp;"'!$A$12:$Z$19"),MATCH("Points (Auto-generate)",INDIRECT("'"&amp;$A48&amp;"'!$A$12:$Z$12"),0),0)),"ER"))</f>
        <v/>
      </c>
      <c r="I48" s="4">
        <f>IF($F48=0,"NA",IF($A48=INDIRECT("'"&amp;$A48&amp;"'!$B$1"),IF(VLOOKUP(I$1,INDIRECT("'"&amp;$A48&amp;"'!$A$12:$Z$19"),MATCH("Points (Auto-generate)",INDIRECT("'"&amp;$A48&amp;"'!$A$12:$Z$12"),0),0)="","?",VLOOKUP(I$1,INDIRECT("'"&amp;$A48&amp;"'!$A$12:$Z$19"),MATCH("Points (Auto-generate)",INDIRECT("'"&amp;$A48&amp;"'!$A$12:$Z$12"),0),0)),"ER"))</f>
        <v/>
      </c>
      <c r="J48" s="4">
        <f>IF($F48=0,"NA",IF($A48=INDIRECT("'"&amp;$A48&amp;"'!$B$1"),IF(VLOOKUP(J$1,INDIRECT("'"&amp;$A48&amp;"'!$A$12:$Z$19"),MATCH("Points (Auto-generate)",INDIRECT("'"&amp;$A48&amp;"'!$A$12:$Z$12"),0),0)="","?",VLOOKUP(J$1,INDIRECT("'"&amp;$A48&amp;"'!$A$12:$Z$19"),MATCH("Points (Auto-generate)",INDIRECT("'"&amp;$A48&amp;"'!$A$12:$Z$12"),0),0)),"ER"))</f>
        <v/>
      </c>
      <c r="K48" s="4">
        <f>IF($F48=0,"NA",IF($A48=INDIRECT("'"&amp;$A48&amp;"'!$B$1"),IF(VLOOKUP(K$1,INDIRECT("'"&amp;$A48&amp;"'!$A$12:$Z$19"),MATCH("Points (Auto-generate)",INDIRECT("'"&amp;$A48&amp;"'!$A$12:$Z$12"),0),0)="","?",VLOOKUP(K$1,INDIRECT("'"&amp;$A48&amp;"'!$A$12:$Z$19"),MATCH("Points (Auto-generate)",INDIRECT("'"&amp;$A48&amp;"'!$A$12:$Z$12"),0),0)),"ER"))</f>
        <v/>
      </c>
      <c r="L48" s="4">
        <f>IF($F48=0,"NA",IF($A48=INDIRECT("'"&amp;$A48&amp;"'!$B$1"),IF(VLOOKUP(L$1,INDIRECT("'"&amp;$A48&amp;"'!$A$12:$Z$19"),MATCH("Points (Auto-generate)",INDIRECT("'"&amp;$A48&amp;"'!$A$12:$Z$12"),0),0)="","?",VLOOKUP(L$1,INDIRECT("'"&amp;$A48&amp;"'!$A$12:$Z$19"),MATCH("Points (Auto-generate)",INDIRECT("'"&amp;$A48&amp;"'!$A$12:$Z$12"),0),0)),"ER"))</f>
        <v/>
      </c>
      <c r="M48" s="4">
        <f>IF($F48=0,"NA",IF($A48=INDIRECT("'"&amp;$A48&amp;"'!$B$1"),IF(VLOOKUP(M$1,INDIRECT("'"&amp;$A48&amp;"'!$A$12:$Z$19"),MATCH("Points (Auto-generate)",INDIRECT("'"&amp;$A48&amp;"'!$A$12:$Z$12"),0),0)="","?",VLOOKUP(M$1,INDIRECT("'"&amp;$A48&amp;"'!$A$12:$Z$19"),MATCH("Points (Auto-generate)",INDIRECT("'"&amp;$A48&amp;"'!$A$12:$Z$12"),0),0)),"ER"))</f>
        <v/>
      </c>
    </row>
    <row r="49">
      <c r="A49" s="4" t="inlineStr">
        <is>
          <t>SC3</t>
        </is>
      </c>
      <c r="B49" s="4">
        <f>VLOOKUP($A49,'PARASTATAL Questions'!$A:$J,3,0)&amp;""</f>
        <v/>
      </c>
      <c r="C49" s="4">
        <f>VLOOKUP($A49,'PARASTATAL Questions'!$A:$J,4,0)&amp;""</f>
        <v/>
      </c>
      <c r="D49" s="4">
        <f>VLOOKUP($A49,'PARASTATAL Questions'!$A:$J,5,0)&amp;""</f>
        <v/>
      </c>
      <c r="E49" s="4">
        <f>VLOOKUP($A49,'PARASTATAL Questions'!$A:$J,7,0)&amp;""</f>
        <v/>
      </c>
      <c r="F49" s="4">
        <f>VLOOKUP($A49,'PARASTATAL Questions'!$A:$J,6,0)</f>
        <v/>
      </c>
      <c r="G49" s="4">
        <f>IF($F49=0,"NA",IF($A49=INDIRECT("'"&amp;$A49&amp;"'!$B$1"),IF(VLOOKUP(G$1,INDIRECT("'"&amp;$A49&amp;"'!$A$12:$Z$19"),MATCH("Points (Auto-generate)",INDIRECT("'"&amp;$A49&amp;"'!$A$12:$Z$12"),0),0)="","?",VLOOKUP(G$1,INDIRECT("'"&amp;$A49&amp;"'!$A$12:$Z$19"),MATCH("Points (Auto-generate)",INDIRECT("'"&amp;$A49&amp;"'!$A$12:$Z$12"),0),0)),"ER"))</f>
        <v/>
      </c>
      <c r="H49" s="4">
        <f>IF($F49=0,"NA",IF($A49=INDIRECT("'"&amp;$A49&amp;"'!$B$1"),IF(VLOOKUP(H$1,INDIRECT("'"&amp;$A49&amp;"'!$A$12:$Z$19"),MATCH("Points (Auto-generate)",INDIRECT("'"&amp;$A49&amp;"'!$A$12:$Z$12"),0),0)="","?",VLOOKUP(H$1,INDIRECT("'"&amp;$A49&amp;"'!$A$12:$Z$19"),MATCH("Points (Auto-generate)",INDIRECT("'"&amp;$A49&amp;"'!$A$12:$Z$12"),0),0)),"ER"))</f>
        <v/>
      </c>
      <c r="I49" s="4">
        <f>IF($F49=0,"NA",IF($A49=INDIRECT("'"&amp;$A49&amp;"'!$B$1"),IF(VLOOKUP(I$1,INDIRECT("'"&amp;$A49&amp;"'!$A$12:$Z$19"),MATCH("Points (Auto-generate)",INDIRECT("'"&amp;$A49&amp;"'!$A$12:$Z$12"),0),0)="","?",VLOOKUP(I$1,INDIRECT("'"&amp;$A49&amp;"'!$A$12:$Z$19"),MATCH("Points (Auto-generate)",INDIRECT("'"&amp;$A49&amp;"'!$A$12:$Z$12"),0),0)),"ER"))</f>
        <v/>
      </c>
      <c r="J49" s="4">
        <f>IF($F49=0,"NA",IF($A49=INDIRECT("'"&amp;$A49&amp;"'!$B$1"),IF(VLOOKUP(J$1,INDIRECT("'"&amp;$A49&amp;"'!$A$12:$Z$19"),MATCH("Points (Auto-generate)",INDIRECT("'"&amp;$A49&amp;"'!$A$12:$Z$12"),0),0)="","?",VLOOKUP(J$1,INDIRECT("'"&amp;$A49&amp;"'!$A$12:$Z$19"),MATCH("Points (Auto-generate)",INDIRECT("'"&amp;$A49&amp;"'!$A$12:$Z$12"),0),0)),"ER"))</f>
        <v/>
      </c>
      <c r="K49" s="4">
        <f>IF($F49=0,"NA",IF($A49=INDIRECT("'"&amp;$A49&amp;"'!$B$1"),IF(VLOOKUP(K$1,INDIRECT("'"&amp;$A49&amp;"'!$A$12:$Z$19"),MATCH("Points (Auto-generate)",INDIRECT("'"&amp;$A49&amp;"'!$A$12:$Z$12"),0),0)="","?",VLOOKUP(K$1,INDIRECT("'"&amp;$A49&amp;"'!$A$12:$Z$19"),MATCH("Points (Auto-generate)",INDIRECT("'"&amp;$A49&amp;"'!$A$12:$Z$12"),0),0)),"ER"))</f>
        <v/>
      </c>
      <c r="L49" s="4">
        <f>IF($F49=0,"NA",IF($A49=INDIRECT("'"&amp;$A49&amp;"'!$B$1"),IF(VLOOKUP(L$1,INDIRECT("'"&amp;$A49&amp;"'!$A$12:$Z$19"),MATCH("Points (Auto-generate)",INDIRECT("'"&amp;$A49&amp;"'!$A$12:$Z$12"),0),0)="","?",VLOOKUP(L$1,INDIRECT("'"&amp;$A49&amp;"'!$A$12:$Z$19"),MATCH("Points (Auto-generate)",INDIRECT("'"&amp;$A49&amp;"'!$A$12:$Z$12"),0),0)),"ER"))</f>
        <v/>
      </c>
      <c r="M49" s="4">
        <f>IF($F49=0,"NA",IF($A49=INDIRECT("'"&amp;$A49&amp;"'!$B$1"),IF(VLOOKUP(M$1,INDIRECT("'"&amp;$A49&amp;"'!$A$12:$Z$19"),MATCH("Points (Auto-generate)",INDIRECT("'"&amp;$A49&amp;"'!$A$12:$Z$12"),0),0)="","?",VLOOKUP(M$1,INDIRECT("'"&amp;$A49&amp;"'!$A$12:$Z$19"),MATCH("Points (Auto-generate)",INDIRECT("'"&amp;$A49&amp;"'!$A$12:$Z$12"),0),0)),"ER"))</f>
        <v/>
      </c>
    </row>
    <row r="50">
      <c r="A50" s="4" t="inlineStr">
        <is>
          <t>SC4</t>
        </is>
      </c>
      <c r="B50" s="4">
        <f>VLOOKUP($A50,'PARASTATAL Questions'!$A:$J,3,0)&amp;""</f>
        <v/>
      </c>
      <c r="C50" s="4">
        <f>VLOOKUP($A50,'PARASTATAL Questions'!$A:$J,4,0)&amp;""</f>
        <v/>
      </c>
      <c r="D50" s="4">
        <f>VLOOKUP($A50,'PARASTATAL Questions'!$A:$J,5,0)&amp;""</f>
        <v/>
      </c>
      <c r="E50" s="4">
        <f>VLOOKUP($A50,'PARASTATAL Questions'!$A:$J,7,0)&amp;""</f>
        <v/>
      </c>
      <c r="F50" s="4">
        <f>VLOOKUP($A50,'PARASTATAL Questions'!$A:$J,6,0)</f>
        <v/>
      </c>
      <c r="G50" s="4">
        <f>IF(OR(G51="ER",G52="ER"),"ER",IF(OR(G51="?",G52="?"),"?",IF(AND(G51="NA",G52="NA"),"NA",SUM(G51,G52)/((G51&lt;&gt;"NA")*$F$51+(G52&lt;&gt;"NA")*$F$52)*$F50)))</f>
        <v/>
      </c>
      <c r="H50" s="4">
        <f>IF(OR(H51="ER",H52="ER"),"ER",IF(OR(H51="?",H52="?"),"?",IF(AND(H51="NA",H52="NA"),"NA",SUM(H51,H52)/((H51&lt;&gt;"NA")*$F$51+(H52&lt;&gt;"NA")*$F$52)*$F50)))</f>
        <v/>
      </c>
      <c r="I50" s="4">
        <f>IF(OR(I51="ER",I52="ER"),"ER",IF(OR(I51="?",I52="?"),"?",IF(AND(I51="NA",I52="NA"),"NA",SUM(I51,I52)/((I51&lt;&gt;"NA")*$F$51+(I52&lt;&gt;"NA")*$F$52)*$F50)))</f>
        <v/>
      </c>
      <c r="J50" s="4">
        <f>IF(OR(J51="ER",J52="ER"),"ER",IF(OR(J51="?",J52="?"),"?",IF(AND(J51="NA",J52="NA"),"NA",SUM(J51,J52)/((J51&lt;&gt;"NA")*$F$51+(J52&lt;&gt;"NA")*$F$52)*$F50)))</f>
        <v/>
      </c>
      <c r="K50" s="4">
        <f>IF(OR(K51="ER",K52="ER"),"ER",IF(OR(K51="?",K52="?"),"?",IF(AND(K51="NA",K52="NA"),"NA",SUM(K51,K52)/((K51&lt;&gt;"NA")*$F$51+(K52&lt;&gt;"NA")*$F$52)*$F50)))</f>
        <v/>
      </c>
      <c r="L50" s="4">
        <f>IF(OR(L51="ER",L52="ER"),"ER",IF(OR(L51="?",L52="?"),"?",IF(AND(L51="NA",L52="NA"),"NA",SUM(L51,L52)/((L51&lt;&gt;"NA")*$F$51+(L52&lt;&gt;"NA")*$F$52)*$F50)))</f>
        <v/>
      </c>
      <c r="M50" s="4">
        <f>IF(OR(M51="ER",M52="ER"),"ER",IF(OR(M51="?",M52="?"),"?",IF(AND(M51="NA",M52="NA"),"NA",SUM(M51,M52)/((M51&lt;&gt;"NA")*$F$51+(M52&lt;&gt;"NA")*$F$52)*$F50)))</f>
        <v/>
      </c>
    </row>
    <row r="51">
      <c r="A51" t="inlineStr">
        <is>
          <t>SC4a</t>
        </is>
      </c>
      <c r="B51">
        <f>VLOOKUP($A51,'PARASTATAL Questions'!$A:$J,3,0)&amp;""</f>
        <v/>
      </c>
      <c r="C51">
        <f>VLOOKUP($A51,'PARASTATAL Questions'!$A:$J,4,0)&amp;""</f>
        <v/>
      </c>
      <c r="D51">
        <f>VLOOKUP($A51,'PARASTATAL Questions'!$A:$J,5,0)&amp;""</f>
        <v/>
      </c>
      <c r="E51">
        <f>VLOOKUP($A51,'PARASTATAL Questions'!$A:$J,7,0)&amp;""</f>
        <v/>
      </c>
      <c r="F51">
        <f>VLOOKUP($A51,'PARASTATAL Questions'!$A:$J,6,0)</f>
        <v/>
      </c>
      <c r="G51">
        <f>IF($F51=0,"NA",IF($A51=INDIRECT("'"&amp;$A51&amp;"'!$B$1"),IF(VLOOKUP(G$1,INDIRECT("'"&amp;$A51&amp;"'!$A$12:$Z$19"),MATCH("Points (Auto-generate)",INDIRECT("'"&amp;$A51&amp;"'!$A$12:$Z$12"),0),0)="","?",VLOOKUP(G$1,INDIRECT("'"&amp;$A51&amp;"'!$A$12:$Z$19"),MATCH("Points (Auto-generate)",INDIRECT("'"&amp;$A51&amp;"'!$A$12:$Z$12"),0),0)),"ER"))</f>
        <v/>
      </c>
      <c r="H51">
        <f>IF($F51=0,"NA",IF($A51=INDIRECT("'"&amp;$A51&amp;"'!$B$1"),IF(VLOOKUP(H$1,INDIRECT("'"&amp;$A51&amp;"'!$A$12:$Z$19"),MATCH("Points (Auto-generate)",INDIRECT("'"&amp;$A51&amp;"'!$A$12:$Z$12"),0),0)="","?",VLOOKUP(H$1,INDIRECT("'"&amp;$A51&amp;"'!$A$12:$Z$19"),MATCH("Points (Auto-generate)",INDIRECT("'"&amp;$A51&amp;"'!$A$12:$Z$12"),0),0)),"ER"))</f>
        <v/>
      </c>
      <c r="I51">
        <f>IF($F51=0,"NA",IF($A51=INDIRECT("'"&amp;$A51&amp;"'!$B$1"),IF(VLOOKUP(I$1,INDIRECT("'"&amp;$A51&amp;"'!$A$12:$Z$19"),MATCH("Points (Auto-generate)",INDIRECT("'"&amp;$A51&amp;"'!$A$12:$Z$12"),0),0)="","?",VLOOKUP(I$1,INDIRECT("'"&amp;$A51&amp;"'!$A$12:$Z$19"),MATCH("Points (Auto-generate)",INDIRECT("'"&amp;$A51&amp;"'!$A$12:$Z$12"),0),0)),"ER"))</f>
        <v/>
      </c>
      <c r="J51">
        <f>IF($F51=0,"NA",IF($A51=INDIRECT("'"&amp;$A51&amp;"'!$B$1"),IF(VLOOKUP(J$1,INDIRECT("'"&amp;$A51&amp;"'!$A$12:$Z$19"),MATCH("Points (Auto-generate)",INDIRECT("'"&amp;$A51&amp;"'!$A$12:$Z$12"),0),0)="","?",VLOOKUP(J$1,INDIRECT("'"&amp;$A51&amp;"'!$A$12:$Z$19"),MATCH("Points (Auto-generate)",INDIRECT("'"&amp;$A51&amp;"'!$A$12:$Z$12"),0),0)),"ER"))</f>
        <v/>
      </c>
      <c r="K51">
        <f>IF($F51=0,"NA",IF($A51=INDIRECT("'"&amp;$A51&amp;"'!$B$1"),IF(VLOOKUP(K$1,INDIRECT("'"&amp;$A51&amp;"'!$A$12:$Z$19"),MATCH("Points (Auto-generate)",INDIRECT("'"&amp;$A51&amp;"'!$A$12:$Z$12"),0),0)="","?",VLOOKUP(K$1,INDIRECT("'"&amp;$A51&amp;"'!$A$12:$Z$19"),MATCH("Points (Auto-generate)",INDIRECT("'"&amp;$A51&amp;"'!$A$12:$Z$12"),0),0)),"ER"))</f>
        <v/>
      </c>
      <c r="L51">
        <f>IF($F51=0,"NA",IF($A51=INDIRECT("'"&amp;$A51&amp;"'!$B$1"),IF(VLOOKUP(L$1,INDIRECT("'"&amp;$A51&amp;"'!$A$12:$Z$19"),MATCH("Points (Auto-generate)",INDIRECT("'"&amp;$A51&amp;"'!$A$12:$Z$12"),0),0)="","?",VLOOKUP(L$1,INDIRECT("'"&amp;$A51&amp;"'!$A$12:$Z$19"),MATCH("Points (Auto-generate)",INDIRECT("'"&amp;$A51&amp;"'!$A$12:$Z$12"),0),0)),"ER"))</f>
        <v/>
      </c>
      <c r="M51">
        <f>IF($F51=0,"NA",IF($A51=INDIRECT("'"&amp;$A51&amp;"'!$B$1"),IF(VLOOKUP(M$1,INDIRECT("'"&amp;$A51&amp;"'!$A$12:$Z$19"),MATCH("Points (Auto-generate)",INDIRECT("'"&amp;$A51&amp;"'!$A$12:$Z$12"),0),0)="","?",VLOOKUP(M$1,INDIRECT("'"&amp;$A51&amp;"'!$A$12:$Z$19"),MATCH("Points (Auto-generate)",INDIRECT("'"&amp;$A51&amp;"'!$A$12:$Z$12"),0),0)),"ER"))</f>
        <v/>
      </c>
    </row>
    <row r="52">
      <c r="A52" t="inlineStr">
        <is>
          <t>SC4b</t>
        </is>
      </c>
      <c r="B52">
        <f>VLOOKUP($A52,'PARASTATAL Questions'!$A:$J,3,0)&amp;""</f>
        <v/>
      </c>
      <c r="C52">
        <f>VLOOKUP($A52,'PARASTATAL Questions'!$A:$J,4,0)&amp;""</f>
        <v/>
      </c>
      <c r="D52">
        <f>VLOOKUP($A52,'PARASTATAL Questions'!$A:$J,5,0)&amp;""</f>
        <v/>
      </c>
      <c r="E52">
        <f>VLOOKUP($A52,'PARASTATAL Questions'!$A:$J,7,0)&amp;""</f>
        <v/>
      </c>
      <c r="F52">
        <f>VLOOKUP($A52,'PARASTATAL Questions'!$A:$J,6,0)</f>
        <v/>
      </c>
      <c r="G52">
        <f>IF($F52=0,"NA",IF($A52=INDIRECT("'"&amp;$A52&amp;"'!$B$1"),IF(VLOOKUP(G$1,INDIRECT("'"&amp;$A52&amp;"'!$A$12:$Z$19"),MATCH("Points (Auto-generate)",INDIRECT("'"&amp;$A52&amp;"'!$A$12:$Z$12"),0),0)="","?",VLOOKUP(G$1,INDIRECT("'"&amp;$A52&amp;"'!$A$12:$Z$19"),MATCH("Points (Auto-generate)",INDIRECT("'"&amp;$A52&amp;"'!$A$12:$Z$12"),0),0)),"ER"))</f>
        <v/>
      </c>
      <c r="H52">
        <f>IF($F52=0,"NA",IF($A52=INDIRECT("'"&amp;$A52&amp;"'!$B$1"),IF(VLOOKUP(H$1,INDIRECT("'"&amp;$A52&amp;"'!$A$12:$Z$19"),MATCH("Points (Auto-generate)",INDIRECT("'"&amp;$A52&amp;"'!$A$12:$Z$12"),0),0)="","?",VLOOKUP(H$1,INDIRECT("'"&amp;$A52&amp;"'!$A$12:$Z$19"),MATCH("Points (Auto-generate)",INDIRECT("'"&amp;$A52&amp;"'!$A$12:$Z$12"),0),0)),"ER"))</f>
        <v/>
      </c>
      <c r="I52">
        <f>IF($F52=0,"NA",IF($A52=INDIRECT("'"&amp;$A52&amp;"'!$B$1"),IF(VLOOKUP(I$1,INDIRECT("'"&amp;$A52&amp;"'!$A$12:$Z$19"),MATCH("Points (Auto-generate)",INDIRECT("'"&amp;$A52&amp;"'!$A$12:$Z$12"),0),0)="","?",VLOOKUP(I$1,INDIRECT("'"&amp;$A52&amp;"'!$A$12:$Z$19"),MATCH("Points (Auto-generate)",INDIRECT("'"&amp;$A52&amp;"'!$A$12:$Z$12"),0),0)),"ER"))</f>
        <v/>
      </c>
      <c r="J52">
        <f>IF($F52=0,"NA",IF($A52=INDIRECT("'"&amp;$A52&amp;"'!$B$1"),IF(VLOOKUP(J$1,INDIRECT("'"&amp;$A52&amp;"'!$A$12:$Z$19"),MATCH("Points (Auto-generate)",INDIRECT("'"&amp;$A52&amp;"'!$A$12:$Z$12"),0),0)="","?",VLOOKUP(J$1,INDIRECT("'"&amp;$A52&amp;"'!$A$12:$Z$19"),MATCH("Points (Auto-generate)",INDIRECT("'"&amp;$A52&amp;"'!$A$12:$Z$12"),0),0)),"ER"))</f>
        <v/>
      </c>
      <c r="K52">
        <f>IF($F52=0,"NA",IF($A52=INDIRECT("'"&amp;$A52&amp;"'!$B$1"),IF(VLOOKUP(K$1,INDIRECT("'"&amp;$A52&amp;"'!$A$12:$Z$19"),MATCH("Points (Auto-generate)",INDIRECT("'"&amp;$A52&amp;"'!$A$12:$Z$12"),0),0)="","?",VLOOKUP(K$1,INDIRECT("'"&amp;$A52&amp;"'!$A$12:$Z$19"),MATCH("Points (Auto-generate)",INDIRECT("'"&amp;$A52&amp;"'!$A$12:$Z$12"),0),0)),"ER"))</f>
        <v/>
      </c>
      <c r="L52">
        <f>IF($F52=0,"NA",IF($A52=INDIRECT("'"&amp;$A52&amp;"'!$B$1"),IF(VLOOKUP(L$1,INDIRECT("'"&amp;$A52&amp;"'!$A$12:$Z$19"),MATCH("Points (Auto-generate)",INDIRECT("'"&amp;$A52&amp;"'!$A$12:$Z$12"),0),0)="","?",VLOOKUP(L$1,INDIRECT("'"&amp;$A52&amp;"'!$A$12:$Z$19"),MATCH("Points (Auto-generate)",INDIRECT("'"&amp;$A52&amp;"'!$A$12:$Z$12"),0),0)),"ER"))</f>
        <v/>
      </c>
      <c r="M52">
        <f>IF($F52=0,"NA",IF($A52=INDIRECT("'"&amp;$A52&amp;"'!$B$1"),IF(VLOOKUP(M$1,INDIRECT("'"&amp;$A52&amp;"'!$A$12:$Z$19"),MATCH("Points (Auto-generate)",INDIRECT("'"&amp;$A52&amp;"'!$A$12:$Z$12"),0),0)="","?",VLOOKUP(M$1,INDIRECT("'"&amp;$A52&amp;"'!$A$12:$Z$19"),MATCH("Points (Auto-generate)",INDIRECT("'"&amp;$A52&amp;"'!$A$12:$Z$12"),0),0)),"ER"))</f>
        <v/>
      </c>
    </row>
    <row r="53">
      <c r="A53" s="4" t="inlineStr">
        <is>
          <t>SC5</t>
        </is>
      </c>
      <c r="B53" s="4">
        <f>VLOOKUP($A53,'PARASTATAL Questions'!$A:$J,3,0)&amp;""</f>
        <v/>
      </c>
      <c r="C53" s="4">
        <f>VLOOKUP($A53,'PARASTATAL Questions'!$A:$J,4,0)&amp;""</f>
        <v/>
      </c>
      <c r="D53" s="4">
        <f>VLOOKUP($A53,'PARASTATAL Questions'!$A:$J,5,0)&amp;""</f>
        <v/>
      </c>
      <c r="E53" s="4">
        <f>VLOOKUP($A53,'PARASTATAL Questions'!$A:$J,7,0)&amp;""</f>
        <v/>
      </c>
      <c r="F53" s="4">
        <f>VLOOKUP($A53,'PARASTATAL Questions'!$A:$J,6,0)</f>
        <v/>
      </c>
      <c r="G53" s="4">
        <f>IF($F53=0,"NA",IF($A53=INDIRECT("'"&amp;$A53&amp;"'!$B$1"),IF(VLOOKUP(G$1,INDIRECT("'"&amp;$A53&amp;"'!$A$12:$Z$19"),MATCH("Points (Auto-generate)",INDIRECT("'"&amp;$A53&amp;"'!$A$12:$Z$12"),0),0)="","?",VLOOKUP(G$1,INDIRECT("'"&amp;$A53&amp;"'!$A$12:$Z$19"),MATCH("Points (Auto-generate)",INDIRECT("'"&amp;$A53&amp;"'!$A$12:$Z$12"),0),0)),"ER"))</f>
        <v/>
      </c>
      <c r="H53" s="4">
        <f>IF($F53=0,"NA",IF($A53=INDIRECT("'"&amp;$A53&amp;"'!$B$1"),IF(VLOOKUP(H$1,INDIRECT("'"&amp;$A53&amp;"'!$A$12:$Z$19"),MATCH("Points (Auto-generate)",INDIRECT("'"&amp;$A53&amp;"'!$A$12:$Z$12"),0),0)="","?",VLOOKUP(H$1,INDIRECT("'"&amp;$A53&amp;"'!$A$12:$Z$19"),MATCH("Points (Auto-generate)",INDIRECT("'"&amp;$A53&amp;"'!$A$12:$Z$12"),0),0)),"ER"))</f>
        <v/>
      </c>
      <c r="I53" s="4">
        <f>IF($F53=0,"NA",IF($A53=INDIRECT("'"&amp;$A53&amp;"'!$B$1"),IF(VLOOKUP(I$1,INDIRECT("'"&amp;$A53&amp;"'!$A$12:$Z$19"),MATCH("Points (Auto-generate)",INDIRECT("'"&amp;$A53&amp;"'!$A$12:$Z$12"),0),0)="","?",VLOOKUP(I$1,INDIRECT("'"&amp;$A53&amp;"'!$A$12:$Z$19"),MATCH("Points (Auto-generate)",INDIRECT("'"&amp;$A53&amp;"'!$A$12:$Z$12"),0),0)),"ER"))</f>
        <v/>
      </c>
      <c r="J53" s="4">
        <f>IF($F53=0,"NA",IF($A53=INDIRECT("'"&amp;$A53&amp;"'!$B$1"),IF(VLOOKUP(J$1,INDIRECT("'"&amp;$A53&amp;"'!$A$12:$Z$19"),MATCH("Points (Auto-generate)",INDIRECT("'"&amp;$A53&amp;"'!$A$12:$Z$12"),0),0)="","?",VLOOKUP(J$1,INDIRECT("'"&amp;$A53&amp;"'!$A$12:$Z$19"),MATCH("Points (Auto-generate)",INDIRECT("'"&amp;$A53&amp;"'!$A$12:$Z$12"),0),0)),"ER"))</f>
        <v/>
      </c>
      <c r="K53" s="4">
        <f>IF($F53=0,"NA",IF($A53=INDIRECT("'"&amp;$A53&amp;"'!$B$1"),IF(VLOOKUP(K$1,INDIRECT("'"&amp;$A53&amp;"'!$A$12:$Z$19"),MATCH("Points (Auto-generate)",INDIRECT("'"&amp;$A53&amp;"'!$A$12:$Z$12"),0),0)="","?",VLOOKUP(K$1,INDIRECT("'"&amp;$A53&amp;"'!$A$12:$Z$19"),MATCH("Points (Auto-generate)",INDIRECT("'"&amp;$A53&amp;"'!$A$12:$Z$12"),0),0)),"ER"))</f>
        <v/>
      </c>
      <c r="L53" s="4">
        <f>IF($F53=0,"NA",IF($A53=INDIRECT("'"&amp;$A53&amp;"'!$B$1"),IF(VLOOKUP(L$1,INDIRECT("'"&amp;$A53&amp;"'!$A$12:$Z$19"),MATCH("Points (Auto-generate)",INDIRECT("'"&amp;$A53&amp;"'!$A$12:$Z$12"),0),0)="","?",VLOOKUP(L$1,INDIRECT("'"&amp;$A53&amp;"'!$A$12:$Z$19"),MATCH("Points (Auto-generate)",INDIRECT("'"&amp;$A53&amp;"'!$A$12:$Z$12"),0),0)),"ER"))</f>
        <v/>
      </c>
      <c r="M53" s="4">
        <f>IF($F53=0,"NA",IF($A53=INDIRECT("'"&amp;$A53&amp;"'!$B$1"),IF(VLOOKUP(M$1,INDIRECT("'"&amp;$A53&amp;"'!$A$12:$Z$19"),MATCH("Points (Auto-generate)",INDIRECT("'"&amp;$A53&amp;"'!$A$12:$Z$12"),0),0)="","?",VLOOKUP(M$1,INDIRECT("'"&amp;$A53&amp;"'!$A$12:$Z$19"),MATCH("Points (Auto-generate)",INDIRECT("'"&amp;$A53&amp;"'!$A$12:$Z$12"),0),0)),"ER"))</f>
        <v/>
      </c>
    </row>
    <row r="54">
      <c r="A54" s="4" t="inlineStr">
        <is>
          <t>SC6</t>
        </is>
      </c>
      <c r="B54" s="4">
        <f>VLOOKUP($A54,'PARASTATAL Questions'!$A:$J,3,0)&amp;""</f>
        <v/>
      </c>
      <c r="C54" s="4">
        <f>VLOOKUP($A54,'PARASTATAL Questions'!$A:$J,4,0)&amp;""</f>
        <v/>
      </c>
      <c r="D54" s="4">
        <f>VLOOKUP($A54,'PARASTATAL Questions'!$A:$J,5,0)&amp;""</f>
        <v/>
      </c>
      <c r="E54" s="4">
        <f>VLOOKUP($A54,'PARASTATAL Questions'!$A:$J,7,0)&amp;""</f>
        <v/>
      </c>
      <c r="F54" s="4">
        <f>VLOOKUP($A54,'PARASTATAL Questions'!$A:$J,6,0)</f>
        <v/>
      </c>
      <c r="G54" s="4">
        <f>IF($F54=0,"NA",IF($A54=INDIRECT("'"&amp;$A54&amp;"'!$B$1"),IF(VLOOKUP(G$1,INDIRECT("'"&amp;$A54&amp;"'!$A$12:$Z$19"),MATCH("Points (Auto-generate)",INDIRECT("'"&amp;$A54&amp;"'!$A$12:$Z$12"),0),0)="","?",VLOOKUP(G$1,INDIRECT("'"&amp;$A54&amp;"'!$A$12:$Z$19"),MATCH("Points (Auto-generate)",INDIRECT("'"&amp;$A54&amp;"'!$A$12:$Z$12"),0),0)),"ER"))</f>
        <v/>
      </c>
      <c r="H54" s="4">
        <f>IF($F54=0,"NA",IF($A54=INDIRECT("'"&amp;$A54&amp;"'!$B$1"),IF(VLOOKUP(H$1,INDIRECT("'"&amp;$A54&amp;"'!$A$12:$Z$19"),MATCH("Points (Auto-generate)",INDIRECT("'"&amp;$A54&amp;"'!$A$12:$Z$12"),0),0)="","?",VLOOKUP(H$1,INDIRECT("'"&amp;$A54&amp;"'!$A$12:$Z$19"),MATCH("Points (Auto-generate)",INDIRECT("'"&amp;$A54&amp;"'!$A$12:$Z$12"),0),0)),"ER"))</f>
        <v/>
      </c>
      <c r="I54" s="4">
        <f>IF($F54=0,"NA",IF($A54=INDIRECT("'"&amp;$A54&amp;"'!$B$1"),IF(VLOOKUP(I$1,INDIRECT("'"&amp;$A54&amp;"'!$A$12:$Z$19"),MATCH("Points (Auto-generate)",INDIRECT("'"&amp;$A54&amp;"'!$A$12:$Z$12"),0),0)="","?",VLOOKUP(I$1,INDIRECT("'"&amp;$A54&amp;"'!$A$12:$Z$19"),MATCH("Points (Auto-generate)",INDIRECT("'"&amp;$A54&amp;"'!$A$12:$Z$12"),0),0)),"ER"))</f>
        <v/>
      </c>
      <c r="J54" s="4">
        <f>IF($F54=0,"NA",IF($A54=INDIRECT("'"&amp;$A54&amp;"'!$B$1"),IF(VLOOKUP(J$1,INDIRECT("'"&amp;$A54&amp;"'!$A$12:$Z$19"),MATCH("Points (Auto-generate)",INDIRECT("'"&amp;$A54&amp;"'!$A$12:$Z$12"),0),0)="","?",VLOOKUP(J$1,INDIRECT("'"&amp;$A54&amp;"'!$A$12:$Z$19"),MATCH("Points (Auto-generate)",INDIRECT("'"&amp;$A54&amp;"'!$A$12:$Z$12"),0),0)),"ER"))</f>
        <v/>
      </c>
      <c r="K54" s="4">
        <f>IF($F54=0,"NA",IF($A54=INDIRECT("'"&amp;$A54&amp;"'!$B$1"),IF(VLOOKUP(K$1,INDIRECT("'"&amp;$A54&amp;"'!$A$12:$Z$19"),MATCH("Points (Auto-generate)",INDIRECT("'"&amp;$A54&amp;"'!$A$12:$Z$12"),0),0)="","?",VLOOKUP(K$1,INDIRECT("'"&amp;$A54&amp;"'!$A$12:$Z$19"),MATCH("Points (Auto-generate)",INDIRECT("'"&amp;$A54&amp;"'!$A$12:$Z$12"),0),0)),"ER"))</f>
        <v/>
      </c>
      <c r="L54" s="4">
        <f>IF($F54=0,"NA",IF($A54=INDIRECT("'"&amp;$A54&amp;"'!$B$1"),IF(VLOOKUP(L$1,INDIRECT("'"&amp;$A54&amp;"'!$A$12:$Z$19"),MATCH("Points (Auto-generate)",INDIRECT("'"&amp;$A54&amp;"'!$A$12:$Z$12"),0),0)="","?",VLOOKUP(L$1,INDIRECT("'"&amp;$A54&amp;"'!$A$12:$Z$19"),MATCH("Points (Auto-generate)",INDIRECT("'"&amp;$A54&amp;"'!$A$12:$Z$12"),0),0)),"ER"))</f>
        <v/>
      </c>
      <c r="M54" s="4">
        <f>IF($F54=0,"NA",IF($A54=INDIRECT("'"&amp;$A54&amp;"'!$B$1"),IF(VLOOKUP(M$1,INDIRECT("'"&amp;$A54&amp;"'!$A$12:$Z$19"),MATCH("Points (Auto-generate)",INDIRECT("'"&amp;$A54&amp;"'!$A$12:$Z$12"),0),0)="","?",VLOOKUP(M$1,INDIRECT("'"&amp;$A54&amp;"'!$A$12:$Z$19"),MATCH("Points (Auto-generate)",INDIRECT("'"&amp;$A54&amp;"'!$A$12:$Z$12"),0),0)),"ER"))</f>
        <v/>
      </c>
    </row>
    <row r="55">
      <c r="A55" s="4" t="inlineStr">
        <is>
          <t>SC7</t>
        </is>
      </c>
      <c r="B55" s="4">
        <f>VLOOKUP($A55,'PARASTATAL Questions'!$A:$J,3,0)&amp;""</f>
        <v/>
      </c>
      <c r="C55" s="4">
        <f>VLOOKUP($A55,'PARASTATAL Questions'!$A:$J,4,0)&amp;""</f>
        <v/>
      </c>
      <c r="D55" s="4">
        <f>VLOOKUP($A55,'PARASTATAL Questions'!$A:$J,5,0)&amp;""</f>
        <v/>
      </c>
      <c r="E55" s="4">
        <f>VLOOKUP($A55,'PARASTATAL Questions'!$A:$J,7,0)&amp;""</f>
        <v/>
      </c>
      <c r="F55" s="4">
        <f>VLOOKUP($A55,'PARASTATAL Questions'!$A:$J,6,0)</f>
        <v/>
      </c>
      <c r="G55" s="4">
        <f>IF(OR(G56="ER",G57="ER"),"ER",IF(OR(G56="?",G57="?"),"?",IF(AND(G56="NA",G57="NA"),"NA",SUM(G56,G57)/((G56&lt;&gt;"NA")*$F$56+(G57&lt;&gt;"NA")*$F$57)*$F55)))</f>
        <v/>
      </c>
      <c r="H55" s="4">
        <f>IF(OR(H56="ER",H57="ER"),"ER",IF(OR(H56="?",H57="?"),"?",IF(AND(H56="NA",H57="NA"),"NA",SUM(H56,H57)/((H56&lt;&gt;"NA")*$F$56+(H57&lt;&gt;"NA")*$F$57)*$F55)))</f>
        <v/>
      </c>
      <c r="I55" s="4">
        <f>IF(OR(I56="ER",I57="ER"),"ER",IF(OR(I56="?",I57="?"),"?",IF(AND(I56="NA",I57="NA"),"NA",SUM(I56,I57)/((I56&lt;&gt;"NA")*$F$56+(I57&lt;&gt;"NA")*$F$57)*$F55)))</f>
        <v/>
      </c>
      <c r="J55" s="4">
        <f>IF(OR(J56="ER",J57="ER"),"ER",IF(OR(J56="?",J57="?"),"?",IF(AND(J56="NA",J57="NA"),"NA",SUM(J56,J57)/((J56&lt;&gt;"NA")*$F$56+(J57&lt;&gt;"NA")*$F$57)*$F55)))</f>
        <v/>
      </c>
      <c r="K55" s="4">
        <f>IF(OR(K56="ER",K57="ER"),"ER",IF(OR(K56="?",K57="?"),"?",IF(AND(K56="NA",K57="NA"),"NA",SUM(K56,K57)/((K56&lt;&gt;"NA")*$F$56+(K57&lt;&gt;"NA")*$F$57)*$F55)))</f>
        <v/>
      </c>
      <c r="L55" s="4">
        <f>IF(OR(L56="ER",L57="ER"),"ER",IF(OR(L56="?",L57="?"),"?",IF(AND(L56="NA",L57="NA"),"NA",SUM(L56,L57)/((L56&lt;&gt;"NA")*$F$56+(L57&lt;&gt;"NA")*$F$57)*$F55)))</f>
        <v/>
      </c>
      <c r="M55" s="4">
        <f>IF(OR(M56="ER",M57="ER"),"ER",IF(OR(M56="?",M57="?"),"?",IF(AND(M56="NA",M57="NA"),"NA",SUM(M56,M57)/((M56&lt;&gt;"NA")*$F$56+(M57&lt;&gt;"NA")*$F$57)*$F55)))</f>
        <v/>
      </c>
    </row>
    <row r="56">
      <c r="A56" t="inlineStr">
        <is>
          <t>SC7a</t>
        </is>
      </c>
      <c r="B56">
        <f>VLOOKUP($A56,'PARASTATAL Questions'!$A:$J,3,0)&amp;""</f>
        <v/>
      </c>
      <c r="C56">
        <f>VLOOKUP($A56,'PARASTATAL Questions'!$A:$J,4,0)&amp;""</f>
        <v/>
      </c>
      <c r="D56">
        <f>VLOOKUP($A56,'PARASTATAL Questions'!$A:$J,5,0)&amp;""</f>
        <v/>
      </c>
      <c r="E56">
        <f>VLOOKUP($A56,'PARASTATAL Questions'!$A:$J,7,0)&amp;""</f>
        <v/>
      </c>
      <c r="F56">
        <f>VLOOKUP($A56,'PARASTATAL Questions'!$A:$J,6,0)</f>
        <v/>
      </c>
      <c r="G56">
        <f>IF($F56=0,"NA",IF($A56=INDIRECT("'"&amp;$A56&amp;"'!$B$1"),IF(VLOOKUP(G$1,INDIRECT("'"&amp;$A56&amp;"'!$A$12:$Z$19"),MATCH("Points (Auto-generate)",INDIRECT("'"&amp;$A56&amp;"'!$A$12:$Z$12"),0),0)="","?",VLOOKUP(G$1,INDIRECT("'"&amp;$A56&amp;"'!$A$12:$Z$19"),MATCH("Points (Auto-generate)",INDIRECT("'"&amp;$A56&amp;"'!$A$12:$Z$12"),0),0)),"ER"))</f>
        <v/>
      </c>
      <c r="H56">
        <f>IF($F56=0,"NA",IF($A56=INDIRECT("'"&amp;$A56&amp;"'!$B$1"),IF(VLOOKUP(H$1,INDIRECT("'"&amp;$A56&amp;"'!$A$12:$Z$19"),MATCH("Points (Auto-generate)",INDIRECT("'"&amp;$A56&amp;"'!$A$12:$Z$12"),0),0)="","?",VLOOKUP(H$1,INDIRECT("'"&amp;$A56&amp;"'!$A$12:$Z$19"),MATCH("Points (Auto-generate)",INDIRECT("'"&amp;$A56&amp;"'!$A$12:$Z$12"),0),0)),"ER"))</f>
        <v/>
      </c>
      <c r="I56">
        <f>IF($F56=0,"NA",IF($A56=INDIRECT("'"&amp;$A56&amp;"'!$B$1"),IF(VLOOKUP(I$1,INDIRECT("'"&amp;$A56&amp;"'!$A$12:$Z$19"),MATCH("Points (Auto-generate)",INDIRECT("'"&amp;$A56&amp;"'!$A$12:$Z$12"),0),0)="","?",VLOOKUP(I$1,INDIRECT("'"&amp;$A56&amp;"'!$A$12:$Z$19"),MATCH("Points (Auto-generate)",INDIRECT("'"&amp;$A56&amp;"'!$A$12:$Z$12"),0),0)),"ER"))</f>
        <v/>
      </c>
      <c r="J56">
        <f>IF($F56=0,"NA",IF($A56=INDIRECT("'"&amp;$A56&amp;"'!$B$1"),IF(VLOOKUP(J$1,INDIRECT("'"&amp;$A56&amp;"'!$A$12:$Z$19"),MATCH("Points (Auto-generate)",INDIRECT("'"&amp;$A56&amp;"'!$A$12:$Z$12"),0),0)="","?",VLOOKUP(J$1,INDIRECT("'"&amp;$A56&amp;"'!$A$12:$Z$19"),MATCH("Points (Auto-generate)",INDIRECT("'"&amp;$A56&amp;"'!$A$12:$Z$12"),0),0)),"ER"))</f>
        <v/>
      </c>
      <c r="K56">
        <f>IF($F56=0,"NA",IF($A56=INDIRECT("'"&amp;$A56&amp;"'!$B$1"),IF(VLOOKUP(K$1,INDIRECT("'"&amp;$A56&amp;"'!$A$12:$Z$19"),MATCH("Points (Auto-generate)",INDIRECT("'"&amp;$A56&amp;"'!$A$12:$Z$12"),0),0)="","?",VLOOKUP(K$1,INDIRECT("'"&amp;$A56&amp;"'!$A$12:$Z$19"),MATCH("Points (Auto-generate)",INDIRECT("'"&amp;$A56&amp;"'!$A$12:$Z$12"),0),0)),"ER"))</f>
        <v/>
      </c>
      <c r="L56">
        <f>IF($F56=0,"NA",IF($A56=INDIRECT("'"&amp;$A56&amp;"'!$B$1"),IF(VLOOKUP(L$1,INDIRECT("'"&amp;$A56&amp;"'!$A$12:$Z$19"),MATCH("Points (Auto-generate)",INDIRECT("'"&amp;$A56&amp;"'!$A$12:$Z$12"),0),0)="","?",VLOOKUP(L$1,INDIRECT("'"&amp;$A56&amp;"'!$A$12:$Z$19"),MATCH("Points (Auto-generate)",INDIRECT("'"&amp;$A56&amp;"'!$A$12:$Z$12"),0),0)),"ER"))</f>
        <v/>
      </c>
      <c r="M56">
        <f>IF($F56=0,"NA",IF($A56=INDIRECT("'"&amp;$A56&amp;"'!$B$1"),IF(VLOOKUP(M$1,INDIRECT("'"&amp;$A56&amp;"'!$A$12:$Z$19"),MATCH("Points (Auto-generate)",INDIRECT("'"&amp;$A56&amp;"'!$A$12:$Z$12"),0),0)="","?",VLOOKUP(M$1,INDIRECT("'"&amp;$A56&amp;"'!$A$12:$Z$19"),MATCH("Points (Auto-generate)",INDIRECT("'"&amp;$A56&amp;"'!$A$12:$Z$12"),0),0)),"ER"))</f>
        <v/>
      </c>
    </row>
    <row r="57">
      <c r="A57" t="inlineStr">
        <is>
          <t>SC7b</t>
        </is>
      </c>
      <c r="B57">
        <f>VLOOKUP($A57,'PARASTATAL Questions'!$A:$J,3,0)&amp;""</f>
        <v/>
      </c>
      <c r="C57">
        <f>VLOOKUP($A57,'PARASTATAL Questions'!$A:$J,4,0)&amp;""</f>
        <v/>
      </c>
      <c r="D57">
        <f>VLOOKUP($A57,'PARASTATAL Questions'!$A:$J,5,0)&amp;""</f>
        <v/>
      </c>
      <c r="E57">
        <f>VLOOKUP($A57,'PARASTATAL Questions'!$A:$J,7,0)&amp;""</f>
        <v/>
      </c>
      <c r="F57">
        <f>VLOOKUP($A57,'PARASTATAL Questions'!$A:$J,6,0)</f>
        <v/>
      </c>
      <c r="G57">
        <f>IF($F57=0,"NA",IF($A57=INDIRECT("'"&amp;$A57&amp;"'!$B$1"),IF(VLOOKUP(G$1,INDIRECT("'"&amp;$A57&amp;"'!$A$12:$Z$19"),MATCH("Points (Auto-generate)",INDIRECT("'"&amp;$A57&amp;"'!$A$12:$Z$12"),0),0)="","?",VLOOKUP(G$1,INDIRECT("'"&amp;$A57&amp;"'!$A$12:$Z$19"),MATCH("Points (Auto-generate)",INDIRECT("'"&amp;$A57&amp;"'!$A$12:$Z$12"),0),0)),"ER"))</f>
        <v/>
      </c>
      <c r="H57">
        <f>IF($F57=0,"NA",IF($A57=INDIRECT("'"&amp;$A57&amp;"'!$B$1"),IF(VLOOKUP(H$1,INDIRECT("'"&amp;$A57&amp;"'!$A$12:$Z$19"),MATCH("Points (Auto-generate)",INDIRECT("'"&amp;$A57&amp;"'!$A$12:$Z$12"),0),0)="","?",VLOOKUP(H$1,INDIRECT("'"&amp;$A57&amp;"'!$A$12:$Z$19"),MATCH("Points (Auto-generate)",INDIRECT("'"&amp;$A57&amp;"'!$A$12:$Z$12"),0),0)),"ER"))</f>
        <v/>
      </c>
      <c r="I57">
        <f>IF($F57=0,"NA",IF($A57=INDIRECT("'"&amp;$A57&amp;"'!$B$1"),IF(VLOOKUP(I$1,INDIRECT("'"&amp;$A57&amp;"'!$A$12:$Z$19"),MATCH("Points (Auto-generate)",INDIRECT("'"&amp;$A57&amp;"'!$A$12:$Z$12"),0),0)="","?",VLOOKUP(I$1,INDIRECT("'"&amp;$A57&amp;"'!$A$12:$Z$19"),MATCH("Points (Auto-generate)",INDIRECT("'"&amp;$A57&amp;"'!$A$12:$Z$12"),0),0)),"ER"))</f>
        <v/>
      </c>
      <c r="J57">
        <f>IF($F57=0,"NA",IF($A57=INDIRECT("'"&amp;$A57&amp;"'!$B$1"),IF(VLOOKUP(J$1,INDIRECT("'"&amp;$A57&amp;"'!$A$12:$Z$19"),MATCH("Points (Auto-generate)",INDIRECT("'"&amp;$A57&amp;"'!$A$12:$Z$12"),0),0)="","?",VLOOKUP(J$1,INDIRECT("'"&amp;$A57&amp;"'!$A$12:$Z$19"),MATCH("Points (Auto-generate)",INDIRECT("'"&amp;$A57&amp;"'!$A$12:$Z$12"),0),0)),"ER"))</f>
        <v/>
      </c>
      <c r="K57">
        <f>IF($F57=0,"NA",IF($A57=INDIRECT("'"&amp;$A57&amp;"'!$B$1"),IF(VLOOKUP(K$1,INDIRECT("'"&amp;$A57&amp;"'!$A$12:$Z$19"),MATCH("Points (Auto-generate)",INDIRECT("'"&amp;$A57&amp;"'!$A$12:$Z$12"),0),0)="","?",VLOOKUP(K$1,INDIRECT("'"&amp;$A57&amp;"'!$A$12:$Z$19"),MATCH("Points (Auto-generate)",INDIRECT("'"&amp;$A57&amp;"'!$A$12:$Z$12"),0),0)),"ER"))</f>
        <v/>
      </c>
      <c r="L57">
        <f>IF($F57=0,"NA",IF($A57=INDIRECT("'"&amp;$A57&amp;"'!$B$1"),IF(VLOOKUP(L$1,INDIRECT("'"&amp;$A57&amp;"'!$A$12:$Z$19"),MATCH("Points (Auto-generate)",INDIRECT("'"&amp;$A57&amp;"'!$A$12:$Z$12"),0),0)="","?",VLOOKUP(L$1,INDIRECT("'"&amp;$A57&amp;"'!$A$12:$Z$19"),MATCH("Points (Auto-generate)",INDIRECT("'"&amp;$A57&amp;"'!$A$12:$Z$12"),0),0)),"ER"))</f>
        <v/>
      </c>
      <c r="M57">
        <f>IF($F57=0,"NA",IF($A57=INDIRECT("'"&amp;$A57&amp;"'!$B$1"),IF(VLOOKUP(M$1,INDIRECT("'"&amp;$A57&amp;"'!$A$12:$Z$19"),MATCH("Points (Auto-generate)",INDIRECT("'"&amp;$A57&amp;"'!$A$12:$Z$12"),0),0)="","?",VLOOKUP(M$1,INDIRECT("'"&amp;$A57&amp;"'!$A$12:$Z$19"),MATCH("Points (Auto-generate)",INDIRECT("'"&amp;$A57&amp;"'!$A$12:$Z$12"),0),0)),"ER"))</f>
        <v/>
      </c>
    </row>
    <row r="59">
      <c r="D59" s="4" t="inlineStr">
        <is>
          <t>PARASTATAL_Scores</t>
        </is>
      </c>
      <c r="G59" s="4" t="inlineStr">
        <is>
          <t>Bengaluru – BWSSB</t>
        </is>
      </c>
      <c r="H59" s="4" t="inlineStr">
        <is>
          <t>Bengaluru – BMTC</t>
        </is>
      </c>
      <c r="I59" s="4" t="inlineStr">
        <is>
          <t>Bengaluru – BDA</t>
        </is>
      </c>
      <c r="J59" s="4" t="inlineStr">
        <is>
          <t>Bengaluru – BMRCL</t>
        </is>
      </c>
      <c r="K59" s="4" t="inlineStr">
        <is>
          <t>Bengaluru – BMRDA</t>
        </is>
      </c>
      <c r="L59" s="4" t="inlineStr">
        <is>
          <t>Surat – SUDA</t>
        </is>
      </c>
      <c r="M59" s="4" t="inlineStr">
        <is>
          <t>Surat – GMRC</t>
        </is>
      </c>
    </row>
    <row r="60">
      <c r="D60" s="4" t="inlineStr">
        <is>
          <t>PARASTATAL_OVERALL_SCORE</t>
        </is>
      </c>
      <c r="G60">
        <f>IFERROR(SUMIFS(G$3:G$57,$C$3:$C$57,"MQ")/(COUNTIFS($C$3:$C$57,"MQ")-COUNTIFS($C$3:$C$57,"MQ",G$3:G$57,"NA")),"NA")</f>
        <v/>
      </c>
      <c r="H60">
        <f>IFERROR(SUMIFS(H$3:H$57,$C$3:$C$57,"MQ")/(COUNTIFS($C$3:$C$57,"MQ")-COUNTIFS($C$3:$C$57,"MQ",H$3:H$57,"NA")),"NA")</f>
        <v/>
      </c>
      <c r="I60">
        <f>IFERROR(SUMIFS(I$3:I$57,$C$3:$C$57,"MQ")/(COUNTIFS($C$3:$C$57,"MQ")-COUNTIFS($C$3:$C$57,"MQ",I$3:I$57,"NA")),"NA")</f>
        <v/>
      </c>
      <c r="J60">
        <f>IFERROR(SUMIFS(J$3:J$57,$C$3:$C$57,"MQ")/(COUNTIFS($C$3:$C$57,"MQ")-COUNTIFS($C$3:$C$57,"MQ",J$3:J$57,"NA")),"NA")</f>
        <v/>
      </c>
      <c r="K60">
        <f>IFERROR(SUMIFS(K$3:K$57,$C$3:$C$57,"MQ")/(COUNTIFS($C$3:$C$57,"MQ")-COUNTIFS($C$3:$C$57,"MQ",K$3:K$57,"NA")),"NA")</f>
        <v/>
      </c>
      <c r="L60">
        <f>IFERROR(SUMIFS(L$3:L$57,$C$3:$C$57,"MQ")/(COUNTIFS($C$3:$C$57,"MQ")-COUNTIFS($C$3:$C$57,"MQ",L$3:L$57,"NA")),"NA")</f>
        <v/>
      </c>
      <c r="M60">
        <f>IFERROR(SUMIFS(M$3:M$57,$C$3:$C$57,"MQ")/(COUNTIFS($C$3:$C$57,"MQ")-COUNTIFS($C$3:$C$57,"MQ",M$3:M$57,"NA")),"NA")</f>
        <v/>
      </c>
    </row>
    <row r="61">
      <c r="D61" s="4" t="inlineStr">
        <is>
          <t>No. of MQs not yet scored ("?") - overall score is provisional while &gt; 0</t>
        </is>
      </c>
      <c r="G61">
        <f>COUNTIFS($C$3:$C$57,"MQ",G$3:G$57,"?")</f>
        <v/>
      </c>
      <c r="H61">
        <f>COUNTIFS($C$3:$C$57,"MQ",H$3:H$57,"?")</f>
        <v/>
      </c>
      <c r="I61">
        <f>COUNTIFS($C$3:$C$57,"MQ",I$3:I$57,"?")</f>
        <v/>
      </c>
      <c r="J61">
        <f>COUNTIFS($C$3:$C$57,"MQ",J$3:J$57,"?")</f>
        <v/>
      </c>
      <c r="K61">
        <f>COUNTIFS($C$3:$C$57,"MQ",K$3:K$57,"?")</f>
        <v/>
      </c>
      <c r="L61">
        <f>COUNTIFS($C$3:$C$57,"MQ",L$3:L$57,"?")</f>
        <v/>
      </c>
      <c r="M61">
        <f>COUNTIFS($C$3:$C$57,"MQ",M$3:M$57,"?")</f>
        <v/>
      </c>
    </row>
    <row r="62">
      <c r="D62" s="4" t="inlineStr">
        <is>
          <t>No. of MQs marked NA (excluded from overall score)</t>
        </is>
      </c>
      <c r="G62">
        <f>COUNTIFS($C$3:$C$57,"MQ",G$3:G$57,"NA")</f>
        <v/>
      </c>
      <c r="H62">
        <f>COUNTIFS($C$3:$C$57,"MQ",H$3:H$57,"NA")</f>
        <v/>
      </c>
      <c r="I62">
        <f>COUNTIFS($C$3:$C$57,"MQ",I$3:I$57,"NA")</f>
        <v/>
      </c>
      <c r="J62">
        <f>COUNTIFS($C$3:$C$57,"MQ",J$3:J$57,"NA")</f>
        <v/>
      </c>
      <c r="K62">
        <f>COUNTIFS($C$3:$C$57,"MQ",K$3:K$57,"NA")</f>
        <v/>
      </c>
      <c r="L62">
        <f>COUNTIFS($C$3:$C$57,"MQ",L$3:L$57,"NA")</f>
        <v/>
      </c>
      <c r="M62">
        <f>COUNTIFS($C$3:$C$57,"MQ",M$3:M$57,"NA")</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50" customWidth="1" min="2" max="2"/>
    <col width="16" customWidth="1" min="3" max="3"/>
    <col width="20" customWidth="1" min="4" max="4"/>
  </cols>
  <sheetData>
    <row r="1">
      <c r="A1" s="3" t="inlineStr">
        <is>
          <t>City</t>
        </is>
      </c>
      <c r="B1" s="3" t="inlineStr">
        <is>
          <t>Agencies</t>
        </is>
      </c>
      <c r="C1" s="3" t="inlineStr">
        <is>
          <t>PARASTATAL score</t>
        </is>
      </c>
      <c r="D1" s="3" t="inlineStr">
        <is>
          <t>Agencies with a score</t>
        </is>
      </c>
    </row>
    <row r="2">
      <c r="A2" t="inlineStr">
        <is>
          <t>Bengaluru</t>
        </is>
      </c>
      <c r="B2" t="inlineStr">
        <is>
          <t>BWSSB, BMTC, BDA, BMRCL, BMRDA</t>
        </is>
      </c>
      <c r="C2">
        <f>IFERROR(AVERAGEIFS('PARASTATAL_SUMMARY_RAW'!$G$60:$M$60,'PARASTATAL_SUMMARY_RAW'!$G$59:$M$59,$A2&amp;" – *"),"NA")</f>
        <v/>
      </c>
      <c r="D2">
        <f>COUNTIFS('PARASTATAL_SUMMARY_RAW'!$G$59:$M$59,$A2&amp;" – *",'PARASTATAL_SUMMARY_RAW'!$G$60:$M$60,"&gt;=0")</f>
        <v/>
      </c>
    </row>
    <row r="3">
      <c r="A3" t="inlineStr">
        <is>
          <t>Surat</t>
        </is>
      </c>
      <c r="B3" t="inlineStr">
        <is>
          <t>SUDA, GMRC</t>
        </is>
      </c>
      <c r="C3">
        <f>IFERROR(AVERAGEIFS('PARASTATAL_SUMMARY_RAW'!$G$60:$M$60,'PARASTATAL_SUMMARY_RAW'!$G$59:$M$59,$A3&amp;" – *"),"NA")</f>
        <v/>
      </c>
      <c r="D3">
        <f>COUNTIFS('PARASTATAL_SUMMARY_RAW'!$G$59:$M$59,$A3&amp;" – *",'PARASTATAL_SUMMARY_RAW'!$G$60:$M$60,"&gt;=0")</f>
        <v/>
      </c>
    </row>
    <row r="5">
      <c r="A5" s="5" t="inlineStr">
        <is>
          <t>A city's score is the average of its agencies' overall scores. Agencies with no applicable questions (NA) are left 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0" customWidth="1" min="3" max="3"/>
    <col width="60" customWidth="1" min="5" max="5"/>
    <col width="30" customWidth="1" min="8" max="8"/>
    <col width="80" customWidth="1" min="9" max="9"/>
    <col width="50" customWidth="1" min="10" max="10"/>
  </cols>
  <sheetData>
    <row r="1">
      <c r="A1" s="3" t="inlineStr">
        <is>
          <t>Q No</t>
        </is>
      </c>
      <c r="B1" s="3" t="inlineStr">
        <is>
          <t>Original ID</t>
        </is>
      </c>
      <c r="C1" s="3" t="inlineStr">
        <is>
          <t>Group</t>
        </is>
      </c>
      <c r="D1" s="3" t="inlineStr">
        <is>
          <t>MQ_SQ</t>
        </is>
      </c>
      <c r="E1" s="3" t="inlineStr">
        <is>
          <t>Question</t>
        </is>
      </c>
      <c r="F1" s="3" t="inlineStr">
        <is>
          <t>Max Score</t>
        </is>
      </c>
      <c r="G1" s="3" t="inlineStr">
        <is>
          <t>Assessment level</t>
        </is>
      </c>
      <c r="H1" s="3" t="inlineStr">
        <is>
          <t>Applicability</t>
        </is>
      </c>
      <c r="I1" s="3" t="inlineStr">
        <is>
          <t>Detailed Methodology</t>
        </is>
      </c>
      <c r="J1" s="3" t="inlineStr">
        <is>
          <t>Notes for scorers</t>
        </is>
      </c>
    </row>
    <row r="2">
      <c r="A2" t="inlineStr">
        <is>
          <t>UPD1</t>
        </is>
      </c>
      <c r="B2" t="inlineStr">
        <is>
          <t>UPD 1</t>
        </is>
      </c>
      <c r="C2" t="inlineStr">
        <is>
          <t>Urban Planning &amp; Design (UPD)</t>
        </is>
      </c>
      <c r="D2" t="inlineStr">
        <is>
          <t>MQ</t>
        </is>
      </c>
      <c r="E2" t="inlineStr">
        <is>
          <t>Does the parastatal coordinate with the ULG(s) in preparing its sectoral plans?</t>
        </is>
      </c>
      <c r="F2" t="n">
        <v>10</v>
      </c>
      <c r="G2" t="inlineStr">
        <is>
          <t>Law/Policy + Implementation</t>
        </is>
      </c>
      <c r="H2" t="inlineStr">
        <is>
          <t>All parastatals excluding Development Authorities</t>
        </is>
      </c>
      <c r="I2" t="inlineStr">
        <is>
          <t>Sum total of the sub-indicators below -</t>
        </is>
      </c>
      <c r="J2" t="inlineStr">
        <is>
          <t>See sub-indicators</t>
        </is>
      </c>
    </row>
    <row r="3">
      <c r="A3" t="inlineStr">
        <is>
          <t>UPD1a</t>
        </is>
      </c>
      <c r="B3" t="inlineStr">
        <is>
          <t>UPD 1a</t>
        </is>
      </c>
      <c r="C3" t="inlineStr">
        <is>
          <t>Urban Planning &amp; Design (UPD)</t>
        </is>
      </c>
      <c r="D3" t="inlineStr">
        <is>
          <t>SQ</t>
        </is>
      </c>
      <c r="E3" t="inlineStr">
        <is>
          <t>Is the parastatal mandated to prepare its sectoral plans in coordination with the ULG(s) within its jurisdiction?</t>
        </is>
      </c>
      <c r="F3" t="n">
        <v>5</v>
      </c>
      <c r="G3" t="inlineStr">
        <is>
          <t>Law/Policy</t>
        </is>
      </c>
      <c r="H3" t="inlineStr">
        <is>
          <t>All parastatals excluding Development Authorities</t>
        </is>
      </c>
      <c r="I3" t="inlineStr">
        <is>
          <t>Check the relevant Parastatal Act/Rules and the State Town and Country Planning Act to determine whether the parastatal is required to coordinate with the ULG(s) while preparing its sectoral plans.
Identify the nature of the ULG’s formal role in the plan-making process and score as follows:
10 — ULG approval/concurrence is mandatory with terms such as 'shall consult' 
2.5 — Consultation with the ULG is discretionary with terms such as “may consult”.
0 — No formal role for the ULG in preparation of the parastatal’s plan can be established.
Where different provisions apply to different plans prepared by the parastatal, assess the principal sectoral plan relevant to the service being evaluated.</t>
        </is>
      </c>
      <c r="J3" t="inlineStr">
        <is>
          <t>Relevant Parastatal Act; applicable Town and Country Planning (T&amp;CP) Act.</t>
        </is>
      </c>
    </row>
    <row r="4">
      <c r="A4" t="inlineStr">
        <is>
          <t>UPD1b</t>
        </is>
      </c>
      <c r="B4" t="inlineStr">
        <is>
          <t>UPD 1b</t>
        </is>
      </c>
      <c r="C4" t="inlineStr">
        <is>
          <t>Urban Planning &amp; Design (UPD)</t>
        </is>
      </c>
      <c r="D4" t="inlineStr">
        <is>
          <t>SQ</t>
        </is>
      </c>
      <c r="E4" t="inlineStr">
        <is>
          <t>Has the ULG participated in the parastatal’s plan-making process?</t>
        </is>
      </c>
      <c r="F4" t="n">
        <v>5</v>
      </c>
      <c r="G4" t="inlineStr">
        <is>
          <t>Implementation</t>
        </is>
      </c>
      <c r="H4" t="inlineStr">
        <is>
          <t>All parastatals excluding Development Authorities</t>
        </is>
      </c>
      <c r="I4" t="inlineStr">
        <is>
          <t>Check the latest available plan-making cycle for evidence of ULG participation in the parastatal’s plan-making process, irrespective of whether such participation is legally mandated.
Score 10 where there is evidence of ULG participation. Such evidence may include plan documents, consultation records, meeting minutes, ULG resolutions/comments, responses to ULG inputs, or information published on the parastatal/ULG website.
Score 0 where there is no such evidence.
Where different provisions apply to different plans prepared by the parastatal, assess the principal sectoral plan relevant to the service being evaluated.</t>
        </is>
      </c>
      <c r="J4" t="inlineStr">
        <is>
          <t>Evidence may include plan documents, consultation records, meeting minutes, ULG resolutions/comments, responses to ULG inputs, or information published on the parastatal/ULG website.</t>
        </is>
      </c>
    </row>
    <row r="5">
      <c r="A5" t="inlineStr">
        <is>
          <t>UPD2</t>
        </is>
      </c>
      <c r="B5" t="inlineStr">
        <is>
          <t>UPD 2</t>
        </is>
      </c>
      <c r="C5" t="inlineStr">
        <is>
          <t>Urban Planning &amp; Design (UPD)</t>
        </is>
      </c>
      <c r="D5" t="inlineStr">
        <is>
          <t>MQ</t>
        </is>
      </c>
      <c r="E5" t="inlineStr">
        <is>
          <t>Where multiple statutory or sectoral plans apply to the same territory, does the water supply board and transport corporation ensure consistency with the municipal/city plan for the city?</t>
        </is>
      </c>
      <c r="F5" t="n">
        <v>10</v>
      </c>
      <c r="G5" t="inlineStr">
        <is>
          <t>Law/Policy + Implementation</t>
        </is>
      </c>
      <c r="H5" t="inlineStr">
        <is>
          <t>All parastatals excluding Development Authorities</t>
        </is>
      </c>
      <c r="I5" t="inlineStr">
        <is>
          <t>Sum of the sub-questions below -</t>
        </is>
      </c>
      <c r="J5" t="inlineStr">
        <is>
          <t>See sub-indicators</t>
        </is>
      </c>
    </row>
    <row r="6">
      <c r="A6" t="inlineStr">
        <is>
          <t>UPD2a</t>
        </is>
      </c>
      <c r="B6" t="inlineStr">
        <is>
          <t>UPD 2a</t>
        </is>
      </c>
      <c r="C6" t="inlineStr">
        <is>
          <t>Urban Planning &amp; Design (UPD)</t>
        </is>
      </c>
      <c r="D6" t="inlineStr">
        <is>
          <t>SQ</t>
        </is>
      </c>
      <c r="E6" t="inlineStr">
        <is>
          <t>Where multiple statutory or sectoral plans apply to the same territory, is the water board mandated to ensure consistency with the applicable city /municipal plan for the city?</t>
        </is>
      </c>
      <c r="F6" t="n">
        <v>2.5</v>
      </c>
      <c r="G6" t="inlineStr">
        <is>
          <t>Law/Policy</t>
        </is>
      </c>
      <c r="H6" t="inlineStr">
        <is>
          <t>Water supply board</t>
        </is>
      </c>
      <c r="I6" t="inlineStr">
        <is>
          <t>Check the relevant Parastatal Act and Town and Country Planning Act.
Score 2.50 if the parastatal 'shall/is required to' ensure that its sectoral plan is consistent with the applicable city or municipal plan.
Score 1.25 if the law provides that such alignment is discretionary. ('May' provision)
Score 0 if no such provision exists.
For example, a provision stating that a water supply plan shall conform to the applicable city/municipal plan would score 2.5, while a provision stating that the authority may have regard to such a plan would score 1.25.</t>
        </is>
      </c>
      <c r="J6" t="inlineStr">
        <is>
          <t>Relevant Parastatal Act; applicable Town and Country Planning (T&amp;CP) Act.</t>
        </is>
      </c>
    </row>
    <row r="7">
      <c r="A7" t="inlineStr">
        <is>
          <t>UPD2b</t>
        </is>
      </c>
      <c r="B7" t="inlineStr">
        <is>
          <t>UPD 2b</t>
        </is>
      </c>
      <c r="C7" t="inlineStr">
        <is>
          <t>Urban Planning &amp; Design (UPD)</t>
        </is>
      </c>
      <c r="D7" t="inlineStr">
        <is>
          <t>SQ</t>
        </is>
      </c>
      <c r="E7" t="inlineStr">
        <is>
          <t>Where multiple statutory or sectoral plans apply to the same territory, does the water supply board ensure consistency with the applicable municipal/city plan for the city?</t>
        </is>
      </c>
      <c r="F7" t="n">
        <v>2.5</v>
      </c>
      <c r="G7" t="inlineStr">
        <is>
          <t>Implementation</t>
        </is>
      </c>
      <c r="H7" t="inlineStr">
        <is>
          <t>Water supply board</t>
        </is>
      </c>
      <c r="I7" t="inlineStr">
        <is>
          <t>Check the Board’s current water supply/sewerage master plan, or equivalent sectoral planning document, together with the applicable Master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
Score 1.25 if there is partial alignment: the water plan refers to the master plan and/or uses its population, density or land-use projections, but does not clearly demonstrate that these inputs determine the spatial location of network expansion, service areas or major infrastructure.
Score 0 if there is no identifiable evidence that the Master Plan or its spatial/population framework informs water planning.</t>
        </is>
      </c>
      <c r="J7" t="inlineStr">
        <is>
          <t>Water Supply Board's current water supply/sewerage master plan or equivalent sectoral planning document; applicable Master Plan/Development Plan/Metropolitan or Regional Plan; land-use conversion/regularisation records for major treatment plants or trunk infrastructure, where available.</t>
        </is>
      </c>
    </row>
    <row r="8">
      <c r="A8" t="inlineStr">
        <is>
          <t>UPD2c</t>
        </is>
      </c>
      <c r="B8" t="inlineStr">
        <is>
          <t>UPD 2c</t>
        </is>
      </c>
      <c r="C8" t="inlineStr">
        <is>
          <t>Urban Planning &amp; Design (UPD)</t>
        </is>
      </c>
      <c r="D8" t="inlineStr">
        <is>
          <t>SQ</t>
        </is>
      </c>
      <c r="E8" t="inlineStr">
        <is>
          <t>Where multiple statutory or sectoral plans apply to the same territory, is the transport corporation mandated to ensure consistency with the applicable municipal/city plan for the city?</t>
        </is>
      </c>
      <c r="F8" t="n">
        <v>2.5</v>
      </c>
      <c r="G8" t="inlineStr">
        <is>
          <t>Law/Policy</t>
        </is>
      </c>
      <c r="H8" t="inlineStr">
        <is>
          <t>Transport Corporation</t>
        </is>
      </c>
      <c r="I8" t="inlineStr">
        <is>
          <t>Review the relevant Parastatal Act and Town and Country Planning Act.
Score 2.5 if the parastatal 'shall/is required to' ensure that its sectoral plan is consistent with the applicable municipal/city plan.
Score 1.25 if the law provides that such alignment is discretionary. ('May' provision)
Score 0 if no such provision exists.
For example, a provision stating that a transport plan shall conform to the applicable city/municipal plan would score 2.5, while a provision stating that the authority may have regard to such a plan would score 1.25.</t>
        </is>
      </c>
      <c r="J8" t="inlineStr">
        <is>
          <t>Relevant Parastatal Act; applicable Town and Country Planning (T&amp;CP) Act.</t>
        </is>
      </c>
    </row>
    <row r="9">
      <c r="A9" t="inlineStr">
        <is>
          <t>UPD2d</t>
        </is>
      </c>
      <c r="B9" t="inlineStr">
        <is>
          <t>UPD 2d</t>
        </is>
      </c>
      <c r="C9" t="inlineStr">
        <is>
          <t>Urban Planning &amp; Design (UPD)</t>
        </is>
      </c>
      <c r="D9" t="inlineStr">
        <is>
          <t>SQ</t>
        </is>
      </c>
      <c r="E9" t="inlineStr">
        <is>
          <t>Where multiple statutory or sectoral plans apply to the same territory, does the transport corporation ensure consistency with the applicable municipal/city plan for the city?</t>
        </is>
      </c>
      <c r="F9" t="n">
        <v>2.5</v>
      </c>
      <c r="G9" t="inlineStr">
        <is>
          <t>Implementation</t>
        </is>
      </c>
      <c r="H9" t="inlineStr">
        <is>
          <t>Transport Corporation</t>
        </is>
      </c>
      <c r="I9" t="inlineStr">
        <is>
          <t>Check the transport corporation's current transport/mobility master plan, network expansion plan, or equivalent sectoral planning document, together with the applicable city/municipal Master Plan.
Score 2.5 if the transport plan demonstrates substantive spatial alignment with the city/municipal's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
Score 1.25 if there is partial alignment: the transport plan refers to the master plan and/or uses its population, density or land-use projections, but does not clearly demonstrate that these inputs determine the spatial location of routes, stations or major infrastructure.
Score 0 if there is no identifiable evidence that the Master Plan or its spatial/population framework informs transport planning.</t>
        </is>
      </c>
      <c r="J9" t="inlineStr">
        <is>
          <t>Transport corporation's current mobility/network plan; applicable Master Plan/Development Plan/Metropolitan or Regional Plan; land-use conversion/regularisation records for major transport infrastructure, where available.</t>
        </is>
      </c>
    </row>
    <row r="10">
      <c r="A10" t="inlineStr">
        <is>
          <t>UPD3</t>
        </is>
      </c>
      <c r="B10" t="inlineStr">
        <is>
          <t>UPD 3</t>
        </is>
      </c>
      <c r="C10" t="inlineStr">
        <is>
          <t>Urban Planning &amp; Design (UPD)</t>
        </is>
      </c>
      <c r="D10" t="inlineStr">
        <is>
          <t>MQ</t>
        </is>
      </c>
      <c r="E10" t="inlineStr">
        <is>
          <t>Are the needs of women and the urban poor explicitly considered in the water board’s planning, service delivery or major investment decisions?</t>
        </is>
      </c>
      <c r="F10" t="n">
        <v>10</v>
      </c>
      <c r="G10" t="inlineStr">
        <is>
          <t>Law/Policy + Implementation</t>
        </is>
      </c>
      <c r="H10" t="inlineStr">
        <is>
          <t>Water supply board</t>
        </is>
      </c>
      <c r="I10" t="inlineStr">
        <is>
          <t>Check the relevant Act of the parastatal and applicable sectoral legislation, rules, regulations and other binding policy instruments. Do not award credit solely for broad references such as “public interest”, “public welfare” or “welfare of inhabitants”; there must be an identifiable requirement relating to women, the urban poor, EWS/slum residents, persons with disabilities, informal workers, disadvantaged/vulnerable groups, affordability, equitable/universal access, safety, or rehabilitation/resettlement protections.</t>
        </is>
      </c>
      <c r="J10" t="inlineStr">
        <is>
          <t>Relevant Act of the parastatal and applicable sectoral legislation, rules, regulations and other binding policy instruments</t>
        </is>
      </c>
    </row>
    <row r="11">
      <c r="A11" t="inlineStr">
        <is>
          <t>UPD3a</t>
        </is>
      </c>
      <c r="B11" t="inlineStr">
        <is>
          <t>UPD 3a</t>
        </is>
      </c>
      <c r="C11" t="inlineStr">
        <is>
          <t>Urban Planning &amp; Design (UPD)</t>
        </is>
      </c>
      <c r="D11" t="inlineStr">
        <is>
          <t>SQ</t>
        </is>
      </c>
      <c r="E11" t="inlineStr">
        <is>
          <t>Is the water supply board mandated to consider the needs of women and the urban poor in decisions relating to access, affordability and delivery of water and sanitation services?</t>
        </is>
      </c>
      <c r="F11" t="n">
        <v>5</v>
      </c>
      <c r="G11" t="inlineStr">
        <is>
          <t>Law/Policy</t>
        </is>
      </c>
      <c r="H11" t="inlineStr">
        <is>
          <t>Water supply board</t>
        </is>
      </c>
      <c r="I11" t="inlineStr">
        <is>
          <t>Check the Water Supply Board/utility Act, rules, tariff regulations and other binding legal instruments. Assess whether the legal framework requires the Board to address the needs of economically vulnerable groups and women in decisions relating to access, affordability and service delivery.
Do not award credit for generic obligations such as “public interest”, “universal supply”, “adequate service” or “service to all” unless these are translated into a specific legal requirement relating to affordability, service access, coverage or the needs of women.
Part A – Urban Poor: Affordability and access – 2.5 marks
Look for identifiable legal requirements such as:
concessional, lifeline or differentiated tariffs for EWS/BPL/low-income households;
concessions relating to connection charges, deposits or other service-access costs;
requirements to provide services to slums, informal settlements, low-income or underserved areas;
tenure-neutral or other provisions enabling access irrespective of land tenure/status;
minimum/lifeline supply or alternative service arrangements for underserved populations.
Score 2.5: There is a clear mandatory requirement (“shall”, “must” or equivalent) addressing affordability or access for economically vulnerable groups.
Score 1.25: The legal framework permits or encourages such measures (“may” or equivalent), but does not make them mandatory.
Score 0: No specific legal provision addressing affordability or access for economically vulnerable groups is found.
Part B – Women: Gender-responsive access and service delivery – 2.5 marks
Look for identifiable legal requirements such as:
consideration of women’s needs in water and sanitation planning or service provision;
requirements relating to location, accessibility or safety of shared/public water infrastructure;
gender-sensitive planning, assessment or consultation requirements;
service or design requirements intended to reduce barriers faced by women in accessing water and sanitation services.
Score 2.5: There is a clear mandatory requirement (“shall”, “must” or equivalent) addressing women’s access or service-delivery needs.
Score 1.25: The legal framework permits or encourages consideration of women’s needs (“may” or equivalent), but does not make it mandatory.
Score 0: No specific legal provision addressing women’s access or service-delivery needs is found.</t>
        </is>
      </c>
      <c r="J11" t="inlineStr">
        <is>
          <t>Water Supply Board/utility Act, water and sanitation legislation, tariff regulations, service rules, State policies and other applicable binding instruments</t>
        </is>
      </c>
    </row>
    <row r="12">
      <c r="A12" t="inlineStr">
        <is>
          <t>UPD3b</t>
        </is>
      </c>
      <c r="B12" t="inlineStr">
        <is>
          <t>UPD 3b</t>
        </is>
      </c>
      <c r="C12" t="inlineStr">
        <is>
          <t>Urban Planning &amp; Design (UPD)</t>
        </is>
      </c>
      <c r="D12" t="inlineStr">
        <is>
          <t>SQ</t>
        </is>
      </c>
      <c r="E12" t="inlineStr">
        <is>
          <t>Does the water supply board actually consider the needs of women and the urban poor in decisions relating to access, affordability and delivery of water and sanitation services?</t>
        </is>
      </c>
      <c r="F12" t="n">
        <v>5</v>
      </c>
      <c r="G12" t="inlineStr">
        <is>
          <t>Implementation</t>
        </is>
      </c>
      <c r="H12" t="inlineStr">
        <is>
          <t>Water supply board</t>
        </is>
      </c>
      <c r="I12" t="inlineStr">
        <is>
          <t>Check the Board’s current water supply/sanitation plan, applicable policy documents, active schemes, tariff/connection-concession orders and service or design standards. Assess whether the needs of economically vulnerable groups and women are recognised and translated into specific policies, schemes, targets, projects or service-delivery measures. 
Check for implementation, whether or not such measures are legally mandated.
Do not award full credit for generic language such as “public interest”, “all consumers”, “universal service” or “inclusive development”. Credit should depend on how well identified needs translate into specific, operational measures.
Part A – Urban Poor: Affordability and inclusion in service coverage – 2.5 marks
Look for measures such as:
concessional/lifeline tariffs or reductions in connection charges, deposits or other service costs;
policies or schemes targeting EWS/BPL, slum, informal-settlement or low-income households;
explicit inclusion of slums/informal or underserved settlements in service-area, demand or network planning;
targeted network extension or service-coverage commitments;
alternative service-delivery arrangements where household connections are not feasible;
defined coverage, connection, tariff or service targets/projects for economically vulnerable groups.
Score 2.5: The needs of economically vulnerable groups are addressed through a comprehensive policy or scheme and translated into specific operational measures, targets, projects or service commitments relating to affordability and/or access.
Score 1.25: Economically vulnerable groups are explicitly recognised, but the response is limited to broad policy intent, isolated provisions or measures without clearly defined operational targets/projects.
Score 0 — No identifiable consideration of affordability or service access for economically vulnerable groups is found.
Part B – Women: Gender-responsive planning and service delivery – 2.5 marks
Look for measures such as:
policies or schemes specifically addressing women’s water and sanitation access;
gender/GESI analysis or screening in water-supply or sanitation planning;
siting of shared infrastructure to address women’s time, distance or physical burden;
safety or accessibility measures at community/public water or sanitation facilities;
gender-responsive design or service standards;
defined targets, projects or investments addressing identified barriers faced by women.
Scoring
Score 2.5: Women’s needs are addressed through a comprehensive policy or scheme and translated into specific operational/design measures, targets or projects.
Score 1.25: Women are explicitly identified and their needs recognised, but this is limited to broad policy intent or isolated provisions without clearly defined operational/design measures, targets or projects.
Score 0: No identifiable consideration of women’s access or service-delivery needs is found.</t>
        </is>
      </c>
      <c r="J12" t="inlineStr">
        <is>
          <t>Water Supply Board's current water supply/sanitation plan; scheme/coverage documents; tariff or connection-concession orders; design/service standards.</t>
        </is>
      </c>
    </row>
    <row r="13">
      <c r="A13" t="inlineStr">
        <is>
          <t>UPD4</t>
        </is>
      </c>
      <c r="B13" t="inlineStr">
        <is>
          <t>UPD 4</t>
        </is>
      </c>
      <c r="C13" t="inlineStr">
        <is>
          <t>Urban Planning &amp; Design (UPD)</t>
        </is>
      </c>
      <c r="D13" t="inlineStr">
        <is>
          <t>MQ</t>
        </is>
      </c>
      <c r="E13" t="inlineStr">
        <is>
          <t>Are the needs of women and the urban poor explicitly considered in the transport Corporation’s planning, service delivery or major investment decisions?</t>
        </is>
      </c>
      <c r="F13" t="n">
        <v>10</v>
      </c>
      <c r="G13" t="inlineStr">
        <is>
          <t>Law/Policy + Implementation</t>
        </is>
      </c>
      <c r="H13" t="inlineStr">
        <is>
          <t>Transport Corporation</t>
        </is>
      </c>
      <c r="I13" t="inlineStr">
        <is>
          <t>Sum of the sub-questions below -</t>
        </is>
      </c>
      <c r="J13" t="inlineStr">
        <is>
          <t>See sub-indicators</t>
        </is>
      </c>
    </row>
    <row r="14">
      <c r="A14" t="inlineStr">
        <is>
          <t>UPD4a</t>
        </is>
      </c>
      <c r="B14" t="inlineStr">
        <is>
          <t>UPD 4a</t>
        </is>
      </c>
      <c r="C14" t="inlineStr">
        <is>
          <t>Urban Planning &amp; Design (UPD)</t>
        </is>
      </c>
      <c r="D14" t="inlineStr">
        <is>
          <t>SQ</t>
        </is>
      </c>
      <c r="E14" t="inlineStr">
        <is>
          <t>Is the transport corporation mandated to consider the mobility needs of women and the urban poor  in planning and delivering public transport services?</t>
        </is>
      </c>
      <c r="F14" t="n">
        <v>5</v>
      </c>
      <c r="G14" t="inlineStr">
        <is>
          <t>Law/Policy</t>
        </is>
      </c>
      <c r="H14" t="inlineStr">
        <is>
          <t>Transport Corporation</t>
        </is>
      </c>
      <c r="I14" t="inlineStr">
        <is>
          <t>Check the transport authority/corporation Act, other Acts (Companies Act/Road Transport Corporation Act/Motor Vehicles Act), rules, fare policies and other binding policy instruments.
Part A – Urban Poor: Affordability and inclusion in service coverage – Score 2.5
Check the transport authority/corporation Act, applicable transport legislation, rules, regulations and other binding legal instruments. Assess whether the legal framework requires the parastatal to address the mobility needs of economically vulnerable groups.
Do not award credit for generic obligations such as “public interest”, “adequate transport”, “efficient service” or “service to all” unless these are translated into a specific requirement relating to affordability, service coverage or access.
Look for identifiable legal requirements such as (non-exhaustive):
concessional, subsidised or differentiated fares for EWS/BPL/low-income users;
consideration of affordability in fare determination;
provision or maintenance of services to underserved, peripheral or low-income areas;
minimum service coverage or socially necessary routes;
feeder, last-mile or other access provisions aimed at underserved populations.
Score 2.5: There is a clear mandatory requirement (“shall” or “must”) addressing affordability, service coverage or access for economically vulnerable groups.
Score 1.25: The legal framework permits or encourages such measures (“may”), but does not make them mandatory.
Score 0: No specific legal provision addresses the mobility needs of economically vulnerable groups.
Part B – Women: Safety and mobility – Score 2.5
Check the transport authority/corporation Act, applicable transport legislation, rules, regulations and other binding legal instruments. Assess whether the legal framework requires the parastatal to address women’s safety and mobility needs.
Do not award credit for generic obligations relating to passenger safety, public convenience or service to all unless women are specifically identified or the provision clearly addresses gender-specific mobility or safety needs.
Look for identifiable legal requirements such as:
consideration of women’s safety or mobility in transport planning or service provision;
safety requirements relating to vehicles, stops, terminals or other passenger facilities that specifically address women;
provision of women-specific facilities, reserved spaces or other service-design measures;
requirements relating to safe first- and last-mile access for women;
gender-sensitive planning, assessment, consultation or service-design requirements.
Score 2.5: There is a clear mandatory requirement (“shall” or “must”) addressing women’s safety or mobility needs.
Score 1.25: The legal framework permits or encourages such measures (“may” ), but does not make them mandatory.
Score 0:  No specific legal provision addressing women’s safety or mobility needs is found.</t>
        </is>
      </c>
      <c r="J14" t="inlineStr">
        <is>
          <t>Transport authority/corporation Act, applicable transport legislation, rules, service regulations, fare policies and other binding policy instruments</t>
        </is>
      </c>
    </row>
    <row r="15">
      <c r="A15" t="inlineStr">
        <is>
          <t>UPD4b</t>
        </is>
      </c>
      <c r="B15" t="inlineStr">
        <is>
          <t>UPD 4b</t>
        </is>
      </c>
      <c r="C15" t="inlineStr">
        <is>
          <t>Urban Planning &amp; Design (UPD)</t>
        </is>
      </c>
      <c r="D15" t="inlineStr">
        <is>
          <t>SQ</t>
        </is>
      </c>
      <c r="E15" t="inlineStr">
        <is>
          <t>Does the Transport Corporation actually consider the needs of women and the urban poor in decisions relating to access, affordability and delivery of public transport services?</t>
        </is>
      </c>
      <c r="F15" t="n">
        <v>5</v>
      </c>
      <c r="G15" t="inlineStr">
        <is>
          <t>Implementation</t>
        </is>
      </c>
      <c r="H15" t="inlineStr">
        <is>
          <t>Transport Corporation</t>
        </is>
      </c>
      <c r="I15" t="inlineStr">
        <is>
          <t>Check the Corporation’s current transport/mobility plan, service-delivery framework, applicable policy documents and active schemes. Assess whether the mobility needs of identified vulnerable groups are recognised and translated into specific policies, schemes, targets, projects or service-delivery measures. 
Check for implementation, whether or not such measures are legally mandated.
Do not award full credit for generic language such as “public interest”, “all commuters”, “universal service” or “inclusive development”. Credit should be based on the extent to which identified needs are translated into specific and operational measures.
Part A – Urban Poor: Affordability and inclusion in service coverage – 2.5 marks
Look for measures such as:
concessional, subsidised or differentiated fares for EWS/BPL/low-income users;
policies or schemes addressing affordability of public transport;
specific commitments to serve low-income, informal, peripheral or underserved settlements;
inclusion of such areas within route/network planning;
last-mile or feeder-connectivity measures for underserved settlements;
defined targets, routes, projects or service-expansion commitments addressing these needs.
Score 2.5: The needs of economically vulnerable groups are addressed through a comprehensive policy or scheme and are translated into specific operational measures, targets, routes, projects or service commitments.
Score 1.25: The needs of economically vulnerable groups are explicitly recognised, but the response is limited to broad policy intent, isolated measures or provisions without clearly defined operational targets/projects.
Score 0:  No identifiable consideration of affordability or service access for economically vulnerable groups is found.
Part B  – Women: Gender, safety and mobility – 2.5 marks
Look for measures such as:
policies or schemes specifically addressing women’s safety and mobility;
gender/GESI assessment or screening in transport planning;
women-focused safety measures in vehicles, stops, terminals or public-transport infrastructure;
first- and last-mile measures addressing women’s mobility constraints;
service-design measures responding to identified mobility patterns or safety concerns;
defined targets, projects, service standards or investments addressing women’s mobility and safety.
Score 2.5: Women’s mobility and safety needs are addressed through a comprehensive policy or scheme and are translated into specific operational measures, targets, projects or service standards.
Score 1.25: Women’s mobility or safety needs are explicitly recognised, but are addressed only through broad policy intent, isolated measures or provisions without clearly defined operational targets/projects.
Score 0: No identifiable consideration of women’s mobility or safety needs is found.</t>
        </is>
      </c>
      <c r="J15" t="inlineStr">
        <is>
          <t>Transport Corporation's current transport/mobility plan; fare policy/concession orders; service design standards or specifications; annual report.</t>
        </is>
      </c>
    </row>
    <row r="16">
      <c r="A16" t="inlineStr">
        <is>
          <t>UPD5</t>
        </is>
      </c>
      <c r="B16" t="inlineStr">
        <is>
          <t>UPD 5</t>
        </is>
      </c>
      <c r="C16" t="inlineStr">
        <is>
          <t>Urban Planning &amp; Design (UPD)</t>
        </is>
      </c>
      <c r="D16" t="inlineStr">
        <is>
          <t>MQ</t>
        </is>
      </c>
      <c r="E16" t="inlineStr">
        <is>
          <t>Are environmental considerations explicitly required to be integrated into the water supply board’s planning, service-delivery or major investment decisions?</t>
        </is>
      </c>
      <c r="F16" t="n">
        <v>10</v>
      </c>
      <c r="G16" t="inlineStr">
        <is>
          <t>Law/Policy + Implementation</t>
        </is>
      </c>
      <c r="H16" t="inlineStr">
        <is>
          <t>Water supply board</t>
        </is>
      </c>
      <c r="I16" t="inlineStr">
        <is>
          <t>Assess through the relevant parastatal-specific question below. Review the enabling Act of the parastatal, applicable sectoral legislation, T&amp;CP/planning legislation where relevant, environmental rules/regulations, and other binding policy instruments governing the parastatal’s functions. Do not award credit solely for general references to “environment”, “public interest” or compliance with project-level environmental clearances. The legal/policy framework should require environmental considerations to inform the parastatal’s own planning, investment or service-delivery decisions.</t>
        </is>
      </c>
      <c r="J16" t="inlineStr">
        <is>
          <t>Enabling Act of the parastatal, applicable sectoral legislation, T&amp;CP/planning legislation, relevant environmental rules/regulations, and other binding policy instruments</t>
        </is>
      </c>
    </row>
    <row r="17">
      <c r="A17" t="inlineStr">
        <is>
          <t>UPD5a</t>
        </is>
      </c>
      <c r="B17" t="inlineStr">
        <is>
          <t>UPD 5a</t>
        </is>
      </c>
      <c r="C17" t="inlineStr">
        <is>
          <t>Urban Planning &amp; Design (UPD)</t>
        </is>
      </c>
      <c r="D17" t="inlineStr">
        <is>
          <t>SQ</t>
        </is>
      </c>
      <c r="E17" t="inlineStr">
        <is>
          <t>Is the water supply board mandated to consider environmental sustainability in planning and delivering water and sanitation services?</t>
        </is>
      </c>
      <c r="F17" t="n">
        <v>5</v>
      </c>
      <c r="G17" t="inlineStr">
        <is>
          <t>Law/Policy</t>
        </is>
      </c>
      <c r="H17" t="inlineStr">
        <is>
          <t>Water supply board</t>
        </is>
      </c>
      <c r="I17" t="inlineStr">
        <is>
          <t>Check the Water Supply Board/utility Act, rules, service regulations, and other binding legal instruments. Assess whether the legal framework requires the Board to integrate environmental sustainability into planning and delivery of water and sanitation services.
Do not award credit for generic references to the “environment”, “public interest” or compliance with project-specific environmental clearances unless environmental considerations are required to inform the Board’s own planning, investment or service-delivery decisions.
Look for identifiable legal requirements relating to areas such as: (non-exhaustive) sustainable water-source management and protection, groundwater protection, conservation and demand management, reduction of water losses, wastewater treatment/reuse, pollution prevention, climate resilience, environmental flows or environmentally sustainable service delivery.
Score 5: There is a clear mandatory requirement (“shall”, “must” ) requiring environmental sustainability considerations to inform the Board’s planning and/or service-delivery functions.
Score 2.5: The legal framework permits or encourages consideration of environmental sustainability (“may”), but does not make it mandatory.
Score 0: No specific legal requirement is found.</t>
        </is>
      </c>
      <c r="J17" t="inlineStr">
        <is>
          <t>Water Supply Board/utility Act, water and sanitation legislation, service rules, State water policies, groundwater/source-protection provisions and other binding instruments</t>
        </is>
      </c>
    </row>
    <row r="18">
      <c r="A18" t="inlineStr">
        <is>
          <t>UPD5b</t>
        </is>
      </c>
      <c r="B18" t="inlineStr">
        <is>
          <t>UPD 5b</t>
        </is>
      </c>
      <c r="C18" t="inlineStr">
        <is>
          <t>Urban Planning &amp; Design (UPD)</t>
        </is>
      </c>
      <c r="D18" t="inlineStr">
        <is>
          <t>SQ</t>
        </is>
      </c>
      <c r="E18" t="inlineStr">
        <is>
          <t>Does the water supply board actually consider environmental sustainability in planning and delivering water and sanitation services?</t>
        </is>
      </c>
      <c r="F18" t="n">
        <v>5</v>
      </c>
      <c r="G18" t="inlineStr">
        <is>
          <t>Implementation</t>
        </is>
      </c>
      <c r="H18" t="inlineStr">
        <is>
          <t>Water supply board</t>
        </is>
      </c>
      <c r="I18" t="inlineStr">
        <is>
          <t>Check the Board’s current water supply/sanitation plan, applicable policy documents, active programmes/schemes and operational frameworks. Assess whether environmental sustainability considerations are translated into specific policies, programmes, targets, projects or operational measures.
Check for implementation, whether or not such measures are legally mandated.
Do not award full credit for generic references such as “sustainable development”, “efficient service”, “environment friendly” or “public interest” unless these are translated into specific operational measures.
Look for identifiable measures such as (non-exhaustive):
source-sustainability measures, including diversification of water sources, reduction of dependence on stressed sources, source-protection plans or groundwater-recharge measures;
water-conservation and demand-management measures, including universal/targeted metering, leak detection, pressure management or conservation-oriented service standards;
defined non-revenue water (NRW) or transmission/distribution loss-reduction targets, programmes or projects;
wastewater treatment, recycling or reuse measures, including defined reuse targets or projects for non-potable uses;
pollution-prevention or catchment/source-protection measures linked to the Board’s own planning or operations;
climate-resilience measures for water and wastewater infrastructure, including drought preparedness, flood-proofing, source-risk assessment or contingency planning;
energy-efficiency or renewable-energy measures in pumping, treatment or wastewater operations;
defined targets, projects, budgets or investments relating to environmental sustainability;
monitoring indicators or service standards that track source sustainability, water losses, reuse, energy use, resilience or other environmental outcomes.
Score 5: Environmental sustainability is addressed through a comprehensive policy, programme or planning framework and translated into specific targets, projects or operational measures across the Board’s water and/or sanitation functions.
Score 2.5: Environmental sustainability is explicitly recognised, but is limited to broad policy intent, isolated measures or provisions without clearly defined targets/projects.
Score 0:  No identifiable environmental sustainability consideration is found.</t>
        </is>
      </c>
      <c r="J18" t="inlineStr">
        <is>
          <t>Water Supply Board's current water supply/sanitation plan; source-protection or conservation programme documents; wastewater treatment/reuse scheme documents; annual report.</t>
        </is>
      </c>
    </row>
    <row r="19">
      <c r="A19" t="inlineStr">
        <is>
          <t>UPD6</t>
        </is>
      </c>
      <c r="B19" t="inlineStr">
        <is>
          <t>UPD 6</t>
        </is>
      </c>
      <c r="C19" t="inlineStr">
        <is>
          <t>Urban Planning &amp; Design (UPD)</t>
        </is>
      </c>
      <c r="D19" t="inlineStr">
        <is>
          <t>MQ</t>
        </is>
      </c>
      <c r="E19" t="inlineStr">
        <is>
          <t>Are environmental considerations explicitly required to be integrated into the transport corporation’s planning, service-delivery or major investment decisions?</t>
        </is>
      </c>
      <c r="F19" t="n">
        <v>10</v>
      </c>
      <c r="G19" t="inlineStr">
        <is>
          <t>Law/Policy + Implementation</t>
        </is>
      </c>
      <c r="H19" t="inlineStr">
        <is>
          <t>Transport Corporation</t>
        </is>
      </c>
      <c r="I19" t="inlineStr">
        <is>
          <t>Sum of the sub-questions below -</t>
        </is>
      </c>
      <c r="J19" t="inlineStr">
        <is>
          <t>See sub-indicators</t>
        </is>
      </c>
    </row>
    <row r="20">
      <c r="A20" t="inlineStr">
        <is>
          <t>UPD6a</t>
        </is>
      </c>
      <c r="B20" t="inlineStr">
        <is>
          <t>UPD 6a</t>
        </is>
      </c>
      <c r="C20" t="inlineStr">
        <is>
          <t>Urban Planning &amp; Design (UPD)</t>
        </is>
      </c>
      <c r="D20" t="inlineStr">
        <is>
          <t>SQ</t>
        </is>
      </c>
      <c r="E20" t="inlineStr">
        <is>
          <t>Is the transport corporation mandated to consider environmental sustainability in planning and delivering urban transport services and investments?</t>
        </is>
      </c>
      <c r="F20" t="n">
        <v>5</v>
      </c>
      <c r="G20" t="inlineStr">
        <is>
          <t>Law/Policy</t>
        </is>
      </c>
      <c r="H20" t="inlineStr">
        <is>
          <t>Transport Corporation</t>
        </is>
      </c>
      <c r="I20" t="inlineStr">
        <is>
          <t>Check the transport authority/corporation Act (Road Transport Corporation Act/Motor Vehicles Act/Companies Act), rules, and other binding legal instruments. Assess whether the legal framework requires the Corporation to integrate environmental sustainability into its planning, investment and service-delivery decisions.
Do not award credit for generic references to “sustainable transport”, “public interest”, “environment protection” or compliance with project-specific environmental clearance requirements unless the provision requires environmental considerations to inform the Corporation’s own planning, investment or service-delivery decisions.
Look for identifiable legal requirements relating to (non-exhaustive):
transition to cleaner or lower-emission vehicles and fuels;
reduction of transport-related emissions or energy consumption;
prioritisation or strengthening of public transport;
integration of public transport with walking, cycling or other non-motorised transport;
multimodal integration or measures to reduce dependence on private motor vehicles;
integration of land-use and transport planning;
climate-resilient transport infrastructure or operations;
environmental considerations in major transport investments or service planning.
Score 5: There is a clear mandatory requirement (“shall” or “must”) requiring environmental sustainability considerations to inform the Corporation’s planning, investment and/or service-delivery functions.
Score 2.5: The legal framework permits or encourages consideration of environmental sustainability (“may”), but does not make it mandatory.
Score 0: No specific legal requirement requiring the Corporation to consider environmental sustainability in its planning, investment or service-delivery functions is found.</t>
        </is>
      </c>
      <c r="J20" t="inlineStr">
        <is>
          <t>Transport authority/corporation Act, applicable transport legislation, rules, mobility/transport policies and other binding instruments</t>
        </is>
      </c>
    </row>
    <row r="21">
      <c r="A21" t="inlineStr">
        <is>
          <t>UPD6b</t>
        </is>
      </c>
      <c r="B21" t="inlineStr">
        <is>
          <t>UPD 6b</t>
        </is>
      </c>
      <c r="C21" t="inlineStr">
        <is>
          <t>Urban Planning &amp; Design (UPD)</t>
        </is>
      </c>
      <c r="D21" t="inlineStr">
        <is>
          <t>SQ</t>
        </is>
      </c>
      <c r="E21" t="inlineStr">
        <is>
          <t>Does the transport corporation actually considers environmental sustainability in planning and delivering urban transport services and investments?</t>
        </is>
      </c>
      <c r="F21" t="n">
        <v>5</v>
      </c>
      <c r="G21" t="inlineStr">
        <is>
          <t>Implementation</t>
        </is>
      </c>
      <c r="H21" t="inlineStr">
        <is>
          <t>Transport Corporation</t>
        </is>
      </c>
      <c r="I21" t="inlineStr">
        <is>
          <t>Check the Corporation’s current fleet plan, route/network plan, mobility or service-delivery plan, environmental/sustainability policy, active programmes/schemes and annual reports. Assess whether environmental sustainability considerations are translated into specific policies, programmes, targets, projects or operational measures, irrespective of whether such measures are legally mandated.
Check for implementation, whether or not such measures are legally mandated.
Do not award full credit for generic references such as “sustainable transport”, “green mobility” or “environment-friendly”. Credit should depend on whether these commitments translate into specific, operational measures.
Look for identifiable measures such as (non-exhaustive):
defined targets or programmes for transition to electric, CNG, hybrid or other cleaner/lower-emission vehicles;
fleet-retirement or replacement plans targeting older or high-emission vehicles;
emissions-reduction, fuel-efficiency or energy-consumption targets;
renewable-energy or energy-efficiency measures in depots, terminals, charging infrastructure or operations;
route or network-planning measures intended to increase public-transport use or reduce unnecessary vehicle kilometres;
integration with walking and cycling infrastructure at stops, terminals or interchanges;
multimodal integration measures, such as coordinated interchanges, feeder connectivity or integrated ticketing;
measures to improve service coverage or frequency with the objective of shifting trips from private vehicles to public transport;
climate-resilience measures for fleet, depots, terminals or transport operations;
defined targets, projects, budgets or investments relating to emissions reduction, cleaner mobility, energy efficiency or modal integration;
monitoring indicators that track fleet emissions, fuel/energy consumption, clean-fleet share, ridership, mode shift or other environmental outcomes.
Score 5:  Environmental sustainability is addressed through a comprehensive policy, programme or planning framework and translated into specific targets, projects or operational measures across the Corporation’s transport functions.
Score 2.5: Environmental sustainability is explicitly recognised, but is limited to broad policy intent, isolated measures or provisions without clearly defined targets/projects.
Score 0: No identifiable environmental sustainability measure is found.</t>
        </is>
      </c>
      <c r="J21" t="inlineStr">
        <is>
          <t>Transport Corporation's fleet plan; route/network plan; environmental/sustainability policy; annual report.</t>
        </is>
      </c>
    </row>
    <row r="22">
      <c r="A22" t="inlineStr">
        <is>
          <t>DPG1</t>
        </is>
      </c>
      <c r="B22" t="inlineStr">
        <is>
          <t>DPG 1</t>
        </is>
      </c>
      <c r="C22" t="inlineStr">
        <is>
          <t>Decentralised Participatory Governance</t>
        </is>
      </c>
      <c r="D22" t="inlineStr">
        <is>
          <t>MQ</t>
        </is>
      </c>
      <c r="E22" t="inlineStr">
        <is>
          <t>Are the functions and geographical jurisdiction of the parastatal clearly defined vis-à-vis the ULG and other relevant agencies?</t>
        </is>
      </c>
      <c r="F22" t="n">
        <v>10</v>
      </c>
      <c r="G22" t="inlineStr">
        <is>
          <t>Law/Policy + Implementation</t>
        </is>
      </c>
      <c r="H22" t="inlineStr">
        <is>
          <t>Common — all parastatal types.</t>
        </is>
      </c>
      <c r="I22" t="inlineStr">
        <is>
          <t>Sum of the sub-questions below -</t>
        </is>
      </c>
      <c r="J22" t="inlineStr">
        <is>
          <t>Parastatal, 12th Schedule mapping exercise</t>
        </is>
      </c>
    </row>
    <row r="23">
      <c r="A23" t="inlineStr">
        <is>
          <t>DPG1a</t>
        </is>
      </c>
      <c r="B23" t="inlineStr">
        <is>
          <t>DPG 1a</t>
        </is>
      </c>
      <c r="C23" t="inlineStr">
        <is>
          <t>Decentralised Participatory Governance</t>
        </is>
      </c>
      <c r="D23" t="inlineStr">
        <is>
          <t>SQ</t>
        </is>
      </c>
      <c r="E23" t="inlineStr">
        <is>
          <t>Does the law clearly demarcate the functions/responsibilities of the parastatal vis-à-vis the ULG?</t>
        </is>
      </c>
      <c r="F23" t="n">
        <v>5</v>
      </c>
      <c r="G23" t="inlineStr">
        <is>
          <t>Law/policy</t>
        </is>
      </c>
      <c r="H23" t="inlineStr">
        <is>
          <t>Common — all parastatal types.</t>
        </is>
      </c>
      <c r="I23" t="inlineStr">
        <is>
          <t>Step 1 — Check devolution status under the Municipal Act.
Review the Municipal Act to determine whether the specific function/service is:
A — Not devolved: the function is not assigned to the ULG at all.
B — Fully devolved: the function is assigned to the ULG in full, and the parastatal also delivers it (i.e. a potential overlap exists).
C — Partially devolved: only specific sub-functions are assigned to the ULG (e.g. domestic water supply to the ULG, bulk supply/production to the parastatal).
Step 2 — Score based on which scenario applies.
If A (not devolved): Score 5. There is no ULG claim to the function, so there is nothing to demarcate against — the parastatal Act's assignment stands on its own.
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
Score 5 if such a distinction is explicit in the Parastatal Act.
Score 0 if both Acts assign the same function with no distinction between them.
If C (partially devolved): Check whether the aspect assigned to the parastatal is explicit and does not overlap with the aspect assigned to the ULG (e.g. Municipal Act assigns domestic water supply to the ULG; Parastatal Act assigns bulk supply/production to the parastatal — no overlap).
Score 5 if the two Acts' assignments are explicit and non-overlapping.
Score 0 if the assigned aspects overlap, or if the parastatal's aspect is not clearly specified in its Act.</t>
        </is>
      </c>
      <c r="J23" t="inlineStr">
        <is>
          <t>Relevant Parastatal Act; State Municipal Act — record the specific provisions establishing devolution status and (where applicable) the functional carve-out.</t>
        </is>
      </c>
    </row>
    <row r="24">
      <c r="A24" t="inlineStr">
        <is>
          <t>DPG1b</t>
        </is>
      </c>
      <c r="B24" t="inlineStr">
        <is>
          <t>DPG 1b</t>
        </is>
      </c>
      <c r="C24" t="inlineStr">
        <is>
          <t>Decentralised Participatory Governance</t>
        </is>
      </c>
      <c r="D24" t="inlineStr">
        <is>
          <t>SQ</t>
        </is>
      </c>
      <c r="E24" t="inlineStr">
        <is>
          <t>Is the parastatal's territorial/geographic jurisdiction specifically defined in it's enabling law?</t>
        </is>
      </c>
      <c r="F24" t="n">
        <v>5</v>
      </c>
      <c r="G24" t="inlineStr">
        <is>
          <t>Law/Policy</t>
        </is>
      </c>
      <c r="H24" t="inlineStr">
        <is>
          <t>Common — all parastatal types.</t>
        </is>
      </c>
      <c r="I24" t="inlineStr">
        <is>
          <t>Check the relevant Parastatal Act and Municipal Act as the primary sources to determine the parastatal’s territorial/geographic jurisdiction.
If the applicable legislation does not clearly define the jurisdiction, or provides for jurisdiction to be specified or altered through subsequent notification, check relevant government notifications/gazette publications and, where necessary, the parastatal’s official website for the current jurisdictional boundary.
Score 5 — The parastatal’s jurisdiction is clearly defined through a specific boundary description, schedule, map reference, notified area or other legally identifiable territorial definition.
Score 0 — The parastatal’s jurisdiction cannot be clearly established from the applicable legislation or subsequent legally valid notifications/orders.</t>
        </is>
      </c>
      <c r="J24" t="inlineStr">
        <is>
          <t>Enabling Act, 12th Schedule mapping exercise</t>
        </is>
      </c>
    </row>
    <row r="25">
      <c r="A25" t="inlineStr">
        <is>
          <t>DPG2</t>
        </is>
      </c>
      <c r="B25" t="inlineStr">
        <is>
          <t>DPG 2</t>
        </is>
      </c>
      <c r="C25" t="inlineStr">
        <is>
          <t>Decentralised Participatory Governance</t>
        </is>
      </c>
      <c r="D25" t="inlineStr">
        <is>
          <t>MQ</t>
        </is>
      </c>
      <c r="E25" t="inlineStr">
        <is>
          <t>Is the parastatal accountable to the ULG?</t>
        </is>
      </c>
      <c r="F25" t="n">
        <v>10</v>
      </c>
      <c r="G25" t="inlineStr">
        <is>
          <t>Law/Policy</t>
        </is>
      </c>
      <c r="H25" t="inlineStr">
        <is>
          <t>Common — all parastatal types.</t>
        </is>
      </c>
      <c r="I25" t="inlineStr">
        <is>
          <t>Sum of the sub-questions below -</t>
        </is>
      </c>
      <c r="J25" t="inlineStr">
        <is>
          <t>See sub-indicators</t>
        </is>
      </c>
    </row>
    <row r="26">
      <c r="A26" t="inlineStr">
        <is>
          <t>DPG2a</t>
        </is>
      </c>
      <c r="B26" t="inlineStr">
        <is>
          <t>DPG 2a</t>
        </is>
      </c>
      <c r="C26" t="inlineStr">
        <is>
          <t>Decentralised Participatory Governance</t>
        </is>
      </c>
      <c r="D26" t="inlineStr">
        <is>
          <t>SQ</t>
        </is>
      </c>
      <c r="E26" t="inlineStr">
        <is>
          <t>Does the ULG have representation on the parastatal's governing board?</t>
        </is>
      </c>
      <c r="F26" t="n">
        <v>5</v>
      </c>
      <c r="G26" t="inlineStr">
        <is>
          <t>Law/Policy</t>
        </is>
      </c>
      <c r="H26" t="inlineStr">
        <is>
          <t>Common — all parastatal types.</t>
        </is>
      </c>
      <c r="I26" t="inlineStr">
        <is>
          <t>Check the relevant Parastatal Act and Municipal Act as primary sources to determine the composition of the parastatal’s governing board and whether the legislation provides for ULG representatives. Where the composition, status or voting rights of members are not clear from the applicable legislation, check the parastatal’s official website or current board-member list.
Score 5: ULG-elected representatives are members of the governing board with voting rights.
Score 2.5: The ULG is represented on the governing board, but without voting rights or only as invitees.
Score 0: No ULG representation on the governing board is provided for or found.</t>
        </is>
      </c>
      <c r="J26" t="inlineStr">
        <is>
          <t>Composition clause of enabling Act; current board member list; Also check as per the parastatal website.</t>
        </is>
      </c>
    </row>
    <row r="27">
      <c r="A27" t="inlineStr">
        <is>
          <t>DPG2b</t>
        </is>
      </c>
      <c r="B27" t="inlineStr">
        <is>
          <t>DPG-2b</t>
        </is>
      </c>
      <c r="C27" t="inlineStr">
        <is>
          <t>Decentralised Participatory Governance</t>
        </is>
      </c>
      <c r="D27" t="inlineStr">
        <is>
          <t>SQ</t>
        </is>
      </c>
      <c r="E27" t="inlineStr">
        <is>
          <t>Is the parastatal mandated to submit its plans, budgets or reports to the ULG/council?</t>
        </is>
      </c>
      <c r="F27" t="n">
        <v>5</v>
      </c>
      <c r="G27" t="inlineStr">
        <is>
          <t>Law/Policy</t>
        </is>
      </c>
      <c r="H27" t="inlineStr">
        <is>
          <t>Common — all parastatal types.</t>
        </is>
      </c>
      <c r="I27" t="inlineStr">
        <is>
          <t>Check the relevant Parastatal Act and Municipal Act for provisions requiring the parastatal to submit or table its plans, budgets and reports before the ULG/council.
The requirement may arise either:
through a specific provision applicable to the parastatal (The requirement may be provided through a general provision covering these documents or through specific provisions for each); or
through a general/blanket provision in the Municipal Act requiring public authorities, boards, corporations or other agencies operating within the municipal area to submit specified plans, budgets, reports or related documents to the ULG/council.
Score 1.67 points each where:
plans are required to be submitted/tabled;
budgets are required to be submitted/tabled; and
annual/performance reports are required to be submitted/tabled.
Score 0 for each component where no such requirement exists.
Where all three are provided for, award the full score of 5.
Submission only to the State Government or another authority should not be counted as submission to the ULG/council.</t>
        </is>
      </c>
      <c r="J27" t="inlineStr">
        <is>
          <t>Plan/Budget preparation/Annual report preparation clause of the enabling Act of the relevant parastatal</t>
        </is>
      </c>
    </row>
    <row r="28">
      <c r="A28" t="inlineStr">
        <is>
          <t>DPG3</t>
        </is>
      </c>
      <c r="B28" t="inlineStr">
        <is>
          <t>DPG 3</t>
        </is>
      </c>
      <c r="C28" t="inlineStr">
        <is>
          <t>Decentralised Participatory Governance</t>
        </is>
      </c>
      <c r="D28" t="inlineStr">
        <is>
          <t>MQ</t>
        </is>
      </c>
      <c r="E28" t="inlineStr">
        <is>
          <t>Does the parastatal maintain an active and functional website?</t>
        </is>
      </c>
      <c r="F28" t="n">
        <v>10</v>
      </c>
      <c r="G28" t="inlineStr">
        <is>
          <t>Implementation</t>
        </is>
      </c>
      <c r="H28" t="inlineStr">
        <is>
          <t>Common.</t>
        </is>
      </c>
      <c r="I28" t="inlineStr">
        <is>
          <t>Check the official website of the relevant parastatal.
Score 10 if an official website of the relevant parastatal exists, opens without error, and shows content updated within the last 12 months (verifiable "last updated" date or dated content such as a recent notice/circular). 
Score 0 if no official website is found.</t>
        </is>
      </c>
      <c r="J28" t="inlineStr">
        <is>
          <t>Live URL, screenshot/web-archive capture, date of check of the website of the relevant parastatal</t>
        </is>
      </c>
    </row>
    <row r="29">
      <c r="A29" t="inlineStr">
        <is>
          <t>DPG4</t>
        </is>
      </c>
      <c r="B29" t="inlineStr">
        <is>
          <t>DPG 4</t>
        </is>
      </c>
      <c r="C29" t="inlineStr">
        <is>
          <t>Decentralised Participatory Governance</t>
        </is>
      </c>
      <c r="D29" t="inlineStr"/>
      <c r="E29" t="inlineStr">
        <is>
          <t>Is the parastatal mandated to publish key financial, operational, and civic data/information in accessible, open-data formats?</t>
        </is>
      </c>
      <c r="G29" t="inlineStr">
        <is>
          <t>Law/Policy</t>
        </is>
      </c>
      <c r="H29" t="inlineStr">
        <is>
          <t>Common.</t>
        </is>
      </c>
      <c r="I29" t="inlineStr">
        <is>
          <t>[Note: The scoring of this question has not been undertaken in the manual exercise as he universe of legislation and subordinate legislation governing the parastatals are not fully clear. Awaiting support from the state teams before manually scoring this question.]</t>
        </is>
      </c>
      <c r="J29" t="inlineStr"/>
    </row>
    <row r="30">
      <c r="A30" t="inlineStr">
        <is>
          <t>DPG5</t>
        </is>
      </c>
      <c r="B30" t="inlineStr">
        <is>
          <t>DPG 5</t>
        </is>
      </c>
      <c r="C30" t="inlineStr">
        <is>
          <t>Decentralised Participatory Governance</t>
        </is>
      </c>
      <c r="D30" t="inlineStr">
        <is>
          <t>MQ</t>
        </is>
      </c>
      <c r="E30" t="inlineStr">
        <is>
          <t>Are the parastatal's key financial, operational, and civic data/information available on the website and published in accessible, open-data formats?</t>
        </is>
      </c>
      <c r="F30" t="n">
        <v>10</v>
      </c>
      <c r="G30" t="inlineStr">
        <is>
          <t>Implementation</t>
        </is>
      </c>
      <c r="H30" t="inlineStr">
        <is>
          <t>Common.</t>
        </is>
      </c>
      <c r="I30" t="inlineStr">
        <is>
          <t>Check the parastatal website. Assess each of the ten components below independently. Each component carries 1 point: 0.5 for online availability and 0.5 for publication in an open, machine-readable/reusable format, as appropriate to the information type. 
Aggregate the scores across all ten components to arrive at the total score out of 10.</t>
        </is>
      </c>
      <c r="J30" t="inlineStr">
        <is>
          <t>Website screenshots/archived URLs with date of access, for each document type</t>
        </is>
      </c>
    </row>
    <row r="31">
      <c r="A31" t="inlineStr">
        <is>
          <t>DPG5a</t>
        </is>
      </c>
      <c r="B31" t="inlineStr">
        <is>
          <t>DPG5a</t>
        </is>
      </c>
      <c r="C31" t="inlineStr">
        <is>
          <t>Decentralised Participatory Governance</t>
        </is>
      </c>
      <c r="D31" t="inlineStr">
        <is>
          <t>SQ</t>
        </is>
      </c>
      <c r="E31" t="inlineStr">
        <is>
          <t>Annual budget</t>
        </is>
      </c>
      <c r="F31" t="n">
        <v>1</v>
      </c>
      <c r="G31" t="inlineStr">
        <is>
          <t>Implementation</t>
        </is>
      </c>
      <c r="H31" t="inlineStr">
        <is>
          <t>Common.</t>
        </is>
      </c>
      <c r="I31" t="inlineStr">
        <is>
          <t>Part A: Availability and currency — 0.5
Score 0.5: Budget for the current FY or either of the immediately preceding two FYs is publicly available online.
Score 0: Budget cannot be found/accessed online, or the latest available budget is older than the permitted period.
Part B: Open-data format — 0.5
Score 0.5:  Budget information is available in an open, structured and reusable data format, such as:
1. CSV;
2. XLS/XLSX;
3. ODS;
4. structured HTML table; or
5. another downloadable structured dataset.
Score 0 — Budget information is available only in a non-open or non-reusable format, including:
1. PDF, whether searchable or scanned;
2. image files;
3. unstructured webpages;
4. documents containing tables that are not provided as structured downloadable data.
The open-data format should allow budget figures to be readily extracted, analysed and reused without manual transcription.</t>
        </is>
      </c>
      <c r="J31" t="inlineStr">
        <is>
          <t>Website screenshots/archived URLs with date of access, for each document type</t>
        </is>
      </c>
    </row>
    <row r="32">
      <c r="A32" t="inlineStr">
        <is>
          <t>DPG5b</t>
        </is>
      </c>
      <c r="B32" t="inlineStr">
        <is>
          <t>DPG 5b</t>
        </is>
      </c>
      <c r="C32" t="inlineStr">
        <is>
          <t>Decentralised Participatory Governance</t>
        </is>
      </c>
      <c r="D32" t="inlineStr">
        <is>
          <t>SQ</t>
        </is>
      </c>
      <c r="E32" t="inlineStr">
        <is>
          <t>Audited annual account</t>
        </is>
      </c>
      <c r="F32" t="n">
        <v>1</v>
      </c>
      <c r="G32" t="inlineStr">
        <is>
          <t>Implementation</t>
        </is>
      </c>
      <c r="H32" t="inlineStr">
        <is>
          <t>Common.</t>
        </is>
      </c>
      <c r="I32" t="inlineStr">
        <is>
          <t>Part A: Availability and currency — 0.5
Score 0.5 — Audited annual accounts are publicly available online, and the latest available accounts are not older than two years.
Score 0 — Audited annual accounts cannot be found/accessed online, or the latest available accounts are older than the permitted period.
Part B: Open-data format — 0.5
Score 0.5 — Audited financial information is available in an open, structured and reusable data format, such as:
1. CSV;
2. XLS/XLSX;
3. ODS;
4. structured HTML table; or
5. another downloadable structured dataset.
Score 0 — Audited financial information is available only in a non-open or non-reusable format, including:
1. PDF, whether searchable or scanned;
2. image files;
3. unstructured webpages; or
4. documents containing financial tables that are not provided as structured reusable data.
The open-data format should allow audited financial figures to be readily extracted, analysed and reused without manual transcription.</t>
        </is>
      </c>
      <c r="J32" t="inlineStr">
        <is>
          <t>Website screenshots/archived URLs with date of access, for each document type</t>
        </is>
      </c>
    </row>
    <row r="33">
      <c r="A33" t="inlineStr">
        <is>
          <t>DPG5c</t>
        </is>
      </c>
      <c r="B33" t="inlineStr">
        <is>
          <t>DPG 5c</t>
        </is>
      </c>
      <c r="C33" t="inlineStr">
        <is>
          <t>Decentralised Participatory Governance</t>
        </is>
      </c>
      <c r="D33" t="inlineStr">
        <is>
          <t>SQ</t>
        </is>
      </c>
      <c r="E33" t="inlineStr">
        <is>
          <t>Annual report</t>
        </is>
      </c>
      <c r="F33" t="n">
        <v>1</v>
      </c>
      <c r="G33" t="inlineStr">
        <is>
          <t>Implementation</t>
        </is>
      </c>
      <c r="H33" t="inlineStr">
        <is>
          <t>Common.</t>
        </is>
      </c>
      <c r="I33" t="inlineStr">
        <is>
          <t>Part A: Availability and currency — 0.5
Score 0.5: The annual report is publicly available online, and the latest available report is not older than two years.
Score 0: The annual report cannot be found/accessed online, or the latest available report is older than the permitted period.
Part B: Open-data format — 0.5
Score 0.5: Key information contained in the annual report is also available in an open, structured and reusable format, such as:
1. CSV;
2. XLS/XLSX;
3. ODS;
4. structured HTML tables; or
Score 0: The annual report is available only as a document or other non-structured format, including:
1. PDF, whether searchable or scanned;
2. DOC/DOCX;
3. image files;
4. e-publications; or
5. webpages containing narrative information without structured reusable data.
The open-data format should allow key annual-report information to be extracted, analysed and reused without manual transcription.</t>
        </is>
      </c>
      <c r="J33" t="inlineStr">
        <is>
          <t>Website screenshots/archived URLs with date of access, for each document type</t>
        </is>
      </c>
    </row>
    <row r="34">
      <c r="A34" t="inlineStr">
        <is>
          <t>DPG5d</t>
        </is>
      </c>
      <c r="B34" t="inlineStr">
        <is>
          <t>DPG5d</t>
        </is>
      </c>
      <c r="C34" t="inlineStr">
        <is>
          <t>Decentralised Participatory Governance</t>
        </is>
      </c>
      <c r="D34" t="inlineStr">
        <is>
          <t>SQ</t>
        </is>
      </c>
      <c r="E34" t="inlineStr">
        <is>
          <t>Annual Audit Report</t>
        </is>
      </c>
      <c r="F34" t="n">
        <v>1</v>
      </c>
      <c r="G34" t="inlineStr">
        <is>
          <t>Implementation</t>
        </is>
      </c>
      <c r="H34" t="inlineStr">
        <is>
          <t>Common.</t>
        </is>
      </c>
      <c r="I34" t="inlineStr">
        <is>
          <t>Part A: Availability and currency — 0.5
Score 0.5: Annual audit report is publicly available online, and the latest available information is not older than two years.
Score 0: Annual audit report  cannot be found/accessed online, or the latest available information is older than two years.
Part B: Open-data format — 0.5
Score 0.5: Key information contained in the annual audit report is also available in an open, structured and reusable format, such as:
1. CSV;
2. XLS/XLSX;
3. ODS;
4. structured HTML tables; or
Score 0: The annual audit report is available only as a document or other non-structured format, including:
1. PDF, whether searchable or scanned;
2. DOC/DOCX;
3. image files;
4. e-publications; or
5. webpages containing narrative information without structured reusable data.
The open-data format should allow key annual audit report information to be extracted, analysed and reused without manual transcription.</t>
        </is>
      </c>
      <c r="J34" t="inlineStr"/>
    </row>
    <row r="35">
      <c r="A35" t="inlineStr">
        <is>
          <t>DPG5e</t>
        </is>
      </c>
      <c r="B35" t="inlineStr">
        <is>
          <t>DPG5e</t>
        </is>
      </c>
      <c r="C35" t="inlineStr">
        <is>
          <t>Decentralised Participatory Governance</t>
        </is>
      </c>
      <c r="D35" t="inlineStr">
        <is>
          <t>SQ</t>
        </is>
      </c>
      <c r="E35" t="inlineStr">
        <is>
          <t>Major plans / projects</t>
        </is>
      </c>
      <c r="F35" t="n">
        <v>1</v>
      </c>
      <c r="G35" t="inlineStr">
        <is>
          <t>Implementation</t>
        </is>
      </c>
      <c r="H35" t="inlineStr">
        <is>
          <t>Common.</t>
        </is>
      </c>
      <c r="I35" t="inlineStr">
        <is>
          <t>Part A: Availability and currency — 0.5
Score 0.5: Major plans and/or information on ongoing projects is publicly available online, and the latest available information is not older than two years.
Score 0: Major plans and/or information on ongoing projects cannot be found/accessed online, or the latest available information is older than two years.
Part B: Open-data format — 0.5
Score 0.5 — Information on major plans and/or ongoing projects is available in an open, structured and reusable format, such as:
1. structured HTML webpage/table or project dashboard;
2. CSV;
3. XLS/XLSX;
4. ODS;
 5. Other downloadable structured dataset containing identifiable plan/project information.
Score 0 — Information is available only in a non-structured or non-reusable format, such as:
1. PDF, including searchable PDF;
2. scanned document;
3. image-only plan/project information;
4. individual project pages or notices that do not provide structured, reusable data;
5. project information presented only through images or unstructured text.</t>
        </is>
      </c>
      <c r="J35" t="inlineStr">
        <is>
          <t>Website screenshots/archived URLs with date of access, for each document type</t>
        </is>
      </c>
    </row>
    <row r="36">
      <c r="A36" t="inlineStr">
        <is>
          <t>DPG5f</t>
        </is>
      </c>
      <c r="B36" t="inlineStr">
        <is>
          <t>DPG5f</t>
        </is>
      </c>
      <c r="C36" t="inlineStr">
        <is>
          <t>Decentralised Participatory Governance</t>
        </is>
      </c>
      <c r="D36" t="inlineStr">
        <is>
          <t>SQ</t>
        </is>
      </c>
      <c r="E36" t="inlineStr">
        <is>
          <t>Service-level benchmarks and performance reports</t>
        </is>
      </c>
      <c r="F36" t="n">
        <v>1</v>
      </c>
      <c r="G36" t="inlineStr">
        <is>
          <t>Implementation</t>
        </is>
      </c>
      <c r="H36" t="inlineStr">
        <is>
          <t>Common.</t>
        </is>
      </c>
      <c r="I36" t="inlineStr">
        <is>
          <t>Part A: Availability and currency — 0.5
Score 0.5: Service-level benchmark/performance information is publicly available online, and the latest available information is not older than two years.
Score 0 — Performance information cannot be found/accessed online, or the latest available information is older than the permitted period.
Part B: Open-data format — 0.5
Score 0.5 — Performance information is available in an open, structured and reusable format, such as:
1. CSV;
2. XLS/XLSX;
3. ODS;
4. structured HTML table/dashboard; or
5. another downloadable structured dataset containing service-level or performance information.
Score 0: Performance information is available only in a non-open or non-reusable format, including:
1. PDF, whether searchable or scanned;
2. image/chart without the underlying data;
3. narrative webpage without structured data; or
4. other formats that do not allow the information to be readily extracted, analysed and reused.
The open-data format should allow service-level or performance information to be analysed and reused without manual transcription.
Note: For Development Authorities whose functions are limited to planning and preparation of spatial/development plans, mark this indicator ‘NA’.
Where a Development Authority also performs operational or service-delivery functions — such as building/development permissions, land allotment/development, infrastructure provision, housing, estate management or other citizen-facing services — assess this indicator against the performance information relevant to those functions.</t>
        </is>
      </c>
      <c r="J36" t="inlineStr">
        <is>
          <t>Website screenshots/archived URLs with date of access, for each document type</t>
        </is>
      </c>
    </row>
    <row r="37">
      <c r="A37" t="inlineStr">
        <is>
          <t>DPG5g</t>
        </is>
      </c>
      <c r="B37" t="inlineStr">
        <is>
          <t>DPG5g</t>
        </is>
      </c>
      <c r="C37" t="inlineStr">
        <is>
          <t>Decentralised Participatory Governance</t>
        </is>
      </c>
      <c r="D37" t="inlineStr">
        <is>
          <t>SQ</t>
        </is>
      </c>
      <c r="E37" t="inlineStr">
        <is>
          <t>Organisation and staffing information</t>
        </is>
      </c>
      <c r="F37" t="n">
        <v>1</v>
      </c>
      <c r="G37" t="inlineStr">
        <is>
          <t>Implementation</t>
        </is>
      </c>
      <c r="H37" t="inlineStr">
        <is>
          <t>Common.</t>
        </is>
      </c>
      <c r="I37" t="inlineStr">
        <is>
          <t>Part A: Check availability — 0.5
Score 0.5: Both of the following are publicly available online:
the parastatal’s organisational structure/organogram; and
details of key officers, including name/designation and at least one official contact detail (phone number and/or email address).
Score 0: Either the organisational structure/organogram or the required officer details/contact information is not publicly available online.
Part B: Minimum format/accessibility — 0.5
Score 0.5 — Both the organisational structure and officer/contact information are available in a searchable and readable format, such as:
a searchable webpage;
searchable/downloadable PDF or document;
structured table or directory.
Score 0 — Either item is available only in a non-searchable/non-readable format, such as an image-only organogram, scanned list or image-based directory.</t>
        </is>
      </c>
      <c r="J37" t="inlineStr">
        <is>
          <t>Website screenshots/archived URLs with date of access, for each document type</t>
        </is>
      </c>
    </row>
    <row r="38">
      <c r="A38" t="inlineStr">
        <is>
          <t>DPG5h</t>
        </is>
      </c>
      <c r="B38" t="inlineStr">
        <is>
          <t>DPG5h</t>
        </is>
      </c>
      <c r="C38" t="inlineStr">
        <is>
          <t>Decentralised Participatory Governance</t>
        </is>
      </c>
      <c r="D38" t="inlineStr">
        <is>
          <t>SQ</t>
        </is>
      </c>
      <c r="E38" t="inlineStr">
        <is>
          <t>Meeting minutes of governing board</t>
        </is>
      </c>
      <c r="F38" t="n">
        <v>1</v>
      </c>
      <c r="G38" t="inlineStr">
        <is>
          <t>Implementation</t>
        </is>
      </c>
      <c r="H38" t="inlineStr">
        <is>
          <t>Common.</t>
        </is>
      </c>
      <c r="I38" t="inlineStr">
        <is>
          <t>Part A: Check availability and currency — 0.5
Score 0.5: At least one set of minutes from the current FY or immediately preceding FY is publicly available online.
Score 0: Meeting Minutes cannot be found/accessed online or is older than the permitted period.
Record the FY/year/date of the latest information found in a separate evidence field even where the score is 0.
Part B: Minimum format/accessibility — 0.5
Score 0.5: Meeting Minutes available in a searchable/text-readable and downloadable document (Searchable PDF, HTML, DOC/DOCX)
Score 0: Meeting Minutes is available but does not meet that standard (Scanned/image-only minutes; image gallery)</t>
        </is>
      </c>
      <c r="J38" t="inlineStr">
        <is>
          <t>Website screenshots/archived URLs with date of access, for each document type</t>
        </is>
      </c>
    </row>
    <row r="39">
      <c r="A39" t="inlineStr">
        <is>
          <t>DPG5i</t>
        </is>
      </c>
      <c r="B39" t="inlineStr">
        <is>
          <t>DPG5i</t>
        </is>
      </c>
      <c r="C39" t="inlineStr">
        <is>
          <t>Decentralised Participatory Governance</t>
        </is>
      </c>
      <c r="D39" t="inlineStr">
        <is>
          <t>SQ</t>
        </is>
      </c>
      <c r="E39" t="inlineStr">
        <is>
          <t>Citizen / Service Charter</t>
        </is>
      </c>
      <c r="F39" t="n">
        <v>1</v>
      </c>
      <c r="G39" t="inlineStr">
        <is>
          <t>Implementation</t>
        </is>
      </c>
      <c r="H39" t="inlineStr">
        <is>
          <t>Common.</t>
        </is>
      </c>
      <c r="I39" t="inlineStr">
        <is>
          <t>Part A: Check availability and currency — 0.5
Score 0.5: A currently applicable Charter is publicly available. Do not treat it as outdated solely because it predates the preceding FY if it remains in force. There may be no annual publication requirement;
Score 0: Charter cannot be found/accessed online.
Part B: Check Minimum format/accessibility — 0.5
Score 0.5: Charter available in a searchable/text-readable webpage or downloadable document (Searchable PDF, HTML, DOC/DOCX)
Score 0: Charter is available but does not meet that standard (Scanned/image-only Charter)</t>
        </is>
      </c>
      <c r="J39" t="inlineStr">
        <is>
          <t>Website screenshots/archived URLs with date of access, for each document type</t>
        </is>
      </c>
    </row>
    <row r="40">
      <c r="A40" t="inlineStr">
        <is>
          <t>DPG5j</t>
        </is>
      </c>
      <c r="B40" t="inlineStr">
        <is>
          <t>DPG5j</t>
        </is>
      </c>
      <c r="C40" t="inlineStr">
        <is>
          <t>Decentralised Participatory Governance</t>
        </is>
      </c>
      <c r="D40" t="inlineStr">
        <is>
          <t>SQ</t>
        </is>
      </c>
      <c r="E40" t="inlineStr">
        <is>
          <t>RTI details and designated Public Information Officer contact/procedure</t>
        </is>
      </c>
      <c r="F40" t="n">
        <v>1</v>
      </c>
      <c r="G40" t="inlineStr">
        <is>
          <t>Implementation</t>
        </is>
      </c>
      <c r="H40" t="inlineStr">
        <is>
          <t>Common.</t>
        </is>
      </c>
      <c r="I40" t="inlineStr">
        <is>
          <t>Part A: Check availability and currency — 0.5
Score 0.5: Current PIO/APIO details and RTI procedure are publicly available; information should be treated as current where the named office-holder/contact details remain valid.
Score 0: Information cannot be found/accessed online or the named office-holder/contact details are invalid.
Part B: Check minimum format/accessibility — 0.5
Score 0.5: Information available in a searchable webpage or searchable/downloadable document (HTML RTI page; searchable PDF/DOC containing PIO/contact details)
Score 0: Information is available but does not meet that standard (Image-only notice; scanned PDF)</t>
        </is>
      </c>
      <c r="J40" t="inlineStr">
        <is>
          <t>Website screenshots/archived URLs with date of access, for each document type</t>
        </is>
      </c>
    </row>
    <row r="41">
      <c r="A41" t="inlineStr">
        <is>
          <t>DPG6</t>
        </is>
      </c>
      <c r="B41" t="inlineStr">
        <is>
          <t>DPG 6</t>
        </is>
      </c>
      <c r="C41" t="inlineStr">
        <is>
          <t>Decentralised Participatory Governance</t>
        </is>
      </c>
      <c r="D41" t="inlineStr">
        <is>
          <t>MQ</t>
        </is>
      </c>
      <c r="E41" t="inlineStr">
        <is>
          <t>Does the parastatal provide for and maintain an accessible grievance-redressal mechanism?</t>
        </is>
      </c>
      <c r="F41" t="n">
        <v>10</v>
      </c>
      <c r="G41" t="inlineStr">
        <is>
          <t>Law/Policy</t>
        </is>
      </c>
      <c r="H41" t="inlineStr">
        <is>
          <t>Common.</t>
        </is>
      </c>
      <c r="I41" t="inlineStr">
        <is>
          <t>Sum total of the sub-indicators below -</t>
        </is>
      </c>
      <c r="J41" t="inlineStr">
        <is>
          <t>See sub-indicators</t>
        </is>
      </c>
    </row>
    <row r="42">
      <c r="A42" t="inlineStr">
        <is>
          <t>DPG6a</t>
        </is>
      </c>
      <c r="B42" t="inlineStr">
        <is>
          <t>DPG 6a</t>
        </is>
      </c>
      <c r="C42" t="inlineStr">
        <is>
          <t>Decentralised Participatory Governance</t>
        </is>
      </c>
      <c r="D42" t="inlineStr">
        <is>
          <t>SQ</t>
        </is>
      </c>
      <c r="E42" t="inlineStr">
        <is>
          <t>Is the parastatal mandated to provide a grievance-redressal mechanism?</t>
        </is>
      </c>
      <c r="F42" t="n">
        <v>5</v>
      </c>
      <c r="G42" t="inlineStr">
        <is>
          <t>Law/Policy</t>
        </is>
      </c>
      <c r="H42" t="inlineStr">
        <is>
          <t>Common.</t>
        </is>
      </c>
      <c r="I42" t="inlineStr">
        <is>
          <t>Check the Parastatal Act, applicable subordinate legislation, and citizen/service charter for a requirement to provide a grievance-redressal mechanism.
This assessment tests whether citizens have access to a remedial mechanism when a service failure, delay, denial, deficiency or other grievance occurs. Do not award credit merely because the framework specifies service standards, service timelines or a Right to Service entitlement, unless it also provides a mechanism through which an aggrieved person can seek redress, escalation or resolution.
Score 5: The applicable legal or binding policy framework requires the parastatal to provide a grievance-redressal mechanism (“shall”, “must”).
Score 2.5: The applicable framework permits or enables the parastatal to provide a grievance-redressal mechanism (“may” ), but does not make it mandatory.
Score 0: No specific provision for a grievance-redressal mechanism is found.</t>
        </is>
      </c>
      <c r="J42" t="inlineStr">
        <is>
          <t>Parastatal Act/ corresponding subordinate legislation/ citizen or service charter</t>
        </is>
      </c>
    </row>
    <row r="43">
      <c r="A43" t="inlineStr">
        <is>
          <t>DPG6b</t>
        </is>
      </c>
      <c r="B43" t="inlineStr">
        <is>
          <t>DPG 6b</t>
        </is>
      </c>
      <c r="C43" t="inlineStr">
        <is>
          <t>Decentralised Participatory Governance</t>
        </is>
      </c>
      <c r="D43" t="inlineStr">
        <is>
          <t>SQ</t>
        </is>
      </c>
      <c r="E43" t="inlineStr">
        <is>
          <t>Are accessible grievance-redressal channels available and functional in practice?</t>
        </is>
      </c>
      <c r="F43" t="n">
        <v>5</v>
      </c>
      <c r="G43" t="inlineStr">
        <is>
          <t>Implementation</t>
        </is>
      </c>
      <c r="H43" t="inlineStr">
        <is>
          <t>Common.</t>
        </is>
      </c>
      <c r="I43" t="inlineStr">
        <is>
          <t>Check the parastatal’s official website and other officially notified grievance channels. Score out of 5 based on the following four components:
1. Web-based grievance channel — 1.25 marks
Score 1.25 if an official website/portal provides a functioning mechanism through which a grievance can be lodged online. A dedicated grievance form, integrated government grievance portal or equivalent mechanism qualifies.
2. Mobile/electronic grievance channel — 1.25 marks
Score 1.25 if a currently operational mobile app, designated grievance email, WhatsApp number or other officially notified electronic channel is available for lodging grievances.
3. Telephone grievance channel — 1.25 marks
Score 1.25 if a dedicated or clearly designated helpline, call centre or telephone number is provided for complaints or grievances.
A generic office switchboard should not qualify unless it is explicitly identified as a channel for lodging grievances.
4. Grievance acknowledgement and tracking — 1.25 marks
Score 1.25 if the grievance mechanism provides for acknowledgement and subsequent tracking of a registered grievance through a complaint/reference number, status-tracking facility or equivalent mechanism.
Where all four components are available, award the full score of 5.</t>
        </is>
      </c>
      <c r="J43" t="inlineStr">
        <is>
          <t>Relevant parastatal's official website 
Detailed evidence information provided in the methodology column (I 33)</t>
        </is>
      </c>
    </row>
    <row r="44">
      <c r="A44" t="inlineStr">
        <is>
          <t>DPG7</t>
        </is>
      </c>
      <c r="B44" t="inlineStr">
        <is>
          <t>DPG 7</t>
        </is>
      </c>
      <c r="C44" t="inlineStr">
        <is>
          <t>Decentralised Participatory Governance</t>
        </is>
      </c>
      <c r="D44" t="inlineStr">
        <is>
          <t>MQ</t>
        </is>
      </c>
      <c r="E44" t="inlineStr">
        <is>
          <t>Does the law mandate citizen participation in the preparation of plans for which the parastatal is responsible, and does the parastatal provide for such participation in practice?</t>
        </is>
      </c>
      <c r="F44" t="n">
        <v>10</v>
      </c>
      <c r="G44" t="inlineStr">
        <is>
          <t>Law/Policy and Implementation</t>
        </is>
      </c>
      <c r="H44" t="inlineStr">
        <is>
          <t>All parastatals excluding Development Authorities</t>
        </is>
      </c>
      <c r="I44" t="inlineStr">
        <is>
          <t>Sum of sub-questions below -</t>
        </is>
      </c>
      <c r="J44" t="inlineStr">
        <is>
          <t>Provisions on plan approval procedure in enabling act of the relevant parastatal/T&amp;CP Act</t>
        </is>
      </c>
    </row>
    <row r="45">
      <c r="A45" t="inlineStr">
        <is>
          <t>DPG7a</t>
        </is>
      </c>
      <c r="B45" t="inlineStr">
        <is>
          <t>DPG 7a</t>
        </is>
      </c>
      <c r="C45" t="inlineStr">
        <is>
          <t>Decentralised Participatory Governance</t>
        </is>
      </c>
      <c r="D45" t="inlineStr">
        <is>
          <t>SQ</t>
        </is>
      </c>
      <c r="E45" t="inlineStr">
        <is>
          <t>Is citizen participation in the preparation of the parastatal's plans mandated?</t>
        </is>
      </c>
      <c r="F45" t="n">
        <v>5</v>
      </c>
      <c r="G45" t="inlineStr">
        <is>
          <t>Law/Policy</t>
        </is>
      </c>
      <c r="H45" t="inlineStr">
        <is>
          <t>All parastatals excluding Development Authorities</t>
        </is>
      </c>
      <c r="I45" t="inlineStr">
        <is>
          <t>Check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(may), or applies only to specified plan types/stages. If the mandate provides for a citizen participation forum with a shall provision. 
Score 1.25 if the citizen participation forum is discretionary.
Score 0 if no applicable requirement is found. Record the legal provision, plan type, form of participation prescribed, and whether the provision uses mandatory or discretionary language.</t>
        </is>
      </c>
      <c r="J45" t="inlineStr">
        <is>
          <t>Parastatal Act and rules; applicable T&amp;CP Act; State Municipal Act.</t>
        </is>
      </c>
    </row>
    <row r="46">
      <c r="A46" t="inlineStr">
        <is>
          <t>DPG7b</t>
        </is>
      </c>
      <c r="B46" t="inlineStr">
        <is>
          <t>DPG 7b</t>
        </is>
      </c>
      <c r="C46" t="inlineStr">
        <is>
          <t>Decentralised Participatory Governance</t>
        </is>
      </c>
      <c r="D46" t="inlineStr">
        <is>
          <t>SQ</t>
        </is>
      </c>
      <c r="E46" t="inlineStr">
        <is>
          <t>Are citizens consulted in practice in the preparation of plans by the parastatal?</t>
        </is>
      </c>
      <c r="F46" t="n">
        <v>5</v>
      </c>
      <c r="G46" t="inlineStr">
        <is>
          <t>Implementation</t>
        </is>
      </c>
      <c r="H46" t="inlineStr">
        <is>
          <t>All parastatals excluding Development Authorities</t>
        </is>
      </c>
      <c r="I46" t="inlineStr">
        <is>
          <t>Check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t>
        </is>
      </c>
      <c r="J46" t="inlineStr">
        <is>
          <t>Plan document; consultation reports; public notices; minutes/proceedings of consultations or hearings on the parastatal's official website; media reports.</t>
        </is>
      </c>
    </row>
    <row r="47">
      <c r="A47" t="inlineStr">
        <is>
          <t>SC1</t>
        </is>
      </c>
      <c r="B47" t="inlineStr">
        <is>
          <t>SC-1</t>
        </is>
      </c>
      <c r="C47" t="inlineStr">
        <is>
          <t>State Capacities</t>
        </is>
      </c>
      <c r="D47" t="inlineStr">
        <is>
          <t>MQ</t>
        </is>
      </c>
      <c r="E47" t="inlineStr">
        <is>
          <t>What proportion of the parastatal's total expenditure is financed through its own revenues?</t>
        </is>
      </c>
      <c r="F47" t="n">
        <v>10</v>
      </c>
      <c r="G47" t="inlineStr">
        <is>
          <t>Implementation (Numeric)</t>
        </is>
      </c>
      <c r="H47" t="inlineStr">
        <is>
          <t>Revenue-raising parastatals only</t>
        </is>
      </c>
      <c r="I47" t="inlineStr">
        <is>
          <t>Check the budget of the parastatal for the last three years. Compute Own Revenue (Tax and Non-Tax revenue, excluding any government grants) and use a 3-year average wherever available.
If not 3 budgets, refer to at least 2 years but none older than 5 years.
Score is own revenue percentage as a proportion of 10 marks i.e. 50% gets 5 out of 10.</t>
        </is>
      </c>
      <c r="J47" t="inlineStr">
        <is>
          <t>Annual budget of the last three financial years of the relevant parastatal.</t>
        </is>
      </c>
    </row>
    <row r="48">
      <c r="A48" t="inlineStr">
        <is>
          <t>SC2</t>
        </is>
      </c>
      <c r="B48" t="inlineStr">
        <is>
          <t>SC-2</t>
        </is>
      </c>
      <c r="C48" t="inlineStr">
        <is>
          <t>State Capacities</t>
        </is>
      </c>
      <c r="D48" t="inlineStr">
        <is>
          <t>MQ</t>
        </is>
      </c>
      <c r="E48" t="inlineStr">
        <is>
          <t>What is the parastatal's per-capita capital expenditure?</t>
        </is>
      </c>
      <c r="F48" t="n">
        <v>10</v>
      </c>
      <c r="G48" t="inlineStr">
        <is>
          <t>Implementation (Numeric)</t>
        </is>
      </c>
      <c r="H48" t="inlineStr">
        <is>
          <t>Parastatals with an infrastructure-delivery/capital-expenditure mandate.</t>
        </is>
      </c>
      <c r="I48" t="inlineStr">
        <is>
          <t>Check the budget (and/or financial statements, as applicable) of the parastatal for the last three years. 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t>
        </is>
      </c>
      <c r="J48" t="inlineStr">
        <is>
          <t>Latest annual budget and capital-expenditure accounts of the relevant parastatal; population figure with source.</t>
        </is>
      </c>
    </row>
    <row r="49">
      <c r="A49" t="inlineStr">
        <is>
          <t>SC3</t>
        </is>
      </c>
      <c r="B49" t="inlineStr">
        <is>
          <t>SC-3</t>
        </is>
      </c>
      <c r="C49" t="inlineStr">
        <is>
          <t>State Capacities</t>
        </is>
      </c>
      <c r="D49" t="inlineStr">
        <is>
          <t>MQ</t>
        </is>
      </c>
      <c r="E49" t="inlineStr">
        <is>
          <t>How realistic is the parastatal's annual budget?</t>
        </is>
      </c>
      <c r="F49" t="n">
        <v>10</v>
      </c>
      <c r="G49" t="inlineStr">
        <is>
          <t>Implementation (Numeric)</t>
        </is>
      </c>
      <c r="H49" t="inlineStr">
        <is>
          <t>Common — all parastatal types with an annual budget.</t>
        </is>
      </c>
      <c r="I49" t="inlineStr">
        <is>
          <t>Check the budget of the parastatal for the last three years. The 3-year average of budget variance, wherever available (at least 2 years but not more than 5 years); 
If not 3 budgets, refer to at least 2 years but none older than 5 years.
If variance is within 15%, the score will be 10, but anything over 15% will score 0 out of 10.</t>
        </is>
      </c>
      <c r="J49" t="inlineStr">
        <is>
          <t>Budget documents and audited accounts for the same financial year, compared side by side</t>
        </is>
      </c>
    </row>
    <row r="50">
      <c r="A50" t="inlineStr">
        <is>
          <t>SC4</t>
        </is>
      </c>
      <c r="B50" t="inlineStr">
        <is>
          <t>SC-4</t>
        </is>
      </c>
      <c r="C50" t="inlineStr">
        <is>
          <t>State Capacities</t>
        </is>
      </c>
      <c r="D50" t="inlineStr">
        <is>
          <t>MQ</t>
        </is>
      </c>
      <c r="E50" t="inlineStr">
        <is>
          <t>Is the parastatal mandated to prepare a medium-term and/or long-term fiscal plan, and has it prepared a current plan in accordance with that mandate?</t>
        </is>
      </c>
      <c r="F50" t="n">
        <v>10</v>
      </c>
      <c r="G50" t="inlineStr">
        <is>
          <t>Law/Policy</t>
        </is>
      </c>
      <c r="H50" t="inlineStr">
        <is>
          <t>Common.</t>
        </is>
      </c>
      <c r="I50" t="inlineStr">
        <is>
          <t>Sum of sub-questions below -</t>
        </is>
      </c>
      <c r="J50" t="inlineStr">
        <is>
          <t>See sub-indicators</t>
        </is>
      </c>
    </row>
    <row r="51">
      <c r="A51" t="inlineStr">
        <is>
          <t>SC4a</t>
        </is>
      </c>
      <c r="B51" t="inlineStr">
        <is>
          <t>SC-4a</t>
        </is>
      </c>
      <c r="C51" t="inlineStr">
        <is>
          <t>State Capacities</t>
        </is>
      </c>
      <c r="D51" t="inlineStr">
        <is>
          <t>SQ</t>
        </is>
      </c>
      <c r="E51" t="inlineStr">
        <is>
          <t>Is a medium-term (3-5 year) and/or long-term (&gt;5 year) fiscal plan legally mandated?</t>
        </is>
      </c>
      <c r="F51" t="n">
        <v>5</v>
      </c>
      <c r="G51" t="inlineStr">
        <is>
          <t>Law/Policy</t>
        </is>
      </c>
      <c r="H51" t="inlineStr">
        <is>
          <t>Common.</t>
        </is>
      </c>
      <c r="I51" t="inlineStr">
        <is>
          <t>Check the relevant Parastatal Act and rules to determine whether preparation of a medium-term (3–5 year) and/or long-term (&gt;5 year) fiscal plan is legally mandated.
Score 5 if the applicable framework requires the parastatal to prepare such a fiscal plan using mandatory language such as “shall” or “must”.
Score 2.5 if the applicable framework permits or enables preparation of such a fiscal plan using discretionary language such as “may”, but does not make it mandatory.
Score 0 if no provision for preparation of a medium-term or long-term fiscal plan is found.</t>
        </is>
      </c>
      <c r="J51" t="inlineStr">
        <is>
          <t>Enabling act of the relevant parastatal</t>
        </is>
      </c>
    </row>
    <row r="52">
      <c r="A52" t="inlineStr">
        <is>
          <t>SC4b</t>
        </is>
      </c>
      <c r="B52" t="inlineStr">
        <is>
          <t>SC-4b</t>
        </is>
      </c>
      <c r="C52" t="inlineStr">
        <is>
          <t>State Capacities</t>
        </is>
      </c>
      <c r="D52" t="inlineStr">
        <is>
          <t>SQ</t>
        </is>
      </c>
      <c r="E52" t="inlineStr">
        <is>
          <t>Is the medium/long-term fiscal plan publicly available?</t>
        </is>
      </c>
      <c r="F52" t="n">
        <v>5</v>
      </c>
      <c r="G52" t="inlineStr">
        <is>
          <t>Implementation</t>
        </is>
      </c>
      <c r="H52" t="inlineStr">
        <is>
          <t>Common.</t>
        </is>
      </c>
      <c r="I52" t="inlineStr">
        <is>
          <t>Check the relevant parastatal’s website to determine whether a medium-term (3–5-year) and/or long-term (&gt; 5-year) fiscal plan has been prepared and is publicly available, irrespective of whether such a plan is legally mandated.
Score 5 if a current medium-term and/or long-term fiscal plan is publicly available online. It should not be older than two years. 
Score 0 if no medium-term or long-term fiscal plan is publicly available online.</t>
        </is>
      </c>
      <c r="J52" t="inlineStr">
        <is>
          <t>Website of the relevant parastatal</t>
        </is>
      </c>
    </row>
    <row r="53">
      <c r="A53" t="inlineStr">
        <is>
          <t>SC5</t>
        </is>
      </c>
      <c r="B53" t="inlineStr">
        <is>
          <t>SC-5</t>
        </is>
      </c>
      <c r="C53" t="inlineStr">
        <is>
          <t>State Capacities</t>
        </is>
      </c>
      <c r="D53" t="inlineStr">
        <is>
          <t>MQ</t>
        </is>
      </c>
      <c r="E53" t="inlineStr">
        <is>
          <t>Does the parastatal follow a double-entry accounting system?</t>
        </is>
      </c>
      <c r="F53" t="n">
        <v>10</v>
      </c>
      <c r="G53" t="inlineStr">
        <is>
          <t>Implementation</t>
        </is>
      </c>
      <c r="H53" t="inlineStr">
        <is>
          <t>Common.</t>
        </is>
      </c>
      <c r="I53" t="inlineStr">
        <is>
          <t>Check the parastatal website for the latest available audited annual financial statements to determine whether it follows a double-entry accounting system in practice.
Score 10: if the financial statements demonstrate use of double-entry accounting, which is indicated by the preparation of a Balance Sheet together with the relevant income/expenditure or equivalent financial statements.
Score 0: if only a Receipts and Payments Statement or other cash-based statement is available; the applicable accounting framework refers to or requires double-entry accounting, but the published financial statements do not demonstrate its use in practice; or
financial statements sufficient to establish the accounting system cannot be located.
Do not score solely on the basis of a provision in an Act, accounting manual, guideline or other document stating that double-entry accounting should be followed. The assessment should be based on the evidence for the accounting system indicated in the financial statements actually prepared by the ULG/parastatal.</t>
        </is>
      </c>
      <c r="J53" t="inlineStr">
        <is>
          <t>Parastatal website; latest available audited annual financial statements</t>
        </is>
      </c>
    </row>
    <row r="54">
      <c r="A54" t="inlineStr">
        <is>
          <t>SC6</t>
        </is>
      </c>
      <c r="B54" t="inlineStr">
        <is>
          <t>SC-6</t>
        </is>
      </c>
      <c r="C54" t="inlineStr">
        <is>
          <t>State Capacities</t>
        </is>
      </c>
      <c r="D54" t="inlineStr">
        <is>
          <t>MQ</t>
        </is>
      </c>
      <c r="E54" t="inlineStr">
        <is>
          <t>What is the average tenure of the chief executive/executive authority of the parastatal?</t>
        </is>
      </c>
      <c r="F54" t="n">
        <v>10</v>
      </c>
      <c r="G54" t="inlineStr">
        <is>
          <t>Implementation (Numeric)</t>
        </is>
      </c>
      <c r="H54" t="inlineStr">
        <is>
          <t>Common — all parastatal types with a designated chief executive/executive authority post.</t>
        </is>
      </c>
      <c r="I54" t="inlineStr">
        <is>
          <t>Check appointments and transfers of the chief executive/executive authority over the last five years. Use the parastatal’s official website as the primary source. If these do not provide a complete appointment history, supplement the assessment with reliable secondary sources, such as the SUPREMO portal for the executive record sheet of IAS officers (where relevant), RTI requests with the parastatals, and credible media reports. Score 10 if one chief executive has served during the five-year period.
Score 5 if 2–3 chief executives have served during the five-year period.
Score 0 if more than 3 chief executives have served during the five-year period.</t>
        </is>
      </c>
      <c r="J54" t="inlineStr">
        <is>
          <t>Newspaper reports, Gazette notifications of appointment/transfer and website of relevant parastatal</t>
        </is>
      </c>
    </row>
    <row r="55">
      <c r="A55" t="inlineStr">
        <is>
          <t>SC7</t>
        </is>
      </c>
      <c r="B55" t="inlineStr">
        <is>
          <t>SC-7</t>
        </is>
      </c>
      <c r="C55" t="inlineStr">
        <is>
          <t>State Capacities</t>
        </is>
      </c>
      <c r="D55" t="inlineStr">
        <is>
          <t>MQ</t>
        </is>
      </c>
      <c r="E55" t="inlineStr">
        <is>
          <t>Does the parastatal have adequate and representative staffing capacity to discharge its mandate?</t>
        </is>
      </c>
      <c r="F55" t="n">
        <v>10</v>
      </c>
      <c r="G55" t="inlineStr">
        <is>
          <t>Implementation (Numeric)</t>
        </is>
      </c>
      <c r="H55" t="inlineStr">
        <is>
          <t>Common — all parastatal types.</t>
        </is>
      </c>
      <c r="I55" t="inlineStr">
        <is>
          <t>Sum of the sub-indicators below.</t>
        </is>
      </c>
      <c r="J55" t="inlineStr">
        <is>
          <t>RTI / Formal data request with the parastatal and Website of the relevant parastatal</t>
        </is>
      </c>
    </row>
    <row r="56">
      <c r="A56" t="inlineStr">
        <is>
          <t>SC7a</t>
        </is>
      </c>
      <c r="B56" t="inlineStr">
        <is>
          <t>SC-7a</t>
        </is>
      </c>
      <c r="C56" t="inlineStr">
        <is>
          <t>State Capacities</t>
        </is>
      </c>
      <c r="D56" t="inlineStr">
        <is>
          <t>SQ</t>
        </is>
      </c>
      <c r="E56" t="inlineStr">
        <is>
          <t>Does the parastatal have adequate staffing capacity to discharge its mandate?</t>
        </is>
      </c>
      <c r="F56" t="n">
        <v>5</v>
      </c>
      <c r="G56" t="inlineStr">
        <is>
          <t>Implementation (Numeric)</t>
        </is>
      </c>
      <c r="H56" t="inlineStr">
        <is>
          <t>Common — all parastatal types.</t>
        </is>
      </c>
      <c r="I56" t="inlineStr">
        <is>
          <t>Collect the parastatal’s sanctioned and filled positions. Calculate the proportion of sanctioned positions that are filled.
Score 5 – 90% or more of sanctioned positions filled
Score 4 – 75%–89%
Score 3 – 60%–74%
Score 2 – 40%–59%
Score 1 – below 40%
Score 0 – no staffing data available / no evidence of sanctioned staffing structure</t>
        </is>
      </c>
      <c r="J56" t="inlineStr">
        <is>
          <t>Staffing records on the website/ RTI  and/or formal data request with the parastatal/ annual report</t>
        </is>
      </c>
    </row>
    <row r="57">
      <c r="A57" t="inlineStr">
        <is>
          <t>SC7b</t>
        </is>
      </c>
      <c r="B57" t="inlineStr">
        <is>
          <t>SC-7b</t>
        </is>
      </c>
      <c r="C57" t="inlineStr">
        <is>
          <t>State Capacities</t>
        </is>
      </c>
      <c r="D57" t="inlineStr">
        <is>
          <t>SQ</t>
        </is>
      </c>
      <c r="E57" t="inlineStr">
        <is>
          <t>What proportion of the parastatal's workforce is women?</t>
        </is>
      </c>
      <c r="F57" t="n">
        <v>5</v>
      </c>
      <c r="G57" t="inlineStr">
        <is>
          <t>Implementation (Numeric)</t>
        </is>
      </c>
      <c r="H57" t="inlineStr">
        <is>
          <t>Common — all parastatal types.</t>
        </is>
      </c>
      <c r="I57" t="inlineStr">
        <is>
          <t>Compute women employees as a proportion of total filled posts using the latest available staffing data. 
% women in workforce = (Number of women employees ÷ Total filled posts) × 100, using the latest available staffing data.
Score 5: women constitute ≥33% of the workforce
Score 2.5: women constitute 15–32% of the workforce
Score 0 — women constitute &lt;15% of the workforce</t>
        </is>
      </c>
      <c r="J57" t="inlineStr">
        <is>
          <t>Staffing records on the website/ RTI  and/or formal data request with the parastatal/ annual 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UPD1a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t="inlineStr">
        <is>
          <t>Bengaluru – BMRCL</t>
        </is>
      </c>
      <c r="B16" t="inlineStr">
        <is>
          <t>YES</t>
        </is>
      </c>
      <c r="I16" s="7" t="n"/>
      <c r="J16">
        <f>IF($B16="NO","NA",IF(I16="","",MIN(I16,$B$6)))</f>
        <v/>
      </c>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UPD1b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t="inlineStr">
        <is>
          <t>Bengaluru – BMRCL</t>
        </is>
      </c>
      <c r="B16" t="inlineStr">
        <is>
          <t>YES</t>
        </is>
      </c>
      <c r="I16" s="7" t="n"/>
      <c r="J16">
        <f>IF($B16="NO","NA",IF(I16="","",MIN(I16,$B$6)))</f>
        <v/>
      </c>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UPD2a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2.5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UPD2b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2.5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UPD2c</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2.5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2.5</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UPD2d</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2.5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2.5</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UPD3a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UPD3b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UPD4a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UPD4b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UPD5a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UPD5b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UPD6a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UPD6b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DPG1a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DPG1b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DPG2a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DPG2b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DPG3</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Availability and currency</t>
        </is>
      </c>
      <c r="J12" s="3" t="inlineStr">
        <is>
          <t>Part B: Open-data format</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Availability and currency' column." type="list">
      <formula1>"0.5,0"</formula1>
    </dataValidation>
    <dataValidation sqref="J13:J19" showDropDown="0" showInputMessage="0" showErrorMessage="1" allowBlank="1" error="See the instruction above the 'Part B: Open-data format' column." type="list">
      <formula1>"0.5,0"</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Availability and currency</t>
        </is>
      </c>
      <c r="J12" s="3" t="inlineStr">
        <is>
          <t>Part B: Open-data format</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Availability and currency' column." type="list">
      <formula1>"0.5,0"</formula1>
    </dataValidation>
    <dataValidation sqref="J13:J19" showDropDown="0" showInputMessage="0" showErrorMessage="1" allowBlank="1" error="See the instruction above the 'Part B: Open-data format' column." type="list">
      <formula1>"0.5,0"</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DPG5c</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Availability and currency</t>
        </is>
      </c>
      <c r="J12" s="3" t="inlineStr">
        <is>
          <t>Part B: Open-data format</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Availability and currency' column." type="list">
      <formula1>"0.5,0"</formula1>
    </dataValidation>
    <dataValidation sqref="J13:J19" showDropDown="0" showInputMessage="0" showErrorMessage="1" allowBlank="1" error="See the instruction above the 'Part B: Open-data format' column." type="list">
      <formula1>"0.5,0"</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DPG5d</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Availability and currency</t>
        </is>
      </c>
      <c r="J12" s="3" t="inlineStr">
        <is>
          <t>Part B: Open-data format</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Availability and currency' column." type="list">
      <formula1>"0.5,0"</formula1>
    </dataValidation>
    <dataValidation sqref="J13:J19" showDropDown="0" showInputMessage="0" showErrorMessage="1" allowBlank="1" error="See the instruction above the 'Part B: Open-data format' column." type="list">
      <formula1>"0.5,0"</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DPG5e</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Availability and currency</t>
        </is>
      </c>
      <c r="J12" s="3" t="inlineStr">
        <is>
          <t>Part B: Open-data format</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Availability and currency' column." type="list">
      <formula1>"0.5,0"</formula1>
    </dataValidation>
    <dataValidation sqref="J13:J19" showDropDown="0" showInputMessage="0" showErrorMessage="1" allowBlank="1" error="See the instruction above the 'Part B: Open-data format' column." type="list">
      <formula1>"0.5,0"</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DPG5f</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Availability and currency</t>
        </is>
      </c>
      <c r="J12" s="3" t="inlineStr">
        <is>
          <t>Part B: Open-data format</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Availability and currency' column." type="list">
      <formula1>"0.5,0"</formula1>
    </dataValidation>
    <dataValidation sqref="J13:J19" showDropDown="0" showInputMessage="0" showErrorMessage="1" allowBlank="1" error="See the instruction above the 'Part B: Open-data format' column." type="list">
      <formula1>"0.5,0"</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DPG5g</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Check availability</t>
        </is>
      </c>
      <c r="J12" s="3" t="inlineStr">
        <is>
          <t>Part B: Minimum format/accessibility</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Check availability' column." type="list">
      <formula1>"0.5,0"</formula1>
    </dataValidation>
    <dataValidation sqref="J13:J19" showDropDown="0" showInputMessage="0" showErrorMessage="1" allowBlank="1" error="See the instruction above the 'Part B: Minimum format/accessibility' column." type="list">
      <formula1>"0.5,0"</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DPG5h</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Check availability and currency</t>
        </is>
      </c>
      <c r="J12" s="3" t="inlineStr">
        <is>
          <t>Part B: Minimum format/accessibility</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Check availability and currency' column." type="list">
      <formula1>"0.5,0"</formula1>
    </dataValidation>
    <dataValidation sqref="J13:J19" showDropDown="0" showInputMessage="0" showErrorMessage="1" allowBlank="1" error="See the instruction above the 'Part B: Minimum format/accessibility' column." type="list">
      <formula1>"0.5,0"</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DPG5i</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Check availability and currency</t>
        </is>
      </c>
      <c r="J12" s="3" t="inlineStr">
        <is>
          <t>Part B: Check Minimum format/accessibility</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Check availability and currency' column." type="list">
      <formula1>"0.5,0"</formula1>
    </dataValidation>
    <dataValidation sqref="J13:J19" showDropDown="0" showInputMessage="0" showErrorMessage="1" allowBlank="1" error="See the instruction above the 'Part B: Check Minimum format/accessibility' column." type="list">
      <formula1>"0.5,0"</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DPG5j</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SELECT 0.5 / 0</t>
        </is>
      </c>
      <c r="J11" s="6" t="inlineStr">
        <is>
          <t>SELECT 0.5 / 0</t>
        </is>
      </c>
      <c r="K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Part A: Check availability and currency</t>
        </is>
      </c>
      <c r="J12" s="3" t="inlineStr">
        <is>
          <t>Part B: Check minimum format/accessibility</t>
        </is>
      </c>
      <c r="K12" s="3" t="inlineStr">
        <is>
          <t>Points (Auto-generate)</t>
        </is>
      </c>
      <c r="L12" s="3" t="inlineStr">
        <is>
          <t>SCORER COMMENTS</t>
        </is>
      </c>
    </row>
    <row r="13">
      <c r="A13" t="inlineStr">
        <is>
          <t>Bengaluru – BWSSB</t>
        </is>
      </c>
      <c r="B13" t="inlineStr">
        <is>
          <t>YES</t>
        </is>
      </c>
      <c r="I13" s="7" t="n"/>
      <c r="J13" s="7" t="n"/>
      <c r="K13">
        <f>IF($B13="NO","NA",IF(COUNTA(I13:J13)&lt;2,"",SUM(I13:J13)))</f>
        <v/>
      </c>
    </row>
    <row r="14">
      <c r="A14" t="inlineStr">
        <is>
          <t>Bengaluru – BMTC</t>
        </is>
      </c>
      <c r="B14" t="inlineStr">
        <is>
          <t>YES</t>
        </is>
      </c>
      <c r="I14" s="7" t="n"/>
      <c r="J14" s="7" t="n"/>
      <c r="K14">
        <f>IF($B14="NO","NA",IF(COUNTA(I14:J14)&lt;2,"",SUM(I14:J14)))</f>
        <v/>
      </c>
    </row>
    <row r="15">
      <c r="A15" t="inlineStr">
        <is>
          <t>Bengaluru – BDA</t>
        </is>
      </c>
      <c r="B15" t="inlineStr">
        <is>
          <t>YES</t>
        </is>
      </c>
      <c r="I15" s="7" t="n"/>
      <c r="J15" s="7" t="n"/>
      <c r="K15">
        <f>IF($B15="NO","NA",IF(COUNTA(I15:J15)&lt;2,"",SUM(I15:J15)))</f>
        <v/>
      </c>
    </row>
    <row r="16">
      <c r="A16" t="inlineStr">
        <is>
          <t>Bengaluru – BMRCL</t>
        </is>
      </c>
      <c r="B16" t="inlineStr">
        <is>
          <t>YES</t>
        </is>
      </c>
      <c r="I16" s="7" t="n"/>
      <c r="J16" s="7" t="n"/>
      <c r="K16">
        <f>IF($B16="NO","NA",IF(COUNTA(I16:J16)&lt;2,"",SUM(I16:J16)))</f>
        <v/>
      </c>
    </row>
    <row r="17">
      <c r="A17" t="inlineStr">
        <is>
          <t>Bengaluru – BMRDA</t>
        </is>
      </c>
      <c r="B17" t="inlineStr">
        <is>
          <t>YES</t>
        </is>
      </c>
      <c r="I17" s="7" t="n"/>
      <c r="J17" s="7" t="n"/>
      <c r="K17">
        <f>IF($B17="NO","NA",IF(COUNTA(I17:J17)&lt;2,"",SUM(I17:J17)))</f>
        <v/>
      </c>
    </row>
    <row r="18">
      <c r="A18" t="inlineStr">
        <is>
          <t>Surat – SUDA</t>
        </is>
      </c>
      <c r="B18" t="inlineStr">
        <is>
          <t>YES</t>
        </is>
      </c>
      <c r="I18" s="7" t="n"/>
      <c r="J18" s="7" t="n"/>
      <c r="K18">
        <f>IF($B18="NO","NA",IF(COUNTA(I18:J18)&lt;2,"",SUM(I18:J18)))</f>
        <v/>
      </c>
    </row>
    <row r="19">
      <c r="A19" t="inlineStr">
        <is>
          <t>Surat – GMRC</t>
        </is>
      </c>
      <c r="B19" t="inlineStr">
        <is>
          <t>YES</t>
        </is>
      </c>
      <c r="I19" s="7" t="n"/>
      <c r="J19" s="7" t="n"/>
      <c r="K19">
        <f>IF($B19="NO","NA",IF(COUNTA(I19:J19)&lt;2,"",SUM(I19:J19)))</f>
        <v/>
      </c>
    </row>
  </sheetData>
  <dataValidations count="2">
    <dataValidation sqref="I13:I19" showDropDown="0" showInputMessage="0" showErrorMessage="1" allowBlank="1" error="See the instruction above the 'Part A: Check availability and currency' column." type="list">
      <formula1>"0.5,0"</formula1>
    </dataValidation>
    <dataValidation sqref="J13:J19" showDropDown="0" showInputMessage="0" showErrorMessage="1" allowBlank="1" error="See the instruction above the 'Part B: Check minimum format/accessibility' column." type="list">
      <formula1>"0.5,0"</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DPG6a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DPG6b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DPG7a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t="inlineStr">
        <is>
          <t>Bengaluru – BMRCL</t>
        </is>
      </c>
      <c r="B16" t="inlineStr">
        <is>
          <t>YES</t>
        </is>
      </c>
      <c r="I16" s="7" t="n"/>
      <c r="J16">
        <f>IF($B16="NO","NA",IF(I16="","",MIN(I16,$B$6)))</f>
        <v/>
      </c>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DPG7b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t="inlineStr">
        <is>
          <t>Bengaluru – BMRCL</t>
        </is>
      </c>
      <c r="B16" t="inlineStr">
        <is>
          <t>YES</t>
        </is>
      </c>
      <c r="I16" s="7" t="n"/>
      <c r="J16">
        <f>IF($B16="NO","NA",IF(I16="","",MIN(I16,$B$6)))</f>
        <v/>
      </c>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SC1</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SC2</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SC3</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SC4a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SC4b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SC5</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SC6</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SC7a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SC7b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2026-10-08T09:20:10Z</dcterms:created>
  <dcterms:modified xsi:type="dcterms:W3CDTF">2026-10-08T09:20:11Z</dcterms:modified>
</cp:coreProperties>
</file>