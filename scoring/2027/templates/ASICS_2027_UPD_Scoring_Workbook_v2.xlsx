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Aishwarya R\Downloads\"/>
    </mc:Choice>
  </mc:AlternateContent>
  <xr:revisionPtr revIDLastSave="0" documentId="8_{EDB8335E-BD5C-4ABD-A6E5-475DAA544155}" xr6:coauthVersionLast="47" xr6:coauthVersionMax="47" xr10:uidLastSave="{00000000-0000-0000-0000-000000000000}"/>
  <bookViews>
    <workbookView xWindow="-110" yWindow="-110" windowWidth="19420" windowHeight="11500" tabRatio="500" xr2:uid="{00000000-000D-0000-FFFF-FFFF00000000}"/>
  </bookViews>
  <sheets>
    <sheet name="UPD Questions_290926 " sheetId="1" r:id="rId1"/>
    <sheet name="UPD_SUMMARY_RAW" sheetId="2" r:id="rId2"/>
    <sheet name="UPD Questions_240926  (2)" sheetId="3" state="hidden" r:id="rId3"/>
    <sheet name="Sheet1" sheetId="4" state="hidden" r:id="rId4"/>
    <sheet name="UPD Questions_230926 " sheetId="5" state="hidden" r:id="rId5"/>
    <sheet name="UPD1" sheetId="6" r:id="rId6"/>
    <sheet name="UPD2" sheetId="7" r:id="rId7"/>
    <sheet name="UPD3a" sheetId="8" r:id="rId8"/>
    <sheet name="UPD3b" sheetId="9" r:id="rId9"/>
    <sheet name="UPD3c" sheetId="10" r:id="rId10"/>
    <sheet name="UPD4" sheetId="11" r:id="rId11"/>
    <sheet name="UPD5a" sheetId="12" r:id="rId12"/>
    <sheet name="UPD5b" sheetId="13" r:id="rId13"/>
    <sheet name="UPD5c" sheetId="14" r:id="rId14"/>
    <sheet name="UPD6" sheetId="15" r:id="rId15"/>
    <sheet name="UPD7a" sheetId="16" r:id="rId16"/>
    <sheet name="UPD7b" sheetId="17" r:id="rId17"/>
    <sheet name="UPD8" sheetId="18" r:id="rId18"/>
    <sheet name="UPD9" sheetId="19" r:id="rId19"/>
    <sheet name="UPD10" sheetId="20" r:id="rId20"/>
    <sheet name="UPD11a" sheetId="21" r:id="rId21"/>
    <sheet name="UPD11b" sheetId="22" r:id="rId22"/>
    <sheet name="UPD12" sheetId="23" r:id="rId23"/>
    <sheet name="UPD13a" sheetId="24" r:id="rId24"/>
    <sheet name="UPD13b" sheetId="25" r:id="rId25"/>
    <sheet name="UPD13c" sheetId="26" r:id="rId26"/>
    <sheet name="UPD13d" sheetId="27" r:id="rId27"/>
    <sheet name="UPD13e" sheetId="28" r:id="rId28"/>
    <sheet name="UPD13f" sheetId="29" r:id="rId29"/>
    <sheet name="UPD14a" sheetId="30" r:id="rId30"/>
    <sheet name="UPD14b" sheetId="31" r:id="rId31"/>
    <sheet name="UPD14c" sheetId="32" r:id="rId32"/>
    <sheet name="UPD15" sheetId="33" r:id="rId33"/>
    <sheet name="UPD16a" sheetId="34" r:id="rId34"/>
    <sheet name="UPD16b" sheetId="35" r:id="rId35"/>
    <sheet name="UPD17" sheetId="36" r:id="rId36"/>
    <sheet name="UPD18" sheetId="37" r:id="rId37"/>
    <sheet name="UPD19a" sheetId="38" r:id="rId38"/>
    <sheet name="UPD19b" sheetId="39" r:id="rId39"/>
    <sheet name="UPD20a" sheetId="40" r:id="rId40"/>
    <sheet name="UPD20b" sheetId="41" r:id="rId41"/>
    <sheet name="UPD20c" sheetId="42" r:id="rId42"/>
    <sheet name="UPD21" sheetId="43" r:id="rId43"/>
    <sheet name="UPD22" sheetId="44" r:id="rId44"/>
    <sheet name="UPD23a" sheetId="45" r:id="rId45"/>
    <sheet name="UPD23b" sheetId="46" r:id="rId46"/>
    <sheet name="UPD23c" sheetId="47" r:id="rId47"/>
    <sheet name="UPD24a" sheetId="48" r:id="rId48"/>
    <sheet name="UPD24b" sheetId="49" r:id="rId49"/>
    <sheet name="UPD24c" sheetId="50" r:id="rId50"/>
    <sheet name="UPD25a" sheetId="51" r:id="rId51"/>
    <sheet name="UPD25b" sheetId="52" r:id="rId52"/>
    <sheet name="UPD25c" sheetId="53" r:id="rId53"/>
    <sheet name="UPD26a" sheetId="54" r:id="rId54"/>
    <sheet name="UPD26b" sheetId="55" r:id="rId55"/>
    <sheet name="UPD26c" sheetId="56" r:id="rId56"/>
    <sheet name="UPD27a" sheetId="57" r:id="rId57"/>
    <sheet name="UPD27b" sheetId="58" r:id="rId58"/>
    <sheet name="UPD28a" sheetId="59" r:id="rId59"/>
    <sheet name="UPD28b" sheetId="60" r:id="rId60"/>
    <sheet name="UPD28c" sheetId="61" r:id="rId61"/>
    <sheet name="UPD28d" sheetId="62" r:id="rId62"/>
    <sheet name="UPD29a" sheetId="63" r:id="rId63"/>
    <sheet name="UPD29b" sheetId="64" r:id="rId64"/>
    <sheet name="UPD30a" sheetId="65" r:id="rId65"/>
    <sheet name="UPD30b" sheetId="66" r:id="rId66"/>
    <sheet name="UPD31" sheetId="67" r:id="rId67"/>
    <sheet name="UPD32a" sheetId="68" r:id="rId68"/>
    <sheet name="UPD32b" sheetId="69" r:id="rId69"/>
    <sheet name="UPD32c" sheetId="70" r:id="rId70"/>
    <sheet name="UPD32d" sheetId="71" r:id="rId71"/>
    <sheet name="UPD32e" sheetId="72" r:id="rId72"/>
    <sheet name="UPD33a" sheetId="73" r:id="rId73"/>
    <sheet name="UPD33b" sheetId="74" r:id="rId74"/>
    <sheet name="UPD34" sheetId="75" r:id="rId75"/>
    <sheet name="UPD35" sheetId="76" r:id="rId76"/>
    <sheet name="UPD36" sheetId="77" r:id="rId77"/>
    <sheet name="UPD37" sheetId="78" r:id="rId78"/>
    <sheet name="UPD38a" sheetId="79" r:id="rId79"/>
    <sheet name="UPD38b" sheetId="80" r:id="rId80"/>
    <sheet name="UPD39" sheetId="81" r:id="rId81"/>
  </sheets>
  <definedNames>
    <definedName name="_xlnm._FilterDatabase" localSheetId="2" hidden="1">'UPD Questions_240926  (2)'!$A$1:$N$109</definedName>
    <definedName name="_xlnm._FilterDatabase" localSheetId="0" hidden="1">'UPD Questions_290926 '!$A$1:$N$106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 i="40" l="1"/>
  <c r="I41" i="81"/>
  <c r="I40" i="81"/>
  <c r="I39" i="81"/>
  <c r="I38" i="81"/>
  <c r="I37" i="81"/>
  <c r="I36" i="81"/>
  <c r="I35" i="81"/>
  <c r="I34" i="81"/>
  <c r="I33" i="81"/>
  <c r="I32" i="81"/>
  <c r="I31" i="81"/>
  <c r="I30" i="81"/>
  <c r="I29" i="81"/>
  <c r="I28" i="81"/>
  <c r="I27" i="81"/>
  <c r="I26" i="81"/>
  <c r="I25" i="81"/>
  <c r="I24" i="81"/>
  <c r="I23" i="81"/>
  <c r="I22" i="81"/>
  <c r="I21" i="81"/>
  <c r="I20" i="81"/>
  <c r="I19" i="81"/>
  <c r="I18" i="81"/>
  <c r="I17" i="81"/>
  <c r="I16" i="81"/>
  <c r="I15" i="81"/>
  <c r="I14" i="81"/>
  <c r="I13" i="81"/>
  <c r="B10" i="81"/>
  <c r="B9" i="81"/>
  <c r="B8" i="81"/>
  <c r="C7" i="81"/>
  <c r="B7" i="81"/>
  <c r="B6" i="81"/>
  <c r="B5" i="81"/>
  <c r="B4" i="81"/>
  <c r="B3" i="81"/>
  <c r="B2" i="81"/>
  <c r="K41" i="80"/>
  <c r="K40" i="80"/>
  <c r="K39" i="80"/>
  <c r="K38" i="80"/>
  <c r="K37" i="80"/>
  <c r="K36" i="80"/>
  <c r="K35" i="80"/>
  <c r="K34" i="80"/>
  <c r="K33" i="80"/>
  <c r="K32" i="80"/>
  <c r="K31" i="80"/>
  <c r="K30" i="80"/>
  <c r="K29" i="80"/>
  <c r="K28" i="80"/>
  <c r="K27" i="80"/>
  <c r="K26" i="80"/>
  <c r="K25" i="80"/>
  <c r="K24" i="80"/>
  <c r="K23" i="80"/>
  <c r="K22" i="80"/>
  <c r="K21" i="80"/>
  <c r="K20" i="80"/>
  <c r="K19" i="80"/>
  <c r="K18" i="80"/>
  <c r="K17" i="80"/>
  <c r="K16" i="80"/>
  <c r="K15" i="80"/>
  <c r="K14" i="80"/>
  <c r="K13" i="80"/>
  <c r="B10" i="80"/>
  <c r="B9" i="80"/>
  <c r="B8" i="80"/>
  <c r="C7" i="80"/>
  <c r="B7" i="80"/>
  <c r="B6" i="80"/>
  <c r="B5" i="80"/>
  <c r="B4" i="80"/>
  <c r="B3" i="80"/>
  <c r="B2" i="80"/>
  <c r="K41" i="79"/>
  <c r="K40" i="79"/>
  <c r="K39" i="79"/>
  <c r="K38" i="79"/>
  <c r="K37" i="79"/>
  <c r="K36" i="79"/>
  <c r="K35" i="79"/>
  <c r="K34" i="79"/>
  <c r="K33" i="79"/>
  <c r="K32" i="79"/>
  <c r="K31" i="79"/>
  <c r="K30" i="79"/>
  <c r="K29" i="79"/>
  <c r="K28" i="79"/>
  <c r="K27" i="79"/>
  <c r="K26" i="79"/>
  <c r="K25" i="79"/>
  <c r="K24" i="79"/>
  <c r="K23" i="79"/>
  <c r="K22" i="79"/>
  <c r="K21" i="79"/>
  <c r="K20" i="79"/>
  <c r="K19" i="79"/>
  <c r="K18" i="79"/>
  <c r="K17" i="79"/>
  <c r="K16" i="79"/>
  <c r="K15" i="79"/>
  <c r="K14" i="79"/>
  <c r="K13" i="79"/>
  <c r="B10" i="79"/>
  <c r="B9" i="79"/>
  <c r="B8" i="79"/>
  <c r="C7" i="79"/>
  <c r="B7" i="79"/>
  <c r="B6" i="79"/>
  <c r="B5" i="79"/>
  <c r="B4" i="79"/>
  <c r="B3" i="79"/>
  <c r="B2" i="79"/>
  <c r="L41" i="78"/>
  <c r="L40" i="78"/>
  <c r="L39" i="78"/>
  <c r="L38" i="78"/>
  <c r="L37" i="78"/>
  <c r="L36" i="78"/>
  <c r="L35" i="78"/>
  <c r="L34" i="78"/>
  <c r="L33" i="78"/>
  <c r="L32" i="78"/>
  <c r="L31" i="78"/>
  <c r="L30" i="78"/>
  <c r="L29" i="78"/>
  <c r="L28" i="78"/>
  <c r="L27" i="78"/>
  <c r="L26" i="78"/>
  <c r="L25" i="78"/>
  <c r="L24" i="78"/>
  <c r="L23" i="78"/>
  <c r="L22" i="78"/>
  <c r="L21" i="78"/>
  <c r="L20" i="78"/>
  <c r="L19" i="78"/>
  <c r="L18" i="78"/>
  <c r="L17" i="78"/>
  <c r="L16" i="78"/>
  <c r="L15" i="78"/>
  <c r="L14" i="78"/>
  <c r="L13" i="78"/>
  <c r="B10" i="78"/>
  <c r="B9" i="78"/>
  <c r="B8" i="78"/>
  <c r="C7" i="78"/>
  <c r="B7" i="78"/>
  <c r="B6" i="78"/>
  <c r="B5" i="78"/>
  <c r="B4" i="78"/>
  <c r="B3" i="78"/>
  <c r="B2" i="78"/>
  <c r="I41" i="77"/>
  <c r="I40" i="77"/>
  <c r="I39" i="77"/>
  <c r="I38" i="77"/>
  <c r="I37" i="77"/>
  <c r="I36" i="77"/>
  <c r="I35" i="77"/>
  <c r="I34" i="77"/>
  <c r="I33" i="77"/>
  <c r="I32" i="77"/>
  <c r="I31" i="77"/>
  <c r="I30" i="77"/>
  <c r="I29" i="77"/>
  <c r="I28" i="77"/>
  <c r="I27" i="77"/>
  <c r="I26" i="77"/>
  <c r="I25" i="77"/>
  <c r="I24" i="77"/>
  <c r="I23" i="77"/>
  <c r="I22" i="77"/>
  <c r="I21" i="77"/>
  <c r="I20" i="77"/>
  <c r="I19" i="77"/>
  <c r="I18" i="77"/>
  <c r="I17" i="77"/>
  <c r="I16" i="77"/>
  <c r="I15" i="77"/>
  <c r="I14" i="77"/>
  <c r="I13" i="77"/>
  <c r="B10" i="77"/>
  <c r="B9" i="77"/>
  <c r="B8" i="77"/>
  <c r="C7" i="77"/>
  <c r="B7" i="77"/>
  <c r="B6" i="77"/>
  <c r="B5" i="77"/>
  <c r="B4" i="77"/>
  <c r="B3" i="77"/>
  <c r="B2" i="77"/>
  <c r="J41" i="76"/>
  <c r="J40" i="76"/>
  <c r="J39" i="76"/>
  <c r="J38" i="76"/>
  <c r="J37" i="76"/>
  <c r="J36" i="76"/>
  <c r="J35" i="76"/>
  <c r="J34" i="76"/>
  <c r="J33" i="76"/>
  <c r="J32" i="76"/>
  <c r="J31" i="76"/>
  <c r="J30" i="76"/>
  <c r="J29" i="76"/>
  <c r="J28" i="76"/>
  <c r="J27" i="76"/>
  <c r="J26" i="76"/>
  <c r="J25" i="76"/>
  <c r="J24" i="76"/>
  <c r="J23" i="76"/>
  <c r="J22" i="76"/>
  <c r="J21" i="76"/>
  <c r="J20" i="76"/>
  <c r="J19" i="76"/>
  <c r="J18" i="76"/>
  <c r="J17" i="76"/>
  <c r="J16" i="76"/>
  <c r="J15" i="76"/>
  <c r="J14" i="76"/>
  <c r="J13" i="76"/>
  <c r="B10" i="76"/>
  <c r="B9" i="76"/>
  <c r="B8" i="76"/>
  <c r="C7" i="76"/>
  <c r="B7" i="76"/>
  <c r="B6" i="76"/>
  <c r="B5" i="76"/>
  <c r="B4" i="76"/>
  <c r="B3" i="76"/>
  <c r="B2" i="76"/>
  <c r="J41" i="75"/>
  <c r="J40" i="75"/>
  <c r="J39" i="75"/>
  <c r="J38" i="75"/>
  <c r="J37" i="75"/>
  <c r="J36" i="75"/>
  <c r="J35" i="75"/>
  <c r="J34" i="75"/>
  <c r="J33" i="75"/>
  <c r="J32" i="75"/>
  <c r="J31" i="75"/>
  <c r="J30" i="75"/>
  <c r="J29" i="75"/>
  <c r="J28" i="75"/>
  <c r="J27" i="75"/>
  <c r="J26" i="75"/>
  <c r="J25" i="75"/>
  <c r="J24" i="75"/>
  <c r="J23" i="75"/>
  <c r="J22" i="75"/>
  <c r="J21" i="75"/>
  <c r="J20" i="75"/>
  <c r="J19" i="75"/>
  <c r="J18" i="75"/>
  <c r="J17" i="75"/>
  <c r="J16" i="75"/>
  <c r="J15" i="75"/>
  <c r="J14" i="75"/>
  <c r="J13" i="75"/>
  <c r="B10" i="75"/>
  <c r="B9" i="75"/>
  <c r="B8" i="75"/>
  <c r="C7" i="75"/>
  <c r="B7" i="75"/>
  <c r="B6" i="75"/>
  <c r="B5" i="75"/>
  <c r="B4" i="75"/>
  <c r="B3" i="75"/>
  <c r="B2" i="75"/>
  <c r="I41" i="74"/>
  <c r="I40" i="74"/>
  <c r="I39" i="74"/>
  <c r="I38" i="74"/>
  <c r="I37" i="74"/>
  <c r="I36" i="74"/>
  <c r="I35" i="74"/>
  <c r="I34" i="74"/>
  <c r="I33" i="74"/>
  <c r="I32" i="74"/>
  <c r="I31" i="74"/>
  <c r="I30" i="74"/>
  <c r="I29" i="74"/>
  <c r="I28" i="74"/>
  <c r="I27" i="74"/>
  <c r="I26" i="74"/>
  <c r="I25" i="74"/>
  <c r="I24" i="74"/>
  <c r="I23" i="74"/>
  <c r="I22" i="74"/>
  <c r="I21" i="74"/>
  <c r="I20" i="74"/>
  <c r="I19" i="74"/>
  <c r="I18" i="74"/>
  <c r="I17" i="74"/>
  <c r="I16" i="74"/>
  <c r="I15" i="74"/>
  <c r="I14" i="74"/>
  <c r="I13" i="74"/>
  <c r="B10" i="74"/>
  <c r="B9" i="74"/>
  <c r="B8" i="74"/>
  <c r="C7" i="74"/>
  <c r="B7" i="74"/>
  <c r="B6" i="74"/>
  <c r="B5" i="74"/>
  <c r="B4" i="74"/>
  <c r="B3" i="74"/>
  <c r="B2" i="74"/>
  <c r="I41" i="73"/>
  <c r="I40" i="73"/>
  <c r="I39" i="73"/>
  <c r="I38" i="73"/>
  <c r="I37" i="73"/>
  <c r="I36" i="73"/>
  <c r="I35" i="73"/>
  <c r="I34" i="73"/>
  <c r="I33" i="73"/>
  <c r="I32" i="73"/>
  <c r="I31" i="73"/>
  <c r="I30" i="73"/>
  <c r="I29" i="73"/>
  <c r="I28" i="73"/>
  <c r="I27" i="73"/>
  <c r="I26" i="73"/>
  <c r="I25" i="73"/>
  <c r="I24" i="73"/>
  <c r="I23" i="73"/>
  <c r="I22" i="73"/>
  <c r="I21" i="73"/>
  <c r="I20" i="73"/>
  <c r="I19" i="73"/>
  <c r="I18" i="73"/>
  <c r="I17" i="73"/>
  <c r="I16" i="73"/>
  <c r="I15" i="73"/>
  <c r="I14" i="73"/>
  <c r="I13" i="73"/>
  <c r="B10" i="73"/>
  <c r="B9" i="73"/>
  <c r="B8" i="73"/>
  <c r="C7" i="73"/>
  <c r="B7" i="73"/>
  <c r="B6" i="73"/>
  <c r="B5" i="73"/>
  <c r="B4" i="73"/>
  <c r="B3" i="73"/>
  <c r="B2" i="73"/>
  <c r="I41" i="72"/>
  <c r="I40" i="72"/>
  <c r="I39" i="72"/>
  <c r="I38" i="72"/>
  <c r="I37" i="72"/>
  <c r="I36" i="72"/>
  <c r="I35" i="72"/>
  <c r="I34" i="72"/>
  <c r="I33" i="72"/>
  <c r="I32" i="72"/>
  <c r="I31" i="72"/>
  <c r="I30" i="72"/>
  <c r="I29" i="72"/>
  <c r="I28" i="72"/>
  <c r="I27" i="72"/>
  <c r="I26" i="72"/>
  <c r="I25" i="72"/>
  <c r="I24" i="72"/>
  <c r="I23" i="72"/>
  <c r="I22" i="72"/>
  <c r="I21" i="72"/>
  <c r="I20" i="72"/>
  <c r="I19" i="72"/>
  <c r="I18" i="72"/>
  <c r="I17" i="72"/>
  <c r="I16" i="72"/>
  <c r="I15" i="72"/>
  <c r="I14" i="72"/>
  <c r="I13" i="72"/>
  <c r="B10" i="72"/>
  <c r="B9" i="72"/>
  <c r="B8" i="72"/>
  <c r="C7" i="72"/>
  <c r="B7" i="72"/>
  <c r="B6" i="72"/>
  <c r="B5" i="72"/>
  <c r="B4" i="72"/>
  <c r="B3" i="72"/>
  <c r="B2" i="72"/>
  <c r="I41" i="71"/>
  <c r="I40" i="71"/>
  <c r="I39" i="71"/>
  <c r="I38" i="71"/>
  <c r="I37" i="71"/>
  <c r="I36" i="71"/>
  <c r="I35" i="71"/>
  <c r="I34" i="71"/>
  <c r="I33" i="71"/>
  <c r="I32" i="71"/>
  <c r="I31" i="71"/>
  <c r="I30" i="71"/>
  <c r="I29" i="71"/>
  <c r="I28" i="71"/>
  <c r="I27" i="71"/>
  <c r="I26" i="71"/>
  <c r="I25" i="71"/>
  <c r="I24" i="71"/>
  <c r="I23" i="71"/>
  <c r="I22" i="71"/>
  <c r="I21" i="71"/>
  <c r="I20" i="71"/>
  <c r="I19" i="71"/>
  <c r="I18" i="71"/>
  <c r="I17" i="71"/>
  <c r="I16" i="71"/>
  <c r="I15" i="71"/>
  <c r="I14" i="71"/>
  <c r="I13" i="71"/>
  <c r="B10" i="71"/>
  <c r="B9" i="71"/>
  <c r="B8" i="71"/>
  <c r="C7" i="71"/>
  <c r="B7" i="71"/>
  <c r="B6" i="71"/>
  <c r="B5" i="71"/>
  <c r="B4" i="71"/>
  <c r="B3" i="71"/>
  <c r="B2" i="71"/>
  <c r="I41" i="70"/>
  <c r="I40" i="70"/>
  <c r="I39" i="70"/>
  <c r="I38" i="70"/>
  <c r="I37" i="70"/>
  <c r="I36" i="70"/>
  <c r="I35" i="70"/>
  <c r="I34" i="70"/>
  <c r="I33" i="70"/>
  <c r="I32" i="70"/>
  <c r="I31" i="70"/>
  <c r="I30" i="70"/>
  <c r="I29" i="70"/>
  <c r="I28" i="70"/>
  <c r="I27" i="70"/>
  <c r="I26" i="70"/>
  <c r="I25" i="70"/>
  <c r="I24" i="70"/>
  <c r="I23" i="70"/>
  <c r="I22" i="70"/>
  <c r="I21" i="70"/>
  <c r="I20" i="70"/>
  <c r="I19" i="70"/>
  <c r="I18" i="70"/>
  <c r="I17" i="70"/>
  <c r="I16" i="70"/>
  <c r="I15" i="70"/>
  <c r="I14" i="70"/>
  <c r="I13" i="70"/>
  <c r="B10" i="70"/>
  <c r="B9" i="70"/>
  <c r="B8" i="70"/>
  <c r="C7" i="70"/>
  <c r="B7" i="70"/>
  <c r="B6" i="70"/>
  <c r="B5" i="70"/>
  <c r="B4" i="70"/>
  <c r="B3" i="70"/>
  <c r="B2" i="70"/>
  <c r="I41" i="69"/>
  <c r="I40" i="69"/>
  <c r="I39" i="69"/>
  <c r="I38" i="69"/>
  <c r="I37" i="69"/>
  <c r="I36" i="69"/>
  <c r="I35" i="69"/>
  <c r="I34" i="69"/>
  <c r="I33" i="69"/>
  <c r="I32" i="69"/>
  <c r="I31" i="69"/>
  <c r="I30" i="69"/>
  <c r="I29" i="69"/>
  <c r="I28" i="69"/>
  <c r="I27" i="69"/>
  <c r="I26" i="69"/>
  <c r="I25" i="69"/>
  <c r="I24" i="69"/>
  <c r="I23" i="69"/>
  <c r="I22" i="69"/>
  <c r="I21" i="69"/>
  <c r="I20" i="69"/>
  <c r="I19" i="69"/>
  <c r="I18" i="69"/>
  <c r="I17" i="69"/>
  <c r="I16" i="69"/>
  <c r="I15" i="69"/>
  <c r="I14" i="69"/>
  <c r="I13" i="69"/>
  <c r="B10" i="69"/>
  <c r="B9" i="69"/>
  <c r="B8" i="69"/>
  <c r="C7" i="69"/>
  <c r="B7" i="69"/>
  <c r="B6" i="69"/>
  <c r="B5" i="69"/>
  <c r="B4" i="69"/>
  <c r="B3" i="69"/>
  <c r="B2" i="69"/>
  <c r="I41" i="68"/>
  <c r="I40" i="68"/>
  <c r="I39" i="68"/>
  <c r="I38" i="68"/>
  <c r="I37" i="68"/>
  <c r="I36" i="68"/>
  <c r="I35" i="68"/>
  <c r="I34" i="68"/>
  <c r="I33" i="68"/>
  <c r="I32" i="68"/>
  <c r="I31" i="68"/>
  <c r="I30" i="68"/>
  <c r="I29" i="68"/>
  <c r="I28" i="68"/>
  <c r="I27" i="68"/>
  <c r="I26" i="68"/>
  <c r="I25" i="68"/>
  <c r="I24" i="68"/>
  <c r="I23" i="68"/>
  <c r="I22" i="68"/>
  <c r="I21" i="68"/>
  <c r="I20" i="68"/>
  <c r="I19" i="68"/>
  <c r="I18" i="68"/>
  <c r="I17" i="68"/>
  <c r="I16" i="68"/>
  <c r="I15" i="68"/>
  <c r="I14" i="68"/>
  <c r="I13" i="68"/>
  <c r="B10" i="68"/>
  <c r="B9" i="68"/>
  <c r="B8" i="68"/>
  <c r="C7" i="68"/>
  <c r="B7" i="68"/>
  <c r="B6" i="68"/>
  <c r="B5" i="68"/>
  <c r="B4" i="68"/>
  <c r="B3" i="68"/>
  <c r="B2" i="68"/>
  <c r="I41" i="67"/>
  <c r="I40" i="67"/>
  <c r="I39" i="67"/>
  <c r="I38" i="67"/>
  <c r="I37" i="67"/>
  <c r="I36" i="67"/>
  <c r="I35" i="67"/>
  <c r="I34" i="67"/>
  <c r="I33" i="67"/>
  <c r="I32" i="67"/>
  <c r="I31" i="67"/>
  <c r="I30" i="67"/>
  <c r="I29" i="67"/>
  <c r="I28" i="67"/>
  <c r="I27" i="67"/>
  <c r="I26" i="67"/>
  <c r="I25" i="67"/>
  <c r="I24" i="67"/>
  <c r="I23" i="67"/>
  <c r="I22" i="67"/>
  <c r="I21" i="67"/>
  <c r="I20" i="67"/>
  <c r="I19" i="67"/>
  <c r="I18" i="67"/>
  <c r="I17" i="67"/>
  <c r="I16" i="67"/>
  <c r="I15" i="67"/>
  <c r="I14" i="67"/>
  <c r="I13" i="67"/>
  <c r="B10" i="67"/>
  <c r="B9" i="67"/>
  <c r="B8" i="67"/>
  <c r="C7" i="67"/>
  <c r="B7" i="67"/>
  <c r="B6" i="67"/>
  <c r="B5" i="67"/>
  <c r="B4" i="67"/>
  <c r="B3" i="67"/>
  <c r="B2" i="67"/>
  <c r="I41" i="66"/>
  <c r="I40" i="66"/>
  <c r="I39" i="66"/>
  <c r="I38" i="66"/>
  <c r="I37" i="66"/>
  <c r="I36" i="66"/>
  <c r="I35" i="66"/>
  <c r="I34" i="66"/>
  <c r="I33" i="66"/>
  <c r="I32" i="66"/>
  <c r="I31" i="66"/>
  <c r="I30" i="66"/>
  <c r="I29" i="66"/>
  <c r="I28" i="66"/>
  <c r="I27" i="66"/>
  <c r="I26" i="66"/>
  <c r="I25" i="66"/>
  <c r="I24" i="66"/>
  <c r="I23" i="66"/>
  <c r="I22" i="66"/>
  <c r="I21" i="66"/>
  <c r="I20" i="66"/>
  <c r="I19" i="66"/>
  <c r="I18" i="66"/>
  <c r="I17" i="66"/>
  <c r="I16" i="66"/>
  <c r="I15" i="66"/>
  <c r="I14" i="66"/>
  <c r="I13" i="66"/>
  <c r="B10" i="66"/>
  <c r="B9" i="66"/>
  <c r="B8" i="66"/>
  <c r="C7" i="66"/>
  <c r="B7" i="66"/>
  <c r="B6" i="66"/>
  <c r="B5" i="66"/>
  <c r="B4" i="66"/>
  <c r="B3" i="66"/>
  <c r="B2" i="66"/>
  <c r="I41" i="65"/>
  <c r="I40" i="65"/>
  <c r="I39" i="65"/>
  <c r="I38" i="65"/>
  <c r="I37" i="65"/>
  <c r="I36" i="65"/>
  <c r="I35" i="65"/>
  <c r="I34" i="65"/>
  <c r="I33" i="65"/>
  <c r="I32" i="65"/>
  <c r="I31" i="65"/>
  <c r="I30" i="65"/>
  <c r="I29" i="65"/>
  <c r="I28" i="65"/>
  <c r="I27" i="65"/>
  <c r="I26" i="65"/>
  <c r="I25" i="65"/>
  <c r="I24" i="65"/>
  <c r="I23" i="65"/>
  <c r="I22" i="65"/>
  <c r="I21" i="65"/>
  <c r="I20" i="65"/>
  <c r="I19" i="65"/>
  <c r="I18" i="65"/>
  <c r="I17" i="65"/>
  <c r="I16" i="65"/>
  <c r="I15" i="65"/>
  <c r="I14" i="65"/>
  <c r="I13" i="65"/>
  <c r="B10" i="65"/>
  <c r="B9" i="65"/>
  <c r="B8" i="65"/>
  <c r="C7" i="65"/>
  <c r="B7" i="65"/>
  <c r="B6" i="65"/>
  <c r="B5" i="65"/>
  <c r="B4" i="65"/>
  <c r="B3" i="65"/>
  <c r="B2" i="65"/>
  <c r="M41" i="64"/>
  <c r="M40" i="64"/>
  <c r="M39" i="64"/>
  <c r="M38" i="64"/>
  <c r="M37" i="64"/>
  <c r="M36" i="64"/>
  <c r="M35" i="64"/>
  <c r="M34" i="64"/>
  <c r="M33" i="64"/>
  <c r="M32" i="64"/>
  <c r="M31" i="64"/>
  <c r="M30" i="64"/>
  <c r="M29" i="64"/>
  <c r="M28" i="64"/>
  <c r="M27" i="64"/>
  <c r="M26" i="64"/>
  <c r="M25" i="64"/>
  <c r="M24" i="64"/>
  <c r="M23" i="64"/>
  <c r="M22" i="64"/>
  <c r="M21" i="64"/>
  <c r="M20" i="64"/>
  <c r="M19" i="64"/>
  <c r="M18" i="64"/>
  <c r="M17" i="64"/>
  <c r="M16" i="64"/>
  <c r="M15" i="64"/>
  <c r="M14" i="64"/>
  <c r="M13" i="64"/>
  <c r="B10" i="64"/>
  <c r="B9" i="64"/>
  <c r="B8" i="64"/>
  <c r="C7" i="64"/>
  <c r="B7" i="64"/>
  <c r="B6" i="64"/>
  <c r="B5" i="64"/>
  <c r="B4" i="64"/>
  <c r="B3" i="64"/>
  <c r="B2" i="64"/>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B10" i="63"/>
  <c r="B9" i="63"/>
  <c r="B8" i="63"/>
  <c r="C7" i="63"/>
  <c r="B7" i="63"/>
  <c r="B6" i="63"/>
  <c r="B5" i="63"/>
  <c r="B4" i="63"/>
  <c r="B3" i="63"/>
  <c r="B2" i="63"/>
  <c r="I41" i="62"/>
  <c r="I40" i="62"/>
  <c r="I39" i="62"/>
  <c r="I38" i="62"/>
  <c r="I37" i="62"/>
  <c r="I36" i="62"/>
  <c r="I35" i="62"/>
  <c r="I34" i="62"/>
  <c r="I33" i="62"/>
  <c r="I32" i="62"/>
  <c r="I31" i="62"/>
  <c r="I30" i="62"/>
  <c r="I29" i="62"/>
  <c r="I28" i="62"/>
  <c r="I27" i="62"/>
  <c r="I26" i="62"/>
  <c r="I25" i="62"/>
  <c r="I24" i="62"/>
  <c r="I23" i="62"/>
  <c r="I22" i="62"/>
  <c r="I21" i="62"/>
  <c r="I20" i="62"/>
  <c r="I19" i="62"/>
  <c r="I18" i="62"/>
  <c r="I17" i="62"/>
  <c r="I16" i="62"/>
  <c r="I15" i="62"/>
  <c r="I14" i="62"/>
  <c r="I13" i="62"/>
  <c r="B10" i="62"/>
  <c r="B9" i="62"/>
  <c r="B8" i="62"/>
  <c r="C7" i="62"/>
  <c r="B7" i="62"/>
  <c r="B6" i="62"/>
  <c r="B5" i="62"/>
  <c r="B4" i="62"/>
  <c r="B3" i="62"/>
  <c r="B2" i="62"/>
  <c r="I41" i="61"/>
  <c r="I40" i="61"/>
  <c r="I39" i="61"/>
  <c r="I38" i="61"/>
  <c r="I37" i="61"/>
  <c r="I36" i="61"/>
  <c r="I35" i="61"/>
  <c r="I34" i="61"/>
  <c r="I33" i="61"/>
  <c r="I32" i="61"/>
  <c r="I31" i="61"/>
  <c r="I30" i="61"/>
  <c r="I29" i="61"/>
  <c r="I28" i="61"/>
  <c r="I27" i="61"/>
  <c r="I26" i="61"/>
  <c r="I25" i="61"/>
  <c r="I24" i="61"/>
  <c r="I23" i="61"/>
  <c r="I22" i="61"/>
  <c r="I21" i="61"/>
  <c r="I20" i="61"/>
  <c r="I19" i="61"/>
  <c r="I18" i="61"/>
  <c r="I17" i="61"/>
  <c r="I16" i="61"/>
  <c r="I15" i="61"/>
  <c r="I14" i="61"/>
  <c r="I13" i="61"/>
  <c r="B10" i="61"/>
  <c r="B9" i="61"/>
  <c r="B8" i="61"/>
  <c r="C7" i="61"/>
  <c r="B7" i="61"/>
  <c r="B6" i="61"/>
  <c r="B5" i="61"/>
  <c r="B4" i="61"/>
  <c r="B3" i="61"/>
  <c r="B2" i="61"/>
  <c r="I41" i="60"/>
  <c r="I40" i="60"/>
  <c r="I39" i="60"/>
  <c r="I38" i="60"/>
  <c r="I37" i="60"/>
  <c r="I36" i="60"/>
  <c r="I35" i="60"/>
  <c r="I34" i="60"/>
  <c r="I33" i="60"/>
  <c r="I32" i="60"/>
  <c r="I31" i="60"/>
  <c r="I30" i="60"/>
  <c r="I29" i="60"/>
  <c r="I28" i="60"/>
  <c r="I27" i="60"/>
  <c r="I26" i="60"/>
  <c r="I25" i="60"/>
  <c r="I24" i="60"/>
  <c r="I23" i="60"/>
  <c r="I22" i="60"/>
  <c r="I21" i="60"/>
  <c r="I20" i="60"/>
  <c r="I19" i="60"/>
  <c r="I18" i="60"/>
  <c r="I17" i="60"/>
  <c r="I16" i="60"/>
  <c r="I15" i="60"/>
  <c r="I14" i="60"/>
  <c r="I13" i="60"/>
  <c r="B10" i="60"/>
  <c r="B9" i="60"/>
  <c r="B8" i="60"/>
  <c r="C7" i="60"/>
  <c r="B7" i="60"/>
  <c r="B6" i="60"/>
  <c r="B5" i="60"/>
  <c r="B4" i="60"/>
  <c r="B3" i="60"/>
  <c r="B2" i="60"/>
  <c r="I41" i="59"/>
  <c r="I40" i="59"/>
  <c r="I39" i="59"/>
  <c r="I38" i="59"/>
  <c r="I37" i="59"/>
  <c r="I36" i="59"/>
  <c r="I35" i="59"/>
  <c r="I34" i="59"/>
  <c r="I33" i="59"/>
  <c r="I32" i="59"/>
  <c r="I31" i="59"/>
  <c r="I30" i="59"/>
  <c r="I29" i="59"/>
  <c r="I28" i="59"/>
  <c r="I27" i="59"/>
  <c r="I26" i="59"/>
  <c r="I25" i="59"/>
  <c r="I24" i="59"/>
  <c r="I23" i="59"/>
  <c r="I22" i="59"/>
  <c r="I21" i="59"/>
  <c r="I20" i="59"/>
  <c r="I19" i="59"/>
  <c r="I18" i="59"/>
  <c r="I17" i="59"/>
  <c r="I16" i="59"/>
  <c r="I15" i="59"/>
  <c r="I14" i="59"/>
  <c r="I13" i="59"/>
  <c r="B10" i="59"/>
  <c r="B9" i="59"/>
  <c r="B8" i="59"/>
  <c r="C7" i="59"/>
  <c r="B7" i="59"/>
  <c r="B6" i="59"/>
  <c r="B5" i="59"/>
  <c r="B4" i="59"/>
  <c r="B3" i="59"/>
  <c r="B2" i="59"/>
  <c r="I41" i="58"/>
  <c r="I40" i="58"/>
  <c r="I39" i="58"/>
  <c r="I38" i="58"/>
  <c r="I37" i="58"/>
  <c r="I36" i="58"/>
  <c r="I35" i="58"/>
  <c r="I34" i="58"/>
  <c r="I33" i="58"/>
  <c r="I32" i="58"/>
  <c r="I31" i="58"/>
  <c r="I30" i="58"/>
  <c r="I29" i="58"/>
  <c r="I28" i="58"/>
  <c r="I27" i="58"/>
  <c r="I26" i="58"/>
  <c r="I25" i="58"/>
  <c r="I24" i="58"/>
  <c r="I23" i="58"/>
  <c r="I22" i="58"/>
  <c r="I21" i="58"/>
  <c r="I20" i="58"/>
  <c r="I19" i="58"/>
  <c r="I18" i="58"/>
  <c r="I17" i="58"/>
  <c r="I16" i="58"/>
  <c r="I15" i="58"/>
  <c r="I14" i="58"/>
  <c r="I13" i="58"/>
  <c r="B10" i="58"/>
  <c r="B9" i="58"/>
  <c r="B8" i="58"/>
  <c r="C7" i="58"/>
  <c r="B7" i="58"/>
  <c r="B6" i="58"/>
  <c r="B5" i="58"/>
  <c r="B4" i="58"/>
  <c r="B3" i="58"/>
  <c r="B2" i="58"/>
  <c r="K41" i="57"/>
  <c r="L41" i="57" s="1"/>
  <c r="K40" i="57"/>
  <c r="L40" i="57" s="1"/>
  <c r="K39" i="57"/>
  <c r="L39" i="57" s="1"/>
  <c r="K38" i="57"/>
  <c r="L38" i="57" s="1"/>
  <c r="K37" i="57"/>
  <c r="L37" i="57" s="1"/>
  <c r="K36" i="57"/>
  <c r="L36" i="57" s="1"/>
  <c r="K35" i="57"/>
  <c r="L35" i="57" s="1"/>
  <c r="K34" i="57"/>
  <c r="L34" i="57" s="1"/>
  <c r="K33" i="57"/>
  <c r="L33" i="57" s="1"/>
  <c r="K32" i="57"/>
  <c r="L32" i="57" s="1"/>
  <c r="K31" i="57"/>
  <c r="L31" i="57" s="1"/>
  <c r="K30" i="57"/>
  <c r="L30" i="57" s="1"/>
  <c r="K29" i="57"/>
  <c r="L29" i="57" s="1"/>
  <c r="K28" i="57"/>
  <c r="L28" i="57" s="1"/>
  <c r="K27" i="57"/>
  <c r="L27" i="57" s="1"/>
  <c r="K26" i="57"/>
  <c r="L26" i="57" s="1"/>
  <c r="K25" i="57"/>
  <c r="L25" i="57" s="1"/>
  <c r="K24" i="57"/>
  <c r="L24" i="57" s="1"/>
  <c r="K23" i="57"/>
  <c r="L23" i="57" s="1"/>
  <c r="K22" i="57"/>
  <c r="L22" i="57" s="1"/>
  <c r="K21" i="57"/>
  <c r="L21" i="57" s="1"/>
  <c r="K20" i="57"/>
  <c r="L20" i="57" s="1"/>
  <c r="K19" i="57"/>
  <c r="L19" i="57" s="1"/>
  <c r="K18" i="57"/>
  <c r="L18" i="57" s="1"/>
  <c r="K17" i="57"/>
  <c r="L17" i="57" s="1"/>
  <c r="K16" i="57"/>
  <c r="L16" i="57" s="1"/>
  <c r="K15" i="57"/>
  <c r="L15" i="57" s="1"/>
  <c r="K14" i="57"/>
  <c r="L14" i="57" s="1"/>
  <c r="K13" i="57"/>
  <c r="L13" i="57" s="1"/>
  <c r="B10" i="57"/>
  <c r="B9" i="57"/>
  <c r="B8" i="57"/>
  <c r="C7" i="57"/>
  <c r="B7" i="57"/>
  <c r="B6" i="57"/>
  <c r="B5" i="57"/>
  <c r="B4" i="57"/>
  <c r="B3" i="57"/>
  <c r="B2" i="57"/>
  <c r="I41" i="56"/>
  <c r="I40" i="56"/>
  <c r="I39" i="56"/>
  <c r="I38" i="56"/>
  <c r="I37" i="56"/>
  <c r="I36" i="56"/>
  <c r="I35" i="56"/>
  <c r="I34" i="56"/>
  <c r="I33" i="56"/>
  <c r="I32" i="56"/>
  <c r="I31" i="56"/>
  <c r="I30" i="56"/>
  <c r="I29" i="56"/>
  <c r="I28" i="56"/>
  <c r="I27" i="56"/>
  <c r="I26" i="56"/>
  <c r="I25" i="56"/>
  <c r="I24" i="56"/>
  <c r="I23" i="56"/>
  <c r="I22" i="56"/>
  <c r="I21" i="56"/>
  <c r="I20" i="56"/>
  <c r="I19" i="56"/>
  <c r="I18" i="56"/>
  <c r="I17" i="56"/>
  <c r="I16" i="56"/>
  <c r="I15" i="56"/>
  <c r="I14" i="56"/>
  <c r="I13" i="56"/>
  <c r="B10" i="56"/>
  <c r="B9" i="56"/>
  <c r="B8" i="56"/>
  <c r="C7" i="56"/>
  <c r="B7" i="56"/>
  <c r="B6" i="56"/>
  <c r="B5" i="56"/>
  <c r="B4" i="56"/>
  <c r="B3" i="56"/>
  <c r="B2" i="56"/>
  <c r="I41" i="55"/>
  <c r="I40" i="55"/>
  <c r="I39" i="55"/>
  <c r="I38" i="55"/>
  <c r="I37" i="55"/>
  <c r="I36" i="55"/>
  <c r="I35" i="55"/>
  <c r="I34" i="55"/>
  <c r="I33" i="55"/>
  <c r="I32" i="55"/>
  <c r="I31" i="55"/>
  <c r="I30" i="55"/>
  <c r="I29" i="55"/>
  <c r="I28" i="55"/>
  <c r="I27" i="55"/>
  <c r="I26" i="55"/>
  <c r="I25" i="55"/>
  <c r="I24" i="55"/>
  <c r="I23" i="55"/>
  <c r="I22" i="55"/>
  <c r="I21" i="55"/>
  <c r="I20" i="55"/>
  <c r="I19" i="55"/>
  <c r="I18" i="55"/>
  <c r="I17" i="55"/>
  <c r="I16" i="55"/>
  <c r="I15" i="55"/>
  <c r="I14" i="55"/>
  <c r="I13" i="55"/>
  <c r="B10" i="55"/>
  <c r="B9" i="55"/>
  <c r="B8" i="55"/>
  <c r="C7" i="55"/>
  <c r="B7" i="55"/>
  <c r="B6" i="55"/>
  <c r="B5" i="55"/>
  <c r="B4" i="55"/>
  <c r="B3" i="55"/>
  <c r="B2" i="55"/>
  <c r="I41" i="54"/>
  <c r="I40" i="54"/>
  <c r="I39" i="54"/>
  <c r="I38" i="54"/>
  <c r="I37" i="54"/>
  <c r="I36" i="54"/>
  <c r="I35" i="54"/>
  <c r="I34" i="54"/>
  <c r="I33" i="54"/>
  <c r="I32" i="54"/>
  <c r="I31" i="54"/>
  <c r="I30" i="54"/>
  <c r="I29" i="54"/>
  <c r="I28" i="54"/>
  <c r="I27" i="54"/>
  <c r="I26" i="54"/>
  <c r="I25" i="54"/>
  <c r="I24" i="54"/>
  <c r="I23" i="54"/>
  <c r="I22" i="54"/>
  <c r="I21" i="54"/>
  <c r="I20" i="54"/>
  <c r="I19" i="54"/>
  <c r="I18" i="54"/>
  <c r="I17" i="54"/>
  <c r="I16" i="54"/>
  <c r="I15" i="54"/>
  <c r="I14" i="54"/>
  <c r="I13" i="54"/>
  <c r="B10" i="54"/>
  <c r="B9" i="54"/>
  <c r="B8" i="54"/>
  <c r="C7" i="54"/>
  <c r="B7" i="54"/>
  <c r="B6" i="54"/>
  <c r="B5" i="54"/>
  <c r="B4" i="54"/>
  <c r="B3" i="54"/>
  <c r="B2" i="54"/>
  <c r="I41" i="53"/>
  <c r="I40" i="53"/>
  <c r="I39" i="53"/>
  <c r="I38" i="53"/>
  <c r="I37" i="53"/>
  <c r="I36" i="53"/>
  <c r="I35" i="53"/>
  <c r="I34" i="53"/>
  <c r="I33" i="53"/>
  <c r="I32" i="53"/>
  <c r="I31" i="53"/>
  <c r="I30" i="53"/>
  <c r="I29" i="53"/>
  <c r="I28" i="53"/>
  <c r="I27" i="53"/>
  <c r="I26" i="53"/>
  <c r="I25" i="53"/>
  <c r="I24" i="53"/>
  <c r="I23" i="53"/>
  <c r="I22" i="53"/>
  <c r="I21" i="53"/>
  <c r="I20" i="53"/>
  <c r="I19" i="53"/>
  <c r="I18" i="53"/>
  <c r="I17" i="53"/>
  <c r="I16" i="53"/>
  <c r="I15" i="53"/>
  <c r="I14" i="53"/>
  <c r="I13" i="53"/>
  <c r="B10" i="53"/>
  <c r="B9" i="53"/>
  <c r="B8" i="53"/>
  <c r="C7" i="53"/>
  <c r="B7" i="53"/>
  <c r="B6" i="53"/>
  <c r="B5" i="53"/>
  <c r="B4" i="53"/>
  <c r="B3" i="53"/>
  <c r="B2" i="53"/>
  <c r="I41" i="52"/>
  <c r="I40" i="52"/>
  <c r="I39" i="52"/>
  <c r="I38" i="52"/>
  <c r="I37" i="52"/>
  <c r="I36" i="52"/>
  <c r="I35" i="52"/>
  <c r="I34" i="52"/>
  <c r="I33" i="52"/>
  <c r="I32" i="52"/>
  <c r="I31" i="52"/>
  <c r="I30" i="52"/>
  <c r="I29" i="52"/>
  <c r="I28" i="52"/>
  <c r="I27" i="52"/>
  <c r="I26" i="52"/>
  <c r="I25" i="52"/>
  <c r="I24" i="52"/>
  <c r="I23" i="52"/>
  <c r="I22" i="52"/>
  <c r="I21" i="52"/>
  <c r="I20" i="52"/>
  <c r="I19" i="52"/>
  <c r="I18" i="52"/>
  <c r="I17" i="52"/>
  <c r="I16" i="52"/>
  <c r="I15" i="52"/>
  <c r="I14" i="52"/>
  <c r="I13" i="52"/>
  <c r="B10" i="52"/>
  <c r="B9" i="52"/>
  <c r="B8" i="52"/>
  <c r="C7" i="52"/>
  <c r="B7" i="52"/>
  <c r="B6" i="52"/>
  <c r="B5" i="52"/>
  <c r="B4" i="52"/>
  <c r="B3" i="52"/>
  <c r="B2" i="52"/>
  <c r="I41" i="51"/>
  <c r="I40" i="51"/>
  <c r="I39" i="51"/>
  <c r="I38" i="51"/>
  <c r="I37" i="51"/>
  <c r="I36" i="51"/>
  <c r="I35" i="51"/>
  <c r="I34" i="51"/>
  <c r="I33" i="51"/>
  <c r="I32" i="51"/>
  <c r="I31" i="51"/>
  <c r="I30" i="51"/>
  <c r="I29" i="51"/>
  <c r="I28" i="51"/>
  <c r="I27" i="51"/>
  <c r="I26" i="51"/>
  <c r="I25" i="51"/>
  <c r="I24" i="51"/>
  <c r="I23" i="51"/>
  <c r="I22" i="51"/>
  <c r="I21" i="51"/>
  <c r="I20" i="51"/>
  <c r="I19" i="51"/>
  <c r="I18" i="51"/>
  <c r="I17" i="51"/>
  <c r="I16" i="51"/>
  <c r="I15" i="51"/>
  <c r="I14" i="51"/>
  <c r="I13" i="51"/>
  <c r="B10" i="51"/>
  <c r="B9" i="51"/>
  <c r="B8" i="51"/>
  <c r="C7" i="51"/>
  <c r="B7" i="51"/>
  <c r="B6" i="51"/>
  <c r="B5" i="51"/>
  <c r="B4" i="51"/>
  <c r="B3" i="51"/>
  <c r="B2" i="51"/>
  <c r="I41" i="50"/>
  <c r="I40" i="50"/>
  <c r="I39" i="50"/>
  <c r="I38" i="50"/>
  <c r="I37" i="50"/>
  <c r="I36" i="50"/>
  <c r="I35" i="50"/>
  <c r="I34" i="50"/>
  <c r="I33" i="50"/>
  <c r="I32" i="50"/>
  <c r="I31" i="50"/>
  <c r="I30" i="50"/>
  <c r="I29" i="50"/>
  <c r="I28" i="50"/>
  <c r="I27" i="50"/>
  <c r="I26" i="50"/>
  <c r="I25" i="50"/>
  <c r="I24" i="50"/>
  <c r="I23" i="50"/>
  <c r="I22" i="50"/>
  <c r="I21" i="50"/>
  <c r="I20" i="50"/>
  <c r="I19" i="50"/>
  <c r="I18" i="50"/>
  <c r="I17" i="50"/>
  <c r="I16" i="50"/>
  <c r="I15" i="50"/>
  <c r="I14" i="50"/>
  <c r="I13" i="50"/>
  <c r="B10" i="50"/>
  <c r="B9" i="50"/>
  <c r="B8" i="50"/>
  <c r="C7" i="50"/>
  <c r="B7" i="50"/>
  <c r="B6" i="50"/>
  <c r="B5" i="50"/>
  <c r="B4" i="50"/>
  <c r="B3" i="50"/>
  <c r="B2" i="50"/>
  <c r="I41" i="49"/>
  <c r="I40" i="49"/>
  <c r="I39" i="49"/>
  <c r="I38" i="49"/>
  <c r="I37" i="49"/>
  <c r="I36" i="49"/>
  <c r="I35" i="49"/>
  <c r="I34" i="49"/>
  <c r="I33" i="49"/>
  <c r="I32" i="49"/>
  <c r="I31" i="49"/>
  <c r="I30" i="49"/>
  <c r="I29" i="49"/>
  <c r="I28" i="49"/>
  <c r="I27" i="49"/>
  <c r="I26" i="49"/>
  <c r="I25" i="49"/>
  <c r="I24" i="49"/>
  <c r="I23" i="49"/>
  <c r="I22" i="49"/>
  <c r="I21" i="49"/>
  <c r="I20" i="49"/>
  <c r="I19" i="49"/>
  <c r="I18" i="49"/>
  <c r="I17" i="49"/>
  <c r="I16" i="49"/>
  <c r="I15" i="49"/>
  <c r="I14" i="49"/>
  <c r="I13" i="49"/>
  <c r="B10" i="49"/>
  <c r="B9" i="49"/>
  <c r="B8" i="49"/>
  <c r="C7" i="49"/>
  <c r="B7" i="49"/>
  <c r="B6" i="49"/>
  <c r="B5" i="49"/>
  <c r="B4" i="49"/>
  <c r="B3" i="49"/>
  <c r="B2" i="49"/>
  <c r="I41" i="48"/>
  <c r="I40" i="48"/>
  <c r="I39" i="48"/>
  <c r="I38" i="48"/>
  <c r="I37" i="48"/>
  <c r="I36" i="48"/>
  <c r="I35" i="48"/>
  <c r="I34" i="48"/>
  <c r="I33" i="48"/>
  <c r="I32" i="48"/>
  <c r="I31" i="48"/>
  <c r="I30" i="48"/>
  <c r="I29" i="48"/>
  <c r="I28" i="48"/>
  <c r="I27" i="48"/>
  <c r="I26" i="48"/>
  <c r="I25" i="48"/>
  <c r="I24" i="48"/>
  <c r="I23" i="48"/>
  <c r="I22" i="48"/>
  <c r="I21" i="48"/>
  <c r="I20" i="48"/>
  <c r="I19" i="48"/>
  <c r="I18" i="48"/>
  <c r="I17" i="48"/>
  <c r="I16" i="48"/>
  <c r="I15" i="48"/>
  <c r="I14" i="48"/>
  <c r="I13" i="48"/>
  <c r="B10" i="48"/>
  <c r="B9" i="48"/>
  <c r="B8" i="48"/>
  <c r="C7" i="48"/>
  <c r="B7" i="48"/>
  <c r="B6" i="48"/>
  <c r="B5" i="48"/>
  <c r="B4" i="48"/>
  <c r="B3" i="48"/>
  <c r="B2" i="48"/>
  <c r="K41" i="47"/>
  <c r="K40" i="47"/>
  <c r="K39" i="47"/>
  <c r="K38" i="47"/>
  <c r="K37" i="47"/>
  <c r="K36" i="47"/>
  <c r="K35" i="47"/>
  <c r="K34" i="47"/>
  <c r="K33" i="47"/>
  <c r="K32" i="47"/>
  <c r="K31" i="47"/>
  <c r="K30" i="47"/>
  <c r="K29" i="47"/>
  <c r="K28" i="47"/>
  <c r="K27" i="47"/>
  <c r="K26" i="47"/>
  <c r="K25" i="47"/>
  <c r="K24" i="47"/>
  <c r="K23" i="47"/>
  <c r="K22" i="47"/>
  <c r="K21" i="47"/>
  <c r="K20" i="47"/>
  <c r="K19" i="47"/>
  <c r="K18" i="47"/>
  <c r="K17" i="47"/>
  <c r="K16" i="47"/>
  <c r="K15" i="47"/>
  <c r="K14" i="47"/>
  <c r="K13" i="47"/>
  <c r="B10" i="47"/>
  <c r="B9" i="47"/>
  <c r="B8" i="47"/>
  <c r="C7" i="47"/>
  <c r="B7" i="47"/>
  <c r="B6" i="47"/>
  <c r="B5" i="47"/>
  <c r="B4" i="47"/>
  <c r="B3" i="47"/>
  <c r="B2" i="47"/>
  <c r="K41" i="46"/>
  <c r="K40" i="46"/>
  <c r="K39" i="46"/>
  <c r="K38" i="46"/>
  <c r="K37" i="46"/>
  <c r="K36" i="46"/>
  <c r="K35" i="46"/>
  <c r="K34" i="46"/>
  <c r="K33" i="46"/>
  <c r="K32" i="46"/>
  <c r="K31" i="46"/>
  <c r="K30" i="46"/>
  <c r="K29" i="46"/>
  <c r="K28" i="46"/>
  <c r="K27" i="46"/>
  <c r="K26" i="46"/>
  <c r="K25" i="46"/>
  <c r="K24" i="46"/>
  <c r="K23" i="46"/>
  <c r="K22" i="46"/>
  <c r="K21" i="46"/>
  <c r="K20" i="46"/>
  <c r="K19" i="46"/>
  <c r="K18" i="46"/>
  <c r="K17" i="46"/>
  <c r="K16" i="46"/>
  <c r="K15" i="46"/>
  <c r="K14" i="46"/>
  <c r="K13" i="46"/>
  <c r="B10" i="46"/>
  <c r="B9" i="46"/>
  <c r="B8" i="46"/>
  <c r="C7" i="46"/>
  <c r="B7" i="46"/>
  <c r="B6" i="46"/>
  <c r="B5" i="46"/>
  <c r="B4" i="46"/>
  <c r="B3" i="46"/>
  <c r="B2" i="46"/>
  <c r="K41" i="45"/>
  <c r="K40" i="45"/>
  <c r="K39" i="45"/>
  <c r="K38" i="45"/>
  <c r="K37" i="45"/>
  <c r="K36" i="45"/>
  <c r="K35" i="45"/>
  <c r="K34" i="45"/>
  <c r="K33" i="45"/>
  <c r="K32" i="45"/>
  <c r="K31" i="45"/>
  <c r="K30" i="45"/>
  <c r="K29" i="45"/>
  <c r="K28" i="45"/>
  <c r="K27" i="45"/>
  <c r="K26" i="45"/>
  <c r="K25" i="45"/>
  <c r="K24" i="45"/>
  <c r="K23" i="45"/>
  <c r="K22" i="45"/>
  <c r="K21" i="45"/>
  <c r="K20" i="45"/>
  <c r="K19" i="45"/>
  <c r="K18" i="45"/>
  <c r="K17" i="45"/>
  <c r="K16" i="45"/>
  <c r="K15" i="45"/>
  <c r="K14" i="45"/>
  <c r="K13" i="45"/>
  <c r="B10" i="45"/>
  <c r="B9" i="45"/>
  <c r="B8" i="45"/>
  <c r="C7" i="45"/>
  <c r="B7" i="45"/>
  <c r="B6" i="45"/>
  <c r="B5" i="45"/>
  <c r="B4" i="45"/>
  <c r="B3" i="45"/>
  <c r="B2" i="45"/>
  <c r="J41" i="44"/>
  <c r="J40" i="44"/>
  <c r="J39" i="44"/>
  <c r="J38" i="44"/>
  <c r="J37" i="44"/>
  <c r="J36" i="44"/>
  <c r="J35" i="44"/>
  <c r="J34" i="44"/>
  <c r="J33" i="44"/>
  <c r="J32" i="44"/>
  <c r="J31" i="44"/>
  <c r="J30" i="44"/>
  <c r="J29" i="44"/>
  <c r="J28" i="44"/>
  <c r="J27" i="44"/>
  <c r="J26" i="44"/>
  <c r="J25" i="44"/>
  <c r="J24" i="44"/>
  <c r="J23" i="44"/>
  <c r="J22" i="44"/>
  <c r="J21" i="44"/>
  <c r="J20" i="44"/>
  <c r="J19" i="44"/>
  <c r="J18" i="44"/>
  <c r="J17" i="44"/>
  <c r="J16" i="44"/>
  <c r="J15" i="44"/>
  <c r="J14" i="44"/>
  <c r="J13" i="44"/>
  <c r="B10" i="44"/>
  <c r="B9" i="44"/>
  <c r="B8" i="44"/>
  <c r="C7" i="44"/>
  <c r="B7" i="44"/>
  <c r="B6" i="44"/>
  <c r="B5" i="44"/>
  <c r="B4" i="44"/>
  <c r="B3" i="44"/>
  <c r="B2" i="44"/>
  <c r="J41" i="43"/>
  <c r="J40" i="43"/>
  <c r="J39" i="43"/>
  <c r="J38" i="43"/>
  <c r="J37" i="43"/>
  <c r="J36" i="43"/>
  <c r="J35" i="43"/>
  <c r="J34" i="43"/>
  <c r="J33" i="43"/>
  <c r="J32" i="43"/>
  <c r="J31" i="43"/>
  <c r="J30" i="43"/>
  <c r="J29" i="43"/>
  <c r="J28" i="43"/>
  <c r="J27" i="43"/>
  <c r="J26" i="43"/>
  <c r="J25" i="43"/>
  <c r="J24" i="43"/>
  <c r="J23" i="43"/>
  <c r="J22" i="43"/>
  <c r="J21" i="43"/>
  <c r="J20" i="43"/>
  <c r="J19" i="43"/>
  <c r="J18" i="43"/>
  <c r="J17" i="43"/>
  <c r="J16" i="43"/>
  <c r="J15" i="43"/>
  <c r="J14" i="43"/>
  <c r="J13" i="43"/>
  <c r="B10" i="43"/>
  <c r="B9" i="43"/>
  <c r="B8" i="43"/>
  <c r="C7" i="43"/>
  <c r="B7" i="43"/>
  <c r="B6" i="43"/>
  <c r="B5" i="43"/>
  <c r="B4" i="43"/>
  <c r="B3" i="43"/>
  <c r="B2" i="43"/>
  <c r="J41" i="42"/>
  <c r="J40" i="42"/>
  <c r="J39" i="42"/>
  <c r="J38" i="42"/>
  <c r="J37" i="42"/>
  <c r="J36" i="42"/>
  <c r="J35" i="42"/>
  <c r="J34" i="42"/>
  <c r="J33" i="42"/>
  <c r="J32" i="42"/>
  <c r="J31" i="42"/>
  <c r="J30" i="42"/>
  <c r="J29" i="42"/>
  <c r="J28" i="42"/>
  <c r="J27" i="42"/>
  <c r="J26" i="42"/>
  <c r="J25" i="42"/>
  <c r="J24" i="42"/>
  <c r="J23" i="42"/>
  <c r="J22" i="42"/>
  <c r="J21" i="42"/>
  <c r="J20" i="42"/>
  <c r="J19" i="42"/>
  <c r="J18" i="42"/>
  <c r="J17" i="42"/>
  <c r="J16" i="42"/>
  <c r="J15" i="42"/>
  <c r="J14" i="42"/>
  <c r="J13" i="42"/>
  <c r="B10" i="42"/>
  <c r="B9" i="42"/>
  <c r="B8" i="42"/>
  <c r="C7" i="42"/>
  <c r="B7" i="42"/>
  <c r="B6" i="42"/>
  <c r="B5" i="42"/>
  <c r="B4" i="42"/>
  <c r="B3" i="42"/>
  <c r="B2" i="42"/>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B10" i="41"/>
  <c r="B9" i="41"/>
  <c r="B8" i="41"/>
  <c r="C7" i="41"/>
  <c r="B7" i="41"/>
  <c r="B6" i="41"/>
  <c r="B5" i="41"/>
  <c r="B4" i="41"/>
  <c r="B3" i="41"/>
  <c r="B2" i="41"/>
  <c r="J41" i="40"/>
  <c r="J40" i="40"/>
  <c r="J39" i="40"/>
  <c r="J38" i="40"/>
  <c r="J37" i="40"/>
  <c r="J36" i="40"/>
  <c r="J35" i="40"/>
  <c r="J34" i="40"/>
  <c r="J33" i="40"/>
  <c r="J32" i="40"/>
  <c r="J31" i="40"/>
  <c r="J30" i="40"/>
  <c r="J29" i="40"/>
  <c r="J28" i="40"/>
  <c r="J27" i="40"/>
  <c r="J26" i="40"/>
  <c r="J25" i="40"/>
  <c r="J24" i="40"/>
  <c r="J23" i="40"/>
  <c r="J22" i="40"/>
  <c r="J21" i="40"/>
  <c r="J20" i="40"/>
  <c r="J19" i="40"/>
  <c r="J18" i="40"/>
  <c r="J17" i="40"/>
  <c r="J16" i="40"/>
  <c r="J15" i="40"/>
  <c r="J14" i="40"/>
  <c r="J13" i="40"/>
  <c r="B10" i="40"/>
  <c r="B8" i="40"/>
  <c r="C7" i="40"/>
  <c r="B7" i="40"/>
  <c r="B6" i="40"/>
  <c r="B5" i="40"/>
  <c r="B4" i="40"/>
  <c r="B3" i="40"/>
  <c r="B2" i="40"/>
  <c r="J41" i="39"/>
  <c r="J40" i="39"/>
  <c r="J39" i="39"/>
  <c r="J38" i="39"/>
  <c r="J37" i="39"/>
  <c r="J36" i="39"/>
  <c r="J35" i="39"/>
  <c r="J34" i="39"/>
  <c r="J33" i="39"/>
  <c r="J32" i="39"/>
  <c r="J31" i="39"/>
  <c r="J30" i="39"/>
  <c r="J29" i="39"/>
  <c r="J28" i="39"/>
  <c r="J27" i="39"/>
  <c r="J26" i="39"/>
  <c r="J25" i="39"/>
  <c r="J24" i="39"/>
  <c r="J23" i="39"/>
  <c r="J22" i="39"/>
  <c r="J21" i="39"/>
  <c r="J20" i="39"/>
  <c r="J19" i="39"/>
  <c r="J18" i="39"/>
  <c r="J17" i="39"/>
  <c r="J16" i="39"/>
  <c r="J15" i="39"/>
  <c r="J14" i="39"/>
  <c r="J13" i="39"/>
  <c r="B10" i="39"/>
  <c r="B9" i="39"/>
  <c r="B8" i="39"/>
  <c r="C7" i="39"/>
  <c r="B7" i="39"/>
  <c r="B6" i="39"/>
  <c r="B5" i="39"/>
  <c r="B4" i="39"/>
  <c r="B3" i="39"/>
  <c r="B2" i="39"/>
  <c r="J41" i="38"/>
  <c r="J40" i="38"/>
  <c r="J39" i="38"/>
  <c r="J38" i="38"/>
  <c r="J37" i="38"/>
  <c r="J36" i="38"/>
  <c r="J35" i="38"/>
  <c r="J34" i="38"/>
  <c r="J33" i="38"/>
  <c r="J32" i="38"/>
  <c r="J31" i="38"/>
  <c r="J30" i="38"/>
  <c r="J29" i="38"/>
  <c r="J28" i="38"/>
  <c r="J27" i="38"/>
  <c r="J26" i="38"/>
  <c r="J25" i="38"/>
  <c r="J24" i="38"/>
  <c r="J23" i="38"/>
  <c r="J22" i="38"/>
  <c r="J21" i="38"/>
  <c r="J20" i="38"/>
  <c r="J19" i="38"/>
  <c r="J18" i="38"/>
  <c r="J17" i="38"/>
  <c r="J16" i="38"/>
  <c r="J15" i="38"/>
  <c r="J14" i="38"/>
  <c r="J13" i="38"/>
  <c r="B10" i="38"/>
  <c r="B9" i="38"/>
  <c r="B8" i="38"/>
  <c r="C7" i="38"/>
  <c r="B7" i="38"/>
  <c r="B6" i="38"/>
  <c r="B5" i="38"/>
  <c r="B4" i="38"/>
  <c r="B3" i="38"/>
  <c r="B2" i="38"/>
  <c r="J41" i="37"/>
  <c r="J40" i="37"/>
  <c r="J39" i="37"/>
  <c r="J38" i="37"/>
  <c r="J37" i="37"/>
  <c r="J36" i="37"/>
  <c r="J35" i="37"/>
  <c r="J34" i="37"/>
  <c r="J33" i="37"/>
  <c r="J32" i="37"/>
  <c r="J31" i="37"/>
  <c r="J30" i="37"/>
  <c r="J29" i="37"/>
  <c r="J28" i="37"/>
  <c r="J27" i="37"/>
  <c r="J26" i="37"/>
  <c r="J25" i="37"/>
  <c r="J24" i="37"/>
  <c r="J23" i="37"/>
  <c r="J22" i="37"/>
  <c r="J21" i="37"/>
  <c r="J20" i="37"/>
  <c r="J19" i="37"/>
  <c r="J18" i="37"/>
  <c r="J17" i="37"/>
  <c r="J16" i="37"/>
  <c r="J15" i="37"/>
  <c r="J14" i="37"/>
  <c r="J13" i="37"/>
  <c r="B10" i="37"/>
  <c r="B9" i="37"/>
  <c r="B8" i="37"/>
  <c r="C7" i="37"/>
  <c r="B7" i="37"/>
  <c r="B6" i="37"/>
  <c r="B5" i="37"/>
  <c r="B4" i="37"/>
  <c r="B3" i="37"/>
  <c r="B2" i="37"/>
  <c r="I41" i="36"/>
  <c r="I40" i="36"/>
  <c r="I39" i="36"/>
  <c r="I38" i="36"/>
  <c r="I37" i="36"/>
  <c r="I36" i="36"/>
  <c r="I35" i="36"/>
  <c r="I34" i="36"/>
  <c r="I33" i="36"/>
  <c r="I32" i="36"/>
  <c r="I31" i="36"/>
  <c r="I30" i="36"/>
  <c r="I29" i="36"/>
  <c r="I28" i="36"/>
  <c r="I27" i="36"/>
  <c r="I26" i="36"/>
  <c r="I25" i="36"/>
  <c r="I24" i="36"/>
  <c r="I23" i="36"/>
  <c r="I22" i="36"/>
  <c r="I21" i="36"/>
  <c r="I20" i="36"/>
  <c r="I19" i="36"/>
  <c r="I18" i="36"/>
  <c r="I17" i="36"/>
  <c r="I16" i="36"/>
  <c r="I15" i="36"/>
  <c r="I14" i="36"/>
  <c r="I13" i="36"/>
  <c r="B10" i="36"/>
  <c r="B9" i="36"/>
  <c r="B8" i="36"/>
  <c r="C7" i="36"/>
  <c r="B7" i="36"/>
  <c r="B6" i="36"/>
  <c r="B5" i="36"/>
  <c r="B4" i="36"/>
  <c r="B3" i="36"/>
  <c r="B2" i="36"/>
  <c r="I41" i="35"/>
  <c r="I40" i="35"/>
  <c r="I39" i="35"/>
  <c r="I38" i="35"/>
  <c r="I37" i="35"/>
  <c r="I36" i="35"/>
  <c r="I35" i="35"/>
  <c r="I34" i="35"/>
  <c r="I33" i="35"/>
  <c r="I32" i="35"/>
  <c r="I31" i="35"/>
  <c r="I30" i="35"/>
  <c r="I29" i="35"/>
  <c r="I28" i="35"/>
  <c r="I27" i="35"/>
  <c r="I26" i="35"/>
  <c r="I25" i="35"/>
  <c r="I24" i="35"/>
  <c r="I23" i="35"/>
  <c r="I22" i="35"/>
  <c r="I21" i="35"/>
  <c r="I20" i="35"/>
  <c r="I19" i="35"/>
  <c r="I18" i="35"/>
  <c r="I17" i="35"/>
  <c r="I16" i="35"/>
  <c r="I15" i="35"/>
  <c r="I14" i="35"/>
  <c r="I13" i="35"/>
  <c r="B10" i="35"/>
  <c r="B9" i="35"/>
  <c r="B8" i="35"/>
  <c r="C7" i="35"/>
  <c r="B7" i="35"/>
  <c r="B6" i="35"/>
  <c r="B5" i="35"/>
  <c r="B4" i="35"/>
  <c r="B3" i="35"/>
  <c r="B2" i="35"/>
  <c r="I41" i="34"/>
  <c r="I40" i="34"/>
  <c r="I39" i="34"/>
  <c r="I38" i="34"/>
  <c r="I37" i="34"/>
  <c r="I36" i="34"/>
  <c r="I35" i="34"/>
  <c r="I34" i="34"/>
  <c r="I33" i="34"/>
  <c r="I32" i="34"/>
  <c r="I31" i="34"/>
  <c r="I30" i="34"/>
  <c r="I29" i="34"/>
  <c r="I28" i="34"/>
  <c r="I27" i="34"/>
  <c r="I26" i="34"/>
  <c r="I25" i="34"/>
  <c r="I24" i="34"/>
  <c r="I23" i="34"/>
  <c r="I22" i="34"/>
  <c r="I21" i="34"/>
  <c r="I20" i="34"/>
  <c r="I19" i="34"/>
  <c r="I18" i="34"/>
  <c r="I17" i="34"/>
  <c r="I16" i="34"/>
  <c r="I15" i="34"/>
  <c r="I14" i="34"/>
  <c r="I13" i="34"/>
  <c r="B10" i="34"/>
  <c r="B9" i="34"/>
  <c r="B8" i="34"/>
  <c r="C7" i="34"/>
  <c r="B7" i="34"/>
  <c r="B6" i="34"/>
  <c r="B5" i="34"/>
  <c r="B4" i="34"/>
  <c r="B3" i="34"/>
  <c r="B2" i="34"/>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B10" i="33"/>
  <c r="B9" i="33"/>
  <c r="B8" i="33"/>
  <c r="C7" i="33"/>
  <c r="B7" i="33"/>
  <c r="B6" i="33"/>
  <c r="B5" i="33"/>
  <c r="B4" i="33"/>
  <c r="B3" i="33"/>
  <c r="B2" i="33"/>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B10" i="32"/>
  <c r="B9" i="32"/>
  <c r="B8" i="32"/>
  <c r="C7" i="32"/>
  <c r="B7" i="32"/>
  <c r="B6" i="32"/>
  <c r="B5" i="32"/>
  <c r="B4" i="32"/>
  <c r="B3" i="32"/>
  <c r="B2" i="32"/>
  <c r="I41" i="31"/>
  <c r="I40" i="31"/>
  <c r="I39" i="31"/>
  <c r="I38" i="31"/>
  <c r="I37" i="31"/>
  <c r="I36" i="31"/>
  <c r="I35" i="31"/>
  <c r="I34" i="31"/>
  <c r="I33" i="31"/>
  <c r="I32" i="31"/>
  <c r="I31" i="31"/>
  <c r="I30" i="31"/>
  <c r="I29" i="31"/>
  <c r="I28" i="31"/>
  <c r="I27" i="31"/>
  <c r="I26" i="31"/>
  <c r="I25" i="31"/>
  <c r="I24" i="31"/>
  <c r="I23" i="31"/>
  <c r="I22" i="31"/>
  <c r="I21" i="31"/>
  <c r="I20" i="31"/>
  <c r="I19" i="31"/>
  <c r="I18" i="31"/>
  <c r="I17" i="31"/>
  <c r="I16" i="31"/>
  <c r="I15" i="31"/>
  <c r="I14" i="31"/>
  <c r="I13" i="31"/>
  <c r="B10" i="31"/>
  <c r="B9" i="31"/>
  <c r="B8" i="31"/>
  <c r="C7" i="31"/>
  <c r="B7" i="31"/>
  <c r="B6" i="31"/>
  <c r="B5" i="31"/>
  <c r="B4" i="31"/>
  <c r="B3" i="31"/>
  <c r="B2" i="31"/>
  <c r="I41" i="30"/>
  <c r="I40" i="30"/>
  <c r="I39" i="30"/>
  <c r="I38" i="30"/>
  <c r="I37" i="30"/>
  <c r="I36" i="30"/>
  <c r="I35" i="30"/>
  <c r="I34" i="30"/>
  <c r="I33" i="30"/>
  <c r="I32" i="30"/>
  <c r="I31" i="30"/>
  <c r="I30" i="30"/>
  <c r="I29" i="30"/>
  <c r="I28" i="30"/>
  <c r="I27" i="30"/>
  <c r="I26" i="30"/>
  <c r="I25" i="30"/>
  <c r="I24" i="30"/>
  <c r="I23" i="30"/>
  <c r="I22" i="30"/>
  <c r="I21" i="30"/>
  <c r="I20" i="30"/>
  <c r="I19" i="30"/>
  <c r="I18" i="30"/>
  <c r="I17" i="30"/>
  <c r="I16" i="30"/>
  <c r="I15" i="30"/>
  <c r="I14" i="30"/>
  <c r="I13" i="30"/>
  <c r="B10" i="30"/>
  <c r="B9" i="30"/>
  <c r="B8" i="30"/>
  <c r="C7" i="30"/>
  <c r="B7" i="30"/>
  <c r="B6" i="30"/>
  <c r="B5" i="30"/>
  <c r="B4" i="30"/>
  <c r="B3" i="30"/>
  <c r="B2" i="30"/>
  <c r="K41" i="29"/>
  <c r="K40" i="29"/>
  <c r="K39" i="29"/>
  <c r="K38" i="29"/>
  <c r="K37" i="29"/>
  <c r="K36" i="29"/>
  <c r="K35" i="29"/>
  <c r="K34" i="29"/>
  <c r="K33" i="29"/>
  <c r="K32" i="29"/>
  <c r="K31" i="29"/>
  <c r="K30" i="29"/>
  <c r="K29" i="29"/>
  <c r="K28" i="29"/>
  <c r="K27" i="29"/>
  <c r="K26" i="29"/>
  <c r="K25" i="29"/>
  <c r="K24" i="29"/>
  <c r="K23" i="29"/>
  <c r="K22" i="29"/>
  <c r="K21" i="29"/>
  <c r="K20" i="29"/>
  <c r="K19" i="29"/>
  <c r="K18" i="29"/>
  <c r="K17" i="29"/>
  <c r="K16" i="29"/>
  <c r="K15" i="29"/>
  <c r="K14" i="29"/>
  <c r="K13" i="29"/>
  <c r="B10" i="29"/>
  <c r="B9" i="29"/>
  <c r="B8" i="29"/>
  <c r="C7" i="29"/>
  <c r="B7" i="29"/>
  <c r="B6" i="29"/>
  <c r="B5" i="29"/>
  <c r="B4" i="29"/>
  <c r="B3" i="29"/>
  <c r="B2" i="29"/>
  <c r="I41" i="28"/>
  <c r="I40" i="28"/>
  <c r="I39" i="28"/>
  <c r="I38" i="28"/>
  <c r="I37" i="28"/>
  <c r="I36" i="28"/>
  <c r="I35" i="28"/>
  <c r="I34" i="28"/>
  <c r="I33" i="28"/>
  <c r="I32" i="28"/>
  <c r="I31" i="28"/>
  <c r="I30" i="28"/>
  <c r="I29" i="28"/>
  <c r="I28" i="28"/>
  <c r="I27" i="28"/>
  <c r="I26" i="28"/>
  <c r="I25" i="28"/>
  <c r="I24" i="28"/>
  <c r="I23" i="28"/>
  <c r="I22" i="28"/>
  <c r="I21" i="28"/>
  <c r="I20" i="28"/>
  <c r="I19" i="28"/>
  <c r="I18" i="28"/>
  <c r="I17" i="28"/>
  <c r="I16" i="28"/>
  <c r="I15" i="28"/>
  <c r="I14" i="28"/>
  <c r="I13" i="28"/>
  <c r="B10" i="28"/>
  <c r="B9" i="28"/>
  <c r="B8" i="28"/>
  <c r="C7" i="28"/>
  <c r="B7" i="28"/>
  <c r="B6" i="28"/>
  <c r="B5" i="28"/>
  <c r="B4" i="28"/>
  <c r="B3" i="28"/>
  <c r="B2" i="28"/>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B10" i="27"/>
  <c r="B9" i="27"/>
  <c r="B8" i="27"/>
  <c r="C7" i="27"/>
  <c r="B7" i="27"/>
  <c r="B6" i="27"/>
  <c r="B5" i="27"/>
  <c r="B4" i="27"/>
  <c r="B3" i="27"/>
  <c r="B2" i="27"/>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I15" i="26"/>
  <c r="I14" i="26"/>
  <c r="I13" i="26"/>
  <c r="B10" i="26"/>
  <c r="B9" i="26"/>
  <c r="B8" i="26"/>
  <c r="C7" i="26"/>
  <c r="B7" i="26"/>
  <c r="B6" i="26"/>
  <c r="B5" i="26"/>
  <c r="B4" i="26"/>
  <c r="B3" i="26"/>
  <c r="B2" i="26"/>
  <c r="I41" i="25"/>
  <c r="I40" i="25"/>
  <c r="I39" i="25"/>
  <c r="I38" i="25"/>
  <c r="I37" i="25"/>
  <c r="I36" i="25"/>
  <c r="I35" i="25"/>
  <c r="I34" i="25"/>
  <c r="I33" i="25"/>
  <c r="I32" i="25"/>
  <c r="I31" i="25"/>
  <c r="I30" i="25"/>
  <c r="I29" i="25"/>
  <c r="I28" i="25"/>
  <c r="I27" i="25"/>
  <c r="I26" i="25"/>
  <c r="I25" i="25"/>
  <c r="I24" i="25"/>
  <c r="I23" i="25"/>
  <c r="I22" i="25"/>
  <c r="I21" i="25"/>
  <c r="I20" i="25"/>
  <c r="I19" i="25"/>
  <c r="I18" i="25"/>
  <c r="I17" i="25"/>
  <c r="I16" i="25"/>
  <c r="I15" i="25"/>
  <c r="I14" i="25"/>
  <c r="I13" i="25"/>
  <c r="B10" i="25"/>
  <c r="B9" i="25"/>
  <c r="B8" i="25"/>
  <c r="C7" i="25"/>
  <c r="B7" i="25"/>
  <c r="B6" i="25"/>
  <c r="B5" i="25"/>
  <c r="B4" i="25"/>
  <c r="B3" i="25"/>
  <c r="B2" i="25"/>
  <c r="K41" i="24"/>
  <c r="K40" i="24"/>
  <c r="K39" i="24"/>
  <c r="K38" i="24"/>
  <c r="K37" i="24"/>
  <c r="K36" i="24"/>
  <c r="K35" i="24"/>
  <c r="K34" i="24"/>
  <c r="K33" i="24"/>
  <c r="K32" i="24"/>
  <c r="K31" i="24"/>
  <c r="K30" i="24"/>
  <c r="K29" i="24"/>
  <c r="K28" i="24"/>
  <c r="K27" i="24"/>
  <c r="K26" i="24"/>
  <c r="K25" i="24"/>
  <c r="K24" i="24"/>
  <c r="K23" i="24"/>
  <c r="K22" i="24"/>
  <c r="K21" i="24"/>
  <c r="K20" i="24"/>
  <c r="K19" i="24"/>
  <c r="K18" i="24"/>
  <c r="K17" i="24"/>
  <c r="K16" i="24"/>
  <c r="K15" i="24"/>
  <c r="K14" i="24"/>
  <c r="K13" i="24"/>
  <c r="B10" i="24"/>
  <c r="B9" i="24"/>
  <c r="B8" i="24"/>
  <c r="C7" i="24"/>
  <c r="B7" i="24"/>
  <c r="B6" i="24"/>
  <c r="B5" i="24"/>
  <c r="B4" i="24"/>
  <c r="B3" i="24"/>
  <c r="B2" i="24"/>
  <c r="L41" i="23"/>
  <c r="L40" i="23"/>
  <c r="L39" i="23"/>
  <c r="L38" i="23"/>
  <c r="L37" i="23"/>
  <c r="L36" i="23"/>
  <c r="L35" i="23"/>
  <c r="L34" i="23"/>
  <c r="L33" i="23"/>
  <c r="L32" i="23"/>
  <c r="L31" i="23"/>
  <c r="L30" i="23"/>
  <c r="L29" i="23"/>
  <c r="L28" i="23"/>
  <c r="L27" i="23"/>
  <c r="L26" i="23"/>
  <c r="L25" i="23"/>
  <c r="L24" i="23"/>
  <c r="L23" i="23"/>
  <c r="L22" i="23"/>
  <c r="L21" i="23"/>
  <c r="L20" i="23"/>
  <c r="L19" i="23"/>
  <c r="L18" i="23"/>
  <c r="L17" i="23"/>
  <c r="L16" i="23"/>
  <c r="L15" i="23"/>
  <c r="L14" i="23"/>
  <c r="L13" i="23"/>
  <c r="B10" i="23"/>
  <c r="B9" i="23"/>
  <c r="B8" i="23"/>
  <c r="C7" i="23"/>
  <c r="B7" i="23"/>
  <c r="B6" i="23"/>
  <c r="B5" i="23"/>
  <c r="B4" i="23"/>
  <c r="B3" i="23"/>
  <c r="B2" i="23"/>
  <c r="I41" i="22"/>
  <c r="I40" i="22"/>
  <c r="I39" i="22"/>
  <c r="I38" i="22"/>
  <c r="I37" i="22"/>
  <c r="I36" i="22"/>
  <c r="I35" i="22"/>
  <c r="I34" i="22"/>
  <c r="I33" i="22"/>
  <c r="I32" i="22"/>
  <c r="I31" i="22"/>
  <c r="I30" i="22"/>
  <c r="I29" i="22"/>
  <c r="I28" i="22"/>
  <c r="I27" i="22"/>
  <c r="I26" i="22"/>
  <c r="I25" i="22"/>
  <c r="I24" i="22"/>
  <c r="I23" i="22"/>
  <c r="I22" i="22"/>
  <c r="I21" i="22"/>
  <c r="I20" i="22"/>
  <c r="I19" i="22"/>
  <c r="I18" i="22"/>
  <c r="I17" i="22"/>
  <c r="I16" i="22"/>
  <c r="I15" i="22"/>
  <c r="I14" i="22"/>
  <c r="I13" i="22"/>
  <c r="B10" i="22"/>
  <c r="B9" i="22"/>
  <c r="B8" i="22"/>
  <c r="C7" i="22"/>
  <c r="B7" i="22"/>
  <c r="B6" i="22"/>
  <c r="B5" i="22"/>
  <c r="B4" i="22"/>
  <c r="B3" i="22"/>
  <c r="B2" i="22"/>
  <c r="J41" i="21"/>
  <c r="J40" i="21"/>
  <c r="J39"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13" i="21"/>
  <c r="B10" i="21"/>
  <c r="B9" i="21"/>
  <c r="B8" i="21"/>
  <c r="C7" i="21"/>
  <c r="B7" i="21"/>
  <c r="B6" i="21"/>
  <c r="B5" i="21"/>
  <c r="B4" i="21"/>
  <c r="B3" i="21"/>
  <c r="B2" i="21"/>
  <c r="J41" i="20"/>
  <c r="J40" i="20"/>
  <c r="J39" i="20"/>
  <c r="J38" i="20"/>
  <c r="J37" i="20"/>
  <c r="J36" i="20"/>
  <c r="J35" i="20"/>
  <c r="J34" i="20"/>
  <c r="J33" i="20"/>
  <c r="J32" i="20"/>
  <c r="J31" i="20"/>
  <c r="J30" i="20"/>
  <c r="J29" i="20"/>
  <c r="J28" i="20"/>
  <c r="J27" i="20"/>
  <c r="J26" i="20"/>
  <c r="J25" i="20"/>
  <c r="J24" i="20"/>
  <c r="J23" i="20"/>
  <c r="J22" i="20"/>
  <c r="J21" i="20"/>
  <c r="J20" i="20"/>
  <c r="J19" i="20"/>
  <c r="J18" i="20"/>
  <c r="J17" i="20"/>
  <c r="J16" i="20"/>
  <c r="J15" i="20"/>
  <c r="J14" i="20"/>
  <c r="J13" i="20"/>
  <c r="B10" i="20"/>
  <c r="B9" i="20"/>
  <c r="B8" i="20"/>
  <c r="C7" i="20"/>
  <c r="B7" i="20"/>
  <c r="B6" i="20"/>
  <c r="B5" i="20"/>
  <c r="B4" i="20"/>
  <c r="B3" i="20"/>
  <c r="B2" i="20"/>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B10" i="19"/>
  <c r="B9" i="19"/>
  <c r="B8" i="19"/>
  <c r="C7" i="19"/>
  <c r="B7" i="19"/>
  <c r="B6" i="19"/>
  <c r="B5" i="19"/>
  <c r="B4" i="19"/>
  <c r="B3" i="19"/>
  <c r="B2" i="19"/>
  <c r="I41" i="18"/>
  <c r="I40" i="18"/>
  <c r="I39" i="18"/>
  <c r="I38" i="18"/>
  <c r="I37" i="18"/>
  <c r="I36" i="18"/>
  <c r="I35" i="18"/>
  <c r="I34" i="18"/>
  <c r="I33" i="18"/>
  <c r="I32" i="18"/>
  <c r="I31" i="18"/>
  <c r="I30" i="18"/>
  <c r="I29" i="18"/>
  <c r="I28" i="18"/>
  <c r="I27" i="18"/>
  <c r="I26" i="18"/>
  <c r="I25" i="18"/>
  <c r="I24" i="18"/>
  <c r="I23" i="18"/>
  <c r="I22" i="18"/>
  <c r="I21" i="18"/>
  <c r="I20" i="18"/>
  <c r="I19" i="18"/>
  <c r="I18" i="18"/>
  <c r="I17" i="18"/>
  <c r="I16" i="18"/>
  <c r="I15" i="18"/>
  <c r="I14" i="18"/>
  <c r="I13" i="18"/>
  <c r="B10" i="18"/>
  <c r="B9" i="18"/>
  <c r="B8" i="18"/>
  <c r="C7" i="18"/>
  <c r="B7" i="18"/>
  <c r="B6" i="18"/>
  <c r="B5" i="18"/>
  <c r="B4" i="18"/>
  <c r="B3" i="18"/>
  <c r="B2" i="18"/>
  <c r="I41" i="17"/>
  <c r="I40" i="17"/>
  <c r="I39" i="17"/>
  <c r="I38" i="17"/>
  <c r="I37" i="17"/>
  <c r="I36" i="17"/>
  <c r="I35" i="17"/>
  <c r="I34" i="17"/>
  <c r="I33" i="17"/>
  <c r="I32" i="17"/>
  <c r="I31" i="17"/>
  <c r="I30" i="17"/>
  <c r="I29" i="17"/>
  <c r="I28" i="17"/>
  <c r="I27" i="17"/>
  <c r="I26" i="17"/>
  <c r="I25" i="17"/>
  <c r="I24" i="17"/>
  <c r="I23" i="17"/>
  <c r="I22" i="17"/>
  <c r="I21" i="17"/>
  <c r="I20" i="17"/>
  <c r="I19" i="17"/>
  <c r="I18" i="17"/>
  <c r="I17" i="17"/>
  <c r="I16" i="17"/>
  <c r="I15" i="17"/>
  <c r="I14" i="17"/>
  <c r="I13" i="17"/>
  <c r="B10" i="17"/>
  <c r="B9" i="17"/>
  <c r="B8" i="17"/>
  <c r="C7" i="17"/>
  <c r="B7" i="17"/>
  <c r="B6" i="17"/>
  <c r="B5" i="17"/>
  <c r="B4" i="17"/>
  <c r="B3" i="17"/>
  <c r="B2" i="17"/>
  <c r="J41" i="16"/>
  <c r="J40" i="16"/>
  <c r="J39" i="16"/>
  <c r="J38" i="16"/>
  <c r="J37" i="16"/>
  <c r="J36" i="16"/>
  <c r="J35" i="16"/>
  <c r="J34" i="16"/>
  <c r="J33" i="16"/>
  <c r="J32" i="16"/>
  <c r="J31" i="16"/>
  <c r="J30" i="16"/>
  <c r="J29" i="16"/>
  <c r="J28" i="16"/>
  <c r="J27" i="16"/>
  <c r="J26" i="16"/>
  <c r="J25" i="16"/>
  <c r="J24" i="16"/>
  <c r="J23" i="16"/>
  <c r="J22" i="16"/>
  <c r="J21" i="16"/>
  <c r="J20" i="16"/>
  <c r="J19" i="16"/>
  <c r="J18" i="16"/>
  <c r="J17" i="16"/>
  <c r="J16" i="16"/>
  <c r="J15" i="16"/>
  <c r="J14" i="16"/>
  <c r="J13" i="16"/>
  <c r="B10" i="16"/>
  <c r="B9" i="16"/>
  <c r="B8" i="16"/>
  <c r="C7" i="16"/>
  <c r="B7" i="16"/>
  <c r="B6" i="16"/>
  <c r="B5" i="16"/>
  <c r="B4" i="16"/>
  <c r="B3" i="16"/>
  <c r="B2" i="16"/>
  <c r="K41" i="15"/>
  <c r="K40" i="15"/>
  <c r="K39" i="15"/>
  <c r="K38" i="15"/>
  <c r="K37" i="15"/>
  <c r="K36" i="15"/>
  <c r="K35" i="15"/>
  <c r="K34" i="15"/>
  <c r="K33" i="15"/>
  <c r="K32" i="15"/>
  <c r="K31" i="15"/>
  <c r="K30" i="15"/>
  <c r="K29" i="15"/>
  <c r="K28" i="15"/>
  <c r="K27" i="15"/>
  <c r="K26" i="15"/>
  <c r="K25" i="15"/>
  <c r="K24" i="15"/>
  <c r="K23" i="15"/>
  <c r="K22" i="15"/>
  <c r="K21" i="15"/>
  <c r="K20" i="15"/>
  <c r="K19" i="15"/>
  <c r="K18" i="15"/>
  <c r="K17" i="15"/>
  <c r="K16" i="15"/>
  <c r="K15" i="15"/>
  <c r="K14" i="15"/>
  <c r="K13" i="15"/>
  <c r="B10" i="15"/>
  <c r="B9" i="15"/>
  <c r="B8" i="15"/>
  <c r="C7" i="15"/>
  <c r="B7" i="15"/>
  <c r="B6" i="15"/>
  <c r="B5" i="15"/>
  <c r="B4" i="15"/>
  <c r="B3" i="15"/>
  <c r="B2" i="15"/>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B10" i="14"/>
  <c r="B9" i="14"/>
  <c r="B8" i="14"/>
  <c r="C7" i="14"/>
  <c r="B7" i="14"/>
  <c r="B6" i="14"/>
  <c r="B5" i="14"/>
  <c r="B4" i="14"/>
  <c r="B3" i="14"/>
  <c r="B2" i="14"/>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B10" i="13"/>
  <c r="B9" i="13"/>
  <c r="B8" i="13"/>
  <c r="C7" i="13"/>
  <c r="B7" i="13"/>
  <c r="B6" i="13"/>
  <c r="B5" i="13"/>
  <c r="B4" i="13"/>
  <c r="B3" i="13"/>
  <c r="B2" i="13"/>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B10" i="12"/>
  <c r="B9" i="12"/>
  <c r="B8" i="12"/>
  <c r="C7" i="12"/>
  <c r="B7" i="12"/>
  <c r="B6" i="12"/>
  <c r="B5" i="12"/>
  <c r="B4" i="12"/>
  <c r="B3" i="12"/>
  <c r="B2" i="12"/>
  <c r="I41" i="11"/>
  <c r="I40" i="11"/>
  <c r="I39" i="11"/>
  <c r="I38" i="11"/>
  <c r="I37" i="11"/>
  <c r="I36" i="11"/>
  <c r="I35" i="11"/>
  <c r="I34" i="11"/>
  <c r="I33" i="11"/>
  <c r="I32" i="11"/>
  <c r="I31" i="11"/>
  <c r="I30" i="11"/>
  <c r="I29" i="11"/>
  <c r="I28" i="11"/>
  <c r="I27" i="11"/>
  <c r="I26" i="11"/>
  <c r="I25" i="11"/>
  <c r="I24" i="11"/>
  <c r="I23" i="11"/>
  <c r="I22" i="11"/>
  <c r="I21" i="11"/>
  <c r="I20" i="11"/>
  <c r="I19" i="11"/>
  <c r="I18" i="11"/>
  <c r="I17" i="11"/>
  <c r="I16" i="11"/>
  <c r="I15" i="11"/>
  <c r="I14" i="11"/>
  <c r="I13" i="11"/>
  <c r="B10" i="11"/>
  <c r="B9" i="11"/>
  <c r="B8" i="11"/>
  <c r="C7" i="11"/>
  <c r="B7" i="11"/>
  <c r="B6" i="11"/>
  <c r="B5" i="11"/>
  <c r="B4" i="11"/>
  <c r="B3" i="11"/>
  <c r="B2" i="11"/>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B10" i="10"/>
  <c r="B9" i="10"/>
  <c r="B8" i="10"/>
  <c r="C7" i="10"/>
  <c r="B7" i="10"/>
  <c r="B6" i="10"/>
  <c r="B5" i="10"/>
  <c r="B4" i="10"/>
  <c r="B3" i="10"/>
  <c r="B2" i="10"/>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B10" i="9"/>
  <c r="B9" i="9"/>
  <c r="B8" i="9"/>
  <c r="C7" i="9"/>
  <c r="B7" i="9"/>
  <c r="B6" i="9"/>
  <c r="B5" i="9"/>
  <c r="B4" i="9"/>
  <c r="B3" i="9"/>
  <c r="B2" i="9"/>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B10" i="8"/>
  <c r="B9" i="8"/>
  <c r="B8" i="8"/>
  <c r="C7" i="8"/>
  <c r="B7" i="8"/>
  <c r="B6" i="8"/>
  <c r="B5" i="8"/>
  <c r="B4" i="8"/>
  <c r="B3" i="8"/>
  <c r="B2" i="8"/>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B10" i="7"/>
  <c r="B9" i="7"/>
  <c r="B8" i="7"/>
  <c r="C7" i="7"/>
  <c r="B7" i="7"/>
  <c r="B6" i="7"/>
  <c r="B5" i="7"/>
  <c r="B4" i="7"/>
  <c r="B3" i="7"/>
  <c r="B2" i="7"/>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B10" i="6"/>
  <c r="B9" i="6"/>
  <c r="B8" i="6"/>
  <c r="C7" i="6"/>
  <c r="B7" i="6"/>
  <c r="B6" i="6"/>
  <c r="B5" i="6"/>
  <c r="B4" i="6"/>
  <c r="B3" i="6"/>
  <c r="B2" i="6"/>
  <c r="H107" i="2"/>
  <c r="G107" i="2"/>
  <c r="F107" i="2"/>
  <c r="E107" i="2"/>
  <c r="D107" i="2"/>
  <c r="C107" i="2"/>
  <c r="B107" i="2"/>
  <c r="H106" i="2"/>
  <c r="G106" i="2"/>
  <c r="F106" i="2"/>
  <c r="E106" i="2"/>
  <c r="D106" i="2"/>
  <c r="C106" i="2"/>
  <c r="B106" i="2"/>
  <c r="H105" i="2"/>
  <c r="G105" i="2"/>
  <c r="F105" i="2"/>
  <c r="E105" i="2"/>
  <c r="D105" i="2"/>
  <c r="C105" i="2"/>
  <c r="B105" i="2"/>
  <c r="H104" i="2"/>
  <c r="G104" i="2"/>
  <c r="F104" i="2"/>
  <c r="E104" i="2"/>
  <c r="D104" i="2"/>
  <c r="C104" i="2"/>
  <c r="B104" i="2"/>
  <c r="H103" i="2"/>
  <c r="G103" i="2"/>
  <c r="F103" i="2"/>
  <c r="E103" i="2"/>
  <c r="D103" i="2"/>
  <c r="C103" i="2"/>
  <c r="B103" i="2"/>
  <c r="H102" i="2"/>
  <c r="G102" i="2"/>
  <c r="F102" i="2"/>
  <c r="E102" i="2"/>
  <c r="D102" i="2"/>
  <c r="C102" i="2"/>
  <c r="B102" i="2"/>
  <c r="H101" i="2"/>
  <c r="G101" i="2"/>
  <c r="F101" i="2"/>
  <c r="E101" i="2"/>
  <c r="D101" i="2"/>
  <c r="C101" i="2"/>
  <c r="B101" i="2"/>
  <c r="H100" i="2"/>
  <c r="G100" i="2"/>
  <c r="F100" i="2"/>
  <c r="E100" i="2"/>
  <c r="D100" i="2"/>
  <c r="C100" i="2"/>
  <c r="B100" i="2"/>
  <c r="H99" i="2"/>
  <c r="G99" i="2"/>
  <c r="F99" i="2"/>
  <c r="E99" i="2"/>
  <c r="D99" i="2"/>
  <c r="C99" i="2"/>
  <c r="B99" i="2"/>
  <c r="H98" i="2"/>
  <c r="G98" i="2"/>
  <c r="F98" i="2"/>
  <c r="E98" i="2"/>
  <c r="D98" i="2"/>
  <c r="C98" i="2"/>
  <c r="B98" i="2"/>
  <c r="H97" i="2"/>
  <c r="G97" i="2"/>
  <c r="F97" i="2"/>
  <c r="E97" i="2"/>
  <c r="D97" i="2"/>
  <c r="C97" i="2"/>
  <c r="B97" i="2"/>
  <c r="H96" i="2"/>
  <c r="G96" i="2"/>
  <c r="F96" i="2"/>
  <c r="E96" i="2"/>
  <c r="D96" i="2"/>
  <c r="C96" i="2"/>
  <c r="B96" i="2"/>
  <c r="H95" i="2"/>
  <c r="G95" i="2"/>
  <c r="F95" i="2"/>
  <c r="E95" i="2"/>
  <c r="D95" i="2"/>
  <c r="C95" i="2"/>
  <c r="B95" i="2"/>
  <c r="H94" i="2"/>
  <c r="G94" i="2"/>
  <c r="F94" i="2"/>
  <c r="E94" i="2"/>
  <c r="D94" i="2"/>
  <c r="C94" i="2"/>
  <c r="B94" i="2"/>
  <c r="H93" i="2"/>
  <c r="G93" i="2"/>
  <c r="F93" i="2"/>
  <c r="E93" i="2"/>
  <c r="D93" i="2"/>
  <c r="C93" i="2"/>
  <c r="B93" i="2"/>
  <c r="H92" i="2"/>
  <c r="G92" i="2"/>
  <c r="F92" i="2"/>
  <c r="E92" i="2"/>
  <c r="D92" i="2"/>
  <c r="C92" i="2"/>
  <c r="B92" i="2"/>
  <c r="H91" i="2"/>
  <c r="G91" i="2"/>
  <c r="F91" i="2"/>
  <c r="E91" i="2"/>
  <c r="D91" i="2"/>
  <c r="C91" i="2"/>
  <c r="B91" i="2"/>
  <c r="H90" i="2"/>
  <c r="G90" i="2"/>
  <c r="F90" i="2"/>
  <c r="E90" i="2"/>
  <c r="D90" i="2"/>
  <c r="C90" i="2"/>
  <c r="B90" i="2"/>
  <c r="H89" i="2"/>
  <c r="G89" i="2"/>
  <c r="F89" i="2"/>
  <c r="E89" i="2"/>
  <c r="D89" i="2"/>
  <c r="C89" i="2"/>
  <c r="B89" i="2"/>
  <c r="H88" i="2"/>
  <c r="G88" i="2"/>
  <c r="F88" i="2"/>
  <c r="E88" i="2"/>
  <c r="D88" i="2"/>
  <c r="C88" i="2"/>
  <c r="B88" i="2"/>
  <c r="H87" i="2"/>
  <c r="G87" i="2"/>
  <c r="F87" i="2"/>
  <c r="E87" i="2"/>
  <c r="D87" i="2"/>
  <c r="C87" i="2"/>
  <c r="B87" i="2"/>
  <c r="H86" i="2"/>
  <c r="G86" i="2"/>
  <c r="F86" i="2"/>
  <c r="E86" i="2"/>
  <c r="D86" i="2"/>
  <c r="C86" i="2"/>
  <c r="B86" i="2"/>
  <c r="H85" i="2"/>
  <c r="G85" i="2"/>
  <c r="F85" i="2"/>
  <c r="E85" i="2"/>
  <c r="D85" i="2"/>
  <c r="C85" i="2"/>
  <c r="B85" i="2"/>
  <c r="H84" i="2"/>
  <c r="G84" i="2"/>
  <c r="F84" i="2"/>
  <c r="E84" i="2"/>
  <c r="D84" i="2"/>
  <c r="C84" i="2"/>
  <c r="B84" i="2"/>
  <c r="H83" i="2"/>
  <c r="G83" i="2"/>
  <c r="F83" i="2"/>
  <c r="E83" i="2"/>
  <c r="D83" i="2"/>
  <c r="C83" i="2"/>
  <c r="B83" i="2"/>
  <c r="H82" i="2"/>
  <c r="G82" i="2"/>
  <c r="F82" i="2"/>
  <c r="E82" i="2"/>
  <c r="D82" i="2"/>
  <c r="C82" i="2"/>
  <c r="B82" i="2"/>
  <c r="H81" i="2"/>
  <c r="G81" i="2"/>
  <c r="F81" i="2"/>
  <c r="E81" i="2"/>
  <c r="D81" i="2"/>
  <c r="C81" i="2"/>
  <c r="B81" i="2"/>
  <c r="H80" i="2"/>
  <c r="G80" i="2"/>
  <c r="F80" i="2"/>
  <c r="E80" i="2"/>
  <c r="D80" i="2"/>
  <c r="C80" i="2"/>
  <c r="B80" i="2"/>
  <c r="H79" i="2"/>
  <c r="G79" i="2"/>
  <c r="F79" i="2"/>
  <c r="E79" i="2"/>
  <c r="D79" i="2"/>
  <c r="C79" i="2"/>
  <c r="B79" i="2"/>
  <c r="H78" i="2"/>
  <c r="G78" i="2"/>
  <c r="F78" i="2"/>
  <c r="E78" i="2"/>
  <c r="D78" i="2"/>
  <c r="C78" i="2"/>
  <c r="B78" i="2"/>
  <c r="H77" i="2"/>
  <c r="G77" i="2"/>
  <c r="F77" i="2"/>
  <c r="E77" i="2"/>
  <c r="D77" i="2"/>
  <c r="C77" i="2"/>
  <c r="B77" i="2"/>
  <c r="H76" i="2"/>
  <c r="G76" i="2"/>
  <c r="F76" i="2"/>
  <c r="E76" i="2"/>
  <c r="D76" i="2"/>
  <c r="C76" i="2"/>
  <c r="B76" i="2"/>
  <c r="H75" i="2"/>
  <c r="G75" i="2"/>
  <c r="F75" i="2"/>
  <c r="E75" i="2"/>
  <c r="D75" i="2"/>
  <c r="C75" i="2"/>
  <c r="B75" i="2"/>
  <c r="H74" i="2"/>
  <c r="G74" i="2"/>
  <c r="F74" i="2"/>
  <c r="E74" i="2"/>
  <c r="D74" i="2"/>
  <c r="C74" i="2"/>
  <c r="B74" i="2"/>
  <c r="H73" i="2"/>
  <c r="G73" i="2"/>
  <c r="F73" i="2"/>
  <c r="E73" i="2"/>
  <c r="D73" i="2"/>
  <c r="C73" i="2"/>
  <c r="B73" i="2"/>
  <c r="H72" i="2"/>
  <c r="G72" i="2"/>
  <c r="F72" i="2"/>
  <c r="E72" i="2"/>
  <c r="D72" i="2"/>
  <c r="C72" i="2"/>
  <c r="B72" i="2"/>
  <c r="H71" i="2"/>
  <c r="G71" i="2"/>
  <c r="F71" i="2"/>
  <c r="E71" i="2"/>
  <c r="D71" i="2"/>
  <c r="C71" i="2"/>
  <c r="B71" i="2"/>
  <c r="H70" i="2"/>
  <c r="G70" i="2"/>
  <c r="F70" i="2"/>
  <c r="E70" i="2"/>
  <c r="D70" i="2"/>
  <c r="C70" i="2"/>
  <c r="B70" i="2"/>
  <c r="H69" i="2"/>
  <c r="G69" i="2"/>
  <c r="F69" i="2"/>
  <c r="E69" i="2"/>
  <c r="D69" i="2"/>
  <c r="C69" i="2"/>
  <c r="B69" i="2"/>
  <c r="H68" i="2"/>
  <c r="G68" i="2"/>
  <c r="F68" i="2"/>
  <c r="E68" i="2"/>
  <c r="D68" i="2"/>
  <c r="C68" i="2"/>
  <c r="B68" i="2"/>
  <c r="H67" i="2"/>
  <c r="G67" i="2"/>
  <c r="F67" i="2"/>
  <c r="E67" i="2"/>
  <c r="D67" i="2"/>
  <c r="C67" i="2"/>
  <c r="B67" i="2"/>
  <c r="H66" i="2"/>
  <c r="G66" i="2"/>
  <c r="F66" i="2"/>
  <c r="E66" i="2"/>
  <c r="D66" i="2"/>
  <c r="C66" i="2"/>
  <c r="B66" i="2"/>
  <c r="H65" i="2"/>
  <c r="G65" i="2"/>
  <c r="F65" i="2"/>
  <c r="E65" i="2"/>
  <c r="D65" i="2"/>
  <c r="C65" i="2"/>
  <c r="B65" i="2"/>
  <c r="H64" i="2"/>
  <c r="G64" i="2"/>
  <c r="F64" i="2"/>
  <c r="E64" i="2"/>
  <c r="D64" i="2"/>
  <c r="C64" i="2"/>
  <c r="B64"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H60" i="2"/>
  <c r="G60" i="2"/>
  <c r="F60" i="2"/>
  <c r="E60" i="2"/>
  <c r="D60" i="2"/>
  <c r="C60" i="2"/>
  <c r="B60"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H56" i="2"/>
  <c r="G56" i="2"/>
  <c r="F56" i="2"/>
  <c r="E56" i="2"/>
  <c r="D56" i="2"/>
  <c r="C56" i="2"/>
  <c r="B56"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H52" i="2"/>
  <c r="G52" i="2"/>
  <c r="F52" i="2"/>
  <c r="E52" i="2"/>
  <c r="D52" i="2"/>
  <c r="C52" i="2"/>
  <c r="B52" i="2"/>
  <c r="H51" i="2"/>
  <c r="G51" i="2"/>
  <c r="F51" i="2"/>
  <c r="E51" i="2"/>
  <c r="D51" i="2"/>
  <c r="C51" i="2"/>
  <c r="B51" i="2"/>
  <c r="H50" i="2"/>
  <c r="G50" i="2"/>
  <c r="F50" i="2"/>
  <c r="E50" i="2"/>
  <c r="D50" i="2"/>
  <c r="C50" i="2"/>
  <c r="B50" i="2"/>
  <c r="H49" i="2"/>
  <c r="G49" i="2"/>
  <c r="F49" i="2"/>
  <c r="E49" i="2"/>
  <c r="D49" i="2"/>
  <c r="C49" i="2"/>
  <c r="B49" i="2"/>
  <c r="H48" i="2"/>
  <c r="G48" i="2"/>
  <c r="F48" i="2"/>
  <c r="E48" i="2"/>
  <c r="D48" i="2"/>
  <c r="C48" i="2"/>
  <c r="B48" i="2"/>
  <c r="H47" i="2"/>
  <c r="G47" i="2"/>
  <c r="F47" i="2"/>
  <c r="E47" i="2"/>
  <c r="D47" i="2"/>
  <c r="C47" i="2"/>
  <c r="B47" i="2"/>
  <c r="H46" i="2"/>
  <c r="G46" i="2"/>
  <c r="F46" i="2"/>
  <c r="E46" i="2"/>
  <c r="D46" i="2"/>
  <c r="C46" i="2"/>
  <c r="B46" i="2"/>
  <c r="H45" i="2"/>
  <c r="G45" i="2"/>
  <c r="F45" i="2"/>
  <c r="E45" i="2"/>
  <c r="D45" i="2"/>
  <c r="C45" i="2"/>
  <c r="B45" i="2"/>
  <c r="H44" i="2"/>
  <c r="G44" i="2"/>
  <c r="F44" i="2"/>
  <c r="E44" i="2"/>
  <c r="D44" i="2"/>
  <c r="C44" i="2"/>
  <c r="B44" i="2"/>
  <c r="H43" i="2"/>
  <c r="G43" i="2"/>
  <c r="F43" i="2"/>
  <c r="E43" i="2"/>
  <c r="D43" i="2"/>
  <c r="C43" i="2"/>
  <c r="B43" i="2"/>
  <c r="H42" i="2"/>
  <c r="G42" i="2"/>
  <c r="F42" i="2"/>
  <c r="E42" i="2"/>
  <c r="D42" i="2"/>
  <c r="C42" i="2"/>
  <c r="B42" i="2"/>
  <c r="H41" i="2"/>
  <c r="G41" i="2"/>
  <c r="F41" i="2"/>
  <c r="E41" i="2"/>
  <c r="D41" i="2"/>
  <c r="C41" i="2"/>
  <c r="B41" i="2"/>
  <c r="H40" i="2"/>
  <c r="G40" i="2"/>
  <c r="F40" i="2"/>
  <c r="E40" i="2"/>
  <c r="D40" i="2"/>
  <c r="C40" i="2"/>
  <c r="B40" i="2"/>
  <c r="H39" i="2"/>
  <c r="G39" i="2"/>
  <c r="F39" i="2"/>
  <c r="E39" i="2"/>
  <c r="D39" i="2"/>
  <c r="C39" i="2"/>
  <c r="B39" i="2"/>
  <c r="H38" i="2"/>
  <c r="G38" i="2"/>
  <c r="F38" i="2"/>
  <c r="E38" i="2"/>
  <c r="D38" i="2"/>
  <c r="C38" i="2"/>
  <c r="B38" i="2"/>
  <c r="H37" i="2"/>
  <c r="G37" i="2"/>
  <c r="F37" i="2"/>
  <c r="E37" i="2"/>
  <c r="D37" i="2"/>
  <c r="C37" i="2"/>
  <c r="B37" i="2"/>
  <c r="H36" i="2"/>
  <c r="G36" i="2"/>
  <c r="F36" i="2"/>
  <c r="E36" i="2"/>
  <c r="D36" i="2"/>
  <c r="C36" i="2"/>
  <c r="B36" i="2"/>
  <c r="H35" i="2"/>
  <c r="G35" i="2"/>
  <c r="F35" i="2"/>
  <c r="E35" i="2"/>
  <c r="D35" i="2"/>
  <c r="C35" i="2"/>
  <c r="B35" i="2"/>
  <c r="H34" i="2"/>
  <c r="G34" i="2"/>
  <c r="F34" i="2"/>
  <c r="E34" i="2"/>
  <c r="D34" i="2"/>
  <c r="C34" i="2"/>
  <c r="B34" i="2"/>
  <c r="H33" i="2"/>
  <c r="G33" i="2"/>
  <c r="F33" i="2"/>
  <c r="E33" i="2"/>
  <c r="D33" i="2"/>
  <c r="C33" i="2"/>
  <c r="B33" i="2"/>
  <c r="H32" i="2"/>
  <c r="G32" i="2"/>
  <c r="F32" i="2"/>
  <c r="E32" i="2"/>
  <c r="D32" i="2"/>
  <c r="C32" i="2"/>
  <c r="B32" i="2"/>
  <c r="H31" i="2"/>
  <c r="G31" i="2"/>
  <c r="F31" i="2"/>
  <c r="E31" i="2"/>
  <c r="D31" i="2"/>
  <c r="C31" i="2"/>
  <c r="B31" i="2"/>
  <c r="H30" i="2"/>
  <c r="G30" i="2"/>
  <c r="F30" i="2"/>
  <c r="E30" i="2"/>
  <c r="D30" i="2"/>
  <c r="C30" i="2"/>
  <c r="B30" i="2"/>
  <c r="H29" i="2"/>
  <c r="G29" i="2"/>
  <c r="F29" i="2"/>
  <c r="E29" i="2"/>
  <c r="D29" i="2"/>
  <c r="C29" i="2"/>
  <c r="B29" i="2"/>
  <c r="H28" i="2"/>
  <c r="G28" i="2"/>
  <c r="F28" i="2"/>
  <c r="E28" i="2"/>
  <c r="D28" i="2"/>
  <c r="C28" i="2"/>
  <c r="B28" i="2"/>
  <c r="H27" i="2"/>
  <c r="G27" i="2"/>
  <c r="F27" i="2"/>
  <c r="E27" i="2"/>
  <c r="D27" i="2"/>
  <c r="C27" i="2"/>
  <c r="B27" i="2"/>
  <c r="H26" i="2"/>
  <c r="G26" i="2"/>
  <c r="F26" i="2"/>
  <c r="E26" i="2"/>
  <c r="D26" i="2"/>
  <c r="C26" i="2"/>
  <c r="B26" i="2"/>
  <c r="H25" i="2"/>
  <c r="G25" i="2"/>
  <c r="F25" i="2"/>
  <c r="E25" i="2"/>
  <c r="D25" i="2"/>
  <c r="C25" i="2"/>
  <c r="B25" i="2"/>
  <c r="H24" i="2"/>
  <c r="G24" i="2"/>
  <c r="F24" i="2"/>
  <c r="E24" i="2"/>
  <c r="D24" i="2"/>
  <c r="C24" i="2"/>
  <c r="B24" i="2"/>
  <c r="H23" i="2"/>
  <c r="G23" i="2"/>
  <c r="F23" i="2"/>
  <c r="E23" i="2"/>
  <c r="D23" i="2"/>
  <c r="C23" i="2"/>
  <c r="B23" i="2"/>
  <c r="H22" i="2"/>
  <c r="G22" i="2"/>
  <c r="F22" i="2"/>
  <c r="E22" i="2"/>
  <c r="D22" i="2"/>
  <c r="C22" i="2"/>
  <c r="B22" i="2"/>
  <c r="H21" i="2"/>
  <c r="G21" i="2"/>
  <c r="F21" i="2"/>
  <c r="E21" i="2"/>
  <c r="D21" i="2"/>
  <c r="C21" i="2"/>
  <c r="B21" i="2"/>
  <c r="H20" i="2"/>
  <c r="G20" i="2"/>
  <c r="F20" i="2"/>
  <c r="E20" i="2"/>
  <c r="D20" i="2"/>
  <c r="C20" i="2"/>
  <c r="B20" i="2"/>
  <c r="H19" i="2"/>
  <c r="G19" i="2"/>
  <c r="F19" i="2"/>
  <c r="E19" i="2"/>
  <c r="D19" i="2"/>
  <c r="C19" i="2"/>
  <c r="B19" i="2"/>
  <c r="H18" i="2"/>
  <c r="G18" i="2"/>
  <c r="F18" i="2"/>
  <c r="E18" i="2"/>
  <c r="D18" i="2"/>
  <c r="C18" i="2"/>
  <c r="B18" i="2"/>
  <c r="H17" i="2"/>
  <c r="G17" i="2"/>
  <c r="F17" i="2"/>
  <c r="E17" i="2"/>
  <c r="D17" i="2"/>
  <c r="C17" i="2"/>
  <c r="B17" i="2"/>
  <c r="H16" i="2"/>
  <c r="G16" i="2"/>
  <c r="F16" i="2"/>
  <c r="E16" i="2"/>
  <c r="D16" i="2"/>
  <c r="C16" i="2"/>
  <c r="B16" i="2"/>
  <c r="H15" i="2"/>
  <c r="G15" i="2"/>
  <c r="F15" i="2"/>
  <c r="E15" i="2"/>
  <c r="D15" i="2"/>
  <c r="C15" i="2"/>
  <c r="B15" i="2"/>
  <c r="H14" i="2"/>
  <c r="G14" i="2"/>
  <c r="F14" i="2"/>
  <c r="E14" i="2"/>
  <c r="D14" i="2"/>
  <c r="C14" i="2"/>
  <c r="B14" i="2"/>
  <c r="H13" i="2"/>
  <c r="G13" i="2"/>
  <c r="F13" i="2"/>
  <c r="E13" i="2"/>
  <c r="D13" i="2"/>
  <c r="C13" i="2"/>
  <c r="B13" i="2"/>
  <c r="H12" i="2"/>
  <c r="G12" i="2"/>
  <c r="F12" i="2"/>
  <c r="E12" i="2"/>
  <c r="D12" i="2"/>
  <c r="C12" i="2"/>
  <c r="B12" i="2"/>
  <c r="H11" i="2"/>
  <c r="G11" i="2"/>
  <c r="F11" i="2"/>
  <c r="E11" i="2"/>
  <c r="D11" i="2"/>
  <c r="C11" i="2"/>
  <c r="B11" i="2"/>
  <c r="H10" i="2"/>
  <c r="G10" i="2"/>
  <c r="F10" i="2"/>
  <c r="E10" i="2"/>
  <c r="D10" i="2"/>
  <c r="C10" i="2"/>
  <c r="B10" i="2"/>
  <c r="H9" i="2"/>
  <c r="G9" i="2"/>
  <c r="F9" i="2"/>
  <c r="E9" i="2"/>
  <c r="D9" i="2"/>
  <c r="C9" i="2"/>
  <c r="B9" i="2"/>
  <c r="H8" i="2"/>
  <c r="G8" i="2"/>
  <c r="F8" i="2"/>
  <c r="E8" i="2"/>
  <c r="D8" i="2"/>
  <c r="C8" i="2"/>
  <c r="B8" i="2"/>
  <c r="H7" i="2"/>
  <c r="G7" i="2"/>
  <c r="F7" i="2"/>
  <c r="E7" i="2"/>
  <c r="D7" i="2"/>
  <c r="C7" i="2"/>
  <c r="B7" i="2"/>
  <c r="H6" i="2"/>
  <c r="G6" i="2"/>
  <c r="F6" i="2"/>
  <c r="E6" i="2"/>
  <c r="D6" i="2"/>
  <c r="C6" i="2"/>
  <c r="B6" i="2"/>
  <c r="H5" i="2"/>
  <c r="G5" i="2"/>
  <c r="F5" i="2"/>
  <c r="E5" i="2"/>
  <c r="D5" i="2"/>
  <c r="C5" i="2"/>
  <c r="B5" i="2"/>
  <c r="AB4" i="2"/>
  <c r="H4" i="2"/>
  <c r="G4" i="2"/>
  <c r="F4" i="2"/>
  <c r="E4" i="2"/>
  <c r="D4" i="2"/>
  <c r="C4" i="2"/>
  <c r="B4" i="2"/>
  <c r="H3" i="2"/>
  <c r="G3" i="2"/>
  <c r="F3" i="2"/>
  <c r="E3" i="2"/>
  <c r="D3" i="2"/>
  <c r="C3" i="2"/>
  <c r="B3" i="2"/>
  <c r="I12" i="76" l="1"/>
  <c r="H12" i="76"/>
  <c r="I12" i="75"/>
  <c r="H12" i="75"/>
  <c r="L12" i="64"/>
  <c r="K12" i="64"/>
  <c r="J12" i="64"/>
  <c r="I12" i="64"/>
  <c r="H12" i="64"/>
  <c r="L12" i="63"/>
  <c r="K12" i="63"/>
  <c r="J12" i="63"/>
  <c r="I12" i="63"/>
  <c r="H12" i="63"/>
  <c r="H12" i="47"/>
  <c r="J12" i="47"/>
  <c r="I12" i="47"/>
  <c r="H12" i="46"/>
  <c r="I12" i="46"/>
  <c r="J12" i="46"/>
  <c r="J12" i="45"/>
  <c r="I12" i="45"/>
  <c r="H12" i="45"/>
  <c r="I12" i="44"/>
  <c r="H12" i="44"/>
  <c r="I12" i="43"/>
  <c r="H12" i="43"/>
  <c r="I12" i="42"/>
  <c r="H12" i="42"/>
  <c r="H12" i="41"/>
  <c r="I12" i="41"/>
  <c r="I12" i="40"/>
  <c r="H12" i="40"/>
  <c r="I12" i="39"/>
  <c r="H12" i="39"/>
  <c r="H12" i="38"/>
  <c r="I12" i="38"/>
  <c r="H12" i="37"/>
  <c r="I12" i="37"/>
  <c r="H12" i="29"/>
  <c r="J12" i="29"/>
  <c r="I12" i="29"/>
  <c r="I12" i="24"/>
  <c r="J12" i="24"/>
  <c r="H12" i="24"/>
  <c r="H12" i="23"/>
  <c r="I12" i="23"/>
  <c r="J12" i="23"/>
  <c r="K12" i="23"/>
  <c r="I12" i="21"/>
  <c r="H12" i="21"/>
  <c r="I12" i="20"/>
  <c r="H12" i="20"/>
  <c r="I12" i="16"/>
  <c r="H12" i="16"/>
  <c r="J12" i="15"/>
  <c r="I12" i="15"/>
  <c r="H12" i="15"/>
  <c r="I12" i="6"/>
  <c r="H12" i="6"/>
  <c r="AA107" i="2"/>
  <c r="Z107" i="2"/>
  <c r="Y107" i="2"/>
  <c r="X107" i="2"/>
  <c r="W107" i="2"/>
  <c r="V107" i="2"/>
  <c r="U107" i="2"/>
  <c r="T107" i="2"/>
  <c r="S107" i="2"/>
  <c r="R107" i="2"/>
  <c r="Q107" i="2"/>
  <c r="P107" i="2"/>
  <c r="O107" i="2"/>
  <c r="N107" i="2"/>
  <c r="M107" i="2"/>
  <c r="L107" i="2"/>
  <c r="K107" i="2"/>
  <c r="J107" i="2"/>
  <c r="I107" i="2"/>
  <c r="AK107" i="2"/>
  <c r="AJ107" i="2"/>
  <c r="AI107" i="2"/>
  <c r="AH107" i="2"/>
  <c r="AG107" i="2"/>
  <c r="AF107" i="2"/>
  <c r="AE107" i="2"/>
  <c r="AD107" i="2"/>
  <c r="AC107" i="2"/>
  <c r="AB107" i="2"/>
  <c r="T106" i="2"/>
  <c r="AA106" i="2"/>
  <c r="Z106" i="2"/>
  <c r="Y106" i="2"/>
  <c r="X106" i="2"/>
  <c r="W106" i="2"/>
  <c r="V106" i="2"/>
  <c r="U106" i="2"/>
  <c r="I106" i="2"/>
  <c r="S106" i="2"/>
  <c r="AJ106" i="2"/>
  <c r="R106" i="2"/>
  <c r="Q106" i="2"/>
  <c r="P106" i="2"/>
  <c r="O106" i="2"/>
  <c r="N106" i="2"/>
  <c r="M106" i="2"/>
  <c r="L106" i="2"/>
  <c r="K106" i="2"/>
  <c r="AK106" i="2"/>
  <c r="J106" i="2"/>
  <c r="AI106" i="2"/>
  <c r="AH106" i="2"/>
  <c r="AG106" i="2"/>
  <c r="AF106" i="2"/>
  <c r="AE106" i="2"/>
  <c r="AD106" i="2"/>
  <c r="AC106" i="2"/>
  <c r="AB106" i="2"/>
  <c r="AC105" i="2"/>
  <c r="AC104" i="2" s="1"/>
  <c r="AB105" i="2"/>
  <c r="AB104" i="2" s="1"/>
  <c r="AA105" i="2"/>
  <c r="AA104" i="2" s="1"/>
  <c r="Z105" i="2"/>
  <c r="Z104" i="2" s="1"/>
  <c r="Y105" i="2"/>
  <c r="Y104" i="2" s="1"/>
  <c r="J105" i="2"/>
  <c r="J104" i="2" s="1"/>
  <c r="X105" i="2"/>
  <c r="X104" i="2" s="1"/>
  <c r="W105" i="2"/>
  <c r="W104" i="2" s="1"/>
  <c r="I105" i="2"/>
  <c r="I104" i="2" s="1"/>
  <c r="U105" i="2"/>
  <c r="U104" i="2" s="1"/>
  <c r="T105" i="2"/>
  <c r="T104" i="2" s="1"/>
  <c r="S105" i="2"/>
  <c r="S104" i="2" s="1"/>
  <c r="R105" i="2"/>
  <c r="R104" i="2" s="1"/>
  <c r="Q105" i="2"/>
  <c r="Q104" i="2" s="1"/>
  <c r="P105" i="2"/>
  <c r="P104" i="2" s="1"/>
  <c r="O105" i="2"/>
  <c r="O104" i="2" s="1"/>
  <c r="M105" i="2"/>
  <c r="M104" i="2" s="1"/>
  <c r="V105" i="2"/>
  <c r="V104" i="2" s="1"/>
  <c r="N105" i="2"/>
  <c r="N104" i="2" s="1"/>
  <c r="AK105" i="2"/>
  <c r="AK104" i="2" s="1"/>
  <c r="AJ105" i="2"/>
  <c r="AJ104" i="2" s="1"/>
  <c r="AI105" i="2"/>
  <c r="AI104" i="2" s="1"/>
  <c r="AH105" i="2"/>
  <c r="AH104" i="2" s="1"/>
  <c r="AG105" i="2"/>
  <c r="AG104" i="2" s="1"/>
  <c r="AF105" i="2"/>
  <c r="AF104" i="2" s="1"/>
  <c r="AE105" i="2"/>
  <c r="AE104" i="2" s="1"/>
  <c r="AD105" i="2"/>
  <c r="AD104" i="2" s="1"/>
  <c r="L105" i="2"/>
  <c r="L104" i="2" s="1"/>
  <c r="K105" i="2"/>
  <c r="K104" i="2" s="1"/>
  <c r="I103" i="2"/>
  <c r="L103" i="2"/>
  <c r="AK103" i="2"/>
  <c r="AJ103" i="2"/>
  <c r="AI103" i="2"/>
  <c r="AH103" i="2"/>
  <c r="AG103" i="2"/>
  <c r="AF103" i="2"/>
  <c r="AE103" i="2"/>
  <c r="AD103" i="2"/>
  <c r="AC103" i="2"/>
  <c r="AB103" i="2"/>
  <c r="AA103" i="2"/>
  <c r="Z103" i="2"/>
  <c r="Y103" i="2"/>
  <c r="X103" i="2"/>
  <c r="W103" i="2"/>
  <c r="V103" i="2"/>
  <c r="U103" i="2"/>
  <c r="T103" i="2"/>
  <c r="S103" i="2"/>
  <c r="Q103" i="2"/>
  <c r="P103" i="2"/>
  <c r="O103" i="2"/>
  <c r="M103" i="2"/>
  <c r="K103" i="2"/>
  <c r="J103" i="2"/>
  <c r="N103" i="2"/>
  <c r="R103" i="2"/>
  <c r="P102" i="2"/>
  <c r="M102" i="2"/>
  <c r="S102" i="2"/>
  <c r="U102" i="2"/>
  <c r="X102" i="2"/>
  <c r="AA102" i="2"/>
  <c r="AF102" i="2"/>
  <c r="AK102" i="2"/>
  <c r="N102" i="2"/>
  <c r="L102" i="2"/>
  <c r="AJ102" i="2"/>
  <c r="AH102" i="2"/>
  <c r="AE102" i="2"/>
  <c r="AC102" i="2"/>
  <c r="Q102" i="2"/>
  <c r="O102" i="2"/>
  <c r="K102" i="2"/>
  <c r="R102" i="2"/>
  <c r="I102" i="2"/>
  <c r="W102" i="2"/>
  <c r="Y102" i="2"/>
  <c r="AB102" i="2"/>
  <c r="AD102" i="2"/>
  <c r="AG102" i="2"/>
  <c r="AI102" i="2"/>
  <c r="Z102" i="2"/>
  <c r="V102" i="2"/>
  <c r="T102" i="2"/>
  <c r="J102" i="2"/>
  <c r="U101" i="2"/>
  <c r="W101" i="2"/>
  <c r="Z101" i="2"/>
  <c r="AC101" i="2"/>
  <c r="AF101" i="2"/>
  <c r="AG101" i="2"/>
  <c r="AH101" i="2"/>
  <c r="AI101" i="2"/>
  <c r="AJ101" i="2"/>
  <c r="AK101" i="2"/>
  <c r="T101" i="2"/>
  <c r="AA101" i="2"/>
  <c r="X101" i="2"/>
  <c r="AE101" i="2"/>
  <c r="R101" i="2"/>
  <c r="O101" i="2"/>
  <c r="L101" i="2"/>
  <c r="AB101" i="2"/>
  <c r="K101" i="2"/>
  <c r="N101" i="2"/>
  <c r="P101" i="2"/>
  <c r="J101" i="2"/>
  <c r="M101" i="2"/>
  <c r="Q101" i="2"/>
  <c r="S101" i="2"/>
  <c r="V101" i="2"/>
  <c r="Y101" i="2"/>
  <c r="AD101" i="2"/>
  <c r="I101" i="2"/>
  <c r="AB100" i="2"/>
  <c r="W100" i="2"/>
  <c r="U100" i="2"/>
  <c r="S100" i="2"/>
  <c r="Q100" i="2"/>
  <c r="O100" i="2"/>
  <c r="M100" i="2"/>
  <c r="I100" i="2"/>
  <c r="AA100" i="2"/>
  <c r="P100" i="2"/>
  <c r="L100" i="2"/>
  <c r="Y100" i="2"/>
  <c r="V100" i="2"/>
  <c r="T100" i="2"/>
  <c r="R100" i="2"/>
  <c r="K100" i="2"/>
  <c r="N100" i="2"/>
  <c r="Z100" i="2"/>
  <c r="AI100" i="2"/>
  <c r="AF100" i="2"/>
  <c r="AC100" i="2"/>
  <c r="J100" i="2"/>
  <c r="X100" i="2"/>
  <c r="AK100" i="2"/>
  <c r="AJ100" i="2"/>
  <c r="AH100" i="2"/>
  <c r="AG100" i="2"/>
  <c r="AE100" i="2"/>
  <c r="AD100" i="2"/>
  <c r="K99" i="2"/>
  <c r="AK99" i="2"/>
  <c r="AI99" i="2"/>
  <c r="AF99" i="2"/>
  <c r="AD99" i="2"/>
  <c r="AB99" i="2"/>
  <c r="Z99" i="2"/>
  <c r="W99" i="2"/>
  <c r="U99" i="2"/>
  <c r="S99" i="2"/>
  <c r="Q99" i="2"/>
  <c r="O99" i="2"/>
  <c r="I99" i="2"/>
  <c r="AJ99" i="2"/>
  <c r="AG99" i="2"/>
  <c r="AE99" i="2"/>
  <c r="AC99" i="2"/>
  <c r="AA99" i="2"/>
  <c r="X99" i="2"/>
  <c r="T99" i="2"/>
  <c r="R99" i="2"/>
  <c r="P99" i="2"/>
  <c r="N99" i="2"/>
  <c r="J99" i="2"/>
  <c r="Y99" i="2"/>
  <c r="AH99" i="2"/>
  <c r="M99" i="2"/>
  <c r="L99" i="2"/>
  <c r="V99" i="2"/>
  <c r="AF98" i="2"/>
  <c r="AF97" i="2" s="1"/>
  <c r="AE98" i="2"/>
  <c r="AE97" i="2" s="1"/>
  <c r="AD98" i="2"/>
  <c r="AD97" i="2" s="1"/>
  <c r="AC98" i="2"/>
  <c r="AC97" i="2" s="1"/>
  <c r="AB98" i="2"/>
  <c r="AB97" i="2" s="1"/>
  <c r="AA98" i="2"/>
  <c r="AA97" i="2" s="1"/>
  <c r="Z98" i="2"/>
  <c r="Z97" i="2" s="1"/>
  <c r="Y98" i="2"/>
  <c r="Y97" i="2" s="1"/>
  <c r="X98" i="2"/>
  <c r="X97" i="2" s="1"/>
  <c r="W98" i="2"/>
  <c r="W97" i="2" s="1"/>
  <c r="V98" i="2"/>
  <c r="V97" i="2" s="1"/>
  <c r="U98" i="2"/>
  <c r="U97" i="2" s="1"/>
  <c r="T98" i="2"/>
  <c r="T97" i="2" s="1"/>
  <c r="S98" i="2"/>
  <c r="S97" i="2" s="1"/>
  <c r="AK98" i="2"/>
  <c r="AK97" i="2" s="1"/>
  <c r="Q98" i="2"/>
  <c r="Q97" i="2" s="1"/>
  <c r="P98" i="2"/>
  <c r="P97" i="2" s="1"/>
  <c r="O98" i="2"/>
  <c r="O97" i="2" s="1"/>
  <c r="N98" i="2"/>
  <c r="N97" i="2" s="1"/>
  <c r="M98" i="2"/>
  <c r="M97" i="2" s="1"/>
  <c r="L98" i="2"/>
  <c r="L97" i="2" s="1"/>
  <c r="R98" i="2"/>
  <c r="R97" i="2" s="1"/>
  <c r="J98" i="2"/>
  <c r="J97" i="2" s="1"/>
  <c r="I98" i="2"/>
  <c r="I97" i="2" s="1"/>
  <c r="AJ98" i="2"/>
  <c r="AJ97" i="2" s="1"/>
  <c r="AI98" i="2"/>
  <c r="AI97" i="2" s="1"/>
  <c r="AH98" i="2"/>
  <c r="AH97" i="2" s="1"/>
  <c r="AG98" i="2"/>
  <c r="AG97" i="2" s="1"/>
  <c r="K98" i="2"/>
  <c r="K97" i="2" s="1"/>
  <c r="AF96" i="2"/>
  <c r="AE96" i="2"/>
  <c r="AD96" i="2"/>
  <c r="AC96" i="2"/>
  <c r="AB96" i="2"/>
  <c r="AA96" i="2"/>
  <c r="Z96" i="2"/>
  <c r="Y96" i="2"/>
  <c r="X96" i="2"/>
  <c r="W96" i="2"/>
  <c r="V96" i="2"/>
  <c r="U96" i="2"/>
  <c r="T96" i="2"/>
  <c r="S96" i="2"/>
  <c r="R96" i="2"/>
  <c r="Q96" i="2"/>
  <c r="P96" i="2"/>
  <c r="O96" i="2"/>
  <c r="N96" i="2"/>
  <c r="M96" i="2"/>
  <c r="L96" i="2"/>
  <c r="K96" i="2"/>
  <c r="J96" i="2"/>
  <c r="I96" i="2"/>
  <c r="AK96" i="2"/>
  <c r="AJ96" i="2"/>
  <c r="AI96" i="2"/>
  <c r="AH96" i="2"/>
  <c r="AG96" i="2"/>
  <c r="AK95" i="2"/>
  <c r="AE95" i="2"/>
  <c r="AD95" i="2"/>
  <c r="AC95" i="2"/>
  <c r="AB95" i="2"/>
  <c r="AA95" i="2"/>
  <c r="Z95" i="2"/>
  <c r="Y95" i="2"/>
  <c r="X95" i="2"/>
  <c r="W95" i="2"/>
  <c r="V95" i="2"/>
  <c r="U95" i="2"/>
  <c r="T95" i="2"/>
  <c r="S95" i="2"/>
  <c r="AF95" i="2"/>
  <c r="Q95" i="2"/>
  <c r="P95" i="2"/>
  <c r="O95" i="2"/>
  <c r="N95" i="2"/>
  <c r="M95" i="2"/>
  <c r="L95" i="2"/>
  <c r="K95" i="2"/>
  <c r="J95" i="2"/>
  <c r="I95" i="2"/>
  <c r="AJ95" i="2"/>
  <c r="AI95" i="2"/>
  <c r="AH95" i="2"/>
  <c r="AG95" i="2"/>
  <c r="R95" i="2"/>
  <c r="AF94" i="2"/>
  <c r="AE94" i="2"/>
  <c r="AD94" i="2"/>
  <c r="AC94" i="2"/>
  <c r="AB94" i="2"/>
  <c r="AA94" i="2"/>
  <c r="Z94" i="2"/>
  <c r="Y94" i="2"/>
  <c r="X94" i="2"/>
  <c r="W94" i="2"/>
  <c r="V94" i="2"/>
  <c r="U94" i="2"/>
  <c r="T94" i="2"/>
  <c r="S94" i="2"/>
  <c r="R94" i="2"/>
  <c r="Q94" i="2"/>
  <c r="P94" i="2"/>
  <c r="O94" i="2"/>
  <c r="N94" i="2"/>
  <c r="M94" i="2"/>
  <c r="L94" i="2"/>
  <c r="K94" i="2"/>
  <c r="J94" i="2"/>
  <c r="I94" i="2"/>
  <c r="AK94" i="2"/>
  <c r="AJ94" i="2"/>
  <c r="AI94" i="2"/>
  <c r="AH94" i="2"/>
  <c r="AG94" i="2"/>
  <c r="AF93" i="2"/>
  <c r="AE93" i="2"/>
  <c r="AD93" i="2"/>
  <c r="AC93" i="2"/>
  <c r="AB93" i="2"/>
  <c r="AA93" i="2"/>
  <c r="Z93" i="2"/>
  <c r="Y93" i="2"/>
  <c r="X93" i="2"/>
  <c r="W93" i="2"/>
  <c r="V93" i="2"/>
  <c r="U93" i="2"/>
  <c r="T93" i="2"/>
  <c r="S93" i="2"/>
  <c r="R93" i="2"/>
  <c r="Q93" i="2"/>
  <c r="P93" i="2"/>
  <c r="O93" i="2"/>
  <c r="N93" i="2"/>
  <c r="M93" i="2"/>
  <c r="L93" i="2"/>
  <c r="K93" i="2"/>
  <c r="J93" i="2"/>
  <c r="I93" i="2"/>
  <c r="AG93" i="2"/>
  <c r="AK93" i="2"/>
  <c r="AJ93" i="2"/>
  <c r="AI93" i="2"/>
  <c r="AH93" i="2"/>
  <c r="AF92" i="2"/>
  <c r="AF91" i="2" s="1"/>
  <c r="AE92" i="2"/>
  <c r="AE91" i="2" s="1"/>
  <c r="AD92" i="2"/>
  <c r="AD91" i="2" s="1"/>
  <c r="AC92" i="2"/>
  <c r="AC91" i="2" s="1"/>
  <c r="AB92" i="2"/>
  <c r="AB91" i="2" s="1"/>
  <c r="AA92" i="2"/>
  <c r="AA91" i="2" s="1"/>
  <c r="Z92" i="2"/>
  <c r="Z91" i="2" s="1"/>
  <c r="Y92" i="2"/>
  <c r="Y91" i="2" s="1"/>
  <c r="X92" i="2"/>
  <c r="X91" i="2" s="1"/>
  <c r="W92" i="2"/>
  <c r="W91" i="2" s="1"/>
  <c r="V92" i="2"/>
  <c r="V91" i="2" s="1"/>
  <c r="U92" i="2"/>
  <c r="U91" i="2" s="1"/>
  <c r="T92" i="2"/>
  <c r="T91" i="2" s="1"/>
  <c r="S92" i="2"/>
  <c r="S91" i="2" s="1"/>
  <c r="AK92" i="2"/>
  <c r="AK91" i="2" s="1"/>
  <c r="Q92" i="2"/>
  <c r="Q91" i="2" s="1"/>
  <c r="P92" i="2"/>
  <c r="P91" i="2" s="1"/>
  <c r="O92" i="2"/>
  <c r="O91" i="2" s="1"/>
  <c r="N92" i="2"/>
  <c r="N91" i="2" s="1"/>
  <c r="M92" i="2"/>
  <c r="M91" i="2" s="1"/>
  <c r="L92" i="2"/>
  <c r="L91" i="2" s="1"/>
  <c r="R92" i="2"/>
  <c r="R91" i="2" s="1"/>
  <c r="AJ92" i="2"/>
  <c r="AJ91" i="2" s="1"/>
  <c r="I92" i="2"/>
  <c r="I91" i="2" s="1"/>
  <c r="J92" i="2"/>
  <c r="J91" i="2" s="1"/>
  <c r="AI92" i="2"/>
  <c r="AI91" i="2" s="1"/>
  <c r="AH92" i="2"/>
  <c r="AH91" i="2" s="1"/>
  <c r="AG92" i="2"/>
  <c r="AG91" i="2" s="1"/>
  <c r="K92" i="2"/>
  <c r="K91" i="2" s="1"/>
  <c r="AF90" i="2"/>
  <c r="AE90" i="2"/>
  <c r="AD90" i="2"/>
  <c r="AC90" i="2"/>
  <c r="AB90" i="2"/>
  <c r="AA90" i="2"/>
  <c r="Z90" i="2"/>
  <c r="Y90" i="2"/>
  <c r="X90" i="2"/>
  <c r="W90" i="2"/>
  <c r="V90" i="2"/>
  <c r="U90" i="2"/>
  <c r="T90" i="2"/>
  <c r="S90" i="2"/>
  <c r="R90" i="2"/>
  <c r="Q90" i="2"/>
  <c r="P90" i="2"/>
  <c r="O90" i="2"/>
  <c r="N90" i="2"/>
  <c r="M90" i="2"/>
  <c r="L90" i="2"/>
  <c r="K90" i="2"/>
  <c r="J90" i="2"/>
  <c r="I90" i="2"/>
  <c r="AK90" i="2"/>
  <c r="AJ90" i="2"/>
  <c r="AI90" i="2"/>
  <c r="AH90" i="2"/>
  <c r="AG90" i="2"/>
  <c r="AF89" i="2"/>
  <c r="AE89" i="2"/>
  <c r="AD89" i="2"/>
  <c r="AC89" i="2"/>
  <c r="AB89" i="2"/>
  <c r="AA89" i="2"/>
  <c r="Z89" i="2"/>
  <c r="Y89" i="2"/>
  <c r="X89" i="2"/>
  <c r="W89" i="2"/>
  <c r="V89" i="2"/>
  <c r="U89" i="2"/>
  <c r="T89" i="2"/>
  <c r="S89" i="2"/>
  <c r="R89" i="2"/>
  <c r="Q89" i="2"/>
  <c r="P89" i="2"/>
  <c r="O89" i="2"/>
  <c r="N89" i="2"/>
  <c r="M89" i="2"/>
  <c r="L89" i="2"/>
  <c r="K89" i="2"/>
  <c r="J89" i="2"/>
  <c r="I89" i="2"/>
  <c r="AK89" i="2"/>
  <c r="AI89" i="2"/>
  <c r="AH89" i="2"/>
  <c r="AG89" i="2"/>
  <c r="AJ89" i="2"/>
  <c r="AF88" i="2"/>
  <c r="AF87" i="2" s="1"/>
  <c r="AE88" i="2"/>
  <c r="AE87" i="2" s="1"/>
  <c r="AD88" i="2"/>
  <c r="AD87" i="2" s="1"/>
  <c r="AC88" i="2"/>
  <c r="AC87" i="2" s="1"/>
  <c r="AB88" i="2"/>
  <c r="AB87" i="2" s="1"/>
  <c r="AA88" i="2"/>
  <c r="AA87" i="2" s="1"/>
  <c r="Z88" i="2"/>
  <c r="Z87" i="2" s="1"/>
  <c r="Y88" i="2"/>
  <c r="Y87" i="2" s="1"/>
  <c r="X88" i="2"/>
  <c r="X87" i="2" s="1"/>
  <c r="W88" i="2"/>
  <c r="W87" i="2" s="1"/>
  <c r="V88" i="2"/>
  <c r="V87" i="2" s="1"/>
  <c r="U88" i="2"/>
  <c r="U87" i="2" s="1"/>
  <c r="T88" i="2"/>
  <c r="T87" i="2" s="1"/>
  <c r="S88" i="2"/>
  <c r="S87" i="2" s="1"/>
  <c r="R88" i="2"/>
  <c r="R87" i="2" s="1"/>
  <c r="Q88" i="2"/>
  <c r="Q87" i="2" s="1"/>
  <c r="P88" i="2"/>
  <c r="P87" i="2" s="1"/>
  <c r="O88" i="2"/>
  <c r="O87" i="2" s="1"/>
  <c r="N88" i="2"/>
  <c r="N87" i="2" s="1"/>
  <c r="M88" i="2"/>
  <c r="M87" i="2" s="1"/>
  <c r="L88" i="2"/>
  <c r="L87" i="2" s="1"/>
  <c r="K88" i="2"/>
  <c r="K87" i="2" s="1"/>
  <c r="J88" i="2"/>
  <c r="J87" i="2" s="1"/>
  <c r="I88" i="2"/>
  <c r="I87" i="2" s="1"/>
  <c r="AK88" i="2"/>
  <c r="AK87" i="2" s="1"/>
  <c r="AJ88" i="2"/>
  <c r="AJ87" i="2" s="1"/>
  <c r="AI88" i="2"/>
  <c r="AI87" i="2" s="1"/>
  <c r="AH88" i="2"/>
  <c r="AH87" i="2" s="1"/>
  <c r="AG88" i="2"/>
  <c r="AG87" i="2" s="1"/>
  <c r="AF86" i="2"/>
  <c r="AE86" i="2"/>
  <c r="AD86" i="2"/>
  <c r="AC86" i="2"/>
  <c r="AB86" i="2"/>
  <c r="AA86" i="2"/>
  <c r="Z86" i="2"/>
  <c r="Y86" i="2"/>
  <c r="X86" i="2"/>
  <c r="W86" i="2"/>
  <c r="V86" i="2"/>
  <c r="U86" i="2"/>
  <c r="T86" i="2"/>
  <c r="S86" i="2"/>
  <c r="R86" i="2"/>
  <c r="Q86" i="2"/>
  <c r="P86" i="2"/>
  <c r="O86" i="2"/>
  <c r="N86" i="2"/>
  <c r="M86" i="2"/>
  <c r="L86" i="2"/>
  <c r="K86" i="2"/>
  <c r="J86" i="2"/>
  <c r="I86" i="2"/>
  <c r="AG86" i="2"/>
  <c r="AH86" i="2"/>
  <c r="AI86" i="2"/>
  <c r="AJ86" i="2"/>
  <c r="AK86" i="2"/>
  <c r="AF85" i="2"/>
  <c r="AF84" i="2" s="1"/>
  <c r="AE85" i="2"/>
  <c r="AE84" i="2" s="1"/>
  <c r="AD85" i="2"/>
  <c r="AD84" i="2" s="1"/>
  <c r="AC85" i="2"/>
  <c r="AC84" i="2" s="1"/>
  <c r="AB85" i="2"/>
  <c r="AB84" i="2" s="1"/>
  <c r="AA85" i="2"/>
  <c r="AA84" i="2" s="1"/>
  <c r="Z85" i="2"/>
  <c r="Z84" i="2" s="1"/>
  <c r="Y85" i="2"/>
  <c r="Y84" i="2" s="1"/>
  <c r="X85" i="2"/>
  <c r="X84" i="2" s="1"/>
  <c r="W85" i="2"/>
  <c r="W84" i="2" s="1"/>
  <c r="V85" i="2"/>
  <c r="V84" i="2" s="1"/>
  <c r="U85" i="2"/>
  <c r="U84" i="2" s="1"/>
  <c r="T85" i="2"/>
  <c r="T84" i="2" s="1"/>
  <c r="S85" i="2"/>
  <c r="S84" i="2" s="1"/>
  <c r="AK85" i="2"/>
  <c r="AK84" i="2" s="1"/>
  <c r="Q85" i="2"/>
  <c r="Q84" i="2" s="1"/>
  <c r="P85" i="2"/>
  <c r="P84" i="2" s="1"/>
  <c r="O85" i="2"/>
  <c r="O84" i="2" s="1"/>
  <c r="N85" i="2"/>
  <c r="N84" i="2" s="1"/>
  <c r="M85" i="2"/>
  <c r="M84" i="2" s="1"/>
  <c r="L85" i="2"/>
  <c r="L84" i="2" s="1"/>
  <c r="R85" i="2"/>
  <c r="R84" i="2" s="1"/>
  <c r="J85" i="2"/>
  <c r="J84" i="2" s="1"/>
  <c r="I85" i="2"/>
  <c r="I84" i="2" s="1"/>
  <c r="AJ85" i="2"/>
  <c r="AJ84" i="2" s="1"/>
  <c r="AI85" i="2"/>
  <c r="AI84" i="2" s="1"/>
  <c r="AH85" i="2"/>
  <c r="AH84" i="2" s="1"/>
  <c r="AG85" i="2"/>
  <c r="AG84" i="2" s="1"/>
  <c r="K85" i="2"/>
  <c r="K84" i="2" s="1"/>
  <c r="AF83" i="2"/>
  <c r="AE83" i="2"/>
  <c r="AD83" i="2"/>
  <c r="AC83" i="2"/>
  <c r="AB83" i="2"/>
  <c r="AA83" i="2"/>
  <c r="AK83" i="2"/>
  <c r="AJ83" i="2"/>
  <c r="AI83" i="2"/>
  <c r="AH83" i="2"/>
  <c r="Z83" i="2"/>
  <c r="Y83" i="2"/>
  <c r="X83" i="2"/>
  <c r="W83" i="2"/>
  <c r="V83" i="2"/>
  <c r="U83" i="2"/>
  <c r="T83" i="2"/>
  <c r="S83" i="2"/>
  <c r="R83" i="2"/>
  <c r="Q83" i="2"/>
  <c r="P83" i="2"/>
  <c r="O83" i="2"/>
  <c r="N83" i="2"/>
  <c r="M83" i="2"/>
  <c r="L83" i="2"/>
  <c r="K83" i="2"/>
  <c r="J83" i="2"/>
  <c r="I83" i="2"/>
  <c r="AG83" i="2"/>
  <c r="O82" i="2"/>
  <c r="N82" i="2"/>
  <c r="M82" i="2"/>
  <c r="AA82" i="2"/>
  <c r="L82" i="2"/>
  <c r="K82" i="2"/>
  <c r="J82" i="2"/>
  <c r="I82" i="2"/>
  <c r="P82" i="2"/>
  <c r="AK82" i="2"/>
  <c r="AJ82" i="2"/>
  <c r="AI82" i="2"/>
  <c r="AH82" i="2"/>
  <c r="AG82" i="2"/>
  <c r="AF82" i="2"/>
  <c r="AE82" i="2"/>
  <c r="AD82" i="2"/>
  <c r="AC82" i="2"/>
  <c r="AB82" i="2"/>
  <c r="Z82" i="2"/>
  <c r="Y82" i="2"/>
  <c r="X82" i="2"/>
  <c r="W82" i="2"/>
  <c r="V82" i="2"/>
  <c r="U82" i="2"/>
  <c r="T82" i="2"/>
  <c r="S82" i="2"/>
  <c r="R82" i="2"/>
  <c r="Q82" i="2"/>
  <c r="M81" i="2"/>
  <c r="L81" i="2"/>
  <c r="K81" i="2"/>
  <c r="J81" i="2"/>
  <c r="I81" i="2"/>
  <c r="AJ81" i="2"/>
  <c r="AK81" i="2"/>
  <c r="S81" i="2"/>
  <c r="R81" i="2"/>
  <c r="T81" i="2"/>
  <c r="Q81" i="2"/>
  <c r="P81" i="2"/>
  <c r="O81" i="2"/>
  <c r="AB81" i="2"/>
  <c r="AF81" i="2"/>
  <c r="U81" i="2"/>
  <c r="V81" i="2"/>
  <c r="W81" i="2"/>
  <c r="X81" i="2"/>
  <c r="Y81" i="2"/>
  <c r="Z81" i="2"/>
  <c r="AA81" i="2"/>
  <c r="N81" i="2"/>
  <c r="AC81" i="2"/>
  <c r="AD81" i="2"/>
  <c r="AE81" i="2"/>
  <c r="AG81" i="2"/>
  <c r="AH81" i="2"/>
  <c r="AI81" i="2"/>
  <c r="AK80" i="2"/>
  <c r="AK79" i="2" s="1"/>
  <c r="AJ80" i="2"/>
  <c r="AJ79" i="2" s="1"/>
  <c r="AI80" i="2"/>
  <c r="AI79" i="2" s="1"/>
  <c r="AH80" i="2"/>
  <c r="AH79" i="2" s="1"/>
  <c r="AG80" i="2"/>
  <c r="AG79" i="2" s="1"/>
  <c r="AF80" i="2"/>
  <c r="AF79" i="2" s="1"/>
  <c r="AE80" i="2"/>
  <c r="AE79" i="2" s="1"/>
  <c r="AD80" i="2"/>
  <c r="AD79" i="2" s="1"/>
  <c r="W80" i="2"/>
  <c r="W79" i="2" s="1"/>
  <c r="I80" i="2"/>
  <c r="I79" i="2" s="1"/>
  <c r="J80" i="2"/>
  <c r="J79" i="2" s="1"/>
  <c r="K80" i="2"/>
  <c r="K79" i="2" s="1"/>
  <c r="L80" i="2"/>
  <c r="L79" i="2" s="1"/>
  <c r="M80" i="2"/>
  <c r="M79" i="2" s="1"/>
  <c r="N80" i="2"/>
  <c r="N79" i="2" s="1"/>
  <c r="O80" i="2"/>
  <c r="O79" i="2" s="1"/>
  <c r="R80" i="2"/>
  <c r="R79" i="2" s="1"/>
  <c r="P80" i="2"/>
  <c r="P79" i="2" s="1"/>
  <c r="Q80" i="2"/>
  <c r="Q79" i="2" s="1"/>
  <c r="S80" i="2"/>
  <c r="S79" i="2" s="1"/>
  <c r="T80" i="2"/>
  <c r="T79" i="2" s="1"/>
  <c r="U80" i="2"/>
  <c r="U79" i="2" s="1"/>
  <c r="V80" i="2"/>
  <c r="V79" i="2" s="1"/>
  <c r="X80" i="2"/>
  <c r="X79" i="2" s="1"/>
  <c r="Y80" i="2"/>
  <c r="Y79" i="2" s="1"/>
  <c r="Z80" i="2"/>
  <c r="Z79" i="2" s="1"/>
  <c r="AA80" i="2"/>
  <c r="AA79" i="2" s="1"/>
  <c r="AB80" i="2"/>
  <c r="AB79" i="2" s="1"/>
  <c r="AC80" i="2"/>
  <c r="AC79" i="2" s="1"/>
  <c r="L78" i="2"/>
  <c r="J78" i="2"/>
  <c r="I78" i="2"/>
  <c r="AK78" i="2"/>
  <c r="AJ78" i="2"/>
  <c r="AI78" i="2"/>
  <c r="AG78" i="2"/>
  <c r="AH78" i="2"/>
  <c r="AF78" i="2"/>
  <c r="AE78" i="2"/>
  <c r="AD78" i="2"/>
  <c r="AC78" i="2"/>
  <c r="AB78" i="2"/>
  <c r="AA78" i="2"/>
  <c r="Z78" i="2"/>
  <c r="Y78" i="2"/>
  <c r="X78" i="2"/>
  <c r="W78" i="2"/>
  <c r="V78" i="2"/>
  <c r="U78" i="2"/>
  <c r="N78" i="2"/>
  <c r="T78" i="2"/>
  <c r="M78" i="2"/>
  <c r="S78" i="2"/>
  <c r="R78" i="2"/>
  <c r="Q78" i="2"/>
  <c r="P78" i="2"/>
  <c r="O78" i="2"/>
  <c r="K78" i="2"/>
  <c r="AK77" i="2"/>
  <c r="AK76" i="2" s="1"/>
  <c r="Q77" i="2"/>
  <c r="Q76" i="2" s="1"/>
  <c r="P77" i="2"/>
  <c r="P76" i="2" s="1"/>
  <c r="O77" i="2"/>
  <c r="O76" i="2" s="1"/>
  <c r="N77" i="2"/>
  <c r="N76" i="2" s="1"/>
  <c r="AH77" i="2"/>
  <c r="AH76" i="2" s="1"/>
  <c r="K77" i="2"/>
  <c r="K76" i="2" s="1"/>
  <c r="J77" i="2"/>
  <c r="J76" i="2" s="1"/>
  <c r="I77" i="2"/>
  <c r="I76" i="2" s="1"/>
  <c r="AG77" i="2"/>
  <c r="AG76" i="2" s="1"/>
  <c r="AF77" i="2"/>
  <c r="AF76" i="2" s="1"/>
  <c r="AE77" i="2"/>
  <c r="AE76" i="2" s="1"/>
  <c r="AD77" i="2"/>
  <c r="AD76" i="2" s="1"/>
  <c r="AC77" i="2"/>
  <c r="AC76" i="2" s="1"/>
  <c r="AB77" i="2"/>
  <c r="AB76" i="2" s="1"/>
  <c r="AA77" i="2"/>
  <c r="AA76" i="2" s="1"/>
  <c r="Z77" i="2"/>
  <c r="Z76" i="2" s="1"/>
  <c r="Y77" i="2"/>
  <c r="Y76" i="2" s="1"/>
  <c r="X77" i="2"/>
  <c r="X76" i="2" s="1"/>
  <c r="W77" i="2"/>
  <c r="W76" i="2" s="1"/>
  <c r="AI77" i="2"/>
  <c r="AI76" i="2" s="1"/>
  <c r="V77" i="2"/>
  <c r="V76" i="2" s="1"/>
  <c r="U77" i="2"/>
  <c r="U76" i="2" s="1"/>
  <c r="T77" i="2"/>
  <c r="T76" i="2" s="1"/>
  <c r="S77" i="2"/>
  <c r="S76" i="2" s="1"/>
  <c r="R77" i="2"/>
  <c r="R76" i="2" s="1"/>
  <c r="M77" i="2"/>
  <c r="M76" i="2" s="1"/>
  <c r="L77" i="2"/>
  <c r="L76" i="2" s="1"/>
  <c r="AJ77" i="2"/>
  <c r="AJ76" i="2" s="1"/>
  <c r="AF75" i="2"/>
  <c r="AG75" i="2"/>
  <c r="AI75" i="2"/>
  <c r="AJ75" i="2"/>
  <c r="AK75" i="2"/>
  <c r="N75" i="2"/>
  <c r="I75" i="2"/>
  <c r="J75" i="2"/>
  <c r="K75" i="2"/>
  <c r="O75" i="2"/>
  <c r="P75" i="2"/>
  <c r="Q75" i="2"/>
  <c r="R75" i="2"/>
  <c r="L75" i="2"/>
  <c r="AH75" i="2"/>
  <c r="S75" i="2"/>
  <c r="T75" i="2"/>
  <c r="U75" i="2"/>
  <c r="V75" i="2"/>
  <c r="W75" i="2"/>
  <c r="X75" i="2"/>
  <c r="Y75" i="2"/>
  <c r="Z75" i="2"/>
  <c r="AA75" i="2"/>
  <c r="AB75" i="2"/>
  <c r="M75" i="2"/>
  <c r="AC75" i="2"/>
  <c r="AD75" i="2"/>
  <c r="AE75" i="2"/>
  <c r="S74" i="2"/>
  <c r="R74" i="2"/>
  <c r="Q74" i="2"/>
  <c r="P74" i="2"/>
  <c r="O74" i="2"/>
  <c r="N74" i="2"/>
  <c r="M74" i="2"/>
  <c r="L74" i="2"/>
  <c r="K74" i="2"/>
  <c r="J74" i="2"/>
  <c r="I74" i="2"/>
  <c r="AK74" i="2"/>
  <c r="AJ74" i="2"/>
  <c r="AI74" i="2"/>
  <c r="AH74" i="2"/>
  <c r="AG74" i="2"/>
  <c r="AF74" i="2"/>
  <c r="AE74" i="2"/>
  <c r="AD74" i="2"/>
  <c r="AC74" i="2"/>
  <c r="AB74" i="2"/>
  <c r="AA74" i="2"/>
  <c r="Z74" i="2"/>
  <c r="Y74" i="2"/>
  <c r="X74" i="2"/>
  <c r="W74" i="2"/>
  <c r="V74" i="2"/>
  <c r="U74" i="2"/>
  <c r="T74" i="2"/>
  <c r="R73" i="2"/>
  <c r="R72" i="2" s="1"/>
  <c r="AD73" i="2"/>
  <c r="AD72" i="2" s="1"/>
  <c r="AC73" i="2"/>
  <c r="AC72" i="2" s="1"/>
  <c r="AB73" i="2"/>
  <c r="AB72" i="2" s="1"/>
  <c r="AA73" i="2"/>
  <c r="AA72" i="2" s="1"/>
  <c r="Z73" i="2"/>
  <c r="Z72" i="2" s="1"/>
  <c r="Y73" i="2"/>
  <c r="Y72" i="2" s="1"/>
  <c r="X73" i="2"/>
  <c r="X72" i="2" s="1"/>
  <c r="W73" i="2"/>
  <c r="W72" i="2" s="1"/>
  <c r="V73" i="2"/>
  <c r="V72" i="2" s="1"/>
  <c r="I73" i="2"/>
  <c r="I72" i="2" s="1"/>
  <c r="U73" i="2"/>
  <c r="U72" i="2" s="1"/>
  <c r="K73" i="2"/>
  <c r="K72" i="2" s="1"/>
  <c r="L73" i="2"/>
  <c r="L72" i="2" s="1"/>
  <c r="M73" i="2"/>
  <c r="M72" i="2" s="1"/>
  <c r="N73" i="2"/>
  <c r="N72" i="2" s="1"/>
  <c r="O73" i="2"/>
  <c r="O72" i="2" s="1"/>
  <c r="P73" i="2"/>
  <c r="P72" i="2" s="1"/>
  <c r="S73" i="2"/>
  <c r="S72" i="2" s="1"/>
  <c r="Q73" i="2"/>
  <c r="Q72" i="2" s="1"/>
  <c r="J73" i="2"/>
  <c r="J72" i="2" s="1"/>
  <c r="T73" i="2"/>
  <c r="T72" i="2" s="1"/>
  <c r="AK73" i="2"/>
  <c r="AK72" i="2" s="1"/>
  <c r="AJ73" i="2"/>
  <c r="AJ72" i="2" s="1"/>
  <c r="AI73" i="2"/>
  <c r="AI72" i="2" s="1"/>
  <c r="AH73" i="2"/>
  <c r="AH72" i="2" s="1"/>
  <c r="AG73" i="2"/>
  <c r="AG72" i="2" s="1"/>
  <c r="AF73" i="2"/>
  <c r="AF72" i="2" s="1"/>
  <c r="AE73" i="2"/>
  <c r="AE72" i="2" s="1"/>
  <c r="K71" i="2"/>
  <c r="AD71" i="2"/>
  <c r="AE71" i="2"/>
  <c r="AF71" i="2"/>
  <c r="AH71" i="2"/>
  <c r="AI71" i="2"/>
  <c r="AJ71" i="2"/>
  <c r="AK71" i="2"/>
  <c r="AG71" i="2"/>
  <c r="J71" i="2"/>
  <c r="P71" i="2"/>
  <c r="AC71" i="2"/>
  <c r="AB71" i="2"/>
  <c r="AA71" i="2"/>
  <c r="I71" i="2"/>
  <c r="Y71" i="2"/>
  <c r="X71" i="2"/>
  <c r="W71" i="2"/>
  <c r="V71" i="2"/>
  <c r="U71" i="2"/>
  <c r="T71" i="2"/>
  <c r="S71" i="2"/>
  <c r="R71" i="2"/>
  <c r="Q71" i="2"/>
  <c r="Z71" i="2"/>
  <c r="O71" i="2"/>
  <c r="N71" i="2"/>
  <c r="M71" i="2"/>
  <c r="L71" i="2"/>
  <c r="R70" i="2"/>
  <c r="Q70" i="2"/>
  <c r="P70" i="2"/>
  <c r="O70" i="2"/>
  <c r="N70" i="2"/>
  <c r="M70" i="2"/>
  <c r="L70" i="2"/>
  <c r="K70" i="2"/>
  <c r="J70" i="2"/>
  <c r="I70" i="2"/>
  <c r="T70" i="2"/>
  <c r="U70" i="2"/>
  <c r="V70" i="2"/>
  <c r="W70" i="2"/>
  <c r="X70" i="2"/>
  <c r="Y70" i="2"/>
  <c r="Z70" i="2"/>
  <c r="AA70" i="2"/>
  <c r="S70" i="2"/>
  <c r="AC70" i="2"/>
  <c r="AD70" i="2"/>
  <c r="AE70" i="2"/>
  <c r="AF70" i="2"/>
  <c r="AG70" i="2"/>
  <c r="AH70" i="2"/>
  <c r="AI70" i="2"/>
  <c r="AJ70" i="2"/>
  <c r="AK70" i="2"/>
  <c r="AB70" i="2"/>
  <c r="AA69" i="2"/>
  <c r="AA68" i="2" s="1"/>
  <c r="AK69" i="2"/>
  <c r="AK68" i="2" s="1"/>
  <c r="AJ69" i="2"/>
  <c r="AJ68" i="2" s="1"/>
  <c r="AI69" i="2"/>
  <c r="AI68" i="2" s="1"/>
  <c r="AH69" i="2"/>
  <c r="AH68" i="2" s="1"/>
  <c r="AG69" i="2"/>
  <c r="AG68" i="2" s="1"/>
  <c r="AF69" i="2"/>
  <c r="AF68" i="2" s="1"/>
  <c r="AE69" i="2"/>
  <c r="AE68" i="2" s="1"/>
  <c r="AD69" i="2"/>
  <c r="AD68" i="2" s="1"/>
  <c r="AC69" i="2"/>
  <c r="AC68" i="2" s="1"/>
  <c r="AB69" i="2"/>
  <c r="AB68" i="2" s="1"/>
  <c r="Z69" i="2"/>
  <c r="Z68" i="2" s="1"/>
  <c r="Y69" i="2"/>
  <c r="Y68" i="2" s="1"/>
  <c r="X69" i="2"/>
  <c r="X68" i="2" s="1"/>
  <c r="W69" i="2"/>
  <c r="W68" i="2" s="1"/>
  <c r="V69" i="2"/>
  <c r="V68" i="2" s="1"/>
  <c r="U69" i="2"/>
  <c r="U68" i="2" s="1"/>
  <c r="T69" i="2"/>
  <c r="T68" i="2" s="1"/>
  <c r="S69" i="2"/>
  <c r="S68" i="2" s="1"/>
  <c r="R69" i="2"/>
  <c r="R68" i="2" s="1"/>
  <c r="Q69" i="2"/>
  <c r="Q68" i="2" s="1"/>
  <c r="P69" i="2"/>
  <c r="P68" i="2" s="1"/>
  <c r="O69" i="2"/>
  <c r="O68" i="2" s="1"/>
  <c r="N69" i="2"/>
  <c r="N68" i="2" s="1"/>
  <c r="M69" i="2"/>
  <c r="M68" i="2" s="1"/>
  <c r="L69" i="2"/>
  <c r="L68" i="2" s="1"/>
  <c r="K69" i="2"/>
  <c r="K68" i="2" s="1"/>
  <c r="J69" i="2"/>
  <c r="J68" i="2" s="1"/>
  <c r="I69" i="2"/>
  <c r="I68" i="2" s="1"/>
  <c r="W67" i="2"/>
  <c r="AD67" i="2"/>
  <c r="AE67" i="2"/>
  <c r="AF67" i="2"/>
  <c r="AG67" i="2"/>
  <c r="AH67" i="2"/>
  <c r="AI67" i="2"/>
  <c r="I67" i="2"/>
  <c r="AJ67" i="2"/>
  <c r="R67" i="2"/>
  <c r="S67" i="2"/>
  <c r="T67" i="2"/>
  <c r="U67" i="2"/>
  <c r="V67" i="2"/>
  <c r="AK67" i="2"/>
  <c r="X67" i="2"/>
  <c r="Y67" i="2"/>
  <c r="Z67" i="2"/>
  <c r="AA67" i="2"/>
  <c r="AB67" i="2"/>
  <c r="AC67" i="2"/>
  <c r="J67" i="2"/>
  <c r="L67" i="2"/>
  <c r="M67" i="2"/>
  <c r="N67" i="2"/>
  <c r="O67" i="2"/>
  <c r="P67" i="2"/>
  <c r="K67" i="2"/>
  <c r="Q67" i="2"/>
  <c r="Q66" i="2"/>
  <c r="P66" i="2"/>
  <c r="O66" i="2"/>
  <c r="N66" i="2"/>
  <c r="M66" i="2"/>
  <c r="L66" i="2"/>
  <c r="K66" i="2"/>
  <c r="I66" i="2"/>
  <c r="J66" i="2"/>
  <c r="AK66" i="2"/>
  <c r="AJ66" i="2"/>
  <c r="AI66" i="2"/>
  <c r="AH66" i="2"/>
  <c r="AG66" i="2"/>
  <c r="AF66" i="2"/>
  <c r="AE66" i="2"/>
  <c r="AD66" i="2"/>
  <c r="AC66" i="2"/>
  <c r="AB66" i="2"/>
  <c r="AA66" i="2"/>
  <c r="Z66" i="2"/>
  <c r="Y66" i="2"/>
  <c r="X66" i="2"/>
  <c r="W66" i="2"/>
  <c r="V66" i="2"/>
  <c r="U66" i="2"/>
  <c r="T66" i="2"/>
  <c r="S66" i="2"/>
  <c r="R66" i="2"/>
  <c r="AK65" i="2"/>
  <c r="AK64" i="2" s="1"/>
  <c r="AJ65" i="2"/>
  <c r="AJ64" i="2" s="1"/>
  <c r="AI65" i="2"/>
  <c r="AI64" i="2" s="1"/>
  <c r="AH65" i="2"/>
  <c r="AH64" i="2" s="1"/>
  <c r="AG65" i="2"/>
  <c r="AG64" i="2" s="1"/>
  <c r="AF65" i="2"/>
  <c r="AF64" i="2" s="1"/>
  <c r="AE65" i="2"/>
  <c r="AE64" i="2" s="1"/>
  <c r="AD65" i="2"/>
  <c r="AD64" i="2" s="1"/>
  <c r="AC65" i="2"/>
  <c r="AC64" i="2" s="1"/>
  <c r="AB65" i="2"/>
  <c r="AB64" i="2" s="1"/>
  <c r="AA65" i="2"/>
  <c r="AA64" i="2" s="1"/>
  <c r="Z65" i="2"/>
  <c r="Z64" i="2" s="1"/>
  <c r="Y65" i="2"/>
  <c r="Y64" i="2" s="1"/>
  <c r="X65" i="2"/>
  <c r="X64" i="2" s="1"/>
  <c r="W65" i="2"/>
  <c r="W64" i="2" s="1"/>
  <c r="V65" i="2"/>
  <c r="V64" i="2" s="1"/>
  <c r="U65" i="2"/>
  <c r="U64" i="2" s="1"/>
  <c r="T65" i="2"/>
  <c r="T64" i="2" s="1"/>
  <c r="S65" i="2"/>
  <c r="S64" i="2" s="1"/>
  <c r="R65" i="2"/>
  <c r="R64" i="2" s="1"/>
  <c r="Q65" i="2"/>
  <c r="Q64" i="2" s="1"/>
  <c r="P65" i="2"/>
  <c r="P64" i="2" s="1"/>
  <c r="O65" i="2"/>
  <c r="O64" i="2" s="1"/>
  <c r="N65" i="2"/>
  <c r="N64" i="2" s="1"/>
  <c r="M65" i="2"/>
  <c r="M64" i="2" s="1"/>
  <c r="L65" i="2"/>
  <c r="L64" i="2" s="1"/>
  <c r="K65" i="2"/>
  <c r="K64" i="2" s="1"/>
  <c r="J65" i="2"/>
  <c r="J64" i="2" s="1"/>
  <c r="I65" i="2"/>
  <c r="I64" i="2" s="1"/>
  <c r="AK60" i="2"/>
  <c r="AB60" i="2"/>
  <c r="I60" i="2"/>
  <c r="J60" i="2"/>
  <c r="K60" i="2"/>
  <c r="L60" i="2"/>
  <c r="M60" i="2"/>
  <c r="AJ60" i="2"/>
  <c r="V60" i="2"/>
  <c r="O60" i="2"/>
  <c r="P60" i="2"/>
  <c r="Q60" i="2"/>
  <c r="R60" i="2"/>
  <c r="S60" i="2"/>
  <c r="T60" i="2"/>
  <c r="U60" i="2"/>
  <c r="W60" i="2"/>
  <c r="X60" i="2"/>
  <c r="Y60" i="2"/>
  <c r="Z60" i="2"/>
  <c r="AA60" i="2"/>
  <c r="AC60" i="2"/>
  <c r="N60" i="2"/>
  <c r="AD60" i="2"/>
  <c r="AE60" i="2"/>
  <c r="AF60" i="2"/>
  <c r="AG60" i="2"/>
  <c r="AH60" i="2"/>
  <c r="AI60" i="2"/>
  <c r="P56" i="2"/>
  <c r="O56" i="2"/>
  <c r="N56" i="2"/>
  <c r="M56" i="2"/>
  <c r="L56" i="2"/>
  <c r="K56" i="2"/>
  <c r="I56" i="2"/>
  <c r="W56" i="2"/>
  <c r="AD56" i="2"/>
  <c r="X56" i="2"/>
  <c r="Y56" i="2"/>
  <c r="Z56" i="2"/>
  <c r="J56" i="2"/>
  <c r="AA56" i="2"/>
  <c r="AB56" i="2"/>
  <c r="AC56" i="2"/>
  <c r="AJ56" i="2"/>
  <c r="AI56" i="2"/>
  <c r="AH56" i="2"/>
  <c r="AG56" i="2"/>
  <c r="R56" i="2"/>
  <c r="AE56" i="2"/>
  <c r="Q56" i="2"/>
  <c r="S56" i="2"/>
  <c r="T56" i="2"/>
  <c r="U56" i="2"/>
  <c r="AK56" i="2"/>
  <c r="AF56" i="2"/>
  <c r="V56" i="2"/>
  <c r="AF52" i="2"/>
  <c r="AF51" i="2" s="1"/>
  <c r="AK52" i="2"/>
  <c r="AK51" i="2" s="1"/>
  <c r="AJ52" i="2"/>
  <c r="AJ51" i="2" s="1"/>
  <c r="AI52" i="2"/>
  <c r="AI51" i="2" s="1"/>
  <c r="AH52" i="2"/>
  <c r="AH51" i="2" s="1"/>
  <c r="AG52" i="2"/>
  <c r="AG51" i="2" s="1"/>
  <c r="AE52" i="2"/>
  <c r="AE51" i="2" s="1"/>
  <c r="AD52" i="2"/>
  <c r="AD51" i="2" s="1"/>
  <c r="AC52" i="2"/>
  <c r="AC51" i="2" s="1"/>
  <c r="AB52" i="2"/>
  <c r="AB51" i="2" s="1"/>
  <c r="AA52" i="2"/>
  <c r="AA51" i="2" s="1"/>
  <c r="Z52" i="2"/>
  <c r="Z51" i="2" s="1"/>
  <c r="Y52" i="2"/>
  <c r="Y51" i="2" s="1"/>
  <c r="X52" i="2"/>
  <c r="X51" i="2" s="1"/>
  <c r="W52" i="2"/>
  <c r="W51" i="2" s="1"/>
  <c r="V52" i="2"/>
  <c r="V51" i="2" s="1"/>
  <c r="T52" i="2"/>
  <c r="T51" i="2" s="1"/>
  <c r="S52" i="2"/>
  <c r="S51" i="2" s="1"/>
  <c r="R52" i="2"/>
  <c r="R51" i="2" s="1"/>
  <c r="Q52" i="2"/>
  <c r="Q51" i="2" s="1"/>
  <c r="P52" i="2"/>
  <c r="P51" i="2" s="1"/>
  <c r="O52" i="2"/>
  <c r="O51" i="2" s="1"/>
  <c r="N52" i="2"/>
  <c r="N51" i="2" s="1"/>
  <c r="M52" i="2"/>
  <c r="M51" i="2" s="1"/>
  <c r="L52" i="2"/>
  <c r="L51" i="2" s="1"/>
  <c r="K52" i="2"/>
  <c r="K51" i="2" s="1"/>
  <c r="J52" i="2"/>
  <c r="J51" i="2" s="1"/>
  <c r="I52" i="2"/>
  <c r="I51" i="2" s="1"/>
  <c r="U52" i="2"/>
  <c r="U51" i="2" s="1"/>
  <c r="AG50" i="2"/>
  <c r="M50" i="2"/>
  <c r="L50" i="2"/>
  <c r="K50" i="2"/>
  <c r="J50" i="2"/>
  <c r="I50" i="2"/>
  <c r="AJ50" i="2"/>
  <c r="AF50" i="2"/>
  <c r="AE50" i="2"/>
  <c r="AI50" i="2"/>
  <c r="AH50" i="2"/>
  <c r="AD50" i="2"/>
  <c r="AC50" i="2"/>
  <c r="AB50" i="2"/>
  <c r="AK50" i="2"/>
  <c r="AA50" i="2"/>
  <c r="Z50" i="2"/>
  <c r="Y50" i="2"/>
  <c r="X50" i="2"/>
  <c r="W50" i="2"/>
  <c r="V50" i="2"/>
  <c r="U50" i="2"/>
  <c r="T50" i="2"/>
  <c r="S50" i="2"/>
  <c r="R50" i="2"/>
  <c r="Q50" i="2"/>
  <c r="P50" i="2"/>
  <c r="O50" i="2"/>
  <c r="N50" i="2"/>
  <c r="N49" i="2"/>
  <c r="M49" i="2"/>
  <c r="L49" i="2"/>
  <c r="K49" i="2"/>
  <c r="J49" i="2"/>
  <c r="I49" i="2"/>
  <c r="AB49" i="2"/>
  <c r="AJ49" i="2"/>
  <c r="AI49" i="2"/>
  <c r="AH49" i="2"/>
  <c r="AG49" i="2"/>
  <c r="AF49" i="2"/>
  <c r="AE49" i="2"/>
  <c r="AD49" i="2"/>
  <c r="AC49" i="2"/>
  <c r="AK49" i="2"/>
  <c r="AA49" i="2"/>
  <c r="Z49" i="2"/>
  <c r="Y49" i="2"/>
  <c r="X49" i="2"/>
  <c r="W49" i="2"/>
  <c r="V49" i="2"/>
  <c r="U49" i="2"/>
  <c r="T49" i="2"/>
  <c r="S49" i="2"/>
  <c r="R49" i="2"/>
  <c r="Q49" i="2"/>
  <c r="P49" i="2"/>
  <c r="O49" i="2"/>
  <c r="N48" i="2"/>
  <c r="M48" i="2"/>
  <c r="L48" i="2"/>
  <c r="K48" i="2"/>
  <c r="J48" i="2"/>
  <c r="I48" i="2"/>
  <c r="U48" i="2"/>
  <c r="AK48" i="2"/>
  <c r="AJ48" i="2"/>
  <c r="AH48" i="2"/>
  <c r="AG48" i="2"/>
  <c r="AF48" i="2"/>
  <c r="AE48" i="2"/>
  <c r="AD48" i="2"/>
  <c r="AC48" i="2"/>
  <c r="AB48" i="2"/>
  <c r="AA48" i="2"/>
  <c r="Z48" i="2"/>
  <c r="Y48" i="2"/>
  <c r="X48" i="2"/>
  <c r="W48" i="2"/>
  <c r="V48" i="2"/>
  <c r="AI48" i="2"/>
  <c r="T48" i="2"/>
  <c r="S48" i="2"/>
  <c r="R48" i="2"/>
  <c r="Q48" i="2"/>
  <c r="P48" i="2"/>
  <c r="O48" i="2"/>
  <c r="AK47" i="2"/>
  <c r="AI47" i="2"/>
  <c r="AH47" i="2"/>
  <c r="AG47" i="2"/>
  <c r="AF47" i="2"/>
  <c r="AE47" i="2"/>
  <c r="AD47" i="2"/>
  <c r="AC47" i="2"/>
  <c r="AB47" i="2"/>
  <c r="AA47" i="2"/>
  <c r="Z47" i="2"/>
  <c r="Y47" i="2"/>
  <c r="X47" i="2"/>
  <c r="W47" i="2"/>
  <c r="V47" i="2"/>
  <c r="T47" i="2"/>
  <c r="S47" i="2"/>
  <c r="R47" i="2"/>
  <c r="Q47" i="2"/>
  <c r="P47" i="2"/>
  <c r="O47" i="2"/>
  <c r="U47" i="2"/>
  <c r="K47" i="2"/>
  <c r="J47" i="2"/>
  <c r="I47" i="2"/>
  <c r="M47" i="2"/>
  <c r="N47" i="2"/>
  <c r="L47" i="2"/>
  <c r="AJ47" i="2"/>
  <c r="N46" i="2"/>
  <c r="N45" i="2" s="1"/>
  <c r="M46" i="2"/>
  <c r="M45" i="2" s="1"/>
  <c r="L46" i="2"/>
  <c r="L45" i="2" s="1"/>
  <c r="K46" i="2"/>
  <c r="K45" i="2" s="1"/>
  <c r="J46" i="2"/>
  <c r="J45" i="2" s="1"/>
  <c r="I46" i="2"/>
  <c r="I45" i="2" s="1"/>
  <c r="S46" i="2"/>
  <c r="S45" i="2" s="1"/>
  <c r="AK46" i="2"/>
  <c r="AK45" i="2" s="1"/>
  <c r="AJ46" i="2"/>
  <c r="AJ45" i="2" s="1"/>
  <c r="AI46" i="2"/>
  <c r="AI45" i="2" s="1"/>
  <c r="AH46" i="2"/>
  <c r="AH45" i="2" s="1"/>
  <c r="AG46" i="2"/>
  <c r="AG45" i="2" s="1"/>
  <c r="AF46" i="2"/>
  <c r="AF45" i="2" s="1"/>
  <c r="AE46" i="2"/>
  <c r="AE45" i="2" s="1"/>
  <c r="AD46" i="2"/>
  <c r="AD45" i="2" s="1"/>
  <c r="AC46" i="2"/>
  <c r="AC45" i="2" s="1"/>
  <c r="AB46" i="2"/>
  <c r="AB45" i="2" s="1"/>
  <c r="AA46" i="2"/>
  <c r="AA45" i="2" s="1"/>
  <c r="Z46" i="2"/>
  <c r="Z45" i="2" s="1"/>
  <c r="Y46" i="2"/>
  <c r="Y45" i="2" s="1"/>
  <c r="X46" i="2"/>
  <c r="X45" i="2" s="1"/>
  <c r="W46" i="2"/>
  <c r="W45" i="2" s="1"/>
  <c r="V46" i="2"/>
  <c r="V45" i="2" s="1"/>
  <c r="U46" i="2"/>
  <c r="U45" i="2" s="1"/>
  <c r="T46" i="2"/>
  <c r="T45" i="2" s="1"/>
  <c r="R46" i="2"/>
  <c r="R45" i="2" s="1"/>
  <c r="Q46" i="2"/>
  <c r="Q45" i="2" s="1"/>
  <c r="P46" i="2"/>
  <c r="P45" i="2" s="1"/>
  <c r="O46" i="2"/>
  <c r="O45" i="2" s="1"/>
  <c r="U44" i="2"/>
  <c r="AB44" i="2"/>
  <c r="AA44" i="2"/>
  <c r="Z44" i="2"/>
  <c r="Y44" i="2"/>
  <c r="X44" i="2"/>
  <c r="W44" i="2"/>
  <c r="V44" i="2"/>
  <c r="AC44" i="2"/>
  <c r="T44" i="2"/>
  <c r="S44" i="2"/>
  <c r="R44" i="2"/>
  <c r="Q44" i="2"/>
  <c r="P44" i="2"/>
  <c r="O44" i="2"/>
  <c r="N44" i="2"/>
  <c r="M44" i="2"/>
  <c r="L44" i="2"/>
  <c r="K44" i="2"/>
  <c r="J44" i="2"/>
  <c r="I44" i="2"/>
  <c r="AD44" i="2"/>
  <c r="AK44" i="2"/>
  <c r="AJ44" i="2"/>
  <c r="AI44" i="2"/>
  <c r="AH44" i="2"/>
  <c r="AG44" i="2"/>
  <c r="AF44" i="2"/>
  <c r="AE44" i="2"/>
  <c r="AK43" i="2"/>
  <c r="AK42" i="2" s="1"/>
  <c r="AJ43" i="2"/>
  <c r="AJ42" i="2" s="1"/>
  <c r="AI43" i="2"/>
  <c r="AI42" i="2" s="1"/>
  <c r="AH43" i="2"/>
  <c r="AH42" i="2" s="1"/>
  <c r="AG43" i="2"/>
  <c r="AG42" i="2" s="1"/>
  <c r="AF43" i="2"/>
  <c r="AF42" i="2" s="1"/>
  <c r="AE43" i="2"/>
  <c r="AE42" i="2" s="1"/>
  <c r="AD43" i="2"/>
  <c r="AD42" i="2" s="1"/>
  <c r="U43" i="2"/>
  <c r="U42" i="2" s="1"/>
  <c r="T43" i="2"/>
  <c r="T42" i="2" s="1"/>
  <c r="S43" i="2"/>
  <c r="S42" i="2" s="1"/>
  <c r="R43" i="2"/>
  <c r="R42" i="2" s="1"/>
  <c r="Q43" i="2"/>
  <c r="Q42" i="2" s="1"/>
  <c r="P43" i="2"/>
  <c r="P42" i="2" s="1"/>
  <c r="AB43" i="2"/>
  <c r="AB42" i="2" s="1"/>
  <c r="N43" i="2"/>
  <c r="N42" i="2" s="1"/>
  <c r="M43" i="2"/>
  <c r="M42" i="2" s="1"/>
  <c r="L43" i="2"/>
  <c r="L42" i="2" s="1"/>
  <c r="K43" i="2"/>
  <c r="K42" i="2" s="1"/>
  <c r="J43" i="2"/>
  <c r="J42" i="2" s="1"/>
  <c r="I43" i="2"/>
  <c r="I42" i="2" s="1"/>
  <c r="AC43" i="2"/>
  <c r="AC42" i="2" s="1"/>
  <c r="AA43" i="2"/>
  <c r="AA42" i="2" s="1"/>
  <c r="Z43" i="2"/>
  <c r="Z42" i="2" s="1"/>
  <c r="Y43" i="2"/>
  <c r="Y42" i="2" s="1"/>
  <c r="X43" i="2"/>
  <c r="X42" i="2" s="1"/>
  <c r="W43" i="2"/>
  <c r="W42" i="2" s="1"/>
  <c r="V43" i="2"/>
  <c r="V42" i="2" s="1"/>
  <c r="O43" i="2"/>
  <c r="O42" i="2" s="1"/>
  <c r="AC41" i="2"/>
  <c r="AB41" i="2"/>
  <c r="AA41" i="2"/>
  <c r="Z41" i="2"/>
  <c r="Y41" i="2"/>
  <c r="X41" i="2"/>
  <c r="W41" i="2"/>
  <c r="V41" i="2"/>
  <c r="U41" i="2"/>
  <c r="T41" i="2"/>
  <c r="S41" i="2"/>
  <c r="R41" i="2"/>
  <c r="Q41" i="2"/>
  <c r="P41" i="2"/>
  <c r="O41" i="2"/>
  <c r="N41" i="2"/>
  <c r="M41" i="2"/>
  <c r="L41" i="2"/>
  <c r="K41" i="2"/>
  <c r="J41" i="2"/>
  <c r="I41" i="2"/>
  <c r="AK41" i="2"/>
  <c r="AJ41" i="2"/>
  <c r="AI41" i="2"/>
  <c r="AH41" i="2"/>
  <c r="AG41" i="2"/>
  <c r="AF41" i="2"/>
  <c r="AE41" i="2"/>
  <c r="AD41" i="2"/>
  <c r="AD40" i="2"/>
  <c r="AC40" i="2"/>
  <c r="AB40" i="2"/>
  <c r="AA40" i="2"/>
  <c r="Z40" i="2"/>
  <c r="Y40" i="2"/>
  <c r="X40" i="2"/>
  <c r="W40" i="2"/>
  <c r="V40" i="2"/>
  <c r="U40" i="2"/>
  <c r="T40" i="2"/>
  <c r="S40" i="2"/>
  <c r="R40" i="2"/>
  <c r="Q40" i="2"/>
  <c r="P40" i="2"/>
  <c r="O40" i="2"/>
  <c r="J40" i="2"/>
  <c r="M40" i="2"/>
  <c r="L40" i="2"/>
  <c r="K40" i="2"/>
  <c r="I40" i="2"/>
  <c r="AK40" i="2"/>
  <c r="N40" i="2"/>
  <c r="AJ40" i="2"/>
  <c r="AI40" i="2"/>
  <c r="AH40" i="2"/>
  <c r="AG40" i="2"/>
  <c r="AF40" i="2"/>
  <c r="AE40" i="2"/>
  <c r="AD39" i="2"/>
  <c r="AC39" i="2"/>
  <c r="AB39" i="2"/>
  <c r="AA39" i="2"/>
  <c r="Z39" i="2"/>
  <c r="Y39" i="2"/>
  <c r="X39" i="2"/>
  <c r="W39" i="2"/>
  <c r="V39" i="2"/>
  <c r="U39" i="2"/>
  <c r="I39" i="2"/>
  <c r="S39" i="2"/>
  <c r="R39" i="2"/>
  <c r="Q39" i="2"/>
  <c r="J39" i="2"/>
  <c r="O39" i="2"/>
  <c r="N39" i="2"/>
  <c r="M39" i="2"/>
  <c r="L39" i="2"/>
  <c r="K39" i="2"/>
  <c r="AK39" i="2"/>
  <c r="P39" i="2"/>
  <c r="AJ39" i="2"/>
  <c r="AI39" i="2"/>
  <c r="AH39" i="2"/>
  <c r="AG39" i="2"/>
  <c r="AF39" i="2"/>
  <c r="AE39" i="2"/>
  <c r="T39" i="2"/>
  <c r="AB38" i="2"/>
  <c r="AB37" i="2" s="1"/>
  <c r="AA38" i="2"/>
  <c r="AA37" i="2" s="1"/>
  <c r="Z38" i="2"/>
  <c r="Z37" i="2" s="1"/>
  <c r="Y38" i="2"/>
  <c r="Y37" i="2" s="1"/>
  <c r="X38" i="2"/>
  <c r="X37" i="2" s="1"/>
  <c r="W38" i="2"/>
  <c r="W37" i="2" s="1"/>
  <c r="V38" i="2"/>
  <c r="V37" i="2" s="1"/>
  <c r="U38" i="2"/>
  <c r="U37" i="2" s="1"/>
  <c r="T38" i="2"/>
  <c r="T37" i="2" s="1"/>
  <c r="S38" i="2"/>
  <c r="S37" i="2" s="1"/>
  <c r="R38" i="2"/>
  <c r="R37" i="2" s="1"/>
  <c r="Q38" i="2"/>
  <c r="Q37" i="2" s="1"/>
  <c r="P38" i="2"/>
  <c r="P37" i="2" s="1"/>
  <c r="O38" i="2"/>
  <c r="O37" i="2" s="1"/>
  <c r="N38" i="2"/>
  <c r="N37" i="2" s="1"/>
  <c r="M38" i="2"/>
  <c r="M37" i="2" s="1"/>
  <c r="L38" i="2"/>
  <c r="L37" i="2" s="1"/>
  <c r="K38" i="2"/>
  <c r="K37" i="2" s="1"/>
  <c r="J38" i="2"/>
  <c r="J37" i="2" s="1"/>
  <c r="I38" i="2"/>
  <c r="I37" i="2" s="1"/>
  <c r="AK38" i="2"/>
  <c r="AK37" i="2" s="1"/>
  <c r="AJ38" i="2"/>
  <c r="AJ37" i="2" s="1"/>
  <c r="AI38" i="2"/>
  <c r="AI37" i="2" s="1"/>
  <c r="AH38" i="2"/>
  <c r="AH37" i="2" s="1"/>
  <c r="AG38" i="2"/>
  <c r="AG37" i="2" s="1"/>
  <c r="AF38" i="2"/>
  <c r="AF37" i="2" s="1"/>
  <c r="AE38" i="2"/>
  <c r="AE37" i="2" s="1"/>
  <c r="AD38" i="2"/>
  <c r="AD37" i="2" s="1"/>
  <c r="AC38" i="2"/>
  <c r="AC37" i="2" s="1"/>
  <c r="Q36" i="2"/>
  <c r="S36" i="2"/>
  <c r="L36" i="2"/>
  <c r="M36" i="2"/>
  <c r="P36" i="2"/>
  <c r="N36" i="2"/>
  <c r="O36" i="2"/>
  <c r="V36" i="2"/>
  <c r="U36" i="2"/>
  <c r="W36" i="2"/>
  <c r="X36" i="2"/>
  <c r="Y36" i="2"/>
  <c r="Z36" i="2"/>
  <c r="AA36" i="2"/>
  <c r="AB36" i="2"/>
  <c r="AC36" i="2"/>
  <c r="AD36" i="2"/>
  <c r="AE36" i="2"/>
  <c r="AF36" i="2"/>
  <c r="AG36" i="2"/>
  <c r="AH36" i="2"/>
  <c r="AI36" i="2"/>
  <c r="J36" i="2"/>
  <c r="AJ36" i="2"/>
  <c r="AK36" i="2"/>
  <c r="R36" i="2"/>
  <c r="T36" i="2"/>
  <c r="K36" i="2"/>
  <c r="I36" i="2"/>
  <c r="L35" i="2"/>
  <c r="M35" i="2"/>
  <c r="N35" i="2"/>
  <c r="O35" i="2"/>
  <c r="P35" i="2"/>
  <c r="Q35" i="2"/>
  <c r="S35" i="2"/>
  <c r="T35" i="2"/>
  <c r="U35" i="2"/>
  <c r="V35" i="2"/>
  <c r="W35" i="2"/>
  <c r="X35" i="2"/>
  <c r="R35" i="2"/>
  <c r="Z35" i="2"/>
  <c r="AA35" i="2"/>
  <c r="AB35" i="2"/>
  <c r="AC35" i="2"/>
  <c r="AD35" i="2"/>
  <c r="AE35" i="2"/>
  <c r="AF35" i="2"/>
  <c r="AH35" i="2"/>
  <c r="AI35" i="2"/>
  <c r="AJ35" i="2"/>
  <c r="AK35" i="2"/>
  <c r="AG35" i="2"/>
  <c r="Y35" i="2"/>
  <c r="K35" i="2"/>
  <c r="J35" i="2"/>
  <c r="I35" i="2"/>
  <c r="W34" i="2"/>
  <c r="V34" i="2"/>
  <c r="U34" i="2"/>
  <c r="T34" i="2"/>
  <c r="S34" i="2"/>
  <c r="R34" i="2"/>
  <c r="L34" i="2"/>
  <c r="M34" i="2"/>
  <c r="Q34" i="2"/>
  <c r="X34" i="2"/>
  <c r="I34" i="2"/>
  <c r="J34" i="2"/>
  <c r="K34" i="2"/>
  <c r="Z34" i="2"/>
  <c r="Y34" i="2"/>
  <c r="AA34" i="2"/>
  <c r="P34" i="2"/>
  <c r="O34" i="2"/>
  <c r="N34" i="2"/>
  <c r="AK34" i="2"/>
  <c r="AJ34" i="2"/>
  <c r="AI34" i="2"/>
  <c r="AH34" i="2"/>
  <c r="AG34" i="2"/>
  <c r="AF34" i="2"/>
  <c r="AE34" i="2"/>
  <c r="AD34" i="2"/>
  <c r="AC34" i="2"/>
  <c r="AB34" i="2"/>
  <c r="V33" i="2"/>
  <c r="V32" i="2" s="1"/>
  <c r="AD33" i="2"/>
  <c r="AD32" i="2" s="1"/>
  <c r="AE33" i="2"/>
  <c r="AE32" i="2" s="1"/>
  <c r="AF33" i="2"/>
  <c r="AF32" i="2" s="1"/>
  <c r="AG33" i="2"/>
  <c r="AG32" i="2" s="1"/>
  <c r="AH33" i="2"/>
  <c r="AH32" i="2" s="1"/>
  <c r="AI33" i="2"/>
  <c r="AI32" i="2" s="1"/>
  <c r="AJ33" i="2"/>
  <c r="AJ32" i="2" s="1"/>
  <c r="AK33" i="2"/>
  <c r="AK32" i="2" s="1"/>
  <c r="I33" i="2"/>
  <c r="I32" i="2" s="1"/>
  <c r="K33" i="2"/>
  <c r="K32" i="2" s="1"/>
  <c r="L33" i="2"/>
  <c r="L32" i="2" s="1"/>
  <c r="M33" i="2"/>
  <c r="M32" i="2" s="1"/>
  <c r="N33" i="2"/>
  <c r="N32" i="2" s="1"/>
  <c r="O33" i="2"/>
  <c r="O32" i="2" s="1"/>
  <c r="P33" i="2"/>
  <c r="P32" i="2" s="1"/>
  <c r="Q33" i="2"/>
  <c r="Q32" i="2" s="1"/>
  <c r="R33" i="2"/>
  <c r="R32" i="2" s="1"/>
  <c r="S33" i="2"/>
  <c r="S32" i="2" s="1"/>
  <c r="T33" i="2"/>
  <c r="T32" i="2" s="1"/>
  <c r="U33" i="2"/>
  <c r="U32" i="2" s="1"/>
  <c r="J33" i="2"/>
  <c r="J32" i="2" s="1"/>
  <c r="W33" i="2"/>
  <c r="W32" i="2" s="1"/>
  <c r="X33" i="2"/>
  <c r="X32" i="2" s="1"/>
  <c r="Y33" i="2"/>
  <c r="Y32" i="2" s="1"/>
  <c r="Z33" i="2"/>
  <c r="Z32" i="2" s="1"/>
  <c r="AA33" i="2"/>
  <c r="AA32" i="2" s="1"/>
  <c r="AB33" i="2"/>
  <c r="AB32" i="2" s="1"/>
  <c r="AC33" i="2"/>
  <c r="AC32" i="2" s="1"/>
  <c r="AE31" i="2"/>
  <c r="AF31" i="2"/>
  <c r="AG31" i="2"/>
  <c r="AH31" i="2"/>
  <c r="AI31" i="2"/>
  <c r="AJ31" i="2"/>
  <c r="AK31" i="2"/>
  <c r="I31" i="2"/>
  <c r="J31" i="2"/>
  <c r="M31" i="2"/>
  <c r="N31" i="2"/>
  <c r="R31" i="2"/>
  <c r="T31" i="2"/>
  <c r="W31" i="2"/>
  <c r="P31" i="2"/>
  <c r="X31" i="2"/>
  <c r="K31" i="2"/>
  <c r="L31" i="2"/>
  <c r="O31" i="2"/>
  <c r="Q31" i="2"/>
  <c r="S31" i="2"/>
  <c r="U31" i="2"/>
  <c r="V31" i="2"/>
  <c r="Y31" i="2"/>
  <c r="Z31" i="2"/>
  <c r="AA31" i="2"/>
  <c r="AB31" i="2"/>
  <c r="AC31" i="2"/>
  <c r="AD31" i="2"/>
  <c r="AG30" i="2"/>
  <c r="U30" i="2"/>
  <c r="V30" i="2"/>
  <c r="X30" i="2"/>
  <c r="Y30" i="2"/>
  <c r="Z30" i="2"/>
  <c r="J30" i="2"/>
  <c r="K30" i="2"/>
  <c r="M30" i="2"/>
  <c r="O30" i="2"/>
  <c r="AK30" i="2"/>
  <c r="AJ30" i="2"/>
  <c r="AI30" i="2"/>
  <c r="AH30" i="2"/>
  <c r="P30" i="2"/>
  <c r="AF30" i="2"/>
  <c r="AE30" i="2"/>
  <c r="R30" i="2"/>
  <c r="AD30" i="2"/>
  <c r="AC30" i="2"/>
  <c r="AB30" i="2"/>
  <c r="AA30" i="2"/>
  <c r="W30" i="2"/>
  <c r="S30" i="2"/>
  <c r="Q30" i="2"/>
  <c r="N30" i="2"/>
  <c r="L30" i="2"/>
  <c r="I30" i="2"/>
  <c r="T30" i="2"/>
  <c r="T29" i="2"/>
  <c r="R29" i="2"/>
  <c r="P29" i="2"/>
  <c r="N29" i="2"/>
  <c r="L29" i="2"/>
  <c r="J29" i="2"/>
  <c r="I29" i="2"/>
  <c r="M29" i="2"/>
  <c r="Q29" i="2"/>
  <c r="AK29" i="2"/>
  <c r="O29" i="2"/>
  <c r="K29" i="2"/>
  <c r="AJ29" i="2"/>
  <c r="AI29" i="2"/>
  <c r="AH29" i="2"/>
  <c r="AG29" i="2"/>
  <c r="AF29" i="2"/>
  <c r="AE29" i="2"/>
  <c r="AD29" i="2"/>
  <c r="AC29" i="2"/>
  <c r="AB29" i="2"/>
  <c r="AA29" i="2"/>
  <c r="Z29" i="2"/>
  <c r="Y29" i="2"/>
  <c r="X29" i="2"/>
  <c r="W29" i="2"/>
  <c r="V29" i="2"/>
  <c r="U29" i="2"/>
  <c r="S29" i="2"/>
  <c r="I28" i="2"/>
  <c r="AE28" i="2"/>
  <c r="AD28" i="2"/>
  <c r="AK28" i="2"/>
  <c r="AJ28" i="2"/>
  <c r="AI28" i="2"/>
  <c r="AH28" i="2"/>
  <c r="M28" i="2"/>
  <c r="AG28" i="2"/>
  <c r="AF28" i="2"/>
  <c r="AB28" i="2"/>
  <c r="AA28" i="2"/>
  <c r="Z28" i="2"/>
  <c r="Y28" i="2"/>
  <c r="X28" i="2"/>
  <c r="W28" i="2"/>
  <c r="V28" i="2"/>
  <c r="U28" i="2"/>
  <c r="T28" i="2"/>
  <c r="R28" i="2"/>
  <c r="Q28" i="2"/>
  <c r="O28" i="2"/>
  <c r="K28" i="2"/>
  <c r="AC28" i="2"/>
  <c r="S28" i="2"/>
  <c r="P28" i="2"/>
  <c r="N28" i="2"/>
  <c r="L28" i="2"/>
  <c r="J28" i="2"/>
  <c r="AG27" i="2"/>
  <c r="W27" i="2"/>
  <c r="T27" i="2"/>
  <c r="R27" i="2"/>
  <c r="Q27" i="2"/>
  <c r="O27" i="2"/>
  <c r="L27" i="2"/>
  <c r="J27" i="2"/>
  <c r="AK27" i="2"/>
  <c r="X27" i="2"/>
  <c r="AH27" i="2"/>
  <c r="AI27" i="2"/>
  <c r="AJ27" i="2"/>
  <c r="AF27" i="2"/>
  <c r="Y27" i="2"/>
  <c r="AE27" i="2"/>
  <c r="Z27" i="2"/>
  <c r="AA27" i="2"/>
  <c r="AB27" i="2"/>
  <c r="AC27" i="2"/>
  <c r="AD27" i="2"/>
  <c r="V27" i="2"/>
  <c r="U27" i="2"/>
  <c r="S27" i="2"/>
  <c r="P27" i="2"/>
  <c r="N27" i="2"/>
  <c r="M27" i="2"/>
  <c r="K27" i="2"/>
  <c r="I27" i="2"/>
  <c r="S26" i="2"/>
  <c r="S25" i="2" s="1"/>
  <c r="U26" i="2"/>
  <c r="U25" i="2" s="1"/>
  <c r="V26" i="2"/>
  <c r="V25" i="2" s="1"/>
  <c r="X26" i="2"/>
  <c r="X25" i="2" s="1"/>
  <c r="Z26" i="2"/>
  <c r="Z25" i="2" s="1"/>
  <c r="AB26" i="2"/>
  <c r="AB25" i="2" s="1"/>
  <c r="AC26" i="2"/>
  <c r="AC25" i="2" s="1"/>
  <c r="AD26" i="2"/>
  <c r="AD25" i="2" s="1"/>
  <c r="AA26" i="2"/>
  <c r="AA25" i="2" s="1"/>
  <c r="J26" i="2"/>
  <c r="J25" i="2" s="1"/>
  <c r="L26" i="2"/>
  <c r="L25" i="2" s="1"/>
  <c r="N26" i="2"/>
  <c r="N25" i="2" s="1"/>
  <c r="P26" i="2"/>
  <c r="P25" i="2" s="1"/>
  <c r="AK26" i="2"/>
  <c r="AK25" i="2" s="1"/>
  <c r="AJ26" i="2"/>
  <c r="AJ25" i="2" s="1"/>
  <c r="AI26" i="2"/>
  <c r="AI25" i="2" s="1"/>
  <c r="AH26" i="2"/>
  <c r="AH25" i="2" s="1"/>
  <c r="AG26" i="2"/>
  <c r="AG25" i="2" s="1"/>
  <c r="AF26" i="2"/>
  <c r="AF25" i="2" s="1"/>
  <c r="AE26" i="2"/>
  <c r="AE25" i="2" s="1"/>
  <c r="Y26" i="2"/>
  <c r="Y25" i="2" s="1"/>
  <c r="W26" i="2"/>
  <c r="W25" i="2" s="1"/>
  <c r="T26" i="2"/>
  <c r="T25" i="2" s="1"/>
  <c r="R26" i="2"/>
  <c r="R25" i="2" s="1"/>
  <c r="Q26" i="2"/>
  <c r="Q25" i="2" s="1"/>
  <c r="O26" i="2"/>
  <c r="O25" i="2" s="1"/>
  <c r="M26" i="2"/>
  <c r="M25" i="2" s="1"/>
  <c r="K26" i="2"/>
  <c r="K25" i="2" s="1"/>
  <c r="I26" i="2"/>
  <c r="I25" i="2" s="1"/>
  <c r="P24" i="2"/>
  <c r="U24" i="2"/>
  <c r="T24" i="2"/>
  <c r="R24" i="2"/>
  <c r="O24" i="2"/>
  <c r="AK24" i="2"/>
  <c r="AJ24" i="2"/>
  <c r="AI24" i="2"/>
  <c r="AH24" i="2"/>
  <c r="AG24" i="2"/>
  <c r="AF24" i="2"/>
  <c r="AE24" i="2"/>
  <c r="AD24" i="2"/>
  <c r="AC24" i="2"/>
  <c r="AB24" i="2"/>
  <c r="AA24" i="2"/>
  <c r="Z24" i="2"/>
  <c r="Y24" i="2"/>
  <c r="M24" i="2"/>
  <c r="K24" i="2"/>
  <c r="X24" i="2"/>
  <c r="I24" i="2"/>
  <c r="S24" i="2"/>
  <c r="Q24" i="2"/>
  <c r="N24" i="2"/>
  <c r="L24" i="2"/>
  <c r="J24" i="2"/>
  <c r="W24" i="2"/>
  <c r="V24" i="2"/>
  <c r="AB23" i="2"/>
  <c r="AJ23" i="2"/>
  <c r="AK23" i="2"/>
  <c r="Y23" i="2"/>
  <c r="Z23" i="2"/>
  <c r="AA23" i="2"/>
  <c r="AC23" i="2"/>
  <c r="AI23" i="2"/>
  <c r="AD23" i="2"/>
  <c r="AE23" i="2"/>
  <c r="AF23" i="2"/>
  <c r="T23" i="2"/>
  <c r="Q23" i="2"/>
  <c r="O23" i="2"/>
  <c r="M23" i="2"/>
  <c r="K23" i="2"/>
  <c r="I23" i="2"/>
  <c r="AG23" i="2"/>
  <c r="AH23" i="2"/>
  <c r="X23" i="2"/>
  <c r="W23" i="2"/>
  <c r="V23" i="2"/>
  <c r="U23" i="2"/>
  <c r="S23" i="2"/>
  <c r="R23" i="2"/>
  <c r="P23" i="2"/>
  <c r="N23" i="2"/>
  <c r="L23" i="2"/>
  <c r="J23" i="2"/>
  <c r="S22" i="2"/>
  <c r="S21" i="2" s="1"/>
  <c r="R22" i="2"/>
  <c r="R21" i="2" s="1"/>
  <c r="Q22" i="2"/>
  <c r="Q21" i="2" s="1"/>
  <c r="O22" i="2"/>
  <c r="O21" i="2" s="1"/>
  <c r="N22" i="2"/>
  <c r="N21" i="2" s="1"/>
  <c r="M22" i="2"/>
  <c r="M21" i="2" s="1"/>
  <c r="K22" i="2"/>
  <c r="K21" i="2" s="1"/>
  <c r="Y22" i="2"/>
  <c r="Y21" i="2" s="1"/>
  <c r="AK22" i="2"/>
  <c r="AK21" i="2" s="1"/>
  <c r="AJ22" i="2"/>
  <c r="AJ21" i="2" s="1"/>
  <c r="AI22" i="2"/>
  <c r="AI21" i="2" s="1"/>
  <c r="AH22" i="2"/>
  <c r="AH21" i="2" s="1"/>
  <c r="AG22" i="2"/>
  <c r="AG21" i="2" s="1"/>
  <c r="AF22" i="2"/>
  <c r="AF21" i="2" s="1"/>
  <c r="AE22" i="2"/>
  <c r="AE21" i="2" s="1"/>
  <c r="AD22" i="2"/>
  <c r="AD21" i="2" s="1"/>
  <c r="AC22" i="2"/>
  <c r="AC21" i="2" s="1"/>
  <c r="AB22" i="2"/>
  <c r="AB21" i="2" s="1"/>
  <c r="AA22" i="2"/>
  <c r="AA21" i="2" s="1"/>
  <c r="Z22" i="2"/>
  <c r="Z21" i="2" s="1"/>
  <c r="X22" i="2"/>
  <c r="X21" i="2" s="1"/>
  <c r="W22" i="2"/>
  <c r="W21" i="2" s="1"/>
  <c r="V22" i="2"/>
  <c r="V21" i="2" s="1"/>
  <c r="U22" i="2"/>
  <c r="U21" i="2" s="1"/>
  <c r="T22" i="2"/>
  <c r="T21" i="2" s="1"/>
  <c r="P22" i="2"/>
  <c r="P21" i="2" s="1"/>
  <c r="L22" i="2"/>
  <c r="L21" i="2" s="1"/>
  <c r="J22" i="2"/>
  <c r="J21" i="2" s="1"/>
  <c r="I22" i="2"/>
  <c r="I21" i="2" s="1"/>
  <c r="X20" i="2"/>
  <c r="AA20" i="2"/>
  <c r="J20" i="2"/>
  <c r="S20" i="2"/>
  <c r="Q20" i="2"/>
  <c r="O20" i="2"/>
  <c r="M20" i="2"/>
  <c r="V20" i="2"/>
  <c r="K20" i="2"/>
  <c r="L20" i="2"/>
  <c r="N20" i="2"/>
  <c r="P20" i="2"/>
  <c r="R20" i="2"/>
  <c r="T20" i="2"/>
  <c r="I20" i="2"/>
  <c r="AK20" i="2"/>
  <c r="AJ20" i="2"/>
  <c r="AI20" i="2"/>
  <c r="AH20" i="2"/>
  <c r="AG20" i="2"/>
  <c r="AF20" i="2"/>
  <c r="AE20" i="2"/>
  <c r="AD20" i="2"/>
  <c r="AC20" i="2"/>
  <c r="AB20" i="2"/>
  <c r="Z20" i="2"/>
  <c r="Y20" i="2"/>
  <c r="W20" i="2"/>
  <c r="U20" i="2"/>
  <c r="I19" i="2"/>
  <c r="M19" i="2"/>
  <c r="P19" i="2"/>
  <c r="S19" i="2"/>
  <c r="X19" i="2"/>
  <c r="U19" i="2"/>
  <c r="AD19" i="2"/>
  <c r="AA19" i="2"/>
  <c r="Y19" i="2"/>
  <c r="W19" i="2"/>
  <c r="T19" i="2"/>
  <c r="R19" i="2"/>
  <c r="O19" i="2"/>
  <c r="K19" i="2"/>
  <c r="J19" i="2"/>
  <c r="L19" i="2"/>
  <c r="N19" i="2"/>
  <c r="Q19" i="2"/>
  <c r="V19" i="2"/>
  <c r="Z19" i="2"/>
  <c r="AB19" i="2"/>
  <c r="AC19" i="2"/>
  <c r="AE19" i="2"/>
  <c r="AF19" i="2"/>
  <c r="AG19" i="2"/>
  <c r="AH19" i="2"/>
  <c r="AI19" i="2"/>
  <c r="AJ19" i="2"/>
  <c r="AK19" i="2"/>
  <c r="AC18" i="2"/>
  <c r="I18" i="2"/>
  <c r="L18" i="2"/>
  <c r="O18" i="2"/>
  <c r="R18" i="2"/>
  <c r="U18" i="2"/>
  <c r="Y18" i="2"/>
  <c r="P18" i="2"/>
  <c r="M18" i="2"/>
  <c r="J18" i="2"/>
  <c r="AD18" i="2"/>
  <c r="AG18" i="2"/>
  <c r="AI18" i="2"/>
  <c r="AK18" i="2"/>
  <c r="V18" i="2"/>
  <c r="W18" i="2"/>
  <c r="Z18" i="2"/>
  <c r="S18" i="2"/>
  <c r="AJ18" i="2"/>
  <c r="AH18" i="2"/>
  <c r="AF18" i="2"/>
  <c r="AE18" i="2"/>
  <c r="AB18" i="2"/>
  <c r="AA18" i="2"/>
  <c r="X18" i="2"/>
  <c r="T18" i="2"/>
  <c r="Q18" i="2"/>
  <c r="N18" i="2"/>
  <c r="K18" i="2"/>
  <c r="AA17" i="2"/>
  <c r="O17" i="2"/>
  <c r="K17" i="2"/>
  <c r="N17" i="2"/>
  <c r="R17" i="2"/>
  <c r="AC17" i="2"/>
  <c r="Y17" i="2"/>
  <c r="AE17" i="2"/>
  <c r="AH17" i="2"/>
  <c r="AJ17" i="2"/>
  <c r="AF17" i="2"/>
  <c r="P17" i="2"/>
  <c r="M17" i="2"/>
  <c r="I17" i="2"/>
  <c r="W17" i="2"/>
  <c r="U17" i="2"/>
  <c r="S17" i="2"/>
  <c r="AK17" i="2"/>
  <c r="AI17" i="2"/>
  <c r="AG17" i="2"/>
  <c r="J17" i="2"/>
  <c r="L17" i="2"/>
  <c r="AD17" i="2"/>
  <c r="AB17" i="2"/>
  <c r="Z17" i="2"/>
  <c r="X17" i="2"/>
  <c r="V17" i="2"/>
  <c r="T17" i="2"/>
  <c r="Q17" i="2"/>
  <c r="AK16" i="2"/>
  <c r="AK15" i="2" s="1"/>
  <c r="AA16" i="2"/>
  <c r="AA15" i="2" s="1"/>
  <c r="AC16" i="2"/>
  <c r="AC15" i="2" s="1"/>
  <c r="AF16" i="2"/>
  <c r="AF15" i="2" s="1"/>
  <c r="AH16" i="2"/>
  <c r="AH15" i="2" s="1"/>
  <c r="AJ16" i="2"/>
  <c r="AJ15" i="2" s="1"/>
  <c r="AD16" i="2"/>
  <c r="AD15" i="2" s="1"/>
  <c r="AG16" i="2"/>
  <c r="AG15" i="2" s="1"/>
  <c r="AE16" i="2"/>
  <c r="AE15" i="2" s="1"/>
  <c r="AB16" i="2"/>
  <c r="AB15" i="2" s="1"/>
  <c r="Z16" i="2"/>
  <c r="Z15" i="2" s="1"/>
  <c r="X16" i="2"/>
  <c r="X15" i="2" s="1"/>
  <c r="N16" i="2"/>
  <c r="N15" i="2" s="1"/>
  <c r="V16" i="2"/>
  <c r="V15" i="2" s="1"/>
  <c r="S16" i="2"/>
  <c r="S15" i="2" s="1"/>
  <c r="K16" i="2"/>
  <c r="K15" i="2" s="1"/>
  <c r="Q16" i="2"/>
  <c r="Q15" i="2" s="1"/>
  <c r="M16" i="2"/>
  <c r="M15" i="2" s="1"/>
  <c r="P16" i="2"/>
  <c r="P15" i="2" s="1"/>
  <c r="T16" i="2"/>
  <c r="T15" i="2" s="1"/>
  <c r="O16" i="2"/>
  <c r="O15" i="2" s="1"/>
  <c r="L16" i="2"/>
  <c r="L15" i="2" s="1"/>
  <c r="I16" i="2"/>
  <c r="I15" i="2" s="1"/>
  <c r="J16" i="2"/>
  <c r="J15" i="2" s="1"/>
  <c r="AI16" i="2"/>
  <c r="AI15" i="2" s="1"/>
  <c r="R16" i="2"/>
  <c r="R15" i="2" s="1"/>
  <c r="U16" i="2"/>
  <c r="U15" i="2" s="1"/>
  <c r="W16" i="2"/>
  <c r="W15" i="2" s="1"/>
  <c r="Y16" i="2"/>
  <c r="Y15" i="2" s="1"/>
  <c r="R14" i="2"/>
  <c r="O14" i="2"/>
  <c r="L14" i="2"/>
  <c r="I14" i="2"/>
  <c r="S14" i="2"/>
  <c r="P14" i="2"/>
  <c r="J14" i="2"/>
  <c r="Z14" i="2"/>
  <c r="N14" i="2"/>
  <c r="AB14" i="2"/>
  <c r="AD14" i="2"/>
  <c r="AC14" i="2"/>
  <c r="AA14" i="2"/>
  <c r="Y14" i="2"/>
  <c r="V14" i="2"/>
  <c r="U14" i="2"/>
  <c r="X14" i="2"/>
  <c r="AE14" i="2"/>
  <c r="AF14" i="2"/>
  <c r="AG14" i="2"/>
  <c r="AH14" i="2"/>
  <c r="AI14" i="2"/>
  <c r="AJ14" i="2"/>
  <c r="AK14" i="2"/>
  <c r="K14" i="2"/>
  <c r="M14" i="2"/>
  <c r="Q14" i="2"/>
  <c r="T14" i="2"/>
  <c r="W14" i="2"/>
  <c r="T13" i="2"/>
  <c r="AJ13" i="2"/>
  <c r="J13" i="2"/>
  <c r="M13" i="2"/>
  <c r="P13" i="2"/>
  <c r="R13" i="2"/>
  <c r="AD13" i="2"/>
  <c r="W13" i="2"/>
  <c r="Y13" i="2"/>
  <c r="AB13" i="2"/>
  <c r="AF13" i="2"/>
  <c r="AI13" i="2"/>
  <c r="AK13" i="2"/>
  <c r="AG13" i="2"/>
  <c r="I13" i="2"/>
  <c r="L13" i="2"/>
  <c r="O13" i="2"/>
  <c r="Q13" i="2"/>
  <c r="K13" i="2"/>
  <c r="N13" i="2"/>
  <c r="S13" i="2"/>
  <c r="V13" i="2"/>
  <c r="X13" i="2"/>
  <c r="AH13" i="2"/>
  <c r="Z13" i="2"/>
  <c r="AA13" i="2"/>
  <c r="AC13" i="2"/>
  <c r="AE13" i="2"/>
  <c r="U13" i="2"/>
  <c r="J12" i="2"/>
  <c r="N12" i="2"/>
  <c r="AI12" i="2"/>
  <c r="AG12" i="2"/>
  <c r="AE12" i="2"/>
  <c r="AC12" i="2"/>
  <c r="AA12" i="2"/>
  <c r="Y12" i="2"/>
  <c r="AJ12" i="2"/>
  <c r="R12" i="2"/>
  <c r="O12" i="2"/>
  <c r="X12" i="2"/>
  <c r="L12" i="2"/>
  <c r="I12" i="2"/>
  <c r="V12" i="2"/>
  <c r="S12" i="2"/>
  <c r="AB12" i="2"/>
  <c r="Z12" i="2"/>
  <c r="W12" i="2"/>
  <c r="U12" i="2"/>
  <c r="T12" i="2"/>
  <c r="P12" i="2"/>
  <c r="AK12" i="2"/>
  <c r="AH12" i="2"/>
  <c r="AF12" i="2"/>
  <c r="AD12" i="2"/>
  <c r="M12" i="2"/>
  <c r="K12" i="2"/>
  <c r="Q12" i="2"/>
  <c r="AK11" i="2"/>
  <c r="AK10" i="2" s="1"/>
  <c r="AJ11" i="2"/>
  <c r="AJ10" i="2" s="1"/>
  <c r="AI11" i="2"/>
  <c r="AI10" i="2" s="1"/>
  <c r="AF11" i="2"/>
  <c r="AF10" i="2" s="1"/>
  <c r="AC11" i="2"/>
  <c r="AC10" i="2" s="1"/>
  <c r="AA11" i="2"/>
  <c r="AA10" i="2" s="1"/>
  <c r="T11" i="2"/>
  <c r="T10" i="2" s="1"/>
  <c r="AH11" i="2"/>
  <c r="AH10" i="2" s="1"/>
  <c r="O11" i="2"/>
  <c r="O10" i="2" s="1"/>
  <c r="AE11" i="2"/>
  <c r="AE10" i="2" s="1"/>
  <c r="AD11" i="2"/>
  <c r="AD10" i="2" s="1"/>
  <c r="Z11" i="2"/>
  <c r="Z10" i="2" s="1"/>
  <c r="X11" i="2"/>
  <c r="X10" i="2" s="1"/>
  <c r="V11" i="2"/>
  <c r="V10" i="2" s="1"/>
  <c r="Q11" i="2"/>
  <c r="Q10" i="2" s="1"/>
  <c r="M11" i="2"/>
  <c r="M10" i="2" s="1"/>
  <c r="K11" i="2"/>
  <c r="K10" i="2" s="1"/>
  <c r="AG11" i="2"/>
  <c r="AG10" i="2" s="1"/>
  <c r="S11" i="2"/>
  <c r="S10" i="2" s="1"/>
  <c r="AB11" i="2"/>
  <c r="AB10" i="2" s="1"/>
  <c r="W11" i="2"/>
  <c r="W10" i="2" s="1"/>
  <c r="Y11" i="2"/>
  <c r="Y10" i="2" s="1"/>
  <c r="R11" i="2"/>
  <c r="R10" i="2" s="1"/>
  <c r="P11" i="2"/>
  <c r="P10" i="2" s="1"/>
  <c r="N11" i="2"/>
  <c r="N10" i="2" s="1"/>
  <c r="L11" i="2"/>
  <c r="L10" i="2" s="1"/>
  <c r="I11" i="2"/>
  <c r="I10" i="2" s="1"/>
  <c r="J11" i="2"/>
  <c r="J10" i="2" s="1"/>
  <c r="U11" i="2"/>
  <c r="U10" i="2" s="1"/>
  <c r="AB9" i="2"/>
  <c r="AD9" i="2"/>
  <c r="AF9" i="2"/>
  <c r="AG9" i="2"/>
  <c r="AJ9" i="2"/>
  <c r="Z9" i="2"/>
  <c r="V9" i="2"/>
  <c r="S9" i="2"/>
  <c r="P9" i="2"/>
  <c r="M9" i="2"/>
  <c r="K9" i="2"/>
  <c r="AI9" i="2"/>
  <c r="AH9" i="2"/>
  <c r="AE9" i="2"/>
  <c r="AC9" i="2"/>
  <c r="AA9" i="2"/>
  <c r="X9" i="2"/>
  <c r="U9" i="2"/>
  <c r="R9" i="2"/>
  <c r="N9" i="2"/>
  <c r="J9" i="2"/>
  <c r="AK9" i="2"/>
  <c r="I9" i="2"/>
  <c r="L9" i="2"/>
  <c r="O9" i="2"/>
  <c r="Q9" i="2"/>
  <c r="T9" i="2"/>
  <c r="W9" i="2"/>
  <c r="Y9" i="2"/>
  <c r="W8" i="2"/>
  <c r="AK8" i="2"/>
  <c r="AG8" i="2"/>
  <c r="X8" i="2"/>
  <c r="J8" i="2"/>
  <c r="L8" i="2"/>
  <c r="Y8" i="2"/>
  <c r="AI8" i="2"/>
  <c r="U8" i="2"/>
  <c r="S8" i="2"/>
  <c r="Q8" i="2"/>
  <c r="N8" i="2"/>
  <c r="K8" i="2"/>
  <c r="O8" i="2"/>
  <c r="Z8" i="2"/>
  <c r="AD8" i="2"/>
  <c r="AF8" i="2"/>
  <c r="AH8" i="2"/>
  <c r="AE8" i="2"/>
  <c r="AC8" i="2"/>
  <c r="AA8" i="2"/>
  <c r="AB8" i="2"/>
  <c r="I8" i="2"/>
  <c r="M8" i="2"/>
  <c r="P8" i="2"/>
  <c r="R8" i="2"/>
  <c r="T8" i="2"/>
  <c r="V8" i="2"/>
  <c r="AJ8" i="2"/>
  <c r="U7" i="2"/>
  <c r="R7" i="2"/>
  <c r="N7" i="2"/>
  <c r="K7" i="2"/>
  <c r="I7" i="2"/>
  <c r="Y7" i="2"/>
  <c r="V7" i="2"/>
  <c r="T7" i="2"/>
  <c r="M7" i="2"/>
  <c r="J7" i="2"/>
  <c r="P7" i="2"/>
  <c r="AF7" i="2"/>
  <c r="AG7" i="2"/>
  <c r="AI7" i="2"/>
  <c r="L7" i="2"/>
  <c r="O7" i="2"/>
  <c r="Q7" i="2"/>
  <c r="S7" i="2"/>
  <c r="W7" i="2"/>
  <c r="AA7" i="2"/>
  <c r="AC7" i="2"/>
  <c r="X7" i="2"/>
  <c r="AE7" i="2"/>
  <c r="AH7" i="2"/>
  <c r="AJ7" i="2"/>
  <c r="AK7" i="2"/>
  <c r="AD7" i="2"/>
  <c r="AB7" i="2"/>
  <c r="Z7" i="2"/>
  <c r="AE6" i="2"/>
  <c r="AE5" i="2" s="1"/>
  <c r="AC6" i="2"/>
  <c r="AC5" i="2" s="1"/>
  <c r="AA6" i="2"/>
  <c r="AA5" i="2" s="1"/>
  <c r="X6" i="2"/>
  <c r="X5" i="2" s="1"/>
  <c r="J6" i="2"/>
  <c r="J5" i="2" s="1"/>
  <c r="U6" i="2"/>
  <c r="U5" i="2" s="1"/>
  <c r="R6" i="2"/>
  <c r="R5" i="2" s="1"/>
  <c r="P6" i="2"/>
  <c r="P5" i="2" s="1"/>
  <c r="M6" i="2"/>
  <c r="M5" i="2" s="1"/>
  <c r="I6" i="2"/>
  <c r="I5" i="2" s="1"/>
  <c r="L6" i="2"/>
  <c r="L5" i="2" s="1"/>
  <c r="O6" i="2"/>
  <c r="O5" i="2" s="1"/>
  <c r="S6" i="2"/>
  <c r="S5" i="2" s="1"/>
  <c r="W6" i="2"/>
  <c r="W5" i="2" s="1"/>
  <c r="AH6" i="2"/>
  <c r="AH5" i="2" s="1"/>
  <c r="AJ6" i="2"/>
  <c r="AJ5" i="2" s="1"/>
  <c r="AF6" i="2"/>
  <c r="AF5" i="2" s="1"/>
  <c r="AD6" i="2"/>
  <c r="AD5" i="2" s="1"/>
  <c r="AB6" i="2"/>
  <c r="AB5" i="2" s="1"/>
  <c r="Z6" i="2"/>
  <c r="Z5" i="2" s="1"/>
  <c r="Y6" i="2"/>
  <c r="Y5" i="2" s="1"/>
  <c r="V6" i="2"/>
  <c r="V5" i="2" s="1"/>
  <c r="T6" i="2"/>
  <c r="T5" i="2" s="1"/>
  <c r="Q6" i="2"/>
  <c r="Q5" i="2" s="1"/>
  <c r="N6" i="2"/>
  <c r="N5" i="2" s="1"/>
  <c r="K6" i="2"/>
  <c r="K5" i="2" s="1"/>
  <c r="AK6" i="2"/>
  <c r="AK5" i="2" s="1"/>
  <c r="AI6" i="2"/>
  <c r="AI5" i="2" s="1"/>
  <c r="AG6" i="2"/>
  <c r="AG5" i="2" s="1"/>
  <c r="I4" i="2"/>
  <c r="U4" i="2"/>
  <c r="S4" i="2"/>
  <c r="Q4" i="2"/>
  <c r="O4" i="2"/>
  <c r="M4" i="2"/>
  <c r="K4" i="2"/>
  <c r="N4" i="2"/>
  <c r="J4" i="2"/>
  <c r="Z4" i="2"/>
  <c r="L4" i="2"/>
  <c r="W4" i="2"/>
  <c r="AJ4" i="2"/>
  <c r="AH4" i="2"/>
  <c r="AF4" i="2"/>
  <c r="AD4" i="2"/>
  <c r="P4" i="2"/>
  <c r="R4" i="2"/>
  <c r="AK4" i="2"/>
  <c r="AC4" i="2"/>
  <c r="T4" i="2"/>
  <c r="V4" i="2"/>
  <c r="X4" i="2"/>
  <c r="Y4" i="2"/>
  <c r="AA4" i="2"/>
  <c r="AE4" i="2"/>
  <c r="AG4" i="2"/>
  <c r="AI4" i="2"/>
  <c r="AD3" i="2"/>
  <c r="AJ3" i="2"/>
  <c r="AH3" i="2"/>
  <c r="AC3" i="2"/>
  <c r="AB3" i="2"/>
  <c r="AI3" i="2"/>
  <c r="AA3" i="2"/>
  <c r="AK3" i="2"/>
  <c r="Y3" i="2"/>
  <c r="X3" i="2"/>
  <c r="T3" i="2"/>
  <c r="J3" i="2"/>
  <c r="K3" i="2"/>
  <c r="M3" i="2"/>
  <c r="R3" i="2"/>
  <c r="Q3" i="2"/>
  <c r="N3" i="2"/>
  <c r="L3" i="2"/>
  <c r="I3" i="2"/>
  <c r="S3" i="2"/>
  <c r="V3" i="2"/>
  <c r="O3" i="2"/>
  <c r="U3" i="2"/>
  <c r="W3" i="2"/>
  <c r="Z3" i="2"/>
  <c r="AG3" i="2"/>
  <c r="AF3" i="2"/>
  <c r="AE3" i="2"/>
  <c r="P3" i="2"/>
  <c r="AD110" i="2" l="1"/>
  <c r="AD111" i="2"/>
  <c r="AD112" i="2"/>
  <c r="AJ110" i="2"/>
  <c r="AJ111" i="2"/>
  <c r="AJ112" i="2"/>
  <c r="AH110" i="2"/>
  <c r="AH111" i="2"/>
  <c r="AH112" i="2"/>
  <c r="AC110" i="2"/>
  <c r="AC111" i="2"/>
  <c r="AC112" i="2"/>
  <c r="AB110" i="2"/>
  <c r="AB111" i="2"/>
  <c r="AB112" i="2"/>
  <c r="AI110" i="2"/>
  <c r="AI111" i="2"/>
  <c r="AI112" i="2"/>
  <c r="AA110" i="2"/>
  <c r="AA111" i="2"/>
  <c r="AA112" i="2"/>
  <c r="AK110" i="2"/>
  <c r="AK111" i="2"/>
  <c r="AK112" i="2"/>
  <c r="Y110" i="2"/>
  <c r="Y111" i="2"/>
  <c r="Y112" i="2"/>
  <c r="X110" i="2"/>
  <c r="X111" i="2"/>
  <c r="X112" i="2"/>
  <c r="T110" i="2"/>
  <c r="T111" i="2"/>
  <c r="T112" i="2"/>
  <c r="J110" i="2"/>
  <c r="J111" i="2"/>
  <c r="J112" i="2"/>
  <c r="K110" i="2"/>
  <c r="K111" i="2"/>
  <c r="K112" i="2"/>
  <c r="M110" i="2"/>
  <c r="M111" i="2"/>
  <c r="M112" i="2"/>
  <c r="R110" i="2"/>
  <c r="R111" i="2"/>
  <c r="R112" i="2"/>
  <c r="Q110" i="2"/>
  <c r="Q111" i="2"/>
  <c r="Q112" i="2"/>
  <c r="N110" i="2"/>
  <c r="N111" i="2"/>
  <c r="N112" i="2"/>
  <c r="L110" i="2"/>
  <c r="L111" i="2"/>
  <c r="L112" i="2"/>
  <c r="I110" i="2"/>
  <c r="I111" i="2"/>
  <c r="I112" i="2"/>
  <c r="S110" i="2"/>
  <c r="S111" i="2"/>
  <c r="S112" i="2"/>
  <c r="V110" i="2"/>
  <c r="V111" i="2"/>
  <c r="V112" i="2"/>
  <c r="O110" i="2"/>
  <c r="O111" i="2"/>
  <c r="O112" i="2"/>
  <c r="U110" i="2"/>
  <c r="U111" i="2"/>
  <c r="U112" i="2"/>
  <c r="W110" i="2"/>
  <c r="W111" i="2"/>
  <c r="W112" i="2"/>
  <c r="Z110" i="2"/>
  <c r="Z111" i="2"/>
  <c r="Z112" i="2"/>
  <c r="AG110" i="2"/>
  <c r="AG111" i="2"/>
  <c r="AG112" i="2"/>
  <c r="AF110" i="2"/>
  <c r="AF111" i="2"/>
  <c r="AF112" i="2"/>
  <c r="AE110" i="2"/>
  <c r="AE111" i="2"/>
  <c r="AE112" i="2"/>
  <c r="P110" i="2"/>
  <c r="P111" i="2"/>
  <c r="P112" i="2"/>
</calcChain>
</file>

<file path=xl/sharedStrings.xml><?xml version="1.0" encoding="utf-8"?>
<sst xmlns="http://schemas.openxmlformats.org/spreadsheetml/2006/main" count="7867" uniqueCount="875">
  <si>
    <t>S_No</t>
  </si>
  <si>
    <t>ASICS_2017_Report_Q_No</t>
  </si>
  <si>
    <t>ASICS 2023 Question number</t>
  </si>
  <si>
    <t>New City-Systems</t>
  </si>
  <si>
    <t>ASICS 2027_Report_Q No</t>
  </si>
  <si>
    <t>Group</t>
  </si>
  <si>
    <t>Thematic questions</t>
  </si>
  <si>
    <t>Sub-themes</t>
  </si>
  <si>
    <t>Question</t>
  </si>
  <si>
    <t>MQ_SQ</t>
  </si>
  <si>
    <t>Max Score</t>
  </si>
  <si>
    <t>Assessment level</t>
  </si>
  <si>
    <t>Detailed Methodology</t>
  </si>
  <si>
    <t>Notes for scorers</t>
  </si>
  <si>
    <t>1</t>
  </si>
  <si>
    <t>UPD1</t>
  </si>
  <si>
    <t>UPD</t>
  </si>
  <si>
    <t xml:space="preserve">Planning </t>
  </si>
  <si>
    <t xml:space="preserve">Legal and institutional planning architecture
</t>
  </si>
  <si>
    <t>State-level planning framework</t>
  </si>
  <si>
    <t>Is there a provision for a State Spatial Planning Board which is mandated with planning policies and reforms for the state?</t>
  </si>
  <si>
    <t>MQ</t>
  </si>
  <si>
    <t>Law or Policy</t>
  </si>
  <si>
    <t xml:space="preserve">Part A - Check if the state Town and Country Planning (T&amp;CP) act provides for a state-level town and country planning board/ spatial planning board or equivalent body with a 'Shall' provision. If yes, score 5. Where the law only enables the constitution of such a body (e.g., “the State Government may constitute”), additionally verify whether the body has actually been constituted through a government notification or order, or by checking the official website of the relevant State Government department or planning body. If yes, score 5.
Part B - If Part A is scored as 'Yes', check whether the body has an explicit mandate to advise on or formulate state-level spatial planning policies and reforms. if yes, score 5. 
</t>
  </si>
  <si>
    <t>Please note that the name of the body need not be identical, provided its statutory functions correspond to the intent of the question.</t>
  </si>
  <si>
    <t>2</t>
  </si>
  <si>
    <t>UPD9</t>
  </si>
  <si>
    <t>UPD6</t>
  </si>
  <si>
    <t>UPD2</t>
  </si>
  <si>
    <t>Is there a provision for the establishment of Planning Authorities for notified new towns or special developments?</t>
  </si>
  <si>
    <t xml:space="preserve">Check if the T&amp;CP Act has provisions for establishing a planning authority for new areas/towns notified. The state can also be considered, if the provision mandates the existing planning authority to develop a plan for the notified new area. </t>
  </si>
  <si>
    <t>3</t>
  </si>
  <si>
    <t>UPD3</t>
  </si>
  <si>
    <t>Spatial planning hierarchy</t>
  </si>
  <si>
    <t>Does the Act require three levels of spatial plans for cities: Metropolitan/Regional, Municipal and Ward(s) /Local</t>
  </si>
  <si>
    <t xml:space="preserve">The T&amp;CP Act should mandate three levels of spatial plans. </t>
  </si>
  <si>
    <t>3a</t>
  </si>
  <si>
    <t>UPD2a</t>
  </si>
  <si>
    <t>UPD3a</t>
  </si>
  <si>
    <t>Metropolitan/ Regional Plan</t>
  </si>
  <si>
    <t>SQ</t>
  </si>
  <si>
    <t>Check the T&amp;CP/Metropolitan Planning Act for provisions that mandate the creation of a metropolitan/regional plan. Relevant metropolitan authority act/urban areas development authority act can also be considered for evidence. If the city is not a metropolitan, the act should mandate the creation of a regional plan.</t>
  </si>
  <si>
    <t>3b</t>
  </si>
  <si>
    <t>UPD2b</t>
  </si>
  <si>
    <t>UPD3b</t>
  </si>
  <si>
    <t>Municipal/city plan</t>
  </si>
  <si>
    <t xml:space="preserve">Check the T&amp;CP Act for provisions that mandate the creation of a municipal/city plan. Relevant urban areas development authority act can also be considered for evidence. </t>
  </si>
  <si>
    <t>3c</t>
  </si>
  <si>
    <t>UPD2c</t>
  </si>
  <si>
    <t>UPD3c</t>
  </si>
  <si>
    <t>Ward(s)/local plan</t>
  </si>
  <si>
    <t xml:space="preserve">Check the T&amp;CP Act for provisions that mandate the creation of a third tier of plan at the zone/ward level. Town planning schemes that are developed within the framework of the municipal/city plan shall not be considered. </t>
  </si>
  <si>
    <t>Note: Please capture in the comments if the mandate is for a zonal/ward/local area plan, mention the type.</t>
  </si>
  <si>
    <t>4</t>
  </si>
  <si>
    <t>NA</t>
  </si>
  <si>
    <t>UPD4</t>
  </si>
  <si>
    <t>Is the planning boundary of the municipal/city plan aligned with political and administrative boundaries?</t>
  </si>
  <si>
    <t>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
For example:
Entire ULG only = Score 10
Entire ULG + 10 complete Gram Panchayats = Score 10
Entire ULG + 15 complete revenue villages = Score 10
Entire ULG + 2 complete taluks = Score 10
ULG + only part of a Gram Panchayat/revenue village = Score 0
Planning boundary itself divides the ULG, leaving part of the ULG outside the plan = Score 0
Use the notification/text defining the planning area as the primary source.
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t>
  </si>
  <si>
    <t>5</t>
  </si>
  <si>
    <t>UPD5</t>
  </si>
  <si>
    <t>Is there a clear decentralised procedure for approvals of each level of plans?</t>
  </si>
  <si>
    <t xml:space="preserve">Check the state T&amp;CP Act for provisions that delineate a decentralised plan approval process. </t>
  </si>
  <si>
    <t>5a</t>
  </si>
  <si>
    <t>UPD5a</t>
  </si>
  <si>
    <t>Does the law mandate that the metropolitan/regional plan be approved by the state government?</t>
  </si>
  <si>
    <t>Check if the T&amp;CP Act/metropolitan planning act mandates the metropolitan/regional plan to be approved by the state government.</t>
  </si>
  <si>
    <t>5b</t>
  </si>
  <si>
    <t>UPD5b</t>
  </si>
  <si>
    <t>Does the law mandate that the municipal/city plan be approved by the MPC (Metropolitan Planning Committee)  for metropolitan cities or by DPC (District Planning Committee) for non-metropolitan cities?</t>
  </si>
  <si>
    <t xml:space="preserve">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plan is to be approved by the state. </t>
  </si>
  <si>
    <t>5c</t>
  </si>
  <si>
    <t>UPD5c</t>
  </si>
  <si>
    <t>Does the law mandate that the ward(s)/local plan be approved by the ULG?</t>
  </si>
  <si>
    <t xml:space="preserve">Check if the T&amp;CP Act mandates the zonal/ward plans to be approved by the ULG. </t>
  </si>
  <si>
    <t>6</t>
  </si>
  <si>
    <t>Objectives of each level of Municipal/City Plans</t>
  </si>
  <si>
    <t>Does the Act clearly define the objectives/contents of each level of spatial plan?</t>
  </si>
  <si>
    <t xml:space="preserve">Check the T&amp;CP Act for provisions that detail the objectives and contents of each level of spatial plan. The Act should broadly mention what each level of spatial plan should cover. 
Score 3.33 each for the objectives and contents of - 
1. Metropolitan/regional plan
2. Municipal/city plan
3. Ward(s)/local plan 
If the T&amp;CP Act provides for all three, score 10. </t>
  </si>
  <si>
    <t>7</t>
  </si>
  <si>
    <t>UPD16</t>
  </si>
  <si>
    <t>UPD7</t>
  </si>
  <si>
    <t>Metropolitan and district planning institutions</t>
  </si>
  <si>
    <t>Does the city have a functional MPC/DPC?</t>
  </si>
  <si>
    <t>Law/Policy &amp; Implementation</t>
  </si>
  <si>
    <t>Sum of the sub-questions</t>
  </si>
  <si>
    <t>7a</t>
  </si>
  <si>
    <t>UPD16a</t>
  </si>
  <si>
    <t>UPD9a</t>
  </si>
  <si>
    <t>UPD7a</t>
  </si>
  <si>
    <t>Does the law provide for the constitution of an MPC/DPC?</t>
  </si>
  <si>
    <t>Law/Policy</t>
  </si>
  <si>
    <t>Part A:  Check whether there is a mandate in the Municipal or T&amp;CP Act for the constitution of MPC/DPC. If yes, score 2.5                                                                                                                                                                   Part B: Check whether the State has notified the rules for the MPC/DPC applicable to the city. If yes, score 2.5.
MPC applies to metropolitan cities (46 cities); DPC applies for non-metropolitan cities</t>
  </si>
  <si>
    <t>7b</t>
  </si>
  <si>
    <t>UPD16b</t>
  </si>
  <si>
    <t>UPD9b</t>
  </si>
  <si>
    <t>UPD7b</t>
  </si>
  <si>
    <t>Have they met at least once in the past two years?</t>
  </si>
  <si>
    <t>Implementation</t>
  </si>
  <si>
    <t xml:space="preserve">Check whether the MPC/DPC has met at least once in the past two years. Score 5 where there is evidence of meeting in the last two years.
Evidence: State UD/Municipal Administration department notifications/constitution orders/website; MPC/DPC meeting minutes, agendas or resolutions; MPC/DPC and metropolitan planning authority/development authority websites and RTIs.
</t>
  </si>
  <si>
    <t>8</t>
  </si>
  <si>
    <t>UPD8</t>
  </si>
  <si>
    <t>Does the city (million-plus) have a Metropolitan Authority?</t>
  </si>
  <si>
    <t xml:space="preserve">Law or Policy </t>
  </si>
  <si>
    <t xml:space="preserve">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t>
  </si>
  <si>
    <t>9</t>
  </si>
  <si>
    <t>Municipal/City Plan preparation, participation and review</t>
  </si>
  <si>
    <t>Inter-agency participation</t>
  </si>
  <si>
    <t>Does the law mandate participation of all parastatals/ agencies /ULGs in creation of Spatial plans (metro/municipal/ward)?</t>
  </si>
  <si>
    <t xml:space="preserve">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t>
  </si>
  <si>
    <t>10</t>
  </si>
  <si>
    <t>UPD33</t>
  </si>
  <si>
    <t>UPD18</t>
  </si>
  <si>
    <t>UPD10</t>
  </si>
  <si>
    <t>Public participation and scrutiny</t>
  </si>
  <si>
    <t>Does the law mandate public participation in preparation of the municipal plan through Area Sabhas / Ward Sabhas and other means?</t>
  </si>
  <si>
    <t xml:space="preserve">Check if the T&amp;CP Act mandates public participation in preparation of municipal/city plan through:
Part A: Formal platforms such as ward committees and area sabhas. If yes, score 5.
Part B: Other means* for municipal/city plan. If yes, score 5.
*Even if the provision alludes to 'public participation/consultation or consolidation of suggestions and objections without specifying the mode for the same
</t>
  </si>
  <si>
    <t>11</t>
  </si>
  <si>
    <t>UPD34</t>
  </si>
  <si>
    <t>UPD19</t>
  </si>
  <si>
    <t>UPD11</t>
  </si>
  <si>
    <t>Is there public scrutiny for (including objections and responses) municipal/city plan?</t>
  </si>
  <si>
    <t>11a</t>
  </si>
  <si>
    <t>UPD34a</t>
  </si>
  <si>
    <t>UPD11a</t>
  </si>
  <si>
    <t>Does the law mandate public scrutiny for (including objections and responses) municipal/city plan through Area Sabhas / Ward Sabhas and other means?</t>
  </si>
  <si>
    <t>Check if the T&amp;CP Act mandates public scrutiny (including objections and responses) through:
Part A: Formal platforms such as ward committees and area sabhas. If yes, score 2.50.
Part B: Other means* for municipal/city plan. If yes, score 2.50
*Even if the provision alludes to 'public scrutiny/consultation or consolidation of suggestions and objections without specifying the mode for the same</t>
  </si>
  <si>
    <t>11b</t>
  </si>
  <si>
    <t>UPD34b</t>
  </si>
  <si>
    <t>UPD11b</t>
  </si>
  <si>
    <t>Was the public scrutiny undertaken for (including objections and responses) municipal/city plan?</t>
  </si>
  <si>
    <t>Check Development Authority/ULG websites (as applicable) for consultation minutes/details/notifcations for inviting suggestions; newspaper reports; and the municipal/city plan for evidence of public scrutiny. If such evidence is found, score 5.</t>
  </si>
  <si>
    <t>12</t>
  </si>
  <si>
    <t>UPD12</t>
  </si>
  <si>
    <t>Plan modification and implementation review</t>
  </si>
  <si>
    <t>Does the law mandate periodic review and revision of the notified municipal/city plan, including corresponding revisions to the Development Control Regulations (DCRs)?</t>
  </si>
  <si>
    <t>Review the applicable State Town Planning Act.
Score 10: The law mandates periodic review and revision of the municipal/city plan, specifies a review/revision timeline and responsible authority, and requires corresponding review and revision of the DCRs, where necessary, following municipal/city plan revision.
Score 2.5 for each component and enter the sum if there are multiple components - 
1. The law mandates periodic review and revision of the municipal/city plan ((alluding to the revision or creation of a new plan say after ten years) to the municipal/city plans shall not be considered).
2. Specifies a review/revision timeline 
3. Specifies for responsible authority
4. Requires corresponding review and revision of the DCRs following municipal/city plan revision</t>
  </si>
  <si>
    <t>13</t>
  </si>
  <si>
    <t>UPD13</t>
  </si>
  <si>
    <t>Municipal/City Plan objectives and contents</t>
  </si>
  <si>
    <t>Statutory requirements for plan content</t>
  </si>
  <si>
    <t xml:space="preserve">Does the T&amp;CP Act mandate the planning for:  </t>
  </si>
  <si>
    <t>NA- question already covered in ASICS 2017</t>
  </si>
  <si>
    <t>Check the T&amp;CP and other relevant acts as prescribed below:</t>
  </si>
  <si>
    <t>13a</t>
  </si>
  <si>
    <t>UPD13a</t>
  </si>
  <si>
    <t xml:space="preserve">a) Water Supply/ Sewerage, Sanitation and Solid Waste Management </t>
  </si>
  <si>
    <t xml:space="preserve">Check the T&amp;CP/Urban Development Authority (UDA)/allied acts for provisions that mandate the planning authority to prepare:                                                                                                                   1.Water Supply/sewerage plan or mandate to have a water supply component as part of the municipal/city plan. Score: 0.55                                                                                                             2. City sanitation plan or mandate to have a sanitation component as part of the municipal/city municipal/city plan. Score: 0.55                                                                                                                                                                                                                                                            3.Solid Waste Management Plan or mandate to have a solid waste management as part of the municipal/city municipal/city plan Score: 0.55
Provisions that make such a plan optional with 'may' provision shall not be considered. </t>
  </si>
  <si>
    <t>13b</t>
  </si>
  <si>
    <t>UPD13b</t>
  </si>
  <si>
    <t>b) Disaster Resilience</t>
  </si>
  <si>
    <t xml:space="preserve">Check the T&amp;CP/Urban Development Authority (UDA)/allied acts for provisions that mandate the planning authority to prepare a disaster management/resilience plan or mandate to have a disaster management/resilience component as a part of the municipal/city plan. Provisions that make such a plan optional with 'may' provision shall not be considered. </t>
  </si>
  <si>
    <t>13c</t>
  </si>
  <si>
    <t>UPD13c</t>
  </si>
  <si>
    <t>c) Comprehensive mobility</t>
  </si>
  <si>
    <t xml:space="preserve">Check the T&amp;CP/Urban Development Authority (UDA)/allied acts for provisions that mandate the planning authority to prepare a comprehensive mobility plan or mandate to have a mobility component as part of the municipal/city plan. Provisions that make such a plan optional with 'may' provision shall not be considered. 
</t>
  </si>
  <si>
    <t>13d</t>
  </si>
  <si>
    <t>UPD13d</t>
  </si>
  <si>
    <t>d) Sustainability/Climate/Environmental conservation</t>
  </si>
  <si>
    <t>Check the T&amp;CP/Urban Development Authority (UDA)/allied acts for provisions that mandate the planning authority to prepare a sustainability plan or mandate to have a sustainability/climate/environmental conservation component as part of the municipal/city plan. Provisions that make such a plan optional with 'may' provision shall not be considered.</t>
  </si>
  <si>
    <t>13e</t>
  </si>
  <si>
    <t>UPD13e</t>
  </si>
  <si>
    <t>e) Heritage conservation</t>
  </si>
  <si>
    <t>Check the T&amp;CP/Urban Development Authority (UDA)/allied acts for provisions that mandate the planning authority to prepare a heritage conservation plan or mandate to have a heritage conservation component as part of the municipal/city plan. Provisions that make such a plan optional with 'may' provision shall not be considered.</t>
  </si>
  <si>
    <t>13f</t>
  </si>
  <si>
    <t>UPD13f</t>
  </si>
  <si>
    <t xml:space="preserve">f) Social Development        </t>
  </si>
  <si>
    <t>Check the T&amp;CP/Urban Development Authority (UDA)/allied acts for provisions that mandate the planning authority to prepare a social development plan or mandate to have a social development component as part of the municipal/city plan. Provisions that make such a plan optional with 'may' provision shall not be considered. Check if the social development plan includes components on planning for health, education and affordable housing. Score each component in the following manner:
1.Public health. Score: 0.55                                                                                                             
2. Education. Score: 0.55                                                                                                                                                                                                                                                            3. Affordable housing Score: 0.55</t>
  </si>
  <si>
    <t>14</t>
  </si>
  <si>
    <t>UPD14</t>
  </si>
  <si>
    <t>Municipal/City Plan status, hierarchy and coordination</t>
  </si>
  <si>
    <t>Existence of Municipal/City Plans at each level</t>
  </si>
  <si>
    <t>Are the spatial plans at the Metropolitan/Regional, Municipal and Ward(s) /Local level notified?</t>
  </si>
  <si>
    <t>The existence of such a document or map should be notified in respective state gazettes</t>
  </si>
  <si>
    <t>14a</t>
  </si>
  <si>
    <t>UPD14a</t>
  </si>
  <si>
    <t>Is there a Metropolitan/Regional Plan?</t>
  </si>
  <si>
    <t xml:space="preserve">Document should mention the words metropolitan/regional plan or any word that can be safely assumed to be a synonym for a metropolitan region. Check the website of the metro region development authority or urban development authority or ULB website. Score 3.33 if any of these apply, else, 0. </t>
  </si>
  <si>
    <t>Note: Please ensure an existence of a notified document of the plan. Maps alone will not make the cut</t>
  </si>
  <si>
    <t>14b</t>
  </si>
  <si>
    <t>UPD14b</t>
  </si>
  <si>
    <t>Is there Municipal/City Plan?</t>
  </si>
  <si>
    <t xml:space="preserve">Document should mention the word municipal/development/city plan or municipal/city plan. Check the website of the urban development authority or ULG website or T&amp;CP Dept. Score 3.33 if any of these apply, else, 0. </t>
  </si>
  <si>
    <t>14c</t>
  </si>
  <si>
    <t>UPD14c</t>
  </si>
  <si>
    <t>Is there a Ward(s) /Local area/ neighbourhood Plan?</t>
  </si>
  <si>
    <t xml:space="preserve"> Document should mention the word ward development plan/zonal plan/local area plan. This can exist as a standalone document or spatial plans or map.  Score 3.33 if any of these apply, else, 0. </t>
  </si>
  <si>
    <t>15</t>
  </si>
  <si>
    <t>UPD15</t>
  </si>
  <si>
    <t>Validity of Municipal/City Plans</t>
  </si>
  <si>
    <t>Does the city have a municipal/city plan that is currently in force and within its prescribed validity period?</t>
  </si>
  <si>
    <t xml:space="preserve">Review the applicable municipal/ city plan to identify the valid period, and the gazette notification date of the current and immediately preceding municipal/city plan 
Score 10 — notified within the statutory period
Score 0 — municipal/city plans that have lapsed and have not been replaced by a new municipal/city plan should be  treated as ‘no municipal/city plans/inactive municipal/city plans.
The scorer to capture in the scoring sheet the amount of time (in months) that has been passed since the end of the validity period
</t>
  </si>
  <si>
    <t>16</t>
  </si>
  <si>
    <t>Alignment across planning levels</t>
  </si>
  <si>
    <t xml:space="preserve"> Are the spatial plans at the Metropolitan/Regional, Municipal and Ward(s) /Local level in a concurrent or nested timeline of validity?</t>
  </si>
  <si>
    <t>Check whether the validity periods of the metropolitan/regional, municipal/city, and ward/zonal/local area/neighbourhood-level spatial plans align, ensuring that lower-level plans do not extend beyond the metropolitan/regional plan's validity.</t>
  </si>
  <si>
    <t>16a</t>
  </si>
  <si>
    <t>Is the Metropolitan/Regional plan in a concurrent or nested timeline of validity with municipal plan?</t>
  </si>
  <si>
    <t>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plan should not extend beyond 2021. </t>
  </si>
  <si>
    <t>16b</t>
  </si>
  <si>
    <t>Is the Municipal municipal/city plan in a concurrent or nested timeline of validity with Ward municipal/city plan?</t>
  </si>
  <si>
    <t>Check whether the validity periods of the municipal/city municipal/city plan and ward/local-level plans overlap and are aligned, such that the validity of the ward/local-level plan does not extend beyond that of the municipal/city municipal/city plan. 
For example: if the municipal/city plan is valid from 2021–2041, the applicable ward/zonal/local-level plan should fall within and not extend beyond 2041.</t>
  </si>
  <si>
    <t>17</t>
  </si>
  <si>
    <t>UPD17</t>
  </si>
  <si>
    <t>Inter-agency coordination and integration</t>
  </si>
  <si>
    <t xml:space="preserve">Do the municipal/city plans at each level, integrate the plans and priorities of various sectoral public departments and agencies? </t>
  </si>
  <si>
    <t xml:space="preserve">Check if creation of the municipal/city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municipal/city plan, or as MoM / notes on the planning authority's website. </t>
  </si>
  <si>
    <t>18</t>
  </si>
  <si>
    <t>UPD27</t>
  </si>
  <si>
    <t>Objectives of the Municipal/City Plan</t>
  </si>
  <si>
    <t>Does the municipal/city plan include objectives on jobs and economy?</t>
  </si>
  <si>
    <t>Check whether the municipal/city plan identifies key economic development priorities and provides measurable targets/outcomes for them. These may include:
Increase in workforce participation.
Number of jobs to be generated across economic sectors.
Land identified/allocated for economic activities.
Number/area of enterprises, industries or commercial activities to be facilitated.
Provision of designated spaces/facilities for street vendors and other informal livelihoods.
Score based on whether the municipal/city plan contains both:
1. A clearly stated objective or priority in the municipal/city plan relating to the city’s economy, employment or livelihoods. This could include job creation, workforce participation, industrial/commercial development, informal livelihoods, economic clusters, markets, tourism, or allocating land/infrastructure to support economic activity.
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plan does not identify clear economic development priorities and associated interventions. General or aspirational references to economic development, employment, jobs or livelihoods without clearly identified priorities and interventions shall not be considered for scoring.</t>
  </si>
  <si>
    <t>19</t>
  </si>
  <si>
    <t>UPD28</t>
  </si>
  <si>
    <t>Does the municipal/city plan include objectives on environment and heritage conservation?</t>
  </si>
  <si>
    <t xml:space="preserve">Sum of the sub-questions below - </t>
  </si>
  <si>
    <t>19a</t>
  </si>
  <si>
    <t>UPD19a</t>
  </si>
  <si>
    <t xml:space="preserve">a) Environmental Conservation </t>
  </si>
  <si>
    <t>Check whether the municipal/city plan identifies clear priorities, interventions and measurable targets/outcomes across the following two components:
Natural Environment and Climate Resilience
These may include:
Protection, enhancement or increase of recreational and non-recreational green spaces, urban forests and natural habitats.
Conservation, restoration or revival of lakes, wetlands and other water bodies.
Protection of environmentally sensitive areas and natural assets through appropriate zoning, buffers or other development controls.
Increase in green cover, afforestation or reforestation.
Protection/restoration of biodiversity and ecologically significant areas.
Reduction in air, water and soil pollution.
Climate-change mitigation and adaptation, including reduction in greenhouse gas emissions.
Promotion of renewable energy and clean technologies.
Disaster-risk reduction and resilience of natural systems.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targets/outcome indicators.
Score 0: The component is absent, or is referred to only in general/aspirational terms without clearly identified priorities and associated interventions</t>
  </si>
  <si>
    <t>19b</t>
  </si>
  <si>
    <t>UPD19b</t>
  </si>
  <si>
    <t xml:space="preserve">b) Heritage Conservation </t>
  </si>
  <si>
    <t>Check whether the municipal/city  plan identifies clear priorities, interventions and measurable targets/outcomes across the following two components:                                                                       Heritage Conservation
These may include:
Identification and protection of heritage buildings, precincts, sites and other heritage assets.
Identification and protection of natural heritage and culturally significant landscapes.
Conservation, restoration or adaptive reuse of heritage buildings/sites.
Designation of heritage zones/precincts and appropriate development controls or buffer areas.
Protection of the character and built form of heritage areas.
Integration of heritage conservation with redevelopment and other development proposals.
Measurable targets for conservation, restoration or protection of identified heritage assets/precincts.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targets/outcme indicators.
Score 0: The component is absent, or is referred to only in general/aspirational terms without clearly identified priorities and associated interventions.</t>
  </si>
  <si>
    <t>20</t>
  </si>
  <si>
    <t>UPD29</t>
  </si>
  <si>
    <t>UPD 11f</t>
  </si>
  <si>
    <t>UPD20</t>
  </si>
  <si>
    <t>Does the municipal/city plan include objectives on social development (health care, education)?</t>
  </si>
  <si>
    <t>Check whether the municipal/city plan identifies clear priorities, interventions and measurable targets/outcomes across the following three components:</t>
  </si>
  <si>
    <t>20a</t>
  </si>
  <si>
    <t>UPD20a</t>
  </si>
  <si>
    <t xml:space="preserve">a) Education </t>
  </si>
  <si>
    <t>Education
These may include:
Coverage/accessibility of anganwadis and pre-primary facilities.
Availability of schools relative to population/service standards.
Accessibility of educational facilities, including for persons with disabilities.
Other measurable education-related service or accessibility outcomes.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</si>
  <si>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20b</t>
  </si>
  <si>
    <t>UPD20b</t>
  </si>
  <si>
    <t>b) Healthcare</t>
  </si>
  <si>
    <t>Healthcare
These may include:
Coverage/accessibility of dispensaries and primary healthcare facilities.
Coverage/accessibility of hospitals, maternity/child welfare centres, rehabilitation or diagnostic facilities.
Improvements in access to healthcare.
Public-health outcomes, including reduction in vector-borne diseases or other locally relevant health risks.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</si>
  <si>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20c</t>
  </si>
  <si>
    <t>UPD20c</t>
  </si>
  <si>
    <t xml:space="preserve">c) Affordable housing </t>
  </si>
  <si>
    <t>Affordable housing
These may include:
Assessment of existing and projected affordable housing requirements.
Number/percentage of slums or inadequate settlements proposed for rehabilitation/upgradation.
Provision of affordable housing - Identification of land parcels.
Increase in affordable housing as a proportion of housing stock.
Access to livelihood opportunities, public transport and basic services.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</si>
  <si>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21</t>
  </si>
  <si>
    <t> NA</t>
  </si>
  <si>
    <t>UPD21</t>
  </si>
  <si>
    <t>Does the municipal/city plan include objectives for women?</t>
  </si>
  <si>
    <t>Check whether the municipal/city plan identifies clear priorities, interventions and measurable targets/outcomes relating to women’s inclusion and access to the city.
These may include:
Economic participation and livelihoods: Measures to support women’s participation in formal and informal employment, including access to employment centres, markets, vending spaces and other livelihood opportunities.
Access to infrastructure and basic services: Equitable access to housing, water and sanitation, healthcare, education, childcare and other public services.
Mobility and accessibility: Safe and accessible public transport, walking and cycling infrastructure, and improved connectivity to employment and essential services.
Safety and public spaces: Measures to improve women’s safety and access to streets, public spaces, parks and other public facilities.
Care infrastructure: Provision and accessibility of childcare, care facilities and other infrastructure that supports women’s participation in economic and public life.
Score 10: The municipal/city  plan identifies  atleast two or more clear priorities relating to women’s inclusion and associated interventions/actions and provides measurable/quantifiable targets or outcome indicators.
Score 5: The municipal/city identifies  atleast two or more clear priorities relating to women’s inclusion and associated interventions/actions, but does not provide measurable targets/outcome indicators.
Score 0: The municipal/city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t>
  </si>
  <si>
    <t>22</t>
  </si>
  <si>
    <t>UPD22</t>
  </si>
  <si>
    <t>Shared spatial information and data coordination</t>
  </si>
  <si>
    <t>Is there a common digital base municipal/city plan Map shared among Planning Authorities, and data updated through GIS with fixed periodicity by the relevent sectoral agencies (transport, network infrastructure, land use changes)</t>
  </si>
  <si>
    <t xml:space="preserve">Check for the following:                                                                                                                    1) A State Spatial Data Centre with a map available for use by all agencies and parastatals in the state (Example: Karnataka State Remote Sensing Centre). If it is available, score 5                                                                                      2) The centre must provide atleast 2 of the following spatial data files (shape files/KML files) on - Land use, transport (road network, railway lines, metro lines etc.), admin boundaries (ward/corporation boundarie, metropolitan boundaries). If it is available, score 5 , else score 0 . </t>
  </si>
  <si>
    <t>23</t>
  </si>
  <si>
    <t>UPD23</t>
  </si>
  <si>
    <t>Sectoral planning</t>
  </si>
  <si>
    <t xml:space="preserve">Water supply and sewerage, sanitation, solid waste management </t>
  </si>
  <si>
    <t>Does the city have a Water Supply and Sewerage Plan, City Sanitation Plan, and Solid Waste Management Plan  that clearly articulates development priorities, measurable objectives, and the roles and responsibilities of the ULG?</t>
  </si>
  <si>
    <t xml:space="preserve">Sum of the sub-questions below </t>
  </si>
  <si>
    <t>23a</t>
  </si>
  <si>
    <t>UPD23a</t>
  </si>
  <si>
    <t>Does the city have a notified and active Plan?</t>
  </si>
  <si>
    <t>Check the ULG website, relevant parastatal/sectoral agency website, master plan and other official government sources for the existence of the relevant plan.
The plan should be currently applicable/active for the city. Do not treat a strategy, guideline, mission document, project report, or brief document prepared solely to satisfy a scheme requirement as a sectoral plan unless it performs the functions of a city-level sectoral plan. For the city sanitation plan, a one-page document prepared for the Swachh Bharat Mission shall not qualify, consistent with your existing methodology.</t>
  </si>
  <si>
    <t>23a1</t>
  </si>
  <si>
    <t>UPD23a1</t>
  </si>
  <si>
    <t>a) Water Supply and Sewerage Plan</t>
  </si>
  <si>
    <t>SQ1</t>
  </si>
  <si>
    <t>Use the methodology provided above</t>
  </si>
  <si>
    <t>23a2</t>
  </si>
  <si>
    <t>UPD23a2</t>
  </si>
  <si>
    <t xml:space="preserve">b) Solid Waste Management Plan </t>
  </si>
  <si>
    <t>SQ2</t>
  </si>
  <si>
    <t>23a3</t>
  </si>
  <si>
    <t>UPD23a3</t>
  </si>
  <si>
    <t>c)  City Sanitation Plan</t>
  </si>
  <si>
    <t>SQ3</t>
  </si>
  <si>
    <t>23b</t>
  </si>
  <si>
    <t>UPD23b</t>
  </si>
  <si>
    <t>Does the plan have development priorities and measureable objectives?</t>
  </si>
  <si>
    <t>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General statements of intent, such as improving sanitation, achieving universal water supply or creating a clean city, without identifiable priorities/interventions and measurable objectives or targets, shall not qualify.</t>
  </si>
  <si>
    <t>23b1</t>
  </si>
  <si>
    <t>UPD23b1</t>
  </si>
  <si>
    <t>23b2</t>
  </si>
  <si>
    <t>UPD23b2</t>
  </si>
  <si>
    <t>23b3</t>
  </si>
  <si>
    <t>UPD23b3</t>
  </si>
  <si>
    <t>23c</t>
  </si>
  <si>
    <t>UPD23c</t>
  </si>
  <si>
    <t>Does the plan clearly articulate the role of the ULG?</t>
  </si>
  <si>
    <t>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
A general reference to the ULG as a stakeholder or participating institution, without identifiable responsibilities, shall not qualify.</t>
  </si>
  <si>
    <t>23c1</t>
  </si>
  <si>
    <t>UPD23c1</t>
  </si>
  <si>
    <t>23c2</t>
  </si>
  <si>
    <t>UPD23c2</t>
  </si>
  <si>
    <t>23c3</t>
  </si>
  <si>
    <t>UPD23c3</t>
  </si>
  <si>
    <t>24</t>
  </si>
  <si>
    <t>UPD24</t>
  </si>
  <si>
    <t>Sustainability, resilience and climate action</t>
  </si>
  <si>
    <t>Does your city have a Sustainability/ Resilience Strategy/Climate Action Plan that clearly articulates development priorities, measurable objectives, and the roles and responsibilities of the ULG?</t>
  </si>
  <si>
    <t>24a</t>
  </si>
  <si>
    <t>UPD24a</t>
  </si>
  <si>
    <t>Does the city have a notified and active Sustainability/Resilience Strategy?</t>
  </si>
  <si>
    <t>Check the municipal/city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municipal/city plan/DP) to be scored.  A Disaster Management Plan may also be considered as evidence.  If the plan/ strategy does exist  score 3.33, or score 0 otherwise.                                                                                                                                Note: A draft document. Independent consultant's report/academic /NGO reports will not be considered.</t>
  </si>
  <si>
    <t>Note: Independent consultant's report/academic reports will not be considered.</t>
  </si>
  <si>
    <t>24b</t>
  </si>
  <si>
    <t>UPD24b</t>
  </si>
  <si>
    <t>Does the plan have development priorities and measurable objectives?</t>
  </si>
  <si>
    <t>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
A general statement of intent, such as becoming climate-resilient, sustainable or reducing emissions, without identifiable priorities and measurable objectives or targets, shall not qualify.
Score 3.33 if the plan identifies atleast two or more clear priorities and includes measurable objectives or targets against those priorities; score 0 otherwise.</t>
  </si>
  <si>
    <t>24c</t>
  </si>
  <si>
    <t>UPD24c</t>
  </si>
  <si>
    <t>Score 3.33 where the plan clearly articulates the role/responsibilities of the ULG in its preparation/implementation; score 0 otherwise.</t>
  </si>
  <si>
    <t>25</t>
  </si>
  <si>
    <t>UPD25</t>
  </si>
  <si>
    <t>Comprehensive mobility planning</t>
  </si>
  <si>
    <t>Does your city have a Comprehensive Mobility Plan that clearly articulates development priorities, measurable objectives, and the roles and responsibilities of the ULG?</t>
  </si>
  <si>
    <t>25a</t>
  </si>
  <si>
    <t>UPD25a</t>
  </si>
  <si>
    <t>Does the city have a notified and active Comprehensive Mobility Plan?</t>
  </si>
  <si>
    <t>Check the municipal/city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
Check whether the city has a Comprehensive Mobility Plan (CMP) that has been formally adopted or approved by the competent authority, such as the UMTA, the Urban Development Department, Transport Department or the ULG/Council through a resolution. Sources may include the municipal/city plan, the ULB website, parastatal websites, and the UMTA or State Transport Department website.
A draft CMP, a consultant's report, or an unadopted study, without evidence of formal adoption or approval, shall not qualify.
Score 3.33 if the city has a CMP formally adopted or approved by the competent authority; score 0 otherwise.</t>
  </si>
  <si>
    <t>25b</t>
  </si>
  <si>
    <t>UPD25b</t>
  </si>
  <si>
    <t>Check whether the CMP identifies clear priorities and specifies measurable objectives or targets against those priorities, including quantitative or qualitative indicators, as appropriate. Examples may include a target mode share for sustainable modes (public transport, walking and cycling); targets for road safety or transport-related emissions; or actionable projects with measurable timelines, budget estimates and a phasing plan.
A general statement of intent, such as improving mobility, promoting public transport or reducing congestion, without identifiable priorities and measurable objectives or targets, shall not qualify.
Score 3.33 if the CMP identifies atleast two or more clear priorities and includes measurable objectives or targets against those priorities; score 0 otherwise.</t>
  </si>
  <si>
    <t>25c</t>
  </si>
  <si>
    <t>UPD25c</t>
  </si>
  <si>
    <t>Check whether the CMP clearly articulates the roles and responsibilities of the Urban Local Government (ULG) in its preparation and/or implementation. Examples may include the ULG's participation in preparing the plan, such as membership of the steering or technical committee or a council resolution endorsing it; the assignment of specific projects, programmes or actions to the ULG; responsibilities for funding, execution, operation or maintenance of identified interventions; or the ULG's role in monitoring and reviewing the plan's progress.
A passing mention of the ULG as a stakeholder, or a general reference to coordination among agencies, without specifying the ULG's role or responsibilities, shall not qualify.
Score 3.3 if the CMP clearly articulates the roles and responsibilities of the ULG in its preparation and/or implementation; score 0 otherwise.</t>
  </si>
  <si>
    <t>26</t>
  </si>
  <si>
    <t>UPD26</t>
  </si>
  <si>
    <t>Economic development planning</t>
  </si>
  <si>
    <t>Does your city have an Economic Vision Plan that clearly articulates development priorities, measurable objectives, and the roles and responsibilities of the ULG?</t>
  </si>
  <si>
    <t>26a</t>
  </si>
  <si>
    <t>UPD26a</t>
  </si>
  <si>
    <t>Does the city have a notified and active Economic Vision Plan?</t>
  </si>
  <si>
    <t>Check the municipal/city plan, ULG website, relevant parastatal website, or city/district website for the existence of an Economic Vision, Economic Development Plan or equivalent city-level economic strategy. The document must:
Be a final document; draft documents shall not be considered.
Be formally adopted/approved by the competent authority, evidenced through a Municipal Corporation/Council resolution, Government Order, formal approval by the competent authority, or integration into the statutory municipal/city plan/Development Plan.
Be currently active/applicable. Where the document specifies a validity or implementation period, the city must be within that period at the time of assessment. An expired or superseded plan shall not be considered.
Independent consultant reports, academic studies/reports, background studies or other documents that have not been formally adopted/approved by the competent authority shall not be considered.
Score 3.3 if the city has a final, formally adopted/approved and currently active/applicable Economic Vision, Economic Development Plan or equivalent city-level economic strategy that meets all the above conditions; score 0 otherwise.</t>
  </si>
  <si>
    <t>26b</t>
  </si>
  <si>
    <t>UPD26b</t>
  </si>
  <si>
    <t>Check whether the plan identifies clear economic development priorities and specifies measurable objectives or targets against those priorities, including quantitative or qualitative indicators, as appropriate. Examples may include targets relating to employment/job creation, workforce participation, development of identified economic sectors or clusters, land/infrastructure provision for economic activities, enterprise development, or investment to be mobilised.
A general statement of intent, such as making the city an economic hub, promoting economic growth or generating employment, without identifiable priorities and measurable objectives or targets, shall not qualify.
Score 3.3 if the plan identifies  atleast two or more clear economic development priorities and includes measurable objectives or targets against those priorities; score 0 otherwise.</t>
  </si>
  <si>
    <t>26c</t>
  </si>
  <si>
    <t>UPD26c</t>
  </si>
  <si>
    <t>Check whether the plan clearly assigns the ULG a defined role and/or specific responsibilities in implementation of the economic vision/strategy. This may include responsibility for facilitating economic development initiatives, providing enabling infrastructure, supporting livelihoods or enterprises, financing, implementing identified projects, monitoring progress against economic targets, or coordinating with relevant government departments, parastatals, and other agencies.
A general reference to the ULG as a stakeholder, partner or participating institution, without identifiable responsibilities, shall not qualify.
Score 3.3 where the plan clearly assigns the ULG defined roles and/or specific responsibilities in implementation; score 0 otherwise.</t>
  </si>
  <si>
    <t>27</t>
  </si>
  <si>
    <t>Specialised institutional capacity</t>
  </si>
  <si>
    <t>Does the city have adequate and representative professional town-planning capacity?</t>
  </si>
  <si>
    <t>27a</t>
  </si>
  <si>
    <t>UPD27a</t>
  </si>
  <si>
    <t>Does the city have adequate professional town-planning capacity?</t>
  </si>
  <si>
    <t>Check the number of filled positions (against the sanctioned posts) of town/urban planners in the ULG and, where applicable, the Development/Planning Authority responsible for planning the city.
Town planners per lakh population = (Filled qualified town planners in the ULG + filled qualified town planners attributable to the city in the Development/Planning Authority) ÷ Census 2011 population × 1,00,000
Cities assessed will receive a Score of 5. All other cities will be scored proportionately against this benchmark.
Score = (Town planners per lakh population in the city ÷ Highest town planners per lakh population among cities assessed) × 5
For example, if the highest-performing city has 2 planners/lakh, a city with 1.5 planners/lakh scores 3.75, and one with 1 planner/lakh scores 2.5.</t>
  </si>
  <si>
    <t>Scorer comment - 
Record in the score sheet, separately for the ULG and Development/Planning Authority: total sanctioned town-planner positions; total filled positions; vacancies and vacancy rate; women and men among filled positions; and town planners per lakh population.</t>
  </si>
  <si>
    <t>27b</t>
  </si>
  <si>
    <t>UPD27b</t>
  </si>
  <si>
    <t>What proportion of the city's professional town-planning workforce is women?</t>
  </si>
  <si>
    <t>Compute women town planners as a proportion of the total filled qualified town-planner positions across the ULG and, where applicable, the Development/Planning Authority staff attributable to the city, using the latest available staffing data.
% women town planners = (Number of women town planners ÷ Total filled qualified town-planner positions) × 100
Scoring bands:
Score 5 — women constitute ≥33% of the professional town-planning workforce
Score 2.5 — women constitute 15–32%
Score 0 — women constitute &lt;15%</t>
  </si>
  <si>
    <t>Note: Record, wherever available, the proportion of women among senior/decision-making town-planning positions.</t>
  </si>
  <si>
    <t>28</t>
  </si>
  <si>
    <t>Does the city have dedicated institutional cells/units for specialised functions?</t>
  </si>
  <si>
    <t>Score 10, assessed through 4 sub-questions of 2.5 each: an Urban Design Cell; a Climate Action/Sustainability/Disaster Management Cell; an Economic Development Cell; and a dedicated Women's Welfare/Development Cell</t>
  </si>
  <si>
    <t>28a</t>
  </si>
  <si>
    <t>UPD28a</t>
  </si>
  <si>
    <t>Urban design</t>
  </si>
  <si>
    <t>Does the city have an Urban Design Cell?</t>
  </si>
  <si>
    <t xml:space="preserve">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2.5 if there is evidence that an Urban Design Cell/Unit/Vertical exists, including a qualifying shared State/district-level resource for towns below five lakh; score 0 otherwise.
 </t>
  </si>
  <si>
    <t>28b</t>
  </si>
  <si>
    <t>UPD28b</t>
  </si>
  <si>
    <t>Does the city have dedicated institutional capacity to undertake specialised planning and development functions?</t>
  </si>
  <si>
    <t>Climate</t>
  </si>
  <si>
    <t>Does the city have a Climate Action/Sustainability/Disaster Management Cell?</t>
  </si>
  <si>
    <t>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2.5 if there is evidence that such a cell/unit/vertical exists and is functional for the city, including a qualifying shared state/district-level resource for towns below five lakh; score 0 otherwise.</t>
  </si>
  <si>
    <t>28c</t>
  </si>
  <si>
    <t>UPD28c</t>
  </si>
  <si>
    <t>Economic development</t>
  </si>
  <si>
    <t>Does the city have an Economic Develepment Cell ?</t>
  </si>
  <si>
    <t xml:space="preserve">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an economic development cell/unit/vertical exists and is functional for the city; score 0 otherwise.
Applicability: this indicator is applicable only to million-plus cities (population of 10 lakh or more). For all other cities, score NA. </t>
  </si>
  <si>
    <t>28d</t>
  </si>
  <si>
    <t>UPD28d</t>
  </si>
  <si>
    <t>Women's welfare or development</t>
  </si>
  <si>
    <t>Does the city have a dedicated Women's Welfare/Development Cell?</t>
  </si>
  <si>
    <t>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 dedicated women’s welfare/development cell/unit/vertical exists and is functional for the city; score 0 otherwise.
Applicability: This indicator is applicable only to million-plus cities. For all non-million-plus cities, score NA.</t>
  </si>
  <si>
    <t>29</t>
  </si>
  <si>
    <t>Urban design, accessibility and parking</t>
  </si>
  <si>
    <t>Urban design standards and universal accessibility</t>
  </si>
  <si>
    <t>Are there prescribed urban design standards to guide the execution of urban projects, including standards for universal accessibility?</t>
  </si>
  <si>
    <t>29a</t>
  </si>
  <si>
    <t>UPD29a</t>
  </si>
  <si>
    <t>Does the law mandate comprehensive urban design standards and universal accessibility?</t>
  </si>
  <si>
    <t>Check whether the applicable T&amp;CP Act or Municipal Act provides for urban design standards/guidelines for the planning, design or execution of urban development across the following four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For each of the five categories, check whether the applicable law mandates or enables urban design standards/guidelines for the planning, design or execution of urban development.
For each category, score as follows:
Score 1: Where the law uses mandatory language (e.g., “shall”) requiring the preparation, prescription, adoption or application of urban design standards/guidelines.
Score 0.5: Where the law uses enabling/discretionary language (e.g., “may”) permitting the preparation, prescription, adoption or application of such standards/guidelines.
Score 0: Where there is no such provision.
Maximum score: 5 points (5 categories × 1 point).
A general power to regulate development, without a specific provision for relevant design standards/guidelines, shall not qualify.</t>
  </si>
  <si>
    <t>29b</t>
  </si>
  <si>
    <t>UPD29b</t>
  </si>
  <si>
    <t>Does the city have urban design standards to guide the execution of urban projects?</t>
  </si>
  <si>
    <t>Check whether the city has adopted/notified urban design standards or guidelines for the planning, design or execution of urban development across the following five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Check the ULG website, Development Authority website, Urban Development Department website, Department of Urban Land Transport / Unified Metropolitan Transport Authority or equivalent specialised agency website for evidence of such standards/guidelines.
For categories (a)–(c), the standards may be contained in a standalone urban/street design guideline or other formally adopted/notified city-level document. Evidence on an official website that the city has formally adopted an identified set of standards/guidelines may also be considered.
For residential and commercial buildings (categories (d) and (e)), standards contained in the applicable DCRs/building bye-laws or equivalent regulations may also be considered. These may include urban design requirements relating to building frontage/interface with the street, signage, façade treatment, building materials, or other design controls applicable to residential or commercial development.
For each category, there must be evidence that the standards/guidelines are applicable to or adopted for the city. Mere reference to national/model guidelines or standards, without evidence of their adoption or application by the city, shall not qualify.
Scoring: Award 1 point for each category for which applicable urban design standards/guidelines have been adopted/notified (5 categories × 1 = 5); score 0 for a category where no such standards/guidelines</t>
  </si>
  <si>
    <t>30</t>
  </si>
  <si>
    <t>UPD30</t>
  </si>
  <si>
    <t>Parking policy</t>
  </si>
  <si>
    <t xml:space="preserve">Does the city have a parking policy? </t>
  </si>
  <si>
    <t>30a</t>
  </si>
  <si>
    <t>UPD30a</t>
  </si>
  <si>
    <t>Is there a clear mandate in the law for a parking policy?</t>
  </si>
  <si>
    <t>Check whether the applicable T&amp;CP Act or Municipal Act mandates the ULG to prepare and/or adopt a standalone parking policy or parking management policy.
A general provision prescribing parking standards for individual buildings/developments, or empowering the ULG to regulate parking, shall not qualify. The law must specifically provide for the preparation/adoption of a city-level parking policy.
Distinguish between mandatory and enabling provisions:
Score 5 where the law uses mandatory language (e.g., “shall”) requiring the ULG/city to prepare or adopt a standalone Parking Policy/Parking Management Policy.
Score 2.5 where the law uses enabling/discretionary language (e.g., “may”) permitting the ULG/city to prepare or adopt such a policy.
Score 0 where there is no such statutory provision.</t>
  </si>
  <si>
    <t>30b</t>
  </si>
  <si>
    <t>UPD30b</t>
  </si>
  <si>
    <t>Has the parking policy been implemented?</t>
  </si>
  <si>
    <t xml:space="preserve">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
Score 5 if a city-level parking policy exists or its formal adoption can be established through reliable evidence. Score 0 otherwise.
</t>
  </si>
  <si>
    <t>Note: Score this question independently of the legal mandate. A city may score 5 on this question even where there is no legal mandate for a parking policy.</t>
  </si>
  <si>
    <t>31</t>
  </si>
  <si>
    <t>UPD31</t>
  </si>
  <si>
    <t>Development Control Regulations and land-management instruments</t>
  </si>
  <si>
    <t>Applicability and currency of DCRs</t>
  </si>
  <si>
    <t>Does the city have a city-specific Development Control Regulation (DCR)?</t>
  </si>
  <si>
    <t>Law or Policy &amp; Implementation</t>
  </si>
  <si>
    <t>Check the applicable DCR to determine whether a city-specific DCR applies. Evidence can be present on the websites of the ULG/Development Authority/T&amp;CP/UDD Department.
Score 10 — A city-specific DCR is applicable to the city.
Score 0 — The city relies on a generic/state-wide DCR and does not have a city-specific DCR.
NA — City has a population below one million.
Note to scorer: For cities with a population below one million, mark this question as NA. However, record in the scorer comments the DCR applicable to the city and its status, including whether the city is governed by a city-specific DCR or a generic/state-wide DCR.</t>
  </si>
  <si>
    <t>32</t>
  </si>
  <si>
    <t>UPD32</t>
  </si>
  <si>
    <t>DCR revision and public consultation</t>
  </si>
  <si>
    <t>Does the city’s DCR provide development controls, standards or incentives that enable positive economic, environmental, public health, heritage, and inclusion outcomes?</t>
  </si>
  <si>
    <t xml:space="preserve">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t>
  </si>
  <si>
    <t>32a</t>
  </si>
  <si>
    <t>UPD32a</t>
  </si>
  <si>
    <t>Do the DCRs provide development controls, standards or incentives that enable different types and scales of economic activity?</t>
  </si>
  <si>
    <t>Review whether the DCR enables economic activities of different types and scales through the regulation of land use, mixed use, permissible activities, development intensity and development standards. Look particularly for provisions that enable MSMEs/small enterprises, home-based economic activities, commercial activity, mixed-use development, markets/street vending, industrial or productive uses, and specialised economic districts, including through relaxed or differentiated requirements relating to plot size, FAR/FSI, setbacks, parking, access or other development standards.
Score 2: Specific provisions enable or incentivise two or more types/scales of economic activity, beyond merely designating land for commercial/industrial use.
Score 1: Two or more Economic activities are provided for through conventional land-use zoning/permissible-use provisions, but no specific enabling or incentivising development provision is found.
Score 0: No relevant provision addressing economic activity is found.
(For example: Just mentioning zoning an area as commercial will get a score of 1, whereas enabling mixed use, home enterprises, MSMEs, flexible use categories, reduced parking/plot requirements, or other provisions specifically facilitating economic activity)
Keywords for scorer: mixed use; mixed-use; commercial; commerce; shop; retail; market; vendor; street vending; hawker; home occupation; home-based; cottage industry; household industry; MSME; small enterprise; micro enterprise; industrial; productive use; work-live; special economic; business district; FAR; FSI; parking relaxation; permissible use.</t>
  </si>
  <si>
    <t>32b</t>
  </si>
  <si>
    <t>UPD32b</t>
  </si>
  <si>
    <t>Do the DCRs provide development controls, standards or incentives that improve access, safety, affordability and development outcomes for women and the urban poor?</t>
  </si>
  <si>
    <t>Check whether development regulation contains specific controls, standards, relaxations or incentives addressing the needs of women and the urban poor.
For the urban poor, check for provisions enabling or incentivising EWS/LIG or affordable housing, inclusionary housing, slum redevelopment/upgradation, in-situ redevelopment, incremental housing or other affordable housing options through measures such as additional FAR/FSI, density incentives, reduced plot-size/setback/parking requirements, reservation of dwelling units or built-up area, cross-subsidy, TDR or other regulatory flexibility.
For women, check for development/design provisions specifically addressing women's safety, accessibility and use of buildings and public spaces, such as gender-responsive design standards, requirements relating to safe access, lighting/visibility, sanitation/facilities for women, childcare facilities, or other provisions explicitly addressing women's needs.
Score 2: Atleast two or more specific development controls, standards, relaxations or incentives addressing both women and the urban poor are provided.
Score 1: Specific development controls, standards, relaxations or incentives addressing either women or the urban poor, but not both, are mentioned in atleast two or more provisions. Score 0: No specific development provision addressing either women or the urban poor is found.
Note: General provisions applicable to all developments or users should not be counted unless they specifically address the needs of women or the urban poor. Similarly, merely referring to EWS/LIG housing or women's safety without prescribing a corresponding development control, standard, requirement, relaxation or incentive should not qualify.
For example: Additional FAR/FSI or relaxed development standards for EWS/affordable housing would qualify as a provision for the urban poor. Specific design requirements addressing women's safety or access would qualify as a provision for women.
Keywords for scorer:
Urban poor: EWS; LIG; economically weaker section; low income; affordable housing; inclusionary housing; inclusive housing; social housing; slum; slum rehabilitation; slum redevelopment; in-situ; incremental housing; small dwelling; small plot; density bonus; FAR; FSI; TDR; cross subsidy; development standards; relaxation.
Women: women; woman; female; gender; gender responsive; gender sensitive; women safety; safety; safe access; lighting; visibility; toilet for women; female toilet; sanitary facility; childcare; crèche; public space; public realm.</t>
  </si>
  <si>
    <t xml:space="preserve">Note: Please capture the text that mentions the broad provisions related to the theme and the incentives it offers clearly </t>
  </si>
  <si>
    <t>32c</t>
  </si>
  <si>
    <t>UPD32c</t>
  </si>
  <si>
    <t>Do the DCRs provide development controls, standards or incentives that promote environmental sustainability and climate resilience?</t>
  </si>
  <si>
    <t>Check whether development regulation promotes environmentally sustainable or climate-resilient development, including through standards, incentives, or enabling provisions relating to green buildings, energy efficiency, water conservation, permeability, green cover, rainwater management, heat mitigation, flood resilience, or development appropriate to environmentally sensitive areas.
Score 2:  Specific controls, standards or incentives actively promote environmental sustainability or climate resilience.
Score 1: The DCR protects environmentally sensitive/climate-vulnerable areas or imposes environmental restrictions, but does not contain a clear enabling/incentive provision.
Score 0 — No relevant environmental or climate-related development provision is found.
Note: A generic requirement to obtain environmental clearance based on project size does not, by itself, qualify as an enabling environmental/climate provision.
For example: Prohibiting construction within a lake buffer will score 1, whereas permeability/green-cover standards, incentives for green buildings, resilience-oriented development standards, and additional benefits for achieving specified environmental outcomes will score 2
Keywords for scorer: environment; climate; resilience; green building; green rating; GRIHA; IGBC; LEED; energy efficiency; solar; renewable energy; rainwater harvesting; stormwater; flood; floodplain; wetland; water body; lake; buffer; coastal; CRZ; groundwater; recharge; permeability; pervious; green cover; tree cover; open space; heat; cool roof; sustainable; FAR incentive; FSI incentive.</t>
  </si>
  <si>
    <t>Note: Capture the text that mentions the broad provisions related to the theme and the incentives it offers</t>
  </si>
  <si>
    <t>32d</t>
  </si>
  <si>
    <t>UPD32d</t>
  </si>
  <si>
    <t>Do the DCRs provide development controls or standards that promote positive public-health outcomes?</t>
  </si>
  <si>
    <t>Check whether development regulation promotes positive public-health outcomes through controls, standards or enabling provisions relating to ventilation and natural light, sanitation, overcrowding/density, separation of hazardous or incompatible uses, buffers from polluting activities, or other health-related spatial risks.
Score 2: Specific development controls or standards actively promote positive public-health outcomes beyond routine minimum building requirements are mentioned in two or more places.
Score 1: The DCR/building regulations prescribe basic or minimum requirements relating to ventilation/light, sanitation, density, hazardous uses or separation from polluting activities, but do not contain additional provisions aimed at improving public-health outcomes. Identify atleast two or more such provisions.
Score 0: No relevant development control or standard addressing public-health-related spatial risks is found.
Note: Routine building requirements that establish minimum standards for individual buildings should not, by themselves, receive Score 2. Award the full score where development regulation goes beyond these basic requirements to address a broader public-health outcome or spatial risk.
For example: A general requirement prescribing minimum window area or provision of toilets for buildings will score 1, whereas specific controls addressing overcrowding, density in relation to health, buffers/separation distances from hazardous or polluting uses, enhanced ventilation/light standards for identified contexts, or other development standards explicitly addressing health-related spatial risks will score 2.
Keywords for scorer: public health; health; sanitation; ventilation; natural ventilation; light; natural light; lighting; overcrowding; density; occupancy; hazardous use; hazardous industry; noxious; polluting; pollution; buffer; buffer zone; separation distance; setback; incompatible use; industrial use; industrial hazard; waste; solid waste; sewerage; toilet; latrine; open space; health hazard.</t>
  </si>
  <si>
    <t>32e</t>
  </si>
  <si>
    <t>UPD32e</t>
  </si>
  <si>
    <t>Do the DCRs provide development controls, standards or incentives that enable the conservation and adaptive reuse of heritage buildings, precincts or historic areas?</t>
  </si>
  <si>
    <t>Check whether development regulation enables or incentivises the conservation, restoration, continued use or adaptive reuse of heritage buildings, precincts or historic areas, including through transferable development rights (TDR), additional/transferable FAR or FSI, relaxation of setbacks or parking requirements, permission for compatible alternative uses, adaptive reuse provisions, financial/development incentives, or other regulatory flexibility linked to heritage conservation.
Score 2: Specific controls, standards, relaxations or incentives actively enable or incentivise conservation, restoration, continued use or adaptive reuse of heritage buildings/areas are mentioned in atleast two or more such provisions. 
Score 1: The DCR protects heritage buildings/areas through restrictions or approval requirements. For example, restrictions on demolition, alteration, height, façade or development within heritage precincts, but does not contain provisions that actively enable or incentivise conservation or adaptive reuse. Identify atleast two or more such provisions. 
Score 0: No heritage-specific development control, standard or incentive is found.
Note: Merely identifying/listing heritage buildings or requiring permission from a heritage conservation committee or other authority does not qualify for score 2 unless the DCR also provides an enabling or incentivising development provision. For example: Requiring heritage committee approval before alteration/demolition will score 1, whereas permitting adaptive reuse, granting TDR/development rights, allowing compatible alternative uses, or relaxing parking/setback requirements to facilitate conservation will score 2.
Keywords for scorer: heritage; heritage building; listed building; heritage precinct; historic; historic core; conservation; preservation; restoration; adaptive reuse; reuse; change of use; alternative use; special character; heritage committee; demolition; alteration; façade; TDR; transferable development rights; FAR; FSI; incentive; parking relaxation; setback relaxation.</t>
  </si>
  <si>
    <t>33</t>
  </si>
  <si>
    <t>Green-building incentives</t>
  </si>
  <si>
    <t>Does the city have a mandate to provide incentives for green buildings, and are these incentives operationalised?</t>
  </si>
  <si>
    <t>Sum of the sub-questions below</t>
  </si>
  <si>
    <t>33a</t>
  </si>
  <si>
    <t>UPD33a</t>
  </si>
  <si>
    <t>Does the law mandate incentives for green buildings ?</t>
  </si>
  <si>
    <t>Check the applicable T&amp;CP Act and Municipal Act for a provision mandating or enabling the provision of incentives for green buildings. The Act need not specify the nature or quantum of the incentive; a clear statutory provision requiring or enabling green-building incentives is sufficient. Where specified, incentives may include additional FAR/FSI, property-tax rebates, fee/development-charge concessions, or other fiscal or development-control incentives.
Score 5 if the Act provides a clear mandate or enabling provision for green-building incentives, even if the specific incentives are to be prescribed subsequently through rules, regulations or other instruments. Score 0 otherwise.</t>
  </si>
  <si>
    <t>33b</t>
  </si>
  <si>
    <t>UPD33b</t>
  </si>
  <si>
    <t>Does your city give incentives for green buildings ?</t>
  </si>
  <si>
    <t>Check the applicable municipal/city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
Score 5 if at least one green-building incentive is operational in the city, based on an official source or reliable secondary evidence.
Score 0 if no such incentive can be established.</t>
  </si>
  <si>
    <t>34</t>
  </si>
  <si>
    <t>Land-management instruments</t>
  </si>
  <si>
    <t>Does the law enable a guaranteed land titling system ?</t>
  </si>
  <si>
    <t>Part A – Legal/Policy Provision
Check whether the State has enacted a land titling law providing for certification/guarantee of land titles; or issued a Government Order/circular/notification establishing a framework for certification of land titles.
A general land-record digitisation, mutation or property-registration framework shall not qualify unless it specifically provides for certification/guarantee of title.
Part B – Operationalisation
Where the framework is provided through an Act, check whether the rules/regulations necessary to operationalise the land titling framework have been notified.
Scoring:
Score 10: Land titling is provided through an Act and the necessary rules/regulations have been notified; OR an applicable Government Order/circular/notification establishes an operational framework that does not require separate rules.
Score 5: A land titling Act has been enacted, but the necessary rules/regulations have not been notified.
Score 0: No land titling law or applicable Government Order/circular/notification exists.</t>
  </si>
  <si>
    <t>35</t>
  </si>
  <si>
    <t>UPD35</t>
  </si>
  <si>
    <t>Does the law enable a guaranteed land pooling system ?</t>
  </si>
  <si>
    <t>Part A – Legal/Policy Provision
Check whether the State has enacted legislation or issued a Government Order/circular/notification providing for a land assembly/reconstitution mechanism such as:
a. Town Planning Scheme (TPS)/land reconstitution; or
b. Land pooling.
Score 5 if at least one such mechanism is formally provided for through legislation or an applicable Government Order/circular/notification. Score 0 otherwise.
Part B – Operationalisation
Where the mechanism is provided for through an Act, check whether the rules/regulations necessary to operationalise the mechanism have been notified.
Score 5 if the rules/regulations necessary for implementation of the mechanism have been notified and are currently in force. Score 0 if the enabling provision exists but the necessary rules/regulations have not been notified.</t>
  </si>
  <si>
    <t xml:space="preserve">Note: Record separately whether the applicable mechanism is TPS/land reconstitution, land pooling, or both. </t>
  </si>
  <si>
    <t>36</t>
  </si>
  <si>
    <t>UPD36</t>
  </si>
  <si>
    <t>Development Compliance</t>
  </si>
  <si>
    <t>Development approvals</t>
  </si>
  <si>
    <t>Does your city have a single window clearance process in place for  development projects that are in conformity with municipal/city plans?</t>
  </si>
  <si>
    <t xml:space="preserve">Check for the existence of an online portal / platform that acts as a one-stop solution for filing complete application for development projects (education, health, affordable housing) and provides option for tracking status of application. Score 10 if  any 2 out of the 3 project types are available on the portal/platform/DA Website </t>
  </si>
  <si>
    <t>37</t>
  </si>
  <si>
    <t>UPD37</t>
  </si>
  <si>
    <t>Enforcement</t>
  </si>
  <si>
    <t>Is there an effective system to prevent approval of plans that are not in conformity with municipal/city plan?</t>
  </si>
  <si>
    <t>Law or Policy/Implementation</t>
  </si>
  <si>
    <t>Check whether there is a system with all of the following aspects:
1. An approval authority for projects at each level, as defined under the T&amp;CP Act or allied Act and/or the MPC Act
2. A defined process for rejection and/or variance approvals for plans that are not in conformity with the SDP, as provided under the T&amp;CP Act or allied Act and/or the MPC Act
3. A registry of public projects (bus terminals, metro stations, railway stations, protected heritage buildings) and private projects. Evidence can be present on ULG/Development Authority websites
4. Disclosure of all approvals, denials and variance approvals in the public domain. Evidence can be present on ULG/Development Authority websites
Score 10 only if all four of the above aspects are met
Score 0 otherwise.</t>
  </si>
  <si>
    <t>38</t>
  </si>
  <si>
    <t>UPD38</t>
  </si>
  <si>
    <t>Construction monitoring</t>
  </si>
  <si>
    <t xml:space="preserve">Does the law mandate mechanisms for monitoring ongoing construction/development projects for compliance with approved plans and permissions?  </t>
  </si>
  <si>
    <t>38a</t>
  </si>
  <si>
    <t>UPD38a</t>
  </si>
  <si>
    <t>Does the law mandate a system for monitoring ongoing construction/projects for possible violations?</t>
  </si>
  <si>
    <t>Check the applicable T&amp;CP Act or the allied Act, and Municipal Act for provisions for the following:
1. Authority to inspect ongoing construction/projects.
2. Stage-wise inspections or monitoring during construction, including, where applicable, commencement, plinth, intermediate stages and/or completion.
3. Power to issue notices or stop-work directions where unauthorised or non-conforming construction is identified.
Score 5 if all three of the aspects are met. 
Score 0 otherwise.</t>
  </si>
  <si>
    <t>38b</t>
  </si>
  <si>
    <t>UPD38b</t>
  </si>
  <si>
    <t>Has a system for monitoring ongoing construction/projects for possible violations been implemented?</t>
  </si>
  <si>
    <t>Check the ULG/Development Authority websites whether the monitoring process includes all of the following:
1.Online self-assessment/reporting of construction progress, including uploading photographs and requisite compliance documents
2. Periodic ground surveys/inspections of approved projects, covering either all projects or a defined sample
3. Public disclosure of monitoring information, including compliance numbers/status, violations registered and action taken.
Score 5 if all three elements are operational.
Score 0 otherwise.</t>
  </si>
  <si>
    <t>39</t>
  </si>
  <si>
    <t>UPD39</t>
  </si>
  <si>
    <t>Corrective action</t>
  </si>
  <si>
    <t>Are there provisions to penalise violating plans?</t>
  </si>
  <si>
    <t>Check if the T&amp;CP Act mentions the penal provisions under the following heads (at least five of the below to mark as 'Yes'):
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</si>
  <si>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Please give the text of the provisions in the scorer comment's column in the scoresheet</t>
  </si>
  <si>
    <t> </t>
  </si>
  <si>
    <t>Ahmedabad</t>
  </si>
  <si>
    <t>Bangalore</t>
  </si>
  <si>
    <t>Bhopal</t>
  </si>
  <si>
    <t>Bhubaneswar</t>
  </si>
  <si>
    <t>Chandigarh</t>
  </si>
  <si>
    <t>Chennai</t>
  </si>
  <si>
    <t>Dehradun</t>
  </si>
  <si>
    <t>Delhi</t>
  </si>
  <si>
    <t>Guwahati</t>
  </si>
  <si>
    <t>Hyderabad</t>
  </si>
  <si>
    <t>Jaipur</t>
  </si>
  <si>
    <t>Kanpur</t>
  </si>
  <si>
    <t>Kolkata</t>
  </si>
  <si>
    <t>Lucknow</t>
  </si>
  <si>
    <t>Ludhiana</t>
  </si>
  <si>
    <t>Mumbai</t>
  </si>
  <si>
    <t>Patna</t>
  </si>
  <si>
    <t>Pune</t>
  </si>
  <si>
    <t>Raipur</t>
  </si>
  <si>
    <t>Ranchi</t>
  </si>
  <si>
    <t>Surat</t>
  </si>
  <si>
    <t>Thiruvananthapuram</t>
  </si>
  <si>
    <t>Visakhapatnam</t>
  </si>
  <si>
    <t>Solan</t>
  </si>
  <si>
    <t>Panaji</t>
  </si>
  <si>
    <t>Agartala</t>
  </si>
  <si>
    <t>New York</t>
  </si>
  <si>
    <t>London</t>
  </si>
  <si>
    <t>Johannesburg</t>
  </si>
  <si>
    <t>ENTER</t>
  </si>
  <si>
    <t>Derived</t>
  </si>
  <si>
    <t>UPD_Scores</t>
  </si>
  <si>
    <t>UPD_OVERALL_SCORE</t>
  </si>
  <si>
    <t>No. of MQs not yet scored ("?") - overall score is provisional while &gt; 0</t>
  </si>
  <si>
    <t>No. of MQs marked NA (excluded from overall score)</t>
  </si>
  <si>
    <t>Is there a provision for the establishment of Planning Authorties for notified new towns or special developments?</t>
  </si>
  <si>
    <t xml:space="preserve">Check if the T&amp;CP act has provisions for establishing a planning authority for new areas/towns notified. The state can also be considered, if the provision mandates the existing planning authority to develop a plan for the notified new area. </t>
  </si>
  <si>
    <t xml:space="preserve">The T&amp;CP act should mandate three levels of master plans. </t>
  </si>
  <si>
    <t>4a</t>
  </si>
  <si>
    <t>UPD4a</t>
  </si>
  <si>
    <t>4b</t>
  </si>
  <si>
    <t>UPD4b</t>
  </si>
  <si>
    <t xml:space="preserve">Check the T&amp;CP act for provisions that mandate the creation of a municipal/city master plan. Relevant urban areas development authority act can also be considered for evidence. </t>
  </si>
  <si>
    <t>4c</t>
  </si>
  <si>
    <t>UPD4c</t>
  </si>
  <si>
    <t xml:space="preserve">Check the T&amp;CP act for provisions that mandate the creation of a third tier of plan at the zone/ward level. Town planning schemes that are developed within the framework of the master plan shall not be considered. </t>
  </si>
  <si>
    <t xml:space="preserve">
 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
For example:
Entire ULG only = Score 10
Entire ULG + 10 complete Gram Panchayats = Score 10
Entire ULG + 15 complete revenue villages = Score 10
Entire ULG + 2 complete taluks = Score 10
ULG + only part of a Gram Panchayat/revenue village = Score 0
Planning boundary itself divides the ULG, leaving part of the ULG outside the plan = Score 0
Use the notification/text defining the planning area as the primary source.
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t>
  </si>
  <si>
    <t xml:space="preserve">Check with Shreya on the methodology and relevancy of the question </t>
  </si>
  <si>
    <t xml:space="preserve">Check the state T&amp;CP act for provisions that delineate a decentralised plan approval process. </t>
  </si>
  <si>
    <t>8a</t>
  </si>
  <si>
    <t>Check if the T&amp;CP act/metropolitan planning act mandates the metropolitan/regional plan to be approved by the state government.</t>
  </si>
  <si>
    <t>8b</t>
  </si>
  <si>
    <t xml:space="preserve">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master plan is to be approved by the state. </t>
  </si>
  <si>
    <t>8c</t>
  </si>
  <si>
    <t xml:space="preserve">Check if the T&amp;CP act mandates the zonal/ward plans to be approved by the ULG. </t>
  </si>
  <si>
    <t>Objectives of each level of master plans</t>
  </si>
  <si>
    <t xml:space="preserve">Check the T&amp;CP act for provisions that detail the objectives and contents of each level of spatial plan. The Act should broadly mention what each level of spatial plan should cover. 
Score 3.33 each for the objectives and contents of - 
1. Metropolitan/regional plan
2. Municipal/city plan
3. Ward(s)/local plan 
If the T&amp;CP act provides for all three, score 10. </t>
  </si>
  <si>
    <t>Check whether the State has notified the rules for the MPC/DPC applicable to the city. If yes, score 5.
MPC applies to metropolitan cities (~46 cities); DPC applies for non-metropolitan cities</t>
  </si>
  <si>
    <t xml:space="preserve">Split methodology into Part A - mandate (municipal act or T&amp;CP act) Part B  - Constitution of MPC, rules </t>
  </si>
  <si>
    <t>Have they met at least once a year?</t>
  </si>
  <si>
    <t xml:space="preserve">Check whether the MPC/DPC has met at least once in the past two years. Score 5 where there is evidence of meeting in the last two year.
Evidence: State UD/Municipal Administration department notifications/constitution orders/website; MPC/DPC meeting minutes, agendas or resolutions; MPC/DPC and metropolitan planning authority/development authority websites and RTIs.
</t>
  </si>
  <si>
    <t xml:space="preserve">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t>
  </si>
  <si>
    <t>Master plan preparation, participation and review</t>
  </si>
  <si>
    <t xml:space="preserve">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t>
  </si>
  <si>
    <t xml:space="preserve">Check if the T&amp;CP act mandates public participation in preparation of municipal/city plan through:
Part A: Formal platforms such as ward committees and area sabhas. If yes, score 2.50.
Part B: Other means* for municipal/city plan. If yes, score 2.50
*Even if the provision alludes to 'public participation/consultation or consolidation of suggestions and objections without specifying the mode for the same
</t>
  </si>
  <si>
    <t>Check if the T&amp;CP act mandates public scrutiny (including objections and responses) through:
Part A: Formal platforms such as ward committees and area sabhas. If yes, score 2.50.
Part B: Other means* for municipal/city plan. If yes, score 2.50
*Even if the provision alludes to 'public scrutiny/consultation or consolidation of suggestions and objections without specifying the mode for the same</t>
  </si>
  <si>
    <t>Check Development Authority/ULG websites (as applicable) for consultation minutes/details/notifcations for inviting suggestions; newspaper reports; and the municipal/city master plan for evidence of public scrutiny. If such evidence is found, score 5.</t>
  </si>
  <si>
    <t>Does the law mandate periodic review and revision of the notified Master Plan, including corresponding revisions to the Development Control Regulations (DCRs)?</t>
  </si>
  <si>
    <t>Review the applicable State Town Planning Act.
Score 10: The law mandates periodic review and revision of the Master Plan, specifies a review/revision timeline and responsible authority, and requires corresponding review and revision of the DCRs, where necessary, following Master Plan revision.
Score 2.5 for each component and enter the sum if there are multiple components - 
1. The law mandates periodic review and revision of the Master Plan ((alluding to the revision or creation of a new master plan say after ten years) to the master plans shall not be considered).
2. Specifies a review/revision timeline 
3. Specifies for responsible authority
4. Requires corresponding review and revision of the DCRs following master plan revision</t>
  </si>
  <si>
    <t>Master plan objectives and contents</t>
  </si>
  <si>
    <t xml:space="preserve">Does the TCP act mandate the planning for:  </t>
  </si>
  <si>
    <t xml:space="preserve">Check the T&amp;CP/Urban Development Authority (UDA)/allied acts for provisions that mandate the planning authority to prepare:                                                                                                                   1.Water Supply/sewerage plan or mandate to have a water supply component as part of the municipal/city master plan. Score: 0.55                                                                                                             2. City sanitation plan or mandate to have a sanitation component as part of the municipal/city master plan. Score: 0.55                                                                                                                                                                                                                                                            3.Solid Waste Management Plan or mandate to have a solid waste management as part of the municipal/city master plan Score: 0.55
Provisions that make such a plan optional with 'may' provision shall not be considered. </t>
  </si>
  <si>
    <t>11c</t>
  </si>
  <si>
    <t>UPD11c</t>
  </si>
  <si>
    <t>11d</t>
  </si>
  <si>
    <t>UPD11d</t>
  </si>
  <si>
    <t>11e</t>
  </si>
  <si>
    <t>UPD11e</t>
  </si>
  <si>
    <t>11f</t>
  </si>
  <si>
    <t>UPD11f</t>
  </si>
  <si>
    <t>Check the T&amp;CP/Urban Development Authority (UDA)/allied acts for provisions that mandate the planning authority to prepare a social development plan or mandate to have a social development component as part of the master plan. Provisions that make such a plan optional with 'may' provision shall not be considered. Check if the social development plan includes components on planning for health, education and affordable housing. Score each component in the following manner:
1.Public health. Score: 0.55                                                                                                             
2. Education. Score: 0.55                                                                                                                                                                                                                                                            3. Affordable housing Score: 0.55</t>
  </si>
  <si>
    <t>Master plan status, hierarchy and coordination</t>
  </si>
  <si>
    <t>Existence of master plans at each level</t>
  </si>
  <si>
    <t xml:space="preserve">Document should mention the word municipal/development/city plan or master plan. Check the website of the urban development authority or ULG website or T&amp;CP Dept. Score 3.33 if any of these apply, else, 0. </t>
  </si>
  <si>
    <t>Validity of master plans</t>
  </si>
  <si>
    <t xml:space="preserve">Review the applicable municipal/ city plan to identify the valid period, and the gazette notification date of the current and immediately preceding master plan 
Score 10 — notified within the statutory period
Score 0 — Master plans that have lapsed and have not been replaced by a new master plan should be  treated as ‘no master plans/inactive master plans.
The scorer to capture in the scoring sheet the amount of time (in months) that has been passed since the end of the validity period
</t>
  </si>
  <si>
    <t>22a</t>
  </si>
  <si>
    <t>UPD22a</t>
  </si>
  <si>
    <t>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Master plan should not extend beyond 2021. </t>
  </si>
  <si>
    <t>22b</t>
  </si>
  <si>
    <t>UPD22b</t>
  </si>
  <si>
    <t>Is the Municipal master plan in a concurrent or nested timeline of validity with Ward master plan?</t>
  </si>
  <si>
    <t>Check whether the validity periods of the municipal/city master plan and ward/local-level plans overlap and are aligned, such that the validity of the ward/local-level plan does not extend beyond that of the municipal/city master plan. 
For example: if the municipal master plan is valid from 2021–2041, the applicable ward/zonal/local-level plan should fall within and not extend beyond 2041.</t>
  </si>
  <si>
    <t xml:space="preserve">Do the master plans at each level, integrate the plans and priorities of various sectoral public departments and agencies? </t>
  </si>
  <si>
    <t xml:space="preserve">Check if creation of the master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master plan, or as MoM / notes on the planning authority's website. </t>
  </si>
  <si>
    <t>Objectives of the master plan</t>
  </si>
  <si>
    <t>Does the Master Plan include objectives on jobs and economy?</t>
  </si>
  <si>
    <t>Check whether the municipal/city plan identifies key economic development priorities and provides measurable targets/outcomes for them. These may include:
Increase in workforce participation.
Number of jobs to be generated across economic sectors.
Land identified/allocated for economic activities.
Number/area of enterprises, industries or commercial activities to be facilitated.
Provision of designated spaces/facilities for street vendors and other informal livelihoods.
Score based on whether the municipal/city plan contains both:
1. A clearly stated objective or priority in the Master Plan relating to the city’s economy, employment or livelihoods. This could include job creation, workforce participation, industrial/commercial development, informal livelihoods, economic clusters, markets, tourism, or allocating land/infrastructure to support economic activity.
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master plan does not identify clear economic development priorities and associated interventions. General or aspirational references to economic development, employment, jobs or livelihoods without clearly identified priorities and interventions shall not be considered for scoring.</t>
  </si>
  <si>
    <t>Does the Master Plan include objectives on environment and heritage conservation?</t>
  </si>
  <si>
    <t>Check whether the municipal/city master plan identifies clear priorities, interventions and measurable targets/outcomes across the following two components:
Natural Environment and Climate Resilience
These may include:
Protection, enhancement or increase of recreational and non-recreational green spaces, urban forests and natural habitats.
Conservation, restoration or revival of lakes, wetlands and other water bodies.
Protection of environmentally sensitive areas and natural assets through appropriate zoning, buffers or other development controls.
Increase in green cover, afforestation or reforestation.
Protection/restoration of biodiversity and ecologically significant areas.
Reduction in air, water and soil pollution.
Climate-change mitigation and adaptation, including reduction in greenhouse gas emissions.
Promotion of renewable energy and clean technologies.
Disaster-risk reduction and resilience of natural systems.                                                                        
                                                                                                                                                              For each component, score as follows:
Score 5: The municipal/city master plan identifies clear priorities and associated interventions/actions and provides measurable/quantifiable targets or outcome indicators.
Score 2.5: The municipal/city master plan identifies clear priorities and associated interventions/actions, but does not provide measurable targets/outcome indicators.
Score 0: The component is absent, or is referred to only in general/aspirational terms without clearly identified priorities and associated interventions</t>
  </si>
  <si>
    <t>Check whether the municipal/city master plan identifies clear priorities, interventions and measurable targets/outcomes across the following two components:                                                                       Heritage Conservation
These may include:
Identification and protection of heritage buildings, precincts, sites and other heritage assets.
Identification and protection of natural heritage and culturally significant landscapes.
Conservation, restoration or adaptive reuse of heritage buildings/sites.
Designation of heritage zones/precincts and appropriate development controls or buffer areas.
Protection of the character and built form of heritage areas.
Integration of heritage conservation with redevelopment and other development proposals.
Measurable targets for conservation, restoration or protection of identified heritage assets/precincts. 
For each component, score as follows:
Score 5: The municipal/city master plan identifies clear priorities and associated interventions/actions and provides measurable/quantifiable targets or outcome indicators.
Score 2.5: The municipal/city master plan identifies clear priorities and associated interventions/actions, but does not provide measurable targets/outcome indicators.
Score 0: The component is absent, or is referred to only in general/aspirational terms without clearly identified priorities and associated interventions.</t>
  </si>
  <si>
    <t>Does the Master Plan include objectives on social development (health care, education)?</t>
  </si>
  <si>
    <t>Check whether the municipal/city master plan identifies clear priorities, interventions and measurable targets/outcomes across the following three components:</t>
  </si>
  <si>
    <t>Education
These may include:
Coverage/accessibility of anganwadis and pre-primary facilities.
Availability of schools relative to population/service standards.
Accessibility of educational facilities, including for persons with disabilities.
Other measurable education-related service or accessibility outcomes.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</si>
  <si>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Healthcare
These may include:
Coverage/accessibility of dispensaries and primary healthcare facilities.
Coverage/accessibility of hospitals, maternity/child welfare centres, rehabilitation or diagnostic facilities.
Improvements in access to healthcare.
Public-health outcomes, including reduction in vector-borne diseases or other locally relevant health risks.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</si>
  <si>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Affordable housing
These may include:
Assessment of existing and projected affordable housing requirements.
Number/percentage of slums or inadequate settlements proposed for rehabilitation/upgradation.
Provision of affordable housing - Identification of land parcels.
Increase in affordable housing as a proportion of housing stock.
Access to livelihood opportunities, public transport and basic services.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</si>
  <si>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Does the master plan include objectives for women?</t>
  </si>
  <si>
    <t>Check whether the municipal/city master plan identifies clear priorities, interventions and measurable targets/outcomes relating to women’s inclusion and access to the city.
These may include:
Economic participation and livelihoods: Measures to support women’s participation in formal and informal employment, including access to employment centres, markets, vending spaces and other livelihood opportunities.
Access to infrastructure and basic services: Equitable access to housing, water and sanitation, healthcare, education, childcare and other public services.
Mobility and accessibility: Safe and accessible public transport, walking and cycling infrastructure, and improved connectivity to employment and essential services.
Safety and public spaces: Measures to improve women’s safety and access to streets, public spaces, parks and other public facilities.
Care infrastructure: Provision and accessibility of childcare, care facilities and other infrastructure that supports women’s participation in economic and public life.
Score 10: The municipal/city master plan identifies clear priorities relating to women’s inclusion and associated interventions/actions and provides measurable/quantifiable targets or outcome indicators.
Score 5: The municipal/city master plan identifies clear priorities relating to women’s inclusion and associated interventions/actions, but does not provide measurable targets/outcome indicators.
Score 0: The municipal/city master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t>
  </si>
  <si>
    <t>Is there a common digital base master plan Map shared among Planning Authorities, and data updated through GIS with fixed periodicity by the relevent sectoral agencies (transport, network infrastructure, land use changes)</t>
  </si>
  <si>
    <t xml:space="preserve"> 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If the plan identifies atleast two of the above points score 3.3, else score 0. 
General statements of intent, such as improving sanitation, achieving universal water supply or creating a clean city, without identifiable priorities/interventions and measurable objectives or targets, shall not qualify.   </t>
  </si>
  <si>
    <t>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
A general reference to the ULG as a stakeholder or participating institution, without identifiable responsibilities, shall not qualify</t>
  </si>
  <si>
    <t>Check the master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master plan/DP) to be scored.  A Disaster Management Plan may also be considered as evidence.  If the plan/ strategy does exist  score 3.3, or score 0 otherwise.                                                                                                                                Note: A draft document. Independent consultant's report/academic /NGO reports will not be considered.</t>
  </si>
  <si>
    <t>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
A general statement of intent, such as becoming climate-resilient, sustainable or reducing emissions, without identifiable priorities and measurable objectives or targets, shall not qualify.
Score 3.3 if the plan identifies atleast two or more clear priorities and includes measurable objectives or targets against those priorities; score 0 otherwise.</t>
  </si>
  <si>
    <t>29c</t>
  </si>
  <si>
    <t>UPD29c</t>
  </si>
  <si>
    <t>Score 3.3 where the plan clearly articulates the role/responsibilities of the ULG in its preparation/implementation; score 0 otherwise.</t>
  </si>
  <si>
    <t>Check the master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
Check whether the city has a Comprehensive Mobility Plan (CMP) that has been formally adopted or approved by the competent authority, such as the UMTA, the Urban Development Department, Transport Department or the ULG/Council through a resolution. Sources may include the master plan, the ULB website, parastatal websites, and the UMTA or State Transport Department website.
A draft CMP, a consultant's report, or an unadopted study, without evidence of formal adoption or approval, shall not qualify.
Score 3.33 if the city has a CMP formally adopted or approved by the competent authority; score 0 otherwise.</t>
  </si>
  <si>
    <t>30c</t>
  </si>
  <si>
    <t>UPD30c</t>
  </si>
  <si>
    <t>31a</t>
  </si>
  <si>
    <t>UPD31a</t>
  </si>
  <si>
    <t>Check the municipal/city plan, ULG website, relevant parastatal website, or city/district website for the existence of an Economic Vision, Economic Development Plan or equivalent city-level economic strategy. The document must:
Be a final document; draft documents shall not be considered.
Be formally adopted/approved by the competent authority, evidenced through a Municipal Corporation/Council resolution, Government Order, formal approval by the competent authority, or integration into the statutory Master Plan/Development Plan.
Be currently active/applicable. Where the document specifies a validity or implementation period, the city must be within that period at the time of assessment. An expired or superseded plan shall not be considered.
Independent consultant reports, academic studies/reports, background studies or other documents that have not been formally adopted/approved by the competent authority shall not be considered.
Score 3.3 if the city has a final, formally adopted/approved and currently active/applicable Economic Vision, Economic Development Plan or equivalent city-level economic strategy that meets all the above conditions; score 0 otherwise.</t>
  </si>
  <si>
    <t>31b</t>
  </si>
  <si>
    <t>UPD31b</t>
  </si>
  <si>
    <t>31c</t>
  </si>
  <si>
    <t>UPD31c</t>
  </si>
  <si>
    <t xml:space="preserve">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10 if there is evidence that an Urban Design Cell/Unit/Vertical exists, including a qualifying shared State/district-level resource for towns below five lakh; score 0 otherwise.
 </t>
  </si>
  <si>
    <t>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10 if there is evidence that such a cell/unit/vertical exists and is functional for the city, including a qualifying shared state/district-level resource for towns below five lakh; score 0 otherwise.</t>
  </si>
  <si>
    <t>Does the city have an Economic Develeopment Cell ?</t>
  </si>
  <si>
    <t xml:space="preserve">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10 if there is evidence that an economic development cell/unit/vertical exists and is functional for the city; score 0 otherwise.
Applicability: this indicator is applicable only to million-plus cities (population of 10 lakh or more). For all other cities, score NA. </t>
  </si>
  <si>
    <t>25d</t>
  </si>
  <si>
    <t>UPD25d</t>
  </si>
  <si>
    <t>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10 if there is evidence that a dedicated women’s welfare/development cell/unit/vertical exists and is functional for the city; score 0 otherwise.
Applicability: This indicator is applicable only to million-plus cities. For all non-million-plus cities, score NA.</t>
  </si>
  <si>
    <t>37a</t>
  </si>
  <si>
    <t>UPD37a</t>
  </si>
  <si>
    <t>37b</t>
  </si>
  <si>
    <t>UPD37b</t>
  </si>
  <si>
    <t>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
Score 5 if a city-level parking policy exists or its formal adoption can be established through reliable evidence. Score 0 otherwise.
Note: Score this question independently of the legal mandate. A city may score 5 on this question even where there is no legal mandate for a parking policy.</t>
  </si>
  <si>
    <t>Is there an effective system to monitor ongoing construction/projects for possible violations?</t>
  </si>
  <si>
    <t>Check the applicable T&amp;CP Act or the allied Act, and municipal act for provisions for the following:
1. Authority to inspect ongoing construction/projects.
2. Stage-wise inspections or monitoring during construction, including, where applicable, commencement, plinth, intermediate stages and/or completion.
3. Power to issue notices or stop-work directions where unauthorised or non-conforming construction is identified. Score 5 if all three of the aspects are met. 
Score 0 otherwise.</t>
  </si>
  <si>
    <t>Check the ULG/Development Authority websites whether the monitoring process includes all of the following:
Online self-assessment/reporting of construction progress, including uploading photographs and requisite compliance documents
Periodic ground surveys/inspections of approved projects, covering either all projects or a defined sample
Public disclosure of monitoring information, including compliance numbers/status, violations registered and action taken.
Score 5 if all three elements are operational.
Score 0 otherwise.</t>
  </si>
  <si>
    <t>Check the applicable Master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
Score 5 if at least one green-building incentive is operational in the city, based on an official source or reliable secondary evidence.
Score 0 if no such incentive can be established.</t>
  </si>
  <si>
    <t>Does your city have a single window clearance process in place for  development projects that are in conformity with Master Plans?</t>
  </si>
  <si>
    <t>40</t>
  </si>
  <si>
    <t>UPD40</t>
  </si>
  <si>
    <t>Is there an effective system to prevent approval of plans that are not in conformity with Master Plan?</t>
  </si>
  <si>
    <t>Check whether there is a system with all of the following aspects:
1. An approval authority for projects at each level, as defined under the T&amp;CP Act or allied Act and/or the MPC Act
2. A defined process for rejection and/or variance approvals for plans that are not in conformity with the SDP, as provided under the T&amp;CP Act or allied Act and/or the MPC Act
3. A registry of public projects (bus terminals, metro stations, railway stations, protected heritage buildings) and private projects. Evidence can be present on ULG/Development Authority websites
4. Disclosure of all approvals, denials and variance approvals in the public domain. Evidence can be present on ULG/Development Authority websites
Score 5 only if all four of the above aspects are met
Score 0 otherwise.</t>
  </si>
  <si>
    <t>41</t>
  </si>
  <si>
    <t>UPD41</t>
  </si>
  <si>
    <t>42</t>
  </si>
  <si>
    <t>UPD42</t>
  </si>
  <si>
    <t>corrective action</t>
  </si>
  <si>
    <t>Check if the T&amp;CP act mentions the penal provisions under the following heads (at least five of the below to mark as 'Yes'):
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</si>
  <si>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</si>
  <si>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 xml:space="preserve">Defintions/notes/list </t>
  </si>
  <si>
    <t>Spatial plans</t>
  </si>
  <si>
    <t xml:space="preserve">Metropolitan plan </t>
  </si>
  <si>
    <t>City Plan/Municipal Plan</t>
  </si>
  <si>
    <t xml:space="preserve">Ward level/local area Plan </t>
  </si>
  <si>
    <t>Zonal development plans, planning district plans or equivalent sub-city plans may be considered in place of ward-level plans where applicable.</t>
  </si>
  <si>
    <t>Scorer comments</t>
  </si>
  <si>
    <t>Implementation needs to be checked for all questions  irrespective of the score on mandate</t>
  </si>
  <si>
    <t>Change score from 3.30 to 3.33</t>
  </si>
  <si>
    <t xml:space="preserve">DCR </t>
  </si>
  <si>
    <t>Different normenclature of DCR - check with Meghamala</t>
  </si>
  <si>
    <t xml:space="preserve">How 'NA' is marked/treated in ASICS 2027 </t>
  </si>
  <si>
    <t>Is there a provision for a State Spatial Planning Board which is mandated with planning policies and reforms for the state, and is the final approving authority for Regional and Municipal Master Plans ?</t>
  </si>
  <si>
    <t>Part A: Check for the existence of a town planning body with the mandate for state spatial planning and reform. Check if the state Town and Country Planning (T&amp;CP) act has a provision for the constitution of state town planning board/trust/commission/advisory council. If the act provides for such a body with a 'may' provision (for ex. - "State may constitute..."), also, check for the constitution of a state town planning body.  Part B: Check if such a body is the final approving authority for regional plan.</t>
  </si>
  <si>
    <t>Does the Act require 3 levels of Master Plans for Metropolitian cities: Regional, Municipal and Ward(s) /Local</t>
  </si>
  <si>
    <t>Metropolitan Master Plan</t>
  </si>
  <si>
    <t>Check the T&amp;CP/Metropolitan Planning Act for provisions that mandate the creation of a metropolitan plan for the metropolitan region. Relevant metropolitan authority act/urban areas development authority act can also be considered for evidence. In the case of states that do not have a metropolitan area, the act should mandate the creation of a regional plan.</t>
  </si>
  <si>
    <t>Municipal Master Plan</t>
  </si>
  <si>
    <t xml:space="preserve">Check the T&amp;CP act for provisions that mandate the creation of a municipal master plan. Relevant urban areas development authority act can also be considered for evidence. </t>
  </si>
  <si>
    <t>Ward Master Plan</t>
  </si>
  <si>
    <t>Check the T&amp;CP act for provisions that mandate the creation of a third tier of plan at the zone/ward level. Town planning schemes that are developed within the framework of the master plan shall not be considered.</t>
  </si>
  <si>
    <t>Are planning boundaries for Metropolitian master plan, Municipal master plan and Ward(s) master plan clearly defined in accordance with political, planning, and administrative structures ?</t>
  </si>
  <si>
    <t xml:space="preserve">Planning boundary for a metropolitan plan should include entire district boundaries with no part districts included/excluded. Consider administrative district boundaries. Metro cities not having a metro plan would be scored 0 and non-metro cities to be scored NA. </t>
  </si>
  <si>
    <t>Institutional responsibility for master plan preparation and approval</t>
  </si>
  <si>
    <t>Does the law clearly assign institutional responsibility for preparing and approving master plans at each level?</t>
  </si>
  <si>
    <t>Review the applicable T&amp;CP/Planning Act, Metropolitan/Regional Planning Act, Development Authority Act, and relevant rules/regulations.
Part A: Preparation – 1.67 marks 
Look for an express provision or allied provision that clearly assigns responsibility for preparing, making, drawing up, formulating, or causing the Metropolitan/Regional master plan to be prepared. Score 1.67 if responsibility for preparation is clearly assigned to a specified institution/authority.
Score 0 if responsibility is not clearly assigned or can only be inferred from a general planning function.
Part B: Approval – 1.67 marks
Look for an express provision or allied provision that clearly assigns final approval, sanction or adoption authority for the Metropolitan/Regional master plan. For a Metropolitan/Regional or District-level plan, the final approving authority should be the State Government or a State-level authority/body legally empowered to exercise this function.
Score 1.67 if the final approving authority is clearly specified as the State Government or an appropriately empowered State-level body.
Score 0 otherwise.
Note: Score 0 for the entire sub-question where the same institution is both the sole preparer and final approving authority, without an independent statutory approval/scrutiny layer. Record separately in the score sheet where such an arrangement exists and identify the institutions involved.
The score sheet should also record, without separate scoring, the respective roles of the MPC/DPC, Development Authority/Regional Planning Authority, ULG, and State Government, including any role in preparation, consultation, recommendation, adoption, scrutiny, or approval.</t>
  </si>
  <si>
    <t>6a</t>
  </si>
  <si>
    <t>UPD8a</t>
  </si>
  <si>
    <t>UPD6a</t>
  </si>
  <si>
    <t>Does the law clearly identify the authority responsible for preparation and approval of the Metropolitan/Regional master plan?</t>
  </si>
  <si>
    <t>Replicate as applicable from above</t>
  </si>
  <si>
    <t>6b</t>
  </si>
  <si>
    <t>UPD8b</t>
  </si>
  <si>
    <t>UPD6b</t>
  </si>
  <si>
    <t>Does the law clearly identify the authority responsible for preparation and approval of the Municipal master plan, including the role of the ULG?</t>
  </si>
  <si>
    <t>6c</t>
  </si>
  <si>
    <t>UPD8c</t>
  </si>
  <si>
    <t>UPD6c</t>
  </si>
  <si>
    <t>Does the law clearly identify the authority responsible for preparation and approval of the Ward/Local master plan, with an appropriate role for the ULG/Ward Committee?</t>
  </si>
  <si>
    <t xml:space="preserve">Check if the T&amp;CP act mandates the zonal/ward master plans to be approved by the ULG. </t>
  </si>
  <si>
    <t>Does the Act define clearly the Objectives and Contents of each level of master plan?</t>
  </si>
  <si>
    <t xml:space="preserve">Check the T&amp;CP act for provisions that detail the contents/objectives of each level of plan. Act should broadly mention what the master plan should cover at each or at any level; details of a master plan/comprehensive development plan prescribed by the law can also be considered. </t>
  </si>
  <si>
    <t>Is there a clear provision for a competent technical cell to enable preparation of the master plan for each level?</t>
  </si>
  <si>
    <t>Check if the T&amp;CP act/urban development authorities act provides for a body (like a development authority) at each level of master plan, which would function as the technical arm for planning the city.</t>
  </si>
  <si>
    <t>Does the city have an MPC/DPC?</t>
  </si>
  <si>
    <t xml:space="preserve"> Constitution (5): Check whether the State has notified the rules for, and has actually constituted, the MPC/DPC applicable to the city. Score 5 where the committee is duly constituted per the notified rules; score 0 otherwise. MPC applies to metropolitan areas (~46 cities); DPC applies at the district level - assess whichever is applicable to the city, and mark NA only where neither is legally applicable</t>
  </si>
  <si>
    <t>Functioning (5): Check whether the constituted MPC/DPC has met at least once in the past year. Score 5 where a meeting in the last year can be evidenced; score 0 otherwise.
Evidence: State UD/Municipal Administration department notifications and constitution orders; MPC/DPC meeting minutes, agendas or resolutions; city/committee websites. Note: MPC/DPC proceedings are frequently not published online, so the functioning sub-question may require primary/RTI-based verification.</t>
  </si>
  <si>
    <t>Check whether the city has a statutory metropolitan-level authority constituted under a dedicated law - for example the Greater Bengaluru Authority (GBA) under the Greater Bengaluru Governance Act, 2024. Score 10 where such a metropolitan authority has been established by law and constituted for the city; score 0 otherwise.                                             Note: The question is NA for non-metropolitan cities (cities not falling within a notified metropolitan area/region).                                                                     Evidence: the relevant metropolitan authority Act and constitution notification/Government Order, State Urban Development department notifications, and the authority's official website</t>
  </si>
  <si>
    <t>Does the law mandate participation of all parastatals/ agencies /ULGs  in creation of metropolitan master plans?</t>
  </si>
  <si>
    <t>Check the T&amp;CP act for provisions that mandate the participation of all parastatals/agencies/ULGs in creation of master plans at all three levels with respect to its jurisdiction. The clause may either state verbatim "all parastatals/agencies/ULBs"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t>
  </si>
  <si>
    <t>Does the law mandate public participation in preparation of the municipal plan  through Area Sabhas / Ward Sabhas and other means?</t>
  </si>
  <si>
    <t>"Part A: Check if the T&amp;CP act mandates public participation in preparation of each level of the plan.
Part B: Check if such participation is mandated through formal platforms such as ward committees and area sabhas."</t>
  </si>
  <si>
    <t xml:space="preserve">Questions split into implementation and policy </t>
  </si>
  <si>
    <t>Does the law mandate public scrutiny at (including objections and responses) municipal plan through Area Sabhas / Ward Sabhas and other means?</t>
  </si>
  <si>
    <t>"Part A: Check if the T&amp;CP act mandates public scrutiny (including objections and responses) at each level of the plan.
Part B: Check if such scrutiny is mandated through formal platforms such as ward committees and area sabhas."</t>
  </si>
  <si>
    <t>Are there provisions in the Act for modifications to notified master plans?</t>
  </si>
  <si>
    <t xml:space="preserve">Check if the T&amp;CP act/urban development act has provisions to make modifications for the master plans after it is notified. Provisions that enable the planning authority/state to make periodic changes (alluding to the revision or creation of a new master plan say after ten years) to the master plans shall not be considered. </t>
  </si>
  <si>
    <t>Does the law mandate a periodic implementation review of the master plan against its stated targets?</t>
  </si>
  <si>
    <t>Review the applicable State Town Planning Act/Rules.
Score 10 — the Act/Rules mandate a periodic (e.g., annual/bi-annual/5 years) review of master plan implementation against stated targets and a named responsible authority/reporting mechanism.
Score 5 — the Act refers generally to “monitoring” or “review” of the master plan and specify either one, periodicity or a responsible authority.
Score 2.5 — the Act refers generally to “monitoring” or “review” of the master plan without specifying periodicity or a responsible authority.
Score 0 — the Act/Rules are silent on implementation review.</t>
  </si>
  <si>
    <t>11. Check the T&amp;CP and other relevant acts as prescribed below:</t>
  </si>
  <si>
    <t>a) Sanitation</t>
  </si>
  <si>
    <t>11(a) Check the T&amp;CP/Urban Development Authority (UDA)/Municipal acts for provisions that mandate the planning authority to prepare a city sanitation plan or mandate to have a sanitation component as part of the master plan. Provisions that make such a plan optional with 'may' provision shall not be considered. In the absence of such mandates in T&amp;CP/relevant UDA act/municipal act, check if the state has adopted a state sanitation strategy/policy that mandates ULGs to draw up a city sanitation plan.</t>
  </si>
  <si>
    <t>b) Resilience</t>
  </si>
  <si>
    <t>11(b) Check the T&amp;CP/UDA/municipal act for provisions that mandate the planning authority to prepare a disaster management/resilience plan or mandate to have a disaster management component as a part of the master plan. Provisions that make such a plan optional with 'may' provision shall not be considered. In the absence of such mandates in T&amp;CP/relevant UDA act/municipal act, check if the state has adopted a state disaster management act/rules that mandate ULGs to draw up a disaster management/resilience plan.</t>
  </si>
  <si>
    <t>11(c) Check the T&amp;CP/UDA/municipal acts for provisions that mandate the planning authority to prepare a mobility plan or mandate to have a mobility component as part of the master plan. Provisions that make such a plan optional with 'may' provision shall not be considered. In the absence of such mandates in T&amp;CP/relevant UDA act/municipal act, check if the state has adopted a state urban transportation policy/strategy that mandates ULGs to draw up a comprehensive mobility plan.</t>
  </si>
  <si>
    <t>d) Sustainability</t>
  </si>
  <si>
    <t>11(d) Check the T&amp;CP/UDA/municipal acts for provisions that mandate the planning authority to prepare a sustainability plan or mandate to have a sustainability component as part of the master plan. Provisions that make such a plan optional with 'may' provision shall not be considered.</t>
  </si>
  <si>
    <t>11(e) Check the T&amp;CP/UDA/municipal acts for provisions that mandate the planning authority to prepare a heritage conservation plan or mandate to have a heritage conservation component as part of the master plan.  Provisions that make such a plan optional with 'may' provision shall not be considered.</t>
  </si>
  <si>
    <t xml:space="preserve">11(f) Check the T&amp;CP/UDA/municipal acts for provisions that mandate the planning authority to prepare a social development plan or mandate to have a social development component as part of the master plan. Provisions that make such a plan optional with 'may' provision shall not be considered. Social development plan should include planning for health, education and affordable housing. </t>
  </si>
  <si>
    <t>Are there three levels of currently notified master plans?</t>
  </si>
  <si>
    <t>Is there a Metropolitan Region Master Plan?</t>
  </si>
  <si>
    <t xml:space="preserve">Document should mention the words metropolitan regional plan or any word that can be safely assumed to be a synonym for a metropolitan region. Check the website of the metro region development authority or urban development authority or ULB website. </t>
  </si>
  <si>
    <t>Is there a Municipal Master Plan?</t>
  </si>
  <si>
    <t>Document should mention the word municipal plan or the metropolitan plan should have a section on the municipal plan . Check the website of the urban development authority or ULB website or T&amp;CP Dept. Municipal master plan can be a part of the Metro master plan as well.</t>
  </si>
  <si>
    <t>Is there a Ward(s) /Local area/ neighbourhood Master Plan?</t>
  </si>
  <si>
    <t>If the document has spatial planning districts, which are formed for planning purpose at local level with contiguity, can also be considered for scoring. Ward master plan / Planning Districts / zonal master plans will mostly be a part of the municipal master plan document. Merely zonal divisions in the map shouldn't be scored and detailed plans should be there.</t>
  </si>
  <si>
    <t>Does the city have a master plan that is currently in force and within its prescribed validity period?</t>
  </si>
  <si>
    <t xml:space="preserve">Review the applicable master plan to identify the valid period, and the gazette notification date of the current and immediately preceding master plan (or the date the Act came into force, if this is the city's first master plan).
Score 10 — notified within the statutory period
Score 0 — no master plan has ever been notified, or the master plan is overdue by more than one full statutory cycle with no evidence of a revision process underway.
The scorer to capture in the scoring sheet the amount of time (in months) that has been passed since the end of the validity period
</t>
  </si>
  <si>
    <t>Are all master plans in a concurrent or nested timeline of validity?</t>
  </si>
  <si>
    <t>Check that timelines of the metropolitan and municipal level master plans, including ward level plans overlap (not exceeding the timeline of metropolitan plan)</t>
  </si>
  <si>
    <t>Is the Metropolitan master plan in a concurrent or nested timeline of validity with Municipal master plan?</t>
  </si>
  <si>
    <t xml:space="preserve">Check that timelines of the metropolitan and municipal level master plans/Master Plans, including ward level plans overlap (not exceeding the timeline of metropolitan plan). For example, If Metro plan is for 2001 to 2021, then municipal plan timeline should not exceed 2021. In case the city is not a metro region, it should be scored NA. </t>
  </si>
  <si>
    <t>Check that timelines of the metropolitan and municipal level master plans/Master Plans, including ward level plans overlap (not exceeding the timeline of metropolitan plan). Zonal development plans / planning districts can also be considered in place of ward development plans</t>
  </si>
  <si>
    <t>The Master Plan must have mention of 1) key development drivers for the sector - at least Jobs generated (both formal and informal), factories/compnaies started, increase in revenue and 2) quantitative and qualitative impact/outcome metrics for each driver. Some of the below metrics can be used for scoring:
• Increase workforce participation rate from current rate
• Total area of subsidised land that is to be set aside for development/redevelopment for primary/ secondary/Tertiary sector over the plan periods
• Number of jobs to be generated over the plan period from primary sector/ secondary and tertiary sector
• Number of street vendors serviced with hawker areas</t>
  </si>
  <si>
    <t xml:space="preserve">The Master Plan must have mention of 1) key development drivers for the sector - at least recreational + non recreational green spaces, urban forests, lakes, wetlands and other water bodies, climate change and pollution and 2) quantitative and qualitative impact/outcome metrics for each driver. Some of the below metrics can be used for scoring:
b) Environment and Disaster Management:
• Number of lakes and water bodies revived
• % of deforestation/reforestation during plan period
• Number of water bodies targeted to be revived/filled up for urban development
• % land area to be allocated to natural habitation for diverse ecology
• Number of projects developed on revival of natural habitats/increase in ecological diversity
• % reduction of pollution of all air, water, soil
• Number of natural environment assets – forests, hills, water bodies, dunes – with protective zoning buffers
• number of natural environment assets where protective buffer zone is violated
• Increase in successful initiatives on increasing solar/biogas energy usage in public utilities
• Number of successful initiatives on clean-tech innovation for public services
• Reduce the city’s greenhouse gas emissions </t>
  </si>
  <si>
    <t>"The Master Plan must have mention of 1) key development drivers for the sector - at least hygiene systems, healthcare quality and coverage, education quality and coverage, safety and security and 2) quantitative and qualitative impact/outcome metrics for each driver. some of the metrics can be used for scoring:
a) Education
• Increase in the coverage of anganwadi
• All four-year-olds receive access to free, full-day, high quality pre-kindergarten
• Ratio of primary schools to population to be serviced
• % of students graduating with job offers
• Improve access to school for physically and mentally challenged
b) Health care:
• Increase the coverage of dispensaries to population serviced
• Increase the coverage of home/child welfare/maternity centres to population serviced
• Increase the coverage of  hospitals to population serviced
• Increase the coverage of rehabilitation centres
• Increase the coverage of diagnostic centres
• Increase the percentage of public high school students who report meeting recommended levels of aerobic physical activity
• Reduce the spread of vector borne disease
• Increase the percentage of adult city dwellers who feel that they received the medical care they needed
• Reduce the number of traffic fatalities to zero
c) Affordable Housing :
• Number of notified slums to be rehabilitated/upgraded with infrastructure and services
• Estimating present and future housing shortage for the urban poor,  Financing new construction of affordable units and its preservation
• Increase the ratio of affordable housing supply to total housing stock
• % of affordable housing with easy access to livelihood opportunities
• % of affordable housing with easy access to transport networks"</t>
  </si>
  <si>
    <t>Check if the master plan mentions the following:
1) Key development drivers, for example, women's participation in the economy (both formal and informal), access to infrastructure and services
2) Quantitative and qualitative impact/outcome metrics for each driver.</t>
  </si>
  <si>
    <t>The MAP must be 1) A State Spatial Data Centre with a map available for use by all agencies and parastatals in the state and 2) must possess 7 key  layers - topography, geological hazards and sensitivities, green and agri land, water drainage system, street networks and block footprints, peripheral rural parcels and political and admin boundaries  + layers for all parastatals operating in the city (roads and allied infra, traffic, water and sewerage, Storm Water Drains, electricity, other underground utilities, land use, planning zone)</t>
  </si>
  <si>
    <t>Do the applicable Development Control/Zoning Regulations provide differentiated development controls appropriate to different spatial contexts within the city?</t>
  </si>
  <si>
    <t>Do not award credit merely because permissible land uses differ by zone. Score only where development-intensity/form controls — FAR/FSI, density, height, setbacks, plot coverage, mixed use, parking, street interface, or other built-form controls — are differentiated by spatial context.
Million-plus cities — identify which of the following contexts are applicable to the city: (a) core/old city, (b) peripheral/growth areas, (c) heritage/special areas, (d) TOD/transit-influence zones. Score out of 10 in components of 2.5 per applicable context in which the DCR prescribes a differentiated development-intensity/form standard. Where fewer than four contexts are applicable to the city, re-base the score to the applicable contexts only (e.g., 3 applicable contexts → score out of 7.5, rescaled × 10/7.5) and record the calculation used.
Other cities — Score 10 if the State framework differentiates development-intensity/form controls by at least two distinct city/town categories or planning contexts; Score 5 if such differentiation exists but is limited to a single parameter (e.g., only FAR varies); Score 0 if a uniform DCR/byelaw applies statewide with no contextual variation.
Not Applicable only if the city has no DCR/zoning-regulation instrument in force at all.</t>
  </si>
  <si>
    <t>Does the legal framework provide a defined mechanism for revision/amendment of DCRs, including when the Master Plan is revised?</t>
  </si>
  <si>
    <t>Review the applicable State Town Planning Act/Rules.
Score 10 — the Act/Rules specify a period revision/amending DCRs, AND explicitly require DCRs to be reviewed/aligned/updated consequent to master plan revision.
Score 5 — a mechanism for DCR amendment exists, but the law is wholly silent on any linkage to master plan revision.
Score 0 — no defined statutory mechanism for DCR revision/amendment exists.</t>
  </si>
  <si>
    <t>City Sanitation Plan</t>
  </si>
  <si>
    <t>Does the city have a City Sanitation Plan that clearly articulates development priorities, measurable objectives, and the roles and responsibilities of the ULG?</t>
  </si>
  <si>
    <t>UPD18a</t>
  </si>
  <si>
    <t>Does the city have a notified and active City Sanitation Plan?</t>
  </si>
  <si>
    <t>Check the master plan/ULB website/Parastatl website / Master plan document for the existence of a detailed CSP document. A one-pager drafted by cities for Swachh Bharat mission will not be considered</t>
  </si>
  <si>
    <t>UPD18b</t>
  </si>
  <si>
    <t>Check if it specifies measurable objectives or targets against the identified priorities, including quantitative or qualitative indicators, as appropriate. In the case of CSP, Examples may include targets relating to sanitation coverage, wastewater treatment, safe disposal of faecal sludge, reduction in untreated sewage discharge or elimination of identified sanitation service gaps. A general statement of intent, such as improving sanitation or achieving a clean city, without identifiable priorities and measurable objectives or targets, should not qualify.</t>
  </si>
  <si>
    <t>Score 3.3 where the CSP clearly articulates the role/responsibilities of the ULG in its preparation/implementation; score 0 otherwise.</t>
  </si>
  <si>
    <t>Check the master plan/ULB website/parastatal website/city website (including networks such as 100 Resilient Cities or C40) for the existence of a Climate Action Plan, City Resilience Strategy or Sustainability Strategy. The document must be formally adopted or approved by the competent authority (a Municipal Corporation/Council resolution, a Government Order, or integration into the statutory master plan/DP) to be scored.  Note:  draft, a consultant's report or an unadopted study will not be considered. Assess on content, not title: any of the three document types qualifies. A Disaster Management Plan may be considered as partial supporting evidence only, not as a full substitute.</t>
  </si>
  <si>
    <t>Check if it specifies measurable objectives or targets against the identified priorities, including quantitative or qualitative indicators, as appropriate. Examples may include greenhouse-gas emission-reduction or net-zero targets, targets for reducing exposure to heat, flooding or other climate hazards, and adaptation/resilience targets such as green cover, flood mitigation or water security. A general statement of intent, such as becoming climate-resilient or sustainable, without identifiable priorities and measurable objectives or targets, should not qualify.</t>
  </si>
  <si>
    <t>Check the master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t>
  </si>
  <si>
    <t>Check if it specifies measurable objectives or targets against the identified priorities, including quantitative or qualitative indicators, as appropriate. Examples may include a target to shift to a sustainable mode-share (public transport, walking and cycling), and actionable projects with measurable timelines, budget estimates and a phasing plan; other examples include targets for road safety or transport-related emissions. A general statement of intent, without identifiable priorities and measurable objectives or targets, should not qualify.</t>
  </si>
  <si>
    <t>Score 3.3 where the CMP clearly articulates the role/responsibilities of the ULG in its preparation/implementation; score 0 otherwise.</t>
  </si>
  <si>
    <t>Check the master plan/ULB website/parastatal website/city or district website for the existence of an Economic Vision or Economic Development Plan for the city. The plan must be formally adopted or approved by the competent authority (a Municipal Corporation/Council resolution, a Government Order, or integration into the statutory master plan/DP) to be scored - a draft, a consultant's report or an unadopted study will not be considered. &lt;need to confirm&gt;</t>
  </si>
  <si>
    <t>Check if it specifies measurable objectives or targets against the identified priorities, including quantitative or qualitative indicators, as appropriate. Examples may include targets for employment or job creation, growth in output or Gross Value Added (GVA), sector-specific development targets, or investment to be mobilised. A general statement of intent, such as making the city an economic hub, without identifiable priorities and measurable objectives or targets, should not qualify. &lt;need to confirm&gt;</t>
  </si>
  <si>
    <t xml:space="preserve"> For each, score 2.5 where the city has a dedicated cell/unit that is (i) formally constituted through a Government Order/notification, (ii) staffed - drawn from State/city/district government - with relevant subject-matter experts, and (iii) dedicated to that function for the city; score 0 otherwise. The cell may be housed within the ULG or within a city-level parastatal/agency. For towns with a population under one lakh, a shared cell/resource made available for the city at the State or district level qualifies for the full 2.5 for that sub-question. Evidence: constitution/Government Orders and staffing details on the ULG/parastatal/State websites, supplemented where necessary by RTI or email requests</t>
  </si>
  <si>
    <t>Does the city have  a dedicated Women's Welfare/Development Cell?</t>
  </si>
  <si>
    <t xml:space="preserve">Check if the T&amp;CP/municipal act mandates/has created design guidelines for executing projects for: </t>
  </si>
  <si>
    <t>1. Roads (all types: arterial, sub-arterial, collector, access, alleys etc.) and streetscapes (including over ground traffic);</t>
  </si>
  <si>
    <t>2. Footpaths;</t>
  </si>
  <si>
    <t>3. Underground public utilities (water, sewerage, SWD, electricity, internet, gas);</t>
  </si>
  <si>
    <t>4. Residential units; and</t>
  </si>
  <si>
    <t>5. Commercial buildings.</t>
  </si>
  <si>
    <t>Check whether the T&amp;CP/municipal Act (or rules, regulations or notified guidelines made under it) mandates urban design standards/guidelines for the execution of urban projects across five categories: (1) roads (all types) and streetscapes; (2) footpaths; (3) underground public utilities (water, sewerage, storm-water drainage, electricity, internet, gas); (4) residential units; and (5) commercial buildings. Award 1 point for each category for which such standards are mandated (5 categories x 1 = 5); score 0 for a category where none are mandated.</t>
  </si>
  <si>
    <t>Check whether the city has actually adopted/created urban design standards or guidelines to guide the execution of urban projects across the same five categories: (1) roads and streetscapes; (2) footpaths; (3) underground public utilities; (4) residential units; and (5) commercial buildings. Award 1 point for each category for which the city has adopted such standards (5 x 1 = 5); score 0 for a category where none exist. Evidence: notified bye-laws/design guidelines, the master plan/DP, and ULB/Development Authority/parastatal websites.</t>
  </si>
  <si>
    <t>Assessed through 2 sub-questions of 5 each. To qualify, the city must have a separate, standalone parking policy - parking provisions contained within the master plan, or other documents will not be considered</t>
  </si>
  <si>
    <t>Is there a clear mandate for a parking policy?</t>
  </si>
  <si>
    <t>Score 5 where there is a clear statutory or policy mandate for the city to prepare/adopt a standalone parking policy (for example in the municipal/T&amp;CP Act, a State urban transport or parking policy, or notified rules); score 0 otherwise.</t>
  </si>
  <si>
    <t xml:space="preserve"> Score 5 where the city's standalone parking policy has been adopted and implemented - evidenced by measures such as designated/notified parking-management areas, priced or regulated on-street parking, active enforcement, or a parking-management authority/plan; score 0 where the policy exists only on paper or is absent. Evidence: the adopted parking policy, and ULB/traffic-police/parastatal notifications and websites.</t>
  </si>
  <si>
    <t>Does the ULG have a Development Control Regulation (DCR) that is current and appropriately tailored to the city?</t>
  </si>
  <si>
    <t>Sum of the sub-questions below.</t>
  </si>
  <si>
    <t>For million-plus cities, is the DCR specific to the ULG?</t>
  </si>
  <si>
    <t>Review the applicable State Town &amp; Country Planning Act/Rules and the DCR itself.
Score 5 — the ULG has its own DCR, distinct from the generic state DCR, tailored to its built environment/master plan.
Score 2.5 — a city-specific DCR exists but is largely a copy of the state DCR with minimal ULG-specific modification.
Score 0 — the ULG relies entirely on the generic state DCR, with no city-specific version.</t>
  </si>
  <si>
    <t>Has the DCR been revised within the last 5 years?</t>
  </si>
  <si>
    <t>Review the DCR's notification date and any gazette notifications of subsequent amendments.
Score 5 — the DCR (or a substantive amendment) was notified within the last 5 years.
Score 2.5 — last substantively revised 5–10 years ago.
Score 0 — not revised in over 10 years, or no revision date can be established.</t>
  </si>
  <si>
    <t>Are DCR preparation and amendments required to go through public consultation before notification?</t>
  </si>
  <si>
    <t>Review the applicable State Town Planning Act/Rules governing DCR amendment.
Score 10 — public consultation is mandatory for ALL amendments to DCRs/zoning regulations, with a specified minimum notice period (e.g., 30/60 days), AND a requirement that objections be considered/responded to before final notification.
Score 7.5 — mandatory consultation with a specified minimum notice period, but no requirement to consider or respond to objections received.
Score 5 — mandatory consultation, but no minimum notice period is specified.
Score 2.5 — consultation is discretionary (“may invite objections”), or mandated only for certain categories of amendment (e.g., only “substantial” modifications).
Score 0 — no statutory requirement for public consultation before notifying DCR amendments; amendments may be notified solely by executive/government order.
Where consultation is required for master plan amendments generally, but a separate provision empowers government to amend DCRs directly without consultation, score against the DCR-specific provision.</t>
  </si>
  <si>
    <t xml:space="preserve">Check the T&amp;CP act or any publicly available policy document (state govt/Urban Development Department (UDD)/T&amp;CP Dept. website)/newspaper reports/Green Rating for Integrated Habitat Assessments (GRIHA)/Leadership in Energy and Environmental Design (LEED)/Confederation of Indian Industry (CII) websites for incentives such as rebate in property tax or charges connected to building permission/development charges or other such incentives for construction of green buildings. </t>
  </si>
  <si>
    <t>Part A: Check if the state has passed a land titling law OR passed an order/circular to certify land titles.
Part B: If there is a mandate by act, check if the rules for the same are notified.</t>
  </si>
  <si>
    <t>Part A: Check if the state has passed a land pooling OR passed an order/circular to certify land titles.
Part B: If there is a mandate by act, check if the rules for the same are notified.  Scoresheet to also capture : What form of land assembly/reconstitution mechanism does the framework provide? (A full TPS model and a standalone land-pooling model are not necessarily the same.)</t>
  </si>
  <si>
    <t xml:space="preserve">Check for the existence of an online portal / platform that acts as a one-stop solution for filing complete application for development projects (education, health, affordable housing) and provides option for tracking status of application. Availability of any 2 out of the 3 project types can also be considered for scoring. </t>
  </si>
  <si>
    <t>"Check if the T&amp;CP act/relevant UDA act/rules corresponding to such relevant provisions of the act, mandates the following aspects.
1. Registry of public projects
2. An approval authority for projects at each level defined within the MPC Act or the T&amp;CP act
3. A defined process for rejections/variance approvals for plans not in conformity with Master Plan defined in the MPC Act or the T&amp;CP act; and
4. Disclosure of all approvals, denials and variance approvals in the public domain.
Mark 'Yes' only if all four conditions apply."</t>
  </si>
  <si>
    <t>Is there an effective system to monitor ongoing constructions/projects  for possible violations?</t>
  </si>
  <si>
    <t>"Check if the T&amp;CP act/relevant UDA act/rules corresponding to such relevant provisions of the act, mandates the following processes.
1. Online self-assessment of progress including uploading of photographs and requisite compliance documents
2. Periodic ground surveys of approved projects (all/sample); and
3. Disclosure of all information (compliance numbers, violations registered and action taken) collected in survey in the public domain
Mark 'Yes' only if all three conditions apply."</t>
  </si>
  <si>
    <t>"Check if the T&amp;CP act mentions the penal provisions under the following heads (at least five of the below to mark as 'Yes'):
1. Building code violations (at plan approval stage, these codes dictate details such as electric, water, door/window dimensions etc.)
2. Plumbing and sewage violations (discharge of waste into any public land, alley, stream, sidewalk etc.)
3. Setback violations (setbacks are the minimum space required between the plot boundary and building)
4. Building height violations (maximum permissible height according to the location)
5. Energy efficiency/consumption violations (particularly for large-scale/commercial buildings)
6. Absence of rainwater harvesting systems
7. Plot access violations (the points of entry/exit to your building/plot in accordance with the road)
8. Parking violations (with respect to your building and the road)
9. Fire code violations (primarily important at both plan approval level and again at Occupancy Certificate (OC) level)
10. Requirements for earthquake/flood/tsunami/flood resistance (in disaster prone areas)
11. Building refurbishment without permit (addition/demolition/remodeling etc.)
12. Change in building use/function/occupancy without permits (dwelling to commercial use; warehouse to office space etc.)
13. Violations in floor area ratio (far) or floor space index (fish) (in accordance with zoning codes of the area)
14. Business signage/outdoor display boards (zoning codes dictate permissible size/location of these on top of buildings etc.)
15. Non-permitted uses (some zones strictly dictate only residential/only commercial/uses)
16. Nuisance violations (these might be advertisements, banners, pamphlets on buildings, flyovers, etc.)
17. loading/unloading regulations (for commercial and industrial buildings, service access, safety etc. as detailed out by building code)
18. Urban design regulations (includes streetscapes, pedestrian circulation, open areas, plazas, arcades etc.)
19. Flight obstruction areas (around major airports)
20. Historical conservation/preservation of buildings/areas of the city. (violations occur if such areas/structures are recognised to be of historical importance)
21. Junk and thrash violations (designated areas as described in the zoning code)"</t>
  </si>
  <si>
    <t>Question Code</t>
  </si>
  <si>
    <t>&lt;Enter Question Code only&gt;</t>
  </si>
  <si>
    <t>&lt;CHECK IF EXCEL TAB NAME IS SAME AS QUESTION CODE: IF NOT, ENTER TAB NAME AS QUESTION CODE&gt;</t>
  </si>
  <si>
    <t>DO NOT ALTER FORMULA BELOW</t>
  </si>
  <si>
    <t>Second column counts only if the first is YES: first YES = half marks, both YES = full marks.</t>
  </si>
  <si>
    <t>SELECT YES / NO</t>
  </si>
  <si>
    <t>DO NOT ALTER FORMULA</t>
  </si>
  <si>
    <t>City</t>
  </si>
  <si>
    <t>Act Name/Web name/Doc name</t>
  </si>
  <si>
    <t>Chapter</t>
  </si>
  <si>
    <t>Provision</t>
  </si>
  <si>
    <t>Clause</t>
  </si>
  <si>
    <t>Page Number</t>
  </si>
  <si>
    <t>Link</t>
  </si>
  <si>
    <t>Points (Auto-generate)</t>
  </si>
  <si>
    <t>SCORER COMMENTS</t>
  </si>
  <si>
    <t>Answer</t>
  </si>
  <si>
    <t>Type of plan mandated (zonal / ward / local area)</t>
  </si>
  <si>
    <t xml:space="preserve">https://kgis.ksrsac.in/kgisdocuments/PDF_KML_SHP1/PDF/pdf/District_Bengaluru%20(Urban).pdf
https://bdakarnataka.in/jurisdiction-map/
https://data.opencity.in/dataset/3ba2ed19-5d9a-4c1a-999c-f48f7574684d/resource/e13a6495-687a-4b76-af54-15eea1370186/download/670880fa-b7f1-40b7-a19d-dc6d945c76a5.pdf
https://kgis.ksrsac.in/kgisdocuments/PDF_KML_SHP1/PDF/pdf/District_Bengaluru%20(Urban).pdf
</t>
  </si>
  <si>
    <t>YES</t>
  </si>
  <si>
    <t xml:space="preserve">From the RMP 2015, evidence is found for the planning boundary extending beyond ULG boundary. Local Planning Area consists of 47 planning districts. Planning districts for areas outside the corporation boundary, follow the village, taluk boundaries. </t>
  </si>
  <si>
    <t>Points = share of YES answers x Max Score (each part carries an equal share).</t>
  </si>
  <si>
    <t>NA ONLY FOR NON-METROPOLITAN CITIES</t>
  </si>
  <si>
    <t>SELECT YES / NO / NA</t>
  </si>
  <si>
    <t>Months elapsed since end of validity period</t>
  </si>
  <si>
    <t>NA ONLY WHERE THE CITY HAS NO WARD/LOCAL PLAN</t>
  </si>
  <si>
    <t xml:space="preserve">https://bdakarnataka.in/
https://data.opencity.in/dataset/bda-revised-master-plan-2015/resource/dc23b4ae-e020-4499-b18d-8e4ed2f86a24
</t>
  </si>
  <si>
    <t>NO</t>
  </si>
  <si>
    <t>Scored 0 as there is no mention of involvement of all sectoral public departments and agencies in RMP 2015. There is no evidence of such MoM/ Meeting notice or notes on the BDA, BWSSB, BMTC websites. GBA website is not functional.</t>
  </si>
  <si>
    <t>https://data.opencity.in/dataset/bda-revised-master-plan-2015/resource/dc23b4ae-e020-4499-b18d-8e4ed2f86a24</t>
  </si>
  <si>
    <t xml:space="preserve">RMP 2015 does not identify clear economic development priorities and associated interventions. </t>
  </si>
  <si>
    <t xml:space="preserve">Environmental conservation and related aspects are not mentioned in RMP 2015. </t>
  </si>
  <si>
    <t>The term heritage conservation is mentioned, without identified priorities and associated interventions.</t>
  </si>
  <si>
    <t>The component is absent in RMP 2015.</t>
  </si>
  <si>
    <t>https://ksrsac.karnataka.gov.in/map.aspx</t>
  </si>
  <si>
    <t>The Karnataka State Remote Sensing Centre has data on land-use, transport, ward boundaries etc.</t>
  </si>
  <si>
    <t>https://bwssb.karnataka.gov.in/storage/pdf-files/documents/Vision%20Document%202050%20%20new.pdf</t>
  </si>
  <si>
    <t xml:space="preserve">BWSSB has published a Vision document with Strategic Plan for 2050 on its website. No evidence of SWM plan on the BSWML website. No evidence of a city sanitation plan for Bengaluru. GBA website is not functional. </t>
  </si>
  <si>
    <t>The plan has specific priorities/ interventions and objectives against identified projects.</t>
  </si>
  <si>
    <t>No evidence of clearly defined role of ULG in the BWSSB plan.</t>
  </si>
  <si>
    <t xml:space="preserve">https://apps.bbmpgov.in/bcap/
https://apps.bbmpgov.in/bcap/PDF/BCAP_FullReport_091224.pdf
https://apps.bbmpgov.in/bcap/images/Executive%20summary_English_cover%20page%20english%2017072025.jpg
https://apps.bbmpgov.in/bcap/PDF/BCAP_Sector%20Actions_01042024.pdf
</t>
  </si>
  <si>
    <t xml:space="preserve">BCAP was launched by BBMP and climate action cell was established in BBMP, now GBA. There is a climate action plan and a roadmap but formal adoption/ notification could not be confirmed. </t>
  </si>
  <si>
    <t>https://apps.bbmpgov.in/bcap/PDF/BCAP_FullReport_091224.pdf
https://apps.bbmpgov.in/bcap/PDF/BCAP_Sector%20Actions_01042024.pdf</t>
  </si>
  <si>
    <t>The plan has clearly defined targets and objectives.</t>
  </si>
  <si>
    <t xml:space="preserve">The plan clearly articulates the responsibilities of the ULG. </t>
  </si>
  <si>
    <t>https://dult.karnataka.gov.in/assets/front/pdf/Comprehensive_Mobility_Plan.pdf</t>
  </si>
  <si>
    <t xml:space="preserve">Bengaluru Comprehensive Mobility Plan 2020, published on the Directorate of Urban Land Transport website. </t>
  </si>
  <si>
    <t>Bengaluru CMP 2020 has a clearly defined target – “Aim to increase the share of public transport in Bengaluru to at least 60% by 2031 and to 70% beyond that.”</t>
  </si>
  <si>
    <t>CMP clearly articulates the roles and responsibilities of the ULG in implementation.</t>
  </si>
  <si>
    <t>https://www.thehindu.com/news/cities/bangalore/proposed-economic-masterplan-for-bengaluru-metropolitan-region-targets-75-public-transport/article71420718.ece</t>
  </si>
  <si>
    <t>No evidence of a published Economic Vision Plan for Bengaluru. GBA website is not functional. There is a mention of a draft economic masterplan presented to the government but the draft is not in public domain.</t>
  </si>
  <si>
    <t xml:space="preserve">No evidence of a published Economic Vision Plan for Bengaluru. </t>
  </si>
  <si>
    <t>Points = (city planners per lakh / highest planners per lakh among cities assessed) x 5. Every city's score updates as other cities are entered.</t>
  </si>
  <si>
    <t>ENTER A WHOLE NUMBER</t>
  </si>
  <si>
    <t>ENTER POPULATION</t>
  </si>
  <si>
    <t>AUTO - DO NOT ENTER</t>
  </si>
  <si>
    <t>Filled town planners - ULG</t>
  </si>
  <si>
    <t>Filled town planners - Development/Planning Authority</t>
  </si>
  <si>
    <t>Census 2011 population</t>
  </si>
  <si>
    <t>Town planners per lakh (auto)</t>
  </si>
  <si>
    <t>Sanctioned positions - ULG</t>
  </si>
  <si>
    <t>Sanctioned positions - Development/Planning Authority</t>
  </si>
  <si>
    <t>Vacancies &amp; vacancy rate</t>
  </si>
  <si>
    <t>Women among filled positions</t>
  </si>
  <si>
    <t>Men among filled positions</t>
  </si>
  <si>
    <t>Points: &gt;= 33% = 5; 15% to below 33% = 2.5; below 15% = 0.</t>
  </si>
  <si>
    <t>ENTER %, e.g. 25%</t>
  </si>
  <si>
    <t>% women in town-planning workforce (enter %)</t>
  </si>
  <si>
    <t>Share of women in senior / decision-making posts</t>
  </si>
  <si>
    <t>NA ONLY FOR NON-MILLION-PLUS CITIES</t>
  </si>
  <si>
    <t>Per category: SHALL = full share, MAY = half share, NONE = 0.</t>
  </si>
  <si>
    <t>SHALL / MAY / NONE</t>
  </si>
  <si>
    <t>SHALL = full marks, MAY = half marks, NONE = 0.</t>
  </si>
  <si>
    <t>Mandate for city parking policy in law</t>
  </si>
  <si>
    <t>NA ONLY FOR CITIES BELOW ONE MILLION</t>
  </si>
  <si>
    <t>DCR applicable to the city &amp; its status</t>
  </si>
  <si>
    <t>SELECT 2 / 1 / 0</t>
  </si>
  <si>
    <t>Score (select 2 / 1 / 0)</t>
  </si>
  <si>
    <t>No evidence of provision of development controls, standards or incentives to enable different types and scales of economic activity.</t>
  </si>
  <si>
    <t>Text of relevant provisions &amp; incentives</t>
  </si>
  <si>
    <t>No evidence of provision of development controls, standards or incentives to improve access, safety, affordability and development outcomes for women and the urban poor.</t>
  </si>
  <si>
    <t>No evidence of provision of development controls, standards or incentives to promote environmental sustainability and climate resilience.</t>
  </si>
  <si>
    <t>No evidence of provision of development controls, standards to promote positive public health outcomes.</t>
  </si>
  <si>
    <t>There is a mention of heritage conservation but there is no evidence of provision of development controls, standards or incentives to enable the conservation and adaptive reuse of heritage buildings, precincts or historic areas.</t>
  </si>
  <si>
    <t>Mechanism: TPS / land pooling / both</t>
  </si>
  <si>
    <t>Full marks only if ALL columns are YES; otherwise 0.</t>
  </si>
  <si>
    <t>Approval authority at each level</t>
  </si>
  <si>
    <t>Process for rejection / variance approvals</t>
  </si>
  <si>
    <t>Registry of public &amp; private projects</t>
  </si>
  <si>
    <t>Public disclosure of approvals / denials / variances</t>
  </si>
  <si>
    <t>Authority to inspect ongoing construction</t>
  </si>
  <si>
    <t>Stage-wise inspections / monitoring</t>
  </si>
  <si>
    <t>Power to issue notices / stop-work directions</t>
  </si>
  <si>
    <t>Online self-reporting with photos / documents</t>
  </si>
  <si>
    <t>Periodic ground surveys / inspections</t>
  </si>
  <si>
    <t>Public disclosure of monitoring information</t>
  </si>
  <si>
    <t>Points = 2 per provision, capped at 10 (5 or more provisions = 10)</t>
  </si>
  <si>
    <t>No. of penalty provisions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</si>
</sst>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charset val="1"/>
    </font>
    <font>
      <sz val="10"/>
      <color theme="1"/>
      <name val="Verdana"/>
      <family val="2"/>
      <charset val="1"/>
    </font>
    <font>
      <i/>
      <sz val="10"/>
      <color theme="1"/>
      <name val="Verdana"/>
      <family val="2"/>
      <charset val="1"/>
    </font>
    <font>
      <b/>
      <sz val="10"/>
      <color rgb="FF000000"/>
      <name val="Verdana"/>
      <family val="2"/>
      <charset val="1"/>
    </font>
    <font>
      <b/>
      <sz val="10"/>
      <color theme="1"/>
      <name val="Verdana"/>
      <family val="2"/>
      <charset val="1"/>
    </font>
    <font>
      <b/>
      <i/>
      <sz val="10"/>
      <color rgb="FF000000"/>
      <name val="Verdana"/>
      <family val="2"/>
      <charset val="1"/>
    </font>
    <font>
      <sz val="10"/>
      <color rgb="FF000000"/>
      <name val="Verdana"/>
      <family val="2"/>
      <charset val="1"/>
    </font>
    <font>
      <i/>
      <sz val="10"/>
      <color rgb="FF000000"/>
      <name val="Verdana"/>
      <family val="2"/>
      <charset val="1"/>
    </font>
    <font>
      <sz val="10"/>
      <name val="Verdana"/>
      <family val="2"/>
      <charset val="1"/>
    </font>
    <font>
      <b/>
      <sz val="10"/>
      <name val="Verdana"/>
      <family val="2"/>
      <charset val="1"/>
    </font>
    <font>
      <i/>
      <sz val="10"/>
      <name val="Verdana"/>
      <family val="2"/>
      <charset val="1"/>
    </font>
    <font>
      <b/>
      <sz val="10"/>
      <name val="Calibri"/>
      <charset val="1"/>
    </font>
    <font>
      <b/>
      <sz val="11"/>
      <color rgb="FF0070C0"/>
      <name val="Calibri"/>
      <charset val="1"/>
    </font>
    <font>
      <b/>
      <sz val="11"/>
      <color rgb="FFC00000"/>
      <name val="Calibri"/>
      <charset val="1"/>
    </font>
    <font>
      <sz val="10"/>
      <name val="Calibri"/>
      <charset val="1"/>
    </font>
    <font>
      <sz val="11"/>
      <name val="Calibri"/>
      <charset val="1"/>
    </font>
    <font>
      <b/>
      <sz val="11"/>
      <name val="Calibri"/>
      <charset val="1"/>
    </font>
    <font>
      <sz val="10"/>
      <color theme="1"/>
      <name val="Calibri"/>
      <family val="2"/>
      <charset val="1"/>
    </font>
    <font>
      <sz val="11"/>
      <color theme="1"/>
      <name val="Verdana"/>
      <charset val="1"/>
    </font>
    <font>
      <b/>
      <sz val="10"/>
      <color rgb="FF000000"/>
      <name val="Verdana"/>
      <charset val="1"/>
    </font>
    <font>
      <b/>
      <sz val="10"/>
      <color theme="1"/>
      <name val="Verdana"/>
      <charset val="1"/>
    </font>
    <font>
      <sz val="10"/>
      <color rgb="FF000000"/>
      <name val="Verdana"/>
      <charset val="1"/>
    </font>
    <font>
      <sz val="10"/>
      <color theme="1"/>
      <name val="Verdana"/>
      <charset val="1"/>
    </font>
    <font>
      <i/>
      <sz val="10"/>
      <color rgb="FF000000"/>
      <name val="Verdana"/>
      <charset val="1"/>
    </font>
    <font>
      <i/>
      <sz val="10"/>
      <color rgb="FFFF0000"/>
      <name val="Verdana"/>
      <family val="2"/>
      <charset val="1"/>
    </font>
    <font>
      <sz val="11"/>
      <color rgb="FF000000"/>
      <name val="Verdana"/>
      <charset val="1"/>
    </font>
    <font>
      <sz val="10"/>
      <name val="Verdana"/>
      <charset val="1"/>
    </font>
    <font>
      <b/>
      <sz val="11"/>
      <color theme="1"/>
      <name val="Calibri"/>
      <family val="2"/>
      <charset val="1"/>
    </font>
    <font>
      <sz val="10"/>
      <color rgb="FFFF0000"/>
      <name val="Verdana"/>
      <family val="2"/>
      <charset val="1"/>
    </font>
    <font>
      <i/>
      <sz val="9"/>
      <color rgb="FF000000"/>
      <name val="Verdana"/>
      <charset val="1"/>
    </font>
    <font>
      <i/>
      <sz val="12"/>
      <color rgb="FF000000"/>
      <name val="Verdana"/>
      <charset val="1"/>
    </font>
    <font>
      <sz val="11"/>
      <color rgb="FFFF0000"/>
      <name val="Calibri"/>
      <family val="2"/>
      <charset val="1"/>
    </font>
    <font>
      <b/>
      <sz val="10"/>
      <color rgb="FFFF0000"/>
      <name val="Verdana"/>
      <family val="2"/>
      <charset val="1"/>
    </font>
    <font>
      <i/>
      <sz val="10"/>
      <color theme="1"/>
      <name val="Verdana"/>
      <charset val="1"/>
    </font>
    <font>
      <i/>
      <sz val="11"/>
      <color rgb="FF000000"/>
      <name val="Verdana"/>
      <charset val="1"/>
    </font>
    <font>
      <b/>
      <sz val="9"/>
      <name val="Calibri"/>
      <charset val="1"/>
    </font>
    <font>
      <u/>
      <sz val="11"/>
      <color theme="10"/>
      <name val="Calibri"/>
      <family val="2"/>
      <charset val="1"/>
    </font>
  </fonts>
  <fills count="10">
    <fill>
      <patternFill patternType="none"/>
    </fill>
    <fill>
      <patternFill patternType="gray125"/>
    </fill>
    <fill>
      <patternFill patternType="solid">
        <fgColor rgb="FFFFFF00"/>
        <bgColor rgb="FFFFFF00"/>
      </patternFill>
    </fill>
    <fill>
      <patternFill patternType="solid">
        <fgColor theme="0"/>
        <bgColor rgb="FFE7E6E6"/>
      </patternFill>
    </fill>
    <fill>
      <patternFill patternType="solid">
        <fgColor rgb="FFBDD6EE"/>
        <bgColor rgb="FFB4C7E7"/>
      </patternFill>
    </fill>
    <fill>
      <patternFill patternType="solid">
        <fgColor rgb="FFA8D08D"/>
        <bgColor rgb="FFC5E0B3"/>
      </patternFill>
    </fill>
    <fill>
      <patternFill patternType="solid">
        <fgColor theme="4" tint="0.59987182226020086"/>
        <bgColor rgb="FFBDD6EE"/>
      </patternFill>
    </fill>
    <fill>
      <patternFill patternType="solid">
        <fgColor rgb="FFC00000"/>
        <bgColor rgb="FFFF0000"/>
      </patternFill>
    </fill>
    <fill>
      <patternFill patternType="solid">
        <fgColor rgb="FFC5E0B3"/>
        <bgColor rgb="FFBDD6EE"/>
      </patternFill>
    </fill>
    <fill>
      <patternFill patternType="solid">
        <fgColor rgb="FFE7E6E6"/>
        <bgColor rgb="FFFFFFFF"/>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s>
  <cellStyleXfs count="2">
    <xf numFmtId="0" fontId="0" fillId="0" borderId="0"/>
    <xf numFmtId="0" fontId="36" fillId="0" borderId="0" applyNumberFormat="0" applyFill="0" applyBorder="0" applyAlignment="0" applyProtection="0"/>
  </cellStyleXfs>
  <cellXfs count="250">
    <xf numFmtId="0" fontId="0" fillId="0" borderId="0" xfId="0"/>
    <xf numFmtId="2" fontId="21" fillId="0" borderId="1" xfId="0" applyNumberFormat="1" applyFont="1" applyBorder="1" applyAlignment="1">
      <alignment horizontal="center" vertical="top" wrapText="1"/>
    </xf>
    <xf numFmtId="0" fontId="21" fillId="0" borderId="1" xfId="0" applyFont="1" applyBorder="1" applyAlignment="1">
      <alignment horizontal="center" vertical="top" wrapText="1"/>
    </xf>
    <xf numFmtId="0" fontId="19" fillId="0" borderId="1" xfId="0" applyFont="1" applyBorder="1" applyAlignment="1">
      <alignment vertical="top" wrapText="1"/>
    </xf>
    <xf numFmtId="0" fontId="21" fillId="0" borderId="1" xfId="0" applyFont="1" applyBorder="1" applyAlignment="1">
      <alignment vertical="top" wrapText="1"/>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5" fillId="2" borderId="2" xfId="0" applyFont="1" applyFill="1" applyBorder="1" applyAlignment="1">
      <alignment horizontal="center" vertical="top"/>
    </xf>
    <xf numFmtId="0" fontId="5" fillId="2" borderId="1" xfId="0" applyFont="1" applyFill="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2" fontId="6" fillId="0" borderId="1" xfId="0" applyNumberFormat="1" applyFont="1" applyBorder="1" applyAlignment="1">
      <alignment horizontal="center" vertical="top" wrapText="1"/>
    </xf>
    <xf numFmtId="0" fontId="7" fillId="0" borderId="2"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2" fontId="3" fillId="0" borderId="1" xfId="0" applyNumberFormat="1" applyFont="1" applyBorder="1" applyAlignment="1">
      <alignment horizontal="center" vertical="top" wrapText="1"/>
    </xf>
    <xf numFmtId="0" fontId="7" fillId="0" borderId="1" xfId="0" applyFont="1" applyBorder="1" applyAlignment="1">
      <alignment horizontal="center" vertical="top" wrapText="1"/>
    </xf>
    <xf numFmtId="0" fontId="7" fillId="0" borderId="1" xfId="0" applyFont="1" applyBorder="1" applyAlignment="1">
      <alignment vertical="top" wrapText="1"/>
    </xf>
    <xf numFmtId="2" fontId="7" fillId="0" borderId="1" xfId="0" applyNumberFormat="1" applyFont="1" applyBorder="1" applyAlignment="1">
      <alignment horizontal="center" vertical="top" wrapText="1"/>
    </xf>
    <xf numFmtId="0" fontId="7" fillId="0" borderId="2" xfId="0" applyFont="1" applyBorder="1" applyAlignment="1">
      <alignment horizontal="left" vertical="top" wrapText="1"/>
    </xf>
    <xf numFmtId="0" fontId="8" fillId="0" borderId="1" xfId="0" applyFont="1" applyBorder="1" applyAlignment="1">
      <alignment horizontal="center" vertical="top"/>
    </xf>
    <xf numFmtId="0" fontId="9" fillId="0" borderId="1" xfId="0" applyFont="1" applyBorder="1" applyAlignment="1">
      <alignment vertical="top" wrapText="1"/>
    </xf>
    <xf numFmtId="0" fontId="9" fillId="0" borderId="1" xfId="0" applyFont="1" applyBorder="1" applyAlignment="1">
      <alignment horizontal="center" vertical="top"/>
    </xf>
    <xf numFmtId="0" fontId="10" fillId="0" borderId="1" xfId="0" applyFont="1" applyBorder="1" applyAlignment="1">
      <alignment vertical="top" wrapText="1"/>
    </xf>
    <xf numFmtId="0" fontId="8" fillId="0" borderId="0" xfId="0" applyFont="1" applyAlignment="1">
      <alignment horizontal="left" vertical="top" wrapText="1"/>
    </xf>
    <xf numFmtId="0" fontId="8"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6" fillId="0" borderId="1" xfId="0" applyFont="1" applyBorder="1" applyAlignment="1">
      <alignment vertical="top"/>
    </xf>
    <xf numFmtId="0" fontId="6" fillId="0" borderId="1" xfId="0" applyFont="1" applyBorder="1" applyAlignment="1">
      <alignment horizontal="center" vertical="top"/>
    </xf>
    <xf numFmtId="2" fontId="6" fillId="0" borderId="1" xfId="0" applyNumberFormat="1" applyFont="1" applyBorder="1" applyAlignment="1">
      <alignment horizontal="center" vertical="top"/>
    </xf>
    <xf numFmtId="0" fontId="7" fillId="0" borderId="1" xfId="0" applyFont="1" applyBorder="1" applyAlignment="1">
      <alignment horizontal="center" vertical="top"/>
    </xf>
    <xf numFmtId="0" fontId="8" fillId="0" borderId="1" xfId="0" applyFont="1" applyBorder="1" applyAlignment="1">
      <alignment vertical="top" wrapText="1"/>
    </xf>
    <xf numFmtId="0" fontId="10" fillId="0" borderId="2" xfId="0" applyFont="1" applyBorder="1" applyAlignment="1">
      <alignment vertical="top" wrapText="1"/>
    </xf>
    <xf numFmtId="0" fontId="2" fillId="0" borderId="2" xfId="0" applyFont="1" applyBorder="1" applyAlignment="1">
      <alignment vertical="top"/>
    </xf>
    <xf numFmtId="0" fontId="4" fillId="0" borderId="1" xfId="0" applyFont="1" applyBorder="1" applyAlignment="1">
      <alignment vertical="top"/>
    </xf>
    <xf numFmtId="0" fontId="7" fillId="0" borderId="1" xfId="0" applyFont="1" applyBorder="1" applyAlignment="1">
      <alignment vertical="top"/>
    </xf>
    <xf numFmtId="0" fontId="3" fillId="0" borderId="1" xfId="0" applyFont="1" applyBorder="1" applyAlignment="1">
      <alignment horizontal="center" vertical="top"/>
    </xf>
    <xf numFmtId="2" fontId="3" fillId="0" borderId="1" xfId="0" applyNumberFormat="1" applyFont="1" applyBorder="1" applyAlignment="1">
      <alignment horizontal="center" vertical="top"/>
    </xf>
    <xf numFmtId="0" fontId="7" fillId="3" borderId="1" xfId="0" applyFont="1" applyFill="1" applyBorder="1" applyAlignment="1">
      <alignment horizontal="center" vertical="top"/>
    </xf>
    <xf numFmtId="0" fontId="6" fillId="3" borderId="1" xfId="0" applyFont="1" applyFill="1" applyBorder="1" applyAlignment="1">
      <alignment vertical="top"/>
    </xf>
    <xf numFmtId="0" fontId="1" fillId="3" borderId="1" xfId="0" applyFont="1" applyFill="1" applyBorder="1" applyAlignment="1">
      <alignment vertical="top"/>
    </xf>
    <xf numFmtId="0" fontId="9" fillId="0" borderId="1" xfId="0" applyFont="1" applyBorder="1" applyAlignment="1">
      <alignment horizontal="center" vertical="top" wrapText="1"/>
    </xf>
    <xf numFmtId="2" fontId="9" fillId="0" borderId="1" xfId="0" applyNumberFormat="1" applyFont="1" applyBorder="1" applyAlignment="1">
      <alignment horizontal="center" vertical="top" wrapText="1"/>
    </xf>
    <xf numFmtId="0" fontId="2" fillId="3" borderId="1" xfId="0" applyFont="1" applyFill="1" applyBorder="1" applyAlignment="1">
      <alignment vertical="top" wrapText="1"/>
    </xf>
    <xf numFmtId="0" fontId="1" fillId="3" borderId="0" xfId="0" applyFont="1" applyFill="1" applyAlignment="1">
      <alignment vertical="top"/>
    </xf>
    <xf numFmtId="0" fontId="8" fillId="3" borderId="1" xfId="0" applyFont="1" applyFill="1" applyBorder="1" applyAlignment="1">
      <alignment vertical="top"/>
    </xf>
    <xf numFmtId="0" fontId="2" fillId="3" borderId="1" xfId="0" applyFont="1" applyFill="1" applyBorder="1" applyAlignment="1">
      <alignment vertical="top"/>
    </xf>
    <xf numFmtId="0" fontId="7" fillId="3" borderId="1" xfId="0" applyFont="1" applyFill="1" applyBorder="1" applyAlignment="1">
      <alignment vertical="top" wrapText="1"/>
    </xf>
    <xf numFmtId="0" fontId="10" fillId="0" borderId="1" xfId="0" applyFont="1" applyBorder="1" applyAlignment="1">
      <alignment horizontal="center" vertical="top" wrapText="1"/>
    </xf>
    <xf numFmtId="2" fontId="10" fillId="0" borderId="1" xfId="0" applyNumberFormat="1" applyFont="1" applyBorder="1" applyAlignment="1">
      <alignment horizontal="center" vertical="top" wrapText="1"/>
    </xf>
    <xf numFmtId="0" fontId="3" fillId="3" borderId="1" xfId="0" applyFont="1" applyFill="1" applyBorder="1" applyAlignment="1">
      <alignment vertical="top" wrapText="1"/>
    </xf>
    <xf numFmtId="0" fontId="6" fillId="3" borderId="1" xfId="0" applyFont="1" applyFill="1" applyBorder="1" applyAlignment="1">
      <alignment vertical="top" wrapText="1"/>
    </xf>
    <xf numFmtId="0" fontId="2" fillId="3" borderId="2" xfId="0" applyFont="1" applyFill="1" applyBorder="1" applyAlignment="1">
      <alignment vertical="top"/>
    </xf>
    <xf numFmtId="0" fontId="7" fillId="3" borderId="2" xfId="0" applyFont="1" applyFill="1" applyBorder="1" applyAlignment="1">
      <alignment vertical="top" wrapText="1"/>
    </xf>
    <xf numFmtId="0" fontId="6" fillId="0" borderId="3" xfId="0" applyFont="1" applyBorder="1" applyAlignment="1">
      <alignment horizontal="center" vertical="top"/>
    </xf>
    <xf numFmtId="0" fontId="6" fillId="0" borderId="3" xfId="0" applyFont="1" applyBorder="1" applyAlignment="1">
      <alignment vertical="top" wrapText="1"/>
    </xf>
    <xf numFmtId="0" fontId="1" fillId="0" borderId="3" xfId="0" applyFont="1" applyBorder="1" applyAlignment="1">
      <alignment vertical="top"/>
    </xf>
    <xf numFmtId="0" fontId="1" fillId="0" borderId="3" xfId="0" applyFont="1" applyBorder="1" applyAlignment="1">
      <alignment vertical="top" wrapText="1"/>
    </xf>
    <xf numFmtId="2" fontId="6" fillId="0" borderId="3" xfId="0" applyNumberFormat="1" applyFont="1" applyBorder="1" applyAlignment="1">
      <alignment horizontal="center" vertical="top"/>
    </xf>
    <xf numFmtId="0" fontId="7" fillId="0" borderId="3" xfId="0" applyFont="1" applyBorder="1" applyAlignment="1">
      <alignment vertical="top" wrapText="1"/>
    </xf>
    <xf numFmtId="2" fontId="6" fillId="0" borderId="0" xfId="0" applyNumberFormat="1" applyFont="1" applyAlignment="1">
      <alignment horizontal="center" vertical="top"/>
    </xf>
    <xf numFmtId="0" fontId="6" fillId="0" borderId="0" xfId="0" applyFont="1" applyAlignment="1">
      <alignment horizontal="center" vertical="top"/>
    </xf>
    <xf numFmtId="0" fontId="6" fillId="0" borderId="0" xfId="0" applyFont="1" applyAlignment="1">
      <alignment vertical="top"/>
    </xf>
    <xf numFmtId="0" fontId="11" fillId="4" borderId="1" xfId="0" applyFont="1" applyFill="1" applyBorder="1" applyAlignment="1">
      <alignment horizontal="left" vertical="center" wrapText="1"/>
    </xf>
    <xf numFmtId="0" fontId="11" fillId="5" borderId="1" xfId="0" applyFont="1" applyFill="1" applyBorder="1" applyAlignment="1">
      <alignment horizontal="center" vertical="center" textRotation="90"/>
    </xf>
    <xf numFmtId="0" fontId="12" fillId="2" borderId="1" xfId="0" applyFont="1" applyFill="1" applyBorder="1" applyAlignment="1">
      <alignment horizontal="left" vertical="center"/>
    </xf>
    <xf numFmtId="0" fontId="13" fillId="0" borderId="1" xfId="0" applyFont="1" applyBorder="1" applyAlignment="1">
      <alignment horizontal="left" vertical="center"/>
    </xf>
    <xf numFmtId="0" fontId="14" fillId="0" borderId="1" xfId="0" applyFont="1" applyBorder="1"/>
    <xf numFmtId="0" fontId="14" fillId="0" borderId="1" xfId="0" applyFont="1" applyBorder="1" applyAlignment="1">
      <alignment horizontal="left" vertical="center"/>
    </xf>
    <xf numFmtId="0" fontId="14" fillId="0" borderId="1" xfId="0" applyFont="1" applyBorder="1" applyAlignment="1">
      <alignment horizontal="left" vertical="center" wrapText="1"/>
    </xf>
    <xf numFmtId="2" fontId="14" fillId="0" borderId="1" xfId="0" applyNumberFormat="1" applyFont="1" applyBorder="1" applyAlignment="1">
      <alignment horizontal="right" vertical="center"/>
    </xf>
    <xf numFmtId="2" fontId="15" fillId="0" borderId="1" xfId="0" applyNumberFormat="1" applyFont="1" applyBorder="1" applyAlignment="1">
      <alignment horizontal="right" vertical="center"/>
    </xf>
    <xf numFmtId="0" fontId="16" fillId="0" borderId="1" xfId="0" applyFont="1" applyBorder="1"/>
    <xf numFmtId="0" fontId="16" fillId="0" borderId="1" xfId="0" applyFont="1" applyBorder="1" applyAlignment="1">
      <alignment horizontal="left" vertical="center" wrapText="1"/>
    </xf>
    <xf numFmtId="2" fontId="16" fillId="0" borderId="1" xfId="0" applyNumberFormat="1" applyFont="1" applyBorder="1" applyAlignment="1">
      <alignment horizontal="center" vertical="center"/>
    </xf>
    <xf numFmtId="0" fontId="15" fillId="0" borderId="1" xfId="0" applyFont="1" applyBorder="1" applyAlignment="1">
      <alignment horizontal="left" vertical="center" wrapText="1"/>
    </xf>
    <xf numFmtId="1" fontId="15" fillId="0" borderId="1" xfId="0" applyNumberFormat="1" applyFont="1" applyBorder="1" applyAlignment="1">
      <alignment horizontal="center" vertical="center"/>
    </xf>
    <xf numFmtId="0" fontId="0" fillId="0" borderId="0" xfId="0" applyAlignment="1">
      <alignment horizontal="center" vertical="top"/>
    </xf>
    <xf numFmtId="0" fontId="0" fillId="0" borderId="0" xfId="0" applyAlignment="1">
      <alignment vertical="top"/>
    </xf>
    <xf numFmtId="0" fontId="17" fillId="0" borderId="0" xfId="0" applyFont="1" applyAlignment="1">
      <alignment vertical="top"/>
    </xf>
    <xf numFmtId="0" fontId="17" fillId="0" borderId="1" xfId="0" applyFont="1" applyBorder="1" applyAlignment="1">
      <alignment vertical="top"/>
    </xf>
    <xf numFmtId="0" fontId="17" fillId="0" borderId="1" xfId="0" applyFont="1" applyBorder="1" applyAlignment="1">
      <alignment vertical="top" wrapText="1"/>
    </xf>
    <xf numFmtId="0" fontId="18" fillId="0" borderId="0" xfId="0" applyFont="1" applyAlignment="1">
      <alignment horizontal="center" vertical="top"/>
    </xf>
    <xf numFmtId="0" fontId="0" fillId="0" borderId="0" xfId="0" applyAlignment="1">
      <alignment vertical="top" wrapText="1"/>
    </xf>
    <xf numFmtId="0" fontId="19" fillId="2" borderId="1" xfId="0" applyFont="1" applyFill="1" applyBorder="1" applyAlignment="1">
      <alignment horizontal="center" vertical="top" wrapText="1"/>
    </xf>
    <xf numFmtId="0" fontId="20" fillId="2" borderId="1" xfId="0" applyFont="1" applyFill="1" applyBorder="1" applyAlignment="1">
      <alignment horizontal="center" vertical="top" wrapText="1"/>
    </xf>
    <xf numFmtId="0" fontId="19" fillId="2" borderId="2" xfId="0" applyFont="1" applyFill="1" applyBorder="1" applyAlignment="1">
      <alignment horizontal="center" vertical="top" wrapText="1"/>
    </xf>
    <xf numFmtId="0" fontId="19" fillId="2" borderId="1" xfId="0" applyFont="1" applyFill="1" applyBorder="1" applyAlignment="1">
      <alignment horizontal="center" vertical="top"/>
    </xf>
    <xf numFmtId="0" fontId="22" fillId="0" borderId="1" xfId="0" applyFont="1" applyBorder="1" applyAlignment="1">
      <alignment vertical="top"/>
    </xf>
    <xf numFmtId="0" fontId="21" fillId="0" borderId="2" xfId="0" applyFont="1" applyBorder="1" applyAlignment="1">
      <alignment vertical="top" wrapText="1"/>
    </xf>
    <xf numFmtId="0" fontId="0" fillId="0" borderId="1" xfId="0" applyBorder="1" applyAlignment="1">
      <alignment vertical="top" wrapText="1"/>
    </xf>
    <xf numFmtId="0" fontId="19" fillId="0" borderId="1" xfId="0" applyFont="1" applyBorder="1" applyAlignment="1">
      <alignment horizontal="center" vertical="top" wrapText="1"/>
    </xf>
    <xf numFmtId="2" fontId="19" fillId="0" borderId="1" xfId="0" applyNumberFormat="1" applyFont="1" applyBorder="1" applyAlignment="1">
      <alignment horizontal="center" vertical="top" wrapText="1"/>
    </xf>
    <xf numFmtId="0" fontId="19" fillId="0" borderId="2" xfId="0" applyFont="1" applyBorder="1" applyAlignment="1">
      <alignment vertical="top" wrapText="1"/>
    </xf>
    <xf numFmtId="0" fontId="23" fillId="0" borderId="1" xfId="0" applyFont="1" applyBorder="1" applyAlignment="1">
      <alignment horizontal="center" vertical="top" wrapText="1"/>
    </xf>
    <xf numFmtId="0" fontId="23" fillId="0" borderId="1" xfId="0" applyFont="1" applyBorder="1" applyAlignment="1">
      <alignment vertical="top" wrapText="1"/>
    </xf>
    <xf numFmtId="2" fontId="23" fillId="0" borderId="1" xfId="0" applyNumberFormat="1" applyFont="1" applyBorder="1" applyAlignment="1">
      <alignment horizontal="center" vertical="top" wrapText="1"/>
    </xf>
    <xf numFmtId="0" fontId="23" fillId="0" borderId="2" xfId="0" applyFont="1" applyBorder="1" applyAlignment="1">
      <alignment vertical="top" wrapText="1"/>
    </xf>
    <xf numFmtId="0" fontId="23" fillId="0" borderId="3" xfId="0" applyFont="1" applyBorder="1" applyAlignment="1">
      <alignment vertical="top" wrapText="1"/>
    </xf>
    <xf numFmtId="0" fontId="23" fillId="0" borderId="3" xfId="0" applyFont="1" applyBorder="1" applyAlignment="1">
      <alignment horizontal="center" vertical="top" wrapText="1"/>
    </xf>
    <xf numFmtId="0" fontId="23" fillId="0" borderId="4" xfId="0" applyFont="1" applyBorder="1" applyAlignment="1">
      <alignment vertical="top" wrapText="1"/>
    </xf>
    <xf numFmtId="0" fontId="21" fillId="0" borderId="3" xfId="0" applyFont="1" applyBorder="1" applyAlignment="1">
      <alignment vertical="top" wrapText="1"/>
    </xf>
    <xf numFmtId="0" fontId="22" fillId="0" borderId="3" xfId="0" applyFont="1" applyBorder="1" applyAlignment="1">
      <alignment vertical="top"/>
    </xf>
    <xf numFmtId="0" fontId="1" fillId="0" borderId="2" xfId="0" applyFont="1" applyBorder="1" applyAlignment="1">
      <alignment vertical="top" wrapText="1"/>
    </xf>
    <xf numFmtId="0" fontId="21" fillId="0" borderId="0" xfId="0" applyFont="1" applyAlignment="1">
      <alignment vertical="top"/>
    </xf>
    <xf numFmtId="0" fontId="0" fillId="0" borderId="5" xfId="0" applyBorder="1" applyAlignment="1">
      <alignment vertical="top" wrapText="1"/>
    </xf>
    <xf numFmtId="0" fontId="8" fillId="0" borderId="6" xfId="0" applyFont="1" applyBorder="1" applyAlignment="1">
      <alignment horizontal="center" vertical="top"/>
    </xf>
    <xf numFmtId="0" fontId="8" fillId="0" borderId="7" xfId="0" applyFont="1" applyBorder="1" applyAlignment="1">
      <alignment horizontal="center" vertical="top"/>
    </xf>
    <xf numFmtId="0" fontId="0" fillId="0" borderId="1" xfId="0" applyBorder="1" applyAlignment="1">
      <alignment vertical="top"/>
    </xf>
    <xf numFmtId="0" fontId="22" fillId="0" borderId="5" xfId="0" applyFont="1" applyBorder="1" applyAlignment="1">
      <alignment vertical="top"/>
    </xf>
    <xf numFmtId="0" fontId="6" fillId="0" borderId="1" xfId="0" applyFont="1" applyBorder="1" applyAlignment="1">
      <alignment horizontal="left" vertical="top" wrapText="1"/>
    </xf>
    <xf numFmtId="0" fontId="8" fillId="0" borderId="8" xfId="0" applyFont="1" applyBorder="1" applyAlignment="1">
      <alignment vertical="top" wrapText="1"/>
    </xf>
    <xf numFmtId="0" fontId="8" fillId="0" borderId="7" xfId="0" applyFont="1" applyBorder="1" applyAlignment="1">
      <alignment horizontal="left" vertical="top" wrapText="1"/>
    </xf>
    <xf numFmtId="0" fontId="21" fillId="0" borderId="0" xfId="0" applyFont="1" applyAlignment="1">
      <alignment vertical="top" wrapText="1"/>
    </xf>
    <xf numFmtId="0" fontId="23" fillId="0" borderId="0" xfId="0" applyFont="1" applyAlignment="1">
      <alignment vertical="top" wrapText="1"/>
    </xf>
    <xf numFmtId="0" fontId="7" fillId="0" borderId="1" xfId="0" applyFont="1" applyBorder="1" applyAlignment="1">
      <alignment horizontal="left" vertical="top" wrapText="1"/>
    </xf>
    <xf numFmtId="0" fontId="21" fillId="0" borderId="6" xfId="0" applyFont="1" applyBorder="1" applyAlignment="1">
      <alignment vertical="top" wrapText="1"/>
    </xf>
    <xf numFmtId="0" fontId="22" fillId="0" borderId="6" xfId="0" applyFont="1" applyBorder="1" applyAlignment="1">
      <alignment vertical="top"/>
    </xf>
    <xf numFmtId="0" fontId="24" fillId="0" borderId="1" xfId="0" applyFont="1" applyBorder="1" applyAlignment="1">
      <alignment vertical="top" wrapText="1"/>
    </xf>
    <xf numFmtId="0" fontId="6" fillId="0" borderId="2" xfId="0" applyFont="1" applyBorder="1" applyAlignment="1">
      <alignment vertical="top" wrapText="1"/>
    </xf>
    <xf numFmtId="0" fontId="21" fillId="0" borderId="4" xfId="0" applyFont="1" applyBorder="1" applyAlignment="1">
      <alignment vertical="top" wrapText="1"/>
    </xf>
    <xf numFmtId="0" fontId="21" fillId="0" borderId="1" xfId="0" applyFont="1" applyBorder="1" applyAlignment="1">
      <alignment horizontal="center" vertical="top"/>
    </xf>
    <xf numFmtId="2" fontId="21" fillId="0" borderId="2" xfId="0" applyNumberFormat="1" applyFont="1" applyBorder="1" applyAlignment="1">
      <alignment horizontal="center" vertical="top"/>
    </xf>
    <xf numFmtId="2" fontId="21" fillId="0" borderId="1" xfId="0" applyNumberFormat="1" applyFont="1" applyBorder="1" applyAlignment="1">
      <alignment horizontal="center" vertical="top"/>
    </xf>
    <xf numFmtId="0" fontId="21" fillId="0" borderId="9" xfId="0" applyFont="1" applyBorder="1" applyAlignment="1">
      <alignment vertical="top" wrapText="1"/>
    </xf>
    <xf numFmtId="0" fontId="23" fillId="0" borderId="6" xfId="0" applyFont="1" applyBorder="1" applyAlignment="1">
      <alignment vertical="top" wrapText="1"/>
    </xf>
    <xf numFmtId="0" fontId="23" fillId="0" borderId="1" xfId="0" applyFont="1" applyBorder="1" applyAlignment="1">
      <alignment horizontal="center" vertical="top"/>
    </xf>
    <xf numFmtId="0" fontId="25" fillId="0" borderId="1" xfId="0" applyFont="1" applyBorder="1" applyAlignment="1">
      <alignment vertical="top"/>
    </xf>
    <xf numFmtId="0" fontId="26" fillId="0" borderId="1" xfId="0" applyFont="1" applyBorder="1" applyAlignment="1">
      <alignment vertical="top" wrapText="1"/>
    </xf>
    <xf numFmtId="0" fontId="26" fillId="0" borderId="3" xfId="0" applyFont="1" applyBorder="1" applyAlignment="1">
      <alignment vertical="top" wrapText="1"/>
    </xf>
    <xf numFmtId="2" fontId="19" fillId="0" borderId="2" xfId="0" applyNumberFormat="1" applyFont="1" applyBorder="1" applyAlignment="1">
      <alignment horizontal="center" vertical="top" wrapText="1"/>
    </xf>
    <xf numFmtId="2" fontId="23" fillId="0" borderId="2" xfId="0" applyNumberFormat="1" applyFont="1" applyBorder="1" applyAlignment="1">
      <alignment horizontal="center" vertical="top" wrapText="1"/>
    </xf>
    <xf numFmtId="0" fontId="22" fillId="0" borderId="1" xfId="0" applyFont="1" applyBorder="1" applyAlignment="1">
      <alignment vertical="top" wrapText="1"/>
    </xf>
    <xf numFmtId="2" fontId="21" fillId="0" borderId="2" xfId="0" applyNumberFormat="1" applyFont="1" applyBorder="1" applyAlignment="1">
      <alignment horizontal="center" vertical="top" wrapText="1"/>
    </xf>
    <xf numFmtId="0" fontId="18" fillId="0" borderId="1" xfId="0" applyFont="1" applyBorder="1" applyAlignment="1">
      <alignment vertical="top"/>
    </xf>
    <xf numFmtId="0" fontId="0" fillId="0" borderId="10" xfId="0" applyBorder="1" applyAlignment="1">
      <alignment vertical="top" wrapText="1"/>
    </xf>
    <xf numFmtId="0" fontId="0" fillId="0" borderId="8" xfId="0" applyBorder="1" applyAlignment="1">
      <alignment vertical="top" wrapText="1"/>
    </xf>
    <xf numFmtId="0" fontId="19" fillId="0" borderId="9" xfId="0" applyFont="1" applyBorder="1" applyAlignment="1">
      <alignment vertical="top" wrapText="1"/>
    </xf>
    <xf numFmtId="0" fontId="20" fillId="0" borderId="0" xfId="0" applyFont="1" applyAlignment="1">
      <alignment vertical="top"/>
    </xf>
    <xf numFmtId="0" fontId="22" fillId="0" borderId="0" xfId="0" applyFont="1" applyAlignment="1">
      <alignment vertical="top"/>
    </xf>
    <xf numFmtId="0" fontId="21" fillId="0" borderId="1" xfId="0" applyFont="1" applyBorder="1" applyAlignment="1">
      <alignment vertical="top"/>
    </xf>
    <xf numFmtId="0" fontId="21" fillId="0" borderId="2" xfId="0" applyFont="1" applyBorder="1" applyAlignment="1">
      <alignment vertical="top"/>
    </xf>
    <xf numFmtId="0" fontId="18" fillId="0" borderId="0" xfId="0" applyFont="1" applyAlignment="1">
      <alignment vertical="top"/>
    </xf>
    <xf numFmtId="0" fontId="19" fillId="0" borderId="1" xfId="0" applyFont="1" applyBorder="1" applyAlignment="1">
      <alignment horizontal="center" vertical="top"/>
    </xf>
    <xf numFmtId="2" fontId="19" fillId="0" borderId="1" xfId="0" applyNumberFormat="1" applyFont="1" applyBorder="1" applyAlignment="1">
      <alignment horizontal="center" vertical="top"/>
    </xf>
    <xf numFmtId="0" fontId="23" fillId="2" borderId="1" xfId="0" applyFont="1" applyFill="1" applyBorder="1" applyAlignment="1">
      <alignment horizontal="center" vertical="top"/>
    </xf>
    <xf numFmtId="0" fontId="25" fillId="2" borderId="1" xfId="0" applyFont="1" applyFill="1" applyBorder="1" applyAlignment="1">
      <alignment vertical="top"/>
    </xf>
    <xf numFmtId="0" fontId="17" fillId="2" borderId="1" xfId="0" applyFont="1" applyFill="1" applyBorder="1" applyAlignment="1">
      <alignment vertical="top"/>
    </xf>
    <xf numFmtId="0" fontId="22" fillId="2" borderId="1" xfId="0" applyFont="1" applyFill="1" applyBorder="1" applyAlignment="1">
      <alignment vertical="top" wrapText="1"/>
    </xf>
    <xf numFmtId="0" fontId="1" fillId="2" borderId="1" xfId="0" applyFont="1" applyFill="1" applyBorder="1" applyAlignment="1">
      <alignment vertical="top" wrapText="1"/>
    </xf>
    <xf numFmtId="0" fontId="27" fillId="2" borderId="0" xfId="0" applyFont="1" applyFill="1" applyAlignment="1">
      <alignment vertical="top" wrapText="1"/>
    </xf>
    <xf numFmtId="0" fontId="21" fillId="2" borderId="1" xfId="0" applyFont="1" applyFill="1" applyBorder="1" applyAlignment="1">
      <alignment horizontal="center" vertical="top"/>
    </xf>
    <xf numFmtId="2" fontId="21" fillId="2" borderId="1" xfId="0" applyNumberFormat="1" applyFont="1" applyFill="1" applyBorder="1" applyAlignment="1">
      <alignment horizontal="center" vertical="top"/>
    </xf>
    <xf numFmtId="0" fontId="21" fillId="2" borderId="2" xfId="0" applyFont="1" applyFill="1" applyBorder="1" applyAlignment="1">
      <alignment vertical="top" wrapText="1"/>
    </xf>
    <xf numFmtId="0" fontId="26" fillId="2" borderId="1" xfId="0" applyFont="1" applyFill="1" applyBorder="1" applyAlignment="1">
      <alignment vertical="top" wrapText="1"/>
    </xf>
    <xf numFmtId="0" fontId="0" fillId="2" borderId="1" xfId="0" applyFill="1" applyBorder="1" applyAlignment="1">
      <alignment vertical="top" wrapText="1"/>
    </xf>
    <xf numFmtId="0" fontId="0" fillId="2" borderId="0" xfId="0" applyFill="1" applyAlignment="1">
      <alignment vertical="top"/>
    </xf>
    <xf numFmtId="0" fontId="28" fillId="2" borderId="1" xfId="0" applyFont="1" applyFill="1" applyBorder="1" applyAlignment="1">
      <alignment vertical="top"/>
    </xf>
    <xf numFmtId="0" fontId="0" fillId="2" borderId="0" xfId="0" applyFill="1" applyAlignment="1">
      <alignment vertical="top" wrapText="1"/>
    </xf>
    <xf numFmtId="2" fontId="21" fillId="2" borderId="5" xfId="0" applyNumberFormat="1" applyFont="1" applyFill="1" applyBorder="1" applyAlignment="1">
      <alignment horizontal="center" vertical="top"/>
    </xf>
    <xf numFmtId="0" fontId="23" fillId="3" borderId="1" xfId="0" applyFont="1" applyFill="1" applyBorder="1" applyAlignment="1">
      <alignment horizontal="center" vertical="top"/>
    </xf>
    <xf numFmtId="0" fontId="25" fillId="3" borderId="1" xfId="0" applyFont="1" applyFill="1" applyBorder="1" applyAlignment="1">
      <alignment vertical="top"/>
    </xf>
    <xf numFmtId="0" fontId="17" fillId="3" borderId="1" xfId="0" applyFont="1" applyFill="1" applyBorder="1" applyAlignment="1">
      <alignment vertical="top"/>
    </xf>
    <xf numFmtId="0" fontId="28" fillId="3" borderId="1" xfId="0" applyFont="1" applyFill="1" applyBorder="1" applyAlignment="1">
      <alignment vertical="top"/>
    </xf>
    <xf numFmtId="0" fontId="9" fillId="0" borderId="5" xfId="0" applyFont="1" applyBorder="1" applyAlignment="1">
      <alignment horizontal="center" vertical="top" wrapText="1"/>
    </xf>
    <xf numFmtId="0" fontId="0" fillId="3" borderId="1" xfId="0" applyFill="1" applyBorder="1" applyAlignment="1">
      <alignment vertical="top" wrapText="1"/>
    </xf>
    <xf numFmtId="0" fontId="0" fillId="3" borderId="0" xfId="0" applyFill="1" applyAlignment="1">
      <alignment vertical="top"/>
    </xf>
    <xf numFmtId="0" fontId="22" fillId="0" borderId="6" xfId="0" applyFont="1" applyBorder="1" applyAlignment="1">
      <alignment vertical="top" wrapText="1"/>
    </xf>
    <xf numFmtId="0" fontId="9" fillId="0" borderId="8" xfId="0" applyFont="1" applyBorder="1" applyAlignment="1">
      <alignment horizontal="center" vertical="top" wrapText="1"/>
    </xf>
    <xf numFmtId="0" fontId="8" fillId="0" borderId="6" xfId="0" applyFont="1" applyBorder="1" applyAlignment="1">
      <alignment vertical="top" wrapText="1"/>
    </xf>
    <xf numFmtId="0" fontId="7" fillId="3" borderId="6" xfId="0" applyFont="1" applyFill="1" applyBorder="1" applyAlignment="1">
      <alignment vertical="top" wrapText="1"/>
    </xf>
    <xf numFmtId="0" fontId="10" fillId="0" borderId="6" xfId="0" applyFont="1" applyBorder="1" applyAlignment="1">
      <alignment vertical="top" wrapText="1"/>
    </xf>
    <xf numFmtId="0" fontId="10" fillId="0" borderId="8" xfId="0" applyFont="1" applyBorder="1" applyAlignment="1">
      <alignment horizontal="center" vertical="top" wrapText="1"/>
    </xf>
    <xf numFmtId="0" fontId="10" fillId="0" borderId="6" xfId="0" applyFont="1" applyBorder="1" applyAlignment="1">
      <alignment wrapText="1"/>
    </xf>
    <xf numFmtId="0" fontId="23" fillId="3" borderId="6" xfId="0" applyFont="1" applyFill="1" applyBorder="1" applyAlignment="1">
      <alignment vertical="top" wrapText="1"/>
    </xf>
    <xf numFmtId="0" fontId="19" fillId="3" borderId="1" xfId="0" applyFont="1" applyFill="1" applyBorder="1" applyAlignment="1">
      <alignment vertical="top" wrapText="1"/>
    </xf>
    <xf numFmtId="0" fontId="23" fillId="3" borderId="1" xfId="0" applyFont="1" applyFill="1" applyBorder="1" applyAlignment="1">
      <alignment vertical="top" wrapText="1"/>
    </xf>
    <xf numFmtId="0" fontId="21" fillId="3" borderId="1" xfId="0" applyFont="1" applyFill="1" applyBorder="1" applyAlignment="1">
      <alignment vertical="top" wrapText="1"/>
    </xf>
    <xf numFmtId="2" fontId="19" fillId="0" borderId="2" xfId="0" applyNumberFormat="1" applyFont="1" applyBorder="1" applyAlignment="1">
      <alignment horizontal="center" vertical="top"/>
    </xf>
    <xf numFmtId="0" fontId="22" fillId="3" borderId="0" xfId="0" applyFont="1" applyFill="1" applyAlignment="1">
      <alignment vertical="top"/>
    </xf>
    <xf numFmtId="0" fontId="21" fillId="3" borderId="9" xfId="0" applyFont="1" applyFill="1" applyBorder="1" applyAlignment="1">
      <alignment vertical="top" wrapText="1"/>
    </xf>
    <xf numFmtId="0" fontId="21" fillId="3" borderId="2" xfId="0" applyFont="1" applyFill="1" applyBorder="1" applyAlignment="1">
      <alignment vertical="top" wrapText="1"/>
    </xf>
    <xf numFmtId="0" fontId="29" fillId="0" borderId="1" xfId="0" applyFont="1" applyBorder="1" applyAlignment="1">
      <alignment vertical="top" wrapText="1"/>
    </xf>
    <xf numFmtId="0" fontId="25" fillId="0" borderId="0" xfId="0" applyFont="1" applyAlignment="1">
      <alignment horizontal="center" vertical="top"/>
    </xf>
    <xf numFmtId="0" fontId="25" fillId="0" borderId="0" xfId="0" applyFont="1" applyAlignment="1">
      <alignment vertical="top"/>
    </xf>
    <xf numFmtId="0" fontId="17" fillId="0" borderId="0" xfId="0" applyFont="1" applyAlignment="1">
      <alignment vertical="top" wrapText="1"/>
    </xf>
    <xf numFmtId="0" fontId="30" fillId="0" borderId="0" xfId="0" applyFont="1" applyAlignment="1">
      <alignment vertical="top" wrapText="1"/>
    </xf>
    <xf numFmtId="0" fontId="17" fillId="0" borderId="6" xfId="0" applyFont="1" applyBorder="1" applyAlignment="1">
      <alignment vertical="top"/>
    </xf>
    <xf numFmtId="0" fontId="17" fillId="0" borderId="6" xfId="0" applyFont="1" applyBorder="1" applyAlignment="1">
      <alignment vertical="top" wrapText="1"/>
    </xf>
    <xf numFmtId="0" fontId="31" fillId="0" borderId="0" xfId="0" applyFont="1" applyAlignment="1">
      <alignment vertical="top" wrapText="1"/>
    </xf>
    <xf numFmtId="0" fontId="32" fillId="0" borderId="1" xfId="0" applyFont="1" applyBorder="1" applyAlignment="1">
      <alignment vertical="top" wrapText="1"/>
    </xf>
    <xf numFmtId="0" fontId="21" fillId="2" borderId="1" xfId="0" applyFont="1" applyFill="1" applyBorder="1" applyAlignment="1">
      <alignment horizontal="center" vertical="top" wrapText="1"/>
    </xf>
    <xf numFmtId="0" fontId="21" fillId="2" borderId="1" xfId="0" applyFont="1" applyFill="1" applyBorder="1" applyAlignment="1">
      <alignment vertical="top" wrapText="1"/>
    </xf>
    <xf numFmtId="0" fontId="22" fillId="2" borderId="1" xfId="0" applyFont="1" applyFill="1" applyBorder="1" applyAlignment="1">
      <alignment vertical="top"/>
    </xf>
    <xf numFmtId="0" fontId="19" fillId="2" borderId="1" xfId="0" applyFont="1" applyFill="1" applyBorder="1" applyAlignment="1">
      <alignment vertical="top" wrapText="1"/>
    </xf>
    <xf numFmtId="2" fontId="21" fillId="2" borderId="1" xfId="0" applyNumberFormat="1" applyFont="1" applyFill="1" applyBorder="1" applyAlignment="1">
      <alignment horizontal="center" vertical="top" wrapText="1"/>
    </xf>
    <xf numFmtId="0" fontId="23" fillId="2" borderId="1" xfId="0" applyFont="1" applyFill="1" applyBorder="1" applyAlignment="1">
      <alignment vertical="top" wrapText="1"/>
    </xf>
    <xf numFmtId="0" fontId="28" fillId="0" borderId="1" xfId="0" applyFont="1" applyBorder="1" applyAlignment="1">
      <alignment vertical="top" wrapText="1"/>
    </xf>
    <xf numFmtId="0" fontId="28" fillId="0" borderId="1" xfId="0" applyFont="1" applyBorder="1" applyAlignment="1">
      <alignment vertical="top"/>
    </xf>
    <xf numFmtId="0" fontId="28" fillId="2" borderId="1" xfId="0" applyFont="1" applyFill="1" applyBorder="1" applyAlignment="1">
      <alignment vertical="top" wrapText="1"/>
    </xf>
    <xf numFmtId="2" fontId="19" fillId="2" borderId="1" xfId="0" applyNumberFormat="1" applyFont="1" applyFill="1" applyBorder="1" applyAlignment="1">
      <alignment horizontal="center" vertical="top" wrapText="1"/>
    </xf>
    <xf numFmtId="0" fontId="23" fillId="2" borderId="1" xfId="0" applyFont="1" applyFill="1" applyBorder="1" applyAlignment="1">
      <alignment horizontal="center" vertical="top" wrapText="1"/>
    </xf>
    <xf numFmtId="2" fontId="23" fillId="2" borderId="1" xfId="0" applyNumberFormat="1" applyFont="1" applyFill="1" applyBorder="1" applyAlignment="1">
      <alignment horizontal="center" vertical="top" wrapText="1"/>
    </xf>
    <xf numFmtId="0" fontId="23" fillId="6" borderId="1" xfId="0" applyFont="1" applyFill="1" applyBorder="1" applyAlignment="1">
      <alignment horizontal="center" vertical="top"/>
    </xf>
    <xf numFmtId="0" fontId="25" fillId="6" borderId="1" xfId="0" applyFont="1" applyFill="1" applyBorder="1" applyAlignment="1">
      <alignment vertical="top"/>
    </xf>
    <xf numFmtId="0" fontId="17" fillId="6" borderId="1" xfId="0" applyFont="1" applyFill="1" applyBorder="1" applyAlignment="1">
      <alignment vertical="top"/>
    </xf>
    <xf numFmtId="0" fontId="22" fillId="6" borderId="1" xfId="0" applyFont="1" applyFill="1" applyBorder="1" applyAlignment="1">
      <alignment vertical="top"/>
    </xf>
    <xf numFmtId="0" fontId="33" fillId="6" borderId="1" xfId="0" applyFont="1" applyFill="1" applyBorder="1" applyAlignment="1">
      <alignment vertical="top"/>
    </xf>
    <xf numFmtId="0" fontId="33" fillId="6" borderId="1" xfId="0" applyFont="1" applyFill="1" applyBorder="1" applyAlignment="1">
      <alignment vertical="top" wrapText="1"/>
    </xf>
    <xf numFmtId="0" fontId="26" fillId="6" borderId="1" xfId="0" applyFont="1" applyFill="1" applyBorder="1" applyAlignment="1">
      <alignment vertical="top" wrapText="1"/>
    </xf>
    <xf numFmtId="0" fontId="21" fillId="6" borderId="1" xfId="0" applyFont="1" applyFill="1" applyBorder="1" applyAlignment="1">
      <alignment horizontal="center" vertical="top"/>
    </xf>
    <xf numFmtId="2" fontId="21" fillId="6" borderId="1" xfId="0" applyNumberFormat="1" applyFont="1" applyFill="1" applyBorder="1" applyAlignment="1">
      <alignment horizontal="center" vertical="top"/>
    </xf>
    <xf numFmtId="0" fontId="21" fillId="6" borderId="1" xfId="0" applyFont="1" applyFill="1" applyBorder="1" applyAlignment="1">
      <alignment horizontal="left" vertical="top"/>
    </xf>
    <xf numFmtId="0" fontId="0" fillId="6" borderId="0" xfId="0" applyFill="1" applyAlignment="1">
      <alignment vertical="top"/>
    </xf>
    <xf numFmtId="0" fontId="23" fillId="0" borderId="1" xfId="0" applyFont="1" applyBorder="1" applyAlignment="1">
      <alignment vertical="top"/>
    </xf>
    <xf numFmtId="0" fontId="24" fillId="0" borderId="1" xfId="0" applyFont="1" applyBorder="1" applyAlignment="1">
      <alignment vertical="top"/>
    </xf>
    <xf numFmtId="0" fontId="34" fillId="0" borderId="1" xfId="0" applyFont="1" applyBorder="1" applyAlignment="1">
      <alignment vertical="top"/>
    </xf>
    <xf numFmtId="0" fontId="33" fillId="0" borderId="1" xfId="0" applyFont="1" applyBorder="1" applyAlignment="1">
      <alignment vertical="top"/>
    </xf>
    <xf numFmtId="2" fontId="23" fillId="0" borderId="1" xfId="0" applyNumberFormat="1" applyFont="1" applyBorder="1" applyAlignment="1">
      <alignment horizontal="center" vertical="top"/>
    </xf>
    <xf numFmtId="0" fontId="15" fillId="0" borderId="1" xfId="0" applyFont="1" applyBorder="1" applyAlignment="1">
      <alignment horizontal="left" vertical="center"/>
    </xf>
    <xf numFmtId="0" fontId="13" fillId="0" borderId="0" xfId="0" applyFont="1"/>
    <xf numFmtId="2" fontId="0" fillId="2" borderId="0" xfId="0" applyNumberFormat="1" applyFill="1" applyAlignment="1">
      <alignment horizontal="center" vertical="center"/>
    </xf>
    <xf numFmtId="0" fontId="13" fillId="0" borderId="0" xfId="0" applyFont="1" applyAlignment="1">
      <alignment horizontal="left" vertical="center" wrapText="1"/>
    </xf>
    <xf numFmtId="0" fontId="35" fillId="0" borderId="1" xfId="0" applyFont="1" applyBorder="1" applyAlignment="1">
      <alignment horizontal="center" vertical="center" wrapText="1"/>
    </xf>
    <xf numFmtId="0" fontId="16" fillId="7" borderId="1" xfId="0" applyFont="1" applyFill="1" applyBorder="1" applyAlignment="1">
      <alignment horizontal="center" vertical="center" wrapText="1"/>
    </xf>
    <xf numFmtId="0" fontId="16" fillId="8" borderId="1" xfId="0" applyFont="1" applyFill="1" applyBorder="1" applyAlignment="1">
      <alignment horizontal="center" vertical="center"/>
    </xf>
    <xf numFmtId="0" fontId="16" fillId="8" borderId="1" xfId="0" applyFont="1" applyFill="1" applyBorder="1" applyAlignment="1">
      <alignment horizontal="center" vertical="center" wrapText="1"/>
    </xf>
    <xf numFmtId="0" fontId="16" fillId="0" borderId="1" xfId="0" applyFont="1"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16" fillId="9" borderId="1" xfId="0" applyFont="1" applyFill="1" applyBorder="1" applyAlignment="1">
      <alignment horizontal="center" vertical="center" wrapText="1"/>
    </xf>
    <xf numFmtId="2" fontId="0" fillId="9" borderId="1" xfId="0" applyNumberFormat="1" applyFill="1" applyBorder="1" applyAlignment="1">
      <alignment horizontal="center" vertical="center"/>
    </xf>
    <xf numFmtId="9" fontId="0" fillId="0" borderId="1" xfId="0" applyNumberFormat="1" applyBorder="1" applyAlignment="1">
      <alignment horizontal="center" vertical="center"/>
    </xf>
    <xf numFmtId="0" fontId="31" fillId="0" borderId="1" xfId="0" applyFont="1" applyBorder="1" applyAlignment="1">
      <alignment vertical="center"/>
    </xf>
    <xf numFmtId="0" fontId="36" fillId="0" borderId="1" xfId="1" applyBorder="1" applyAlignment="1">
      <alignment vertical="center"/>
    </xf>
    <xf numFmtId="0" fontId="13" fillId="0" borderId="1" xfId="0" applyFont="1" applyBorder="1" applyAlignment="1">
      <alignment horizontal="center" vertical="center"/>
    </xf>
    <xf numFmtId="2" fontId="21" fillId="0" borderId="1" xfId="0" applyNumberFormat="1" applyFont="1" applyBorder="1" applyAlignment="1">
      <alignment horizontal="center" vertical="top" wrapText="1"/>
    </xf>
    <xf numFmtId="0" fontId="19" fillId="0" borderId="1" xfId="0" applyFont="1" applyBorder="1" applyAlignment="1">
      <alignment vertical="top" wrapText="1"/>
    </xf>
    <xf numFmtId="0" fontId="21" fillId="0" borderId="1" xfId="0" applyFont="1" applyBorder="1" applyAlignment="1">
      <alignment vertical="top" wrapText="1"/>
    </xf>
    <xf numFmtId="0" fontId="21" fillId="0" borderId="1" xfId="0" applyFont="1" applyBorder="1" applyAlignment="1">
      <alignment horizontal="center" vertical="top" wrapText="1"/>
    </xf>
  </cellXfs>
  <cellStyles count="2">
    <cellStyle name="Hyperlink" xfId="1" builtinId="8"/>
    <cellStyle name="Normal" xfId="0" builtinId="0"/>
  </cellStyles>
  <dxfs count="2">
    <dxf>
      <font>
        <i/>
        <color rgb="FF7F7F7F"/>
      </font>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4C7E7"/>
      <rgbColor rgb="FF7F7F7F"/>
      <rgbColor rgb="FF9999FF"/>
      <rgbColor rgb="FF993366"/>
      <rgbColor rgb="FFE7E6E6"/>
      <rgbColor rgb="FFCCFFFF"/>
      <rgbColor rgb="FF660066"/>
      <rgbColor rgb="FFFF8080"/>
      <rgbColor rgb="FF0070C0"/>
      <rgbColor rgb="FFBDD6EE"/>
      <rgbColor rgb="FF000080"/>
      <rgbColor rgb="FFFF00FF"/>
      <rgbColor rgb="FFFFFF00"/>
      <rgbColor rgb="FF00FFFF"/>
      <rgbColor rgb="FF800080"/>
      <rgbColor rgb="FF800000"/>
      <rgbColor rgb="FF008080"/>
      <rgbColor rgb="FF0000FF"/>
      <rgbColor rgb="FF00CCFF"/>
      <rgbColor rgb="FFCCFFFF"/>
      <rgbColor rgb="FFC5E0B3"/>
      <rgbColor rgb="FFFFFF99"/>
      <rgbColor rgb="FFA8D08D"/>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tyles" Target="style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7.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ksrsac.karnataka.gov.in/map.aspx"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bwssb.karnataka.gov.in/storage/pdf-files/documents/Vision%20Document%202050%20%20new.pdf"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bwssb.karnataka.gov.in/storage/pdf-files/documents/Vision%20Document%202050%20%20new.pdf"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bwssb.karnataka.gov.in/storage/pdf-files/documents/Vision%20Document%202050%20%20new.pdf"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dult.karnataka.gov.in/assets/front/pdf/Comprehensive_Mobility_Plan.pdf"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dult.karnataka.gov.in/assets/front/pdf/Comprehensive_Mobility_Plan.pdf"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dult.karnataka.gov.in/assets/front/pdf/Comprehensive_Mobility_Plan.pdf"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www.thehindu.com/news/cities/bangalore/proposed-economic-masterplan-for-bengaluru-metropolitan-region-targets-75-public-transport/article71420718.ece"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G2" zoomScale="62" zoomScaleNormal="62" workbookViewId="0">
      <selection activeCell="M5" sqref="M5"/>
    </sheetView>
  </sheetViews>
  <sheetFormatPr defaultColWidth="9.140625" defaultRowHeight="13.5"/>
  <cols>
    <col min="1" max="1" width="9.140625" style="5"/>
    <col min="2" max="2" width="9.140625" style="6" hidden="1"/>
    <col min="3" max="3" width="7.5703125" style="6" hidden="1" customWidth="1"/>
    <col min="4" max="4" width="5.140625" style="6" hidden="1" customWidth="1"/>
    <col min="5" max="5" width="12.85546875" style="6" customWidth="1"/>
    <col min="6" max="6" width="15" style="6" customWidth="1"/>
    <col min="7" max="7" width="22.28515625" style="6" customWidth="1"/>
    <col min="8" max="8" width="19.140625" style="7" customWidth="1"/>
    <col min="9" max="9" width="79.85546875" style="6" customWidth="1"/>
    <col min="10" max="10" width="10.42578125" style="5" customWidth="1"/>
    <col min="11" max="11" width="19.5703125" style="5" customWidth="1"/>
    <col min="12" max="12" width="18.28515625" style="6" customWidth="1"/>
    <col min="13" max="13" width="98.28515625" style="8" customWidth="1"/>
    <col min="14" max="14" width="109.42578125" style="9" customWidth="1"/>
    <col min="15" max="16384" width="9.140625" style="6"/>
  </cols>
  <sheetData>
    <row r="1" spans="1:19" s="5" customFormat="1" ht="42.75" customHeight="1">
      <c r="A1" s="10" t="s">
        <v>0</v>
      </c>
      <c r="B1" s="10" t="s">
        <v>1</v>
      </c>
      <c r="C1" s="10" t="s">
        <v>2</v>
      </c>
      <c r="D1" s="10" t="s">
        <v>3</v>
      </c>
      <c r="E1" s="11" t="s">
        <v>4</v>
      </c>
      <c r="F1" s="11" t="s">
        <v>5</v>
      </c>
      <c r="G1" s="11" t="s">
        <v>6</v>
      </c>
      <c r="H1" s="11" t="s">
        <v>7</v>
      </c>
      <c r="I1" s="10" t="s">
        <v>8</v>
      </c>
      <c r="J1" s="10" t="s">
        <v>9</v>
      </c>
      <c r="K1" s="10" t="s">
        <v>10</v>
      </c>
      <c r="L1" s="10" t="s">
        <v>11</v>
      </c>
      <c r="M1" s="12" t="s">
        <v>12</v>
      </c>
      <c r="N1" s="13" t="s">
        <v>13</v>
      </c>
    </row>
    <row r="2" spans="1:19" ht="117" customHeight="1">
      <c r="A2" s="14" t="s">
        <v>14</v>
      </c>
      <c r="B2" s="15" t="s">
        <v>15</v>
      </c>
      <c r="C2" s="15" t="s">
        <v>15</v>
      </c>
      <c r="D2" s="15" t="s">
        <v>16</v>
      </c>
      <c r="E2" s="16" t="s">
        <v>15</v>
      </c>
      <c r="F2" s="16" t="s">
        <v>17</v>
      </c>
      <c r="G2" s="17" t="s">
        <v>18</v>
      </c>
      <c r="H2" s="17" t="s">
        <v>19</v>
      </c>
      <c r="I2" s="15" t="s">
        <v>20</v>
      </c>
      <c r="J2" s="14" t="s">
        <v>21</v>
      </c>
      <c r="K2" s="18">
        <v>10</v>
      </c>
      <c r="L2" s="15" t="s">
        <v>22</v>
      </c>
      <c r="M2" s="19" t="s">
        <v>23</v>
      </c>
      <c r="N2" s="20" t="s">
        <v>24</v>
      </c>
    </row>
    <row r="3" spans="1:19" ht="40.5" customHeight="1">
      <c r="A3" s="14" t="s">
        <v>25</v>
      </c>
      <c r="B3" s="15" t="s">
        <v>26</v>
      </c>
      <c r="C3" s="15" t="s">
        <v>27</v>
      </c>
      <c r="D3" s="15" t="s">
        <v>16</v>
      </c>
      <c r="E3" s="16" t="s">
        <v>28</v>
      </c>
      <c r="F3" s="16" t="s">
        <v>17</v>
      </c>
      <c r="G3" s="17" t="s">
        <v>18</v>
      </c>
      <c r="H3" s="17" t="s">
        <v>19</v>
      </c>
      <c r="I3" s="15" t="s">
        <v>29</v>
      </c>
      <c r="J3" s="14" t="s">
        <v>21</v>
      </c>
      <c r="K3" s="18">
        <v>10</v>
      </c>
      <c r="L3" s="15" t="s">
        <v>22</v>
      </c>
      <c r="M3" s="19" t="s">
        <v>30</v>
      </c>
      <c r="N3" s="20"/>
    </row>
    <row r="4" spans="1:19" ht="40.5" customHeight="1">
      <c r="A4" s="21" t="s">
        <v>31</v>
      </c>
      <c r="B4" s="22" t="s">
        <v>28</v>
      </c>
      <c r="C4" s="15" t="s">
        <v>28</v>
      </c>
      <c r="D4" s="15" t="s">
        <v>16</v>
      </c>
      <c r="E4" s="16" t="s">
        <v>32</v>
      </c>
      <c r="F4" s="16" t="s">
        <v>17</v>
      </c>
      <c r="G4" s="17" t="s">
        <v>18</v>
      </c>
      <c r="H4" s="17" t="s">
        <v>33</v>
      </c>
      <c r="I4" s="22" t="s">
        <v>34</v>
      </c>
      <c r="J4" s="21" t="s">
        <v>21</v>
      </c>
      <c r="K4" s="23">
        <v>10</v>
      </c>
      <c r="L4" s="22" t="s">
        <v>22</v>
      </c>
      <c r="M4" s="19" t="s">
        <v>35</v>
      </c>
      <c r="N4" s="20"/>
    </row>
    <row r="5" spans="1:19" ht="53.25" customHeight="1">
      <c r="A5" s="24" t="s">
        <v>36</v>
      </c>
      <c r="B5" s="25" t="s">
        <v>37</v>
      </c>
      <c r="C5" s="25" t="s">
        <v>37</v>
      </c>
      <c r="D5" s="15" t="s">
        <v>16</v>
      </c>
      <c r="E5" s="16" t="s">
        <v>38</v>
      </c>
      <c r="F5" s="16" t="s">
        <v>17</v>
      </c>
      <c r="G5" s="17" t="s">
        <v>18</v>
      </c>
      <c r="H5" s="17" t="s">
        <v>33</v>
      </c>
      <c r="I5" s="25" t="s">
        <v>39</v>
      </c>
      <c r="J5" s="24" t="s">
        <v>40</v>
      </c>
      <c r="K5" s="26">
        <v>3.33</v>
      </c>
      <c r="L5" s="25" t="s">
        <v>22</v>
      </c>
      <c r="M5" s="19" t="s">
        <v>41</v>
      </c>
      <c r="N5" s="20"/>
    </row>
    <row r="6" spans="1:19" ht="40.5" customHeight="1">
      <c r="A6" s="24" t="s">
        <v>42</v>
      </c>
      <c r="B6" s="25" t="s">
        <v>43</v>
      </c>
      <c r="C6" s="25" t="s">
        <v>43</v>
      </c>
      <c r="D6" s="15" t="s">
        <v>16</v>
      </c>
      <c r="E6" s="16" t="s">
        <v>44</v>
      </c>
      <c r="F6" s="16" t="s">
        <v>17</v>
      </c>
      <c r="G6" s="17" t="s">
        <v>18</v>
      </c>
      <c r="H6" s="17" t="s">
        <v>33</v>
      </c>
      <c r="I6" s="25" t="s">
        <v>45</v>
      </c>
      <c r="J6" s="24" t="s">
        <v>40</v>
      </c>
      <c r="K6" s="26">
        <v>3.33</v>
      </c>
      <c r="L6" s="25" t="s">
        <v>22</v>
      </c>
      <c r="M6" s="19" t="s">
        <v>46</v>
      </c>
      <c r="N6" s="20"/>
    </row>
    <row r="7" spans="1:19" ht="40.5" customHeight="1">
      <c r="A7" s="24" t="s">
        <v>47</v>
      </c>
      <c r="B7" s="25" t="s">
        <v>48</v>
      </c>
      <c r="C7" s="25" t="s">
        <v>48</v>
      </c>
      <c r="D7" s="15" t="s">
        <v>16</v>
      </c>
      <c r="E7" s="16" t="s">
        <v>49</v>
      </c>
      <c r="F7" s="16" t="s">
        <v>17</v>
      </c>
      <c r="G7" s="17" t="s">
        <v>18</v>
      </c>
      <c r="H7" s="17" t="s">
        <v>33</v>
      </c>
      <c r="I7" s="25" t="s">
        <v>50</v>
      </c>
      <c r="J7" s="24" t="s">
        <v>40</v>
      </c>
      <c r="K7" s="26">
        <v>3.33</v>
      </c>
      <c r="L7" s="25" t="s">
        <v>22</v>
      </c>
      <c r="M7" s="19" t="s">
        <v>51</v>
      </c>
      <c r="N7" s="20" t="s">
        <v>52</v>
      </c>
    </row>
    <row r="8" spans="1:19" ht="391.5" customHeight="1">
      <c r="A8" s="14" t="s">
        <v>53</v>
      </c>
      <c r="B8" s="15" t="s">
        <v>27</v>
      </c>
      <c r="C8" s="15" t="s">
        <v>54</v>
      </c>
      <c r="D8" s="15" t="s">
        <v>16</v>
      </c>
      <c r="E8" s="16" t="s">
        <v>55</v>
      </c>
      <c r="F8" s="16" t="s">
        <v>17</v>
      </c>
      <c r="G8" s="17" t="s">
        <v>18</v>
      </c>
      <c r="H8" s="17" t="s">
        <v>33</v>
      </c>
      <c r="I8" s="15" t="s">
        <v>56</v>
      </c>
      <c r="J8" s="14" t="s">
        <v>21</v>
      </c>
      <c r="K8" s="18">
        <v>10</v>
      </c>
      <c r="L8" s="15" t="s">
        <v>22</v>
      </c>
      <c r="M8" s="27" t="s">
        <v>57</v>
      </c>
      <c r="N8" s="20"/>
    </row>
    <row r="9" spans="1:19" ht="40.5" customHeight="1">
      <c r="A9" s="28" t="s">
        <v>58</v>
      </c>
      <c r="B9" s="28" t="s">
        <v>16</v>
      </c>
      <c r="C9" s="15" t="s">
        <v>54</v>
      </c>
      <c r="D9" s="15" t="s">
        <v>16</v>
      </c>
      <c r="E9" s="16" t="s">
        <v>59</v>
      </c>
      <c r="F9" s="16" t="s">
        <v>17</v>
      </c>
      <c r="G9" s="17" t="s">
        <v>18</v>
      </c>
      <c r="H9" s="17" t="s">
        <v>33</v>
      </c>
      <c r="I9" s="29" t="s">
        <v>60</v>
      </c>
      <c r="J9" s="30" t="s">
        <v>21</v>
      </c>
      <c r="K9" s="23">
        <v>10</v>
      </c>
      <c r="L9" s="22" t="s">
        <v>22</v>
      </c>
      <c r="M9" s="27" t="s">
        <v>61</v>
      </c>
      <c r="N9" s="31"/>
      <c r="O9" s="32"/>
      <c r="P9" s="33"/>
      <c r="R9" s="34"/>
      <c r="S9" s="35"/>
    </row>
    <row r="10" spans="1:19" ht="40.5" customHeight="1">
      <c r="A10" s="28" t="s">
        <v>62</v>
      </c>
      <c r="B10" s="28" t="s">
        <v>16</v>
      </c>
      <c r="C10" s="15" t="s">
        <v>54</v>
      </c>
      <c r="D10" s="15" t="s">
        <v>16</v>
      </c>
      <c r="E10" s="16" t="s">
        <v>63</v>
      </c>
      <c r="F10" s="16" t="s">
        <v>17</v>
      </c>
      <c r="G10" s="17" t="s">
        <v>18</v>
      </c>
      <c r="H10" s="17" t="s">
        <v>33</v>
      </c>
      <c r="I10" s="25" t="s">
        <v>64</v>
      </c>
      <c r="J10" s="28" t="s">
        <v>40</v>
      </c>
      <c r="K10" s="28">
        <v>3.33</v>
      </c>
      <c r="L10" s="15" t="s">
        <v>22</v>
      </c>
      <c r="M10" s="27" t="s">
        <v>65</v>
      </c>
      <c r="N10" s="31"/>
      <c r="P10" s="33"/>
      <c r="R10" s="34"/>
      <c r="S10" s="35"/>
    </row>
    <row r="11" spans="1:19" ht="54" customHeight="1">
      <c r="A11" s="28" t="s">
        <v>66</v>
      </c>
      <c r="B11" s="28" t="s">
        <v>16</v>
      </c>
      <c r="C11" s="15" t="s">
        <v>54</v>
      </c>
      <c r="D11" s="15" t="s">
        <v>16</v>
      </c>
      <c r="E11" s="16" t="s">
        <v>67</v>
      </c>
      <c r="F11" s="16" t="s">
        <v>17</v>
      </c>
      <c r="G11" s="17" t="s">
        <v>18</v>
      </c>
      <c r="H11" s="17" t="s">
        <v>33</v>
      </c>
      <c r="I11" s="25" t="s">
        <v>68</v>
      </c>
      <c r="J11" s="28" t="s">
        <v>40</v>
      </c>
      <c r="K11" s="28">
        <v>3.33</v>
      </c>
      <c r="L11" s="15" t="s">
        <v>22</v>
      </c>
      <c r="M11" s="27" t="s">
        <v>69</v>
      </c>
      <c r="N11" s="31"/>
      <c r="P11" s="33"/>
      <c r="R11" s="34"/>
      <c r="S11" s="35"/>
    </row>
    <row r="12" spans="1:19" ht="40.5" customHeight="1">
      <c r="A12" s="28" t="s">
        <v>70</v>
      </c>
      <c r="B12" s="28" t="s">
        <v>16</v>
      </c>
      <c r="C12" s="15" t="s">
        <v>54</v>
      </c>
      <c r="D12" s="15" t="s">
        <v>16</v>
      </c>
      <c r="E12" s="16" t="s">
        <v>71</v>
      </c>
      <c r="F12" s="16" t="s">
        <v>17</v>
      </c>
      <c r="G12" s="17" t="s">
        <v>18</v>
      </c>
      <c r="H12" s="17" t="s">
        <v>33</v>
      </c>
      <c r="I12" s="25" t="s">
        <v>72</v>
      </c>
      <c r="J12" s="28" t="s">
        <v>40</v>
      </c>
      <c r="K12" s="28">
        <v>3.33</v>
      </c>
      <c r="L12" s="15" t="s">
        <v>22</v>
      </c>
      <c r="M12" s="27" t="s">
        <v>73</v>
      </c>
      <c r="N12" s="31"/>
      <c r="P12" s="33"/>
      <c r="R12" s="34"/>
      <c r="S12" s="35"/>
    </row>
    <row r="13" spans="1:19" ht="121.5" customHeight="1">
      <c r="A13" s="14" t="s">
        <v>74</v>
      </c>
      <c r="B13" s="15" t="s">
        <v>59</v>
      </c>
      <c r="C13" s="15" t="s">
        <v>55</v>
      </c>
      <c r="D13" s="15" t="s">
        <v>16</v>
      </c>
      <c r="E13" s="16" t="s">
        <v>27</v>
      </c>
      <c r="F13" s="16" t="s">
        <v>17</v>
      </c>
      <c r="G13" s="17" t="s">
        <v>18</v>
      </c>
      <c r="H13" s="17" t="s">
        <v>75</v>
      </c>
      <c r="I13" s="15" t="s">
        <v>76</v>
      </c>
      <c r="J13" s="14" t="s">
        <v>21</v>
      </c>
      <c r="K13" s="18">
        <v>10</v>
      </c>
      <c r="L13" s="15" t="s">
        <v>22</v>
      </c>
      <c r="M13" s="19" t="s">
        <v>77</v>
      </c>
      <c r="N13" s="20"/>
    </row>
    <row r="14" spans="1:19" ht="40.5" customHeight="1">
      <c r="A14" s="14" t="s">
        <v>78</v>
      </c>
      <c r="B14" s="15" t="s">
        <v>79</v>
      </c>
      <c r="C14" s="15" t="s">
        <v>26</v>
      </c>
      <c r="D14" s="15" t="s">
        <v>16</v>
      </c>
      <c r="E14" s="16" t="s">
        <v>80</v>
      </c>
      <c r="F14" s="16" t="s">
        <v>17</v>
      </c>
      <c r="G14" s="17" t="s">
        <v>18</v>
      </c>
      <c r="H14" s="17" t="s">
        <v>81</v>
      </c>
      <c r="I14" s="15" t="s">
        <v>82</v>
      </c>
      <c r="J14" s="14" t="s">
        <v>21</v>
      </c>
      <c r="K14" s="18">
        <v>10</v>
      </c>
      <c r="L14" s="15" t="s">
        <v>83</v>
      </c>
      <c r="M14" s="19" t="s">
        <v>84</v>
      </c>
      <c r="N14" s="20"/>
    </row>
    <row r="15" spans="1:19" ht="67.5" customHeight="1">
      <c r="A15" s="24" t="s">
        <v>85</v>
      </c>
      <c r="B15" s="25" t="s">
        <v>86</v>
      </c>
      <c r="C15" s="25" t="s">
        <v>87</v>
      </c>
      <c r="D15" s="15" t="s">
        <v>16</v>
      </c>
      <c r="E15" s="16" t="s">
        <v>88</v>
      </c>
      <c r="F15" s="16" t="s">
        <v>17</v>
      </c>
      <c r="G15" s="17" t="s">
        <v>18</v>
      </c>
      <c r="H15" s="17" t="s">
        <v>81</v>
      </c>
      <c r="I15" s="25" t="s">
        <v>89</v>
      </c>
      <c r="J15" s="24" t="s">
        <v>40</v>
      </c>
      <c r="K15" s="26">
        <v>5</v>
      </c>
      <c r="L15" s="15" t="s">
        <v>90</v>
      </c>
      <c r="M15" s="19" t="s">
        <v>91</v>
      </c>
      <c r="N15" s="20"/>
    </row>
    <row r="16" spans="1:19" ht="94.5" customHeight="1">
      <c r="A16" s="24" t="s">
        <v>92</v>
      </c>
      <c r="B16" s="25" t="s">
        <v>93</v>
      </c>
      <c r="C16" s="25" t="s">
        <v>94</v>
      </c>
      <c r="D16" s="15" t="s">
        <v>16</v>
      </c>
      <c r="E16" s="16" t="s">
        <v>95</v>
      </c>
      <c r="F16" s="16" t="s">
        <v>17</v>
      </c>
      <c r="G16" s="17" t="s">
        <v>18</v>
      </c>
      <c r="H16" s="17" t="s">
        <v>81</v>
      </c>
      <c r="I16" s="25" t="s">
        <v>96</v>
      </c>
      <c r="J16" s="24" t="s">
        <v>40</v>
      </c>
      <c r="K16" s="26">
        <v>5</v>
      </c>
      <c r="L16" s="15" t="s">
        <v>97</v>
      </c>
      <c r="M16" s="19" t="s">
        <v>98</v>
      </c>
      <c r="N16" s="20"/>
    </row>
    <row r="17" spans="1:14" ht="81" customHeight="1">
      <c r="A17" s="24" t="s">
        <v>99</v>
      </c>
      <c r="B17" s="31" t="s">
        <v>54</v>
      </c>
      <c r="C17" s="31" t="s">
        <v>54</v>
      </c>
      <c r="D17" s="15" t="s">
        <v>16</v>
      </c>
      <c r="E17" s="36" t="s">
        <v>100</v>
      </c>
      <c r="F17" s="36" t="s">
        <v>17</v>
      </c>
      <c r="G17" s="17" t="s">
        <v>18</v>
      </c>
      <c r="H17" s="17" t="s">
        <v>81</v>
      </c>
      <c r="I17" s="15" t="s">
        <v>101</v>
      </c>
      <c r="J17" s="14" t="s">
        <v>21</v>
      </c>
      <c r="K17" s="26">
        <v>10</v>
      </c>
      <c r="L17" s="15" t="s">
        <v>102</v>
      </c>
      <c r="M17" s="19" t="s">
        <v>103</v>
      </c>
      <c r="N17" s="20"/>
    </row>
    <row r="18" spans="1:14" ht="81" customHeight="1">
      <c r="A18" s="14" t="s">
        <v>104</v>
      </c>
      <c r="B18" s="15" t="s">
        <v>55</v>
      </c>
      <c r="C18" s="15" t="s">
        <v>32</v>
      </c>
      <c r="D18" s="15" t="s">
        <v>16</v>
      </c>
      <c r="E18" s="16" t="s">
        <v>26</v>
      </c>
      <c r="F18" s="16" t="s">
        <v>17</v>
      </c>
      <c r="G18" s="17" t="s">
        <v>105</v>
      </c>
      <c r="H18" s="17" t="s">
        <v>106</v>
      </c>
      <c r="I18" s="15" t="s">
        <v>107</v>
      </c>
      <c r="J18" s="14" t="s">
        <v>21</v>
      </c>
      <c r="K18" s="18">
        <v>10</v>
      </c>
      <c r="L18" s="15" t="s">
        <v>22</v>
      </c>
      <c r="M18" s="19" t="s">
        <v>108</v>
      </c>
      <c r="N18" s="20"/>
    </row>
    <row r="19" spans="1:14" ht="94.5" customHeight="1">
      <c r="A19" s="37" t="s">
        <v>109</v>
      </c>
      <c r="B19" s="15" t="s">
        <v>110</v>
      </c>
      <c r="C19" s="15" t="s">
        <v>111</v>
      </c>
      <c r="D19" s="15" t="s">
        <v>16</v>
      </c>
      <c r="E19" s="16" t="s">
        <v>112</v>
      </c>
      <c r="F19" s="16" t="s">
        <v>17</v>
      </c>
      <c r="G19" s="17" t="s">
        <v>105</v>
      </c>
      <c r="H19" s="17" t="s">
        <v>113</v>
      </c>
      <c r="I19" s="15" t="s">
        <v>114</v>
      </c>
      <c r="J19" s="37" t="s">
        <v>21</v>
      </c>
      <c r="K19" s="38">
        <v>10</v>
      </c>
      <c r="L19" s="15" t="s">
        <v>22</v>
      </c>
      <c r="M19" s="19" t="s">
        <v>115</v>
      </c>
      <c r="N19" s="25"/>
    </row>
    <row r="20" spans="1:14" ht="54" customHeight="1">
      <c r="A20" s="37" t="s">
        <v>116</v>
      </c>
      <c r="B20" s="15" t="s">
        <v>117</v>
      </c>
      <c r="C20" s="15" t="s">
        <v>118</v>
      </c>
      <c r="D20" s="15" t="s">
        <v>16</v>
      </c>
      <c r="E20" s="16" t="s">
        <v>119</v>
      </c>
      <c r="F20" s="16" t="s">
        <v>17</v>
      </c>
      <c r="G20" s="17" t="s">
        <v>105</v>
      </c>
      <c r="H20" s="17" t="s">
        <v>113</v>
      </c>
      <c r="I20" s="15" t="s">
        <v>120</v>
      </c>
      <c r="J20" s="37" t="s">
        <v>21</v>
      </c>
      <c r="K20" s="38">
        <v>10</v>
      </c>
      <c r="L20" s="15" t="s">
        <v>83</v>
      </c>
      <c r="M20" s="19" t="s">
        <v>84</v>
      </c>
      <c r="N20" s="20"/>
    </row>
    <row r="21" spans="1:14" ht="94.5" customHeight="1">
      <c r="A21" s="37" t="s">
        <v>121</v>
      </c>
      <c r="B21" s="15" t="s">
        <v>122</v>
      </c>
      <c r="C21" s="15" t="s">
        <v>54</v>
      </c>
      <c r="D21" s="15" t="s">
        <v>16</v>
      </c>
      <c r="E21" s="16" t="s">
        <v>123</v>
      </c>
      <c r="F21" s="16" t="s">
        <v>17</v>
      </c>
      <c r="G21" s="17" t="s">
        <v>105</v>
      </c>
      <c r="H21" s="17" t="s">
        <v>113</v>
      </c>
      <c r="I21" s="15" t="s">
        <v>124</v>
      </c>
      <c r="J21" s="37" t="s">
        <v>40</v>
      </c>
      <c r="K21" s="38">
        <v>5</v>
      </c>
      <c r="L21" s="15" t="s">
        <v>90</v>
      </c>
      <c r="M21" s="19" t="s">
        <v>125</v>
      </c>
      <c r="N21" s="20"/>
    </row>
    <row r="22" spans="1:14" ht="45" customHeight="1">
      <c r="A22" s="37" t="s">
        <v>126</v>
      </c>
      <c r="B22" s="15" t="s">
        <v>127</v>
      </c>
      <c r="C22" s="15" t="s">
        <v>54</v>
      </c>
      <c r="D22" s="15" t="s">
        <v>16</v>
      </c>
      <c r="E22" s="16" t="s">
        <v>128</v>
      </c>
      <c r="F22" s="16" t="s">
        <v>17</v>
      </c>
      <c r="G22" s="17" t="s">
        <v>105</v>
      </c>
      <c r="H22" s="17" t="s">
        <v>113</v>
      </c>
      <c r="I22" s="15" t="s">
        <v>129</v>
      </c>
      <c r="J22" s="37" t="s">
        <v>40</v>
      </c>
      <c r="K22" s="38">
        <v>5</v>
      </c>
      <c r="L22" s="15" t="s">
        <v>97</v>
      </c>
      <c r="M22" s="19" t="s">
        <v>130</v>
      </c>
      <c r="N22" s="20"/>
    </row>
    <row r="23" spans="1:14" ht="162" customHeight="1">
      <c r="A23" s="39" t="s">
        <v>131</v>
      </c>
      <c r="B23" s="36" t="s">
        <v>54</v>
      </c>
      <c r="C23" s="15" t="s">
        <v>54</v>
      </c>
      <c r="D23" s="15" t="s">
        <v>16</v>
      </c>
      <c r="E23" s="16" t="s">
        <v>132</v>
      </c>
      <c r="F23" s="16" t="s">
        <v>17</v>
      </c>
      <c r="G23" s="17" t="s">
        <v>105</v>
      </c>
      <c r="H23" s="17" t="s">
        <v>133</v>
      </c>
      <c r="I23" s="40" t="s">
        <v>134</v>
      </c>
      <c r="J23" s="37" t="s">
        <v>21</v>
      </c>
      <c r="K23" s="38">
        <v>10</v>
      </c>
      <c r="L23" s="15" t="s">
        <v>22</v>
      </c>
      <c r="M23" s="41" t="s">
        <v>135</v>
      </c>
      <c r="N23" s="20"/>
    </row>
    <row r="24" spans="1:14" ht="40.5" customHeight="1">
      <c r="A24" s="14" t="s">
        <v>136</v>
      </c>
      <c r="B24" s="15" t="s">
        <v>54</v>
      </c>
      <c r="C24" s="15" t="s">
        <v>119</v>
      </c>
      <c r="D24" s="15" t="s">
        <v>16</v>
      </c>
      <c r="E24" s="16" t="s">
        <v>137</v>
      </c>
      <c r="F24" s="16" t="s">
        <v>17</v>
      </c>
      <c r="G24" s="17" t="s">
        <v>138</v>
      </c>
      <c r="H24" s="17" t="s">
        <v>139</v>
      </c>
      <c r="I24" s="15" t="s">
        <v>140</v>
      </c>
      <c r="J24" s="14" t="s">
        <v>21</v>
      </c>
      <c r="K24" s="18">
        <v>10</v>
      </c>
      <c r="L24" s="15" t="s">
        <v>141</v>
      </c>
      <c r="M24" s="19" t="s">
        <v>142</v>
      </c>
      <c r="N24" s="20"/>
    </row>
    <row r="25" spans="1:14" ht="112.5" customHeight="1">
      <c r="A25" s="37" t="s">
        <v>143</v>
      </c>
      <c r="B25" s="15" t="s">
        <v>54</v>
      </c>
      <c r="C25" s="15" t="s">
        <v>54</v>
      </c>
      <c r="D25" s="15" t="s">
        <v>16</v>
      </c>
      <c r="E25" s="16" t="s">
        <v>144</v>
      </c>
      <c r="F25" s="16" t="s">
        <v>17</v>
      </c>
      <c r="G25" s="17" t="s">
        <v>138</v>
      </c>
      <c r="H25" s="17" t="s">
        <v>139</v>
      </c>
      <c r="I25" s="15" t="s">
        <v>145</v>
      </c>
      <c r="J25" s="14" t="s">
        <v>40</v>
      </c>
      <c r="K25" s="18">
        <v>1.67</v>
      </c>
      <c r="L25" s="15" t="s">
        <v>90</v>
      </c>
      <c r="M25" s="19" t="s">
        <v>146</v>
      </c>
      <c r="N25" s="20"/>
    </row>
    <row r="26" spans="1:14" ht="54" customHeight="1">
      <c r="A26" s="37" t="s">
        <v>147</v>
      </c>
      <c r="B26" s="15" t="s">
        <v>54</v>
      </c>
      <c r="C26" s="15" t="s">
        <v>54</v>
      </c>
      <c r="D26" s="15" t="s">
        <v>16</v>
      </c>
      <c r="E26" s="16" t="s">
        <v>148</v>
      </c>
      <c r="F26" s="16" t="s">
        <v>17</v>
      </c>
      <c r="G26" s="17" t="s">
        <v>138</v>
      </c>
      <c r="H26" s="17" t="s">
        <v>139</v>
      </c>
      <c r="I26" s="15" t="s">
        <v>149</v>
      </c>
      <c r="J26" s="14" t="s">
        <v>40</v>
      </c>
      <c r="K26" s="18">
        <v>1.67</v>
      </c>
      <c r="L26" s="15" t="s">
        <v>90</v>
      </c>
      <c r="M26" s="19" t="s">
        <v>150</v>
      </c>
      <c r="N26" s="20"/>
    </row>
    <row r="27" spans="1:14" ht="63.75" customHeight="1">
      <c r="A27" s="37" t="s">
        <v>151</v>
      </c>
      <c r="B27" s="15" t="s">
        <v>54</v>
      </c>
      <c r="C27" s="15" t="s">
        <v>54</v>
      </c>
      <c r="D27" s="15" t="s">
        <v>16</v>
      </c>
      <c r="E27" s="16" t="s">
        <v>152</v>
      </c>
      <c r="F27" s="16" t="s">
        <v>17</v>
      </c>
      <c r="G27" s="17" t="s">
        <v>138</v>
      </c>
      <c r="H27" s="17" t="s">
        <v>139</v>
      </c>
      <c r="I27" s="15" t="s">
        <v>153</v>
      </c>
      <c r="J27" s="14" t="s">
        <v>40</v>
      </c>
      <c r="K27" s="18">
        <v>1.67</v>
      </c>
      <c r="L27" s="15" t="s">
        <v>90</v>
      </c>
      <c r="M27" s="19" t="s">
        <v>154</v>
      </c>
      <c r="N27" s="20"/>
    </row>
    <row r="28" spans="1:14" ht="54" customHeight="1">
      <c r="A28" s="37" t="s">
        <v>155</v>
      </c>
      <c r="B28" s="15" t="s">
        <v>54</v>
      </c>
      <c r="C28" s="15" t="s">
        <v>54</v>
      </c>
      <c r="D28" s="15" t="s">
        <v>16</v>
      </c>
      <c r="E28" s="16" t="s">
        <v>156</v>
      </c>
      <c r="F28" s="16" t="s">
        <v>17</v>
      </c>
      <c r="G28" s="17" t="s">
        <v>138</v>
      </c>
      <c r="H28" s="17" t="s">
        <v>139</v>
      </c>
      <c r="I28" s="15" t="s">
        <v>157</v>
      </c>
      <c r="J28" s="14" t="s">
        <v>40</v>
      </c>
      <c r="K28" s="18">
        <v>1.67</v>
      </c>
      <c r="L28" s="15" t="s">
        <v>90</v>
      </c>
      <c r="M28" s="19" t="s">
        <v>158</v>
      </c>
      <c r="N28" s="20"/>
    </row>
    <row r="29" spans="1:14" ht="54" customHeight="1">
      <c r="A29" s="37" t="s">
        <v>159</v>
      </c>
      <c r="B29" s="15" t="s">
        <v>54</v>
      </c>
      <c r="C29" s="15" t="s">
        <v>54</v>
      </c>
      <c r="D29" s="15" t="s">
        <v>16</v>
      </c>
      <c r="E29" s="16" t="s">
        <v>160</v>
      </c>
      <c r="F29" s="16" t="s">
        <v>17</v>
      </c>
      <c r="G29" s="17" t="s">
        <v>138</v>
      </c>
      <c r="H29" s="17" t="s">
        <v>139</v>
      </c>
      <c r="I29" s="15" t="s">
        <v>161</v>
      </c>
      <c r="J29" s="14" t="s">
        <v>40</v>
      </c>
      <c r="K29" s="18">
        <v>1.67</v>
      </c>
      <c r="L29" s="15" t="s">
        <v>90</v>
      </c>
      <c r="M29" s="19" t="s">
        <v>162</v>
      </c>
      <c r="N29" s="20"/>
    </row>
    <row r="30" spans="1:14" ht="121.5" customHeight="1">
      <c r="A30" s="37" t="s">
        <v>163</v>
      </c>
      <c r="B30" s="15" t="s">
        <v>54</v>
      </c>
      <c r="C30" s="15" t="s">
        <v>54</v>
      </c>
      <c r="D30" s="15" t="s">
        <v>16</v>
      </c>
      <c r="E30" s="16" t="s">
        <v>164</v>
      </c>
      <c r="F30" s="16" t="s">
        <v>17</v>
      </c>
      <c r="G30" s="17" t="s">
        <v>138</v>
      </c>
      <c r="H30" s="17" t="s">
        <v>139</v>
      </c>
      <c r="I30" s="15" t="s">
        <v>165</v>
      </c>
      <c r="J30" s="14" t="s">
        <v>40</v>
      </c>
      <c r="K30" s="18">
        <v>1.67</v>
      </c>
      <c r="L30" s="15" t="s">
        <v>90</v>
      </c>
      <c r="M30" s="19" t="s">
        <v>166</v>
      </c>
      <c r="N30" s="20"/>
    </row>
    <row r="31" spans="1:14" ht="40.5" customHeight="1">
      <c r="A31" s="21" t="s">
        <v>167</v>
      </c>
      <c r="B31" s="22" t="s">
        <v>32</v>
      </c>
      <c r="C31" s="22" t="s">
        <v>54</v>
      </c>
      <c r="D31" s="15" t="s">
        <v>16</v>
      </c>
      <c r="E31" s="16" t="s">
        <v>168</v>
      </c>
      <c r="F31" s="16" t="s">
        <v>97</v>
      </c>
      <c r="G31" s="17" t="s">
        <v>169</v>
      </c>
      <c r="H31" s="17" t="s">
        <v>170</v>
      </c>
      <c r="I31" s="22" t="s">
        <v>171</v>
      </c>
      <c r="J31" s="21" t="s">
        <v>21</v>
      </c>
      <c r="K31" s="23">
        <v>10</v>
      </c>
      <c r="L31" s="22" t="s">
        <v>97</v>
      </c>
      <c r="M31" s="19" t="s">
        <v>172</v>
      </c>
      <c r="N31" s="20"/>
    </row>
    <row r="32" spans="1:14" ht="54" customHeight="1">
      <c r="A32" s="24" t="s">
        <v>173</v>
      </c>
      <c r="B32" s="25" t="s">
        <v>38</v>
      </c>
      <c r="C32" s="22" t="s">
        <v>54</v>
      </c>
      <c r="D32" s="15" t="s">
        <v>16</v>
      </c>
      <c r="E32" s="16" t="s">
        <v>174</v>
      </c>
      <c r="F32" s="16" t="s">
        <v>97</v>
      </c>
      <c r="G32" s="17" t="s">
        <v>169</v>
      </c>
      <c r="H32" s="17" t="s">
        <v>170</v>
      </c>
      <c r="I32" s="25" t="s">
        <v>175</v>
      </c>
      <c r="J32" s="24" t="s">
        <v>40</v>
      </c>
      <c r="K32" s="26">
        <v>3.33</v>
      </c>
      <c r="L32" s="25" t="s">
        <v>97</v>
      </c>
      <c r="M32" s="19" t="s">
        <v>176</v>
      </c>
      <c r="N32" s="20" t="s">
        <v>177</v>
      </c>
    </row>
    <row r="33" spans="1:14" ht="40.5" customHeight="1">
      <c r="A33" s="24" t="s">
        <v>178</v>
      </c>
      <c r="B33" s="25" t="s">
        <v>44</v>
      </c>
      <c r="C33" s="22" t="s">
        <v>54</v>
      </c>
      <c r="D33" s="15" t="s">
        <v>16</v>
      </c>
      <c r="E33" s="16" t="s">
        <v>179</v>
      </c>
      <c r="F33" s="16" t="s">
        <v>97</v>
      </c>
      <c r="G33" s="17" t="s">
        <v>169</v>
      </c>
      <c r="H33" s="17" t="s">
        <v>170</v>
      </c>
      <c r="I33" s="25" t="s">
        <v>180</v>
      </c>
      <c r="J33" s="24" t="s">
        <v>40</v>
      </c>
      <c r="K33" s="26">
        <v>3.33</v>
      </c>
      <c r="L33" s="25" t="s">
        <v>97</v>
      </c>
      <c r="M33" s="19" t="s">
        <v>181</v>
      </c>
      <c r="N33" s="20" t="s">
        <v>177</v>
      </c>
    </row>
    <row r="34" spans="1:14" ht="40.5" customHeight="1">
      <c r="A34" s="24" t="s">
        <v>182</v>
      </c>
      <c r="B34" s="25" t="s">
        <v>49</v>
      </c>
      <c r="C34" s="22" t="s">
        <v>54</v>
      </c>
      <c r="D34" s="15" t="s">
        <v>16</v>
      </c>
      <c r="E34" s="16" t="s">
        <v>183</v>
      </c>
      <c r="F34" s="16" t="s">
        <v>97</v>
      </c>
      <c r="G34" s="17" t="s">
        <v>169</v>
      </c>
      <c r="H34" s="17" t="s">
        <v>170</v>
      </c>
      <c r="I34" s="25" t="s">
        <v>184</v>
      </c>
      <c r="J34" s="24" t="s">
        <v>40</v>
      </c>
      <c r="K34" s="26">
        <v>3.33</v>
      </c>
      <c r="L34" s="25" t="s">
        <v>97</v>
      </c>
      <c r="M34" s="19" t="s">
        <v>185</v>
      </c>
      <c r="N34" s="20"/>
    </row>
    <row r="35" spans="1:14" ht="135" customHeight="1">
      <c r="A35" s="39" t="s">
        <v>186</v>
      </c>
      <c r="B35" s="36" t="s">
        <v>54</v>
      </c>
      <c r="C35" s="36" t="s">
        <v>54</v>
      </c>
      <c r="D35" s="15" t="s">
        <v>16</v>
      </c>
      <c r="E35" s="16" t="s">
        <v>187</v>
      </c>
      <c r="F35" s="16" t="s">
        <v>97</v>
      </c>
      <c r="G35" s="17" t="s">
        <v>169</v>
      </c>
      <c r="H35" s="17" t="s">
        <v>188</v>
      </c>
      <c r="I35" s="15" t="s">
        <v>189</v>
      </c>
      <c r="J35" s="37" t="s">
        <v>21</v>
      </c>
      <c r="K35" s="38">
        <v>10</v>
      </c>
      <c r="L35" s="15" t="s">
        <v>97</v>
      </c>
      <c r="M35" s="41" t="s">
        <v>190</v>
      </c>
      <c r="N35" s="20"/>
    </row>
    <row r="36" spans="1:14" ht="40.5" customHeight="1">
      <c r="A36" s="21" t="s">
        <v>191</v>
      </c>
      <c r="B36" s="22" t="s">
        <v>80</v>
      </c>
      <c r="C36" s="22" t="s">
        <v>54</v>
      </c>
      <c r="D36" s="15" t="s">
        <v>16</v>
      </c>
      <c r="E36" s="16" t="s">
        <v>79</v>
      </c>
      <c r="F36" s="16" t="s">
        <v>97</v>
      </c>
      <c r="G36" s="17" t="s">
        <v>169</v>
      </c>
      <c r="H36" s="17" t="s">
        <v>192</v>
      </c>
      <c r="I36" s="22" t="s">
        <v>193</v>
      </c>
      <c r="J36" s="21" t="s">
        <v>21</v>
      </c>
      <c r="K36" s="23">
        <v>10</v>
      </c>
      <c r="L36" s="22" t="s">
        <v>97</v>
      </c>
      <c r="M36" s="41" t="s">
        <v>194</v>
      </c>
      <c r="N36" s="20"/>
    </row>
    <row r="37" spans="1:14" ht="54" customHeight="1">
      <c r="A37" s="24" t="s">
        <v>195</v>
      </c>
      <c r="B37" s="25" t="s">
        <v>88</v>
      </c>
      <c r="C37" s="22" t="s">
        <v>54</v>
      </c>
      <c r="D37" s="15" t="s">
        <v>16</v>
      </c>
      <c r="E37" s="16" t="s">
        <v>86</v>
      </c>
      <c r="F37" s="16" t="s">
        <v>97</v>
      </c>
      <c r="G37" s="17" t="s">
        <v>169</v>
      </c>
      <c r="H37" s="17" t="s">
        <v>192</v>
      </c>
      <c r="I37" s="25" t="s">
        <v>196</v>
      </c>
      <c r="J37" s="24" t="s">
        <v>40</v>
      </c>
      <c r="K37" s="26">
        <v>5</v>
      </c>
      <c r="L37" s="15" t="s">
        <v>97</v>
      </c>
      <c r="M37" s="41" t="s">
        <v>197</v>
      </c>
      <c r="N37" s="20"/>
    </row>
    <row r="38" spans="1:14" ht="67.5" customHeight="1">
      <c r="A38" s="24" t="s">
        <v>198</v>
      </c>
      <c r="B38" s="25" t="s">
        <v>95</v>
      </c>
      <c r="C38" s="22" t="s">
        <v>54</v>
      </c>
      <c r="D38" s="15" t="s">
        <v>16</v>
      </c>
      <c r="E38" s="16" t="s">
        <v>93</v>
      </c>
      <c r="F38" s="16" t="s">
        <v>97</v>
      </c>
      <c r="G38" s="17" t="s">
        <v>169</v>
      </c>
      <c r="H38" s="17" t="s">
        <v>192</v>
      </c>
      <c r="I38" s="25" t="s">
        <v>199</v>
      </c>
      <c r="J38" s="24" t="s">
        <v>40</v>
      </c>
      <c r="K38" s="26">
        <v>5</v>
      </c>
      <c r="L38" s="15" t="s">
        <v>97</v>
      </c>
      <c r="M38" s="19" t="s">
        <v>200</v>
      </c>
      <c r="N38" s="20"/>
    </row>
    <row r="39" spans="1:14" ht="67.5" customHeight="1">
      <c r="A39" s="14" t="s">
        <v>201</v>
      </c>
      <c r="B39" s="15" t="s">
        <v>132</v>
      </c>
      <c r="C39" s="15" t="s">
        <v>54</v>
      </c>
      <c r="D39" s="15" t="s">
        <v>16</v>
      </c>
      <c r="E39" s="16" t="s">
        <v>202</v>
      </c>
      <c r="F39" s="16" t="s">
        <v>97</v>
      </c>
      <c r="G39" s="17" t="s">
        <v>169</v>
      </c>
      <c r="H39" s="17" t="s">
        <v>203</v>
      </c>
      <c r="I39" s="15" t="s">
        <v>204</v>
      </c>
      <c r="J39" s="14" t="s">
        <v>21</v>
      </c>
      <c r="K39" s="18">
        <v>10</v>
      </c>
      <c r="L39" s="15" t="s">
        <v>97</v>
      </c>
      <c r="M39" s="19" t="s">
        <v>205</v>
      </c>
      <c r="N39" s="20"/>
    </row>
    <row r="40" spans="1:14" ht="351" customHeight="1">
      <c r="A40" s="37" t="s">
        <v>206</v>
      </c>
      <c r="B40" s="15" t="s">
        <v>207</v>
      </c>
      <c r="C40" s="15" t="s">
        <v>54</v>
      </c>
      <c r="D40" s="15" t="s">
        <v>16</v>
      </c>
      <c r="E40" s="16" t="s">
        <v>111</v>
      </c>
      <c r="F40" s="17" t="s">
        <v>97</v>
      </c>
      <c r="G40" s="17" t="s">
        <v>169</v>
      </c>
      <c r="H40" s="17" t="s">
        <v>208</v>
      </c>
      <c r="I40" s="15" t="s">
        <v>209</v>
      </c>
      <c r="J40" s="37" t="s">
        <v>21</v>
      </c>
      <c r="K40" s="38">
        <v>10</v>
      </c>
      <c r="L40" s="15" t="s">
        <v>97</v>
      </c>
      <c r="M40" s="19" t="s">
        <v>210</v>
      </c>
      <c r="N40" s="20"/>
    </row>
    <row r="41" spans="1:14" ht="40.5" customHeight="1">
      <c r="A41" s="37" t="s">
        <v>211</v>
      </c>
      <c r="B41" s="15" t="s">
        <v>212</v>
      </c>
      <c r="C41" s="15" t="s">
        <v>54</v>
      </c>
      <c r="D41" s="15" t="s">
        <v>16</v>
      </c>
      <c r="E41" s="16" t="s">
        <v>118</v>
      </c>
      <c r="F41" s="17" t="s">
        <v>97</v>
      </c>
      <c r="G41" s="17" t="s">
        <v>169</v>
      </c>
      <c r="H41" s="17" t="s">
        <v>208</v>
      </c>
      <c r="I41" s="15" t="s">
        <v>213</v>
      </c>
      <c r="J41" s="37" t="s">
        <v>21</v>
      </c>
      <c r="K41" s="38">
        <v>10</v>
      </c>
      <c r="L41" s="15" t="s">
        <v>97</v>
      </c>
      <c r="M41" s="19" t="s">
        <v>214</v>
      </c>
      <c r="N41" s="20"/>
    </row>
    <row r="42" spans="1:14" ht="337.5" customHeight="1">
      <c r="A42" s="37" t="s">
        <v>215</v>
      </c>
      <c r="B42" s="15" t="s">
        <v>54</v>
      </c>
      <c r="C42" s="15" t="s">
        <v>54</v>
      </c>
      <c r="D42" s="15" t="s">
        <v>16</v>
      </c>
      <c r="E42" s="16" t="s">
        <v>216</v>
      </c>
      <c r="F42" s="17" t="s">
        <v>97</v>
      </c>
      <c r="G42" s="17" t="s">
        <v>169</v>
      </c>
      <c r="H42" s="17" t="s">
        <v>208</v>
      </c>
      <c r="I42" s="15" t="s">
        <v>217</v>
      </c>
      <c r="J42" s="37" t="s">
        <v>40</v>
      </c>
      <c r="K42" s="38">
        <v>5</v>
      </c>
      <c r="L42" s="15" t="s">
        <v>97</v>
      </c>
      <c r="M42" s="19" t="s">
        <v>218</v>
      </c>
      <c r="N42" s="20"/>
    </row>
    <row r="43" spans="1:14" ht="270" customHeight="1">
      <c r="A43" s="37" t="s">
        <v>219</v>
      </c>
      <c r="B43" s="15" t="s">
        <v>54</v>
      </c>
      <c r="C43" s="15" t="s">
        <v>54</v>
      </c>
      <c r="D43" s="15" t="s">
        <v>16</v>
      </c>
      <c r="E43" s="16" t="s">
        <v>220</v>
      </c>
      <c r="F43" s="17" t="s">
        <v>97</v>
      </c>
      <c r="G43" s="17" t="s">
        <v>169</v>
      </c>
      <c r="H43" s="17" t="s">
        <v>208</v>
      </c>
      <c r="I43" s="15" t="s">
        <v>221</v>
      </c>
      <c r="J43" s="37" t="s">
        <v>40</v>
      </c>
      <c r="K43" s="38">
        <v>5</v>
      </c>
      <c r="L43" s="15" t="s">
        <v>97</v>
      </c>
      <c r="M43" s="19" t="s">
        <v>222</v>
      </c>
      <c r="N43" s="20"/>
    </row>
    <row r="44" spans="1:14" ht="40.5" customHeight="1">
      <c r="A44" s="37" t="s">
        <v>223</v>
      </c>
      <c r="B44" s="15" t="s">
        <v>224</v>
      </c>
      <c r="C44" s="15" t="s">
        <v>225</v>
      </c>
      <c r="D44" s="15" t="s">
        <v>16</v>
      </c>
      <c r="E44" s="16" t="s">
        <v>226</v>
      </c>
      <c r="F44" s="17" t="s">
        <v>97</v>
      </c>
      <c r="G44" s="17" t="s">
        <v>169</v>
      </c>
      <c r="H44" s="17" t="s">
        <v>208</v>
      </c>
      <c r="I44" s="15" t="s">
        <v>227</v>
      </c>
      <c r="J44" s="37" t="s">
        <v>21</v>
      </c>
      <c r="K44" s="38">
        <v>10</v>
      </c>
      <c r="L44" s="15" t="s">
        <v>97</v>
      </c>
      <c r="M44" s="19" t="s">
        <v>228</v>
      </c>
      <c r="N44" s="20"/>
    </row>
    <row r="45" spans="1:14" ht="202.5" customHeight="1">
      <c r="A45" s="37" t="s">
        <v>229</v>
      </c>
      <c r="B45" s="15" t="s">
        <v>54</v>
      </c>
      <c r="C45" s="15" t="s">
        <v>54</v>
      </c>
      <c r="D45" s="15" t="s">
        <v>16</v>
      </c>
      <c r="E45" s="16" t="s">
        <v>230</v>
      </c>
      <c r="F45" s="17" t="s">
        <v>97</v>
      </c>
      <c r="G45" s="17" t="s">
        <v>169</v>
      </c>
      <c r="H45" s="17" t="s">
        <v>208</v>
      </c>
      <c r="I45" s="15" t="s">
        <v>231</v>
      </c>
      <c r="J45" s="37" t="s">
        <v>40</v>
      </c>
      <c r="K45" s="38">
        <v>3.33</v>
      </c>
      <c r="L45" s="15" t="s">
        <v>97</v>
      </c>
      <c r="M45" s="19" t="s">
        <v>232</v>
      </c>
      <c r="N45" s="20"/>
    </row>
    <row r="46" spans="1:14" ht="229.5" customHeight="1">
      <c r="A46" s="37" t="s">
        <v>233</v>
      </c>
      <c r="B46" s="15" t="s">
        <v>54</v>
      </c>
      <c r="C46" s="15" t="s">
        <v>54</v>
      </c>
      <c r="D46" s="15" t="s">
        <v>16</v>
      </c>
      <c r="E46" s="16" t="s">
        <v>234</v>
      </c>
      <c r="F46" s="17" t="s">
        <v>97</v>
      </c>
      <c r="G46" s="17" t="s">
        <v>169</v>
      </c>
      <c r="H46" s="17" t="s">
        <v>208</v>
      </c>
      <c r="I46" s="15" t="s">
        <v>235</v>
      </c>
      <c r="J46" s="37" t="s">
        <v>40</v>
      </c>
      <c r="K46" s="38">
        <v>3.33</v>
      </c>
      <c r="L46" s="15" t="s">
        <v>97</v>
      </c>
      <c r="M46" s="19" t="s">
        <v>236</v>
      </c>
      <c r="N46" s="20"/>
    </row>
    <row r="47" spans="1:14" ht="229.5" customHeight="1">
      <c r="A47" s="37" t="s">
        <v>237</v>
      </c>
      <c r="B47" s="15" t="s">
        <v>54</v>
      </c>
      <c r="C47" s="15" t="s">
        <v>54</v>
      </c>
      <c r="D47" s="15" t="s">
        <v>16</v>
      </c>
      <c r="E47" s="16" t="s">
        <v>238</v>
      </c>
      <c r="F47" s="17" t="s">
        <v>97</v>
      </c>
      <c r="G47" s="17" t="s">
        <v>169</v>
      </c>
      <c r="H47" s="17" t="s">
        <v>208</v>
      </c>
      <c r="I47" s="15" t="s">
        <v>239</v>
      </c>
      <c r="J47" s="37" t="s">
        <v>40</v>
      </c>
      <c r="K47" s="38">
        <v>3.33</v>
      </c>
      <c r="L47" s="15" t="s">
        <v>97</v>
      </c>
      <c r="M47" s="19" t="s">
        <v>240</v>
      </c>
      <c r="N47" s="20"/>
    </row>
    <row r="48" spans="1:14" ht="305.25" customHeight="1">
      <c r="A48" s="37" t="s">
        <v>241</v>
      </c>
      <c r="B48" s="15" t="s">
        <v>242</v>
      </c>
      <c r="C48" s="15" t="s">
        <v>54</v>
      </c>
      <c r="D48" s="15" t="s">
        <v>16</v>
      </c>
      <c r="E48" s="16" t="s">
        <v>243</v>
      </c>
      <c r="F48" s="17" t="s">
        <v>97</v>
      </c>
      <c r="G48" s="17" t="s">
        <v>169</v>
      </c>
      <c r="H48" s="17" t="s">
        <v>208</v>
      </c>
      <c r="I48" s="15" t="s">
        <v>244</v>
      </c>
      <c r="J48" s="37" t="s">
        <v>21</v>
      </c>
      <c r="K48" s="38">
        <v>10</v>
      </c>
      <c r="L48" s="15" t="s">
        <v>97</v>
      </c>
      <c r="M48" s="19" t="s">
        <v>245</v>
      </c>
      <c r="N48" s="20"/>
    </row>
    <row r="49" spans="1:14" ht="81" customHeight="1">
      <c r="A49" s="14" t="s">
        <v>246</v>
      </c>
      <c r="B49" s="15" t="s">
        <v>137</v>
      </c>
      <c r="C49" s="15" t="s">
        <v>54</v>
      </c>
      <c r="D49" s="15" t="s">
        <v>16</v>
      </c>
      <c r="E49" s="16" t="s">
        <v>247</v>
      </c>
      <c r="F49" s="17" t="s">
        <v>97</v>
      </c>
      <c r="G49" s="17" t="s">
        <v>169</v>
      </c>
      <c r="H49" s="17" t="s">
        <v>248</v>
      </c>
      <c r="I49" s="15" t="s">
        <v>249</v>
      </c>
      <c r="J49" s="14" t="s">
        <v>21</v>
      </c>
      <c r="K49" s="18">
        <v>10</v>
      </c>
      <c r="L49" s="15" t="s">
        <v>97</v>
      </c>
      <c r="M49" s="19" t="s">
        <v>250</v>
      </c>
      <c r="N49" s="20"/>
    </row>
    <row r="50" spans="1:14" ht="54" customHeight="1">
      <c r="A50" s="14" t="s">
        <v>251</v>
      </c>
      <c r="B50" s="15" t="s">
        <v>54</v>
      </c>
      <c r="C50" s="15" t="s">
        <v>54</v>
      </c>
      <c r="D50" s="15" t="s">
        <v>16</v>
      </c>
      <c r="E50" s="16" t="s">
        <v>252</v>
      </c>
      <c r="F50" s="17" t="s">
        <v>97</v>
      </c>
      <c r="G50" s="17" t="s">
        <v>253</v>
      </c>
      <c r="H50" s="17" t="s">
        <v>254</v>
      </c>
      <c r="I50" s="22" t="s">
        <v>255</v>
      </c>
      <c r="J50" s="14" t="s">
        <v>21</v>
      </c>
      <c r="K50" s="18">
        <v>10</v>
      </c>
      <c r="L50" s="15" t="s">
        <v>97</v>
      </c>
      <c r="M50" s="42" t="s">
        <v>256</v>
      </c>
      <c r="N50" s="20"/>
    </row>
    <row r="51" spans="1:14" ht="102" customHeight="1">
      <c r="A51" s="14" t="s">
        <v>257</v>
      </c>
      <c r="B51" s="15" t="s">
        <v>54</v>
      </c>
      <c r="C51" s="15" t="s">
        <v>54</v>
      </c>
      <c r="D51" s="15" t="s">
        <v>16</v>
      </c>
      <c r="E51" s="16" t="s">
        <v>258</v>
      </c>
      <c r="F51" s="17" t="s">
        <v>97</v>
      </c>
      <c r="G51" s="17" t="s">
        <v>253</v>
      </c>
      <c r="H51" s="17" t="s">
        <v>254</v>
      </c>
      <c r="I51" s="25" t="s">
        <v>259</v>
      </c>
      <c r="J51" s="24" t="s">
        <v>40</v>
      </c>
      <c r="K51" s="26">
        <v>3.33</v>
      </c>
      <c r="L51" s="22" t="s">
        <v>97</v>
      </c>
      <c r="M51" s="19" t="s">
        <v>260</v>
      </c>
      <c r="N51" s="20"/>
    </row>
    <row r="52" spans="1:14" ht="67.5" customHeight="1">
      <c r="A52" s="14" t="s">
        <v>261</v>
      </c>
      <c r="B52" s="15" t="s">
        <v>54</v>
      </c>
      <c r="C52" s="15" t="s">
        <v>54</v>
      </c>
      <c r="D52" s="15" t="s">
        <v>16</v>
      </c>
      <c r="E52" s="16" t="s">
        <v>262</v>
      </c>
      <c r="F52" s="17" t="s">
        <v>97</v>
      </c>
      <c r="G52" s="17" t="s">
        <v>253</v>
      </c>
      <c r="H52" s="17" t="s">
        <v>254</v>
      </c>
      <c r="I52" s="25" t="s">
        <v>263</v>
      </c>
      <c r="J52" s="24" t="s">
        <v>264</v>
      </c>
      <c r="K52" s="26">
        <v>1.1100000000000001</v>
      </c>
      <c r="L52" s="22" t="s">
        <v>97</v>
      </c>
      <c r="M52" s="19" t="s">
        <v>265</v>
      </c>
      <c r="N52" s="20"/>
    </row>
    <row r="53" spans="1:14" ht="67.5" customHeight="1">
      <c r="A53" s="14" t="s">
        <v>266</v>
      </c>
      <c r="B53" s="15" t="s">
        <v>54</v>
      </c>
      <c r="C53" s="15" t="s">
        <v>54</v>
      </c>
      <c r="D53" s="15" t="s">
        <v>16</v>
      </c>
      <c r="E53" s="16" t="s">
        <v>267</v>
      </c>
      <c r="F53" s="17" t="s">
        <v>97</v>
      </c>
      <c r="G53" s="17" t="s">
        <v>253</v>
      </c>
      <c r="H53" s="17" t="s">
        <v>254</v>
      </c>
      <c r="I53" s="25" t="s">
        <v>268</v>
      </c>
      <c r="J53" s="24" t="s">
        <v>269</v>
      </c>
      <c r="K53" s="26">
        <v>1.1100000000000001</v>
      </c>
      <c r="L53" s="22" t="s">
        <v>97</v>
      </c>
      <c r="M53" s="19" t="s">
        <v>265</v>
      </c>
      <c r="N53" s="20"/>
    </row>
    <row r="54" spans="1:14" ht="67.5" customHeight="1">
      <c r="A54" s="14" t="s">
        <v>270</v>
      </c>
      <c r="B54" s="15" t="s">
        <v>54</v>
      </c>
      <c r="C54" s="15" t="s">
        <v>54</v>
      </c>
      <c r="D54" s="15" t="s">
        <v>16</v>
      </c>
      <c r="E54" s="16" t="s">
        <v>271</v>
      </c>
      <c r="F54" s="17" t="s">
        <v>97</v>
      </c>
      <c r="G54" s="17" t="s">
        <v>253</v>
      </c>
      <c r="H54" s="17" t="s">
        <v>254</v>
      </c>
      <c r="I54" s="25" t="s">
        <v>272</v>
      </c>
      <c r="J54" s="24" t="s">
        <v>273</v>
      </c>
      <c r="K54" s="26">
        <v>1.1100000000000001</v>
      </c>
      <c r="L54" s="22" t="s">
        <v>97</v>
      </c>
      <c r="M54" s="19" t="s">
        <v>265</v>
      </c>
      <c r="N54" s="20"/>
    </row>
    <row r="55" spans="1:14" ht="135" customHeight="1">
      <c r="A55" s="14" t="s">
        <v>274</v>
      </c>
      <c r="B55" s="15" t="s">
        <v>54</v>
      </c>
      <c r="C55" s="15" t="s">
        <v>54</v>
      </c>
      <c r="D55" s="15" t="s">
        <v>16</v>
      </c>
      <c r="E55" s="16" t="s">
        <v>275</v>
      </c>
      <c r="F55" s="17" t="s">
        <v>97</v>
      </c>
      <c r="G55" s="17" t="s">
        <v>253</v>
      </c>
      <c r="H55" s="17" t="s">
        <v>254</v>
      </c>
      <c r="I55" s="25" t="s">
        <v>276</v>
      </c>
      <c r="J55" s="24" t="s">
        <v>40</v>
      </c>
      <c r="K55" s="26">
        <v>3.33</v>
      </c>
      <c r="L55" s="22" t="s">
        <v>97</v>
      </c>
      <c r="M55" s="19" t="s">
        <v>277</v>
      </c>
      <c r="N55" s="20"/>
    </row>
    <row r="56" spans="1:14" ht="67.5" customHeight="1">
      <c r="A56" s="14" t="s">
        <v>278</v>
      </c>
      <c r="B56" s="15" t="s">
        <v>54</v>
      </c>
      <c r="C56" s="15" t="s">
        <v>54</v>
      </c>
      <c r="D56" s="15" t="s">
        <v>16</v>
      </c>
      <c r="E56" s="16" t="s">
        <v>279</v>
      </c>
      <c r="F56" s="17" t="s">
        <v>97</v>
      </c>
      <c r="G56" s="17" t="s">
        <v>253</v>
      </c>
      <c r="H56" s="17" t="s">
        <v>254</v>
      </c>
      <c r="I56" s="25" t="s">
        <v>263</v>
      </c>
      <c r="J56" s="24" t="s">
        <v>264</v>
      </c>
      <c r="K56" s="26">
        <v>1.1100000000000001</v>
      </c>
      <c r="L56" s="22" t="s">
        <v>97</v>
      </c>
      <c r="M56" s="19" t="s">
        <v>265</v>
      </c>
      <c r="N56" s="20"/>
    </row>
    <row r="57" spans="1:14" ht="67.5" customHeight="1">
      <c r="A57" s="14" t="s">
        <v>280</v>
      </c>
      <c r="B57" s="15" t="s">
        <v>54</v>
      </c>
      <c r="C57" s="15" t="s">
        <v>54</v>
      </c>
      <c r="D57" s="15" t="s">
        <v>16</v>
      </c>
      <c r="E57" s="16" t="s">
        <v>281</v>
      </c>
      <c r="F57" s="17" t="s">
        <v>97</v>
      </c>
      <c r="G57" s="17" t="s">
        <v>253</v>
      </c>
      <c r="H57" s="17" t="s">
        <v>254</v>
      </c>
      <c r="I57" s="25" t="s">
        <v>268</v>
      </c>
      <c r="J57" s="24" t="s">
        <v>269</v>
      </c>
      <c r="K57" s="26">
        <v>1.1100000000000001</v>
      </c>
      <c r="L57" s="22" t="s">
        <v>97</v>
      </c>
      <c r="M57" s="19" t="s">
        <v>265</v>
      </c>
      <c r="N57" s="20"/>
    </row>
    <row r="58" spans="1:14" ht="67.5" customHeight="1">
      <c r="A58" s="14" t="s">
        <v>282</v>
      </c>
      <c r="B58" s="15" t="s">
        <v>54</v>
      </c>
      <c r="C58" s="15" t="s">
        <v>54</v>
      </c>
      <c r="D58" s="15" t="s">
        <v>16</v>
      </c>
      <c r="E58" s="16" t="s">
        <v>283</v>
      </c>
      <c r="F58" s="17" t="s">
        <v>97</v>
      </c>
      <c r="G58" s="17" t="s">
        <v>253</v>
      </c>
      <c r="H58" s="17" t="s">
        <v>254</v>
      </c>
      <c r="I58" s="25" t="s">
        <v>272</v>
      </c>
      <c r="J58" s="24" t="s">
        <v>273</v>
      </c>
      <c r="K58" s="26">
        <v>1.1100000000000001</v>
      </c>
      <c r="L58" s="22" t="s">
        <v>97</v>
      </c>
      <c r="M58" s="19" t="s">
        <v>265</v>
      </c>
      <c r="N58" s="20"/>
    </row>
    <row r="59" spans="1:14" ht="81" customHeight="1">
      <c r="A59" s="14" t="s">
        <v>284</v>
      </c>
      <c r="B59" s="15" t="s">
        <v>54</v>
      </c>
      <c r="C59" s="15" t="s">
        <v>54</v>
      </c>
      <c r="D59" s="15" t="s">
        <v>16</v>
      </c>
      <c r="E59" s="16" t="s">
        <v>285</v>
      </c>
      <c r="F59" s="17" t="s">
        <v>97</v>
      </c>
      <c r="G59" s="17" t="s">
        <v>253</v>
      </c>
      <c r="H59" s="17" t="s">
        <v>254</v>
      </c>
      <c r="I59" s="25" t="s">
        <v>286</v>
      </c>
      <c r="J59" s="24" t="s">
        <v>40</v>
      </c>
      <c r="K59" s="26">
        <v>3.33</v>
      </c>
      <c r="L59" s="22" t="s">
        <v>97</v>
      </c>
      <c r="M59" s="19" t="s">
        <v>287</v>
      </c>
      <c r="N59" s="20"/>
    </row>
    <row r="60" spans="1:14" ht="67.5" customHeight="1">
      <c r="A60" s="14" t="s">
        <v>288</v>
      </c>
      <c r="B60" s="15" t="s">
        <v>54</v>
      </c>
      <c r="C60" s="15" t="s">
        <v>54</v>
      </c>
      <c r="D60" s="15" t="s">
        <v>16</v>
      </c>
      <c r="E60" s="16" t="s">
        <v>289</v>
      </c>
      <c r="F60" s="17" t="s">
        <v>97</v>
      </c>
      <c r="G60" s="17" t="s">
        <v>253</v>
      </c>
      <c r="H60" s="17" t="s">
        <v>254</v>
      </c>
      <c r="I60" s="25" t="s">
        <v>263</v>
      </c>
      <c r="J60" s="24" t="s">
        <v>264</v>
      </c>
      <c r="K60" s="26">
        <v>1.1100000000000001</v>
      </c>
      <c r="L60" s="22" t="s">
        <v>97</v>
      </c>
      <c r="M60" s="19" t="s">
        <v>265</v>
      </c>
      <c r="N60" s="20"/>
    </row>
    <row r="61" spans="1:14" ht="67.5" customHeight="1">
      <c r="A61" s="14" t="s">
        <v>290</v>
      </c>
      <c r="B61" s="15" t="s">
        <v>54</v>
      </c>
      <c r="C61" s="15" t="s">
        <v>54</v>
      </c>
      <c r="D61" s="15" t="s">
        <v>16</v>
      </c>
      <c r="E61" s="16" t="s">
        <v>291</v>
      </c>
      <c r="F61" s="17" t="s">
        <v>97</v>
      </c>
      <c r="G61" s="17" t="s">
        <v>253</v>
      </c>
      <c r="H61" s="17" t="s">
        <v>254</v>
      </c>
      <c r="I61" s="25" t="s">
        <v>268</v>
      </c>
      <c r="J61" s="24" t="s">
        <v>269</v>
      </c>
      <c r="K61" s="26">
        <v>1.1100000000000001</v>
      </c>
      <c r="L61" s="22" t="s">
        <v>97</v>
      </c>
      <c r="M61" s="19" t="s">
        <v>265</v>
      </c>
      <c r="N61" s="20"/>
    </row>
    <row r="62" spans="1:14" ht="67.5" customHeight="1">
      <c r="A62" s="14" t="s">
        <v>292</v>
      </c>
      <c r="B62" s="15" t="s">
        <v>54</v>
      </c>
      <c r="C62" s="15" t="s">
        <v>54</v>
      </c>
      <c r="D62" s="15" t="s">
        <v>16</v>
      </c>
      <c r="E62" s="16" t="s">
        <v>293</v>
      </c>
      <c r="F62" s="17" t="s">
        <v>97</v>
      </c>
      <c r="G62" s="17" t="s">
        <v>253</v>
      </c>
      <c r="H62" s="17" t="s">
        <v>254</v>
      </c>
      <c r="I62" s="25" t="s">
        <v>272</v>
      </c>
      <c r="J62" s="24" t="s">
        <v>273</v>
      </c>
      <c r="K62" s="26">
        <v>1.1100000000000001</v>
      </c>
      <c r="L62" s="22" t="s">
        <v>97</v>
      </c>
      <c r="M62" s="19" t="s">
        <v>265</v>
      </c>
      <c r="N62" s="20"/>
    </row>
    <row r="63" spans="1:14" ht="40.5" customHeight="1">
      <c r="A63" s="14" t="s">
        <v>294</v>
      </c>
      <c r="B63" s="15" t="s">
        <v>118</v>
      </c>
      <c r="C63" s="15" t="s">
        <v>54</v>
      </c>
      <c r="D63" s="15" t="s">
        <v>16</v>
      </c>
      <c r="E63" s="16" t="s">
        <v>295</v>
      </c>
      <c r="F63" s="17" t="s">
        <v>97</v>
      </c>
      <c r="G63" s="17" t="s">
        <v>253</v>
      </c>
      <c r="H63" s="17" t="s">
        <v>296</v>
      </c>
      <c r="I63" s="22" t="s">
        <v>297</v>
      </c>
      <c r="J63" s="14" t="s">
        <v>21</v>
      </c>
      <c r="K63" s="18">
        <v>10</v>
      </c>
      <c r="L63" s="22" t="s">
        <v>97</v>
      </c>
      <c r="M63" s="19" t="s">
        <v>54</v>
      </c>
      <c r="N63" s="20"/>
    </row>
    <row r="64" spans="1:14" ht="108" customHeight="1">
      <c r="A64" s="24" t="s">
        <v>298</v>
      </c>
      <c r="B64" s="25" t="s">
        <v>216</v>
      </c>
      <c r="C64" s="25" t="s">
        <v>54</v>
      </c>
      <c r="D64" s="15" t="s">
        <v>16</v>
      </c>
      <c r="E64" s="16" t="s">
        <v>299</v>
      </c>
      <c r="F64" s="17" t="s">
        <v>97</v>
      </c>
      <c r="G64" s="17" t="s">
        <v>253</v>
      </c>
      <c r="H64" s="17" t="s">
        <v>296</v>
      </c>
      <c r="I64" s="25" t="s">
        <v>300</v>
      </c>
      <c r="J64" s="24" t="s">
        <v>40</v>
      </c>
      <c r="K64" s="18">
        <v>3.33</v>
      </c>
      <c r="L64" s="15" t="s">
        <v>97</v>
      </c>
      <c r="M64" s="19" t="s">
        <v>301</v>
      </c>
      <c r="N64" s="20" t="s">
        <v>302</v>
      </c>
    </row>
    <row r="65" spans="1:14" ht="135" customHeight="1">
      <c r="A65" s="24" t="s">
        <v>303</v>
      </c>
      <c r="B65" s="25" t="s">
        <v>220</v>
      </c>
      <c r="C65" s="25" t="s">
        <v>54</v>
      </c>
      <c r="D65" s="15" t="s">
        <v>16</v>
      </c>
      <c r="E65" s="16" t="s">
        <v>304</v>
      </c>
      <c r="F65" s="17" t="s">
        <v>97</v>
      </c>
      <c r="G65" s="17" t="s">
        <v>253</v>
      </c>
      <c r="H65" s="17" t="s">
        <v>296</v>
      </c>
      <c r="I65" s="25" t="s">
        <v>305</v>
      </c>
      <c r="J65" s="24" t="s">
        <v>40</v>
      </c>
      <c r="K65" s="18">
        <v>3.33</v>
      </c>
      <c r="L65" s="15" t="s">
        <v>97</v>
      </c>
      <c r="M65" s="19" t="s">
        <v>306</v>
      </c>
      <c r="N65" s="20"/>
    </row>
    <row r="66" spans="1:14" ht="40.5" customHeight="1">
      <c r="A66" s="24" t="s">
        <v>307</v>
      </c>
      <c r="B66" s="25" t="s">
        <v>54</v>
      </c>
      <c r="C66" s="25" t="s">
        <v>54</v>
      </c>
      <c r="D66" s="15" t="s">
        <v>16</v>
      </c>
      <c r="E66" s="16" t="s">
        <v>308</v>
      </c>
      <c r="F66" s="17" t="s">
        <v>97</v>
      </c>
      <c r="G66" s="17" t="s">
        <v>253</v>
      </c>
      <c r="H66" s="17" t="s">
        <v>296</v>
      </c>
      <c r="I66" s="25" t="s">
        <v>286</v>
      </c>
      <c r="J66" s="24" t="s">
        <v>40</v>
      </c>
      <c r="K66" s="18">
        <v>3.33</v>
      </c>
      <c r="L66" s="22" t="s">
        <v>97</v>
      </c>
      <c r="M66" s="19" t="s">
        <v>309</v>
      </c>
      <c r="N66" s="20"/>
    </row>
    <row r="67" spans="1:14" ht="40.5" customHeight="1">
      <c r="A67" s="14" t="s">
        <v>310</v>
      </c>
      <c r="B67" s="15" t="s">
        <v>226</v>
      </c>
      <c r="C67" s="15" t="s">
        <v>54</v>
      </c>
      <c r="D67" s="15" t="s">
        <v>16</v>
      </c>
      <c r="E67" s="16" t="s">
        <v>311</v>
      </c>
      <c r="F67" s="17" t="s">
        <v>97</v>
      </c>
      <c r="G67" s="17" t="s">
        <v>253</v>
      </c>
      <c r="H67" s="17" t="s">
        <v>312</v>
      </c>
      <c r="I67" s="22" t="s">
        <v>313</v>
      </c>
      <c r="J67" s="14" t="s">
        <v>21</v>
      </c>
      <c r="K67" s="18">
        <v>10</v>
      </c>
      <c r="L67" s="15" t="s">
        <v>97</v>
      </c>
      <c r="M67" s="19" t="s">
        <v>54</v>
      </c>
      <c r="N67" s="20"/>
    </row>
    <row r="68" spans="1:14" ht="216" customHeight="1">
      <c r="A68" s="14" t="s">
        <v>314</v>
      </c>
      <c r="B68" s="15" t="s">
        <v>54</v>
      </c>
      <c r="C68" s="15" t="s">
        <v>54</v>
      </c>
      <c r="D68" s="15" t="s">
        <v>16</v>
      </c>
      <c r="E68" s="16" t="s">
        <v>315</v>
      </c>
      <c r="F68" s="17" t="s">
        <v>97</v>
      </c>
      <c r="G68" s="17" t="s">
        <v>253</v>
      </c>
      <c r="H68" s="17" t="s">
        <v>312</v>
      </c>
      <c r="I68" s="25" t="s">
        <v>316</v>
      </c>
      <c r="J68" s="24" t="s">
        <v>40</v>
      </c>
      <c r="K68" s="18">
        <v>3.33</v>
      </c>
      <c r="L68" s="22" t="s">
        <v>97</v>
      </c>
      <c r="M68" s="19" t="s">
        <v>317</v>
      </c>
      <c r="N68" s="20"/>
    </row>
    <row r="69" spans="1:14" ht="148.5" customHeight="1">
      <c r="A69" s="14" t="s">
        <v>318</v>
      </c>
      <c r="B69" s="15" t="s">
        <v>54</v>
      </c>
      <c r="C69" s="15" t="s">
        <v>54</v>
      </c>
      <c r="D69" s="15" t="s">
        <v>16</v>
      </c>
      <c r="E69" s="16" t="s">
        <v>319</v>
      </c>
      <c r="F69" s="17" t="s">
        <v>97</v>
      </c>
      <c r="G69" s="17" t="s">
        <v>253</v>
      </c>
      <c r="H69" s="17" t="s">
        <v>312</v>
      </c>
      <c r="I69" s="25" t="s">
        <v>305</v>
      </c>
      <c r="J69" s="24" t="s">
        <v>40</v>
      </c>
      <c r="K69" s="18">
        <v>3.33</v>
      </c>
      <c r="L69" s="22" t="s">
        <v>97</v>
      </c>
      <c r="M69" s="19" t="s">
        <v>320</v>
      </c>
      <c r="N69" s="20"/>
    </row>
    <row r="70" spans="1:14" ht="162" customHeight="1">
      <c r="A70" s="14" t="s">
        <v>321</v>
      </c>
      <c r="B70" s="15" t="s">
        <v>54</v>
      </c>
      <c r="C70" s="15" t="s">
        <v>54</v>
      </c>
      <c r="D70" s="15" t="s">
        <v>16</v>
      </c>
      <c r="E70" s="16" t="s">
        <v>322</v>
      </c>
      <c r="F70" s="17" t="s">
        <v>97</v>
      </c>
      <c r="G70" s="17" t="s">
        <v>253</v>
      </c>
      <c r="H70" s="17" t="s">
        <v>312</v>
      </c>
      <c r="I70" s="25" t="s">
        <v>286</v>
      </c>
      <c r="J70" s="24" t="s">
        <v>40</v>
      </c>
      <c r="K70" s="18">
        <v>3.33</v>
      </c>
      <c r="L70" s="22" t="s">
        <v>97</v>
      </c>
      <c r="M70" s="19" t="s">
        <v>323</v>
      </c>
      <c r="N70" s="20"/>
    </row>
    <row r="71" spans="1:14" ht="40.5" customHeight="1">
      <c r="A71" s="14" t="s">
        <v>324</v>
      </c>
      <c r="B71" s="15" t="s">
        <v>54</v>
      </c>
      <c r="C71" s="15" t="s">
        <v>54</v>
      </c>
      <c r="D71" s="15" t="s">
        <v>16</v>
      </c>
      <c r="E71" s="16" t="s">
        <v>325</v>
      </c>
      <c r="F71" s="17" t="s">
        <v>97</v>
      </c>
      <c r="G71" s="17" t="s">
        <v>253</v>
      </c>
      <c r="H71" s="17" t="s">
        <v>326</v>
      </c>
      <c r="I71" s="22" t="s">
        <v>327</v>
      </c>
      <c r="J71" s="14" t="s">
        <v>21</v>
      </c>
      <c r="K71" s="18">
        <v>10</v>
      </c>
      <c r="L71" s="22" t="s">
        <v>97</v>
      </c>
      <c r="M71" s="19" t="s">
        <v>54</v>
      </c>
      <c r="N71" s="20"/>
    </row>
    <row r="72" spans="1:14" ht="202.5" customHeight="1">
      <c r="A72" s="14" t="s">
        <v>328</v>
      </c>
      <c r="B72" s="15" t="s">
        <v>54</v>
      </c>
      <c r="C72" s="15" t="s">
        <v>54</v>
      </c>
      <c r="D72" s="15" t="s">
        <v>16</v>
      </c>
      <c r="E72" s="16" t="s">
        <v>329</v>
      </c>
      <c r="F72" s="17" t="s">
        <v>97</v>
      </c>
      <c r="G72" s="17" t="s">
        <v>253</v>
      </c>
      <c r="H72" s="17" t="s">
        <v>326</v>
      </c>
      <c r="I72" s="25" t="s">
        <v>330</v>
      </c>
      <c r="J72" s="24" t="s">
        <v>40</v>
      </c>
      <c r="K72" s="18">
        <v>3.33</v>
      </c>
      <c r="L72" s="15" t="s">
        <v>97</v>
      </c>
      <c r="M72" s="19" t="s">
        <v>331</v>
      </c>
      <c r="N72" s="20"/>
    </row>
    <row r="73" spans="1:14" ht="162" customHeight="1">
      <c r="A73" s="14" t="s">
        <v>332</v>
      </c>
      <c r="B73" s="15" t="s">
        <v>54</v>
      </c>
      <c r="C73" s="15" t="s">
        <v>54</v>
      </c>
      <c r="D73" s="15" t="s">
        <v>16</v>
      </c>
      <c r="E73" s="16" t="s">
        <v>333</v>
      </c>
      <c r="F73" s="17" t="s">
        <v>97</v>
      </c>
      <c r="G73" s="17" t="s">
        <v>253</v>
      </c>
      <c r="H73" s="17" t="s">
        <v>326</v>
      </c>
      <c r="I73" s="25" t="s">
        <v>305</v>
      </c>
      <c r="J73" s="24" t="s">
        <v>40</v>
      </c>
      <c r="K73" s="18">
        <v>3.33</v>
      </c>
      <c r="L73" s="15" t="s">
        <v>97</v>
      </c>
      <c r="M73" s="19" t="s">
        <v>334</v>
      </c>
      <c r="N73" s="20"/>
    </row>
    <row r="74" spans="1:14" ht="148.5" customHeight="1">
      <c r="A74" s="14" t="s">
        <v>335</v>
      </c>
      <c r="B74" s="15" t="s">
        <v>54</v>
      </c>
      <c r="C74" s="15" t="s">
        <v>54</v>
      </c>
      <c r="D74" s="15" t="s">
        <v>16</v>
      </c>
      <c r="E74" s="16" t="s">
        <v>336</v>
      </c>
      <c r="F74" s="17" t="s">
        <v>97</v>
      </c>
      <c r="G74" s="17" t="s">
        <v>253</v>
      </c>
      <c r="H74" s="17" t="s">
        <v>326</v>
      </c>
      <c r="I74" s="25" t="s">
        <v>286</v>
      </c>
      <c r="J74" s="24" t="s">
        <v>40</v>
      </c>
      <c r="K74" s="18">
        <v>3.33</v>
      </c>
      <c r="L74" s="15" t="s">
        <v>97</v>
      </c>
      <c r="M74" s="19" t="s">
        <v>337</v>
      </c>
      <c r="N74" s="20"/>
    </row>
    <row r="75" spans="1:14" ht="40.5" customHeight="1">
      <c r="A75" s="14" t="s">
        <v>338</v>
      </c>
      <c r="B75" s="15" t="s">
        <v>54</v>
      </c>
      <c r="C75" s="15" t="s">
        <v>54</v>
      </c>
      <c r="D75" s="15" t="s">
        <v>16</v>
      </c>
      <c r="E75" s="16" t="s">
        <v>207</v>
      </c>
      <c r="F75" s="16" t="s">
        <v>97</v>
      </c>
      <c r="G75" s="17" t="s">
        <v>339</v>
      </c>
      <c r="H75" s="17" t="s">
        <v>339</v>
      </c>
      <c r="I75" s="43" t="s">
        <v>340</v>
      </c>
      <c r="J75" s="24" t="s">
        <v>21</v>
      </c>
      <c r="K75" s="18">
        <v>10</v>
      </c>
      <c r="L75" s="15" t="s">
        <v>97</v>
      </c>
      <c r="M75" s="19" t="s">
        <v>256</v>
      </c>
      <c r="N75" s="20"/>
    </row>
    <row r="76" spans="1:14" ht="175.5" customHeight="1">
      <c r="A76" s="14" t="s">
        <v>341</v>
      </c>
      <c r="B76" s="15" t="s">
        <v>54</v>
      </c>
      <c r="C76" s="15" t="s">
        <v>54</v>
      </c>
      <c r="D76" s="15" t="s">
        <v>16</v>
      </c>
      <c r="E76" s="16" t="s">
        <v>342</v>
      </c>
      <c r="F76" s="16" t="s">
        <v>97</v>
      </c>
      <c r="G76" s="17" t="s">
        <v>339</v>
      </c>
      <c r="H76" s="17" t="s">
        <v>339</v>
      </c>
      <c r="I76" s="16" t="s">
        <v>343</v>
      </c>
      <c r="J76" s="24" t="s">
        <v>40</v>
      </c>
      <c r="K76" s="18">
        <v>5</v>
      </c>
      <c r="L76" s="15" t="s">
        <v>97</v>
      </c>
      <c r="M76" s="19" t="s">
        <v>344</v>
      </c>
      <c r="N76" s="20" t="s">
        <v>345</v>
      </c>
    </row>
    <row r="77" spans="1:14" ht="121.5" customHeight="1">
      <c r="A77" s="14" t="s">
        <v>346</v>
      </c>
      <c r="B77" s="15" t="s">
        <v>54</v>
      </c>
      <c r="C77" s="15" t="s">
        <v>54</v>
      </c>
      <c r="D77" s="15" t="s">
        <v>16</v>
      </c>
      <c r="E77" s="16" t="s">
        <v>347</v>
      </c>
      <c r="F77" s="16" t="s">
        <v>97</v>
      </c>
      <c r="G77" s="17" t="s">
        <v>339</v>
      </c>
      <c r="H77" s="17" t="s">
        <v>339</v>
      </c>
      <c r="I77" s="25" t="s">
        <v>348</v>
      </c>
      <c r="J77" s="24" t="s">
        <v>40</v>
      </c>
      <c r="K77" s="18">
        <v>5</v>
      </c>
      <c r="L77" s="15" t="s">
        <v>97</v>
      </c>
      <c r="M77" s="19" t="s">
        <v>349</v>
      </c>
      <c r="N77" s="20" t="s">
        <v>350</v>
      </c>
    </row>
    <row r="78" spans="1:14" ht="40.5" customHeight="1">
      <c r="A78" s="37" t="s">
        <v>351</v>
      </c>
      <c r="B78" s="36" t="s">
        <v>54</v>
      </c>
      <c r="C78" s="36" t="s">
        <v>54</v>
      </c>
      <c r="D78" s="15" t="s">
        <v>16</v>
      </c>
      <c r="E78" s="16" t="s">
        <v>212</v>
      </c>
      <c r="F78" s="16" t="s">
        <v>97</v>
      </c>
      <c r="G78" s="17" t="s">
        <v>339</v>
      </c>
      <c r="H78" s="17" t="s">
        <v>339</v>
      </c>
      <c r="I78" s="22" t="s">
        <v>352</v>
      </c>
      <c r="J78" s="37" t="s">
        <v>21</v>
      </c>
      <c r="K78" s="38">
        <v>10</v>
      </c>
      <c r="L78" s="36" t="s">
        <v>97</v>
      </c>
      <c r="M78" s="19" t="s">
        <v>353</v>
      </c>
      <c r="N78" s="20"/>
    </row>
    <row r="79" spans="1:14" ht="148.5" customHeight="1">
      <c r="A79" s="37" t="s">
        <v>354</v>
      </c>
      <c r="B79" s="36" t="s">
        <v>54</v>
      </c>
      <c r="C79" s="36" t="s">
        <v>54</v>
      </c>
      <c r="D79" s="15" t="s">
        <v>16</v>
      </c>
      <c r="E79" s="16" t="s">
        <v>355</v>
      </c>
      <c r="F79" s="16" t="s">
        <v>97</v>
      </c>
      <c r="G79" s="17" t="s">
        <v>339</v>
      </c>
      <c r="H79" s="17" t="s">
        <v>356</v>
      </c>
      <c r="I79" s="44" t="s">
        <v>357</v>
      </c>
      <c r="J79" s="37" t="s">
        <v>40</v>
      </c>
      <c r="K79" s="38">
        <v>2.5</v>
      </c>
      <c r="L79" s="36" t="s">
        <v>97</v>
      </c>
      <c r="M79" s="19" t="s">
        <v>358</v>
      </c>
      <c r="N79" s="20"/>
    </row>
    <row r="80" spans="1:14" ht="135" customHeight="1">
      <c r="A80" s="37" t="s">
        <v>359</v>
      </c>
      <c r="B80" s="36" t="s">
        <v>54</v>
      </c>
      <c r="C80" s="36" t="s">
        <v>54</v>
      </c>
      <c r="D80" s="15" t="s">
        <v>16</v>
      </c>
      <c r="E80" s="16" t="s">
        <v>360</v>
      </c>
      <c r="F80" s="16" t="s">
        <v>97</v>
      </c>
      <c r="G80" s="17" t="s">
        <v>361</v>
      </c>
      <c r="H80" s="17" t="s">
        <v>362</v>
      </c>
      <c r="I80" s="25" t="s">
        <v>363</v>
      </c>
      <c r="J80" s="37" t="s">
        <v>40</v>
      </c>
      <c r="K80" s="38">
        <v>2.5</v>
      </c>
      <c r="L80" s="36" t="s">
        <v>97</v>
      </c>
      <c r="M80" s="19" t="s">
        <v>364</v>
      </c>
      <c r="N80" s="20"/>
    </row>
    <row r="81" spans="1:14" ht="135" customHeight="1">
      <c r="A81" s="37" t="s">
        <v>365</v>
      </c>
      <c r="B81" s="36" t="s">
        <v>54</v>
      </c>
      <c r="C81" s="36" t="s">
        <v>54</v>
      </c>
      <c r="D81" s="15" t="s">
        <v>16</v>
      </c>
      <c r="E81" s="16" t="s">
        <v>366</v>
      </c>
      <c r="F81" s="16" t="s">
        <v>97</v>
      </c>
      <c r="G81" s="17" t="s">
        <v>361</v>
      </c>
      <c r="H81" s="17" t="s">
        <v>367</v>
      </c>
      <c r="I81" s="44" t="s">
        <v>368</v>
      </c>
      <c r="J81" s="37" t="s">
        <v>40</v>
      </c>
      <c r="K81" s="38">
        <v>2.5</v>
      </c>
      <c r="L81" s="36" t="s">
        <v>97</v>
      </c>
      <c r="M81" s="19" t="s">
        <v>369</v>
      </c>
      <c r="N81" s="20"/>
    </row>
    <row r="82" spans="1:14" ht="135" customHeight="1">
      <c r="A82" s="37" t="s">
        <v>370</v>
      </c>
      <c r="B82" s="36" t="s">
        <v>54</v>
      </c>
      <c r="C82" s="36" t="s">
        <v>54</v>
      </c>
      <c r="D82" s="15" t="s">
        <v>16</v>
      </c>
      <c r="E82" s="16" t="s">
        <v>371</v>
      </c>
      <c r="F82" s="16" t="s">
        <v>97</v>
      </c>
      <c r="G82" s="17" t="s">
        <v>361</v>
      </c>
      <c r="H82" s="17" t="s">
        <v>372</v>
      </c>
      <c r="I82" s="44" t="s">
        <v>373</v>
      </c>
      <c r="J82" s="37" t="s">
        <v>40</v>
      </c>
      <c r="K82" s="38">
        <v>2.5</v>
      </c>
      <c r="L82" s="36" t="s">
        <v>97</v>
      </c>
      <c r="M82" s="19" t="s">
        <v>374</v>
      </c>
      <c r="N82" s="20"/>
    </row>
    <row r="83" spans="1:14" ht="54" customHeight="1">
      <c r="A83" s="14" t="s">
        <v>375</v>
      </c>
      <c r="B83" s="15" t="s">
        <v>252</v>
      </c>
      <c r="C83" s="15" t="s">
        <v>132</v>
      </c>
      <c r="D83" s="15" t="s">
        <v>16</v>
      </c>
      <c r="E83" s="16" t="s">
        <v>224</v>
      </c>
      <c r="F83" s="17" t="s">
        <v>97</v>
      </c>
      <c r="G83" s="17" t="s">
        <v>376</v>
      </c>
      <c r="H83" s="17" t="s">
        <v>377</v>
      </c>
      <c r="I83" s="22" t="s">
        <v>378</v>
      </c>
      <c r="J83" s="14" t="s">
        <v>21</v>
      </c>
      <c r="K83" s="18">
        <v>10</v>
      </c>
      <c r="L83" s="15" t="s">
        <v>22</v>
      </c>
      <c r="M83" s="19" t="s">
        <v>256</v>
      </c>
      <c r="N83" s="20"/>
    </row>
    <row r="84" spans="1:14" ht="283.5" customHeight="1">
      <c r="A84" s="14" t="s">
        <v>379</v>
      </c>
      <c r="B84" s="15" t="s">
        <v>54</v>
      </c>
      <c r="C84" s="15" t="s">
        <v>54</v>
      </c>
      <c r="D84" s="15" t="s">
        <v>16</v>
      </c>
      <c r="E84" s="16" t="s">
        <v>380</v>
      </c>
      <c r="F84" s="17" t="s">
        <v>97</v>
      </c>
      <c r="G84" s="17" t="s">
        <v>376</v>
      </c>
      <c r="H84" s="17" t="s">
        <v>377</v>
      </c>
      <c r="I84" s="25" t="s">
        <v>381</v>
      </c>
      <c r="J84" s="14" t="s">
        <v>40</v>
      </c>
      <c r="K84" s="18">
        <v>5</v>
      </c>
      <c r="L84" s="22" t="s">
        <v>22</v>
      </c>
      <c r="M84" s="19" t="s">
        <v>382</v>
      </c>
      <c r="N84" s="20"/>
    </row>
    <row r="85" spans="1:14" ht="391.5" customHeight="1">
      <c r="A85" s="14" t="s">
        <v>383</v>
      </c>
      <c r="B85" s="15" t="s">
        <v>54</v>
      </c>
      <c r="C85" s="15" t="s">
        <v>54</v>
      </c>
      <c r="D85" s="15" t="s">
        <v>16</v>
      </c>
      <c r="E85" s="16" t="s">
        <v>384</v>
      </c>
      <c r="F85" s="17" t="s">
        <v>97</v>
      </c>
      <c r="G85" s="17" t="s">
        <v>376</v>
      </c>
      <c r="H85" s="17" t="s">
        <v>377</v>
      </c>
      <c r="I85" s="25" t="s">
        <v>385</v>
      </c>
      <c r="J85" s="14" t="s">
        <v>40</v>
      </c>
      <c r="K85" s="18">
        <v>5</v>
      </c>
      <c r="L85" s="22" t="s">
        <v>97</v>
      </c>
      <c r="M85" s="19" t="s">
        <v>386</v>
      </c>
      <c r="N85" s="20"/>
    </row>
    <row r="86" spans="1:14" ht="40.5" customHeight="1">
      <c r="A86" s="14" t="s">
        <v>387</v>
      </c>
      <c r="B86" s="15" t="s">
        <v>54</v>
      </c>
      <c r="C86" s="15" t="s">
        <v>54</v>
      </c>
      <c r="D86" s="15" t="s">
        <v>16</v>
      </c>
      <c r="E86" s="16" t="s">
        <v>388</v>
      </c>
      <c r="F86" s="17" t="s">
        <v>97</v>
      </c>
      <c r="G86" s="17" t="s">
        <v>376</v>
      </c>
      <c r="H86" s="17" t="s">
        <v>389</v>
      </c>
      <c r="I86" s="15" t="s">
        <v>390</v>
      </c>
      <c r="J86" s="21" t="s">
        <v>21</v>
      </c>
      <c r="K86" s="23">
        <v>10</v>
      </c>
      <c r="L86" s="22" t="s">
        <v>97</v>
      </c>
      <c r="M86" s="19" t="s">
        <v>256</v>
      </c>
      <c r="N86" s="20"/>
    </row>
    <row r="87" spans="1:14" ht="148.5" customHeight="1">
      <c r="A87" s="14" t="s">
        <v>391</v>
      </c>
      <c r="B87" s="15" t="s">
        <v>54</v>
      </c>
      <c r="C87" s="15" t="s">
        <v>54</v>
      </c>
      <c r="D87" s="15" t="s">
        <v>16</v>
      </c>
      <c r="E87" s="16" t="s">
        <v>392</v>
      </c>
      <c r="F87" s="17" t="s">
        <v>97</v>
      </c>
      <c r="G87" s="17" t="s">
        <v>376</v>
      </c>
      <c r="H87" s="17" t="s">
        <v>389</v>
      </c>
      <c r="I87" s="15" t="s">
        <v>393</v>
      </c>
      <c r="J87" s="14" t="s">
        <v>40</v>
      </c>
      <c r="K87" s="18">
        <v>5</v>
      </c>
      <c r="L87" s="15" t="s">
        <v>22</v>
      </c>
      <c r="M87" s="19" t="s">
        <v>394</v>
      </c>
      <c r="N87" s="20"/>
    </row>
    <row r="88" spans="1:14" ht="89.25" customHeight="1">
      <c r="A88" s="14" t="s">
        <v>395</v>
      </c>
      <c r="B88" s="15" t="s">
        <v>54</v>
      </c>
      <c r="C88" s="15" t="s">
        <v>54</v>
      </c>
      <c r="D88" s="15" t="s">
        <v>16</v>
      </c>
      <c r="E88" s="16" t="s">
        <v>396</v>
      </c>
      <c r="F88" s="17" t="s">
        <v>97</v>
      </c>
      <c r="G88" s="17" t="s">
        <v>376</v>
      </c>
      <c r="H88" s="17" t="s">
        <v>389</v>
      </c>
      <c r="I88" s="15" t="s">
        <v>397</v>
      </c>
      <c r="J88" s="14" t="s">
        <v>40</v>
      </c>
      <c r="K88" s="18">
        <v>5</v>
      </c>
      <c r="L88" s="15" t="s">
        <v>97</v>
      </c>
      <c r="M88" s="19" t="s">
        <v>398</v>
      </c>
      <c r="N88" s="20" t="s">
        <v>399</v>
      </c>
    </row>
    <row r="89" spans="1:14" ht="135" customHeight="1">
      <c r="A89" s="37" t="s">
        <v>400</v>
      </c>
      <c r="B89" s="36" t="s">
        <v>54</v>
      </c>
      <c r="C89" s="36" t="s">
        <v>54</v>
      </c>
      <c r="D89" s="15" t="s">
        <v>16</v>
      </c>
      <c r="E89" s="16" t="s">
        <v>401</v>
      </c>
      <c r="F89" s="17" t="s">
        <v>97</v>
      </c>
      <c r="G89" s="17" t="s">
        <v>402</v>
      </c>
      <c r="H89" s="17" t="s">
        <v>403</v>
      </c>
      <c r="I89" s="16" t="s">
        <v>404</v>
      </c>
      <c r="J89" s="45" t="s">
        <v>21</v>
      </c>
      <c r="K89" s="46">
        <v>10</v>
      </c>
      <c r="L89" s="36" t="s">
        <v>405</v>
      </c>
      <c r="M89" s="19" t="s">
        <v>406</v>
      </c>
      <c r="N89" s="20"/>
    </row>
    <row r="90" spans="1:14" s="53" customFormat="1" ht="148.5" customHeight="1">
      <c r="A90" s="47" t="s">
        <v>407</v>
      </c>
      <c r="B90" s="48" t="s">
        <v>54</v>
      </c>
      <c r="C90" s="48" t="s">
        <v>54</v>
      </c>
      <c r="D90" s="15" t="s">
        <v>16</v>
      </c>
      <c r="E90" s="49" t="s">
        <v>408</v>
      </c>
      <c r="F90" s="17" t="s">
        <v>97</v>
      </c>
      <c r="G90" s="17" t="s">
        <v>402</v>
      </c>
      <c r="H90" s="17" t="s">
        <v>409</v>
      </c>
      <c r="I90" s="17" t="s">
        <v>410</v>
      </c>
      <c r="J90" s="50" t="s">
        <v>21</v>
      </c>
      <c r="K90" s="51">
        <v>10</v>
      </c>
      <c r="L90" s="22" t="s">
        <v>22</v>
      </c>
      <c r="M90" s="41" t="s">
        <v>411</v>
      </c>
      <c r="N90" s="52"/>
    </row>
    <row r="91" spans="1:14" s="53" customFormat="1" ht="283.5" customHeight="1">
      <c r="A91" s="47" t="s">
        <v>412</v>
      </c>
      <c r="B91" s="48" t="s">
        <v>54</v>
      </c>
      <c r="C91" s="48" t="s">
        <v>54</v>
      </c>
      <c r="D91" s="15" t="s">
        <v>16</v>
      </c>
      <c r="E91" s="49" t="s">
        <v>413</v>
      </c>
      <c r="F91" s="54" t="s">
        <v>97</v>
      </c>
      <c r="G91" s="17" t="s">
        <v>402</v>
      </c>
      <c r="H91" s="17" t="s">
        <v>409</v>
      </c>
      <c r="I91" s="17" t="s">
        <v>414</v>
      </c>
      <c r="J91" s="14" t="s">
        <v>40</v>
      </c>
      <c r="K91" s="51">
        <v>2</v>
      </c>
      <c r="L91" s="22" t="s">
        <v>22</v>
      </c>
      <c r="M91" s="41" t="s">
        <v>415</v>
      </c>
      <c r="N91" s="55"/>
    </row>
    <row r="92" spans="1:14" s="53" customFormat="1" ht="409.5" customHeight="1">
      <c r="A92" s="47" t="s">
        <v>416</v>
      </c>
      <c r="B92" s="48"/>
      <c r="C92" s="48"/>
      <c r="D92" s="15" t="s">
        <v>16</v>
      </c>
      <c r="E92" s="49" t="s">
        <v>417</v>
      </c>
      <c r="F92" s="54" t="s">
        <v>97</v>
      </c>
      <c r="G92" s="17" t="s">
        <v>402</v>
      </c>
      <c r="H92" s="17" t="s">
        <v>409</v>
      </c>
      <c r="I92" s="56" t="s">
        <v>418</v>
      </c>
      <c r="J92" s="57" t="s">
        <v>40</v>
      </c>
      <c r="K92" s="58">
        <v>2</v>
      </c>
      <c r="L92" s="15" t="s">
        <v>22</v>
      </c>
      <c r="M92" s="41" t="s">
        <v>419</v>
      </c>
      <c r="N92" s="52" t="s">
        <v>420</v>
      </c>
    </row>
    <row r="93" spans="1:14" s="53" customFormat="1" ht="283.5" customHeight="1">
      <c r="A93" s="47" t="s">
        <v>421</v>
      </c>
      <c r="B93" s="48"/>
      <c r="C93" s="48"/>
      <c r="D93" s="15" t="s">
        <v>16</v>
      </c>
      <c r="E93" s="49" t="s">
        <v>422</v>
      </c>
      <c r="F93" s="54" t="s">
        <v>97</v>
      </c>
      <c r="G93" s="17" t="s">
        <v>402</v>
      </c>
      <c r="H93" s="17" t="s">
        <v>409</v>
      </c>
      <c r="I93" s="56" t="s">
        <v>423</v>
      </c>
      <c r="J93" s="57" t="s">
        <v>40</v>
      </c>
      <c r="K93" s="58">
        <v>2</v>
      </c>
      <c r="L93" s="15" t="s">
        <v>22</v>
      </c>
      <c r="M93" s="41" t="s">
        <v>424</v>
      </c>
      <c r="N93" s="52" t="s">
        <v>425</v>
      </c>
    </row>
    <row r="94" spans="1:14" s="53" customFormat="1" ht="364.5" customHeight="1">
      <c r="A94" s="47" t="s">
        <v>426</v>
      </c>
      <c r="B94" s="48"/>
      <c r="C94" s="48"/>
      <c r="D94" s="15" t="s">
        <v>16</v>
      </c>
      <c r="E94" s="49" t="s">
        <v>427</v>
      </c>
      <c r="F94" s="54" t="s">
        <v>97</v>
      </c>
      <c r="G94" s="17" t="s">
        <v>402</v>
      </c>
      <c r="H94" s="17" t="s">
        <v>409</v>
      </c>
      <c r="I94" s="56" t="s">
        <v>428</v>
      </c>
      <c r="J94" s="57" t="s">
        <v>40</v>
      </c>
      <c r="K94" s="58">
        <v>2</v>
      </c>
      <c r="L94" s="15" t="s">
        <v>22</v>
      </c>
      <c r="M94" s="41" t="s">
        <v>429</v>
      </c>
      <c r="N94" s="52" t="s">
        <v>420</v>
      </c>
    </row>
    <row r="95" spans="1:14" s="53" customFormat="1" ht="351" customHeight="1">
      <c r="A95" s="47" t="s">
        <v>430</v>
      </c>
      <c r="B95" s="48"/>
      <c r="C95" s="48"/>
      <c r="D95" s="15" t="s">
        <v>16</v>
      </c>
      <c r="E95" s="49" t="s">
        <v>431</v>
      </c>
      <c r="F95" s="54" t="s">
        <v>97</v>
      </c>
      <c r="G95" s="17" t="s">
        <v>402</v>
      </c>
      <c r="H95" s="17" t="s">
        <v>409</v>
      </c>
      <c r="I95" s="56" t="s">
        <v>432</v>
      </c>
      <c r="J95" s="57" t="s">
        <v>40</v>
      </c>
      <c r="K95" s="58">
        <v>2</v>
      </c>
      <c r="L95" s="15" t="s">
        <v>22</v>
      </c>
      <c r="M95" s="41" t="s">
        <v>433</v>
      </c>
      <c r="N95" s="52" t="s">
        <v>420</v>
      </c>
    </row>
    <row r="96" spans="1:14" ht="54" customHeight="1">
      <c r="A96" s="14" t="s">
        <v>434</v>
      </c>
      <c r="B96" s="15" t="s">
        <v>202</v>
      </c>
      <c r="C96" s="15" t="s">
        <v>112</v>
      </c>
      <c r="D96" s="15" t="s">
        <v>16</v>
      </c>
      <c r="E96" s="16" t="s">
        <v>110</v>
      </c>
      <c r="F96" s="17" t="s">
        <v>97</v>
      </c>
      <c r="G96" s="17" t="s">
        <v>402</v>
      </c>
      <c r="H96" s="17" t="s">
        <v>435</v>
      </c>
      <c r="I96" s="59" t="s">
        <v>436</v>
      </c>
      <c r="J96" s="21" t="s">
        <v>21</v>
      </c>
      <c r="K96" s="23">
        <v>10</v>
      </c>
      <c r="L96" s="22" t="s">
        <v>405</v>
      </c>
      <c r="M96" s="19" t="s">
        <v>437</v>
      </c>
      <c r="N96" s="20"/>
    </row>
    <row r="97" spans="1:15" ht="108" customHeight="1">
      <c r="A97" s="14" t="s">
        <v>438</v>
      </c>
      <c r="B97" s="15" t="s">
        <v>54</v>
      </c>
      <c r="C97" s="15" t="s">
        <v>54</v>
      </c>
      <c r="D97" s="15" t="s">
        <v>16</v>
      </c>
      <c r="E97" s="16" t="s">
        <v>439</v>
      </c>
      <c r="F97" s="17" t="s">
        <v>97</v>
      </c>
      <c r="G97" s="17" t="s">
        <v>402</v>
      </c>
      <c r="H97" s="17" t="s">
        <v>435</v>
      </c>
      <c r="I97" s="56" t="s">
        <v>440</v>
      </c>
      <c r="J97" s="14" t="s">
        <v>40</v>
      </c>
      <c r="K97" s="18">
        <v>5</v>
      </c>
      <c r="L97" s="15" t="s">
        <v>22</v>
      </c>
      <c r="M97" s="19" t="s">
        <v>441</v>
      </c>
      <c r="N97" s="20"/>
    </row>
    <row r="98" spans="1:15" ht="135" customHeight="1">
      <c r="A98" s="14" t="s">
        <v>442</v>
      </c>
      <c r="B98" s="15" t="s">
        <v>54</v>
      </c>
      <c r="C98" s="15" t="s">
        <v>54</v>
      </c>
      <c r="D98" s="15" t="s">
        <v>16</v>
      </c>
      <c r="E98" s="16" t="s">
        <v>443</v>
      </c>
      <c r="F98" s="17" t="s">
        <v>97</v>
      </c>
      <c r="G98" s="17" t="s">
        <v>402</v>
      </c>
      <c r="H98" s="17" t="s">
        <v>435</v>
      </c>
      <c r="I98" s="56" t="s">
        <v>444</v>
      </c>
      <c r="J98" s="14" t="s">
        <v>40</v>
      </c>
      <c r="K98" s="18">
        <v>5</v>
      </c>
      <c r="L98" s="15" t="s">
        <v>97</v>
      </c>
      <c r="M98" s="19" t="s">
        <v>445</v>
      </c>
      <c r="N98" s="20"/>
    </row>
    <row r="99" spans="1:15" ht="256.5" customHeight="1">
      <c r="A99" s="37" t="s">
        <v>446</v>
      </c>
      <c r="B99" s="15" t="s">
        <v>295</v>
      </c>
      <c r="C99" s="15" t="s">
        <v>137</v>
      </c>
      <c r="D99" s="15" t="s">
        <v>16</v>
      </c>
      <c r="E99" s="16" t="s">
        <v>117</v>
      </c>
      <c r="F99" s="17" t="s">
        <v>97</v>
      </c>
      <c r="G99" s="17" t="s">
        <v>402</v>
      </c>
      <c r="H99" s="17" t="s">
        <v>447</v>
      </c>
      <c r="I99" s="60" t="s">
        <v>448</v>
      </c>
      <c r="J99" s="37" t="s">
        <v>21</v>
      </c>
      <c r="K99" s="38">
        <v>10</v>
      </c>
      <c r="L99" s="15" t="s">
        <v>22</v>
      </c>
      <c r="M99" s="19" t="s">
        <v>449</v>
      </c>
      <c r="N99" s="20"/>
    </row>
    <row r="100" spans="1:15" ht="216" customHeight="1">
      <c r="A100" s="37" t="s">
        <v>450</v>
      </c>
      <c r="B100" s="15" t="s">
        <v>311</v>
      </c>
      <c r="C100" s="15" t="s">
        <v>168</v>
      </c>
      <c r="D100" s="15" t="s">
        <v>16</v>
      </c>
      <c r="E100" s="16" t="s">
        <v>451</v>
      </c>
      <c r="F100" s="17" t="s">
        <v>97</v>
      </c>
      <c r="G100" s="17" t="s">
        <v>402</v>
      </c>
      <c r="H100" s="17" t="s">
        <v>447</v>
      </c>
      <c r="I100" s="60" t="s">
        <v>452</v>
      </c>
      <c r="J100" s="37" t="s">
        <v>21</v>
      </c>
      <c r="K100" s="38">
        <v>10</v>
      </c>
      <c r="L100" s="15" t="s">
        <v>22</v>
      </c>
      <c r="M100" s="19" t="s">
        <v>453</v>
      </c>
      <c r="N100" s="20" t="s">
        <v>454</v>
      </c>
    </row>
    <row r="101" spans="1:15" ht="54" customHeight="1">
      <c r="A101" s="37" t="s">
        <v>455</v>
      </c>
      <c r="B101" s="15" t="s">
        <v>325</v>
      </c>
      <c r="C101" s="15" t="s">
        <v>54</v>
      </c>
      <c r="D101" s="15" t="s">
        <v>16</v>
      </c>
      <c r="E101" s="16" t="s">
        <v>456</v>
      </c>
      <c r="F101" s="15" t="s">
        <v>97</v>
      </c>
      <c r="G101" s="17" t="s">
        <v>457</v>
      </c>
      <c r="H101" s="17" t="s">
        <v>458</v>
      </c>
      <c r="I101" s="15" t="s">
        <v>459</v>
      </c>
      <c r="J101" s="37" t="s">
        <v>21</v>
      </c>
      <c r="K101" s="38">
        <v>10</v>
      </c>
      <c r="L101" s="15" t="s">
        <v>97</v>
      </c>
      <c r="M101" s="19" t="s">
        <v>460</v>
      </c>
      <c r="N101" s="20"/>
    </row>
    <row r="102" spans="1:15" ht="162" customHeight="1">
      <c r="A102" s="37" t="s">
        <v>461</v>
      </c>
      <c r="B102" s="15" t="s">
        <v>388</v>
      </c>
      <c r="C102" s="15" t="s">
        <v>187</v>
      </c>
      <c r="D102" s="15" t="s">
        <v>16</v>
      </c>
      <c r="E102" s="16" t="s">
        <v>462</v>
      </c>
      <c r="F102" s="16" t="s">
        <v>463</v>
      </c>
      <c r="G102" s="17" t="s">
        <v>457</v>
      </c>
      <c r="H102" s="17" t="s">
        <v>458</v>
      </c>
      <c r="I102" s="15" t="s">
        <v>464</v>
      </c>
      <c r="J102" s="37" t="s">
        <v>21</v>
      </c>
      <c r="K102" s="38">
        <v>10</v>
      </c>
      <c r="L102" s="15" t="s">
        <v>465</v>
      </c>
      <c r="M102" s="19" t="s">
        <v>466</v>
      </c>
      <c r="N102" s="20"/>
    </row>
    <row r="103" spans="1:15" ht="40.5" customHeight="1">
      <c r="A103" s="37" t="s">
        <v>467</v>
      </c>
      <c r="B103" s="15" t="s">
        <v>401</v>
      </c>
      <c r="C103" s="15" t="s">
        <v>79</v>
      </c>
      <c r="D103" s="15" t="s">
        <v>16</v>
      </c>
      <c r="E103" s="16" t="s">
        <v>468</v>
      </c>
      <c r="F103" s="16" t="s">
        <v>463</v>
      </c>
      <c r="G103" s="17" t="s">
        <v>457</v>
      </c>
      <c r="H103" s="17" t="s">
        <v>469</v>
      </c>
      <c r="I103" s="22" t="s">
        <v>470</v>
      </c>
      <c r="J103" s="45" t="s">
        <v>21</v>
      </c>
      <c r="K103" s="46">
        <v>10</v>
      </c>
      <c r="L103" s="59" t="s">
        <v>97</v>
      </c>
      <c r="M103" s="61" t="s">
        <v>256</v>
      </c>
      <c r="N103" s="20"/>
    </row>
    <row r="104" spans="1:15" ht="121.5" customHeight="1">
      <c r="A104" s="37" t="s">
        <v>471</v>
      </c>
      <c r="B104" s="15" t="s">
        <v>54</v>
      </c>
      <c r="C104" s="15" t="s">
        <v>54</v>
      </c>
      <c r="D104" s="15" t="s">
        <v>16</v>
      </c>
      <c r="E104" s="16" t="s">
        <v>472</v>
      </c>
      <c r="F104" s="16" t="s">
        <v>463</v>
      </c>
      <c r="G104" s="17" t="s">
        <v>457</v>
      </c>
      <c r="H104" s="17" t="s">
        <v>469</v>
      </c>
      <c r="I104" s="25" t="s">
        <v>473</v>
      </c>
      <c r="J104" s="37" t="s">
        <v>40</v>
      </c>
      <c r="K104" s="38">
        <v>5</v>
      </c>
      <c r="L104" s="60" t="s">
        <v>97</v>
      </c>
      <c r="M104" s="62" t="s">
        <v>474</v>
      </c>
      <c r="N104" s="20"/>
    </row>
    <row r="105" spans="1:15" ht="148.5" customHeight="1">
      <c r="A105" s="37" t="s">
        <v>475</v>
      </c>
      <c r="B105" s="15" t="s">
        <v>54</v>
      </c>
      <c r="C105" s="15" t="s">
        <v>54</v>
      </c>
      <c r="D105" s="15" t="s">
        <v>16</v>
      </c>
      <c r="E105" s="16" t="s">
        <v>476</v>
      </c>
      <c r="F105" s="16" t="s">
        <v>463</v>
      </c>
      <c r="G105" s="17" t="s">
        <v>457</v>
      </c>
      <c r="H105" s="17" t="s">
        <v>469</v>
      </c>
      <c r="I105" s="25" t="s">
        <v>477</v>
      </c>
      <c r="J105" s="37" t="s">
        <v>40</v>
      </c>
      <c r="K105" s="38">
        <v>5</v>
      </c>
      <c r="L105" s="60" t="s">
        <v>97</v>
      </c>
      <c r="M105" s="62" t="s">
        <v>478</v>
      </c>
      <c r="N105" s="20"/>
    </row>
    <row r="106" spans="1:15" ht="409.5" customHeight="1">
      <c r="A106" s="63" t="s">
        <v>479</v>
      </c>
      <c r="B106" s="64" t="s">
        <v>408</v>
      </c>
      <c r="C106" s="64" t="s">
        <v>202</v>
      </c>
      <c r="D106" s="64" t="s">
        <v>16</v>
      </c>
      <c r="E106" s="65" t="s">
        <v>480</v>
      </c>
      <c r="F106" s="65" t="s">
        <v>463</v>
      </c>
      <c r="G106" s="66" t="s">
        <v>457</v>
      </c>
      <c r="H106" s="66" t="s">
        <v>481</v>
      </c>
      <c r="I106" s="15" t="s">
        <v>482</v>
      </c>
      <c r="J106" s="63" t="s">
        <v>21</v>
      </c>
      <c r="K106" s="67">
        <v>10</v>
      </c>
      <c r="L106" s="64" t="s">
        <v>22</v>
      </c>
      <c r="M106" s="68" t="s">
        <v>483</v>
      </c>
      <c r="N106" s="68" t="s">
        <v>484</v>
      </c>
      <c r="O106" s="69"/>
    </row>
    <row r="107" spans="1:15">
      <c r="A107" s="6"/>
      <c r="I107" s="53"/>
    </row>
    <row r="108" spans="1:15">
      <c r="A108" s="6"/>
    </row>
    <row r="109" spans="1:15">
      <c r="A109" s="6"/>
    </row>
    <row r="110" spans="1:15">
      <c r="A110" s="6"/>
    </row>
    <row r="111" spans="1:15">
      <c r="A111" s="6"/>
    </row>
    <row r="112" spans="1:15">
      <c r="A112" s="70"/>
      <c r="B112" s="71"/>
      <c r="C112" s="71"/>
      <c r="D112" s="71"/>
      <c r="I112" s="71"/>
      <c r="J112" s="70"/>
      <c r="K112" s="70"/>
      <c r="L112" s="71"/>
      <c r="M112" s="35"/>
    </row>
    <row r="113" spans="1:13">
      <c r="A113" s="70"/>
      <c r="B113" s="71"/>
      <c r="C113" s="71"/>
      <c r="D113" s="71"/>
      <c r="I113" s="71"/>
      <c r="J113" s="70"/>
      <c r="K113" s="70"/>
      <c r="L113" s="71"/>
      <c r="M113" s="35"/>
    </row>
    <row r="114" spans="1:13">
      <c r="A114" s="70"/>
      <c r="B114" s="71"/>
      <c r="C114" s="71"/>
      <c r="D114" s="71"/>
      <c r="I114" s="71"/>
      <c r="J114" s="70"/>
      <c r="K114" s="70"/>
      <c r="L114" s="71"/>
      <c r="M114" s="35"/>
    </row>
    <row r="115" spans="1:13">
      <c r="A115" s="70"/>
      <c r="B115" s="71"/>
      <c r="C115" s="71"/>
      <c r="D115" s="71"/>
      <c r="I115" s="71"/>
      <c r="J115" s="70"/>
      <c r="K115" s="70"/>
      <c r="L115" s="71"/>
      <c r="M115" s="35"/>
    </row>
    <row r="116" spans="1:13">
      <c r="A116" s="70"/>
      <c r="B116" s="71"/>
      <c r="C116" s="71"/>
      <c r="D116" s="71"/>
      <c r="I116" s="71"/>
      <c r="J116" s="70"/>
      <c r="K116" s="70"/>
      <c r="L116" s="71"/>
      <c r="M116" s="35"/>
    </row>
    <row r="117" spans="1:13">
      <c r="A117" s="70"/>
      <c r="B117" s="71"/>
      <c r="C117" s="71"/>
      <c r="D117" s="71"/>
      <c r="I117" s="71"/>
      <c r="J117" s="70"/>
      <c r="K117" s="70"/>
      <c r="L117" s="71"/>
      <c r="M117" s="35"/>
    </row>
    <row r="118" spans="1:13">
      <c r="A118" s="70"/>
      <c r="B118" s="71"/>
      <c r="C118" s="71"/>
      <c r="D118" s="71"/>
      <c r="I118" s="71"/>
      <c r="J118" s="70"/>
      <c r="K118" s="70"/>
      <c r="L118" s="71"/>
      <c r="M118" s="35"/>
    </row>
    <row r="119" spans="1:13">
      <c r="A119" s="70"/>
      <c r="B119" s="71"/>
      <c r="C119" s="71"/>
      <c r="D119" s="71"/>
      <c r="I119" s="71"/>
      <c r="J119" s="70"/>
      <c r="K119" s="70"/>
      <c r="L119" s="71"/>
      <c r="M119" s="35"/>
    </row>
    <row r="120" spans="1:13">
      <c r="A120" s="70"/>
      <c r="B120" s="71"/>
      <c r="C120" s="71"/>
      <c r="D120" s="71"/>
      <c r="I120" s="71"/>
      <c r="J120" s="70"/>
      <c r="K120" s="70"/>
      <c r="L120" s="71"/>
      <c r="M120" s="35"/>
    </row>
    <row r="121" spans="1:13">
      <c r="A121" s="70"/>
      <c r="B121" s="71"/>
      <c r="C121" s="71"/>
      <c r="D121" s="71"/>
      <c r="I121" s="71"/>
      <c r="J121" s="70"/>
      <c r="K121" s="70"/>
      <c r="L121" s="71"/>
      <c r="M121" s="35"/>
    </row>
    <row r="122" spans="1:13">
      <c r="A122" s="70"/>
      <c r="B122" s="71"/>
      <c r="C122" s="71"/>
      <c r="D122" s="71"/>
      <c r="I122" s="71"/>
      <c r="J122" s="70"/>
      <c r="K122" s="70"/>
      <c r="L122" s="71"/>
      <c r="M122" s="35"/>
    </row>
    <row r="123" spans="1:13">
      <c r="A123" s="70"/>
      <c r="B123" s="71"/>
      <c r="C123" s="71"/>
      <c r="D123" s="71"/>
      <c r="I123" s="71"/>
      <c r="J123" s="70"/>
      <c r="K123" s="70"/>
      <c r="L123" s="71"/>
      <c r="M123" s="35"/>
    </row>
    <row r="124" spans="1:13">
      <c r="A124" s="70"/>
      <c r="B124" s="71"/>
      <c r="C124" s="71"/>
      <c r="D124" s="71"/>
      <c r="I124" s="71"/>
      <c r="J124" s="70"/>
      <c r="K124" s="70"/>
      <c r="L124" s="71"/>
      <c r="M124" s="35"/>
    </row>
    <row r="125" spans="1:13">
      <c r="A125" s="70"/>
      <c r="B125" s="71"/>
      <c r="C125" s="71"/>
      <c r="D125" s="71"/>
      <c r="I125" s="71"/>
      <c r="J125" s="70"/>
      <c r="K125" s="70"/>
      <c r="L125" s="71"/>
      <c r="M125" s="35"/>
    </row>
    <row r="126" spans="1:13">
      <c r="A126" s="70"/>
      <c r="B126" s="71"/>
      <c r="C126" s="71"/>
      <c r="D126" s="71"/>
      <c r="I126" s="71"/>
      <c r="J126" s="70"/>
      <c r="K126" s="70"/>
      <c r="L126" s="71"/>
      <c r="M126" s="35"/>
    </row>
    <row r="127" spans="1:13">
      <c r="A127" s="70"/>
      <c r="B127" s="71"/>
      <c r="C127" s="71"/>
      <c r="D127" s="71"/>
      <c r="I127" s="71"/>
      <c r="J127" s="70"/>
      <c r="K127" s="70"/>
      <c r="L127" s="71"/>
      <c r="M127" s="35"/>
    </row>
    <row r="128" spans="1:13">
      <c r="A128" s="70"/>
      <c r="B128" s="71"/>
      <c r="C128" s="71"/>
      <c r="D128" s="71"/>
      <c r="I128" s="71"/>
      <c r="J128" s="70"/>
      <c r="K128" s="70"/>
      <c r="L128" s="71"/>
      <c r="M128" s="35"/>
    </row>
    <row r="129" spans="1:13">
      <c r="A129" s="70"/>
      <c r="B129" s="71"/>
      <c r="C129" s="71"/>
      <c r="D129" s="71"/>
      <c r="I129" s="71"/>
      <c r="J129" s="70"/>
      <c r="K129" s="70"/>
      <c r="L129" s="71"/>
      <c r="M129" s="35"/>
    </row>
    <row r="130" spans="1:13">
      <c r="A130" s="70"/>
      <c r="B130" s="71"/>
      <c r="C130" s="71"/>
      <c r="D130" s="71"/>
      <c r="I130" s="71"/>
      <c r="J130" s="70"/>
      <c r="K130" s="70"/>
      <c r="L130" s="71"/>
      <c r="M130" s="35"/>
    </row>
    <row r="131" spans="1:13">
      <c r="A131" s="70"/>
      <c r="B131" s="71"/>
      <c r="C131" s="71"/>
      <c r="D131" s="71"/>
      <c r="I131" s="71"/>
      <c r="J131" s="70"/>
      <c r="K131" s="70"/>
      <c r="L131" s="71"/>
      <c r="M131" s="35"/>
    </row>
    <row r="132" spans="1:13">
      <c r="A132" s="70"/>
      <c r="B132" s="71"/>
      <c r="C132" s="71"/>
      <c r="D132" s="71"/>
      <c r="I132" s="71"/>
      <c r="J132" s="70"/>
      <c r="K132" s="70"/>
      <c r="L132" s="71"/>
      <c r="M132" s="35"/>
    </row>
    <row r="133" spans="1:13">
      <c r="A133" s="70"/>
      <c r="B133" s="71"/>
      <c r="C133" s="71"/>
      <c r="D133" s="71"/>
      <c r="I133" s="71"/>
      <c r="J133" s="70"/>
      <c r="K133" s="70"/>
      <c r="L133" s="71"/>
      <c r="M133" s="35"/>
    </row>
    <row r="134" spans="1:13">
      <c r="A134" s="70"/>
      <c r="B134" s="71"/>
      <c r="C134" s="71"/>
      <c r="D134" s="71"/>
      <c r="I134" s="71"/>
      <c r="J134" s="70"/>
      <c r="K134" s="70"/>
      <c r="L134" s="71"/>
      <c r="M134" s="35"/>
    </row>
    <row r="135" spans="1:13">
      <c r="A135" s="70"/>
      <c r="B135" s="71"/>
      <c r="C135" s="71"/>
      <c r="D135" s="71"/>
      <c r="I135" s="71"/>
      <c r="J135" s="70"/>
      <c r="K135" s="70"/>
      <c r="L135" s="71"/>
      <c r="M135" s="35"/>
    </row>
    <row r="136" spans="1:13">
      <c r="A136" s="70"/>
      <c r="B136" s="71"/>
      <c r="C136" s="71"/>
      <c r="D136" s="71"/>
      <c r="I136" s="71"/>
      <c r="J136" s="70"/>
      <c r="K136" s="70"/>
      <c r="L136" s="71"/>
      <c r="M136" s="35" t="s">
        <v>485</v>
      </c>
    </row>
    <row r="137" spans="1:13">
      <c r="A137" s="70"/>
      <c r="B137" s="71"/>
      <c r="C137" s="71"/>
      <c r="D137" s="71"/>
      <c r="I137" s="71"/>
      <c r="J137" s="70"/>
      <c r="K137" s="70"/>
      <c r="L137" s="71"/>
      <c r="M137" s="35"/>
    </row>
    <row r="138" spans="1:13">
      <c r="A138" s="70"/>
      <c r="B138" s="71"/>
      <c r="C138" s="71"/>
      <c r="D138" s="71"/>
      <c r="I138" s="71"/>
      <c r="J138" s="70"/>
      <c r="K138" s="70"/>
      <c r="L138" s="71"/>
      <c r="M138" s="35"/>
    </row>
    <row r="139" spans="1:13">
      <c r="A139" s="70"/>
      <c r="B139" s="71"/>
      <c r="C139" s="71"/>
      <c r="D139" s="71"/>
      <c r="I139" s="71"/>
      <c r="J139" s="70"/>
      <c r="K139" s="70"/>
      <c r="L139" s="71"/>
      <c r="M139" s="35"/>
    </row>
    <row r="140" spans="1:13">
      <c r="A140" s="70"/>
      <c r="B140" s="71"/>
      <c r="C140" s="71"/>
      <c r="D140" s="71"/>
      <c r="I140" s="71"/>
      <c r="J140" s="70"/>
      <c r="K140" s="70"/>
      <c r="L140" s="71"/>
      <c r="M140" s="35"/>
    </row>
    <row r="141" spans="1:13">
      <c r="A141" s="70"/>
      <c r="B141" s="71"/>
      <c r="C141" s="71"/>
      <c r="D141" s="71"/>
      <c r="I141" s="71"/>
      <c r="J141" s="70"/>
      <c r="K141" s="70"/>
      <c r="L141" s="71"/>
      <c r="M141" s="35"/>
    </row>
    <row r="142" spans="1:13">
      <c r="A142" s="70"/>
      <c r="B142" s="71"/>
      <c r="C142" s="71"/>
      <c r="D142" s="71"/>
      <c r="I142" s="71"/>
      <c r="J142" s="70"/>
      <c r="K142" s="70"/>
      <c r="L142" s="71"/>
      <c r="M142" s="35"/>
    </row>
    <row r="143" spans="1:13">
      <c r="A143" s="70"/>
      <c r="B143" s="71"/>
      <c r="C143" s="71"/>
      <c r="D143" s="71"/>
      <c r="I143" s="71"/>
      <c r="J143" s="70"/>
      <c r="K143" s="70"/>
      <c r="L143" s="71"/>
      <c r="M143" s="35" t="s">
        <v>485</v>
      </c>
    </row>
    <row r="144" spans="1:13">
      <c r="A144" s="70"/>
      <c r="B144" s="71"/>
      <c r="C144" s="71"/>
      <c r="D144" s="71"/>
      <c r="I144" s="71"/>
      <c r="J144" s="70"/>
      <c r="K144" s="70"/>
      <c r="L144" s="71"/>
      <c r="M144" s="35"/>
    </row>
    <row r="145" spans="1:13">
      <c r="A145" s="70"/>
      <c r="B145" s="71"/>
      <c r="C145" s="71"/>
      <c r="D145" s="71"/>
      <c r="I145" s="71"/>
      <c r="J145" s="70"/>
      <c r="K145" s="70"/>
      <c r="L145" s="71"/>
      <c r="M145" s="35"/>
    </row>
    <row r="146" spans="1:13">
      <c r="A146" s="70"/>
      <c r="B146" s="71"/>
      <c r="C146" s="71"/>
      <c r="D146" s="71"/>
      <c r="I146" s="71"/>
      <c r="J146" s="70"/>
      <c r="K146" s="70"/>
      <c r="L146" s="71"/>
      <c r="M146" s="35"/>
    </row>
    <row r="147" spans="1:13">
      <c r="A147" s="70"/>
      <c r="B147" s="71"/>
      <c r="C147" s="71"/>
      <c r="D147" s="71"/>
      <c r="I147" s="71"/>
      <c r="J147" s="70"/>
      <c r="K147" s="70"/>
      <c r="L147" s="71"/>
      <c r="M147" s="35"/>
    </row>
    <row r="148" spans="1:13">
      <c r="A148" s="70"/>
      <c r="B148" s="71"/>
      <c r="C148" s="71"/>
      <c r="D148" s="71"/>
      <c r="I148" s="71"/>
      <c r="J148" s="70"/>
      <c r="K148" s="70"/>
      <c r="L148" s="71"/>
      <c r="M148" s="35"/>
    </row>
    <row r="149" spans="1:13">
      <c r="A149" s="70"/>
      <c r="B149" s="71"/>
      <c r="C149" s="71"/>
      <c r="D149" s="71"/>
      <c r="I149" s="71"/>
      <c r="J149" s="70"/>
      <c r="K149" s="70"/>
      <c r="L149" s="71"/>
      <c r="M149" s="35" t="s">
        <v>485</v>
      </c>
    </row>
    <row r="150" spans="1:13">
      <c r="A150" s="70"/>
      <c r="B150" s="71"/>
      <c r="C150" s="71"/>
      <c r="D150" s="71"/>
      <c r="I150" s="71"/>
      <c r="J150" s="70"/>
      <c r="K150" s="70"/>
      <c r="L150" s="71"/>
      <c r="M150" s="35"/>
    </row>
    <row r="151" spans="1:13">
      <c r="A151" s="70"/>
      <c r="B151" s="71"/>
      <c r="C151" s="71"/>
      <c r="D151" s="71"/>
      <c r="I151" s="71"/>
      <c r="J151" s="70"/>
      <c r="K151" s="70"/>
      <c r="L151" s="71"/>
      <c r="M151" s="35"/>
    </row>
    <row r="152" spans="1:13">
      <c r="A152" s="70"/>
      <c r="B152" s="71"/>
      <c r="C152" s="71"/>
      <c r="D152" s="71"/>
      <c r="I152" s="71"/>
      <c r="J152" s="70"/>
      <c r="K152" s="70"/>
      <c r="L152" s="71"/>
      <c r="M152" s="35"/>
    </row>
    <row r="153" spans="1:13">
      <c r="A153" s="70"/>
      <c r="B153" s="71"/>
      <c r="C153" s="71"/>
      <c r="D153" s="71"/>
      <c r="I153" s="71"/>
      <c r="J153" s="70"/>
      <c r="K153" s="70"/>
      <c r="L153" s="71"/>
      <c r="M153" s="35"/>
    </row>
    <row r="154" spans="1:13">
      <c r="A154" s="70"/>
      <c r="B154" s="71"/>
      <c r="C154" s="71"/>
      <c r="D154" s="71"/>
      <c r="I154" s="71"/>
      <c r="J154" s="70"/>
      <c r="K154" s="70"/>
      <c r="L154" s="71"/>
      <c r="M154" s="35"/>
    </row>
    <row r="155" spans="1:13">
      <c r="A155" s="70"/>
      <c r="B155" s="71"/>
      <c r="C155" s="71"/>
      <c r="D155" s="71"/>
      <c r="I155" s="71"/>
      <c r="J155" s="70"/>
      <c r="K155" s="70"/>
      <c r="L155" s="71"/>
      <c r="M155" s="35"/>
    </row>
    <row r="156" spans="1:13">
      <c r="A156" s="70"/>
      <c r="B156" s="71"/>
      <c r="C156" s="71"/>
      <c r="D156" s="71"/>
      <c r="I156" s="71"/>
      <c r="J156" s="70"/>
      <c r="K156" s="70"/>
      <c r="L156" s="71"/>
      <c r="M156" s="35"/>
    </row>
    <row r="157" spans="1:13">
      <c r="A157" s="70"/>
      <c r="B157" s="71"/>
      <c r="C157" s="71"/>
      <c r="D157" s="71"/>
      <c r="I157" s="71"/>
      <c r="J157" s="70"/>
      <c r="K157" s="70"/>
      <c r="L157" s="71"/>
      <c r="M157" s="35"/>
    </row>
    <row r="158" spans="1:13">
      <c r="A158" s="70"/>
      <c r="B158" s="71"/>
      <c r="C158" s="71"/>
      <c r="D158" s="71"/>
      <c r="I158" s="71"/>
      <c r="J158" s="70"/>
      <c r="K158" s="70"/>
      <c r="L158" s="71"/>
      <c r="M158" s="35"/>
    </row>
    <row r="159" spans="1:13">
      <c r="A159" s="70"/>
      <c r="B159" s="71"/>
      <c r="C159" s="71"/>
      <c r="D159" s="71"/>
      <c r="I159" s="71"/>
      <c r="J159" s="70"/>
      <c r="K159" s="70"/>
      <c r="L159" s="71"/>
      <c r="M159" s="35"/>
    </row>
    <row r="160" spans="1:13">
      <c r="A160" s="70"/>
      <c r="B160" s="71"/>
      <c r="C160" s="71"/>
      <c r="D160" s="71"/>
      <c r="I160" s="71"/>
      <c r="J160" s="70"/>
      <c r="K160" s="70"/>
      <c r="L160" s="71"/>
      <c r="M160" s="35"/>
    </row>
    <row r="161" spans="1:13">
      <c r="A161" s="70"/>
      <c r="B161" s="71"/>
      <c r="C161" s="71"/>
      <c r="D161" s="71"/>
      <c r="I161" s="71"/>
      <c r="J161" s="70"/>
      <c r="K161" s="70"/>
      <c r="L161" s="71"/>
      <c r="M161" s="35"/>
    </row>
    <row r="162" spans="1:13">
      <c r="A162" s="70"/>
      <c r="B162" s="71"/>
      <c r="C162" s="71"/>
      <c r="D162" s="71"/>
      <c r="I162" s="71"/>
      <c r="J162" s="70"/>
      <c r="K162" s="70"/>
      <c r="L162" s="71"/>
      <c r="M162" s="35"/>
    </row>
    <row r="163" spans="1:13">
      <c r="A163" s="70"/>
      <c r="B163" s="71"/>
      <c r="C163" s="71"/>
      <c r="D163" s="71"/>
      <c r="I163" s="71"/>
      <c r="J163" s="70"/>
      <c r="K163" s="70"/>
      <c r="L163" s="71"/>
      <c r="M163" s="35"/>
    </row>
    <row r="164" spans="1:13">
      <c r="A164" s="70"/>
      <c r="B164" s="71"/>
      <c r="C164" s="71"/>
      <c r="D164" s="71"/>
      <c r="I164" s="71"/>
      <c r="J164" s="70"/>
      <c r="K164" s="70"/>
      <c r="L164" s="71"/>
      <c r="M164" s="35"/>
    </row>
    <row r="165" spans="1:13">
      <c r="A165" s="70"/>
      <c r="B165" s="71"/>
      <c r="C165" s="71"/>
      <c r="D165" s="71"/>
      <c r="I165" s="71"/>
      <c r="J165" s="70"/>
      <c r="K165" s="70"/>
      <c r="L165" s="71"/>
      <c r="M165" s="35"/>
    </row>
    <row r="166" spans="1:13">
      <c r="A166" s="70"/>
      <c r="B166" s="71"/>
      <c r="C166" s="71"/>
      <c r="D166" s="71"/>
      <c r="I166" s="71"/>
      <c r="J166" s="70"/>
      <c r="K166" s="70"/>
      <c r="L166" s="71"/>
      <c r="M166" s="35"/>
    </row>
    <row r="167" spans="1:13">
      <c r="A167" s="70"/>
      <c r="B167" s="71"/>
      <c r="C167" s="71"/>
      <c r="D167" s="71"/>
      <c r="I167" s="71"/>
      <c r="J167" s="70"/>
      <c r="K167" s="70"/>
      <c r="L167" s="71"/>
      <c r="M167" s="35"/>
    </row>
    <row r="168" spans="1:13">
      <c r="A168" s="70"/>
      <c r="B168" s="71"/>
      <c r="C168" s="71"/>
      <c r="D168" s="71"/>
      <c r="I168" s="71"/>
      <c r="J168" s="70"/>
      <c r="K168" s="70"/>
      <c r="L168" s="71"/>
      <c r="M168" s="35"/>
    </row>
    <row r="169" spans="1:13">
      <c r="A169" s="70"/>
      <c r="B169" s="71"/>
      <c r="C169" s="71"/>
      <c r="D169" s="71"/>
      <c r="I169" s="71"/>
      <c r="J169" s="70"/>
      <c r="K169" s="70"/>
      <c r="L169" s="71"/>
      <c r="M169" s="35"/>
    </row>
    <row r="170" spans="1:13">
      <c r="A170" s="70"/>
      <c r="B170" s="71"/>
      <c r="C170" s="71"/>
      <c r="D170" s="71"/>
      <c r="I170" s="71"/>
      <c r="J170" s="70"/>
      <c r="K170" s="70"/>
      <c r="L170" s="71"/>
      <c r="M170" s="35"/>
    </row>
    <row r="171" spans="1:13">
      <c r="A171" s="70"/>
      <c r="B171" s="71"/>
      <c r="C171" s="71"/>
      <c r="D171" s="71"/>
      <c r="I171" s="71"/>
      <c r="J171" s="70"/>
      <c r="K171" s="70"/>
      <c r="L171" s="71"/>
      <c r="M171" s="35" t="s">
        <v>485</v>
      </c>
    </row>
    <row r="172" spans="1:13">
      <c r="A172" s="70"/>
      <c r="B172" s="71"/>
      <c r="C172" s="71"/>
      <c r="D172" s="71"/>
      <c r="I172" s="71"/>
      <c r="J172" s="70"/>
      <c r="K172" s="70"/>
      <c r="L172" s="71"/>
      <c r="M172" s="35"/>
    </row>
    <row r="173" spans="1:13">
      <c r="A173" s="70"/>
      <c r="B173" s="71"/>
      <c r="C173" s="71"/>
      <c r="D173" s="71"/>
      <c r="I173" s="71"/>
      <c r="J173" s="70"/>
      <c r="K173" s="70"/>
      <c r="L173" s="71"/>
      <c r="M173" s="35"/>
    </row>
    <row r="174" spans="1:13">
      <c r="A174" s="70"/>
      <c r="B174" s="71"/>
      <c r="C174" s="71"/>
      <c r="D174" s="71"/>
      <c r="I174" s="71"/>
      <c r="J174" s="70"/>
      <c r="K174" s="70"/>
      <c r="L174" s="71"/>
      <c r="M174" s="35" t="s">
        <v>485</v>
      </c>
    </row>
    <row r="175" spans="1:13">
      <c r="A175" s="70"/>
      <c r="B175" s="71"/>
      <c r="C175" s="71"/>
      <c r="D175" s="71"/>
      <c r="I175" s="71"/>
      <c r="J175" s="70"/>
      <c r="K175" s="70"/>
      <c r="L175" s="71"/>
      <c r="M175" s="35"/>
    </row>
    <row r="176" spans="1:13">
      <c r="A176" s="70"/>
      <c r="B176" s="71"/>
      <c r="C176" s="71"/>
      <c r="D176" s="71"/>
      <c r="I176" s="71"/>
      <c r="J176" s="70"/>
      <c r="K176" s="70"/>
      <c r="L176" s="71"/>
      <c r="M176" s="35"/>
    </row>
  </sheetData>
  <autoFilter ref="A1:N106"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12"/>
  <sheetViews>
    <sheetView zoomScaleNormal="100" workbookViewId="0">
      <pane xSplit="8" ySplit="2" topLeftCell="I5" activePane="bottomRight" state="frozen"/>
      <selection pane="bottomRight" activeCell="F4" sqref="F4"/>
      <selection pane="bottomLeft" activeCell="A3" sqref="A3"/>
      <selection pane="topRight" activeCell="I1" sqref="I1"/>
    </sheetView>
  </sheetViews>
  <sheetFormatPr defaultColWidth="8.5703125" defaultRowHeight="14.45"/>
  <cols>
    <col min="1" max="1" width="11.42578125" customWidth="1"/>
    <col min="2" max="2" width="12" customWidth="1"/>
    <col min="3" max="3" width="18" customWidth="1"/>
    <col min="4" max="4" width="14" customWidth="1"/>
    <col min="5" max="5" width="7" customWidth="1"/>
    <col min="6" max="6" width="60" customWidth="1"/>
    <col min="7" max="7" width="12" customWidth="1"/>
    <col min="8" max="8" width="8" customWidth="1"/>
    <col min="9" max="37" width="6.5703125" customWidth="1"/>
  </cols>
  <sheetData>
    <row r="1" spans="1:37" ht="93.75" customHeight="1">
      <c r="A1" s="72" t="s">
        <v>4</v>
      </c>
      <c r="B1" s="72" t="s">
        <v>5</v>
      </c>
      <c r="C1" s="72" t="s">
        <v>6</v>
      </c>
      <c r="D1" s="72" t="s">
        <v>7</v>
      </c>
      <c r="E1" s="72" t="s">
        <v>9</v>
      </c>
      <c r="F1" s="72" t="s">
        <v>8</v>
      </c>
      <c r="G1" s="72" t="s">
        <v>11</v>
      </c>
      <c r="H1" s="72" t="s">
        <v>10</v>
      </c>
      <c r="I1" s="73" t="s">
        <v>486</v>
      </c>
      <c r="J1" s="73" t="s">
        <v>487</v>
      </c>
      <c r="K1" s="73" t="s">
        <v>488</v>
      </c>
      <c r="L1" s="73" t="s">
        <v>489</v>
      </c>
      <c r="M1" s="73" t="s">
        <v>490</v>
      </c>
      <c r="N1" s="73" t="s">
        <v>491</v>
      </c>
      <c r="O1" s="73" t="s">
        <v>492</v>
      </c>
      <c r="P1" s="73" t="s">
        <v>493</v>
      </c>
      <c r="Q1" s="73" t="s">
        <v>494</v>
      </c>
      <c r="R1" s="73" t="s">
        <v>495</v>
      </c>
      <c r="S1" s="73" t="s">
        <v>496</v>
      </c>
      <c r="T1" s="73" t="s">
        <v>497</v>
      </c>
      <c r="U1" s="73" t="s">
        <v>498</v>
      </c>
      <c r="V1" s="73" t="s">
        <v>499</v>
      </c>
      <c r="W1" s="73" t="s">
        <v>500</v>
      </c>
      <c r="X1" s="73" t="s">
        <v>501</v>
      </c>
      <c r="Y1" s="73" t="s">
        <v>502</v>
      </c>
      <c r="Z1" s="73" t="s">
        <v>503</v>
      </c>
      <c r="AA1" s="73" t="s">
        <v>504</v>
      </c>
      <c r="AB1" s="73" t="s">
        <v>505</v>
      </c>
      <c r="AC1" s="73" t="s">
        <v>506</v>
      </c>
      <c r="AD1" s="73" t="s">
        <v>507</v>
      </c>
      <c r="AE1" s="73" t="s">
        <v>508</v>
      </c>
      <c r="AF1" s="73" t="s">
        <v>509</v>
      </c>
      <c r="AG1" s="73" t="s">
        <v>510</v>
      </c>
      <c r="AH1" s="73" t="s">
        <v>511</v>
      </c>
      <c r="AI1" s="73" t="s">
        <v>512</v>
      </c>
      <c r="AJ1" s="73" t="s">
        <v>513</v>
      </c>
      <c r="AK1" s="73" t="s">
        <v>514</v>
      </c>
    </row>
    <row r="2" spans="1:37">
      <c r="A2" s="74" t="s">
        <v>515</v>
      </c>
      <c r="B2" s="75" t="s">
        <v>516</v>
      </c>
      <c r="C2" s="75" t="s">
        <v>516</v>
      </c>
      <c r="D2" s="75" t="s">
        <v>516</v>
      </c>
      <c r="E2" s="75" t="s">
        <v>516</v>
      </c>
      <c r="F2" s="75" t="s">
        <v>516</v>
      </c>
      <c r="G2" s="75" t="s">
        <v>516</v>
      </c>
      <c r="H2" s="75" t="s">
        <v>516</v>
      </c>
      <c r="I2" s="245" t="s">
        <v>516</v>
      </c>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c r="AK2" s="245"/>
    </row>
    <row r="3" spans="1:37" ht="26.1">
      <c r="A3" s="76" t="s">
        <v>15</v>
      </c>
      <c r="B3" s="77" t="str">
        <f>IF(ISBLANK($A3),"NO_CODE",VLOOKUP($A3,'UPD Questions_290926 '!$E$1:$N$300,MATCH(B$1,'UPD Questions_290926 '!$E$1:$N$1,0),0)&amp;"")</f>
        <v xml:space="preserve">Planning </v>
      </c>
      <c r="C3" s="78" t="str">
        <f>IF(ISBLANK($A3),"NO_CODE",VLOOKUP($A3,'UPD Questions_290926 '!$E$1:$N$300,MATCH(C$1,'UPD Questions_290926 '!$E$1:$N$1,0),0)&amp;"")</f>
        <v xml:space="preserve">Legal and institutional planning architecture
</v>
      </c>
      <c r="D3" s="77" t="str">
        <f>IF(ISBLANK($A3),"NO_CODE",VLOOKUP($A3,'UPD Questions_290926 '!$E$1:$N$300,MATCH(D$1,'UPD Questions_290926 '!$E$1:$N$1,0),0)&amp;"")</f>
        <v>State-level planning framework</v>
      </c>
      <c r="E3" s="77" t="str">
        <f>IF(ISBLANK($A3),"NO_CODE",VLOOKUP($A3,'UPD Questions_290926 '!$E$1:$N$300,MATCH(E$1,'UPD Questions_290926 '!$E$1:$N$1,0),0)&amp;"")</f>
        <v>MQ</v>
      </c>
      <c r="F3" s="77" t="str">
        <f>IF(ISBLANK($A3),"NO_CODE",VLOOKUP($A3,'UPD Questions_290926 '!$E$1:$N$300,MATCH(F$1,'UPD Questions_290926 '!$E$1:$N$1,0),0)&amp;"")</f>
        <v>Is there a provision for a State Spatial Planning Board which is mandated with planning policies and reforms for the state?</v>
      </c>
      <c r="G3" s="77" t="str">
        <f>IF(ISBLANK($A3),"NO_CODE",VLOOKUP($A3,'UPD Questions_290926 '!$E$1:$N$300,MATCH(G$1,'UPD Questions_290926 '!$E$1:$N$1,0),0)&amp;"")</f>
        <v>Law or Policy</v>
      </c>
      <c r="H3" s="79">
        <f>IF(ISBLANK($A3),"NO_CODE",VLOOKUP($A3,'UPD Questions_290926 '!$E$1:$N$300,MATCH(H$1,'UPD Questions_290926 '!$E$1:$N$1,0),0))</f>
        <v>10</v>
      </c>
      <c r="I3" s="80" t="str">
        <f t="shared" ref="I3:R4" ca="1" si="0">IF($H3=0,"NA",IF($A3=INDIRECT("'"&amp;$A3&amp;"'!$B$1"),IF(VLOOKUP(I$1,INDIRECT("'"&amp;$A3&amp;"'!$A$12:$Z$41"),MATCH("Points (Auto-generate)",INDIRECT("'"&amp;$A3&amp;"'!$A$12:$Z$12"),0),0)="","?",VLOOKUP(I$1,INDIRECT("'"&amp;$A3&amp;"'!$A$12:$Z$41"),MATCH("Points (Auto-generate)",INDIRECT("'"&amp;$A3&amp;"'!$A$12:$Z$12"),0),0)),"ER"))</f>
        <v>?</v>
      </c>
      <c r="J3" s="80" t="str">
        <f t="shared" ca="1" si="0"/>
        <v>?</v>
      </c>
      <c r="K3" s="80" t="str">
        <f t="shared" ca="1" si="0"/>
        <v>?</v>
      </c>
      <c r="L3" s="80" t="str">
        <f t="shared" ca="1" si="0"/>
        <v>?</v>
      </c>
      <c r="M3" s="80" t="str">
        <f t="shared" ca="1" si="0"/>
        <v>?</v>
      </c>
      <c r="N3" s="80" t="str">
        <f t="shared" ca="1" si="0"/>
        <v>?</v>
      </c>
      <c r="O3" s="80" t="str">
        <f t="shared" ca="1" si="0"/>
        <v>?</v>
      </c>
      <c r="P3" s="80" t="str">
        <f t="shared" ca="1" si="0"/>
        <v>?</v>
      </c>
      <c r="Q3" s="80" t="str">
        <f t="shared" ca="1" si="0"/>
        <v>?</v>
      </c>
      <c r="R3" s="80" t="str">
        <f t="shared" ca="1" si="0"/>
        <v>?</v>
      </c>
      <c r="S3" s="80" t="str">
        <f t="shared" ref="S3:AB4" ca="1" si="1">IF($H3=0,"NA",IF($A3=INDIRECT("'"&amp;$A3&amp;"'!$B$1"),IF(VLOOKUP(S$1,INDIRECT("'"&amp;$A3&amp;"'!$A$12:$Z$41"),MATCH("Points (Auto-generate)",INDIRECT("'"&amp;$A3&amp;"'!$A$12:$Z$12"),0),0)="","?",VLOOKUP(S$1,INDIRECT("'"&amp;$A3&amp;"'!$A$12:$Z$41"),MATCH("Points (Auto-generate)",INDIRECT("'"&amp;$A3&amp;"'!$A$12:$Z$12"),0),0)),"ER"))</f>
        <v>?</v>
      </c>
      <c r="T3" s="80" t="str">
        <f t="shared" ca="1" si="1"/>
        <v>?</v>
      </c>
      <c r="U3" s="80" t="str">
        <f t="shared" ca="1" si="1"/>
        <v>?</v>
      </c>
      <c r="V3" s="80" t="str">
        <f t="shared" ca="1" si="1"/>
        <v>?</v>
      </c>
      <c r="W3" s="80" t="str">
        <f t="shared" ca="1" si="1"/>
        <v>?</v>
      </c>
      <c r="X3" s="80" t="str">
        <f t="shared" ca="1" si="1"/>
        <v>?</v>
      </c>
      <c r="Y3" s="80" t="str">
        <f t="shared" ca="1" si="1"/>
        <v>?</v>
      </c>
      <c r="Z3" s="80" t="str">
        <f t="shared" ca="1" si="1"/>
        <v>?</v>
      </c>
      <c r="AA3" s="80" t="str">
        <f t="shared" ca="1" si="1"/>
        <v>?</v>
      </c>
      <c r="AB3" s="80" t="str">
        <f t="shared" ca="1" si="1"/>
        <v>?</v>
      </c>
      <c r="AC3" s="80" t="str">
        <f t="shared" ref="AC3:AK4" ca="1" si="2">IF($H3=0,"NA",IF($A3=INDIRECT("'"&amp;$A3&amp;"'!$B$1"),IF(VLOOKUP(AC$1,INDIRECT("'"&amp;$A3&amp;"'!$A$12:$Z$41"),MATCH("Points (Auto-generate)",INDIRECT("'"&amp;$A3&amp;"'!$A$12:$Z$12"),0),0)="","?",VLOOKUP(AC$1,INDIRECT("'"&amp;$A3&amp;"'!$A$12:$Z$41"),MATCH("Points (Auto-generate)",INDIRECT("'"&amp;$A3&amp;"'!$A$12:$Z$12"),0),0)),"ER"))</f>
        <v>?</v>
      </c>
      <c r="AD3" s="80" t="str">
        <f t="shared" ca="1" si="2"/>
        <v>?</v>
      </c>
      <c r="AE3" s="80" t="str">
        <f t="shared" ca="1" si="2"/>
        <v>?</v>
      </c>
      <c r="AF3" s="80" t="str">
        <f t="shared" ca="1" si="2"/>
        <v>?</v>
      </c>
      <c r="AG3" s="80" t="str">
        <f t="shared" ca="1" si="2"/>
        <v>?</v>
      </c>
      <c r="AH3" s="80" t="str">
        <f t="shared" ca="1" si="2"/>
        <v>?</v>
      </c>
      <c r="AI3" s="80" t="str">
        <f t="shared" ca="1" si="2"/>
        <v>?</v>
      </c>
      <c r="AJ3" s="80" t="str">
        <f t="shared" ca="1" si="2"/>
        <v>?</v>
      </c>
      <c r="AK3" s="80" t="str">
        <f t="shared" ca="1" si="2"/>
        <v>?</v>
      </c>
    </row>
    <row r="4" spans="1:37" ht="26.1">
      <c r="A4" s="76" t="s">
        <v>28</v>
      </c>
      <c r="B4" s="77" t="str">
        <f>IF(ISBLANK($A4),"NO_CODE",VLOOKUP($A4,'UPD Questions_290926 '!$E$1:$N$300,MATCH(B$1,'UPD Questions_290926 '!$E$1:$N$1,0),0)&amp;"")</f>
        <v xml:space="preserve">Planning </v>
      </c>
      <c r="C4" s="78" t="str">
        <f>IF(ISBLANK($A4),"NO_CODE",VLOOKUP($A4,'UPD Questions_290926 '!$E$1:$N$300,MATCH(C$1,'UPD Questions_290926 '!$E$1:$N$1,0),0)&amp;"")</f>
        <v xml:space="preserve">Legal and institutional planning architecture
</v>
      </c>
      <c r="D4" s="77" t="str">
        <f>IF(ISBLANK($A4),"NO_CODE",VLOOKUP($A4,'UPD Questions_290926 '!$E$1:$N$300,MATCH(D$1,'UPD Questions_290926 '!$E$1:$N$1,0),0)&amp;"")</f>
        <v>State-level planning framework</v>
      </c>
      <c r="E4" s="77" t="str">
        <f>IF(ISBLANK($A4),"NO_CODE",VLOOKUP($A4,'UPD Questions_290926 '!$E$1:$N$300,MATCH(E$1,'UPD Questions_290926 '!$E$1:$N$1,0),0)&amp;"")</f>
        <v>MQ</v>
      </c>
      <c r="F4" s="77" t="str">
        <f>IF(ISBLANK($A4),"NO_CODE",VLOOKUP($A4,'UPD Questions_290926 '!$E$1:$N$300,MATCH(F$1,'UPD Questions_290926 '!$E$1:$N$1,0),0)&amp;"")</f>
        <v>Is there a provision for the establishment of Planning Authorities for notified new towns or special developments?</v>
      </c>
      <c r="G4" s="77" t="str">
        <f>IF(ISBLANK($A4),"NO_CODE",VLOOKUP($A4,'UPD Questions_290926 '!$E$1:$N$300,MATCH(G$1,'UPD Questions_290926 '!$E$1:$N$1,0),0)&amp;"")</f>
        <v>Law or Policy</v>
      </c>
      <c r="H4" s="79">
        <f>IF(ISBLANK($A4),"NO_CODE",VLOOKUP($A4,'UPD Questions_290926 '!$E$1:$N$300,MATCH(H$1,'UPD Questions_290926 '!$E$1:$N$1,0),0))</f>
        <v>10</v>
      </c>
      <c r="I4" s="80" t="str">
        <f t="shared" ca="1" si="0"/>
        <v>?</v>
      </c>
      <c r="J4" s="80" t="str">
        <f t="shared" ca="1" si="0"/>
        <v>?</v>
      </c>
      <c r="K4" s="80" t="str">
        <f t="shared" ca="1" si="0"/>
        <v>?</v>
      </c>
      <c r="L4" s="80" t="str">
        <f t="shared" ca="1" si="0"/>
        <v>?</v>
      </c>
      <c r="M4" s="80" t="str">
        <f t="shared" ca="1" si="0"/>
        <v>?</v>
      </c>
      <c r="N4" s="80" t="str">
        <f t="shared" ca="1" si="0"/>
        <v>?</v>
      </c>
      <c r="O4" s="80" t="str">
        <f t="shared" ca="1" si="0"/>
        <v>?</v>
      </c>
      <c r="P4" s="80" t="str">
        <f t="shared" ca="1" si="0"/>
        <v>?</v>
      </c>
      <c r="Q4" s="80" t="str">
        <f t="shared" ca="1" si="0"/>
        <v>?</v>
      </c>
      <c r="R4" s="80" t="str">
        <f t="shared" ca="1" si="0"/>
        <v>?</v>
      </c>
      <c r="S4" s="80" t="str">
        <f t="shared" ca="1" si="1"/>
        <v>?</v>
      </c>
      <c r="T4" s="80" t="str">
        <f t="shared" ca="1" si="1"/>
        <v>?</v>
      </c>
      <c r="U4" s="80" t="str">
        <f t="shared" ca="1" si="1"/>
        <v>?</v>
      </c>
      <c r="V4" s="80" t="str">
        <f t="shared" ca="1" si="1"/>
        <v>?</v>
      </c>
      <c r="W4" s="80" t="str">
        <f t="shared" ca="1" si="1"/>
        <v>?</v>
      </c>
      <c r="X4" s="80" t="str">
        <f t="shared" ca="1" si="1"/>
        <v>?</v>
      </c>
      <c r="Y4" s="80" t="str">
        <f t="shared" ca="1" si="1"/>
        <v>?</v>
      </c>
      <c r="Z4" s="80" t="str">
        <f t="shared" ca="1" si="1"/>
        <v>?</v>
      </c>
      <c r="AA4" s="80" t="str">
        <f t="shared" ca="1" si="1"/>
        <v>?</v>
      </c>
      <c r="AB4" s="80" t="str">
        <f t="shared" ca="1" si="1"/>
        <v>?</v>
      </c>
      <c r="AC4" s="80" t="str">
        <f t="shared" ca="1" si="2"/>
        <v>?</v>
      </c>
      <c r="AD4" s="80" t="str">
        <f t="shared" ca="1" si="2"/>
        <v>?</v>
      </c>
      <c r="AE4" s="80" t="str">
        <f t="shared" ca="1" si="2"/>
        <v>?</v>
      </c>
      <c r="AF4" s="80" t="str">
        <f t="shared" ca="1" si="2"/>
        <v>?</v>
      </c>
      <c r="AG4" s="80" t="str">
        <f t="shared" ca="1" si="2"/>
        <v>?</v>
      </c>
      <c r="AH4" s="80" t="str">
        <f t="shared" ca="1" si="2"/>
        <v>?</v>
      </c>
      <c r="AI4" s="80" t="str">
        <f t="shared" ca="1" si="2"/>
        <v>?</v>
      </c>
      <c r="AJ4" s="80" t="str">
        <f t="shared" ca="1" si="2"/>
        <v>?</v>
      </c>
      <c r="AK4" s="80" t="str">
        <f t="shared" ca="1" si="2"/>
        <v>?</v>
      </c>
    </row>
    <row r="5" spans="1:37" ht="26.1">
      <c r="A5" s="76" t="s">
        <v>32</v>
      </c>
      <c r="B5" s="77" t="str">
        <f>IF(ISBLANK($A5),"NO_CODE",VLOOKUP($A5,'UPD Questions_290926 '!$E$1:$N$300,MATCH(B$1,'UPD Questions_290926 '!$E$1:$N$1,0),0)&amp;"")</f>
        <v xml:space="preserve">Planning </v>
      </c>
      <c r="C5" s="78" t="str">
        <f>IF(ISBLANK($A5),"NO_CODE",VLOOKUP($A5,'UPD Questions_290926 '!$E$1:$N$300,MATCH(C$1,'UPD Questions_290926 '!$E$1:$N$1,0),0)&amp;"")</f>
        <v xml:space="preserve">Legal and institutional planning architecture
</v>
      </c>
      <c r="D5" s="77" t="str">
        <f>IF(ISBLANK($A5),"NO_CODE",VLOOKUP($A5,'UPD Questions_290926 '!$E$1:$N$300,MATCH(D$1,'UPD Questions_290926 '!$E$1:$N$1,0),0)&amp;"")</f>
        <v>Spatial planning hierarchy</v>
      </c>
      <c r="E5" s="77" t="str">
        <f>IF(ISBLANK($A5),"NO_CODE",VLOOKUP($A5,'UPD Questions_290926 '!$E$1:$N$300,MATCH(E$1,'UPD Questions_290926 '!$E$1:$N$1,0),0)&amp;"")</f>
        <v>MQ</v>
      </c>
      <c r="F5" s="77" t="str">
        <f>IF(ISBLANK($A5),"NO_CODE",VLOOKUP($A5,'UPD Questions_290926 '!$E$1:$N$300,MATCH(F$1,'UPD Questions_290926 '!$E$1:$N$1,0),0)&amp;"")</f>
        <v>Does the Act require three levels of spatial plans for cities: Metropolitan/Regional, Municipal and Ward(s) /Local</v>
      </c>
      <c r="G5" s="77" t="str">
        <f>IF(ISBLANK($A5),"NO_CODE",VLOOKUP($A5,'UPD Questions_290926 '!$E$1:$N$300,MATCH(G$1,'UPD Questions_290926 '!$E$1:$N$1,0),0)&amp;"")</f>
        <v>Law or Policy</v>
      </c>
      <c r="H5" s="79">
        <f>IF(ISBLANK($A5),"NO_CODE",VLOOKUP($A5,'UPD Questions_290926 '!$E$1:$N$300,MATCH(H$1,'UPD Questions_290926 '!$E$1:$N$1,0),0))</f>
        <v>10</v>
      </c>
      <c r="I5" s="80" t="str">
        <f t="shared" ref="I5:AK5" ca="1" si="3">IF(OR(I6="ER",I7="ER",I8="ER"),"ER",IF(OR(I6="?",I7="?",I8="?"),"?",IF(AND(I6="NA",I7="NA",I8="NA"),"NA",SUM(I6,I7,I8)/((I6&lt;&gt;"NA")*$H$6+(I7&lt;&gt;"NA")*$H$7+(I8&lt;&gt;"NA")*$H$8)*$H5)))</f>
        <v>?</v>
      </c>
      <c r="J5" s="80" t="str">
        <f t="shared" ca="1" si="3"/>
        <v>?</v>
      </c>
      <c r="K5" s="80" t="str">
        <f t="shared" ca="1" si="3"/>
        <v>?</v>
      </c>
      <c r="L5" s="80" t="str">
        <f t="shared" ca="1" si="3"/>
        <v>?</v>
      </c>
      <c r="M5" s="80" t="str">
        <f t="shared" ca="1" si="3"/>
        <v>?</v>
      </c>
      <c r="N5" s="80" t="str">
        <f t="shared" ca="1" si="3"/>
        <v>?</v>
      </c>
      <c r="O5" s="80" t="str">
        <f t="shared" ca="1" si="3"/>
        <v>?</v>
      </c>
      <c r="P5" s="80" t="str">
        <f t="shared" ca="1" si="3"/>
        <v>?</v>
      </c>
      <c r="Q5" s="80" t="str">
        <f t="shared" ca="1" si="3"/>
        <v>?</v>
      </c>
      <c r="R5" s="80" t="str">
        <f t="shared" ca="1" si="3"/>
        <v>?</v>
      </c>
      <c r="S5" s="80" t="str">
        <f t="shared" ca="1" si="3"/>
        <v>?</v>
      </c>
      <c r="T5" s="80" t="str">
        <f t="shared" ca="1" si="3"/>
        <v>?</v>
      </c>
      <c r="U5" s="80" t="str">
        <f t="shared" ca="1" si="3"/>
        <v>?</v>
      </c>
      <c r="V5" s="80" t="str">
        <f t="shared" ca="1" si="3"/>
        <v>?</v>
      </c>
      <c r="W5" s="80" t="str">
        <f t="shared" ca="1" si="3"/>
        <v>?</v>
      </c>
      <c r="X5" s="80" t="str">
        <f t="shared" ca="1" si="3"/>
        <v>?</v>
      </c>
      <c r="Y5" s="80" t="str">
        <f t="shared" ca="1" si="3"/>
        <v>?</v>
      </c>
      <c r="Z5" s="80" t="str">
        <f t="shared" ca="1" si="3"/>
        <v>?</v>
      </c>
      <c r="AA5" s="80" t="str">
        <f t="shared" ca="1" si="3"/>
        <v>?</v>
      </c>
      <c r="AB5" s="80" t="str">
        <f t="shared" ca="1" si="3"/>
        <v>?</v>
      </c>
      <c r="AC5" s="80" t="str">
        <f t="shared" ca="1" si="3"/>
        <v>?</v>
      </c>
      <c r="AD5" s="80" t="str">
        <f t="shared" ca="1" si="3"/>
        <v>?</v>
      </c>
      <c r="AE5" s="80" t="str">
        <f t="shared" ca="1" si="3"/>
        <v>?</v>
      </c>
      <c r="AF5" s="80" t="str">
        <f t="shared" ca="1" si="3"/>
        <v>?</v>
      </c>
      <c r="AG5" s="80" t="str">
        <f t="shared" ca="1" si="3"/>
        <v>?</v>
      </c>
      <c r="AH5" s="80" t="str">
        <f t="shared" ca="1" si="3"/>
        <v>?</v>
      </c>
      <c r="AI5" s="80" t="str">
        <f t="shared" ca="1" si="3"/>
        <v>?</v>
      </c>
      <c r="AJ5" s="80" t="str">
        <f t="shared" ca="1" si="3"/>
        <v>?</v>
      </c>
      <c r="AK5" s="80" t="str">
        <f t="shared" ca="1" si="3"/>
        <v>?</v>
      </c>
    </row>
    <row r="6" spans="1:37" ht="26.1">
      <c r="A6" s="76" t="s">
        <v>38</v>
      </c>
      <c r="B6" s="77" t="str">
        <f>IF(ISBLANK($A6),"NO_CODE",VLOOKUP($A6,'UPD Questions_290926 '!$E$1:$N$300,MATCH(B$1,'UPD Questions_290926 '!$E$1:$N$1,0),0)&amp;"")</f>
        <v xml:space="preserve">Planning </v>
      </c>
      <c r="C6" s="78" t="str">
        <f>IF(ISBLANK($A6),"NO_CODE",VLOOKUP($A6,'UPD Questions_290926 '!$E$1:$N$300,MATCH(C$1,'UPD Questions_290926 '!$E$1:$N$1,0),0)&amp;"")</f>
        <v xml:space="preserve">Legal and institutional planning architecture
</v>
      </c>
      <c r="D6" s="77" t="str">
        <f>IF(ISBLANK($A6),"NO_CODE",VLOOKUP($A6,'UPD Questions_290926 '!$E$1:$N$300,MATCH(D$1,'UPD Questions_290926 '!$E$1:$N$1,0),0)&amp;"")</f>
        <v>Spatial planning hierarchy</v>
      </c>
      <c r="E6" s="77" t="str">
        <f>IF(ISBLANK($A6),"NO_CODE",VLOOKUP($A6,'UPD Questions_290926 '!$E$1:$N$300,MATCH(E$1,'UPD Questions_290926 '!$E$1:$N$1,0),0)&amp;"")</f>
        <v>SQ</v>
      </c>
      <c r="F6" s="77" t="str">
        <f>IF(ISBLANK($A6),"NO_CODE",VLOOKUP($A6,'UPD Questions_290926 '!$E$1:$N$300,MATCH(F$1,'UPD Questions_290926 '!$E$1:$N$1,0),0)&amp;"")</f>
        <v>Metropolitan/ Regional Plan</v>
      </c>
      <c r="G6" s="77" t="str">
        <f>IF(ISBLANK($A6),"NO_CODE",VLOOKUP($A6,'UPD Questions_290926 '!$E$1:$N$300,MATCH(G$1,'UPD Questions_290926 '!$E$1:$N$1,0),0)&amp;"")</f>
        <v>Law or Policy</v>
      </c>
      <c r="H6" s="79">
        <f>IF(ISBLANK($A6),"NO_CODE",VLOOKUP($A6,'UPD Questions_290926 '!$E$1:$N$300,MATCH(H$1,'UPD Questions_290926 '!$E$1:$N$1,0),0))</f>
        <v>3.33</v>
      </c>
      <c r="I6" s="80" t="str">
        <f t="shared" ref="I6:R9" ca="1" si="4">IF($H6=0,"NA",IF($A6=INDIRECT("'"&amp;$A6&amp;"'!$B$1"),IF(VLOOKUP(I$1,INDIRECT("'"&amp;$A6&amp;"'!$A$12:$Z$41"),MATCH("Points (Auto-generate)",INDIRECT("'"&amp;$A6&amp;"'!$A$12:$Z$12"),0),0)="","?",VLOOKUP(I$1,INDIRECT("'"&amp;$A6&amp;"'!$A$12:$Z$41"),MATCH("Points (Auto-generate)",INDIRECT("'"&amp;$A6&amp;"'!$A$12:$Z$12"),0),0)),"ER"))</f>
        <v>?</v>
      </c>
      <c r="J6" s="80" t="str">
        <f t="shared" ca="1" si="4"/>
        <v>?</v>
      </c>
      <c r="K6" s="80" t="str">
        <f t="shared" ca="1" si="4"/>
        <v>?</v>
      </c>
      <c r="L6" s="80" t="str">
        <f t="shared" ca="1" si="4"/>
        <v>?</v>
      </c>
      <c r="M6" s="80" t="str">
        <f t="shared" ca="1" si="4"/>
        <v>?</v>
      </c>
      <c r="N6" s="80" t="str">
        <f t="shared" ca="1" si="4"/>
        <v>?</v>
      </c>
      <c r="O6" s="80" t="str">
        <f t="shared" ca="1" si="4"/>
        <v>?</v>
      </c>
      <c r="P6" s="80" t="str">
        <f t="shared" ca="1" si="4"/>
        <v>?</v>
      </c>
      <c r="Q6" s="80" t="str">
        <f t="shared" ca="1" si="4"/>
        <v>?</v>
      </c>
      <c r="R6" s="80" t="str">
        <f t="shared" ca="1" si="4"/>
        <v>?</v>
      </c>
      <c r="S6" s="80" t="str">
        <f t="shared" ref="S6:AB9" ca="1" si="5">IF($H6=0,"NA",IF($A6=INDIRECT("'"&amp;$A6&amp;"'!$B$1"),IF(VLOOKUP(S$1,INDIRECT("'"&amp;$A6&amp;"'!$A$12:$Z$41"),MATCH("Points (Auto-generate)",INDIRECT("'"&amp;$A6&amp;"'!$A$12:$Z$12"),0),0)="","?",VLOOKUP(S$1,INDIRECT("'"&amp;$A6&amp;"'!$A$12:$Z$41"),MATCH("Points (Auto-generate)",INDIRECT("'"&amp;$A6&amp;"'!$A$12:$Z$12"),0),0)),"ER"))</f>
        <v>?</v>
      </c>
      <c r="T6" s="80" t="str">
        <f t="shared" ca="1" si="5"/>
        <v>?</v>
      </c>
      <c r="U6" s="80" t="str">
        <f t="shared" ca="1" si="5"/>
        <v>?</v>
      </c>
      <c r="V6" s="80" t="str">
        <f t="shared" ca="1" si="5"/>
        <v>?</v>
      </c>
      <c r="W6" s="80" t="str">
        <f t="shared" ca="1" si="5"/>
        <v>?</v>
      </c>
      <c r="X6" s="80" t="str">
        <f t="shared" ca="1" si="5"/>
        <v>?</v>
      </c>
      <c r="Y6" s="80" t="str">
        <f t="shared" ca="1" si="5"/>
        <v>?</v>
      </c>
      <c r="Z6" s="80" t="str">
        <f t="shared" ca="1" si="5"/>
        <v>?</v>
      </c>
      <c r="AA6" s="80" t="str">
        <f t="shared" ca="1" si="5"/>
        <v>?</v>
      </c>
      <c r="AB6" s="80" t="str">
        <f t="shared" ca="1" si="5"/>
        <v>?</v>
      </c>
      <c r="AC6" s="80" t="str">
        <f t="shared" ref="AC6:AK9" ca="1" si="6">IF($H6=0,"NA",IF($A6=INDIRECT("'"&amp;$A6&amp;"'!$B$1"),IF(VLOOKUP(AC$1,INDIRECT("'"&amp;$A6&amp;"'!$A$12:$Z$41"),MATCH("Points (Auto-generate)",INDIRECT("'"&amp;$A6&amp;"'!$A$12:$Z$12"),0),0)="","?",VLOOKUP(AC$1,INDIRECT("'"&amp;$A6&amp;"'!$A$12:$Z$41"),MATCH("Points (Auto-generate)",INDIRECT("'"&amp;$A6&amp;"'!$A$12:$Z$12"),0),0)),"ER"))</f>
        <v>?</v>
      </c>
      <c r="AD6" s="80" t="str">
        <f t="shared" ca="1" si="6"/>
        <v>?</v>
      </c>
      <c r="AE6" s="80" t="str">
        <f t="shared" ca="1" si="6"/>
        <v>?</v>
      </c>
      <c r="AF6" s="80" t="str">
        <f t="shared" ca="1" si="6"/>
        <v>?</v>
      </c>
      <c r="AG6" s="80" t="str">
        <f t="shared" ca="1" si="6"/>
        <v>?</v>
      </c>
      <c r="AH6" s="80" t="str">
        <f t="shared" ca="1" si="6"/>
        <v>?</v>
      </c>
      <c r="AI6" s="80" t="str">
        <f t="shared" ca="1" si="6"/>
        <v>?</v>
      </c>
      <c r="AJ6" s="80" t="str">
        <f t="shared" ca="1" si="6"/>
        <v>?</v>
      </c>
      <c r="AK6" s="80" t="str">
        <f t="shared" ca="1" si="6"/>
        <v>?</v>
      </c>
    </row>
    <row r="7" spans="1:37" ht="26.1">
      <c r="A7" s="76" t="s">
        <v>44</v>
      </c>
      <c r="B7" s="77" t="str">
        <f>IF(ISBLANK($A7),"NO_CODE",VLOOKUP($A7,'UPD Questions_290926 '!$E$1:$N$300,MATCH(B$1,'UPD Questions_290926 '!$E$1:$N$1,0),0)&amp;"")</f>
        <v xml:space="preserve">Planning </v>
      </c>
      <c r="C7" s="78" t="str">
        <f>IF(ISBLANK($A7),"NO_CODE",VLOOKUP($A7,'UPD Questions_290926 '!$E$1:$N$300,MATCH(C$1,'UPD Questions_290926 '!$E$1:$N$1,0),0)&amp;"")</f>
        <v xml:space="preserve">Legal and institutional planning architecture
</v>
      </c>
      <c r="D7" s="77" t="str">
        <f>IF(ISBLANK($A7),"NO_CODE",VLOOKUP($A7,'UPD Questions_290926 '!$E$1:$N$300,MATCH(D$1,'UPD Questions_290926 '!$E$1:$N$1,0),0)&amp;"")</f>
        <v>Spatial planning hierarchy</v>
      </c>
      <c r="E7" s="77" t="str">
        <f>IF(ISBLANK($A7),"NO_CODE",VLOOKUP($A7,'UPD Questions_290926 '!$E$1:$N$300,MATCH(E$1,'UPD Questions_290926 '!$E$1:$N$1,0),0)&amp;"")</f>
        <v>SQ</v>
      </c>
      <c r="F7" s="77" t="str">
        <f>IF(ISBLANK($A7),"NO_CODE",VLOOKUP($A7,'UPD Questions_290926 '!$E$1:$N$300,MATCH(F$1,'UPD Questions_290926 '!$E$1:$N$1,0),0)&amp;"")</f>
        <v>Municipal/city plan</v>
      </c>
      <c r="G7" s="77" t="str">
        <f>IF(ISBLANK($A7),"NO_CODE",VLOOKUP($A7,'UPD Questions_290926 '!$E$1:$N$300,MATCH(G$1,'UPD Questions_290926 '!$E$1:$N$1,0),0)&amp;"")</f>
        <v>Law or Policy</v>
      </c>
      <c r="H7" s="79">
        <f>IF(ISBLANK($A7),"NO_CODE",VLOOKUP($A7,'UPD Questions_290926 '!$E$1:$N$300,MATCH(H$1,'UPD Questions_290926 '!$E$1:$N$1,0),0))</f>
        <v>3.33</v>
      </c>
      <c r="I7" s="80" t="str">
        <f t="shared" ca="1" si="4"/>
        <v>?</v>
      </c>
      <c r="J7" s="80" t="str">
        <f t="shared" ca="1" si="4"/>
        <v>?</v>
      </c>
      <c r="K7" s="80" t="str">
        <f t="shared" ca="1" si="4"/>
        <v>?</v>
      </c>
      <c r="L7" s="80" t="str">
        <f t="shared" ca="1" si="4"/>
        <v>?</v>
      </c>
      <c r="M7" s="80" t="str">
        <f t="shared" ca="1" si="4"/>
        <v>?</v>
      </c>
      <c r="N7" s="80" t="str">
        <f t="shared" ca="1" si="4"/>
        <v>?</v>
      </c>
      <c r="O7" s="80" t="str">
        <f t="shared" ca="1" si="4"/>
        <v>?</v>
      </c>
      <c r="P7" s="80" t="str">
        <f t="shared" ca="1" si="4"/>
        <v>?</v>
      </c>
      <c r="Q7" s="80" t="str">
        <f t="shared" ca="1" si="4"/>
        <v>?</v>
      </c>
      <c r="R7" s="80" t="str">
        <f t="shared" ca="1" si="4"/>
        <v>?</v>
      </c>
      <c r="S7" s="80" t="str">
        <f t="shared" ca="1" si="5"/>
        <v>?</v>
      </c>
      <c r="T7" s="80" t="str">
        <f t="shared" ca="1" si="5"/>
        <v>?</v>
      </c>
      <c r="U7" s="80" t="str">
        <f t="shared" ca="1" si="5"/>
        <v>?</v>
      </c>
      <c r="V7" s="80" t="str">
        <f t="shared" ca="1" si="5"/>
        <v>?</v>
      </c>
      <c r="W7" s="80" t="str">
        <f t="shared" ca="1" si="5"/>
        <v>?</v>
      </c>
      <c r="X7" s="80" t="str">
        <f t="shared" ca="1" si="5"/>
        <v>?</v>
      </c>
      <c r="Y7" s="80" t="str">
        <f t="shared" ca="1" si="5"/>
        <v>?</v>
      </c>
      <c r="Z7" s="80" t="str">
        <f t="shared" ca="1" si="5"/>
        <v>?</v>
      </c>
      <c r="AA7" s="80" t="str">
        <f t="shared" ca="1" si="5"/>
        <v>?</v>
      </c>
      <c r="AB7" s="80" t="str">
        <f t="shared" ca="1" si="5"/>
        <v>?</v>
      </c>
      <c r="AC7" s="80" t="str">
        <f t="shared" ca="1" si="6"/>
        <v>?</v>
      </c>
      <c r="AD7" s="80" t="str">
        <f t="shared" ca="1" si="6"/>
        <v>?</v>
      </c>
      <c r="AE7" s="80" t="str">
        <f t="shared" ca="1" si="6"/>
        <v>?</v>
      </c>
      <c r="AF7" s="80" t="str">
        <f t="shared" ca="1" si="6"/>
        <v>?</v>
      </c>
      <c r="AG7" s="80" t="str">
        <f t="shared" ca="1" si="6"/>
        <v>?</v>
      </c>
      <c r="AH7" s="80" t="str">
        <f t="shared" ca="1" si="6"/>
        <v>?</v>
      </c>
      <c r="AI7" s="80" t="str">
        <f t="shared" ca="1" si="6"/>
        <v>?</v>
      </c>
      <c r="AJ7" s="80" t="str">
        <f t="shared" ca="1" si="6"/>
        <v>?</v>
      </c>
      <c r="AK7" s="80" t="str">
        <f t="shared" ca="1" si="6"/>
        <v>?</v>
      </c>
    </row>
    <row r="8" spans="1:37" ht="26.1">
      <c r="A8" s="76" t="s">
        <v>49</v>
      </c>
      <c r="B8" s="77" t="str">
        <f>IF(ISBLANK($A8),"NO_CODE",VLOOKUP($A8,'UPD Questions_290926 '!$E$1:$N$300,MATCH(B$1,'UPD Questions_290926 '!$E$1:$N$1,0),0)&amp;"")</f>
        <v xml:space="preserve">Planning </v>
      </c>
      <c r="C8" s="78" t="str">
        <f>IF(ISBLANK($A8),"NO_CODE",VLOOKUP($A8,'UPD Questions_290926 '!$E$1:$N$300,MATCH(C$1,'UPD Questions_290926 '!$E$1:$N$1,0),0)&amp;"")</f>
        <v xml:space="preserve">Legal and institutional planning architecture
</v>
      </c>
      <c r="D8" s="77" t="str">
        <f>IF(ISBLANK($A8),"NO_CODE",VLOOKUP($A8,'UPD Questions_290926 '!$E$1:$N$300,MATCH(D$1,'UPD Questions_290926 '!$E$1:$N$1,0),0)&amp;"")</f>
        <v>Spatial planning hierarchy</v>
      </c>
      <c r="E8" s="77" t="str">
        <f>IF(ISBLANK($A8),"NO_CODE",VLOOKUP($A8,'UPD Questions_290926 '!$E$1:$N$300,MATCH(E$1,'UPD Questions_290926 '!$E$1:$N$1,0),0)&amp;"")</f>
        <v>SQ</v>
      </c>
      <c r="F8" s="77" t="str">
        <f>IF(ISBLANK($A8),"NO_CODE",VLOOKUP($A8,'UPD Questions_290926 '!$E$1:$N$300,MATCH(F$1,'UPD Questions_290926 '!$E$1:$N$1,0),0)&amp;"")</f>
        <v>Ward(s)/local plan</v>
      </c>
      <c r="G8" s="77" t="str">
        <f>IF(ISBLANK($A8),"NO_CODE",VLOOKUP($A8,'UPD Questions_290926 '!$E$1:$N$300,MATCH(G$1,'UPD Questions_290926 '!$E$1:$N$1,0),0)&amp;"")</f>
        <v>Law or Policy</v>
      </c>
      <c r="H8" s="79">
        <f>IF(ISBLANK($A8),"NO_CODE",VLOOKUP($A8,'UPD Questions_290926 '!$E$1:$N$300,MATCH(H$1,'UPD Questions_290926 '!$E$1:$N$1,0),0))</f>
        <v>3.33</v>
      </c>
      <c r="I8" s="80" t="str">
        <f t="shared" ca="1" si="4"/>
        <v>?</v>
      </c>
      <c r="J8" s="80" t="str">
        <f t="shared" ca="1" si="4"/>
        <v>?</v>
      </c>
      <c r="K8" s="80" t="str">
        <f t="shared" ca="1" si="4"/>
        <v>?</v>
      </c>
      <c r="L8" s="80" t="str">
        <f t="shared" ca="1" si="4"/>
        <v>?</v>
      </c>
      <c r="M8" s="80" t="str">
        <f t="shared" ca="1" si="4"/>
        <v>?</v>
      </c>
      <c r="N8" s="80" t="str">
        <f t="shared" ca="1" si="4"/>
        <v>?</v>
      </c>
      <c r="O8" s="80" t="str">
        <f t="shared" ca="1" si="4"/>
        <v>?</v>
      </c>
      <c r="P8" s="80" t="str">
        <f t="shared" ca="1" si="4"/>
        <v>?</v>
      </c>
      <c r="Q8" s="80" t="str">
        <f t="shared" ca="1" si="4"/>
        <v>?</v>
      </c>
      <c r="R8" s="80" t="str">
        <f t="shared" ca="1" si="4"/>
        <v>?</v>
      </c>
      <c r="S8" s="80" t="str">
        <f t="shared" ca="1" si="5"/>
        <v>?</v>
      </c>
      <c r="T8" s="80" t="str">
        <f t="shared" ca="1" si="5"/>
        <v>?</v>
      </c>
      <c r="U8" s="80" t="str">
        <f t="shared" ca="1" si="5"/>
        <v>?</v>
      </c>
      <c r="V8" s="80" t="str">
        <f t="shared" ca="1" si="5"/>
        <v>?</v>
      </c>
      <c r="W8" s="80" t="str">
        <f t="shared" ca="1" si="5"/>
        <v>?</v>
      </c>
      <c r="X8" s="80" t="str">
        <f t="shared" ca="1" si="5"/>
        <v>?</v>
      </c>
      <c r="Y8" s="80" t="str">
        <f t="shared" ca="1" si="5"/>
        <v>?</v>
      </c>
      <c r="Z8" s="80" t="str">
        <f t="shared" ca="1" si="5"/>
        <v>?</v>
      </c>
      <c r="AA8" s="80" t="str">
        <f t="shared" ca="1" si="5"/>
        <v>?</v>
      </c>
      <c r="AB8" s="80" t="str">
        <f t="shared" ca="1" si="5"/>
        <v>?</v>
      </c>
      <c r="AC8" s="80" t="str">
        <f t="shared" ca="1" si="6"/>
        <v>?</v>
      </c>
      <c r="AD8" s="80" t="str">
        <f t="shared" ca="1" si="6"/>
        <v>?</v>
      </c>
      <c r="AE8" s="80" t="str">
        <f t="shared" ca="1" si="6"/>
        <v>?</v>
      </c>
      <c r="AF8" s="80" t="str">
        <f t="shared" ca="1" si="6"/>
        <v>?</v>
      </c>
      <c r="AG8" s="80" t="str">
        <f t="shared" ca="1" si="6"/>
        <v>?</v>
      </c>
      <c r="AH8" s="80" t="str">
        <f t="shared" ca="1" si="6"/>
        <v>?</v>
      </c>
      <c r="AI8" s="80" t="str">
        <f t="shared" ca="1" si="6"/>
        <v>?</v>
      </c>
      <c r="AJ8" s="80" t="str">
        <f t="shared" ca="1" si="6"/>
        <v>?</v>
      </c>
      <c r="AK8" s="80" t="str">
        <f t="shared" ca="1" si="6"/>
        <v>?</v>
      </c>
    </row>
    <row r="9" spans="1:37" ht="26.1">
      <c r="A9" s="76" t="s">
        <v>55</v>
      </c>
      <c r="B9" s="77" t="str">
        <f>IF(ISBLANK($A9),"NO_CODE",VLOOKUP($A9,'UPD Questions_290926 '!$E$1:$N$300,MATCH(B$1,'UPD Questions_290926 '!$E$1:$N$1,0),0)&amp;"")</f>
        <v xml:space="preserve">Planning </v>
      </c>
      <c r="C9" s="78" t="str">
        <f>IF(ISBLANK($A9),"NO_CODE",VLOOKUP($A9,'UPD Questions_290926 '!$E$1:$N$300,MATCH(C$1,'UPD Questions_290926 '!$E$1:$N$1,0),0)&amp;"")</f>
        <v xml:space="preserve">Legal and institutional planning architecture
</v>
      </c>
      <c r="D9" s="77" t="str">
        <f>IF(ISBLANK($A9),"NO_CODE",VLOOKUP($A9,'UPD Questions_290926 '!$E$1:$N$300,MATCH(D$1,'UPD Questions_290926 '!$E$1:$N$1,0),0)&amp;"")</f>
        <v>Spatial planning hierarchy</v>
      </c>
      <c r="E9" s="77" t="str">
        <f>IF(ISBLANK($A9),"NO_CODE",VLOOKUP($A9,'UPD Questions_290926 '!$E$1:$N$300,MATCH(E$1,'UPD Questions_290926 '!$E$1:$N$1,0),0)&amp;"")</f>
        <v>MQ</v>
      </c>
      <c r="F9" s="77" t="str">
        <f>IF(ISBLANK($A9),"NO_CODE",VLOOKUP($A9,'UPD Questions_290926 '!$E$1:$N$300,MATCH(F$1,'UPD Questions_290926 '!$E$1:$N$1,0),0)&amp;"")</f>
        <v>Is the planning boundary of the municipal/city plan aligned with political and administrative boundaries?</v>
      </c>
      <c r="G9" s="77" t="str">
        <f>IF(ISBLANK($A9),"NO_CODE",VLOOKUP($A9,'UPD Questions_290926 '!$E$1:$N$300,MATCH(G$1,'UPD Questions_290926 '!$E$1:$N$1,0),0)&amp;"")</f>
        <v>Law or Policy</v>
      </c>
      <c r="H9" s="79">
        <f>IF(ISBLANK($A9),"NO_CODE",VLOOKUP($A9,'UPD Questions_290926 '!$E$1:$N$300,MATCH(H$1,'UPD Questions_290926 '!$E$1:$N$1,0),0))</f>
        <v>10</v>
      </c>
      <c r="I9" s="80" t="str">
        <f t="shared" ca="1" si="4"/>
        <v>?</v>
      </c>
      <c r="J9" s="80">
        <f t="shared" ca="1" si="4"/>
        <v>10</v>
      </c>
      <c r="K9" s="80" t="str">
        <f t="shared" ca="1" si="4"/>
        <v>?</v>
      </c>
      <c r="L9" s="80" t="str">
        <f t="shared" ca="1" si="4"/>
        <v>?</v>
      </c>
      <c r="M9" s="80" t="str">
        <f t="shared" ca="1" si="4"/>
        <v>?</v>
      </c>
      <c r="N9" s="80" t="str">
        <f t="shared" ca="1" si="4"/>
        <v>?</v>
      </c>
      <c r="O9" s="80" t="str">
        <f t="shared" ca="1" si="4"/>
        <v>?</v>
      </c>
      <c r="P9" s="80" t="str">
        <f t="shared" ca="1" si="4"/>
        <v>?</v>
      </c>
      <c r="Q9" s="80" t="str">
        <f t="shared" ca="1" si="4"/>
        <v>?</v>
      </c>
      <c r="R9" s="80" t="str">
        <f t="shared" ca="1" si="4"/>
        <v>?</v>
      </c>
      <c r="S9" s="80" t="str">
        <f t="shared" ca="1" si="5"/>
        <v>?</v>
      </c>
      <c r="T9" s="80" t="str">
        <f t="shared" ca="1" si="5"/>
        <v>?</v>
      </c>
      <c r="U9" s="80" t="str">
        <f t="shared" ca="1" si="5"/>
        <v>?</v>
      </c>
      <c r="V9" s="80" t="str">
        <f t="shared" ca="1" si="5"/>
        <v>?</v>
      </c>
      <c r="W9" s="80" t="str">
        <f t="shared" ca="1" si="5"/>
        <v>?</v>
      </c>
      <c r="X9" s="80" t="str">
        <f t="shared" ca="1" si="5"/>
        <v>?</v>
      </c>
      <c r="Y9" s="80" t="str">
        <f t="shared" ca="1" si="5"/>
        <v>?</v>
      </c>
      <c r="Z9" s="80" t="str">
        <f t="shared" ca="1" si="5"/>
        <v>?</v>
      </c>
      <c r="AA9" s="80" t="str">
        <f t="shared" ca="1" si="5"/>
        <v>?</v>
      </c>
      <c r="AB9" s="80" t="str">
        <f t="shared" ca="1" si="5"/>
        <v>?</v>
      </c>
      <c r="AC9" s="80" t="str">
        <f t="shared" ca="1" si="6"/>
        <v>?</v>
      </c>
      <c r="AD9" s="80" t="str">
        <f t="shared" ca="1" si="6"/>
        <v>?</v>
      </c>
      <c r="AE9" s="80" t="str">
        <f t="shared" ca="1" si="6"/>
        <v>?</v>
      </c>
      <c r="AF9" s="80" t="str">
        <f t="shared" ca="1" si="6"/>
        <v>?</v>
      </c>
      <c r="AG9" s="80" t="str">
        <f t="shared" ca="1" si="6"/>
        <v>?</v>
      </c>
      <c r="AH9" s="80" t="str">
        <f t="shared" ca="1" si="6"/>
        <v>?</v>
      </c>
      <c r="AI9" s="80" t="str">
        <f t="shared" ca="1" si="6"/>
        <v>?</v>
      </c>
      <c r="AJ9" s="80" t="str">
        <f t="shared" ca="1" si="6"/>
        <v>?</v>
      </c>
      <c r="AK9" s="80" t="str">
        <f t="shared" ca="1" si="6"/>
        <v>?</v>
      </c>
    </row>
    <row r="10" spans="1:37" ht="26.1">
      <c r="A10" s="76" t="s">
        <v>59</v>
      </c>
      <c r="B10" s="77" t="str">
        <f>IF(ISBLANK($A10),"NO_CODE",VLOOKUP($A10,'UPD Questions_290926 '!$E$1:$N$300,MATCH(B$1,'UPD Questions_290926 '!$E$1:$N$1,0),0)&amp;"")</f>
        <v xml:space="preserve">Planning </v>
      </c>
      <c r="C10" s="78" t="str">
        <f>IF(ISBLANK($A10),"NO_CODE",VLOOKUP($A10,'UPD Questions_290926 '!$E$1:$N$300,MATCH(C$1,'UPD Questions_290926 '!$E$1:$N$1,0),0)&amp;"")</f>
        <v xml:space="preserve">Legal and institutional planning architecture
</v>
      </c>
      <c r="D10" s="77" t="str">
        <f>IF(ISBLANK($A10),"NO_CODE",VLOOKUP($A10,'UPD Questions_290926 '!$E$1:$N$300,MATCH(D$1,'UPD Questions_290926 '!$E$1:$N$1,0),0)&amp;"")</f>
        <v>Spatial planning hierarchy</v>
      </c>
      <c r="E10" s="77" t="str">
        <f>IF(ISBLANK($A10),"NO_CODE",VLOOKUP($A10,'UPD Questions_290926 '!$E$1:$N$300,MATCH(E$1,'UPD Questions_290926 '!$E$1:$N$1,0),0)&amp;"")</f>
        <v>MQ</v>
      </c>
      <c r="F10" s="77" t="str">
        <f>IF(ISBLANK($A10),"NO_CODE",VLOOKUP($A10,'UPD Questions_290926 '!$E$1:$N$300,MATCH(F$1,'UPD Questions_290926 '!$E$1:$N$1,0),0)&amp;"")</f>
        <v>Is there a clear decentralised procedure for approvals of each level of plans?</v>
      </c>
      <c r="G10" s="77" t="str">
        <f>IF(ISBLANK($A10),"NO_CODE",VLOOKUP($A10,'UPD Questions_290926 '!$E$1:$N$300,MATCH(G$1,'UPD Questions_290926 '!$E$1:$N$1,0),0)&amp;"")</f>
        <v>Law or Policy</v>
      </c>
      <c r="H10" s="79">
        <f>IF(ISBLANK($A10),"NO_CODE",VLOOKUP($A10,'UPD Questions_290926 '!$E$1:$N$300,MATCH(H$1,'UPD Questions_290926 '!$E$1:$N$1,0),0))</f>
        <v>10</v>
      </c>
      <c r="I10" s="80" t="str">
        <f t="shared" ref="I10:AK10" ca="1" si="7">IF(OR(I11="ER",I12="ER",I13="ER"),"ER",IF(OR(I11="?",I12="?",I13="?"),"?",IF(AND(I11="NA",I12="NA",I13="NA"),"NA",SUM(I11,I12,I13)/((I11&lt;&gt;"NA")*$H$11+(I12&lt;&gt;"NA")*$H$12+(I13&lt;&gt;"NA")*$H$13)*$H10)))</f>
        <v>?</v>
      </c>
      <c r="J10" s="80" t="str">
        <f t="shared" ca="1" si="7"/>
        <v>?</v>
      </c>
      <c r="K10" s="80" t="str">
        <f t="shared" ca="1" si="7"/>
        <v>?</v>
      </c>
      <c r="L10" s="80" t="str">
        <f t="shared" ca="1" si="7"/>
        <v>?</v>
      </c>
      <c r="M10" s="80" t="str">
        <f t="shared" ca="1" si="7"/>
        <v>?</v>
      </c>
      <c r="N10" s="80" t="str">
        <f t="shared" ca="1" si="7"/>
        <v>?</v>
      </c>
      <c r="O10" s="80" t="str">
        <f t="shared" ca="1" si="7"/>
        <v>?</v>
      </c>
      <c r="P10" s="80" t="str">
        <f t="shared" ca="1" si="7"/>
        <v>?</v>
      </c>
      <c r="Q10" s="80" t="str">
        <f t="shared" ca="1" si="7"/>
        <v>?</v>
      </c>
      <c r="R10" s="80" t="str">
        <f t="shared" ca="1" si="7"/>
        <v>?</v>
      </c>
      <c r="S10" s="80" t="str">
        <f t="shared" ca="1" si="7"/>
        <v>?</v>
      </c>
      <c r="T10" s="80" t="str">
        <f t="shared" ca="1" si="7"/>
        <v>?</v>
      </c>
      <c r="U10" s="80" t="str">
        <f t="shared" ca="1" si="7"/>
        <v>?</v>
      </c>
      <c r="V10" s="80" t="str">
        <f t="shared" ca="1" si="7"/>
        <v>?</v>
      </c>
      <c r="W10" s="80" t="str">
        <f t="shared" ca="1" si="7"/>
        <v>?</v>
      </c>
      <c r="X10" s="80" t="str">
        <f t="shared" ca="1" si="7"/>
        <v>?</v>
      </c>
      <c r="Y10" s="80" t="str">
        <f t="shared" ca="1" si="7"/>
        <v>?</v>
      </c>
      <c r="Z10" s="80" t="str">
        <f t="shared" ca="1" si="7"/>
        <v>?</v>
      </c>
      <c r="AA10" s="80" t="str">
        <f t="shared" ca="1" si="7"/>
        <v>?</v>
      </c>
      <c r="AB10" s="80" t="str">
        <f t="shared" ca="1" si="7"/>
        <v>?</v>
      </c>
      <c r="AC10" s="80" t="str">
        <f t="shared" ca="1" si="7"/>
        <v>?</v>
      </c>
      <c r="AD10" s="80" t="str">
        <f t="shared" ca="1" si="7"/>
        <v>?</v>
      </c>
      <c r="AE10" s="80" t="str">
        <f t="shared" ca="1" si="7"/>
        <v>?</v>
      </c>
      <c r="AF10" s="80" t="str">
        <f t="shared" ca="1" si="7"/>
        <v>?</v>
      </c>
      <c r="AG10" s="80" t="str">
        <f t="shared" ca="1" si="7"/>
        <v>?</v>
      </c>
      <c r="AH10" s="80" t="str">
        <f t="shared" ca="1" si="7"/>
        <v>?</v>
      </c>
      <c r="AI10" s="80" t="str">
        <f t="shared" ca="1" si="7"/>
        <v>?</v>
      </c>
      <c r="AJ10" s="80" t="str">
        <f t="shared" ca="1" si="7"/>
        <v>?</v>
      </c>
      <c r="AK10" s="80" t="str">
        <f t="shared" ca="1" si="7"/>
        <v>?</v>
      </c>
    </row>
    <row r="11" spans="1:37" ht="26.1">
      <c r="A11" s="76" t="s">
        <v>63</v>
      </c>
      <c r="B11" s="77" t="str">
        <f>IF(ISBLANK($A11),"NO_CODE",VLOOKUP($A11,'UPD Questions_290926 '!$E$1:$N$300,MATCH(B$1,'UPD Questions_290926 '!$E$1:$N$1,0),0)&amp;"")</f>
        <v xml:space="preserve">Planning </v>
      </c>
      <c r="C11" s="78" t="str">
        <f>IF(ISBLANK($A11),"NO_CODE",VLOOKUP($A11,'UPD Questions_290926 '!$E$1:$N$300,MATCH(C$1,'UPD Questions_290926 '!$E$1:$N$1,0),0)&amp;"")</f>
        <v xml:space="preserve">Legal and institutional planning architecture
</v>
      </c>
      <c r="D11" s="77" t="str">
        <f>IF(ISBLANK($A11),"NO_CODE",VLOOKUP($A11,'UPD Questions_290926 '!$E$1:$N$300,MATCH(D$1,'UPD Questions_290926 '!$E$1:$N$1,0),0)&amp;"")</f>
        <v>Spatial planning hierarchy</v>
      </c>
      <c r="E11" s="77" t="str">
        <f>IF(ISBLANK($A11),"NO_CODE",VLOOKUP($A11,'UPD Questions_290926 '!$E$1:$N$300,MATCH(E$1,'UPD Questions_290926 '!$E$1:$N$1,0),0)&amp;"")</f>
        <v>SQ</v>
      </c>
      <c r="F11" s="77" t="str">
        <f>IF(ISBLANK($A11),"NO_CODE",VLOOKUP($A11,'UPD Questions_290926 '!$E$1:$N$300,MATCH(F$1,'UPD Questions_290926 '!$E$1:$N$1,0),0)&amp;"")</f>
        <v>Does the law mandate that the metropolitan/regional plan be approved by the state government?</v>
      </c>
      <c r="G11" s="77" t="str">
        <f>IF(ISBLANK($A11),"NO_CODE",VLOOKUP($A11,'UPD Questions_290926 '!$E$1:$N$300,MATCH(G$1,'UPD Questions_290926 '!$E$1:$N$1,0),0)&amp;"")</f>
        <v>Law or Policy</v>
      </c>
      <c r="H11" s="79">
        <f>IF(ISBLANK($A11),"NO_CODE",VLOOKUP($A11,'UPD Questions_290926 '!$E$1:$N$300,MATCH(H$1,'UPD Questions_290926 '!$E$1:$N$1,0),0))</f>
        <v>3.33</v>
      </c>
      <c r="I11" s="80" t="str">
        <f t="shared" ref="I11:R14" ca="1" si="8">IF($H11=0,"NA",IF($A11=INDIRECT("'"&amp;$A11&amp;"'!$B$1"),IF(VLOOKUP(I$1,INDIRECT("'"&amp;$A11&amp;"'!$A$12:$Z$41"),MATCH("Points (Auto-generate)",INDIRECT("'"&amp;$A11&amp;"'!$A$12:$Z$12"),0),0)="","?",VLOOKUP(I$1,INDIRECT("'"&amp;$A11&amp;"'!$A$12:$Z$41"),MATCH("Points (Auto-generate)",INDIRECT("'"&amp;$A11&amp;"'!$A$12:$Z$12"),0),0)),"ER"))</f>
        <v>?</v>
      </c>
      <c r="J11" s="80" t="str">
        <f t="shared" ca="1" si="8"/>
        <v>?</v>
      </c>
      <c r="K11" s="80" t="str">
        <f t="shared" ca="1" si="8"/>
        <v>?</v>
      </c>
      <c r="L11" s="80" t="str">
        <f t="shared" ca="1" si="8"/>
        <v>?</v>
      </c>
      <c r="M11" s="80" t="str">
        <f t="shared" ca="1" si="8"/>
        <v>?</v>
      </c>
      <c r="N11" s="80" t="str">
        <f t="shared" ca="1" si="8"/>
        <v>?</v>
      </c>
      <c r="O11" s="80" t="str">
        <f t="shared" ca="1" si="8"/>
        <v>?</v>
      </c>
      <c r="P11" s="80" t="str">
        <f t="shared" ca="1" si="8"/>
        <v>?</v>
      </c>
      <c r="Q11" s="80" t="str">
        <f t="shared" ca="1" si="8"/>
        <v>?</v>
      </c>
      <c r="R11" s="80" t="str">
        <f t="shared" ca="1" si="8"/>
        <v>?</v>
      </c>
      <c r="S11" s="80" t="str">
        <f t="shared" ref="S11:AB14" ca="1" si="9">IF($H11=0,"NA",IF($A11=INDIRECT("'"&amp;$A11&amp;"'!$B$1"),IF(VLOOKUP(S$1,INDIRECT("'"&amp;$A11&amp;"'!$A$12:$Z$41"),MATCH("Points (Auto-generate)",INDIRECT("'"&amp;$A11&amp;"'!$A$12:$Z$12"),0),0)="","?",VLOOKUP(S$1,INDIRECT("'"&amp;$A11&amp;"'!$A$12:$Z$41"),MATCH("Points (Auto-generate)",INDIRECT("'"&amp;$A11&amp;"'!$A$12:$Z$12"),0),0)),"ER"))</f>
        <v>?</v>
      </c>
      <c r="T11" s="80" t="str">
        <f t="shared" ca="1" si="9"/>
        <v>?</v>
      </c>
      <c r="U11" s="80" t="str">
        <f t="shared" ca="1" si="9"/>
        <v>?</v>
      </c>
      <c r="V11" s="80" t="str">
        <f t="shared" ca="1" si="9"/>
        <v>?</v>
      </c>
      <c r="W11" s="80" t="str">
        <f t="shared" ca="1" si="9"/>
        <v>?</v>
      </c>
      <c r="X11" s="80" t="str">
        <f t="shared" ca="1" si="9"/>
        <v>?</v>
      </c>
      <c r="Y11" s="80" t="str">
        <f t="shared" ca="1" si="9"/>
        <v>?</v>
      </c>
      <c r="Z11" s="80" t="str">
        <f t="shared" ca="1" si="9"/>
        <v>?</v>
      </c>
      <c r="AA11" s="80" t="str">
        <f t="shared" ca="1" si="9"/>
        <v>?</v>
      </c>
      <c r="AB11" s="80" t="str">
        <f t="shared" ca="1" si="9"/>
        <v>?</v>
      </c>
      <c r="AC11" s="80" t="str">
        <f t="shared" ref="AC11:AK14" ca="1" si="10">IF($H11=0,"NA",IF($A11=INDIRECT("'"&amp;$A11&amp;"'!$B$1"),IF(VLOOKUP(AC$1,INDIRECT("'"&amp;$A11&amp;"'!$A$12:$Z$41"),MATCH("Points (Auto-generate)",INDIRECT("'"&amp;$A11&amp;"'!$A$12:$Z$12"),0),0)="","?",VLOOKUP(AC$1,INDIRECT("'"&amp;$A11&amp;"'!$A$12:$Z$41"),MATCH("Points (Auto-generate)",INDIRECT("'"&amp;$A11&amp;"'!$A$12:$Z$12"),0),0)),"ER"))</f>
        <v>?</v>
      </c>
      <c r="AD11" s="80" t="str">
        <f t="shared" ca="1" si="10"/>
        <v>?</v>
      </c>
      <c r="AE11" s="80" t="str">
        <f t="shared" ca="1" si="10"/>
        <v>?</v>
      </c>
      <c r="AF11" s="80" t="str">
        <f t="shared" ca="1" si="10"/>
        <v>?</v>
      </c>
      <c r="AG11" s="80" t="str">
        <f t="shared" ca="1" si="10"/>
        <v>?</v>
      </c>
      <c r="AH11" s="80" t="str">
        <f t="shared" ca="1" si="10"/>
        <v>?</v>
      </c>
      <c r="AI11" s="80" t="str">
        <f t="shared" ca="1" si="10"/>
        <v>?</v>
      </c>
      <c r="AJ11" s="80" t="str">
        <f t="shared" ca="1" si="10"/>
        <v>?</v>
      </c>
      <c r="AK11" s="80" t="str">
        <f t="shared" ca="1" si="10"/>
        <v>?</v>
      </c>
    </row>
    <row r="12" spans="1:37" ht="26.1">
      <c r="A12" s="76" t="s">
        <v>67</v>
      </c>
      <c r="B12" s="77" t="str">
        <f>IF(ISBLANK($A12),"NO_CODE",VLOOKUP($A12,'UPD Questions_290926 '!$E$1:$N$300,MATCH(B$1,'UPD Questions_290926 '!$E$1:$N$1,0),0)&amp;"")</f>
        <v xml:space="preserve">Planning </v>
      </c>
      <c r="C12" s="78" t="str">
        <f>IF(ISBLANK($A12),"NO_CODE",VLOOKUP($A12,'UPD Questions_290926 '!$E$1:$N$300,MATCH(C$1,'UPD Questions_290926 '!$E$1:$N$1,0),0)&amp;"")</f>
        <v xml:space="preserve">Legal and institutional planning architecture
</v>
      </c>
      <c r="D12" s="77" t="str">
        <f>IF(ISBLANK($A12),"NO_CODE",VLOOKUP($A12,'UPD Questions_290926 '!$E$1:$N$300,MATCH(D$1,'UPD Questions_290926 '!$E$1:$N$1,0),0)&amp;"")</f>
        <v>Spatial planning hierarchy</v>
      </c>
      <c r="E12" s="77" t="str">
        <f>IF(ISBLANK($A12),"NO_CODE",VLOOKUP($A12,'UPD Questions_290926 '!$E$1:$N$300,MATCH(E$1,'UPD Questions_290926 '!$E$1:$N$1,0),0)&amp;"")</f>
        <v>SQ</v>
      </c>
      <c r="F12" s="77" t="str">
        <f>IF(ISBLANK($A12),"NO_CODE",VLOOKUP($A12,'UPD Questions_290926 '!$E$1:$N$300,MATCH(F$1,'UPD Questions_290926 '!$E$1:$N$1,0),0)&amp;"")</f>
        <v>Does the law mandate that the municipal/city plan be approved by the MPC (Metropolitan Planning Committee)  for metropolitan cities or by DPC (District Planning Committee) for non-metropolitan cities?</v>
      </c>
      <c r="G12" s="77" t="str">
        <f>IF(ISBLANK($A12),"NO_CODE",VLOOKUP($A12,'UPD Questions_290926 '!$E$1:$N$300,MATCH(G$1,'UPD Questions_290926 '!$E$1:$N$1,0),0)&amp;"")</f>
        <v>Law or Policy</v>
      </c>
      <c r="H12" s="79">
        <f>IF(ISBLANK($A12),"NO_CODE",VLOOKUP($A12,'UPD Questions_290926 '!$E$1:$N$300,MATCH(H$1,'UPD Questions_290926 '!$E$1:$N$1,0),0))</f>
        <v>3.33</v>
      </c>
      <c r="I12" s="80" t="str">
        <f t="shared" ca="1" si="8"/>
        <v>?</v>
      </c>
      <c r="J12" s="80" t="str">
        <f t="shared" ca="1" si="8"/>
        <v>?</v>
      </c>
      <c r="K12" s="80" t="str">
        <f t="shared" ca="1" si="8"/>
        <v>?</v>
      </c>
      <c r="L12" s="80" t="str">
        <f t="shared" ca="1" si="8"/>
        <v>?</v>
      </c>
      <c r="M12" s="80" t="str">
        <f t="shared" ca="1" si="8"/>
        <v>?</v>
      </c>
      <c r="N12" s="80" t="str">
        <f t="shared" ca="1" si="8"/>
        <v>?</v>
      </c>
      <c r="O12" s="80" t="str">
        <f t="shared" ca="1" si="8"/>
        <v>?</v>
      </c>
      <c r="P12" s="80" t="str">
        <f t="shared" ca="1" si="8"/>
        <v>?</v>
      </c>
      <c r="Q12" s="80" t="str">
        <f t="shared" ca="1" si="8"/>
        <v>?</v>
      </c>
      <c r="R12" s="80" t="str">
        <f t="shared" ca="1" si="8"/>
        <v>?</v>
      </c>
      <c r="S12" s="80" t="str">
        <f t="shared" ca="1" si="9"/>
        <v>?</v>
      </c>
      <c r="T12" s="80" t="str">
        <f t="shared" ca="1" si="9"/>
        <v>?</v>
      </c>
      <c r="U12" s="80" t="str">
        <f t="shared" ca="1" si="9"/>
        <v>?</v>
      </c>
      <c r="V12" s="80" t="str">
        <f t="shared" ca="1" si="9"/>
        <v>?</v>
      </c>
      <c r="W12" s="80" t="str">
        <f t="shared" ca="1" si="9"/>
        <v>?</v>
      </c>
      <c r="X12" s="80" t="str">
        <f t="shared" ca="1" si="9"/>
        <v>?</v>
      </c>
      <c r="Y12" s="80" t="str">
        <f t="shared" ca="1" si="9"/>
        <v>?</v>
      </c>
      <c r="Z12" s="80" t="str">
        <f t="shared" ca="1" si="9"/>
        <v>?</v>
      </c>
      <c r="AA12" s="80" t="str">
        <f t="shared" ca="1" si="9"/>
        <v>?</v>
      </c>
      <c r="AB12" s="80" t="str">
        <f t="shared" ca="1" si="9"/>
        <v>?</v>
      </c>
      <c r="AC12" s="80" t="str">
        <f t="shared" ca="1" si="10"/>
        <v>?</v>
      </c>
      <c r="AD12" s="80" t="str">
        <f t="shared" ca="1" si="10"/>
        <v>?</v>
      </c>
      <c r="AE12" s="80" t="str">
        <f t="shared" ca="1" si="10"/>
        <v>?</v>
      </c>
      <c r="AF12" s="80" t="str">
        <f t="shared" ca="1" si="10"/>
        <v>?</v>
      </c>
      <c r="AG12" s="80" t="str">
        <f t="shared" ca="1" si="10"/>
        <v>?</v>
      </c>
      <c r="AH12" s="80" t="str">
        <f t="shared" ca="1" si="10"/>
        <v>?</v>
      </c>
      <c r="AI12" s="80" t="str">
        <f t="shared" ca="1" si="10"/>
        <v>?</v>
      </c>
      <c r="AJ12" s="80" t="str">
        <f t="shared" ca="1" si="10"/>
        <v>?</v>
      </c>
      <c r="AK12" s="80" t="str">
        <f t="shared" ca="1" si="10"/>
        <v>?</v>
      </c>
    </row>
    <row r="13" spans="1:37" ht="26.1">
      <c r="A13" s="76" t="s">
        <v>71</v>
      </c>
      <c r="B13" s="77" t="str">
        <f>IF(ISBLANK($A13),"NO_CODE",VLOOKUP($A13,'UPD Questions_290926 '!$E$1:$N$300,MATCH(B$1,'UPD Questions_290926 '!$E$1:$N$1,0),0)&amp;"")</f>
        <v xml:space="preserve">Planning </v>
      </c>
      <c r="C13" s="78" t="str">
        <f>IF(ISBLANK($A13),"NO_CODE",VLOOKUP($A13,'UPD Questions_290926 '!$E$1:$N$300,MATCH(C$1,'UPD Questions_290926 '!$E$1:$N$1,0),0)&amp;"")</f>
        <v xml:space="preserve">Legal and institutional planning architecture
</v>
      </c>
      <c r="D13" s="77" t="str">
        <f>IF(ISBLANK($A13),"NO_CODE",VLOOKUP($A13,'UPD Questions_290926 '!$E$1:$N$300,MATCH(D$1,'UPD Questions_290926 '!$E$1:$N$1,0),0)&amp;"")</f>
        <v>Spatial planning hierarchy</v>
      </c>
      <c r="E13" s="77" t="str">
        <f>IF(ISBLANK($A13),"NO_CODE",VLOOKUP($A13,'UPD Questions_290926 '!$E$1:$N$300,MATCH(E$1,'UPD Questions_290926 '!$E$1:$N$1,0),0)&amp;"")</f>
        <v>SQ</v>
      </c>
      <c r="F13" s="77" t="str">
        <f>IF(ISBLANK($A13),"NO_CODE",VLOOKUP($A13,'UPD Questions_290926 '!$E$1:$N$300,MATCH(F$1,'UPD Questions_290926 '!$E$1:$N$1,0),0)&amp;"")</f>
        <v>Does the law mandate that the ward(s)/local plan be approved by the ULG?</v>
      </c>
      <c r="G13" s="77" t="str">
        <f>IF(ISBLANK($A13),"NO_CODE",VLOOKUP($A13,'UPD Questions_290926 '!$E$1:$N$300,MATCH(G$1,'UPD Questions_290926 '!$E$1:$N$1,0),0)&amp;"")</f>
        <v>Law or Policy</v>
      </c>
      <c r="H13" s="79">
        <f>IF(ISBLANK($A13),"NO_CODE",VLOOKUP($A13,'UPD Questions_290926 '!$E$1:$N$300,MATCH(H$1,'UPD Questions_290926 '!$E$1:$N$1,0),0))</f>
        <v>3.33</v>
      </c>
      <c r="I13" s="80" t="str">
        <f t="shared" ca="1" si="8"/>
        <v>?</v>
      </c>
      <c r="J13" s="80" t="str">
        <f t="shared" ca="1" si="8"/>
        <v>?</v>
      </c>
      <c r="K13" s="80" t="str">
        <f t="shared" ca="1" si="8"/>
        <v>?</v>
      </c>
      <c r="L13" s="80" t="str">
        <f t="shared" ca="1" si="8"/>
        <v>?</v>
      </c>
      <c r="M13" s="80" t="str">
        <f t="shared" ca="1" si="8"/>
        <v>?</v>
      </c>
      <c r="N13" s="80" t="str">
        <f t="shared" ca="1" si="8"/>
        <v>?</v>
      </c>
      <c r="O13" s="80" t="str">
        <f t="shared" ca="1" si="8"/>
        <v>?</v>
      </c>
      <c r="P13" s="80" t="str">
        <f t="shared" ca="1" si="8"/>
        <v>?</v>
      </c>
      <c r="Q13" s="80" t="str">
        <f t="shared" ca="1" si="8"/>
        <v>?</v>
      </c>
      <c r="R13" s="80" t="str">
        <f t="shared" ca="1" si="8"/>
        <v>?</v>
      </c>
      <c r="S13" s="80" t="str">
        <f t="shared" ca="1" si="9"/>
        <v>?</v>
      </c>
      <c r="T13" s="80" t="str">
        <f t="shared" ca="1" si="9"/>
        <v>?</v>
      </c>
      <c r="U13" s="80" t="str">
        <f t="shared" ca="1" si="9"/>
        <v>?</v>
      </c>
      <c r="V13" s="80" t="str">
        <f t="shared" ca="1" si="9"/>
        <v>?</v>
      </c>
      <c r="W13" s="80" t="str">
        <f t="shared" ca="1" si="9"/>
        <v>?</v>
      </c>
      <c r="X13" s="80" t="str">
        <f t="shared" ca="1" si="9"/>
        <v>?</v>
      </c>
      <c r="Y13" s="80" t="str">
        <f t="shared" ca="1" si="9"/>
        <v>?</v>
      </c>
      <c r="Z13" s="80" t="str">
        <f t="shared" ca="1" si="9"/>
        <v>?</v>
      </c>
      <c r="AA13" s="80" t="str">
        <f t="shared" ca="1" si="9"/>
        <v>?</v>
      </c>
      <c r="AB13" s="80" t="str">
        <f t="shared" ca="1" si="9"/>
        <v>?</v>
      </c>
      <c r="AC13" s="80" t="str">
        <f t="shared" ca="1" si="10"/>
        <v>?</v>
      </c>
      <c r="AD13" s="80" t="str">
        <f t="shared" ca="1" si="10"/>
        <v>?</v>
      </c>
      <c r="AE13" s="80" t="str">
        <f t="shared" ca="1" si="10"/>
        <v>?</v>
      </c>
      <c r="AF13" s="80" t="str">
        <f t="shared" ca="1" si="10"/>
        <v>?</v>
      </c>
      <c r="AG13" s="80" t="str">
        <f t="shared" ca="1" si="10"/>
        <v>?</v>
      </c>
      <c r="AH13" s="80" t="str">
        <f t="shared" ca="1" si="10"/>
        <v>?</v>
      </c>
      <c r="AI13" s="80" t="str">
        <f t="shared" ca="1" si="10"/>
        <v>?</v>
      </c>
      <c r="AJ13" s="80" t="str">
        <f t="shared" ca="1" si="10"/>
        <v>?</v>
      </c>
      <c r="AK13" s="80" t="str">
        <f t="shared" ca="1" si="10"/>
        <v>?</v>
      </c>
    </row>
    <row r="14" spans="1:37" ht="26.1">
      <c r="A14" s="76" t="s">
        <v>27</v>
      </c>
      <c r="B14" s="77" t="str">
        <f>IF(ISBLANK($A14),"NO_CODE",VLOOKUP($A14,'UPD Questions_290926 '!$E$1:$N$300,MATCH(B$1,'UPD Questions_290926 '!$E$1:$N$1,0),0)&amp;"")</f>
        <v xml:space="preserve">Planning </v>
      </c>
      <c r="C14" s="78" t="str">
        <f>IF(ISBLANK($A14),"NO_CODE",VLOOKUP($A14,'UPD Questions_290926 '!$E$1:$N$300,MATCH(C$1,'UPD Questions_290926 '!$E$1:$N$1,0),0)&amp;"")</f>
        <v xml:space="preserve">Legal and institutional planning architecture
</v>
      </c>
      <c r="D14" s="77" t="str">
        <f>IF(ISBLANK($A14),"NO_CODE",VLOOKUP($A14,'UPD Questions_290926 '!$E$1:$N$300,MATCH(D$1,'UPD Questions_290926 '!$E$1:$N$1,0),0)&amp;"")</f>
        <v>Objectives of each level of Municipal/City Plans</v>
      </c>
      <c r="E14" s="77" t="str">
        <f>IF(ISBLANK($A14),"NO_CODE",VLOOKUP($A14,'UPD Questions_290926 '!$E$1:$N$300,MATCH(E$1,'UPD Questions_290926 '!$E$1:$N$1,0),0)&amp;"")</f>
        <v>MQ</v>
      </c>
      <c r="F14" s="77" t="str">
        <f>IF(ISBLANK($A14),"NO_CODE",VLOOKUP($A14,'UPD Questions_290926 '!$E$1:$N$300,MATCH(F$1,'UPD Questions_290926 '!$E$1:$N$1,0),0)&amp;"")</f>
        <v>Does the Act clearly define the objectives/contents of each level of spatial plan?</v>
      </c>
      <c r="G14" s="77" t="str">
        <f>IF(ISBLANK($A14),"NO_CODE",VLOOKUP($A14,'UPD Questions_290926 '!$E$1:$N$300,MATCH(G$1,'UPD Questions_290926 '!$E$1:$N$1,0),0)&amp;"")</f>
        <v>Law or Policy</v>
      </c>
      <c r="H14" s="79">
        <f>IF(ISBLANK($A14),"NO_CODE",VLOOKUP($A14,'UPD Questions_290926 '!$E$1:$N$300,MATCH(H$1,'UPD Questions_290926 '!$E$1:$N$1,0),0))</f>
        <v>10</v>
      </c>
      <c r="I14" s="80" t="str">
        <f t="shared" ca="1" si="8"/>
        <v>?</v>
      </c>
      <c r="J14" s="80" t="str">
        <f t="shared" ca="1" si="8"/>
        <v>?</v>
      </c>
      <c r="K14" s="80" t="str">
        <f t="shared" ca="1" si="8"/>
        <v>?</v>
      </c>
      <c r="L14" s="80" t="str">
        <f t="shared" ca="1" si="8"/>
        <v>?</v>
      </c>
      <c r="M14" s="80" t="str">
        <f t="shared" ca="1" si="8"/>
        <v>?</v>
      </c>
      <c r="N14" s="80" t="str">
        <f t="shared" ca="1" si="8"/>
        <v>?</v>
      </c>
      <c r="O14" s="80" t="str">
        <f t="shared" ca="1" si="8"/>
        <v>?</v>
      </c>
      <c r="P14" s="80" t="str">
        <f t="shared" ca="1" si="8"/>
        <v>?</v>
      </c>
      <c r="Q14" s="80" t="str">
        <f t="shared" ca="1" si="8"/>
        <v>?</v>
      </c>
      <c r="R14" s="80" t="str">
        <f t="shared" ca="1" si="8"/>
        <v>?</v>
      </c>
      <c r="S14" s="80" t="str">
        <f t="shared" ca="1" si="9"/>
        <v>?</v>
      </c>
      <c r="T14" s="80" t="str">
        <f t="shared" ca="1" si="9"/>
        <v>?</v>
      </c>
      <c r="U14" s="80" t="str">
        <f t="shared" ca="1" si="9"/>
        <v>?</v>
      </c>
      <c r="V14" s="80" t="str">
        <f t="shared" ca="1" si="9"/>
        <v>?</v>
      </c>
      <c r="W14" s="80" t="str">
        <f t="shared" ca="1" si="9"/>
        <v>?</v>
      </c>
      <c r="X14" s="80" t="str">
        <f t="shared" ca="1" si="9"/>
        <v>?</v>
      </c>
      <c r="Y14" s="80" t="str">
        <f t="shared" ca="1" si="9"/>
        <v>?</v>
      </c>
      <c r="Z14" s="80" t="str">
        <f t="shared" ca="1" si="9"/>
        <v>?</v>
      </c>
      <c r="AA14" s="80" t="str">
        <f t="shared" ca="1" si="9"/>
        <v>?</v>
      </c>
      <c r="AB14" s="80" t="str">
        <f t="shared" ca="1" si="9"/>
        <v>?</v>
      </c>
      <c r="AC14" s="80" t="str">
        <f t="shared" ca="1" si="10"/>
        <v>?</v>
      </c>
      <c r="AD14" s="80" t="str">
        <f t="shared" ca="1" si="10"/>
        <v>?</v>
      </c>
      <c r="AE14" s="80" t="str">
        <f t="shared" ca="1" si="10"/>
        <v>?</v>
      </c>
      <c r="AF14" s="80" t="str">
        <f t="shared" ca="1" si="10"/>
        <v>?</v>
      </c>
      <c r="AG14" s="80" t="str">
        <f t="shared" ca="1" si="10"/>
        <v>?</v>
      </c>
      <c r="AH14" s="80" t="str">
        <f t="shared" ca="1" si="10"/>
        <v>?</v>
      </c>
      <c r="AI14" s="80" t="str">
        <f t="shared" ca="1" si="10"/>
        <v>?</v>
      </c>
      <c r="AJ14" s="80" t="str">
        <f t="shared" ca="1" si="10"/>
        <v>?</v>
      </c>
      <c r="AK14" s="80" t="str">
        <f t="shared" ca="1" si="10"/>
        <v>?</v>
      </c>
    </row>
    <row r="15" spans="1:37" ht="26.1">
      <c r="A15" s="76" t="s">
        <v>80</v>
      </c>
      <c r="B15" s="77" t="str">
        <f>IF(ISBLANK($A15),"NO_CODE",VLOOKUP($A15,'UPD Questions_290926 '!$E$1:$N$300,MATCH(B$1,'UPD Questions_290926 '!$E$1:$N$1,0),0)&amp;"")</f>
        <v xml:space="preserve">Planning </v>
      </c>
      <c r="C15" s="78" t="str">
        <f>IF(ISBLANK($A15),"NO_CODE",VLOOKUP($A15,'UPD Questions_290926 '!$E$1:$N$300,MATCH(C$1,'UPD Questions_290926 '!$E$1:$N$1,0),0)&amp;"")</f>
        <v xml:space="preserve">Legal and institutional planning architecture
</v>
      </c>
      <c r="D15" s="77" t="str">
        <f>IF(ISBLANK($A15),"NO_CODE",VLOOKUP($A15,'UPD Questions_290926 '!$E$1:$N$300,MATCH(D$1,'UPD Questions_290926 '!$E$1:$N$1,0),0)&amp;"")</f>
        <v>Metropolitan and district planning institutions</v>
      </c>
      <c r="E15" s="77" t="str">
        <f>IF(ISBLANK($A15),"NO_CODE",VLOOKUP($A15,'UPD Questions_290926 '!$E$1:$N$300,MATCH(E$1,'UPD Questions_290926 '!$E$1:$N$1,0),0)&amp;"")</f>
        <v>MQ</v>
      </c>
      <c r="F15" s="77" t="str">
        <f>IF(ISBLANK($A15),"NO_CODE",VLOOKUP($A15,'UPD Questions_290926 '!$E$1:$N$300,MATCH(F$1,'UPD Questions_290926 '!$E$1:$N$1,0),0)&amp;"")</f>
        <v>Does the city have a functional MPC/DPC?</v>
      </c>
      <c r="G15" s="77" t="str">
        <f>IF(ISBLANK($A15),"NO_CODE",VLOOKUP($A15,'UPD Questions_290926 '!$E$1:$N$300,MATCH(G$1,'UPD Questions_290926 '!$E$1:$N$1,0),0)&amp;"")</f>
        <v>Law/Policy &amp; Implementation</v>
      </c>
      <c r="H15" s="79">
        <f>IF(ISBLANK($A15),"NO_CODE",VLOOKUP($A15,'UPD Questions_290926 '!$E$1:$N$300,MATCH(H$1,'UPD Questions_290926 '!$E$1:$N$1,0),0))</f>
        <v>10</v>
      </c>
      <c r="I15" s="80" t="str">
        <f t="shared" ref="I15:AK15" ca="1" si="11">IF(OR(I16="ER",I17="ER"),"ER",IF(OR(I16="?",I17="?"),"?",IF(AND(I16="NA",I17="NA"),"NA",SUM(I16,I17)/((I16&lt;&gt;"NA")*$H$16+(I17&lt;&gt;"NA")*$H$17)*$H15)))</f>
        <v>?</v>
      </c>
      <c r="J15" s="80" t="str">
        <f t="shared" ca="1" si="11"/>
        <v>?</v>
      </c>
      <c r="K15" s="80" t="str">
        <f t="shared" ca="1" si="11"/>
        <v>?</v>
      </c>
      <c r="L15" s="80" t="str">
        <f t="shared" ca="1" si="11"/>
        <v>?</v>
      </c>
      <c r="M15" s="80" t="str">
        <f t="shared" ca="1" si="11"/>
        <v>?</v>
      </c>
      <c r="N15" s="80" t="str">
        <f t="shared" ca="1" si="11"/>
        <v>?</v>
      </c>
      <c r="O15" s="80" t="str">
        <f t="shared" ca="1" si="11"/>
        <v>?</v>
      </c>
      <c r="P15" s="80" t="str">
        <f t="shared" ca="1" si="11"/>
        <v>?</v>
      </c>
      <c r="Q15" s="80" t="str">
        <f t="shared" ca="1" si="11"/>
        <v>?</v>
      </c>
      <c r="R15" s="80" t="str">
        <f t="shared" ca="1" si="11"/>
        <v>?</v>
      </c>
      <c r="S15" s="80" t="str">
        <f t="shared" ca="1" si="11"/>
        <v>?</v>
      </c>
      <c r="T15" s="80" t="str">
        <f t="shared" ca="1" si="11"/>
        <v>?</v>
      </c>
      <c r="U15" s="80" t="str">
        <f t="shared" ca="1" si="11"/>
        <v>?</v>
      </c>
      <c r="V15" s="80" t="str">
        <f t="shared" ca="1" si="11"/>
        <v>?</v>
      </c>
      <c r="W15" s="80" t="str">
        <f t="shared" ca="1" si="11"/>
        <v>?</v>
      </c>
      <c r="X15" s="80" t="str">
        <f t="shared" ca="1" si="11"/>
        <v>?</v>
      </c>
      <c r="Y15" s="80" t="str">
        <f t="shared" ca="1" si="11"/>
        <v>?</v>
      </c>
      <c r="Z15" s="80" t="str">
        <f t="shared" ca="1" si="11"/>
        <v>?</v>
      </c>
      <c r="AA15" s="80" t="str">
        <f t="shared" ca="1" si="11"/>
        <v>?</v>
      </c>
      <c r="AB15" s="80" t="str">
        <f t="shared" ca="1" si="11"/>
        <v>?</v>
      </c>
      <c r="AC15" s="80" t="str">
        <f t="shared" ca="1" si="11"/>
        <v>?</v>
      </c>
      <c r="AD15" s="80" t="str">
        <f t="shared" ca="1" si="11"/>
        <v>?</v>
      </c>
      <c r="AE15" s="80" t="str">
        <f t="shared" ca="1" si="11"/>
        <v>?</v>
      </c>
      <c r="AF15" s="80" t="str">
        <f t="shared" ca="1" si="11"/>
        <v>?</v>
      </c>
      <c r="AG15" s="80" t="str">
        <f t="shared" ca="1" si="11"/>
        <v>?</v>
      </c>
      <c r="AH15" s="80" t="str">
        <f t="shared" ca="1" si="11"/>
        <v>?</v>
      </c>
      <c r="AI15" s="80" t="str">
        <f t="shared" ca="1" si="11"/>
        <v>?</v>
      </c>
      <c r="AJ15" s="80" t="str">
        <f t="shared" ca="1" si="11"/>
        <v>?</v>
      </c>
      <c r="AK15" s="80" t="str">
        <f t="shared" ca="1" si="11"/>
        <v>?</v>
      </c>
    </row>
    <row r="16" spans="1:37" ht="26.1">
      <c r="A16" s="76" t="s">
        <v>88</v>
      </c>
      <c r="B16" s="77" t="str">
        <f>IF(ISBLANK($A16),"NO_CODE",VLOOKUP($A16,'UPD Questions_290926 '!$E$1:$N$300,MATCH(B$1,'UPD Questions_290926 '!$E$1:$N$1,0),0)&amp;"")</f>
        <v xml:space="preserve">Planning </v>
      </c>
      <c r="C16" s="78" t="str">
        <f>IF(ISBLANK($A16),"NO_CODE",VLOOKUP($A16,'UPD Questions_290926 '!$E$1:$N$300,MATCH(C$1,'UPD Questions_290926 '!$E$1:$N$1,0),0)&amp;"")</f>
        <v xml:space="preserve">Legal and institutional planning architecture
</v>
      </c>
      <c r="D16" s="77" t="str">
        <f>IF(ISBLANK($A16),"NO_CODE",VLOOKUP($A16,'UPD Questions_290926 '!$E$1:$N$300,MATCH(D$1,'UPD Questions_290926 '!$E$1:$N$1,0),0)&amp;"")</f>
        <v>Metropolitan and district planning institutions</v>
      </c>
      <c r="E16" s="77" t="str">
        <f>IF(ISBLANK($A16),"NO_CODE",VLOOKUP($A16,'UPD Questions_290926 '!$E$1:$N$300,MATCH(E$1,'UPD Questions_290926 '!$E$1:$N$1,0),0)&amp;"")</f>
        <v>SQ</v>
      </c>
      <c r="F16" s="77" t="str">
        <f>IF(ISBLANK($A16),"NO_CODE",VLOOKUP($A16,'UPD Questions_290926 '!$E$1:$N$300,MATCH(F$1,'UPD Questions_290926 '!$E$1:$N$1,0),0)&amp;"")</f>
        <v>Does the law provide for the constitution of an MPC/DPC?</v>
      </c>
      <c r="G16" s="77" t="str">
        <f>IF(ISBLANK($A16),"NO_CODE",VLOOKUP($A16,'UPD Questions_290926 '!$E$1:$N$300,MATCH(G$1,'UPD Questions_290926 '!$E$1:$N$1,0),0)&amp;"")</f>
        <v>Law/Policy</v>
      </c>
      <c r="H16" s="79">
        <f>IF(ISBLANK($A16),"NO_CODE",VLOOKUP($A16,'UPD Questions_290926 '!$E$1:$N$300,MATCH(H$1,'UPD Questions_290926 '!$E$1:$N$1,0),0))</f>
        <v>5</v>
      </c>
      <c r="I16" s="80" t="str">
        <f t="shared" ref="I16:R20" ca="1" si="12">IF($H16=0,"NA",IF($A16=INDIRECT("'"&amp;$A16&amp;"'!$B$1"),IF(VLOOKUP(I$1,INDIRECT("'"&amp;$A16&amp;"'!$A$12:$Z$41"),MATCH("Points (Auto-generate)",INDIRECT("'"&amp;$A16&amp;"'!$A$12:$Z$12"),0),0)="","?",VLOOKUP(I$1,INDIRECT("'"&amp;$A16&amp;"'!$A$12:$Z$41"),MATCH("Points (Auto-generate)",INDIRECT("'"&amp;$A16&amp;"'!$A$12:$Z$12"),0),0)),"ER"))</f>
        <v>?</v>
      </c>
      <c r="J16" s="80" t="str">
        <f t="shared" ca="1" si="12"/>
        <v>?</v>
      </c>
      <c r="K16" s="80" t="str">
        <f t="shared" ca="1" si="12"/>
        <v>?</v>
      </c>
      <c r="L16" s="80" t="str">
        <f t="shared" ca="1" si="12"/>
        <v>?</v>
      </c>
      <c r="M16" s="80" t="str">
        <f t="shared" ca="1" si="12"/>
        <v>?</v>
      </c>
      <c r="N16" s="80" t="str">
        <f t="shared" ca="1" si="12"/>
        <v>?</v>
      </c>
      <c r="O16" s="80" t="str">
        <f t="shared" ca="1" si="12"/>
        <v>?</v>
      </c>
      <c r="P16" s="80" t="str">
        <f t="shared" ca="1" si="12"/>
        <v>?</v>
      </c>
      <c r="Q16" s="80" t="str">
        <f t="shared" ca="1" si="12"/>
        <v>?</v>
      </c>
      <c r="R16" s="80" t="str">
        <f t="shared" ca="1" si="12"/>
        <v>?</v>
      </c>
      <c r="S16" s="80" t="str">
        <f t="shared" ref="S16:AB20" ca="1" si="13">IF($H16=0,"NA",IF($A16=INDIRECT("'"&amp;$A16&amp;"'!$B$1"),IF(VLOOKUP(S$1,INDIRECT("'"&amp;$A16&amp;"'!$A$12:$Z$41"),MATCH("Points (Auto-generate)",INDIRECT("'"&amp;$A16&amp;"'!$A$12:$Z$12"),0),0)="","?",VLOOKUP(S$1,INDIRECT("'"&amp;$A16&amp;"'!$A$12:$Z$41"),MATCH("Points (Auto-generate)",INDIRECT("'"&amp;$A16&amp;"'!$A$12:$Z$12"),0),0)),"ER"))</f>
        <v>?</v>
      </c>
      <c r="T16" s="80" t="str">
        <f t="shared" ca="1" si="13"/>
        <v>?</v>
      </c>
      <c r="U16" s="80" t="str">
        <f t="shared" ca="1" si="13"/>
        <v>?</v>
      </c>
      <c r="V16" s="80" t="str">
        <f t="shared" ca="1" si="13"/>
        <v>?</v>
      </c>
      <c r="W16" s="80" t="str">
        <f t="shared" ca="1" si="13"/>
        <v>?</v>
      </c>
      <c r="X16" s="80" t="str">
        <f t="shared" ca="1" si="13"/>
        <v>?</v>
      </c>
      <c r="Y16" s="80" t="str">
        <f t="shared" ca="1" si="13"/>
        <v>?</v>
      </c>
      <c r="Z16" s="80" t="str">
        <f t="shared" ca="1" si="13"/>
        <v>?</v>
      </c>
      <c r="AA16" s="80" t="str">
        <f t="shared" ca="1" si="13"/>
        <v>?</v>
      </c>
      <c r="AB16" s="80" t="str">
        <f t="shared" ca="1" si="13"/>
        <v>?</v>
      </c>
      <c r="AC16" s="80" t="str">
        <f t="shared" ref="AC16:AK20" ca="1" si="14">IF($H16=0,"NA",IF($A16=INDIRECT("'"&amp;$A16&amp;"'!$B$1"),IF(VLOOKUP(AC$1,INDIRECT("'"&amp;$A16&amp;"'!$A$12:$Z$41"),MATCH("Points (Auto-generate)",INDIRECT("'"&amp;$A16&amp;"'!$A$12:$Z$12"),0),0)="","?",VLOOKUP(AC$1,INDIRECT("'"&amp;$A16&amp;"'!$A$12:$Z$41"),MATCH("Points (Auto-generate)",INDIRECT("'"&amp;$A16&amp;"'!$A$12:$Z$12"),0),0)),"ER"))</f>
        <v>?</v>
      </c>
      <c r="AD16" s="80" t="str">
        <f t="shared" ca="1" si="14"/>
        <v>?</v>
      </c>
      <c r="AE16" s="80" t="str">
        <f t="shared" ca="1" si="14"/>
        <v>?</v>
      </c>
      <c r="AF16" s="80" t="str">
        <f t="shared" ca="1" si="14"/>
        <v>?</v>
      </c>
      <c r="AG16" s="80" t="str">
        <f t="shared" ca="1" si="14"/>
        <v>?</v>
      </c>
      <c r="AH16" s="80" t="str">
        <f t="shared" ca="1" si="14"/>
        <v>?</v>
      </c>
      <c r="AI16" s="80" t="str">
        <f t="shared" ca="1" si="14"/>
        <v>?</v>
      </c>
      <c r="AJ16" s="80" t="str">
        <f t="shared" ca="1" si="14"/>
        <v>?</v>
      </c>
      <c r="AK16" s="80" t="str">
        <f t="shared" ca="1" si="14"/>
        <v>?</v>
      </c>
    </row>
    <row r="17" spans="1:37" ht="26.1">
      <c r="A17" s="76" t="s">
        <v>95</v>
      </c>
      <c r="B17" s="77" t="str">
        <f>IF(ISBLANK($A17),"NO_CODE",VLOOKUP($A17,'UPD Questions_290926 '!$E$1:$N$300,MATCH(B$1,'UPD Questions_290926 '!$E$1:$N$1,0),0)&amp;"")</f>
        <v xml:space="preserve">Planning </v>
      </c>
      <c r="C17" s="78" t="str">
        <f>IF(ISBLANK($A17),"NO_CODE",VLOOKUP($A17,'UPD Questions_290926 '!$E$1:$N$300,MATCH(C$1,'UPD Questions_290926 '!$E$1:$N$1,0),0)&amp;"")</f>
        <v xml:space="preserve">Legal and institutional planning architecture
</v>
      </c>
      <c r="D17" s="77" t="str">
        <f>IF(ISBLANK($A17),"NO_CODE",VLOOKUP($A17,'UPD Questions_290926 '!$E$1:$N$300,MATCH(D$1,'UPD Questions_290926 '!$E$1:$N$1,0),0)&amp;"")</f>
        <v>Metropolitan and district planning institutions</v>
      </c>
      <c r="E17" s="77" t="str">
        <f>IF(ISBLANK($A17),"NO_CODE",VLOOKUP($A17,'UPD Questions_290926 '!$E$1:$N$300,MATCH(E$1,'UPD Questions_290926 '!$E$1:$N$1,0),0)&amp;"")</f>
        <v>SQ</v>
      </c>
      <c r="F17" s="77" t="str">
        <f>IF(ISBLANK($A17),"NO_CODE",VLOOKUP($A17,'UPD Questions_290926 '!$E$1:$N$300,MATCH(F$1,'UPD Questions_290926 '!$E$1:$N$1,0),0)&amp;"")</f>
        <v>Have they met at least once in the past two years?</v>
      </c>
      <c r="G17" s="77" t="str">
        <f>IF(ISBLANK($A17),"NO_CODE",VLOOKUP($A17,'UPD Questions_290926 '!$E$1:$N$300,MATCH(G$1,'UPD Questions_290926 '!$E$1:$N$1,0),0)&amp;"")</f>
        <v>Implementation</v>
      </c>
      <c r="H17" s="79">
        <f>IF(ISBLANK($A17),"NO_CODE",VLOOKUP($A17,'UPD Questions_290926 '!$E$1:$N$300,MATCH(H$1,'UPD Questions_290926 '!$E$1:$N$1,0),0))</f>
        <v>5</v>
      </c>
      <c r="I17" s="80" t="str">
        <f t="shared" ca="1" si="12"/>
        <v>?</v>
      </c>
      <c r="J17" s="80" t="str">
        <f t="shared" ca="1" si="12"/>
        <v>?</v>
      </c>
      <c r="K17" s="80" t="str">
        <f t="shared" ca="1" si="12"/>
        <v>?</v>
      </c>
      <c r="L17" s="80" t="str">
        <f t="shared" ca="1" si="12"/>
        <v>?</v>
      </c>
      <c r="M17" s="80" t="str">
        <f t="shared" ca="1" si="12"/>
        <v>?</v>
      </c>
      <c r="N17" s="80" t="str">
        <f t="shared" ca="1" si="12"/>
        <v>?</v>
      </c>
      <c r="O17" s="80" t="str">
        <f t="shared" ca="1" si="12"/>
        <v>?</v>
      </c>
      <c r="P17" s="80" t="str">
        <f t="shared" ca="1" si="12"/>
        <v>?</v>
      </c>
      <c r="Q17" s="80" t="str">
        <f t="shared" ca="1" si="12"/>
        <v>?</v>
      </c>
      <c r="R17" s="80" t="str">
        <f t="shared" ca="1" si="12"/>
        <v>?</v>
      </c>
      <c r="S17" s="80" t="str">
        <f t="shared" ca="1" si="13"/>
        <v>?</v>
      </c>
      <c r="T17" s="80" t="str">
        <f t="shared" ca="1" si="13"/>
        <v>?</v>
      </c>
      <c r="U17" s="80" t="str">
        <f t="shared" ca="1" si="13"/>
        <v>?</v>
      </c>
      <c r="V17" s="80" t="str">
        <f t="shared" ca="1" si="13"/>
        <v>?</v>
      </c>
      <c r="W17" s="80" t="str">
        <f t="shared" ca="1" si="13"/>
        <v>?</v>
      </c>
      <c r="X17" s="80" t="str">
        <f t="shared" ca="1" si="13"/>
        <v>?</v>
      </c>
      <c r="Y17" s="80" t="str">
        <f t="shared" ca="1" si="13"/>
        <v>?</v>
      </c>
      <c r="Z17" s="80" t="str">
        <f t="shared" ca="1" si="13"/>
        <v>?</v>
      </c>
      <c r="AA17" s="80" t="str">
        <f t="shared" ca="1" si="13"/>
        <v>?</v>
      </c>
      <c r="AB17" s="80" t="str">
        <f t="shared" ca="1" si="13"/>
        <v>?</v>
      </c>
      <c r="AC17" s="80" t="str">
        <f t="shared" ca="1" si="14"/>
        <v>?</v>
      </c>
      <c r="AD17" s="80" t="str">
        <f t="shared" ca="1" si="14"/>
        <v>?</v>
      </c>
      <c r="AE17" s="80" t="str">
        <f t="shared" ca="1" si="14"/>
        <v>?</v>
      </c>
      <c r="AF17" s="80" t="str">
        <f t="shared" ca="1" si="14"/>
        <v>?</v>
      </c>
      <c r="AG17" s="80" t="str">
        <f t="shared" ca="1" si="14"/>
        <v>?</v>
      </c>
      <c r="AH17" s="80" t="str">
        <f t="shared" ca="1" si="14"/>
        <v>?</v>
      </c>
      <c r="AI17" s="80" t="str">
        <f t="shared" ca="1" si="14"/>
        <v>?</v>
      </c>
      <c r="AJ17" s="80" t="str">
        <f t="shared" ca="1" si="14"/>
        <v>?</v>
      </c>
      <c r="AK17" s="80" t="str">
        <f t="shared" ca="1" si="14"/>
        <v>?</v>
      </c>
    </row>
    <row r="18" spans="1:37" ht="26.1">
      <c r="A18" s="76" t="s">
        <v>100</v>
      </c>
      <c r="B18" s="77" t="str">
        <f>IF(ISBLANK($A18),"NO_CODE",VLOOKUP($A18,'UPD Questions_290926 '!$E$1:$N$300,MATCH(B$1,'UPD Questions_290926 '!$E$1:$N$1,0),0)&amp;"")</f>
        <v xml:space="preserve">Planning </v>
      </c>
      <c r="C18" s="78" t="str">
        <f>IF(ISBLANK($A18),"NO_CODE",VLOOKUP($A18,'UPD Questions_290926 '!$E$1:$N$300,MATCH(C$1,'UPD Questions_290926 '!$E$1:$N$1,0),0)&amp;"")</f>
        <v xml:space="preserve">Legal and institutional planning architecture
</v>
      </c>
      <c r="D18" s="77" t="str">
        <f>IF(ISBLANK($A18),"NO_CODE",VLOOKUP($A18,'UPD Questions_290926 '!$E$1:$N$300,MATCH(D$1,'UPD Questions_290926 '!$E$1:$N$1,0),0)&amp;"")</f>
        <v>Metropolitan and district planning institutions</v>
      </c>
      <c r="E18" s="77" t="str">
        <f>IF(ISBLANK($A18),"NO_CODE",VLOOKUP($A18,'UPD Questions_290926 '!$E$1:$N$300,MATCH(E$1,'UPD Questions_290926 '!$E$1:$N$1,0),0)&amp;"")</f>
        <v>MQ</v>
      </c>
      <c r="F18" s="77" t="str">
        <f>IF(ISBLANK($A18),"NO_CODE",VLOOKUP($A18,'UPD Questions_290926 '!$E$1:$N$300,MATCH(F$1,'UPD Questions_290926 '!$E$1:$N$1,0),0)&amp;"")</f>
        <v>Does the city (million-plus) have a Metropolitan Authority?</v>
      </c>
      <c r="G18" s="77" t="str">
        <f>IF(ISBLANK($A18),"NO_CODE",VLOOKUP($A18,'UPD Questions_290926 '!$E$1:$N$300,MATCH(G$1,'UPD Questions_290926 '!$E$1:$N$1,0),0)&amp;"")</f>
        <v xml:space="preserve">Law or Policy </v>
      </c>
      <c r="H18" s="79">
        <f>IF(ISBLANK($A18),"NO_CODE",VLOOKUP($A18,'UPD Questions_290926 '!$E$1:$N$300,MATCH(H$1,'UPD Questions_290926 '!$E$1:$N$1,0),0))</f>
        <v>10</v>
      </c>
      <c r="I18" s="80" t="str">
        <f t="shared" ca="1" si="12"/>
        <v>?</v>
      </c>
      <c r="J18" s="80" t="str">
        <f t="shared" ca="1" si="12"/>
        <v>?</v>
      </c>
      <c r="K18" s="80" t="str">
        <f t="shared" ca="1" si="12"/>
        <v>?</v>
      </c>
      <c r="L18" s="80" t="str">
        <f t="shared" ca="1" si="12"/>
        <v>?</v>
      </c>
      <c r="M18" s="80" t="str">
        <f t="shared" ca="1" si="12"/>
        <v>?</v>
      </c>
      <c r="N18" s="80" t="str">
        <f t="shared" ca="1" si="12"/>
        <v>?</v>
      </c>
      <c r="O18" s="80" t="str">
        <f t="shared" ca="1" si="12"/>
        <v>?</v>
      </c>
      <c r="P18" s="80" t="str">
        <f t="shared" ca="1" si="12"/>
        <v>?</v>
      </c>
      <c r="Q18" s="80" t="str">
        <f t="shared" ca="1" si="12"/>
        <v>?</v>
      </c>
      <c r="R18" s="80" t="str">
        <f t="shared" ca="1" si="12"/>
        <v>?</v>
      </c>
      <c r="S18" s="80" t="str">
        <f t="shared" ca="1" si="13"/>
        <v>?</v>
      </c>
      <c r="T18" s="80" t="str">
        <f t="shared" ca="1" si="13"/>
        <v>?</v>
      </c>
      <c r="U18" s="80" t="str">
        <f t="shared" ca="1" si="13"/>
        <v>?</v>
      </c>
      <c r="V18" s="80" t="str">
        <f t="shared" ca="1" si="13"/>
        <v>?</v>
      </c>
      <c r="W18" s="80" t="str">
        <f t="shared" ca="1" si="13"/>
        <v>?</v>
      </c>
      <c r="X18" s="80" t="str">
        <f t="shared" ca="1" si="13"/>
        <v>?</v>
      </c>
      <c r="Y18" s="80" t="str">
        <f t="shared" ca="1" si="13"/>
        <v>?</v>
      </c>
      <c r="Z18" s="80" t="str">
        <f t="shared" ca="1" si="13"/>
        <v>?</v>
      </c>
      <c r="AA18" s="80" t="str">
        <f t="shared" ca="1" si="13"/>
        <v>?</v>
      </c>
      <c r="AB18" s="80" t="str">
        <f t="shared" ca="1" si="13"/>
        <v>?</v>
      </c>
      <c r="AC18" s="80" t="str">
        <f t="shared" ca="1" si="14"/>
        <v>?</v>
      </c>
      <c r="AD18" s="80" t="str">
        <f t="shared" ca="1" si="14"/>
        <v>?</v>
      </c>
      <c r="AE18" s="80" t="str">
        <f t="shared" ca="1" si="14"/>
        <v>?</v>
      </c>
      <c r="AF18" s="80" t="str">
        <f t="shared" ca="1" si="14"/>
        <v>?</v>
      </c>
      <c r="AG18" s="80" t="str">
        <f t="shared" ca="1" si="14"/>
        <v>?</v>
      </c>
      <c r="AH18" s="80" t="str">
        <f t="shared" ca="1" si="14"/>
        <v>?</v>
      </c>
      <c r="AI18" s="80" t="str">
        <f t="shared" ca="1" si="14"/>
        <v>?</v>
      </c>
      <c r="AJ18" s="80" t="str">
        <f t="shared" ca="1" si="14"/>
        <v>?</v>
      </c>
      <c r="AK18" s="80" t="str">
        <f t="shared" ca="1" si="14"/>
        <v>?</v>
      </c>
    </row>
    <row r="19" spans="1:37">
      <c r="A19" s="76" t="s">
        <v>26</v>
      </c>
      <c r="B19" s="77" t="str">
        <f>IF(ISBLANK($A19),"NO_CODE",VLOOKUP($A19,'UPD Questions_290926 '!$E$1:$N$300,MATCH(B$1,'UPD Questions_290926 '!$E$1:$N$1,0),0)&amp;"")</f>
        <v xml:space="preserve">Planning </v>
      </c>
      <c r="C19" s="77" t="str">
        <f>IF(ISBLANK($A19),"NO_CODE",VLOOKUP($A19,'UPD Questions_290926 '!$E$1:$N$300,MATCH(C$1,'UPD Questions_290926 '!$E$1:$N$1,0),0)&amp;"")</f>
        <v>Municipal/City Plan preparation, participation and review</v>
      </c>
      <c r="D19" s="77" t="str">
        <f>IF(ISBLANK($A19),"NO_CODE",VLOOKUP($A19,'UPD Questions_290926 '!$E$1:$N$300,MATCH(D$1,'UPD Questions_290926 '!$E$1:$N$1,0),0)&amp;"")</f>
        <v>Inter-agency participation</v>
      </c>
      <c r="E19" s="77" t="str">
        <f>IF(ISBLANK($A19),"NO_CODE",VLOOKUP($A19,'UPD Questions_290926 '!$E$1:$N$300,MATCH(E$1,'UPD Questions_290926 '!$E$1:$N$1,0),0)&amp;"")</f>
        <v>MQ</v>
      </c>
      <c r="F19" s="77" t="str">
        <f>IF(ISBLANK($A19),"NO_CODE",VLOOKUP($A19,'UPD Questions_290926 '!$E$1:$N$300,MATCH(F$1,'UPD Questions_290926 '!$E$1:$N$1,0),0)&amp;"")</f>
        <v>Does the law mandate participation of all parastatals/ agencies /ULGs in creation of Spatial plans (metro/municipal/ward)?</v>
      </c>
      <c r="G19" s="77" t="str">
        <f>IF(ISBLANK($A19),"NO_CODE",VLOOKUP($A19,'UPD Questions_290926 '!$E$1:$N$300,MATCH(G$1,'UPD Questions_290926 '!$E$1:$N$1,0),0)&amp;"")</f>
        <v>Law or Policy</v>
      </c>
      <c r="H19" s="79">
        <f>IF(ISBLANK($A19),"NO_CODE",VLOOKUP($A19,'UPD Questions_290926 '!$E$1:$N$300,MATCH(H$1,'UPD Questions_290926 '!$E$1:$N$1,0),0))</f>
        <v>10</v>
      </c>
      <c r="I19" s="80" t="str">
        <f t="shared" ca="1" si="12"/>
        <v>?</v>
      </c>
      <c r="J19" s="80" t="str">
        <f t="shared" ca="1" si="12"/>
        <v>?</v>
      </c>
      <c r="K19" s="80" t="str">
        <f t="shared" ca="1" si="12"/>
        <v>?</v>
      </c>
      <c r="L19" s="80" t="str">
        <f t="shared" ca="1" si="12"/>
        <v>?</v>
      </c>
      <c r="M19" s="80" t="str">
        <f t="shared" ca="1" si="12"/>
        <v>?</v>
      </c>
      <c r="N19" s="80" t="str">
        <f t="shared" ca="1" si="12"/>
        <v>?</v>
      </c>
      <c r="O19" s="80" t="str">
        <f t="shared" ca="1" si="12"/>
        <v>?</v>
      </c>
      <c r="P19" s="80" t="str">
        <f t="shared" ca="1" si="12"/>
        <v>?</v>
      </c>
      <c r="Q19" s="80" t="str">
        <f t="shared" ca="1" si="12"/>
        <v>?</v>
      </c>
      <c r="R19" s="80" t="str">
        <f t="shared" ca="1" si="12"/>
        <v>?</v>
      </c>
      <c r="S19" s="80" t="str">
        <f t="shared" ca="1" si="13"/>
        <v>?</v>
      </c>
      <c r="T19" s="80" t="str">
        <f t="shared" ca="1" si="13"/>
        <v>?</v>
      </c>
      <c r="U19" s="80" t="str">
        <f t="shared" ca="1" si="13"/>
        <v>?</v>
      </c>
      <c r="V19" s="80" t="str">
        <f t="shared" ca="1" si="13"/>
        <v>?</v>
      </c>
      <c r="W19" s="80" t="str">
        <f t="shared" ca="1" si="13"/>
        <v>?</v>
      </c>
      <c r="X19" s="80" t="str">
        <f t="shared" ca="1" si="13"/>
        <v>?</v>
      </c>
      <c r="Y19" s="80" t="str">
        <f t="shared" ca="1" si="13"/>
        <v>?</v>
      </c>
      <c r="Z19" s="80" t="str">
        <f t="shared" ca="1" si="13"/>
        <v>?</v>
      </c>
      <c r="AA19" s="80" t="str">
        <f t="shared" ca="1" si="13"/>
        <v>?</v>
      </c>
      <c r="AB19" s="80" t="str">
        <f t="shared" ca="1" si="13"/>
        <v>?</v>
      </c>
      <c r="AC19" s="80" t="str">
        <f t="shared" ca="1" si="14"/>
        <v>?</v>
      </c>
      <c r="AD19" s="80" t="str">
        <f t="shared" ca="1" si="14"/>
        <v>?</v>
      </c>
      <c r="AE19" s="80" t="str">
        <f t="shared" ca="1" si="14"/>
        <v>?</v>
      </c>
      <c r="AF19" s="80" t="str">
        <f t="shared" ca="1" si="14"/>
        <v>?</v>
      </c>
      <c r="AG19" s="80" t="str">
        <f t="shared" ca="1" si="14"/>
        <v>?</v>
      </c>
      <c r="AH19" s="80" t="str">
        <f t="shared" ca="1" si="14"/>
        <v>?</v>
      </c>
      <c r="AI19" s="80" t="str">
        <f t="shared" ca="1" si="14"/>
        <v>?</v>
      </c>
      <c r="AJ19" s="80" t="str">
        <f t="shared" ca="1" si="14"/>
        <v>?</v>
      </c>
      <c r="AK19" s="80" t="str">
        <f t="shared" ca="1" si="14"/>
        <v>?</v>
      </c>
    </row>
    <row r="20" spans="1:37">
      <c r="A20" s="76" t="s">
        <v>112</v>
      </c>
      <c r="B20" s="77" t="str">
        <f>IF(ISBLANK($A20),"NO_CODE",VLOOKUP($A20,'UPD Questions_290926 '!$E$1:$N$300,MATCH(B$1,'UPD Questions_290926 '!$E$1:$N$1,0),0)&amp;"")</f>
        <v xml:space="preserve">Planning </v>
      </c>
      <c r="C20" s="77" t="str">
        <f>IF(ISBLANK($A20),"NO_CODE",VLOOKUP($A20,'UPD Questions_290926 '!$E$1:$N$300,MATCH(C$1,'UPD Questions_290926 '!$E$1:$N$1,0),0)&amp;"")</f>
        <v>Municipal/City Plan preparation, participation and review</v>
      </c>
      <c r="D20" s="77" t="str">
        <f>IF(ISBLANK($A20),"NO_CODE",VLOOKUP($A20,'UPD Questions_290926 '!$E$1:$N$300,MATCH(D$1,'UPD Questions_290926 '!$E$1:$N$1,0),0)&amp;"")</f>
        <v>Public participation and scrutiny</v>
      </c>
      <c r="E20" s="77" t="str">
        <f>IF(ISBLANK($A20),"NO_CODE",VLOOKUP($A20,'UPD Questions_290926 '!$E$1:$N$300,MATCH(E$1,'UPD Questions_290926 '!$E$1:$N$1,0),0)&amp;"")</f>
        <v>MQ</v>
      </c>
      <c r="F20" s="77" t="str">
        <f>IF(ISBLANK($A20),"NO_CODE",VLOOKUP($A20,'UPD Questions_290926 '!$E$1:$N$300,MATCH(F$1,'UPD Questions_290926 '!$E$1:$N$1,0),0)&amp;"")</f>
        <v>Does the law mandate public participation in preparation of the municipal plan through Area Sabhas / Ward Sabhas and other means?</v>
      </c>
      <c r="G20" s="77" t="str">
        <f>IF(ISBLANK($A20),"NO_CODE",VLOOKUP($A20,'UPD Questions_290926 '!$E$1:$N$300,MATCH(G$1,'UPD Questions_290926 '!$E$1:$N$1,0),0)&amp;"")</f>
        <v>Law or Policy</v>
      </c>
      <c r="H20" s="79">
        <f>IF(ISBLANK($A20),"NO_CODE",VLOOKUP($A20,'UPD Questions_290926 '!$E$1:$N$300,MATCH(H$1,'UPD Questions_290926 '!$E$1:$N$1,0),0))</f>
        <v>10</v>
      </c>
      <c r="I20" s="80" t="str">
        <f t="shared" ca="1" si="12"/>
        <v>?</v>
      </c>
      <c r="J20" s="80" t="str">
        <f t="shared" ca="1" si="12"/>
        <v>?</v>
      </c>
      <c r="K20" s="80" t="str">
        <f t="shared" ca="1" si="12"/>
        <v>?</v>
      </c>
      <c r="L20" s="80" t="str">
        <f t="shared" ca="1" si="12"/>
        <v>?</v>
      </c>
      <c r="M20" s="80" t="str">
        <f t="shared" ca="1" si="12"/>
        <v>?</v>
      </c>
      <c r="N20" s="80" t="str">
        <f t="shared" ca="1" si="12"/>
        <v>?</v>
      </c>
      <c r="O20" s="80" t="str">
        <f t="shared" ca="1" si="12"/>
        <v>?</v>
      </c>
      <c r="P20" s="80" t="str">
        <f t="shared" ca="1" si="12"/>
        <v>?</v>
      </c>
      <c r="Q20" s="80" t="str">
        <f t="shared" ca="1" si="12"/>
        <v>?</v>
      </c>
      <c r="R20" s="80" t="str">
        <f t="shared" ca="1" si="12"/>
        <v>?</v>
      </c>
      <c r="S20" s="80" t="str">
        <f t="shared" ca="1" si="13"/>
        <v>?</v>
      </c>
      <c r="T20" s="80" t="str">
        <f t="shared" ca="1" si="13"/>
        <v>?</v>
      </c>
      <c r="U20" s="80" t="str">
        <f t="shared" ca="1" si="13"/>
        <v>?</v>
      </c>
      <c r="V20" s="80" t="str">
        <f t="shared" ca="1" si="13"/>
        <v>?</v>
      </c>
      <c r="W20" s="80" t="str">
        <f t="shared" ca="1" si="13"/>
        <v>?</v>
      </c>
      <c r="X20" s="80" t="str">
        <f t="shared" ca="1" si="13"/>
        <v>?</v>
      </c>
      <c r="Y20" s="80" t="str">
        <f t="shared" ca="1" si="13"/>
        <v>?</v>
      </c>
      <c r="Z20" s="80" t="str">
        <f t="shared" ca="1" si="13"/>
        <v>?</v>
      </c>
      <c r="AA20" s="80" t="str">
        <f t="shared" ca="1" si="13"/>
        <v>?</v>
      </c>
      <c r="AB20" s="80" t="str">
        <f t="shared" ca="1" si="13"/>
        <v>?</v>
      </c>
      <c r="AC20" s="80" t="str">
        <f t="shared" ca="1" si="14"/>
        <v>?</v>
      </c>
      <c r="AD20" s="80" t="str">
        <f t="shared" ca="1" si="14"/>
        <v>?</v>
      </c>
      <c r="AE20" s="80" t="str">
        <f t="shared" ca="1" si="14"/>
        <v>?</v>
      </c>
      <c r="AF20" s="80" t="str">
        <f t="shared" ca="1" si="14"/>
        <v>?</v>
      </c>
      <c r="AG20" s="80" t="str">
        <f t="shared" ca="1" si="14"/>
        <v>?</v>
      </c>
      <c r="AH20" s="80" t="str">
        <f t="shared" ca="1" si="14"/>
        <v>?</v>
      </c>
      <c r="AI20" s="80" t="str">
        <f t="shared" ca="1" si="14"/>
        <v>?</v>
      </c>
      <c r="AJ20" s="80" t="str">
        <f t="shared" ca="1" si="14"/>
        <v>?</v>
      </c>
      <c r="AK20" s="80" t="str">
        <f t="shared" ca="1" si="14"/>
        <v>?</v>
      </c>
    </row>
    <row r="21" spans="1:37">
      <c r="A21" s="76" t="s">
        <v>119</v>
      </c>
      <c r="B21" s="77" t="str">
        <f>IF(ISBLANK($A21),"NO_CODE",VLOOKUP($A21,'UPD Questions_290926 '!$E$1:$N$300,MATCH(B$1,'UPD Questions_290926 '!$E$1:$N$1,0),0)&amp;"")</f>
        <v xml:space="preserve">Planning </v>
      </c>
      <c r="C21" s="77" t="str">
        <f>IF(ISBLANK($A21),"NO_CODE",VLOOKUP($A21,'UPD Questions_290926 '!$E$1:$N$300,MATCH(C$1,'UPD Questions_290926 '!$E$1:$N$1,0),0)&amp;"")</f>
        <v>Municipal/City Plan preparation, participation and review</v>
      </c>
      <c r="D21" s="77" t="str">
        <f>IF(ISBLANK($A21),"NO_CODE",VLOOKUP($A21,'UPD Questions_290926 '!$E$1:$N$300,MATCH(D$1,'UPD Questions_290926 '!$E$1:$N$1,0),0)&amp;"")</f>
        <v>Public participation and scrutiny</v>
      </c>
      <c r="E21" s="77" t="str">
        <f>IF(ISBLANK($A21),"NO_CODE",VLOOKUP($A21,'UPD Questions_290926 '!$E$1:$N$300,MATCH(E$1,'UPD Questions_290926 '!$E$1:$N$1,0),0)&amp;"")</f>
        <v>MQ</v>
      </c>
      <c r="F21" s="77" t="str">
        <f>IF(ISBLANK($A21),"NO_CODE",VLOOKUP($A21,'UPD Questions_290926 '!$E$1:$N$300,MATCH(F$1,'UPD Questions_290926 '!$E$1:$N$1,0),0)&amp;"")</f>
        <v>Is there public scrutiny for (including objections and responses) municipal/city plan?</v>
      </c>
      <c r="G21" s="77" t="str">
        <f>IF(ISBLANK($A21),"NO_CODE",VLOOKUP($A21,'UPD Questions_290926 '!$E$1:$N$300,MATCH(G$1,'UPD Questions_290926 '!$E$1:$N$1,0),0)&amp;"")</f>
        <v>Law/Policy &amp; Implementation</v>
      </c>
      <c r="H21" s="79">
        <f>IF(ISBLANK($A21),"NO_CODE",VLOOKUP($A21,'UPD Questions_290926 '!$E$1:$N$300,MATCH(H$1,'UPD Questions_290926 '!$E$1:$N$1,0),0))</f>
        <v>10</v>
      </c>
      <c r="I21" s="80" t="str">
        <f t="shared" ref="I21:AK21" ca="1" si="15">IF(OR(I22="ER",I23="ER"),"ER",IF(OR(I22="?",I23="?"),"?",IF(AND(I22="NA",I23="NA"),"NA",SUM(I22,I23)/((I22&lt;&gt;"NA")*$H$22+(I23&lt;&gt;"NA")*$H$23)*$H21)))</f>
        <v>?</v>
      </c>
      <c r="J21" s="80" t="str">
        <f t="shared" ca="1" si="15"/>
        <v>?</v>
      </c>
      <c r="K21" s="80" t="str">
        <f t="shared" ca="1" si="15"/>
        <v>?</v>
      </c>
      <c r="L21" s="80" t="str">
        <f t="shared" ca="1" si="15"/>
        <v>?</v>
      </c>
      <c r="M21" s="80" t="str">
        <f t="shared" ca="1" si="15"/>
        <v>?</v>
      </c>
      <c r="N21" s="80" t="str">
        <f t="shared" ca="1" si="15"/>
        <v>?</v>
      </c>
      <c r="O21" s="80" t="str">
        <f t="shared" ca="1" si="15"/>
        <v>?</v>
      </c>
      <c r="P21" s="80" t="str">
        <f t="shared" ca="1" si="15"/>
        <v>?</v>
      </c>
      <c r="Q21" s="80" t="str">
        <f t="shared" ca="1" si="15"/>
        <v>?</v>
      </c>
      <c r="R21" s="80" t="str">
        <f t="shared" ca="1" si="15"/>
        <v>?</v>
      </c>
      <c r="S21" s="80" t="str">
        <f t="shared" ca="1" si="15"/>
        <v>?</v>
      </c>
      <c r="T21" s="80" t="str">
        <f t="shared" ca="1" si="15"/>
        <v>?</v>
      </c>
      <c r="U21" s="80" t="str">
        <f t="shared" ca="1" si="15"/>
        <v>?</v>
      </c>
      <c r="V21" s="80" t="str">
        <f t="shared" ca="1" si="15"/>
        <v>?</v>
      </c>
      <c r="W21" s="80" t="str">
        <f t="shared" ca="1" si="15"/>
        <v>?</v>
      </c>
      <c r="X21" s="80" t="str">
        <f t="shared" ca="1" si="15"/>
        <v>?</v>
      </c>
      <c r="Y21" s="80" t="str">
        <f t="shared" ca="1" si="15"/>
        <v>?</v>
      </c>
      <c r="Z21" s="80" t="str">
        <f t="shared" ca="1" si="15"/>
        <v>?</v>
      </c>
      <c r="AA21" s="80" t="str">
        <f t="shared" ca="1" si="15"/>
        <v>?</v>
      </c>
      <c r="AB21" s="80" t="str">
        <f t="shared" ca="1" si="15"/>
        <v>?</v>
      </c>
      <c r="AC21" s="80" t="str">
        <f t="shared" ca="1" si="15"/>
        <v>?</v>
      </c>
      <c r="AD21" s="80" t="str">
        <f t="shared" ca="1" si="15"/>
        <v>?</v>
      </c>
      <c r="AE21" s="80" t="str">
        <f t="shared" ca="1" si="15"/>
        <v>?</v>
      </c>
      <c r="AF21" s="80" t="str">
        <f t="shared" ca="1" si="15"/>
        <v>?</v>
      </c>
      <c r="AG21" s="80" t="str">
        <f t="shared" ca="1" si="15"/>
        <v>?</v>
      </c>
      <c r="AH21" s="80" t="str">
        <f t="shared" ca="1" si="15"/>
        <v>?</v>
      </c>
      <c r="AI21" s="80" t="str">
        <f t="shared" ca="1" si="15"/>
        <v>?</v>
      </c>
      <c r="AJ21" s="80" t="str">
        <f t="shared" ca="1" si="15"/>
        <v>?</v>
      </c>
      <c r="AK21" s="80" t="str">
        <f t="shared" ca="1" si="15"/>
        <v>?</v>
      </c>
    </row>
    <row r="22" spans="1:37">
      <c r="A22" s="76" t="s">
        <v>123</v>
      </c>
      <c r="B22" s="77" t="str">
        <f>IF(ISBLANK($A22),"NO_CODE",VLOOKUP($A22,'UPD Questions_290926 '!$E$1:$N$300,MATCH(B$1,'UPD Questions_290926 '!$E$1:$N$1,0),0)&amp;"")</f>
        <v xml:space="preserve">Planning </v>
      </c>
      <c r="C22" s="77" t="str">
        <f>IF(ISBLANK($A22),"NO_CODE",VLOOKUP($A22,'UPD Questions_290926 '!$E$1:$N$300,MATCH(C$1,'UPD Questions_290926 '!$E$1:$N$1,0),0)&amp;"")</f>
        <v>Municipal/City Plan preparation, participation and review</v>
      </c>
      <c r="D22" s="77" t="str">
        <f>IF(ISBLANK($A22),"NO_CODE",VLOOKUP($A22,'UPD Questions_290926 '!$E$1:$N$300,MATCH(D$1,'UPD Questions_290926 '!$E$1:$N$1,0),0)&amp;"")</f>
        <v>Public participation and scrutiny</v>
      </c>
      <c r="E22" s="77" t="str">
        <f>IF(ISBLANK($A22),"NO_CODE",VLOOKUP($A22,'UPD Questions_290926 '!$E$1:$N$300,MATCH(E$1,'UPD Questions_290926 '!$E$1:$N$1,0),0)&amp;"")</f>
        <v>SQ</v>
      </c>
      <c r="F22" s="77" t="str">
        <f>IF(ISBLANK($A22),"NO_CODE",VLOOKUP($A22,'UPD Questions_290926 '!$E$1:$N$300,MATCH(F$1,'UPD Questions_290926 '!$E$1:$N$1,0),0)&amp;"")</f>
        <v>Does the law mandate public scrutiny for (including objections and responses) municipal/city plan through Area Sabhas / Ward Sabhas and other means?</v>
      </c>
      <c r="G22" s="77" t="str">
        <f>IF(ISBLANK($A22),"NO_CODE",VLOOKUP($A22,'UPD Questions_290926 '!$E$1:$N$300,MATCH(G$1,'UPD Questions_290926 '!$E$1:$N$1,0),0)&amp;"")</f>
        <v>Law/Policy</v>
      </c>
      <c r="H22" s="79">
        <f>IF(ISBLANK($A22),"NO_CODE",VLOOKUP($A22,'UPD Questions_290926 '!$E$1:$N$300,MATCH(H$1,'UPD Questions_290926 '!$E$1:$N$1,0),0))</f>
        <v>5</v>
      </c>
      <c r="I22" s="80" t="str">
        <f t="shared" ref="I22:R24" ca="1" si="16">IF($H22=0,"NA",IF($A22=INDIRECT("'"&amp;$A22&amp;"'!$B$1"),IF(VLOOKUP(I$1,INDIRECT("'"&amp;$A22&amp;"'!$A$12:$Z$41"),MATCH("Points (Auto-generate)",INDIRECT("'"&amp;$A22&amp;"'!$A$12:$Z$12"),0),0)="","?",VLOOKUP(I$1,INDIRECT("'"&amp;$A22&amp;"'!$A$12:$Z$41"),MATCH("Points (Auto-generate)",INDIRECT("'"&amp;$A22&amp;"'!$A$12:$Z$12"),0),0)),"ER"))</f>
        <v>?</v>
      </c>
      <c r="J22" s="80" t="str">
        <f t="shared" ca="1" si="16"/>
        <v>?</v>
      </c>
      <c r="K22" s="80" t="str">
        <f t="shared" ca="1" si="16"/>
        <v>?</v>
      </c>
      <c r="L22" s="80" t="str">
        <f t="shared" ca="1" si="16"/>
        <v>?</v>
      </c>
      <c r="M22" s="80" t="str">
        <f t="shared" ca="1" si="16"/>
        <v>?</v>
      </c>
      <c r="N22" s="80" t="str">
        <f t="shared" ca="1" si="16"/>
        <v>?</v>
      </c>
      <c r="O22" s="80" t="str">
        <f t="shared" ca="1" si="16"/>
        <v>?</v>
      </c>
      <c r="P22" s="80" t="str">
        <f t="shared" ca="1" si="16"/>
        <v>?</v>
      </c>
      <c r="Q22" s="80" t="str">
        <f t="shared" ca="1" si="16"/>
        <v>?</v>
      </c>
      <c r="R22" s="80" t="str">
        <f t="shared" ca="1" si="16"/>
        <v>?</v>
      </c>
      <c r="S22" s="80" t="str">
        <f t="shared" ref="S22:AB24" ca="1" si="17">IF($H22=0,"NA",IF($A22=INDIRECT("'"&amp;$A22&amp;"'!$B$1"),IF(VLOOKUP(S$1,INDIRECT("'"&amp;$A22&amp;"'!$A$12:$Z$41"),MATCH("Points (Auto-generate)",INDIRECT("'"&amp;$A22&amp;"'!$A$12:$Z$12"),0),0)="","?",VLOOKUP(S$1,INDIRECT("'"&amp;$A22&amp;"'!$A$12:$Z$41"),MATCH("Points (Auto-generate)",INDIRECT("'"&amp;$A22&amp;"'!$A$12:$Z$12"),0),0)),"ER"))</f>
        <v>?</v>
      </c>
      <c r="T22" s="80" t="str">
        <f t="shared" ca="1" si="17"/>
        <v>?</v>
      </c>
      <c r="U22" s="80" t="str">
        <f t="shared" ca="1" si="17"/>
        <v>?</v>
      </c>
      <c r="V22" s="80" t="str">
        <f t="shared" ca="1" si="17"/>
        <v>?</v>
      </c>
      <c r="W22" s="80" t="str">
        <f t="shared" ca="1" si="17"/>
        <v>?</v>
      </c>
      <c r="X22" s="80" t="str">
        <f t="shared" ca="1" si="17"/>
        <v>?</v>
      </c>
      <c r="Y22" s="80" t="str">
        <f t="shared" ca="1" si="17"/>
        <v>?</v>
      </c>
      <c r="Z22" s="80" t="str">
        <f t="shared" ca="1" si="17"/>
        <v>?</v>
      </c>
      <c r="AA22" s="80" t="str">
        <f t="shared" ca="1" si="17"/>
        <v>?</v>
      </c>
      <c r="AB22" s="80" t="str">
        <f t="shared" ca="1" si="17"/>
        <v>?</v>
      </c>
      <c r="AC22" s="80" t="str">
        <f t="shared" ref="AC22:AK24" ca="1" si="18">IF($H22=0,"NA",IF($A22=INDIRECT("'"&amp;$A22&amp;"'!$B$1"),IF(VLOOKUP(AC$1,INDIRECT("'"&amp;$A22&amp;"'!$A$12:$Z$41"),MATCH("Points (Auto-generate)",INDIRECT("'"&amp;$A22&amp;"'!$A$12:$Z$12"),0),0)="","?",VLOOKUP(AC$1,INDIRECT("'"&amp;$A22&amp;"'!$A$12:$Z$41"),MATCH("Points (Auto-generate)",INDIRECT("'"&amp;$A22&amp;"'!$A$12:$Z$12"),0),0)),"ER"))</f>
        <v>?</v>
      </c>
      <c r="AD22" s="80" t="str">
        <f t="shared" ca="1" si="18"/>
        <v>?</v>
      </c>
      <c r="AE22" s="80" t="str">
        <f t="shared" ca="1" si="18"/>
        <v>?</v>
      </c>
      <c r="AF22" s="80" t="str">
        <f t="shared" ca="1" si="18"/>
        <v>?</v>
      </c>
      <c r="AG22" s="80" t="str">
        <f t="shared" ca="1" si="18"/>
        <v>?</v>
      </c>
      <c r="AH22" s="80" t="str">
        <f t="shared" ca="1" si="18"/>
        <v>?</v>
      </c>
      <c r="AI22" s="80" t="str">
        <f t="shared" ca="1" si="18"/>
        <v>?</v>
      </c>
      <c r="AJ22" s="80" t="str">
        <f t="shared" ca="1" si="18"/>
        <v>?</v>
      </c>
      <c r="AK22" s="80" t="str">
        <f t="shared" ca="1" si="18"/>
        <v>?</v>
      </c>
    </row>
    <row r="23" spans="1:37">
      <c r="A23" s="76" t="s">
        <v>128</v>
      </c>
      <c r="B23" s="77" t="str">
        <f>IF(ISBLANK($A23),"NO_CODE",VLOOKUP($A23,'UPD Questions_290926 '!$E$1:$N$300,MATCH(B$1,'UPD Questions_290926 '!$E$1:$N$1,0),0)&amp;"")</f>
        <v xml:space="preserve">Planning </v>
      </c>
      <c r="C23" s="77" t="str">
        <f>IF(ISBLANK($A23),"NO_CODE",VLOOKUP($A23,'UPD Questions_290926 '!$E$1:$N$300,MATCH(C$1,'UPD Questions_290926 '!$E$1:$N$1,0),0)&amp;"")</f>
        <v>Municipal/City Plan preparation, participation and review</v>
      </c>
      <c r="D23" s="77" t="str">
        <f>IF(ISBLANK($A23),"NO_CODE",VLOOKUP($A23,'UPD Questions_290926 '!$E$1:$N$300,MATCH(D$1,'UPD Questions_290926 '!$E$1:$N$1,0),0)&amp;"")</f>
        <v>Public participation and scrutiny</v>
      </c>
      <c r="E23" s="77" t="str">
        <f>IF(ISBLANK($A23),"NO_CODE",VLOOKUP($A23,'UPD Questions_290926 '!$E$1:$N$300,MATCH(E$1,'UPD Questions_290926 '!$E$1:$N$1,0),0)&amp;"")</f>
        <v>SQ</v>
      </c>
      <c r="F23" s="77" t="str">
        <f>IF(ISBLANK($A23),"NO_CODE",VLOOKUP($A23,'UPD Questions_290926 '!$E$1:$N$300,MATCH(F$1,'UPD Questions_290926 '!$E$1:$N$1,0),0)&amp;"")</f>
        <v>Was the public scrutiny undertaken for (including objections and responses) municipal/city plan?</v>
      </c>
      <c r="G23" s="77" t="str">
        <f>IF(ISBLANK($A23),"NO_CODE",VLOOKUP($A23,'UPD Questions_290926 '!$E$1:$N$300,MATCH(G$1,'UPD Questions_290926 '!$E$1:$N$1,0),0)&amp;"")</f>
        <v>Implementation</v>
      </c>
      <c r="H23" s="79">
        <f>IF(ISBLANK($A23),"NO_CODE",VLOOKUP($A23,'UPD Questions_290926 '!$E$1:$N$300,MATCH(H$1,'UPD Questions_290926 '!$E$1:$N$1,0),0))</f>
        <v>5</v>
      </c>
      <c r="I23" s="80" t="str">
        <f t="shared" ca="1" si="16"/>
        <v>?</v>
      </c>
      <c r="J23" s="80" t="str">
        <f t="shared" ca="1" si="16"/>
        <v>?</v>
      </c>
      <c r="K23" s="80" t="str">
        <f t="shared" ca="1" si="16"/>
        <v>?</v>
      </c>
      <c r="L23" s="80" t="str">
        <f t="shared" ca="1" si="16"/>
        <v>?</v>
      </c>
      <c r="M23" s="80" t="str">
        <f t="shared" ca="1" si="16"/>
        <v>?</v>
      </c>
      <c r="N23" s="80" t="str">
        <f t="shared" ca="1" si="16"/>
        <v>?</v>
      </c>
      <c r="O23" s="80" t="str">
        <f t="shared" ca="1" si="16"/>
        <v>?</v>
      </c>
      <c r="P23" s="80" t="str">
        <f t="shared" ca="1" si="16"/>
        <v>?</v>
      </c>
      <c r="Q23" s="80" t="str">
        <f t="shared" ca="1" si="16"/>
        <v>?</v>
      </c>
      <c r="R23" s="80" t="str">
        <f t="shared" ca="1" si="16"/>
        <v>?</v>
      </c>
      <c r="S23" s="80" t="str">
        <f t="shared" ca="1" si="17"/>
        <v>?</v>
      </c>
      <c r="T23" s="80" t="str">
        <f t="shared" ca="1" si="17"/>
        <v>?</v>
      </c>
      <c r="U23" s="80" t="str">
        <f t="shared" ca="1" si="17"/>
        <v>?</v>
      </c>
      <c r="V23" s="80" t="str">
        <f t="shared" ca="1" si="17"/>
        <v>?</v>
      </c>
      <c r="W23" s="80" t="str">
        <f t="shared" ca="1" si="17"/>
        <v>?</v>
      </c>
      <c r="X23" s="80" t="str">
        <f t="shared" ca="1" si="17"/>
        <v>?</v>
      </c>
      <c r="Y23" s="80" t="str">
        <f t="shared" ca="1" si="17"/>
        <v>?</v>
      </c>
      <c r="Z23" s="80" t="str">
        <f t="shared" ca="1" si="17"/>
        <v>?</v>
      </c>
      <c r="AA23" s="80" t="str">
        <f t="shared" ca="1" si="17"/>
        <v>?</v>
      </c>
      <c r="AB23" s="80" t="str">
        <f t="shared" ca="1" si="17"/>
        <v>?</v>
      </c>
      <c r="AC23" s="80" t="str">
        <f t="shared" ca="1" si="18"/>
        <v>?</v>
      </c>
      <c r="AD23" s="80" t="str">
        <f t="shared" ca="1" si="18"/>
        <v>?</v>
      </c>
      <c r="AE23" s="80" t="str">
        <f t="shared" ca="1" si="18"/>
        <v>?</v>
      </c>
      <c r="AF23" s="80" t="str">
        <f t="shared" ca="1" si="18"/>
        <v>?</v>
      </c>
      <c r="AG23" s="80" t="str">
        <f t="shared" ca="1" si="18"/>
        <v>?</v>
      </c>
      <c r="AH23" s="80" t="str">
        <f t="shared" ca="1" si="18"/>
        <v>?</v>
      </c>
      <c r="AI23" s="80" t="str">
        <f t="shared" ca="1" si="18"/>
        <v>?</v>
      </c>
      <c r="AJ23" s="80" t="str">
        <f t="shared" ca="1" si="18"/>
        <v>?</v>
      </c>
      <c r="AK23" s="80" t="str">
        <f t="shared" ca="1" si="18"/>
        <v>?</v>
      </c>
    </row>
    <row r="24" spans="1:37">
      <c r="A24" s="76" t="s">
        <v>132</v>
      </c>
      <c r="B24" s="77" t="str">
        <f>IF(ISBLANK($A24),"NO_CODE",VLOOKUP($A24,'UPD Questions_290926 '!$E$1:$N$300,MATCH(B$1,'UPD Questions_290926 '!$E$1:$N$1,0),0)&amp;"")</f>
        <v xml:space="preserve">Planning </v>
      </c>
      <c r="C24" s="77" t="str">
        <f>IF(ISBLANK($A24),"NO_CODE",VLOOKUP($A24,'UPD Questions_290926 '!$E$1:$N$300,MATCH(C$1,'UPD Questions_290926 '!$E$1:$N$1,0),0)&amp;"")</f>
        <v>Municipal/City Plan preparation, participation and review</v>
      </c>
      <c r="D24" s="77" t="str">
        <f>IF(ISBLANK($A24),"NO_CODE",VLOOKUP($A24,'UPD Questions_290926 '!$E$1:$N$300,MATCH(D$1,'UPD Questions_290926 '!$E$1:$N$1,0),0)&amp;"")</f>
        <v>Plan modification and implementation review</v>
      </c>
      <c r="E24" s="77" t="str">
        <f>IF(ISBLANK($A24),"NO_CODE",VLOOKUP($A24,'UPD Questions_290926 '!$E$1:$N$300,MATCH(E$1,'UPD Questions_290926 '!$E$1:$N$1,0),0)&amp;"")</f>
        <v>MQ</v>
      </c>
      <c r="F24" s="77" t="str">
        <f>IF(ISBLANK($A24),"NO_CODE",VLOOKUP($A24,'UPD Questions_290926 '!$E$1:$N$300,MATCH(F$1,'UPD Questions_290926 '!$E$1:$N$1,0),0)&amp;"")</f>
        <v>Does the law mandate periodic review and revision of the notified municipal/city plan, including corresponding revisions to the Development Control Regulations (DCRs)?</v>
      </c>
      <c r="G24" s="77" t="str">
        <f>IF(ISBLANK($A24),"NO_CODE",VLOOKUP($A24,'UPD Questions_290926 '!$E$1:$N$300,MATCH(G$1,'UPD Questions_290926 '!$E$1:$N$1,0),0)&amp;"")</f>
        <v>Law or Policy</v>
      </c>
      <c r="H24" s="79">
        <f>IF(ISBLANK($A24),"NO_CODE",VLOOKUP($A24,'UPD Questions_290926 '!$E$1:$N$300,MATCH(H$1,'UPD Questions_290926 '!$E$1:$N$1,0),0))</f>
        <v>10</v>
      </c>
      <c r="I24" s="80" t="str">
        <f t="shared" ca="1" si="16"/>
        <v>?</v>
      </c>
      <c r="J24" s="80" t="str">
        <f t="shared" ca="1" si="16"/>
        <v>?</v>
      </c>
      <c r="K24" s="80" t="str">
        <f t="shared" ca="1" si="16"/>
        <v>?</v>
      </c>
      <c r="L24" s="80" t="str">
        <f t="shared" ca="1" si="16"/>
        <v>?</v>
      </c>
      <c r="M24" s="80" t="str">
        <f t="shared" ca="1" si="16"/>
        <v>?</v>
      </c>
      <c r="N24" s="80" t="str">
        <f t="shared" ca="1" si="16"/>
        <v>?</v>
      </c>
      <c r="O24" s="80" t="str">
        <f t="shared" ca="1" si="16"/>
        <v>?</v>
      </c>
      <c r="P24" s="80" t="str">
        <f t="shared" ca="1" si="16"/>
        <v>?</v>
      </c>
      <c r="Q24" s="80" t="str">
        <f t="shared" ca="1" si="16"/>
        <v>?</v>
      </c>
      <c r="R24" s="80" t="str">
        <f t="shared" ca="1" si="16"/>
        <v>?</v>
      </c>
      <c r="S24" s="80" t="str">
        <f t="shared" ca="1" si="17"/>
        <v>?</v>
      </c>
      <c r="T24" s="80" t="str">
        <f t="shared" ca="1" si="17"/>
        <v>?</v>
      </c>
      <c r="U24" s="80" t="str">
        <f t="shared" ca="1" si="17"/>
        <v>?</v>
      </c>
      <c r="V24" s="80" t="str">
        <f t="shared" ca="1" si="17"/>
        <v>?</v>
      </c>
      <c r="W24" s="80" t="str">
        <f t="shared" ca="1" si="17"/>
        <v>?</v>
      </c>
      <c r="X24" s="80" t="str">
        <f t="shared" ca="1" si="17"/>
        <v>?</v>
      </c>
      <c r="Y24" s="80" t="str">
        <f t="shared" ca="1" si="17"/>
        <v>?</v>
      </c>
      <c r="Z24" s="80" t="str">
        <f t="shared" ca="1" si="17"/>
        <v>?</v>
      </c>
      <c r="AA24" s="80" t="str">
        <f t="shared" ca="1" si="17"/>
        <v>?</v>
      </c>
      <c r="AB24" s="80" t="str">
        <f t="shared" ca="1" si="17"/>
        <v>?</v>
      </c>
      <c r="AC24" s="80" t="str">
        <f t="shared" ca="1" si="18"/>
        <v>?</v>
      </c>
      <c r="AD24" s="80" t="str">
        <f t="shared" ca="1" si="18"/>
        <v>?</v>
      </c>
      <c r="AE24" s="80" t="str">
        <f t="shared" ca="1" si="18"/>
        <v>?</v>
      </c>
      <c r="AF24" s="80" t="str">
        <f t="shared" ca="1" si="18"/>
        <v>?</v>
      </c>
      <c r="AG24" s="80" t="str">
        <f t="shared" ca="1" si="18"/>
        <v>?</v>
      </c>
      <c r="AH24" s="80" t="str">
        <f t="shared" ca="1" si="18"/>
        <v>?</v>
      </c>
      <c r="AI24" s="80" t="str">
        <f t="shared" ca="1" si="18"/>
        <v>?</v>
      </c>
      <c r="AJ24" s="80" t="str">
        <f t="shared" ca="1" si="18"/>
        <v>?</v>
      </c>
      <c r="AK24" s="80" t="str">
        <f t="shared" ca="1" si="18"/>
        <v>?</v>
      </c>
    </row>
    <row r="25" spans="1:37">
      <c r="A25" s="76" t="s">
        <v>137</v>
      </c>
      <c r="B25" s="77" t="str">
        <f>IF(ISBLANK($A25),"NO_CODE",VLOOKUP($A25,'UPD Questions_290926 '!$E$1:$N$300,MATCH(B$1,'UPD Questions_290926 '!$E$1:$N$1,0),0)&amp;"")</f>
        <v xml:space="preserve">Planning </v>
      </c>
      <c r="C25" s="77" t="str">
        <f>IF(ISBLANK($A25),"NO_CODE",VLOOKUP($A25,'UPD Questions_290926 '!$E$1:$N$300,MATCH(C$1,'UPD Questions_290926 '!$E$1:$N$1,0),0)&amp;"")</f>
        <v>Municipal/City Plan objectives and contents</v>
      </c>
      <c r="D25" s="77" t="str">
        <f>IF(ISBLANK($A25),"NO_CODE",VLOOKUP($A25,'UPD Questions_290926 '!$E$1:$N$300,MATCH(D$1,'UPD Questions_290926 '!$E$1:$N$1,0),0)&amp;"")</f>
        <v>Statutory requirements for plan content</v>
      </c>
      <c r="E25" s="77" t="str">
        <f>IF(ISBLANK($A25),"NO_CODE",VLOOKUP($A25,'UPD Questions_290926 '!$E$1:$N$300,MATCH(E$1,'UPD Questions_290926 '!$E$1:$N$1,0),0)&amp;"")</f>
        <v>MQ</v>
      </c>
      <c r="F25" s="77" t="str">
        <f>IF(ISBLANK($A25),"NO_CODE",VLOOKUP($A25,'UPD Questions_290926 '!$E$1:$N$300,MATCH(F$1,'UPD Questions_290926 '!$E$1:$N$1,0),0)&amp;"")</f>
        <v xml:space="preserve">Does the T&amp;CP Act mandate the planning for:  </v>
      </c>
      <c r="G25" s="77" t="str">
        <f>IF(ISBLANK($A25),"NO_CODE",VLOOKUP($A25,'UPD Questions_290926 '!$E$1:$N$300,MATCH(G$1,'UPD Questions_290926 '!$E$1:$N$1,0),0)&amp;"")</f>
        <v>NA- question already covered in ASICS 2017</v>
      </c>
      <c r="H25" s="79">
        <f>IF(ISBLANK($A25),"NO_CODE",VLOOKUP($A25,'UPD Questions_290926 '!$E$1:$N$300,MATCH(H$1,'UPD Questions_290926 '!$E$1:$N$1,0),0))</f>
        <v>10</v>
      </c>
      <c r="I25" s="80" t="str">
        <f t="shared" ref="I25:AK25" ca="1" si="19">IF(OR(I26="ER",I27="ER",I28="ER",I29="ER",I30="ER",I31="ER"),"ER",IF(OR(I26="?",I27="?",I28="?",I29="?",I30="?",I31="?"),"?",IF(AND(I26="NA",I27="NA",I28="NA",I29="NA",I30="NA",I31="NA"),"NA",SUM(I26,I27,I28,I29,I30,I31)/((I26&lt;&gt;"NA")*$H$26+(I27&lt;&gt;"NA")*$H$27+(I28&lt;&gt;"NA")*$H$28+(I29&lt;&gt;"NA")*$H$29+(I30&lt;&gt;"NA")*$H$30+(I31&lt;&gt;"NA")*$H$31)*$H25)))</f>
        <v>?</v>
      </c>
      <c r="J25" s="80" t="str">
        <f t="shared" ca="1" si="19"/>
        <v>?</v>
      </c>
      <c r="K25" s="80" t="str">
        <f t="shared" ca="1" si="19"/>
        <v>?</v>
      </c>
      <c r="L25" s="80" t="str">
        <f t="shared" ca="1" si="19"/>
        <v>?</v>
      </c>
      <c r="M25" s="80" t="str">
        <f t="shared" ca="1" si="19"/>
        <v>?</v>
      </c>
      <c r="N25" s="80" t="str">
        <f t="shared" ca="1" si="19"/>
        <v>?</v>
      </c>
      <c r="O25" s="80" t="str">
        <f t="shared" ca="1" si="19"/>
        <v>?</v>
      </c>
      <c r="P25" s="80" t="str">
        <f t="shared" ca="1" si="19"/>
        <v>?</v>
      </c>
      <c r="Q25" s="80" t="str">
        <f t="shared" ca="1" si="19"/>
        <v>?</v>
      </c>
      <c r="R25" s="80" t="str">
        <f t="shared" ca="1" si="19"/>
        <v>?</v>
      </c>
      <c r="S25" s="80" t="str">
        <f t="shared" ca="1" si="19"/>
        <v>?</v>
      </c>
      <c r="T25" s="80" t="str">
        <f t="shared" ca="1" si="19"/>
        <v>?</v>
      </c>
      <c r="U25" s="80" t="str">
        <f t="shared" ca="1" si="19"/>
        <v>?</v>
      </c>
      <c r="V25" s="80" t="str">
        <f t="shared" ca="1" si="19"/>
        <v>?</v>
      </c>
      <c r="W25" s="80" t="str">
        <f t="shared" ca="1" si="19"/>
        <v>?</v>
      </c>
      <c r="X25" s="80" t="str">
        <f t="shared" ca="1" si="19"/>
        <v>?</v>
      </c>
      <c r="Y25" s="80" t="str">
        <f t="shared" ca="1" si="19"/>
        <v>?</v>
      </c>
      <c r="Z25" s="80" t="str">
        <f t="shared" ca="1" si="19"/>
        <v>?</v>
      </c>
      <c r="AA25" s="80" t="str">
        <f t="shared" ca="1" si="19"/>
        <v>?</v>
      </c>
      <c r="AB25" s="80" t="str">
        <f t="shared" ca="1" si="19"/>
        <v>?</v>
      </c>
      <c r="AC25" s="80" t="str">
        <f t="shared" ca="1" si="19"/>
        <v>?</v>
      </c>
      <c r="AD25" s="80" t="str">
        <f t="shared" ca="1" si="19"/>
        <v>?</v>
      </c>
      <c r="AE25" s="80" t="str">
        <f t="shared" ca="1" si="19"/>
        <v>?</v>
      </c>
      <c r="AF25" s="80" t="str">
        <f t="shared" ca="1" si="19"/>
        <v>?</v>
      </c>
      <c r="AG25" s="80" t="str">
        <f t="shared" ca="1" si="19"/>
        <v>?</v>
      </c>
      <c r="AH25" s="80" t="str">
        <f t="shared" ca="1" si="19"/>
        <v>?</v>
      </c>
      <c r="AI25" s="80" t="str">
        <f t="shared" ca="1" si="19"/>
        <v>?</v>
      </c>
      <c r="AJ25" s="80" t="str">
        <f t="shared" ca="1" si="19"/>
        <v>?</v>
      </c>
      <c r="AK25" s="80" t="str">
        <f t="shared" ca="1" si="19"/>
        <v>?</v>
      </c>
    </row>
    <row r="26" spans="1:37">
      <c r="A26" s="76" t="s">
        <v>144</v>
      </c>
      <c r="B26" s="77" t="str">
        <f>IF(ISBLANK($A26),"NO_CODE",VLOOKUP($A26,'UPD Questions_290926 '!$E$1:$N$300,MATCH(B$1,'UPD Questions_290926 '!$E$1:$N$1,0),0)&amp;"")</f>
        <v xml:space="preserve">Planning </v>
      </c>
      <c r="C26" s="77" t="str">
        <f>IF(ISBLANK($A26),"NO_CODE",VLOOKUP($A26,'UPD Questions_290926 '!$E$1:$N$300,MATCH(C$1,'UPD Questions_290926 '!$E$1:$N$1,0),0)&amp;"")</f>
        <v>Municipal/City Plan objectives and contents</v>
      </c>
      <c r="D26" s="77" t="str">
        <f>IF(ISBLANK($A26),"NO_CODE",VLOOKUP($A26,'UPD Questions_290926 '!$E$1:$N$300,MATCH(D$1,'UPD Questions_290926 '!$E$1:$N$1,0),0)&amp;"")</f>
        <v>Statutory requirements for plan content</v>
      </c>
      <c r="E26" s="77" t="str">
        <f>IF(ISBLANK($A26),"NO_CODE",VLOOKUP($A26,'UPD Questions_290926 '!$E$1:$N$300,MATCH(E$1,'UPD Questions_290926 '!$E$1:$N$1,0),0)&amp;"")</f>
        <v>SQ</v>
      </c>
      <c r="F26" s="77" t="str">
        <f>IF(ISBLANK($A26),"NO_CODE",VLOOKUP($A26,'UPD Questions_290926 '!$E$1:$N$300,MATCH(F$1,'UPD Questions_290926 '!$E$1:$N$1,0),0)&amp;"")</f>
        <v xml:space="preserve">a) Water Supply/ Sewerage, Sanitation and Solid Waste Management </v>
      </c>
      <c r="G26" s="77" t="str">
        <f>IF(ISBLANK($A26),"NO_CODE",VLOOKUP($A26,'UPD Questions_290926 '!$E$1:$N$300,MATCH(G$1,'UPD Questions_290926 '!$E$1:$N$1,0),0)&amp;"")</f>
        <v>Law/Policy</v>
      </c>
      <c r="H26" s="79">
        <f>IF(ISBLANK($A26),"NO_CODE",VLOOKUP($A26,'UPD Questions_290926 '!$E$1:$N$300,MATCH(H$1,'UPD Questions_290926 '!$E$1:$N$1,0),0))</f>
        <v>1.67</v>
      </c>
      <c r="I26" s="80" t="str">
        <f t="shared" ref="I26:R31" ca="1" si="20">IF($H26=0,"NA",IF($A26=INDIRECT("'"&amp;$A26&amp;"'!$B$1"),IF(VLOOKUP(I$1,INDIRECT("'"&amp;$A26&amp;"'!$A$12:$Z$41"),MATCH("Points (Auto-generate)",INDIRECT("'"&amp;$A26&amp;"'!$A$12:$Z$12"),0),0)="","?",VLOOKUP(I$1,INDIRECT("'"&amp;$A26&amp;"'!$A$12:$Z$41"),MATCH("Points (Auto-generate)",INDIRECT("'"&amp;$A26&amp;"'!$A$12:$Z$12"),0),0)),"ER"))</f>
        <v>?</v>
      </c>
      <c r="J26" s="80" t="str">
        <f t="shared" ca="1" si="20"/>
        <v>?</v>
      </c>
      <c r="K26" s="80" t="str">
        <f t="shared" ca="1" si="20"/>
        <v>?</v>
      </c>
      <c r="L26" s="80" t="str">
        <f t="shared" ca="1" si="20"/>
        <v>?</v>
      </c>
      <c r="M26" s="80" t="str">
        <f t="shared" ca="1" si="20"/>
        <v>?</v>
      </c>
      <c r="N26" s="80" t="str">
        <f t="shared" ca="1" si="20"/>
        <v>?</v>
      </c>
      <c r="O26" s="80" t="str">
        <f t="shared" ca="1" si="20"/>
        <v>?</v>
      </c>
      <c r="P26" s="80" t="str">
        <f t="shared" ca="1" si="20"/>
        <v>?</v>
      </c>
      <c r="Q26" s="80" t="str">
        <f t="shared" ca="1" si="20"/>
        <v>?</v>
      </c>
      <c r="R26" s="80" t="str">
        <f t="shared" ca="1" si="20"/>
        <v>?</v>
      </c>
      <c r="S26" s="80" t="str">
        <f t="shared" ref="S26:AB31" ca="1" si="21">IF($H26=0,"NA",IF($A26=INDIRECT("'"&amp;$A26&amp;"'!$B$1"),IF(VLOOKUP(S$1,INDIRECT("'"&amp;$A26&amp;"'!$A$12:$Z$41"),MATCH("Points (Auto-generate)",INDIRECT("'"&amp;$A26&amp;"'!$A$12:$Z$12"),0),0)="","?",VLOOKUP(S$1,INDIRECT("'"&amp;$A26&amp;"'!$A$12:$Z$41"),MATCH("Points (Auto-generate)",INDIRECT("'"&amp;$A26&amp;"'!$A$12:$Z$12"),0),0)),"ER"))</f>
        <v>?</v>
      </c>
      <c r="T26" s="80" t="str">
        <f t="shared" ca="1" si="21"/>
        <v>?</v>
      </c>
      <c r="U26" s="80" t="str">
        <f t="shared" ca="1" si="21"/>
        <v>?</v>
      </c>
      <c r="V26" s="80" t="str">
        <f t="shared" ca="1" si="21"/>
        <v>?</v>
      </c>
      <c r="W26" s="80" t="str">
        <f t="shared" ca="1" si="21"/>
        <v>?</v>
      </c>
      <c r="X26" s="80" t="str">
        <f t="shared" ca="1" si="21"/>
        <v>?</v>
      </c>
      <c r="Y26" s="80" t="str">
        <f t="shared" ca="1" si="21"/>
        <v>?</v>
      </c>
      <c r="Z26" s="80" t="str">
        <f t="shared" ca="1" si="21"/>
        <v>?</v>
      </c>
      <c r="AA26" s="80" t="str">
        <f t="shared" ca="1" si="21"/>
        <v>?</v>
      </c>
      <c r="AB26" s="80" t="str">
        <f t="shared" ca="1" si="21"/>
        <v>?</v>
      </c>
      <c r="AC26" s="80" t="str">
        <f t="shared" ref="AC26:AK31" ca="1" si="22">IF($H26=0,"NA",IF($A26=INDIRECT("'"&amp;$A26&amp;"'!$B$1"),IF(VLOOKUP(AC$1,INDIRECT("'"&amp;$A26&amp;"'!$A$12:$Z$41"),MATCH("Points (Auto-generate)",INDIRECT("'"&amp;$A26&amp;"'!$A$12:$Z$12"),0),0)="","?",VLOOKUP(AC$1,INDIRECT("'"&amp;$A26&amp;"'!$A$12:$Z$41"),MATCH("Points (Auto-generate)",INDIRECT("'"&amp;$A26&amp;"'!$A$12:$Z$12"),0),0)),"ER"))</f>
        <v>?</v>
      </c>
      <c r="AD26" s="80" t="str">
        <f t="shared" ca="1" si="22"/>
        <v>?</v>
      </c>
      <c r="AE26" s="80" t="str">
        <f t="shared" ca="1" si="22"/>
        <v>?</v>
      </c>
      <c r="AF26" s="80" t="str">
        <f t="shared" ca="1" si="22"/>
        <v>?</v>
      </c>
      <c r="AG26" s="80" t="str">
        <f t="shared" ca="1" si="22"/>
        <v>?</v>
      </c>
      <c r="AH26" s="80" t="str">
        <f t="shared" ca="1" si="22"/>
        <v>?</v>
      </c>
      <c r="AI26" s="80" t="str">
        <f t="shared" ca="1" si="22"/>
        <v>?</v>
      </c>
      <c r="AJ26" s="80" t="str">
        <f t="shared" ca="1" si="22"/>
        <v>?</v>
      </c>
      <c r="AK26" s="80" t="str">
        <f t="shared" ca="1" si="22"/>
        <v>?</v>
      </c>
    </row>
    <row r="27" spans="1:37">
      <c r="A27" s="76" t="s">
        <v>148</v>
      </c>
      <c r="B27" s="77" t="str">
        <f>IF(ISBLANK($A27),"NO_CODE",VLOOKUP($A27,'UPD Questions_290926 '!$E$1:$N$300,MATCH(B$1,'UPD Questions_290926 '!$E$1:$N$1,0),0)&amp;"")</f>
        <v xml:space="preserve">Planning </v>
      </c>
      <c r="C27" s="77" t="str">
        <f>IF(ISBLANK($A27),"NO_CODE",VLOOKUP($A27,'UPD Questions_290926 '!$E$1:$N$300,MATCH(C$1,'UPD Questions_290926 '!$E$1:$N$1,0),0)&amp;"")</f>
        <v>Municipal/City Plan objectives and contents</v>
      </c>
      <c r="D27" s="77" t="str">
        <f>IF(ISBLANK($A27),"NO_CODE",VLOOKUP($A27,'UPD Questions_290926 '!$E$1:$N$300,MATCH(D$1,'UPD Questions_290926 '!$E$1:$N$1,0),0)&amp;"")</f>
        <v>Statutory requirements for plan content</v>
      </c>
      <c r="E27" s="77" t="str">
        <f>IF(ISBLANK($A27),"NO_CODE",VLOOKUP($A27,'UPD Questions_290926 '!$E$1:$N$300,MATCH(E$1,'UPD Questions_290926 '!$E$1:$N$1,0),0)&amp;"")</f>
        <v>SQ</v>
      </c>
      <c r="F27" s="77" t="str">
        <f>IF(ISBLANK($A27),"NO_CODE",VLOOKUP($A27,'UPD Questions_290926 '!$E$1:$N$300,MATCH(F$1,'UPD Questions_290926 '!$E$1:$N$1,0),0)&amp;"")</f>
        <v>b) Disaster Resilience</v>
      </c>
      <c r="G27" s="77" t="str">
        <f>IF(ISBLANK($A27),"NO_CODE",VLOOKUP($A27,'UPD Questions_290926 '!$E$1:$N$300,MATCH(G$1,'UPD Questions_290926 '!$E$1:$N$1,0),0)&amp;"")</f>
        <v>Law/Policy</v>
      </c>
      <c r="H27" s="79">
        <f>IF(ISBLANK($A27),"NO_CODE",VLOOKUP($A27,'UPD Questions_290926 '!$E$1:$N$300,MATCH(H$1,'UPD Questions_290926 '!$E$1:$N$1,0),0))</f>
        <v>1.67</v>
      </c>
      <c r="I27" s="80" t="str">
        <f t="shared" ca="1" si="20"/>
        <v>?</v>
      </c>
      <c r="J27" s="80" t="str">
        <f t="shared" ca="1" si="20"/>
        <v>?</v>
      </c>
      <c r="K27" s="80" t="str">
        <f t="shared" ca="1" si="20"/>
        <v>?</v>
      </c>
      <c r="L27" s="80" t="str">
        <f t="shared" ca="1" si="20"/>
        <v>?</v>
      </c>
      <c r="M27" s="80" t="str">
        <f t="shared" ca="1" si="20"/>
        <v>?</v>
      </c>
      <c r="N27" s="80" t="str">
        <f t="shared" ca="1" si="20"/>
        <v>?</v>
      </c>
      <c r="O27" s="80" t="str">
        <f t="shared" ca="1" si="20"/>
        <v>?</v>
      </c>
      <c r="P27" s="80" t="str">
        <f t="shared" ca="1" si="20"/>
        <v>?</v>
      </c>
      <c r="Q27" s="80" t="str">
        <f t="shared" ca="1" si="20"/>
        <v>?</v>
      </c>
      <c r="R27" s="80" t="str">
        <f t="shared" ca="1" si="20"/>
        <v>?</v>
      </c>
      <c r="S27" s="80" t="str">
        <f t="shared" ca="1" si="21"/>
        <v>?</v>
      </c>
      <c r="T27" s="80" t="str">
        <f t="shared" ca="1" si="21"/>
        <v>?</v>
      </c>
      <c r="U27" s="80" t="str">
        <f t="shared" ca="1" si="21"/>
        <v>?</v>
      </c>
      <c r="V27" s="80" t="str">
        <f t="shared" ca="1" si="21"/>
        <v>?</v>
      </c>
      <c r="W27" s="80" t="str">
        <f t="shared" ca="1" si="21"/>
        <v>?</v>
      </c>
      <c r="X27" s="80" t="str">
        <f t="shared" ca="1" si="21"/>
        <v>?</v>
      </c>
      <c r="Y27" s="80" t="str">
        <f t="shared" ca="1" si="21"/>
        <v>?</v>
      </c>
      <c r="Z27" s="80" t="str">
        <f t="shared" ca="1" si="21"/>
        <v>?</v>
      </c>
      <c r="AA27" s="80" t="str">
        <f t="shared" ca="1" si="21"/>
        <v>?</v>
      </c>
      <c r="AB27" s="80" t="str">
        <f t="shared" ca="1" si="21"/>
        <v>?</v>
      </c>
      <c r="AC27" s="80" t="str">
        <f t="shared" ca="1" si="22"/>
        <v>?</v>
      </c>
      <c r="AD27" s="80" t="str">
        <f t="shared" ca="1" si="22"/>
        <v>?</v>
      </c>
      <c r="AE27" s="80" t="str">
        <f t="shared" ca="1" si="22"/>
        <v>?</v>
      </c>
      <c r="AF27" s="80" t="str">
        <f t="shared" ca="1" si="22"/>
        <v>?</v>
      </c>
      <c r="AG27" s="80" t="str">
        <f t="shared" ca="1" si="22"/>
        <v>?</v>
      </c>
      <c r="AH27" s="80" t="str">
        <f t="shared" ca="1" si="22"/>
        <v>?</v>
      </c>
      <c r="AI27" s="80" t="str">
        <f t="shared" ca="1" si="22"/>
        <v>?</v>
      </c>
      <c r="AJ27" s="80" t="str">
        <f t="shared" ca="1" si="22"/>
        <v>?</v>
      </c>
      <c r="AK27" s="80" t="str">
        <f t="shared" ca="1" si="22"/>
        <v>?</v>
      </c>
    </row>
    <row r="28" spans="1:37">
      <c r="A28" s="76" t="s">
        <v>152</v>
      </c>
      <c r="B28" s="77" t="str">
        <f>IF(ISBLANK($A28),"NO_CODE",VLOOKUP($A28,'UPD Questions_290926 '!$E$1:$N$300,MATCH(B$1,'UPD Questions_290926 '!$E$1:$N$1,0),0)&amp;"")</f>
        <v xml:space="preserve">Planning </v>
      </c>
      <c r="C28" s="77" t="str">
        <f>IF(ISBLANK($A28),"NO_CODE",VLOOKUP($A28,'UPD Questions_290926 '!$E$1:$N$300,MATCH(C$1,'UPD Questions_290926 '!$E$1:$N$1,0),0)&amp;"")</f>
        <v>Municipal/City Plan objectives and contents</v>
      </c>
      <c r="D28" s="77" t="str">
        <f>IF(ISBLANK($A28),"NO_CODE",VLOOKUP($A28,'UPD Questions_290926 '!$E$1:$N$300,MATCH(D$1,'UPD Questions_290926 '!$E$1:$N$1,0),0)&amp;"")</f>
        <v>Statutory requirements for plan content</v>
      </c>
      <c r="E28" s="77" t="str">
        <f>IF(ISBLANK($A28),"NO_CODE",VLOOKUP($A28,'UPD Questions_290926 '!$E$1:$N$300,MATCH(E$1,'UPD Questions_290926 '!$E$1:$N$1,0),0)&amp;"")</f>
        <v>SQ</v>
      </c>
      <c r="F28" s="77" t="str">
        <f>IF(ISBLANK($A28),"NO_CODE",VLOOKUP($A28,'UPD Questions_290926 '!$E$1:$N$300,MATCH(F$1,'UPD Questions_290926 '!$E$1:$N$1,0),0)&amp;"")</f>
        <v>c) Comprehensive mobility</v>
      </c>
      <c r="G28" s="77" t="str">
        <f>IF(ISBLANK($A28),"NO_CODE",VLOOKUP($A28,'UPD Questions_290926 '!$E$1:$N$300,MATCH(G$1,'UPD Questions_290926 '!$E$1:$N$1,0),0)&amp;"")</f>
        <v>Law/Policy</v>
      </c>
      <c r="H28" s="79">
        <f>IF(ISBLANK($A28),"NO_CODE",VLOOKUP($A28,'UPD Questions_290926 '!$E$1:$N$300,MATCH(H$1,'UPD Questions_290926 '!$E$1:$N$1,0),0))</f>
        <v>1.67</v>
      </c>
      <c r="I28" s="80" t="str">
        <f t="shared" ca="1" si="20"/>
        <v>?</v>
      </c>
      <c r="J28" s="80" t="str">
        <f t="shared" ca="1" si="20"/>
        <v>?</v>
      </c>
      <c r="K28" s="80" t="str">
        <f t="shared" ca="1" si="20"/>
        <v>?</v>
      </c>
      <c r="L28" s="80" t="str">
        <f t="shared" ca="1" si="20"/>
        <v>?</v>
      </c>
      <c r="M28" s="80" t="str">
        <f t="shared" ca="1" si="20"/>
        <v>?</v>
      </c>
      <c r="N28" s="80" t="str">
        <f t="shared" ca="1" si="20"/>
        <v>?</v>
      </c>
      <c r="O28" s="80" t="str">
        <f t="shared" ca="1" si="20"/>
        <v>?</v>
      </c>
      <c r="P28" s="80" t="str">
        <f t="shared" ca="1" si="20"/>
        <v>?</v>
      </c>
      <c r="Q28" s="80" t="str">
        <f t="shared" ca="1" si="20"/>
        <v>?</v>
      </c>
      <c r="R28" s="80" t="str">
        <f t="shared" ca="1" si="20"/>
        <v>?</v>
      </c>
      <c r="S28" s="80" t="str">
        <f t="shared" ca="1" si="21"/>
        <v>?</v>
      </c>
      <c r="T28" s="80" t="str">
        <f t="shared" ca="1" si="21"/>
        <v>?</v>
      </c>
      <c r="U28" s="80" t="str">
        <f t="shared" ca="1" si="21"/>
        <v>?</v>
      </c>
      <c r="V28" s="80" t="str">
        <f t="shared" ca="1" si="21"/>
        <v>?</v>
      </c>
      <c r="W28" s="80" t="str">
        <f t="shared" ca="1" si="21"/>
        <v>?</v>
      </c>
      <c r="X28" s="80" t="str">
        <f t="shared" ca="1" si="21"/>
        <v>?</v>
      </c>
      <c r="Y28" s="80" t="str">
        <f t="shared" ca="1" si="21"/>
        <v>?</v>
      </c>
      <c r="Z28" s="80" t="str">
        <f t="shared" ca="1" si="21"/>
        <v>?</v>
      </c>
      <c r="AA28" s="80" t="str">
        <f t="shared" ca="1" si="21"/>
        <v>?</v>
      </c>
      <c r="AB28" s="80" t="str">
        <f t="shared" ca="1" si="21"/>
        <v>?</v>
      </c>
      <c r="AC28" s="80" t="str">
        <f t="shared" ca="1" si="22"/>
        <v>?</v>
      </c>
      <c r="AD28" s="80" t="str">
        <f t="shared" ca="1" si="22"/>
        <v>?</v>
      </c>
      <c r="AE28" s="80" t="str">
        <f t="shared" ca="1" si="22"/>
        <v>?</v>
      </c>
      <c r="AF28" s="80" t="str">
        <f t="shared" ca="1" si="22"/>
        <v>?</v>
      </c>
      <c r="AG28" s="80" t="str">
        <f t="shared" ca="1" si="22"/>
        <v>?</v>
      </c>
      <c r="AH28" s="80" t="str">
        <f t="shared" ca="1" si="22"/>
        <v>?</v>
      </c>
      <c r="AI28" s="80" t="str">
        <f t="shared" ca="1" si="22"/>
        <v>?</v>
      </c>
      <c r="AJ28" s="80" t="str">
        <f t="shared" ca="1" si="22"/>
        <v>?</v>
      </c>
      <c r="AK28" s="80" t="str">
        <f t="shared" ca="1" si="22"/>
        <v>?</v>
      </c>
    </row>
    <row r="29" spans="1:37">
      <c r="A29" s="76" t="s">
        <v>156</v>
      </c>
      <c r="B29" s="77" t="str">
        <f>IF(ISBLANK($A29),"NO_CODE",VLOOKUP($A29,'UPD Questions_290926 '!$E$1:$N$300,MATCH(B$1,'UPD Questions_290926 '!$E$1:$N$1,0),0)&amp;"")</f>
        <v xml:space="preserve">Planning </v>
      </c>
      <c r="C29" s="77" t="str">
        <f>IF(ISBLANK($A29),"NO_CODE",VLOOKUP($A29,'UPD Questions_290926 '!$E$1:$N$300,MATCH(C$1,'UPD Questions_290926 '!$E$1:$N$1,0),0)&amp;"")</f>
        <v>Municipal/City Plan objectives and contents</v>
      </c>
      <c r="D29" s="77" t="str">
        <f>IF(ISBLANK($A29),"NO_CODE",VLOOKUP($A29,'UPD Questions_290926 '!$E$1:$N$300,MATCH(D$1,'UPD Questions_290926 '!$E$1:$N$1,0),0)&amp;"")</f>
        <v>Statutory requirements for plan content</v>
      </c>
      <c r="E29" s="77" t="str">
        <f>IF(ISBLANK($A29),"NO_CODE",VLOOKUP($A29,'UPD Questions_290926 '!$E$1:$N$300,MATCH(E$1,'UPD Questions_290926 '!$E$1:$N$1,0),0)&amp;"")</f>
        <v>SQ</v>
      </c>
      <c r="F29" s="77" t="str">
        <f>IF(ISBLANK($A29),"NO_CODE",VLOOKUP($A29,'UPD Questions_290926 '!$E$1:$N$300,MATCH(F$1,'UPD Questions_290926 '!$E$1:$N$1,0),0)&amp;"")</f>
        <v>d) Sustainability/Climate/Environmental conservation</v>
      </c>
      <c r="G29" s="77" t="str">
        <f>IF(ISBLANK($A29),"NO_CODE",VLOOKUP($A29,'UPD Questions_290926 '!$E$1:$N$300,MATCH(G$1,'UPD Questions_290926 '!$E$1:$N$1,0),0)&amp;"")</f>
        <v>Law/Policy</v>
      </c>
      <c r="H29" s="79">
        <f>IF(ISBLANK($A29),"NO_CODE",VLOOKUP($A29,'UPD Questions_290926 '!$E$1:$N$300,MATCH(H$1,'UPD Questions_290926 '!$E$1:$N$1,0),0))</f>
        <v>1.67</v>
      </c>
      <c r="I29" s="80" t="str">
        <f t="shared" ca="1" si="20"/>
        <v>?</v>
      </c>
      <c r="J29" s="80" t="str">
        <f t="shared" ca="1" si="20"/>
        <v>?</v>
      </c>
      <c r="K29" s="80" t="str">
        <f t="shared" ca="1" si="20"/>
        <v>?</v>
      </c>
      <c r="L29" s="80" t="str">
        <f t="shared" ca="1" si="20"/>
        <v>?</v>
      </c>
      <c r="M29" s="80" t="str">
        <f t="shared" ca="1" si="20"/>
        <v>?</v>
      </c>
      <c r="N29" s="80" t="str">
        <f t="shared" ca="1" si="20"/>
        <v>?</v>
      </c>
      <c r="O29" s="80" t="str">
        <f t="shared" ca="1" si="20"/>
        <v>?</v>
      </c>
      <c r="P29" s="80" t="str">
        <f t="shared" ca="1" si="20"/>
        <v>?</v>
      </c>
      <c r="Q29" s="80" t="str">
        <f t="shared" ca="1" si="20"/>
        <v>?</v>
      </c>
      <c r="R29" s="80" t="str">
        <f t="shared" ca="1" si="20"/>
        <v>?</v>
      </c>
      <c r="S29" s="80" t="str">
        <f t="shared" ca="1" si="21"/>
        <v>?</v>
      </c>
      <c r="T29" s="80" t="str">
        <f t="shared" ca="1" si="21"/>
        <v>?</v>
      </c>
      <c r="U29" s="80" t="str">
        <f t="shared" ca="1" si="21"/>
        <v>?</v>
      </c>
      <c r="V29" s="80" t="str">
        <f t="shared" ca="1" si="21"/>
        <v>?</v>
      </c>
      <c r="W29" s="80" t="str">
        <f t="shared" ca="1" si="21"/>
        <v>?</v>
      </c>
      <c r="X29" s="80" t="str">
        <f t="shared" ca="1" si="21"/>
        <v>?</v>
      </c>
      <c r="Y29" s="80" t="str">
        <f t="shared" ca="1" si="21"/>
        <v>?</v>
      </c>
      <c r="Z29" s="80" t="str">
        <f t="shared" ca="1" si="21"/>
        <v>?</v>
      </c>
      <c r="AA29" s="80" t="str">
        <f t="shared" ca="1" si="21"/>
        <v>?</v>
      </c>
      <c r="AB29" s="80" t="str">
        <f t="shared" ca="1" si="21"/>
        <v>?</v>
      </c>
      <c r="AC29" s="80" t="str">
        <f t="shared" ca="1" si="22"/>
        <v>?</v>
      </c>
      <c r="AD29" s="80" t="str">
        <f t="shared" ca="1" si="22"/>
        <v>?</v>
      </c>
      <c r="AE29" s="80" t="str">
        <f t="shared" ca="1" si="22"/>
        <v>?</v>
      </c>
      <c r="AF29" s="80" t="str">
        <f t="shared" ca="1" si="22"/>
        <v>?</v>
      </c>
      <c r="AG29" s="80" t="str">
        <f t="shared" ca="1" si="22"/>
        <v>?</v>
      </c>
      <c r="AH29" s="80" t="str">
        <f t="shared" ca="1" si="22"/>
        <v>?</v>
      </c>
      <c r="AI29" s="80" t="str">
        <f t="shared" ca="1" si="22"/>
        <v>?</v>
      </c>
      <c r="AJ29" s="80" t="str">
        <f t="shared" ca="1" si="22"/>
        <v>?</v>
      </c>
      <c r="AK29" s="80" t="str">
        <f t="shared" ca="1" si="22"/>
        <v>?</v>
      </c>
    </row>
    <row r="30" spans="1:37">
      <c r="A30" s="76" t="s">
        <v>160</v>
      </c>
      <c r="B30" s="77" t="str">
        <f>IF(ISBLANK($A30),"NO_CODE",VLOOKUP($A30,'UPD Questions_290926 '!$E$1:$N$300,MATCH(B$1,'UPD Questions_290926 '!$E$1:$N$1,0),0)&amp;"")</f>
        <v xml:space="preserve">Planning </v>
      </c>
      <c r="C30" s="77" t="str">
        <f>IF(ISBLANK($A30),"NO_CODE",VLOOKUP($A30,'UPD Questions_290926 '!$E$1:$N$300,MATCH(C$1,'UPD Questions_290926 '!$E$1:$N$1,0),0)&amp;"")</f>
        <v>Municipal/City Plan objectives and contents</v>
      </c>
      <c r="D30" s="77" t="str">
        <f>IF(ISBLANK($A30),"NO_CODE",VLOOKUP($A30,'UPD Questions_290926 '!$E$1:$N$300,MATCH(D$1,'UPD Questions_290926 '!$E$1:$N$1,0),0)&amp;"")</f>
        <v>Statutory requirements for plan content</v>
      </c>
      <c r="E30" s="77" t="str">
        <f>IF(ISBLANK($A30),"NO_CODE",VLOOKUP($A30,'UPD Questions_290926 '!$E$1:$N$300,MATCH(E$1,'UPD Questions_290926 '!$E$1:$N$1,0),0)&amp;"")</f>
        <v>SQ</v>
      </c>
      <c r="F30" s="77" t="str">
        <f>IF(ISBLANK($A30),"NO_CODE",VLOOKUP($A30,'UPD Questions_290926 '!$E$1:$N$300,MATCH(F$1,'UPD Questions_290926 '!$E$1:$N$1,0),0)&amp;"")</f>
        <v>e) Heritage conservation</v>
      </c>
      <c r="G30" s="77" t="str">
        <f>IF(ISBLANK($A30),"NO_CODE",VLOOKUP($A30,'UPD Questions_290926 '!$E$1:$N$300,MATCH(G$1,'UPD Questions_290926 '!$E$1:$N$1,0),0)&amp;"")</f>
        <v>Law/Policy</v>
      </c>
      <c r="H30" s="79">
        <f>IF(ISBLANK($A30),"NO_CODE",VLOOKUP($A30,'UPD Questions_290926 '!$E$1:$N$300,MATCH(H$1,'UPD Questions_290926 '!$E$1:$N$1,0),0))</f>
        <v>1.67</v>
      </c>
      <c r="I30" s="80" t="str">
        <f t="shared" ca="1" si="20"/>
        <v>?</v>
      </c>
      <c r="J30" s="80" t="str">
        <f t="shared" ca="1" si="20"/>
        <v>?</v>
      </c>
      <c r="K30" s="80" t="str">
        <f t="shared" ca="1" si="20"/>
        <v>?</v>
      </c>
      <c r="L30" s="80" t="str">
        <f t="shared" ca="1" si="20"/>
        <v>?</v>
      </c>
      <c r="M30" s="80" t="str">
        <f t="shared" ca="1" si="20"/>
        <v>?</v>
      </c>
      <c r="N30" s="80" t="str">
        <f t="shared" ca="1" si="20"/>
        <v>?</v>
      </c>
      <c r="O30" s="80" t="str">
        <f t="shared" ca="1" si="20"/>
        <v>?</v>
      </c>
      <c r="P30" s="80" t="str">
        <f t="shared" ca="1" si="20"/>
        <v>?</v>
      </c>
      <c r="Q30" s="80" t="str">
        <f t="shared" ca="1" si="20"/>
        <v>?</v>
      </c>
      <c r="R30" s="80" t="str">
        <f t="shared" ca="1" si="20"/>
        <v>?</v>
      </c>
      <c r="S30" s="80" t="str">
        <f t="shared" ca="1" si="21"/>
        <v>?</v>
      </c>
      <c r="T30" s="80" t="str">
        <f t="shared" ca="1" si="21"/>
        <v>?</v>
      </c>
      <c r="U30" s="80" t="str">
        <f t="shared" ca="1" si="21"/>
        <v>?</v>
      </c>
      <c r="V30" s="80" t="str">
        <f t="shared" ca="1" si="21"/>
        <v>?</v>
      </c>
      <c r="W30" s="80" t="str">
        <f t="shared" ca="1" si="21"/>
        <v>?</v>
      </c>
      <c r="X30" s="80" t="str">
        <f t="shared" ca="1" si="21"/>
        <v>?</v>
      </c>
      <c r="Y30" s="80" t="str">
        <f t="shared" ca="1" si="21"/>
        <v>?</v>
      </c>
      <c r="Z30" s="80" t="str">
        <f t="shared" ca="1" si="21"/>
        <v>?</v>
      </c>
      <c r="AA30" s="80" t="str">
        <f t="shared" ca="1" si="21"/>
        <v>?</v>
      </c>
      <c r="AB30" s="80" t="str">
        <f t="shared" ca="1" si="21"/>
        <v>?</v>
      </c>
      <c r="AC30" s="80" t="str">
        <f t="shared" ca="1" si="22"/>
        <v>?</v>
      </c>
      <c r="AD30" s="80" t="str">
        <f t="shared" ca="1" si="22"/>
        <v>?</v>
      </c>
      <c r="AE30" s="80" t="str">
        <f t="shared" ca="1" si="22"/>
        <v>?</v>
      </c>
      <c r="AF30" s="80" t="str">
        <f t="shared" ca="1" si="22"/>
        <v>?</v>
      </c>
      <c r="AG30" s="80" t="str">
        <f t="shared" ca="1" si="22"/>
        <v>?</v>
      </c>
      <c r="AH30" s="80" t="str">
        <f t="shared" ca="1" si="22"/>
        <v>?</v>
      </c>
      <c r="AI30" s="80" t="str">
        <f t="shared" ca="1" si="22"/>
        <v>?</v>
      </c>
      <c r="AJ30" s="80" t="str">
        <f t="shared" ca="1" si="22"/>
        <v>?</v>
      </c>
      <c r="AK30" s="80" t="str">
        <f t="shared" ca="1" si="22"/>
        <v>?</v>
      </c>
    </row>
    <row r="31" spans="1:37">
      <c r="A31" s="76" t="s">
        <v>164</v>
      </c>
      <c r="B31" s="77" t="str">
        <f>IF(ISBLANK($A31),"NO_CODE",VLOOKUP($A31,'UPD Questions_290926 '!$E$1:$N$300,MATCH(B$1,'UPD Questions_290926 '!$E$1:$N$1,0),0)&amp;"")</f>
        <v xml:space="preserve">Planning </v>
      </c>
      <c r="C31" s="77" t="str">
        <f>IF(ISBLANK($A31),"NO_CODE",VLOOKUP($A31,'UPD Questions_290926 '!$E$1:$N$300,MATCH(C$1,'UPD Questions_290926 '!$E$1:$N$1,0),0)&amp;"")</f>
        <v>Municipal/City Plan objectives and contents</v>
      </c>
      <c r="D31" s="77" t="str">
        <f>IF(ISBLANK($A31),"NO_CODE",VLOOKUP($A31,'UPD Questions_290926 '!$E$1:$N$300,MATCH(D$1,'UPD Questions_290926 '!$E$1:$N$1,0),0)&amp;"")</f>
        <v>Statutory requirements for plan content</v>
      </c>
      <c r="E31" s="77" t="str">
        <f>IF(ISBLANK($A31),"NO_CODE",VLOOKUP($A31,'UPD Questions_290926 '!$E$1:$N$300,MATCH(E$1,'UPD Questions_290926 '!$E$1:$N$1,0),0)&amp;"")</f>
        <v>SQ</v>
      </c>
      <c r="F31" s="77" t="str">
        <f>IF(ISBLANK($A31),"NO_CODE",VLOOKUP($A31,'UPD Questions_290926 '!$E$1:$N$300,MATCH(F$1,'UPD Questions_290926 '!$E$1:$N$1,0),0)&amp;"")</f>
        <v xml:space="preserve">f) Social Development        </v>
      </c>
      <c r="G31" s="77" t="str">
        <f>IF(ISBLANK($A31),"NO_CODE",VLOOKUP($A31,'UPD Questions_290926 '!$E$1:$N$300,MATCH(G$1,'UPD Questions_290926 '!$E$1:$N$1,0),0)&amp;"")</f>
        <v>Law/Policy</v>
      </c>
      <c r="H31" s="79">
        <f>IF(ISBLANK($A31),"NO_CODE",VLOOKUP($A31,'UPD Questions_290926 '!$E$1:$N$300,MATCH(H$1,'UPD Questions_290926 '!$E$1:$N$1,0),0))</f>
        <v>1.67</v>
      </c>
      <c r="I31" s="80" t="str">
        <f t="shared" ca="1" si="20"/>
        <v>?</v>
      </c>
      <c r="J31" s="80" t="str">
        <f t="shared" ca="1" si="20"/>
        <v>?</v>
      </c>
      <c r="K31" s="80" t="str">
        <f t="shared" ca="1" si="20"/>
        <v>?</v>
      </c>
      <c r="L31" s="80" t="str">
        <f t="shared" ca="1" si="20"/>
        <v>?</v>
      </c>
      <c r="M31" s="80" t="str">
        <f t="shared" ca="1" si="20"/>
        <v>?</v>
      </c>
      <c r="N31" s="80" t="str">
        <f t="shared" ca="1" si="20"/>
        <v>?</v>
      </c>
      <c r="O31" s="80" t="str">
        <f t="shared" ca="1" si="20"/>
        <v>?</v>
      </c>
      <c r="P31" s="80" t="str">
        <f t="shared" ca="1" si="20"/>
        <v>?</v>
      </c>
      <c r="Q31" s="80" t="str">
        <f t="shared" ca="1" si="20"/>
        <v>?</v>
      </c>
      <c r="R31" s="80" t="str">
        <f t="shared" ca="1" si="20"/>
        <v>?</v>
      </c>
      <c r="S31" s="80" t="str">
        <f t="shared" ca="1" si="21"/>
        <v>?</v>
      </c>
      <c r="T31" s="80" t="str">
        <f t="shared" ca="1" si="21"/>
        <v>?</v>
      </c>
      <c r="U31" s="80" t="str">
        <f t="shared" ca="1" si="21"/>
        <v>?</v>
      </c>
      <c r="V31" s="80" t="str">
        <f t="shared" ca="1" si="21"/>
        <v>?</v>
      </c>
      <c r="W31" s="80" t="str">
        <f t="shared" ca="1" si="21"/>
        <v>?</v>
      </c>
      <c r="X31" s="80" t="str">
        <f t="shared" ca="1" si="21"/>
        <v>?</v>
      </c>
      <c r="Y31" s="80" t="str">
        <f t="shared" ca="1" si="21"/>
        <v>?</v>
      </c>
      <c r="Z31" s="80" t="str">
        <f t="shared" ca="1" si="21"/>
        <v>?</v>
      </c>
      <c r="AA31" s="80" t="str">
        <f t="shared" ca="1" si="21"/>
        <v>?</v>
      </c>
      <c r="AB31" s="80" t="str">
        <f t="shared" ca="1" si="21"/>
        <v>?</v>
      </c>
      <c r="AC31" s="80" t="str">
        <f t="shared" ca="1" si="22"/>
        <v>?</v>
      </c>
      <c r="AD31" s="80" t="str">
        <f t="shared" ca="1" si="22"/>
        <v>?</v>
      </c>
      <c r="AE31" s="80" t="str">
        <f t="shared" ca="1" si="22"/>
        <v>?</v>
      </c>
      <c r="AF31" s="80" t="str">
        <f t="shared" ca="1" si="22"/>
        <v>?</v>
      </c>
      <c r="AG31" s="80" t="str">
        <f t="shared" ca="1" si="22"/>
        <v>?</v>
      </c>
      <c r="AH31" s="80" t="str">
        <f t="shared" ca="1" si="22"/>
        <v>?</v>
      </c>
      <c r="AI31" s="80" t="str">
        <f t="shared" ca="1" si="22"/>
        <v>?</v>
      </c>
      <c r="AJ31" s="80" t="str">
        <f t="shared" ca="1" si="22"/>
        <v>?</v>
      </c>
      <c r="AK31" s="80" t="str">
        <f t="shared" ca="1" si="22"/>
        <v>?</v>
      </c>
    </row>
    <row r="32" spans="1:37">
      <c r="A32" s="76" t="s">
        <v>168</v>
      </c>
      <c r="B32" s="77" t="str">
        <f>IF(ISBLANK($A32),"NO_CODE",VLOOKUP($A32,'UPD Questions_290926 '!$E$1:$N$300,MATCH(B$1,'UPD Questions_290926 '!$E$1:$N$1,0),0)&amp;"")</f>
        <v>Implementation</v>
      </c>
      <c r="C32" s="77" t="str">
        <f>IF(ISBLANK($A32),"NO_CODE",VLOOKUP($A32,'UPD Questions_290926 '!$E$1:$N$300,MATCH(C$1,'UPD Questions_290926 '!$E$1:$N$1,0),0)&amp;"")</f>
        <v>Municipal/City Plan status, hierarchy and coordination</v>
      </c>
      <c r="D32" s="77" t="str">
        <f>IF(ISBLANK($A32),"NO_CODE",VLOOKUP($A32,'UPD Questions_290926 '!$E$1:$N$300,MATCH(D$1,'UPD Questions_290926 '!$E$1:$N$1,0),0)&amp;"")</f>
        <v>Existence of Municipal/City Plans at each level</v>
      </c>
      <c r="E32" s="77" t="str">
        <f>IF(ISBLANK($A32),"NO_CODE",VLOOKUP($A32,'UPD Questions_290926 '!$E$1:$N$300,MATCH(E$1,'UPD Questions_290926 '!$E$1:$N$1,0),0)&amp;"")</f>
        <v>MQ</v>
      </c>
      <c r="F32" s="77" t="str">
        <f>IF(ISBLANK($A32),"NO_CODE",VLOOKUP($A32,'UPD Questions_290926 '!$E$1:$N$300,MATCH(F$1,'UPD Questions_290926 '!$E$1:$N$1,0),0)&amp;"")</f>
        <v>Are the spatial plans at the Metropolitan/Regional, Municipal and Ward(s) /Local level notified?</v>
      </c>
      <c r="G32" s="77" t="str">
        <f>IF(ISBLANK($A32),"NO_CODE",VLOOKUP($A32,'UPD Questions_290926 '!$E$1:$N$300,MATCH(G$1,'UPD Questions_290926 '!$E$1:$N$1,0),0)&amp;"")</f>
        <v>Implementation</v>
      </c>
      <c r="H32" s="79">
        <f>IF(ISBLANK($A32),"NO_CODE",VLOOKUP($A32,'UPD Questions_290926 '!$E$1:$N$300,MATCH(H$1,'UPD Questions_290926 '!$E$1:$N$1,0),0))</f>
        <v>10</v>
      </c>
      <c r="I32" s="80" t="str">
        <f t="shared" ref="I32:AK32" ca="1" si="23">IF(OR(I33="ER",I34="ER",I35="ER"),"ER",IF(OR(I33="?",I34="?",I35="?"),"?",IF(AND(I33="NA",I34="NA",I35="NA"),"NA",SUM(I33,I34,I35)/((I33&lt;&gt;"NA")*$H$33+(I34&lt;&gt;"NA")*$H$34+(I35&lt;&gt;"NA")*$H$35)*$H32)))</f>
        <v>?</v>
      </c>
      <c r="J32" s="80" t="str">
        <f t="shared" ca="1" si="23"/>
        <v>?</v>
      </c>
      <c r="K32" s="80" t="str">
        <f t="shared" ca="1" si="23"/>
        <v>?</v>
      </c>
      <c r="L32" s="80" t="str">
        <f t="shared" ca="1" si="23"/>
        <v>?</v>
      </c>
      <c r="M32" s="80" t="str">
        <f t="shared" ca="1" si="23"/>
        <v>?</v>
      </c>
      <c r="N32" s="80" t="str">
        <f t="shared" ca="1" si="23"/>
        <v>?</v>
      </c>
      <c r="O32" s="80" t="str">
        <f t="shared" ca="1" si="23"/>
        <v>?</v>
      </c>
      <c r="P32" s="80" t="str">
        <f t="shared" ca="1" si="23"/>
        <v>?</v>
      </c>
      <c r="Q32" s="80" t="str">
        <f t="shared" ca="1" si="23"/>
        <v>?</v>
      </c>
      <c r="R32" s="80" t="str">
        <f t="shared" ca="1" si="23"/>
        <v>?</v>
      </c>
      <c r="S32" s="80" t="str">
        <f t="shared" ca="1" si="23"/>
        <v>?</v>
      </c>
      <c r="T32" s="80" t="str">
        <f t="shared" ca="1" si="23"/>
        <v>?</v>
      </c>
      <c r="U32" s="80" t="str">
        <f t="shared" ca="1" si="23"/>
        <v>?</v>
      </c>
      <c r="V32" s="80" t="str">
        <f t="shared" ca="1" si="23"/>
        <v>?</v>
      </c>
      <c r="W32" s="80" t="str">
        <f t="shared" ca="1" si="23"/>
        <v>?</v>
      </c>
      <c r="X32" s="80" t="str">
        <f t="shared" ca="1" si="23"/>
        <v>?</v>
      </c>
      <c r="Y32" s="80" t="str">
        <f t="shared" ca="1" si="23"/>
        <v>?</v>
      </c>
      <c r="Z32" s="80" t="str">
        <f t="shared" ca="1" si="23"/>
        <v>?</v>
      </c>
      <c r="AA32" s="80" t="str">
        <f t="shared" ca="1" si="23"/>
        <v>?</v>
      </c>
      <c r="AB32" s="80" t="str">
        <f t="shared" ca="1" si="23"/>
        <v>?</v>
      </c>
      <c r="AC32" s="80" t="str">
        <f t="shared" ca="1" si="23"/>
        <v>?</v>
      </c>
      <c r="AD32" s="80" t="str">
        <f t="shared" ca="1" si="23"/>
        <v>?</v>
      </c>
      <c r="AE32" s="80" t="str">
        <f t="shared" ca="1" si="23"/>
        <v>?</v>
      </c>
      <c r="AF32" s="80" t="str">
        <f t="shared" ca="1" si="23"/>
        <v>?</v>
      </c>
      <c r="AG32" s="80" t="str">
        <f t="shared" ca="1" si="23"/>
        <v>?</v>
      </c>
      <c r="AH32" s="80" t="str">
        <f t="shared" ca="1" si="23"/>
        <v>?</v>
      </c>
      <c r="AI32" s="80" t="str">
        <f t="shared" ca="1" si="23"/>
        <v>?</v>
      </c>
      <c r="AJ32" s="80" t="str">
        <f t="shared" ca="1" si="23"/>
        <v>?</v>
      </c>
      <c r="AK32" s="80" t="str">
        <f t="shared" ca="1" si="23"/>
        <v>?</v>
      </c>
    </row>
    <row r="33" spans="1:37">
      <c r="A33" s="76" t="s">
        <v>174</v>
      </c>
      <c r="B33" s="77" t="str">
        <f>IF(ISBLANK($A33),"NO_CODE",VLOOKUP($A33,'UPD Questions_290926 '!$E$1:$N$300,MATCH(B$1,'UPD Questions_290926 '!$E$1:$N$1,0),0)&amp;"")</f>
        <v>Implementation</v>
      </c>
      <c r="C33" s="77" t="str">
        <f>IF(ISBLANK($A33),"NO_CODE",VLOOKUP($A33,'UPD Questions_290926 '!$E$1:$N$300,MATCH(C$1,'UPD Questions_290926 '!$E$1:$N$1,0),0)&amp;"")</f>
        <v>Municipal/City Plan status, hierarchy and coordination</v>
      </c>
      <c r="D33" s="77" t="str">
        <f>IF(ISBLANK($A33),"NO_CODE",VLOOKUP($A33,'UPD Questions_290926 '!$E$1:$N$300,MATCH(D$1,'UPD Questions_290926 '!$E$1:$N$1,0),0)&amp;"")</f>
        <v>Existence of Municipal/City Plans at each level</v>
      </c>
      <c r="E33" s="77" t="str">
        <f>IF(ISBLANK($A33),"NO_CODE",VLOOKUP($A33,'UPD Questions_290926 '!$E$1:$N$300,MATCH(E$1,'UPD Questions_290926 '!$E$1:$N$1,0),0)&amp;"")</f>
        <v>SQ</v>
      </c>
      <c r="F33" s="77" t="str">
        <f>IF(ISBLANK($A33),"NO_CODE",VLOOKUP($A33,'UPD Questions_290926 '!$E$1:$N$300,MATCH(F$1,'UPD Questions_290926 '!$E$1:$N$1,0),0)&amp;"")</f>
        <v>Is there a Metropolitan/Regional Plan?</v>
      </c>
      <c r="G33" s="77" t="str">
        <f>IF(ISBLANK($A33),"NO_CODE",VLOOKUP($A33,'UPD Questions_290926 '!$E$1:$N$300,MATCH(G$1,'UPD Questions_290926 '!$E$1:$N$1,0),0)&amp;"")</f>
        <v>Implementation</v>
      </c>
      <c r="H33" s="79">
        <f>IF(ISBLANK($A33),"NO_CODE",VLOOKUP($A33,'UPD Questions_290926 '!$E$1:$N$300,MATCH(H$1,'UPD Questions_290926 '!$E$1:$N$1,0),0))</f>
        <v>3.33</v>
      </c>
      <c r="I33" s="80" t="str">
        <f t="shared" ref="I33:R36" ca="1" si="24">IF($H33=0,"NA",IF($A33=INDIRECT("'"&amp;$A33&amp;"'!$B$1"),IF(VLOOKUP(I$1,INDIRECT("'"&amp;$A33&amp;"'!$A$12:$Z$41"),MATCH("Points (Auto-generate)",INDIRECT("'"&amp;$A33&amp;"'!$A$12:$Z$12"),0),0)="","?",VLOOKUP(I$1,INDIRECT("'"&amp;$A33&amp;"'!$A$12:$Z$41"),MATCH("Points (Auto-generate)",INDIRECT("'"&amp;$A33&amp;"'!$A$12:$Z$12"),0),0)),"ER"))</f>
        <v>?</v>
      </c>
      <c r="J33" s="80" t="str">
        <f t="shared" ca="1" si="24"/>
        <v>?</v>
      </c>
      <c r="K33" s="80" t="str">
        <f t="shared" ca="1" si="24"/>
        <v>?</v>
      </c>
      <c r="L33" s="80" t="str">
        <f t="shared" ca="1" si="24"/>
        <v>?</v>
      </c>
      <c r="M33" s="80" t="str">
        <f t="shared" ca="1" si="24"/>
        <v>?</v>
      </c>
      <c r="N33" s="80" t="str">
        <f t="shared" ca="1" si="24"/>
        <v>?</v>
      </c>
      <c r="O33" s="80" t="str">
        <f t="shared" ca="1" si="24"/>
        <v>?</v>
      </c>
      <c r="P33" s="80" t="str">
        <f t="shared" ca="1" si="24"/>
        <v>?</v>
      </c>
      <c r="Q33" s="80" t="str">
        <f t="shared" ca="1" si="24"/>
        <v>?</v>
      </c>
      <c r="R33" s="80" t="str">
        <f t="shared" ca="1" si="24"/>
        <v>?</v>
      </c>
      <c r="S33" s="80" t="str">
        <f t="shared" ref="S33:AB36" ca="1" si="25">IF($H33=0,"NA",IF($A33=INDIRECT("'"&amp;$A33&amp;"'!$B$1"),IF(VLOOKUP(S$1,INDIRECT("'"&amp;$A33&amp;"'!$A$12:$Z$41"),MATCH("Points (Auto-generate)",INDIRECT("'"&amp;$A33&amp;"'!$A$12:$Z$12"),0),0)="","?",VLOOKUP(S$1,INDIRECT("'"&amp;$A33&amp;"'!$A$12:$Z$41"),MATCH("Points (Auto-generate)",INDIRECT("'"&amp;$A33&amp;"'!$A$12:$Z$12"),0),0)),"ER"))</f>
        <v>?</v>
      </c>
      <c r="T33" s="80" t="str">
        <f t="shared" ca="1" si="25"/>
        <v>?</v>
      </c>
      <c r="U33" s="80" t="str">
        <f t="shared" ca="1" si="25"/>
        <v>?</v>
      </c>
      <c r="V33" s="80" t="str">
        <f t="shared" ca="1" si="25"/>
        <v>?</v>
      </c>
      <c r="W33" s="80" t="str">
        <f t="shared" ca="1" si="25"/>
        <v>?</v>
      </c>
      <c r="X33" s="80" t="str">
        <f t="shared" ca="1" si="25"/>
        <v>?</v>
      </c>
      <c r="Y33" s="80" t="str">
        <f t="shared" ca="1" si="25"/>
        <v>?</v>
      </c>
      <c r="Z33" s="80" t="str">
        <f t="shared" ca="1" si="25"/>
        <v>?</v>
      </c>
      <c r="AA33" s="80" t="str">
        <f t="shared" ca="1" si="25"/>
        <v>?</v>
      </c>
      <c r="AB33" s="80" t="str">
        <f t="shared" ca="1" si="25"/>
        <v>?</v>
      </c>
      <c r="AC33" s="80" t="str">
        <f t="shared" ref="AC33:AK36" ca="1" si="26">IF($H33=0,"NA",IF($A33=INDIRECT("'"&amp;$A33&amp;"'!$B$1"),IF(VLOOKUP(AC$1,INDIRECT("'"&amp;$A33&amp;"'!$A$12:$Z$41"),MATCH("Points (Auto-generate)",INDIRECT("'"&amp;$A33&amp;"'!$A$12:$Z$12"),0),0)="","?",VLOOKUP(AC$1,INDIRECT("'"&amp;$A33&amp;"'!$A$12:$Z$41"),MATCH("Points (Auto-generate)",INDIRECT("'"&amp;$A33&amp;"'!$A$12:$Z$12"),0),0)),"ER"))</f>
        <v>?</v>
      </c>
      <c r="AD33" s="80" t="str">
        <f t="shared" ca="1" si="26"/>
        <v>?</v>
      </c>
      <c r="AE33" s="80" t="str">
        <f t="shared" ca="1" si="26"/>
        <v>?</v>
      </c>
      <c r="AF33" s="80" t="str">
        <f t="shared" ca="1" si="26"/>
        <v>?</v>
      </c>
      <c r="AG33" s="80" t="str">
        <f t="shared" ca="1" si="26"/>
        <v>?</v>
      </c>
      <c r="AH33" s="80" t="str">
        <f t="shared" ca="1" si="26"/>
        <v>?</v>
      </c>
      <c r="AI33" s="80" t="str">
        <f t="shared" ca="1" si="26"/>
        <v>?</v>
      </c>
      <c r="AJ33" s="80" t="str">
        <f t="shared" ca="1" si="26"/>
        <v>?</v>
      </c>
      <c r="AK33" s="80" t="str">
        <f t="shared" ca="1" si="26"/>
        <v>?</v>
      </c>
    </row>
    <row r="34" spans="1:37">
      <c r="A34" s="76" t="s">
        <v>179</v>
      </c>
      <c r="B34" s="77" t="str">
        <f>IF(ISBLANK($A34),"NO_CODE",VLOOKUP($A34,'UPD Questions_290926 '!$E$1:$N$300,MATCH(B$1,'UPD Questions_290926 '!$E$1:$N$1,0),0)&amp;"")</f>
        <v>Implementation</v>
      </c>
      <c r="C34" s="77" t="str">
        <f>IF(ISBLANK($A34),"NO_CODE",VLOOKUP($A34,'UPD Questions_290926 '!$E$1:$N$300,MATCH(C$1,'UPD Questions_290926 '!$E$1:$N$1,0),0)&amp;"")</f>
        <v>Municipal/City Plan status, hierarchy and coordination</v>
      </c>
      <c r="D34" s="77" t="str">
        <f>IF(ISBLANK($A34),"NO_CODE",VLOOKUP($A34,'UPD Questions_290926 '!$E$1:$N$300,MATCH(D$1,'UPD Questions_290926 '!$E$1:$N$1,0),0)&amp;"")</f>
        <v>Existence of Municipal/City Plans at each level</v>
      </c>
      <c r="E34" s="77" t="str">
        <f>IF(ISBLANK($A34),"NO_CODE",VLOOKUP($A34,'UPD Questions_290926 '!$E$1:$N$300,MATCH(E$1,'UPD Questions_290926 '!$E$1:$N$1,0),0)&amp;"")</f>
        <v>SQ</v>
      </c>
      <c r="F34" s="77" t="str">
        <f>IF(ISBLANK($A34),"NO_CODE",VLOOKUP($A34,'UPD Questions_290926 '!$E$1:$N$300,MATCH(F$1,'UPD Questions_290926 '!$E$1:$N$1,0),0)&amp;"")</f>
        <v>Is there Municipal/City Plan?</v>
      </c>
      <c r="G34" s="77" t="str">
        <f>IF(ISBLANK($A34),"NO_CODE",VLOOKUP($A34,'UPD Questions_290926 '!$E$1:$N$300,MATCH(G$1,'UPD Questions_290926 '!$E$1:$N$1,0),0)&amp;"")</f>
        <v>Implementation</v>
      </c>
      <c r="H34" s="79">
        <f>IF(ISBLANK($A34),"NO_CODE",VLOOKUP($A34,'UPD Questions_290926 '!$E$1:$N$300,MATCH(H$1,'UPD Questions_290926 '!$E$1:$N$1,0),0))</f>
        <v>3.33</v>
      </c>
      <c r="I34" s="80" t="str">
        <f t="shared" ca="1" si="24"/>
        <v>?</v>
      </c>
      <c r="J34" s="80" t="str">
        <f t="shared" ca="1" si="24"/>
        <v>?</v>
      </c>
      <c r="K34" s="80" t="str">
        <f t="shared" ca="1" si="24"/>
        <v>?</v>
      </c>
      <c r="L34" s="80" t="str">
        <f t="shared" ca="1" si="24"/>
        <v>?</v>
      </c>
      <c r="M34" s="80" t="str">
        <f t="shared" ca="1" si="24"/>
        <v>?</v>
      </c>
      <c r="N34" s="80" t="str">
        <f t="shared" ca="1" si="24"/>
        <v>?</v>
      </c>
      <c r="O34" s="80" t="str">
        <f t="shared" ca="1" si="24"/>
        <v>?</v>
      </c>
      <c r="P34" s="80" t="str">
        <f t="shared" ca="1" si="24"/>
        <v>?</v>
      </c>
      <c r="Q34" s="80" t="str">
        <f t="shared" ca="1" si="24"/>
        <v>?</v>
      </c>
      <c r="R34" s="80" t="str">
        <f t="shared" ca="1" si="24"/>
        <v>?</v>
      </c>
      <c r="S34" s="80" t="str">
        <f t="shared" ca="1" si="25"/>
        <v>?</v>
      </c>
      <c r="T34" s="80" t="str">
        <f t="shared" ca="1" si="25"/>
        <v>?</v>
      </c>
      <c r="U34" s="80" t="str">
        <f t="shared" ca="1" si="25"/>
        <v>?</v>
      </c>
      <c r="V34" s="80" t="str">
        <f t="shared" ca="1" si="25"/>
        <v>?</v>
      </c>
      <c r="W34" s="80" t="str">
        <f t="shared" ca="1" si="25"/>
        <v>?</v>
      </c>
      <c r="X34" s="80" t="str">
        <f t="shared" ca="1" si="25"/>
        <v>?</v>
      </c>
      <c r="Y34" s="80" t="str">
        <f t="shared" ca="1" si="25"/>
        <v>?</v>
      </c>
      <c r="Z34" s="80" t="str">
        <f t="shared" ca="1" si="25"/>
        <v>?</v>
      </c>
      <c r="AA34" s="80" t="str">
        <f t="shared" ca="1" si="25"/>
        <v>?</v>
      </c>
      <c r="AB34" s="80" t="str">
        <f t="shared" ca="1" si="25"/>
        <v>?</v>
      </c>
      <c r="AC34" s="80" t="str">
        <f t="shared" ca="1" si="26"/>
        <v>?</v>
      </c>
      <c r="AD34" s="80" t="str">
        <f t="shared" ca="1" si="26"/>
        <v>?</v>
      </c>
      <c r="AE34" s="80" t="str">
        <f t="shared" ca="1" si="26"/>
        <v>?</v>
      </c>
      <c r="AF34" s="80" t="str">
        <f t="shared" ca="1" si="26"/>
        <v>?</v>
      </c>
      <c r="AG34" s="80" t="str">
        <f t="shared" ca="1" si="26"/>
        <v>?</v>
      </c>
      <c r="AH34" s="80" t="str">
        <f t="shared" ca="1" si="26"/>
        <v>?</v>
      </c>
      <c r="AI34" s="80" t="str">
        <f t="shared" ca="1" si="26"/>
        <v>?</v>
      </c>
      <c r="AJ34" s="80" t="str">
        <f t="shared" ca="1" si="26"/>
        <v>?</v>
      </c>
      <c r="AK34" s="80" t="str">
        <f t="shared" ca="1" si="26"/>
        <v>?</v>
      </c>
    </row>
    <row r="35" spans="1:37">
      <c r="A35" s="76" t="s">
        <v>183</v>
      </c>
      <c r="B35" s="77" t="str">
        <f>IF(ISBLANK($A35),"NO_CODE",VLOOKUP($A35,'UPD Questions_290926 '!$E$1:$N$300,MATCH(B$1,'UPD Questions_290926 '!$E$1:$N$1,0),0)&amp;"")</f>
        <v>Implementation</v>
      </c>
      <c r="C35" s="77" t="str">
        <f>IF(ISBLANK($A35),"NO_CODE",VLOOKUP($A35,'UPD Questions_290926 '!$E$1:$N$300,MATCH(C$1,'UPD Questions_290926 '!$E$1:$N$1,0),0)&amp;"")</f>
        <v>Municipal/City Plan status, hierarchy and coordination</v>
      </c>
      <c r="D35" s="77" t="str">
        <f>IF(ISBLANK($A35),"NO_CODE",VLOOKUP($A35,'UPD Questions_290926 '!$E$1:$N$300,MATCH(D$1,'UPD Questions_290926 '!$E$1:$N$1,0),0)&amp;"")</f>
        <v>Existence of Municipal/City Plans at each level</v>
      </c>
      <c r="E35" s="77" t="str">
        <f>IF(ISBLANK($A35),"NO_CODE",VLOOKUP($A35,'UPD Questions_290926 '!$E$1:$N$300,MATCH(E$1,'UPD Questions_290926 '!$E$1:$N$1,0),0)&amp;"")</f>
        <v>SQ</v>
      </c>
      <c r="F35" s="77" t="str">
        <f>IF(ISBLANK($A35),"NO_CODE",VLOOKUP($A35,'UPD Questions_290926 '!$E$1:$N$300,MATCH(F$1,'UPD Questions_290926 '!$E$1:$N$1,0),0)&amp;"")</f>
        <v>Is there a Ward(s) /Local area/ neighbourhood Plan?</v>
      </c>
      <c r="G35" s="77" t="str">
        <f>IF(ISBLANK($A35),"NO_CODE",VLOOKUP($A35,'UPD Questions_290926 '!$E$1:$N$300,MATCH(G$1,'UPD Questions_290926 '!$E$1:$N$1,0),0)&amp;"")</f>
        <v>Implementation</v>
      </c>
      <c r="H35" s="79">
        <f>IF(ISBLANK($A35),"NO_CODE",VLOOKUP($A35,'UPD Questions_290926 '!$E$1:$N$300,MATCH(H$1,'UPD Questions_290926 '!$E$1:$N$1,0),0))</f>
        <v>3.33</v>
      </c>
      <c r="I35" s="80" t="str">
        <f t="shared" ca="1" si="24"/>
        <v>?</v>
      </c>
      <c r="J35" s="80" t="str">
        <f t="shared" ca="1" si="24"/>
        <v>?</v>
      </c>
      <c r="K35" s="80" t="str">
        <f t="shared" ca="1" si="24"/>
        <v>?</v>
      </c>
      <c r="L35" s="80" t="str">
        <f t="shared" ca="1" si="24"/>
        <v>?</v>
      </c>
      <c r="M35" s="80" t="str">
        <f t="shared" ca="1" si="24"/>
        <v>?</v>
      </c>
      <c r="N35" s="80" t="str">
        <f t="shared" ca="1" si="24"/>
        <v>?</v>
      </c>
      <c r="O35" s="80" t="str">
        <f t="shared" ca="1" si="24"/>
        <v>?</v>
      </c>
      <c r="P35" s="80" t="str">
        <f t="shared" ca="1" si="24"/>
        <v>?</v>
      </c>
      <c r="Q35" s="80" t="str">
        <f t="shared" ca="1" si="24"/>
        <v>?</v>
      </c>
      <c r="R35" s="80" t="str">
        <f t="shared" ca="1" si="24"/>
        <v>?</v>
      </c>
      <c r="S35" s="80" t="str">
        <f t="shared" ca="1" si="25"/>
        <v>?</v>
      </c>
      <c r="T35" s="80" t="str">
        <f t="shared" ca="1" si="25"/>
        <v>?</v>
      </c>
      <c r="U35" s="80" t="str">
        <f t="shared" ca="1" si="25"/>
        <v>?</v>
      </c>
      <c r="V35" s="80" t="str">
        <f t="shared" ca="1" si="25"/>
        <v>?</v>
      </c>
      <c r="W35" s="80" t="str">
        <f t="shared" ca="1" si="25"/>
        <v>?</v>
      </c>
      <c r="X35" s="80" t="str">
        <f t="shared" ca="1" si="25"/>
        <v>?</v>
      </c>
      <c r="Y35" s="80" t="str">
        <f t="shared" ca="1" si="25"/>
        <v>?</v>
      </c>
      <c r="Z35" s="80" t="str">
        <f t="shared" ca="1" si="25"/>
        <v>?</v>
      </c>
      <c r="AA35" s="80" t="str">
        <f t="shared" ca="1" si="25"/>
        <v>?</v>
      </c>
      <c r="AB35" s="80" t="str">
        <f t="shared" ca="1" si="25"/>
        <v>?</v>
      </c>
      <c r="AC35" s="80" t="str">
        <f t="shared" ca="1" si="26"/>
        <v>?</v>
      </c>
      <c r="AD35" s="80" t="str">
        <f t="shared" ca="1" si="26"/>
        <v>?</v>
      </c>
      <c r="AE35" s="80" t="str">
        <f t="shared" ca="1" si="26"/>
        <v>?</v>
      </c>
      <c r="AF35" s="80" t="str">
        <f t="shared" ca="1" si="26"/>
        <v>?</v>
      </c>
      <c r="AG35" s="80" t="str">
        <f t="shared" ca="1" si="26"/>
        <v>?</v>
      </c>
      <c r="AH35" s="80" t="str">
        <f t="shared" ca="1" si="26"/>
        <v>?</v>
      </c>
      <c r="AI35" s="80" t="str">
        <f t="shared" ca="1" si="26"/>
        <v>?</v>
      </c>
      <c r="AJ35" s="80" t="str">
        <f t="shared" ca="1" si="26"/>
        <v>?</v>
      </c>
      <c r="AK35" s="80" t="str">
        <f t="shared" ca="1" si="26"/>
        <v>?</v>
      </c>
    </row>
    <row r="36" spans="1:37">
      <c r="A36" s="76" t="s">
        <v>187</v>
      </c>
      <c r="B36" s="77" t="str">
        <f>IF(ISBLANK($A36),"NO_CODE",VLOOKUP($A36,'UPD Questions_290926 '!$E$1:$N$300,MATCH(B$1,'UPD Questions_290926 '!$E$1:$N$1,0),0)&amp;"")</f>
        <v>Implementation</v>
      </c>
      <c r="C36" s="77" t="str">
        <f>IF(ISBLANK($A36),"NO_CODE",VLOOKUP($A36,'UPD Questions_290926 '!$E$1:$N$300,MATCH(C$1,'UPD Questions_290926 '!$E$1:$N$1,0),0)&amp;"")</f>
        <v>Municipal/City Plan status, hierarchy and coordination</v>
      </c>
      <c r="D36" s="77" t="str">
        <f>IF(ISBLANK($A36),"NO_CODE",VLOOKUP($A36,'UPD Questions_290926 '!$E$1:$N$300,MATCH(D$1,'UPD Questions_290926 '!$E$1:$N$1,0),0)&amp;"")</f>
        <v>Validity of Municipal/City Plans</v>
      </c>
      <c r="E36" s="77" t="str">
        <f>IF(ISBLANK($A36),"NO_CODE",VLOOKUP($A36,'UPD Questions_290926 '!$E$1:$N$300,MATCH(E$1,'UPD Questions_290926 '!$E$1:$N$1,0),0)&amp;"")</f>
        <v>MQ</v>
      </c>
      <c r="F36" s="77" t="str">
        <f>IF(ISBLANK($A36),"NO_CODE",VLOOKUP($A36,'UPD Questions_290926 '!$E$1:$N$300,MATCH(F$1,'UPD Questions_290926 '!$E$1:$N$1,0),0)&amp;"")</f>
        <v>Does the city have a municipal/city plan that is currently in force and within its prescribed validity period?</v>
      </c>
      <c r="G36" s="77" t="str">
        <f>IF(ISBLANK($A36),"NO_CODE",VLOOKUP($A36,'UPD Questions_290926 '!$E$1:$N$300,MATCH(G$1,'UPD Questions_290926 '!$E$1:$N$1,0),0)&amp;"")</f>
        <v>Implementation</v>
      </c>
      <c r="H36" s="79">
        <f>IF(ISBLANK($A36),"NO_CODE",VLOOKUP($A36,'UPD Questions_290926 '!$E$1:$N$300,MATCH(H$1,'UPD Questions_290926 '!$E$1:$N$1,0),0))</f>
        <v>10</v>
      </c>
      <c r="I36" s="80" t="str">
        <f t="shared" ca="1" si="24"/>
        <v>?</v>
      </c>
      <c r="J36" s="80" t="str">
        <f t="shared" ca="1" si="24"/>
        <v>?</v>
      </c>
      <c r="K36" s="80" t="str">
        <f t="shared" ca="1" si="24"/>
        <v>?</v>
      </c>
      <c r="L36" s="80" t="str">
        <f t="shared" ca="1" si="24"/>
        <v>?</v>
      </c>
      <c r="M36" s="80" t="str">
        <f t="shared" ca="1" si="24"/>
        <v>?</v>
      </c>
      <c r="N36" s="80" t="str">
        <f t="shared" ca="1" si="24"/>
        <v>?</v>
      </c>
      <c r="O36" s="80" t="str">
        <f t="shared" ca="1" si="24"/>
        <v>?</v>
      </c>
      <c r="P36" s="80" t="str">
        <f t="shared" ca="1" si="24"/>
        <v>?</v>
      </c>
      <c r="Q36" s="80" t="str">
        <f t="shared" ca="1" si="24"/>
        <v>?</v>
      </c>
      <c r="R36" s="80" t="str">
        <f t="shared" ca="1" si="24"/>
        <v>?</v>
      </c>
      <c r="S36" s="80" t="str">
        <f t="shared" ca="1" si="25"/>
        <v>?</v>
      </c>
      <c r="T36" s="80" t="str">
        <f t="shared" ca="1" si="25"/>
        <v>?</v>
      </c>
      <c r="U36" s="80" t="str">
        <f t="shared" ca="1" si="25"/>
        <v>?</v>
      </c>
      <c r="V36" s="80" t="str">
        <f t="shared" ca="1" si="25"/>
        <v>?</v>
      </c>
      <c r="W36" s="80" t="str">
        <f t="shared" ca="1" si="25"/>
        <v>?</v>
      </c>
      <c r="X36" s="80" t="str">
        <f t="shared" ca="1" si="25"/>
        <v>?</v>
      </c>
      <c r="Y36" s="80" t="str">
        <f t="shared" ca="1" si="25"/>
        <v>?</v>
      </c>
      <c r="Z36" s="80" t="str">
        <f t="shared" ca="1" si="25"/>
        <v>?</v>
      </c>
      <c r="AA36" s="80" t="str">
        <f t="shared" ca="1" si="25"/>
        <v>?</v>
      </c>
      <c r="AB36" s="80" t="str">
        <f t="shared" ca="1" si="25"/>
        <v>?</v>
      </c>
      <c r="AC36" s="80" t="str">
        <f t="shared" ca="1" si="26"/>
        <v>?</v>
      </c>
      <c r="AD36" s="80" t="str">
        <f t="shared" ca="1" si="26"/>
        <v>?</v>
      </c>
      <c r="AE36" s="80" t="str">
        <f t="shared" ca="1" si="26"/>
        <v>?</v>
      </c>
      <c r="AF36" s="80" t="str">
        <f t="shared" ca="1" si="26"/>
        <v>?</v>
      </c>
      <c r="AG36" s="80" t="str">
        <f t="shared" ca="1" si="26"/>
        <v>?</v>
      </c>
      <c r="AH36" s="80" t="str">
        <f t="shared" ca="1" si="26"/>
        <v>?</v>
      </c>
      <c r="AI36" s="80" t="str">
        <f t="shared" ca="1" si="26"/>
        <v>?</v>
      </c>
      <c r="AJ36" s="80" t="str">
        <f t="shared" ca="1" si="26"/>
        <v>?</v>
      </c>
      <c r="AK36" s="80" t="str">
        <f t="shared" ca="1" si="26"/>
        <v>?</v>
      </c>
    </row>
    <row r="37" spans="1:37">
      <c r="A37" s="76" t="s">
        <v>79</v>
      </c>
      <c r="B37" s="77" t="str">
        <f>IF(ISBLANK($A37),"NO_CODE",VLOOKUP($A37,'UPD Questions_290926 '!$E$1:$N$300,MATCH(B$1,'UPD Questions_290926 '!$E$1:$N$1,0),0)&amp;"")</f>
        <v>Implementation</v>
      </c>
      <c r="C37" s="77" t="str">
        <f>IF(ISBLANK($A37),"NO_CODE",VLOOKUP($A37,'UPD Questions_290926 '!$E$1:$N$300,MATCH(C$1,'UPD Questions_290926 '!$E$1:$N$1,0),0)&amp;"")</f>
        <v>Municipal/City Plan status, hierarchy and coordination</v>
      </c>
      <c r="D37" s="77" t="str">
        <f>IF(ISBLANK($A37),"NO_CODE",VLOOKUP($A37,'UPD Questions_290926 '!$E$1:$N$300,MATCH(D$1,'UPD Questions_290926 '!$E$1:$N$1,0),0)&amp;"")</f>
        <v>Alignment across planning levels</v>
      </c>
      <c r="E37" s="77" t="str">
        <f>IF(ISBLANK($A37),"NO_CODE",VLOOKUP($A37,'UPD Questions_290926 '!$E$1:$N$300,MATCH(E$1,'UPD Questions_290926 '!$E$1:$N$1,0),0)&amp;"")</f>
        <v>MQ</v>
      </c>
      <c r="F37" s="77" t="str">
        <f>IF(ISBLANK($A37),"NO_CODE",VLOOKUP($A37,'UPD Questions_290926 '!$E$1:$N$300,MATCH(F$1,'UPD Questions_290926 '!$E$1:$N$1,0),0)&amp;"")</f>
        <v xml:space="preserve"> Are the spatial plans at the Metropolitan/Regional, Municipal and Ward(s) /Local level in a concurrent or nested timeline of validity?</v>
      </c>
      <c r="G37" s="77" t="str">
        <f>IF(ISBLANK($A37),"NO_CODE",VLOOKUP($A37,'UPD Questions_290926 '!$E$1:$N$300,MATCH(G$1,'UPD Questions_290926 '!$E$1:$N$1,0),0)&amp;"")</f>
        <v>Implementation</v>
      </c>
      <c r="H37" s="79">
        <f>IF(ISBLANK($A37),"NO_CODE",VLOOKUP($A37,'UPD Questions_290926 '!$E$1:$N$300,MATCH(H$1,'UPD Questions_290926 '!$E$1:$N$1,0),0))</f>
        <v>10</v>
      </c>
      <c r="I37" s="80" t="str">
        <f t="shared" ref="I37:AK37" ca="1" si="27">IF(OR(I38="ER",I39="ER"),"ER",IF(OR(I38="?",I39="?"),"?",IF(AND(I38="NA",I39="NA"),"NA",SUM(I38,I39)/((I38&lt;&gt;"NA")*$H$38+(I39&lt;&gt;"NA")*$H$39)*$H37)))</f>
        <v>?</v>
      </c>
      <c r="J37" s="80" t="str">
        <f t="shared" ca="1" si="27"/>
        <v>?</v>
      </c>
      <c r="K37" s="80" t="str">
        <f t="shared" ca="1" si="27"/>
        <v>?</v>
      </c>
      <c r="L37" s="80" t="str">
        <f t="shared" ca="1" si="27"/>
        <v>?</v>
      </c>
      <c r="M37" s="80" t="str">
        <f t="shared" ca="1" si="27"/>
        <v>?</v>
      </c>
      <c r="N37" s="80" t="str">
        <f t="shared" ca="1" si="27"/>
        <v>?</v>
      </c>
      <c r="O37" s="80" t="str">
        <f t="shared" ca="1" si="27"/>
        <v>?</v>
      </c>
      <c r="P37" s="80" t="str">
        <f t="shared" ca="1" si="27"/>
        <v>?</v>
      </c>
      <c r="Q37" s="80" t="str">
        <f t="shared" ca="1" si="27"/>
        <v>?</v>
      </c>
      <c r="R37" s="80" t="str">
        <f t="shared" ca="1" si="27"/>
        <v>?</v>
      </c>
      <c r="S37" s="80" t="str">
        <f t="shared" ca="1" si="27"/>
        <v>?</v>
      </c>
      <c r="T37" s="80" t="str">
        <f t="shared" ca="1" si="27"/>
        <v>?</v>
      </c>
      <c r="U37" s="80" t="str">
        <f t="shared" ca="1" si="27"/>
        <v>?</v>
      </c>
      <c r="V37" s="80" t="str">
        <f t="shared" ca="1" si="27"/>
        <v>?</v>
      </c>
      <c r="W37" s="80" t="str">
        <f t="shared" ca="1" si="27"/>
        <v>?</v>
      </c>
      <c r="X37" s="80" t="str">
        <f t="shared" ca="1" si="27"/>
        <v>?</v>
      </c>
      <c r="Y37" s="80" t="str">
        <f t="shared" ca="1" si="27"/>
        <v>?</v>
      </c>
      <c r="Z37" s="80" t="str">
        <f t="shared" ca="1" si="27"/>
        <v>?</v>
      </c>
      <c r="AA37" s="80" t="str">
        <f t="shared" ca="1" si="27"/>
        <v>?</v>
      </c>
      <c r="AB37" s="80" t="str">
        <f t="shared" ca="1" si="27"/>
        <v>?</v>
      </c>
      <c r="AC37" s="80" t="str">
        <f t="shared" ca="1" si="27"/>
        <v>?</v>
      </c>
      <c r="AD37" s="80" t="str">
        <f t="shared" ca="1" si="27"/>
        <v>?</v>
      </c>
      <c r="AE37" s="80" t="str">
        <f t="shared" ca="1" si="27"/>
        <v>?</v>
      </c>
      <c r="AF37" s="80" t="str">
        <f t="shared" ca="1" si="27"/>
        <v>?</v>
      </c>
      <c r="AG37" s="80" t="str">
        <f t="shared" ca="1" si="27"/>
        <v>?</v>
      </c>
      <c r="AH37" s="80" t="str">
        <f t="shared" ca="1" si="27"/>
        <v>?</v>
      </c>
      <c r="AI37" s="80" t="str">
        <f t="shared" ca="1" si="27"/>
        <v>?</v>
      </c>
      <c r="AJ37" s="80" t="str">
        <f t="shared" ca="1" si="27"/>
        <v>?</v>
      </c>
      <c r="AK37" s="80" t="str">
        <f t="shared" ca="1" si="27"/>
        <v>?</v>
      </c>
    </row>
    <row r="38" spans="1:37">
      <c r="A38" s="76" t="s">
        <v>86</v>
      </c>
      <c r="B38" s="77" t="str">
        <f>IF(ISBLANK($A38),"NO_CODE",VLOOKUP($A38,'UPD Questions_290926 '!$E$1:$N$300,MATCH(B$1,'UPD Questions_290926 '!$E$1:$N$1,0),0)&amp;"")</f>
        <v>Implementation</v>
      </c>
      <c r="C38" s="77" t="str">
        <f>IF(ISBLANK($A38),"NO_CODE",VLOOKUP($A38,'UPD Questions_290926 '!$E$1:$N$300,MATCH(C$1,'UPD Questions_290926 '!$E$1:$N$1,0),0)&amp;"")</f>
        <v>Municipal/City Plan status, hierarchy and coordination</v>
      </c>
      <c r="D38" s="77" t="str">
        <f>IF(ISBLANK($A38),"NO_CODE",VLOOKUP($A38,'UPD Questions_290926 '!$E$1:$N$300,MATCH(D$1,'UPD Questions_290926 '!$E$1:$N$1,0),0)&amp;"")</f>
        <v>Alignment across planning levels</v>
      </c>
      <c r="E38" s="77" t="str">
        <f>IF(ISBLANK($A38),"NO_CODE",VLOOKUP($A38,'UPD Questions_290926 '!$E$1:$N$300,MATCH(E$1,'UPD Questions_290926 '!$E$1:$N$1,0),0)&amp;"")</f>
        <v>SQ</v>
      </c>
      <c r="F38" s="77" t="str">
        <f>IF(ISBLANK($A38),"NO_CODE",VLOOKUP($A38,'UPD Questions_290926 '!$E$1:$N$300,MATCH(F$1,'UPD Questions_290926 '!$E$1:$N$1,0),0)&amp;"")</f>
        <v>Is the Metropolitan/Regional plan in a concurrent or nested timeline of validity with municipal plan?</v>
      </c>
      <c r="G38" s="77" t="str">
        <f>IF(ISBLANK($A38),"NO_CODE",VLOOKUP($A38,'UPD Questions_290926 '!$E$1:$N$300,MATCH(G$1,'UPD Questions_290926 '!$E$1:$N$1,0),0)&amp;"")</f>
        <v>Implementation</v>
      </c>
      <c r="H38" s="79">
        <f>IF(ISBLANK($A38),"NO_CODE",VLOOKUP($A38,'UPD Questions_290926 '!$E$1:$N$300,MATCH(H$1,'UPD Questions_290926 '!$E$1:$N$1,0),0))</f>
        <v>5</v>
      </c>
      <c r="I38" s="80" t="str">
        <f t="shared" ref="I38:R41" ca="1" si="28">IF($H38=0,"NA",IF($A38=INDIRECT("'"&amp;$A38&amp;"'!$B$1"),IF(VLOOKUP(I$1,INDIRECT("'"&amp;$A38&amp;"'!$A$12:$Z$41"),MATCH("Points (Auto-generate)",INDIRECT("'"&amp;$A38&amp;"'!$A$12:$Z$12"),0),0)="","?",VLOOKUP(I$1,INDIRECT("'"&amp;$A38&amp;"'!$A$12:$Z$41"),MATCH("Points (Auto-generate)",INDIRECT("'"&amp;$A38&amp;"'!$A$12:$Z$12"),0),0)),"ER"))</f>
        <v>?</v>
      </c>
      <c r="J38" s="80" t="str">
        <f t="shared" ca="1" si="28"/>
        <v>?</v>
      </c>
      <c r="K38" s="80" t="str">
        <f t="shared" ca="1" si="28"/>
        <v>?</v>
      </c>
      <c r="L38" s="80" t="str">
        <f t="shared" ca="1" si="28"/>
        <v>?</v>
      </c>
      <c r="M38" s="80" t="str">
        <f t="shared" ca="1" si="28"/>
        <v>?</v>
      </c>
      <c r="N38" s="80" t="str">
        <f t="shared" ca="1" si="28"/>
        <v>?</v>
      </c>
      <c r="O38" s="80" t="str">
        <f t="shared" ca="1" si="28"/>
        <v>?</v>
      </c>
      <c r="P38" s="80" t="str">
        <f t="shared" ca="1" si="28"/>
        <v>?</v>
      </c>
      <c r="Q38" s="80" t="str">
        <f t="shared" ca="1" si="28"/>
        <v>?</v>
      </c>
      <c r="R38" s="80" t="str">
        <f t="shared" ca="1" si="28"/>
        <v>?</v>
      </c>
      <c r="S38" s="80" t="str">
        <f t="shared" ref="S38:AB41" ca="1" si="29">IF($H38=0,"NA",IF($A38=INDIRECT("'"&amp;$A38&amp;"'!$B$1"),IF(VLOOKUP(S$1,INDIRECT("'"&amp;$A38&amp;"'!$A$12:$Z$41"),MATCH("Points (Auto-generate)",INDIRECT("'"&amp;$A38&amp;"'!$A$12:$Z$12"),0),0)="","?",VLOOKUP(S$1,INDIRECT("'"&amp;$A38&amp;"'!$A$12:$Z$41"),MATCH("Points (Auto-generate)",INDIRECT("'"&amp;$A38&amp;"'!$A$12:$Z$12"),0),0)),"ER"))</f>
        <v>?</v>
      </c>
      <c r="T38" s="80" t="str">
        <f t="shared" ca="1" si="29"/>
        <v>?</v>
      </c>
      <c r="U38" s="80" t="str">
        <f t="shared" ca="1" si="29"/>
        <v>?</v>
      </c>
      <c r="V38" s="80" t="str">
        <f t="shared" ca="1" si="29"/>
        <v>?</v>
      </c>
      <c r="W38" s="80" t="str">
        <f t="shared" ca="1" si="29"/>
        <v>?</v>
      </c>
      <c r="X38" s="80" t="str">
        <f t="shared" ca="1" si="29"/>
        <v>?</v>
      </c>
      <c r="Y38" s="80" t="str">
        <f t="shared" ca="1" si="29"/>
        <v>?</v>
      </c>
      <c r="Z38" s="80" t="str">
        <f t="shared" ca="1" si="29"/>
        <v>?</v>
      </c>
      <c r="AA38" s="80" t="str">
        <f t="shared" ca="1" si="29"/>
        <v>?</v>
      </c>
      <c r="AB38" s="80" t="str">
        <f t="shared" ca="1" si="29"/>
        <v>?</v>
      </c>
      <c r="AC38" s="80" t="str">
        <f t="shared" ref="AC38:AK41" ca="1" si="30">IF($H38=0,"NA",IF($A38=INDIRECT("'"&amp;$A38&amp;"'!$B$1"),IF(VLOOKUP(AC$1,INDIRECT("'"&amp;$A38&amp;"'!$A$12:$Z$41"),MATCH("Points (Auto-generate)",INDIRECT("'"&amp;$A38&amp;"'!$A$12:$Z$12"),0),0)="","?",VLOOKUP(AC$1,INDIRECT("'"&amp;$A38&amp;"'!$A$12:$Z$41"),MATCH("Points (Auto-generate)",INDIRECT("'"&amp;$A38&amp;"'!$A$12:$Z$12"),0),0)),"ER"))</f>
        <v>?</v>
      </c>
      <c r="AD38" s="80" t="str">
        <f t="shared" ca="1" si="30"/>
        <v>?</v>
      </c>
      <c r="AE38" s="80" t="str">
        <f t="shared" ca="1" si="30"/>
        <v>?</v>
      </c>
      <c r="AF38" s="80" t="str">
        <f t="shared" ca="1" si="30"/>
        <v>?</v>
      </c>
      <c r="AG38" s="80" t="str">
        <f t="shared" ca="1" si="30"/>
        <v>?</v>
      </c>
      <c r="AH38" s="80" t="str">
        <f t="shared" ca="1" si="30"/>
        <v>?</v>
      </c>
      <c r="AI38" s="80" t="str">
        <f t="shared" ca="1" si="30"/>
        <v>?</v>
      </c>
      <c r="AJ38" s="80" t="str">
        <f t="shared" ca="1" si="30"/>
        <v>?</v>
      </c>
      <c r="AK38" s="80" t="str">
        <f t="shared" ca="1" si="30"/>
        <v>?</v>
      </c>
    </row>
    <row r="39" spans="1:37">
      <c r="A39" s="76" t="s">
        <v>93</v>
      </c>
      <c r="B39" s="77" t="str">
        <f>IF(ISBLANK($A39),"NO_CODE",VLOOKUP($A39,'UPD Questions_290926 '!$E$1:$N$300,MATCH(B$1,'UPD Questions_290926 '!$E$1:$N$1,0),0)&amp;"")</f>
        <v>Implementation</v>
      </c>
      <c r="C39" s="77" t="str">
        <f>IF(ISBLANK($A39),"NO_CODE",VLOOKUP($A39,'UPD Questions_290926 '!$E$1:$N$300,MATCH(C$1,'UPD Questions_290926 '!$E$1:$N$1,0),0)&amp;"")</f>
        <v>Municipal/City Plan status, hierarchy and coordination</v>
      </c>
      <c r="D39" s="77" t="str">
        <f>IF(ISBLANK($A39),"NO_CODE",VLOOKUP($A39,'UPD Questions_290926 '!$E$1:$N$300,MATCH(D$1,'UPD Questions_290926 '!$E$1:$N$1,0),0)&amp;"")</f>
        <v>Alignment across planning levels</v>
      </c>
      <c r="E39" s="77" t="str">
        <f>IF(ISBLANK($A39),"NO_CODE",VLOOKUP($A39,'UPD Questions_290926 '!$E$1:$N$300,MATCH(E$1,'UPD Questions_290926 '!$E$1:$N$1,0),0)&amp;"")</f>
        <v>SQ</v>
      </c>
      <c r="F39" s="77" t="str">
        <f>IF(ISBLANK($A39),"NO_CODE",VLOOKUP($A39,'UPD Questions_290926 '!$E$1:$N$300,MATCH(F$1,'UPD Questions_290926 '!$E$1:$N$1,0),0)&amp;"")</f>
        <v>Is the Municipal municipal/city plan in a concurrent or nested timeline of validity with Ward municipal/city plan?</v>
      </c>
      <c r="G39" s="77" t="str">
        <f>IF(ISBLANK($A39),"NO_CODE",VLOOKUP($A39,'UPD Questions_290926 '!$E$1:$N$300,MATCH(G$1,'UPD Questions_290926 '!$E$1:$N$1,0),0)&amp;"")</f>
        <v>Implementation</v>
      </c>
      <c r="H39" s="79">
        <f>IF(ISBLANK($A39),"NO_CODE",VLOOKUP($A39,'UPD Questions_290926 '!$E$1:$N$300,MATCH(H$1,'UPD Questions_290926 '!$E$1:$N$1,0),0))</f>
        <v>5</v>
      </c>
      <c r="I39" s="80" t="str">
        <f t="shared" ca="1" si="28"/>
        <v>?</v>
      </c>
      <c r="J39" s="80" t="str">
        <f t="shared" ca="1" si="28"/>
        <v>?</v>
      </c>
      <c r="K39" s="80" t="str">
        <f t="shared" ca="1" si="28"/>
        <v>?</v>
      </c>
      <c r="L39" s="80" t="str">
        <f t="shared" ca="1" si="28"/>
        <v>?</v>
      </c>
      <c r="M39" s="80" t="str">
        <f t="shared" ca="1" si="28"/>
        <v>?</v>
      </c>
      <c r="N39" s="80" t="str">
        <f t="shared" ca="1" si="28"/>
        <v>?</v>
      </c>
      <c r="O39" s="80" t="str">
        <f t="shared" ca="1" si="28"/>
        <v>?</v>
      </c>
      <c r="P39" s="80" t="str">
        <f t="shared" ca="1" si="28"/>
        <v>?</v>
      </c>
      <c r="Q39" s="80" t="str">
        <f t="shared" ca="1" si="28"/>
        <v>?</v>
      </c>
      <c r="R39" s="80" t="str">
        <f t="shared" ca="1" si="28"/>
        <v>?</v>
      </c>
      <c r="S39" s="80" t="str">
        <f t="shared" ca="1" si="29"/>
        <v>?</v>
      </c>
      <c r="T39" s="80" t="str">
        <f t="shared" ca="1" si="29"/>
        <v>?</v>
      </c>
      <c r="U39" s="80" t="str">
        <f t="shared" ca="1" si="29"/>
        <v>?</v>
      </c>
      <c r="V39" s="80" t="str">
        <f t="shared" ca="1" si="29"/>
        <v>?</v>
      </c>
      <c r="W39" s="80" t="str">
        <f t="shared" ca="1" si="29"/>
        <v>?</v>
      </c>
      <c r="X39" s="80" t="str">
        <f t="shared" ca="1" si="29"/>
        <v>?</v>
      </c>
      <c r="Y39" s="80" t="str">
        <f t="shared" ca="1" si="29"/>
        <v>?</v>
      </c>
      <c r="Z39" s="80" t="str">
        <f t="shared" ca="1" si="29"/>
        <v>?</v>
      </c>
      <c r="AA39" s="80" t="str">
        <f t="shared" ca="1" si="29"/>
        <v>?</v>
      </c>
      <c r="AB39" s="80" t="str">
        <f t="shared" ca="1" si="29"/>
        <v>?</v>
      </c>
      <c r="AC39" s="80" t="str">
        <f t="shared" ca="1" si="30"/>
        <v>?</v>
      </c>
      <c r="AD39" s="80" t="str">
        <f t="shared" ca="1" si="30"/>
        <v>?</v>
      </c>
      <c r="AE39" s="80" t="str">
        <f t="shared" ca="1" si="30"/>
        <v>?</v>
      </c>
      <c r="AF39" s="80" t="str">
        <f t="shared" ca="1" si="30"/>
        <v>?</v>
      </c>
      <c r="AG39" s="80" t="str">
        <f t="shared" ca="1" si="30"/>
        <v>?</v>
      </c>
      <c r="AH39" s="80" t="str">
        <f t="shared" ca="1" si="30"/>
        <v>?</v>
      </c>
      <c r="AI39" s="80" t="str">
        <f t="shared" ca="1" si="30"/>
        <v>?</v>
      </c>
      <c r="AJ39" s="80" t="str">
        <f t="shared" ca="1" si="30"/>
        <v>?</v>
      </c>
      <c r="AK39" s="80" t="str">
        <f t="shared" ca="1" si="30"/>
        <v>?</v>
      </c>
    </row>
    <row r="40" spans="1:37">
      <c r="A40" s="76" t="s">
        <v>202</v>
      </c>
      <c r="B40" s="77" t="str">
        <f>IF(ISBLANK($A40),"NO_CODE",VLOOKUP($A40,'UPD Questions_290926 '!$E$1:$N$300,MATCH(B$1,'UPD Questions_290926 '!$E$1:$N$1,0),0)&amp;"")</f>
        <v>Implementation</v>
      </c>
      <c r="C40" s="77" t="str">
        <f>IF(ISBLANK($A40),"NO_CODE",VLOOKUP($A40,'UPD Questions_290926 '!$E$1:$N$300,MATCH(C$1,'UPD Questions_290926 '!$E$1:$N$1,0),0)&amp;"")</f>
        <v>Municipal/City Plan status, hierarchy and coordination</v>
      </c>
      <c r="D40" s="77" t="str">
        <f>IF(ISBLANK($A40),"NO_CODE",VLOOKUP($A40,'UPD Questions_290926 '!$E$1:$N$300,MATCH(D$1,'UPD Questions_290926 '!$E$1:$N$1,0),0)&amp;"")</f>
        <v>Inter-agency coordination and integration</v>
      </c>
      <c r="E40" s="77" t="str">
        <f>IF(ISBLANK($A40),"NO_CODE",VLOOKUP($A40,'UPD Questions_290926 '!$E$1:$N$300,MATCH(E$1,'UPD Questions_290926 '!$E$1:$N$1,0),0)&amp;"")</f>
        <v>MQ</v>
      </c>
      <c r="F40" s="77" t="str">
        <f>IF(ISBLANK($A40),"NO_CODE",VLOOKUP($A40,'UPD Questions_290926 '!$E$1:$N$300,MATCH(F$1,'UPD Questions_290926 '!$E$1:$N$1,0),0)&amp;"")</f>
        <v xml:space="preserve">Do the municipal/city plans at each level, integrate the plans and priorities of various sectoral public departments and agencies? </v>
      </c>
      <c r="G40" s="77" t="str">
        <f>IF(ISBLANK($A40),"NO_CODE",VLOOKUP($A40,'UPD Questions_290926 '!$E$1:$N$300,MATCH(G$1,'UPD Questions_290926 '!$E$1:$N$1,0),0)&amp;"")</f>
        <v>Implementation</v>
      </c>
      <c r="H40" s="79">
        <f>IF(ISBLANK($A40),"NO_CODE",VLOOKUP($A40,'UPD Questions_290926 '!$E$1:$N$300,MATCH(H$1,'UPD Questions_290926 '!$E$1:$N$1,0),0))</f>
        <v>10</v>
      </c>
      <c r="I40" s="80" t="str">
        <f t="shared" ca="1" si="28"/>
        <v>?</v>
      </c>
      <c r="J40" s="80">
        <f t="shared" ca="1" si="28"/>
        <v>0</v>
      </c>
      <c r="K40" s="80" t="str">
        <f t="shared" ca="1" si="28"/>
        <v>?</v>
      </c>
      <c r="L40" s="80" t="str">
        <f t="shared" ca="1" si="28"/>
        <v>?</v>
      </c>
      <c r="M40" s="80" t="str">
        <f t="shared" ca="1" si="28"/>
        <v>?</v>
      </c>
      <c r="N40" s="80" t="str">
        <f t="shared" ca="1" si="28"/>
        <v>?</v>
      </c>
      <c r="O40" s="80" t="str">
        <f t="shared" ca="1" si="28"/>
        <v>?</v>
      </c>
      <c r="P40" s="80" t="str">
        <f t="shared" ca="1" si="28"/>
        <v>?</v>
      </c>
      <c r="Q40" s="80" t="str">
        <f t="shared" ca="1" si="28"/>
        <v>?</v>
      </c>
      <c r="R40" s="80" t="str">
        <f t="shared" ca="1" si="28"/>
        <v>?</v>
      </c>
      <c r="S40" s="80" t="str">
        <f t="shared" ca="1" si="29"/>
        <v>?</v>
      </c>
      <c r="T40" s="80" t="str">
        <f t="shared" ca="1" si="29"/>
        <v>?</v>
      </c>
      <c r="U40" s="80" t="str">
        <f t="shared" ca="1" si="29"/>
        <v>?</v>
      </c>
      <c r="V40" s="80" t="str">
        <f t="shared" ca="1" si="29"/>
        <v>?</v>
      </c>
      <c r="W40" s="80" t="str">
        <f t="shared" ca="1" si="29"/>
        <v>?</v>
      </c>
      <c r="X40" s="80" t="str">
        <f t="shared" ca="1" si="29"/>
        <v>?</v>
      </c>
      <c r="Y40" s="80" t="str">
        <f t="shared" ca="1" si="29"/>
        <v>?</v>
      </c>
      <c r="Z40" s="80" t="str">
        <f t="shared" ca="1" si="29"/>
        <v>?</v>
      </c>
      <c r="AA40" s="80" t="str">
        <f t="shared" ca="1" si="29"/>
        <v>?</v>
      </c>
      <c r="AB40" s="80" t="str">
        <f t="shared" ca="1" si="29"/>
        <v>?</v>
      </c>
      <c r="AC40" s="80" t="str">
        <f t="shared" ca="1" si="30"/>
        <v>?</v>
      </c>
      <c r="AD40" s="80" t="str">
        <f t="shared" ca="1" si="30"/>
        <v>?</v>
      </c>
      <c r="AE40" s="80" t="str">
        <f t="shared" ca="1" si="30"/>
        <v>?</v>
      </c>
      <c r="AF40" s="80" t="str">
        <f t="shared" ca="1" si="30"/>
        <v>?</v>
      </c>
      <c r="AG40" s="80" t="str">
        <f t="shared" ca="1" si="30"/>
        <v>?</v>
      </c>
      <c r="AH40" s="80" t="str">
        <f t="shared" ca="1" si="30"/>
        <v>?</v>
      </c>
      <c r="AI40" s="80" t="str">
        <f t="shared" ca="1" si="30"/>
        <v>?</v>
      </c>
      <c r="AJ40" s="80" t="str">
        <f t="shared" ca="1" si="30"/>
        <v>?</v>
      </c>
      <c r="AK40" s="80" t="str">
        <f t="shared" ca="1" si="30"/>
        <v>?</v>
      </c>
    </row>
    <row r="41" spans="1:37">
      <c r="A41" s="76" t="s">
        <v>111</v>
      </c>
      <c r="B41" s="77" t="str">
        <f>IF(ISBLANK($A41),"NO_CODE",VLOOKUP($A41,'UPD Questions_290926 '!$E$1:$N$300,MATCH(B$1,'UPD Questions_290926 '!$E$1:$N$1,0),0)&amp;"")</f>
        <v>Implementation</v>
      </c>
      <c r="C41" s="77" t="str">
        <f>IF(ISBLANK($A41),"NO_CODE",VLOOKUP($A41,'UPD Questions_290926 '!$E$1:$N$300,MATCH(C$1,'UPD Questions_290926 '!$E$1:$N$1,0),0)&amp;"")</f>
        <v>Municipal/City Plan status, hierarchy and coordination</v>
      </c>
      <c r="D41" s="77" t="str">
        <f>IF(ISBLANK($A41),"NO_CODE",VLOOKUP($A41,'UPD Questions_290926 '!$E$1:$N$300,MATCH(D$1,'UPD Questions_290926 '!$E$1:$N$1,0),0)&amp;"")</f>
        <v>Objectives of the Municipal/City Plan</v>
      </c>
      <c r="E41" s="77" t="str">
        <f>IF(ISBLANK($A41),"NO_CODE",VLOOKUP($A41,'UPD Questions_290926 '!$E$1:$N$300,MATCH(E$1,'UPD Questions_290926 '!$E$1:$N$1,0),0)&amp;"")</f>
        <v>MQ</v>
      </c>
      <c r="F41" s="77" t="str">
        <f>IF(ISBLANK($A41),"NO_CODE",VLOOKUP($A41,'UPD Questions_290926 '!$E$1:$N$300,MATCH(F$1,'UPD Questions_290926 '!$E$1:$N$1,0),0)&amp;"")</f>
        <v>Does the municipal/city plan include objectives on jobs and economy?</v>
      </c>
      <c r="G41" s="77" t="str">
        <f>IF(ISBLANK($A41),"NO_CODE",VLOOKUP($A41,'UPD Questions_290926 '!$E$1:$N$300,MATCH(G$1,'UPD Questions_290926 '!$E$1:$N$1,0),0)&amp;"")</f>
        <v>Implementation</v>
      </c>
      <c r="H41" s="79">
        <f>IF(ISBLANK($A41),"NO_CODE",VLOOKUP($A41,'UPD Questions_290926 '!$E$1:$N$300,MATCH(H$1,'UPD Questions_290926 '!$E$1:$N$1,0),0))</f>
        <v>10</v>
      </c>
      <c r="I41" s="80" t="str">
        <f t="shared" ca="1" si="28"/>
        <v>?</v>
      </c>
      <c r="J41" s="80">
        <f t="shared" ca="1" si="28"/>
        <v>0</v>
      </c>
      <c r="K41" s="80" t="str">
        <f t="shared" ca="1" si="28"/>
        <v>?</v>
      </c>
      <c r="L41" s="80" t="str">
        <f t="shared" ca="1" si="28"/>
        <v>?</v>
      </c>
      <c r="M41" s="80" t="str">
        <f t="shared" ca="1" si="28"/>
        <v>?</v>
      </c>
      <c r="N41" s="80" t="str">
        <f t="shared" ca="1" si="28"/>
        <v>?</v>
      </c>
      <c r="O41" s="80" t="str">
        <f t="shared" ca="1" si="28"/>
        <v>?</v>
      </c>
      <c r="P41" s="80" t="str">
        <f t="shared" ca="1" si="28"/>
        <v>?</v>
      </c>
      <c r="Q41" s="80" t="str">
        <f t="shared" ca="1" si="28"/>
        <v>?</v>
      </c>
      <c r="R41" s="80" t="str">
        <f t="shared" ca="1" si="28"/>
        <v>?</v>
      </c>
      <c r="S41" s="80" t="str">
        <f t="shared" ca="1" si="29"/>
        <v>?</v>
      </c>
      <c r="T41" s="80" t="str">
        <f t="shared" ca="1" si="29"/>
        <v>?</v>
      </c>
      <c r="U41" s="80" t="str">
        <f t="shared" ca="1" si="29"/>
        <v>?</v>
      </c>
      <c r="V41" s="80" t="str">
        <f t="shared" ca="1" si="29"/>
        <v>?</v>
      </c>
      <c r="W41" s="80" t="str">
        <f t="shared" ca="1" si="29"/>
        <v>?</v>
      </c>
      <c r="X41" s="80" t="str">
        <f t="shared" ca="1" si="29"/>
        <v>?</v>
      </c>
      <c r="Y41" s="80" t="str">
        <f t="shared" ca="1" si="29"/>
        <v>?</v>
      </c>
      <c r="Z41" s="80" t="str">
        <f t="shared" ca="1" si="29"/>
        <v>?</v>
      </c>
      <c r="AA41" s="80" t="str">
        <f t="shared" ca="1" si="29"/>
        <v>?</v>
      </c>
      <c r="AB41" s="80" t="str">
        <f t="shared" ca="1" si="29"/>
        <v>?</v>
      </c>
      <c r="AC41" s="80" t="str">
        <f t="shared" ca="1" si="30"/>
        <v>?</v>
      </c>
      <c r="AD41" s="80" t="str">
        <f t="shared" ca="1" si="30"/>
        <v>?</v>
      </c>
      <c r="AE41" s="80" t="str">
        <f t="shared" ca="1" si="30"/>
        <v>?</v>
      </c>
      <c r="AF41" s="80" t="str">
        <f t="shared" ca="1" si="30"/>
        <v>?</v>
      </c>
      <c r="AG41" s="80" t="str">
        <f t="shared" ca="1" si="30"/>
        <v>?</v>
      </c>
      <c r="AH41" s="80" t="str">
        <f t="shared" ca="1" si="30"/>
        <v>?</v>
      </c>
      <c r="AI41" s="80" t="str">
        <f t="shared" ca="1" si="30"/>
        <v>?</v>
      </c>
      <c r="AJ41" s="80" t="str">
        <f t="shared" ca="1" si="30"/>
        <v>?</v>
      </c>
      <c r="AK41" s="80" t="str">
        <f t="shared" ca="1" si="30"/>
        <v>?</v>
      </c>
    </row>
    <row r="42" spans="1:37">
      <c r="A42" s="76" t="s">
        <v>118</v>
      </c>
      <c r="B42" s="77" t="str">
        <f>IF(ISBLANK($A42),"NO_CODE",VLOOKUP($A42,'UPD Questions_290926 '!$E$1:$N$300,MATCH(B$1,'UPD Questions_290926 '!$E$1:$N$1,0),0)&amp;"")</f>
        <v>Implementation</v>
      </c>
      <c r="C42" s="77" t="str">
        <f>IF(ISBLANK($A42),"NO_CODE",VLOOKUP($A42,'UPD Questions_290926 '!$E$1:$N$300,MATCH(C$1,'UPD Questions_290926 '!$E$1:$N$1,0),0)&amp;"")</f>
        <v>Municipal/City Plan status, hierarchy and coordination</v>
      </c>
      <c r="D42" s="77" t="str">
        <f>IF(ISBLANK($A42),"NO_CODE",VLOOKUP($A42,'UPD Questions_290926 '!$E$1:$N$300,MATCH(D$1,'UPD Questions_290926 '!$E$1:$N$1,0),0)&amp;"")</f>
        <v>Objectives of the Municipal/City Plan</v>
      </c>
      <c r="E42" s="77" t="str">
        <f>IF(ISBLANK($A42),"NO_CODE",VLOOKUP($A42,'UPD Questions_290926 '!$E$1:$N$300,MATCH(E$1,'UPD Questions_290926 '!$E$1:$N$1,0),0)&amp;"")</f>
        <v>MQ</v>
      </c>
      <c r="F42" s="77" t="str">
        <f>IF(ISBLANK($A42),"NO_CODE",VLOOKUP($A42,'UPD Questions_290926 '!$E$1:$N$300,MATCH(F$1,'UPD Questions_290926 '!$E$1:$N$1,0),0)&amp;"")</f>
        <v>Does the municipal/city plan include objectives on environment and heritage conservation?</v>
      </c>
      <c r="G42" s="77" t="str">
        <f>IF(ISBLANK($A42),"NO_CODE",VLOOKUP($A42,'UPD Questions_290926 '!$E$1:$N$300,MATCH(G$1,'UPD Questions_290926 '!$E$1:$N$1,0),0)&amp;"")</f>
        <v>Implementation</v>
      </c>
      <c r="H42" s="79">
        <f>IF(ISBLANK($A42),"NO_CODE",VLOOKUP($A42,'UPD Questions_290926 '!$E$1:$N$300,MATCH(H$1,'UPD Questions_290926 '!$E$1:$N$1,0),0))</f>
        <v>10</v>
      </c>
      <c r="I42" s="80" t="str">
        <f t="shared" ref="I42:AK42" ca="1" si="31">IF(OR(I43="ER",I44="ER"),"ER",IF(OR(I43="?",I44="?"),"?",IF(AND(I43="NA",I44="NA"),"NA",SUM(I43,I44)/((I43&lt;&gt;"NA")*$H$43+(I44&lt;&gt;"NA")*$H$44)*$H42)))</f>
        <v>?</v>
      </c>
      <c r="J42" s="80">
        <f t="shared" ca="1" si="31"/>
        <v>0</v>
      </c>
      <c r="K42" s="80" t="str">
        <f t="shared" ca="1" si="31"/>
        <v>?</v>
      </c>
      <c r="L42" s="80" t="str">
        <f t="shared" ca="1" si="31"/>
        <v>?</v>
      </c>
      <c r="M42" s="80" t="str">
        <f t="shared" ca="1" si="31"/>
        <v>?</v>
      </c>
      <c r="N42" s="80" t="str">
        <f t="shared" ca="1" si="31"/>
        <v>?</v>
      </c>
      <c r="O42" s="80" t="str">
        <f t="shared" ca="1" si="31"/>
        <v>?</v>
      </c>
      <c r="P42" s="80" t="str">
        <f t="shared" ca="1" si="31"/>
        <v>?</v>
      </c>
      <c r="Q42" s="80" t="str">
        <f t="shared" ca="1" si="31"/>
        <v>?</v>
      </c>
      <c r="R42" s="80" t="str">
        <f t="shared" ca="1" si="31"/>
        <v>?</v>
      </c>
      <c r="S42" s="80" t="str">
        <f t="shared" ca="1" si="31"/>
        <v>?</v>
      </c>
      <c r="T42" s="80" t="str">
        <f t="shared" ca="1" si="31"/>
        <v>?</v>
      </c>
      <c r="U42" s="80" t="str">
        <f t="shared" ca="1" si="31"/>
        <v>?</v>
      </c>
      <c r="V42" s="80" t="str">
        <f t="shared" ca="1" si="31"/>
        <v>?</v>
      </c>
      <c r="W42" s="80" t="str">
        <f t="shared" ca="1" si="31"/>
        <v>?</v>
      </c>
      <c r="X42" s="80" t="str">
        <f t="shared" ca="1" si="31"/>
        <v>?</v>
      </c>
      <c r="Y42" s="80" t="str">
        <f t="shared" ca="1" si="31"/>
        <v>?</v>
      </c>
      <c r="Z42" s="80" t="str">
        <f t="shared" ca="1" si="31"/>
        <v>?</v>
      </c>
      <c r="AA42" s="80" t="str">
        <f t="shared" ca="1" si="31"/>
        <v>?</v>
      </c>
      <c r="AB42" s="80" t="str">
        <f t="shared" ca="1" si="31"/>
        <v>?</v>
      </c>
      <c r="AC42" s="80" t="str">
        <f t="shared" ca="1" si="31"/>
        <v>?</v>
      </c>
      <c r="AD42" s="80" t="str">
        <f t="shared" ca="1" si="31"/>
        <v>?</v>
      </c>
      <c r="AE42" s="80" t="str">
        <f t="shared" ca="1" si="31"/>
        <v>?</v>
      </c>
      <c r="AF42" s="80" t="str">
        <f t="shared" ca="1" si="31"/>
        <v>?</v>
      </c>
      <c r="AG42" s="80" t="str">
        <f t="shared" ca="1" si="31"/>
        <v>?</v>
      </c>
      <c r="AH42" s="80" t="str">
        <f t="shared" ca="1" si="31"/>
        <v>?</v>
      </c>
      <c r="AI42" s="80" t="str">
        <f t="shared" ca="1" si="31"/>
        <v>?</v>
      </c>
      <c r="AJ42" s="80" t="str">
        <f t="shared" ca="1" si="31"/>
        <v>?</v>
      </c>
      <c r="AK42" s="80" t="str">
        <f t="shared" ca="1" si="31"/>
        <v>?</v>
      </c>
    </row>
    <row r="43" spans="1:37">
      <c r="A43" s="76" t="s">
        <v>216</v>
      </c>
      <c r="B43" s="77" t="str">
        <f>IF(ISBLANK($A43),"NO_CODE",VLOOKUP($A43,'UPD Questions_290926 '!$E$1:$N$300,MATCH(B$1,'UPD Questions_290926 '!$E$1:$N$1,0),0)&amp;"")</f>
        <v>Implementation</v>
      </c>
      <c r="C43" s="77" t="str">
        <f>IF(ISBLANK($A43),"NO_CODE",VLOOKUP($A43,'UPD Questions_290926 '!$E$1:$N$300,MATCH(C$1,'UPD Questions_290926 '!$E$1:$N$1,0),0)&amp;"")</f>
        <v>Municipal/City Plan status, hierarchy and coordination</v>
      </c>
      <c r="D43" s="77" t="str">
        <f>IF(ISBLANK($A43),"NO_CODE",VLOOKUP($A43,'UPD Questions_290926 '!$E$1:$N$300,MATCH(D$1,'UPD Questions_290926 '!$E$1:$N$1,0),0)&amp;"")</f>
        <v>Objectives of the Municipal/City Plan</v>
      </c>
      <c r="E43" s="77" t="str">
        <f>IF(ISBLANK($A43),"NO_CODE",VLOOKUP($A43,'UPD Questions_290926 '!$E$1:$N$300,MATCH(E$1,'UPD Questions_290926 '!$E$1:$N$1,0),0)&amp;"")</f>
        <v>SQ</v>
      </c>
      <c r="F43" s="77" t="str">
        <f>IF(ISBLANK($A43),"NO_CODE",VLOOKUP($A43,'UPD Questions_290926 '!$E$1:$N$300,MATCH(F$1,'UPD Questions_290926 '!$E$1:$N$1,0),0)&amp;"")</f>
        <v xml:space="preserve">a) Environmental Conservation </v>
      </c>
      <c r="G43" s="77" t="str">
        <f>IF(ISBLANK($A43),"NO_CODE",VLOOKUP($A43,'UPD Questions_290926 '!$E$1:$N$300,MATCH(G$1,'UPD Questions_290926 '!$E$1:$N$1,0),0)&amp;"")</f>
        <v>Implementation</v>
      </c>
      <c r="H43" s="79">
        <f>IF(ISBLANK($A43),"NO_CODE",VLOOKUP($A43,'UPD Questions_290926 '!$E$1:$N$300,MATCH(H$1,'UPD Questions_290926 '!$E$1:$N$1,0),0))</f>
        <v>5</v>
      </c>
      <c r="I43" s="80" t="str">
        <f t="shared" ref="I43:R44" ca="1" si="32">IF($H43=0,"NA",IF($A43=INDIRECT("'"&amp;$A43&amp;"'!$B$1"),IF(VLOOKUP(I$1,INDIRECT("'"&amp;$A43&amp;"'!$A$12:$Z$41"),MATCH("Points (Auto-generate)",INDIRECT("'"&amp;$A43&amp;"'!$A$12:$Z$12"),0),0)="","?",VLOOKUP(I$1,INDIRECT("'"&amp;$A43&amp;"'!$A$12:$Z$41"),MATCH("Points (Auto-generate)",INDIRECT("'"&amp;$A43&amp;"'!$A$12:$Z$12"),0),0)),"ER"))</f>
        <v>?</v>
      </c>
      <c r="J43" s="80">
        <f t="shared" ca="1" si="32"/>
        <v>0</v>
      </c>
      <c r="K43" s="80" t="str">
        <f t="shared" ca="1" si="32"/>
        <v>?</v>
      </c>
      <c r="L43" s="80" t="str">
        <f t="shared" ca="1" si="32"/>
        <v>?</v>
      </c>
      <c r="M43" s="80" t="str">
        <f t="shared" ca="1" si="32"/>
        <v>?</v>
      </c>
      <c r="N43" s="80" t="str">
        <f t="shared" ca="1" si="32"/>
        <v>?</v>
      </c>
      <c r="O43" s="80" t="str">
        <f t="shared" ca="1" si="32"/>
        <v>?</v>
      </c>
      <c r="P43" s="80" t="str">
        <f t="shared" ca="1" si="32"/>
        <v>?</v>
      </c>
      <c r="Q43" s="80" t="str">
        <f t="shared" ca="1" si="32"/>
        <v>?</v>
      </c>
      <c r="R43" s="80" t="str">
        <f t="shared" ca="1" si="32"/>
        <v>?</v>
      </c>
      <c r="S43" s="80" t="str">
        <f t="shared" ref="S43:AB44" ca="1" si="33">IF($H43=0,"NA",IF($A43=INDIRECT("'"&amp;$A43&amp;"'!$B$1"),IF(VLOOKUP(S$1,INDIRECT("'"&amp;$A43&amp;"'!$A$12:$Z$41"),MATCH("Points (Auto-generate)",INDIRECT("'"&amp;$A43&amp;"'!$A$12:$Z$12"),0),0)="","?",VLOOKUP(S$1,INDIRECT("'"&amp;$A43&amp;"'!$A$12:$Z$41"),MATCH("Points (Auto-generate)",INDIRECT("'"&amp;$A43&amp;"'!$A$12:$Z$12"),0),0)),"ER"))</f>
        <v>?</v>
      </c>
      <c r="T43" s="80" t="str">
        <f t="shared" ca="1" si="33"/>
        <v>?</v>
      </c>
      <c r="U43" s="80" t="str">
        <f t="shared" ca="1" si="33"/>
        <v>?</v>
      </c>
      <c r="V43" s="80" t="str">
        <f t="shared" ca="1" si="33"/>
        <v>?</v>
      </c>
      <c r="W43" s="80" t="str">
        <f t="shared" ca="1" si="33"/>
        <v>?</v>
      </c>
      <c r="X43" s="80" t="str">
        <f t="shared" ca="1" si="33"/>
        <v>?</v>
      </c>
      <c r="Y43" s="80" t="str">
        <f t="shared" ca="1" si="33"/>
        <v>?</v>
      </c>
      <c r="Z43" s="80" t="str">
        <f t="shared" ca="1" si="33"/>
        <v>?</v>
      </c>
      <c r="AA43" s="80" t="str">
        <f t="shared" ca="1" si="33"/>
        <v>?</v>
      </c>
      <c r="AB43" s="80" t="str">
        <f t="shared" ca="1" si="33"/>
        <v>?</v>
      </c>
      <c r="AC43" s="80" t="str">
        <f t="shared" ref="AC43:AK44" ca="1" si="34">IF($H43=0,"NA",IF($A43=INDIRECT("'"&amp;$A43&amp;"'!$B$1"),IF(VLOOKUP(AC$1,INDIRECT("'"&amp;$A43&amp;"'!$A$12:$Z$41"),MATCH("Points (Auto-generate)",INDIRECT("'"&amp;$A43&amp;"'!$A$12:$Z$12"),0),0)="","?",VLOOKUP(AC$1,INDIRECT("'"&amp;$A43&amp;"'!$A$12:$Z$41"),MATCH("Points (Auto-generate)",INDIRECT("'"&amp;$A43&amp;"'!$A$12:$Z$12"),0),0)),"ER"))</f>
        <v>?</v>
      </c>
      <c r="AD43" s="80" t="str">
        <f t="shared" ca="1" si="34"/>
        <v>?</v>
      </c>
      <c r="AE43" s="80" t="str">
        <f t="shared" ca="1" si="34"/>
        <v>?</v>
      </c>
      <c r="AF43" s="80" t="str">
        <f t="shared" ca="1" si="34"/>
        <v>?</v>
      </c>
      <c r="AG43" s="80" t="str">
        <f t="shared" ca="1" si="34"/>
        <v>?</v>
      </c>
      <c r="AH43" s="80" t="str">
        <f t="shared" ca="1" si="34"/>
        <v>?</v>
      </c>
      <c r="AI43" s="80" t="str">
        <f t="shared" ca="1" si="34"/>
        <v>?</v>
      </c>
      <c r="AJ43" s="80" t="str">
        <f t="shared" ca="1" si="34"/>
        <v>?</v>
      </c>
      <c r="AK43" s="80" t="str">
        <f t="shared" ca="1" si="34"/>
        <v>?</v>
      </c>
    </row>
    <row r="44" spans="1:37">
      <c r="A44" s="76" t="s">
        <v>220</v>
      </c>
      <c r="B44" s="77" t="str">
        <f>IF(ISBLANK($A44),"NO_CODE",VLOOKUP($A44,'UPD Questions_290926 '!$E$1:$N$300,MATCH(B$1,'UPD Questions_290926 '!$E$1:$N$1,0),0)&amp;"")</f>
        <v>Implementation</v>
      </c>
      <c r="C44" s="77" t="str">
        <f>IF(ISBLANK($A44),"NO_CODE",VLOOKUP($A44,'UPD Questions_290926 '!$E$1:$N$300,MATCH(C$1,'UPD Questions_290926 '!$E$1:$N$1,0),0)&amp;"")</f>
        <v>Municipal/City Plan status, hierarchy and coordination</v>
      </c>
      <c r="D44" s="77" t="str">
        <f>IF(ISBLANK($A44),"NO_CODE",VLOOKUP($A44,'UPD Questions_290926 '!$E$1:$N$300,MATCH(D$1,'UPD Questions_290926 '!$E$1:$N$1,0),0)&amp;"")</f>
        <v>Objectives of the Municipal/City Plan</v>
      </c>
      <c r="E44" s="77" t="str">
        <f>IF(ISBLANK($A44),"NO_CODE",VLOOKUP($A44,'UPD Questions_290926 '!$E$1:$N$300,MATCH(E$1,'UPD Questions_290926 '!$E$1:$N$1,0),0)&amp;"")</f>
        <v>SQ</v>
      </c>
      <c r="F44" s="77" t="str">
        <f>IF(ISBLANK($A44),"NO_CODE",VLOOKUP($A44,'UPD Questions_290926 '!$E$1:$N$300,MATCH(F$1,'UPD Questions_290926 '!$E$1:$N$1,0),0)&amp;"")</f>
        <v xml:space="preserve">b) Heritage Conservation </v>
      </c>
      <c r="G44" s="77" t="str">
        <f>IF(ISBLANK($A44),"NO_CODE",VLOOKUP($A44,'UPD Questions_290926 '!$E$1:$N$300,MATCH(G$1,'UPD Questions_290926 '!$E$1:$N$1,0),0)&amp;"")</f>
        <v>Implementation</v>
      </c>
      <c r="H44" s="79">
        <f>IF(ISBLANK($A44),"NO_CODE",VLOOKUP($A44,'UPD Questions_290926 '!$E$1:$N$300,MATCH(H$1,'UPD Questions_290926 '!$E$1:$N$1,0),0))</f>
        <v>5</v>
      </c>
      <c r="I44" s="80" t="str">
        <f t="shared" ca="1" si="32"/>
        <v>?</v>
      </c>
      <c r="J44" s="80">
        <f t="shared" ca="1" si="32"/>
        <v>0</v>
      </c>
      <c r="K44" s="80" t="str">
        <f t="shared" ca="1" si="32"/>
        <v>?</v>
      </c>
      <c r="L44" s="80" t="str">
        <f t="shared" ca="1" si="32"/>
        <v>?</v>
      </c>
      <c r="M44" s="80" t="str">
        <f t="shared" ca="1" si="32"/>
        <v>?</v>
      </c>
      <c r="N44" s="80" t="str">
        <f t="shared" ca="1" si="32"/>
        <v>?</v>
      </c>
      <c r="O44" s="80" t="str">
        <f t="shared" ca="1" si="32"/>
        <v>?</v>
      </c>
      <c r="P44" s="80" t="str">
        <f t="shared" ca="1" si="32"/>
        <v>?</v>
      </c>
      <c r="Q44" s="80" t="str">
        <f t="shared" ca="1" si="32"/>
        <v>?</v>
      </c>
      <c r="R44" s="80" t="str">
        <f t="shared" ca="1" si="32"/>
        <v>?</v>
      </c>
      <c r="S44" s="80" t="str">
        <f t="shared" ca="1" si="33"/>
        <v>?</v>
      </c>
      <c r="T44" s="80" t="str">
        <f t="shared" ca="1" si="33"/>
        <v>?</v>
      </c>
      <c r="U44" s="80" t="str">
        <f t="shared" ca="1" si="33"/>
        <v>?</v>
      </c>
      <c r="V44" s="80" t="str">
        <f t="shared" ca="1" si="33"/>
        <v>?</v>
      </c>
      <c r="W44" s="80" t="str">
        <f t="shared" ca="1" si="33"/>
        <v>?</v>
      </c>
      <c r="X44" s="80" t="str">
        <f t="shared" ca="1" si="33"/>
        <v>?</v>
      </c>
      <c r="Y44" s="80" t="str">
        <f t="shared" ca="1" si="33"/>
        <v>?</v>
      </c>
      <c r="Z44" s="80" t="str">
        <f t="shared" ca="1" si="33"/>
        <v>?</v>
      </c>
      <c r="AA44" s="80" t="str">
        <f t="shared" ca="1" si="33"/>
        <v>?</v>
      </c>
      <c r="AB44" s="80" t="str">
        <f t="shared" ca="1" si="33"/>
        <v>?</v>
      </c>
      <c r="AC44" s="80" t="str">
        <f t="shared" ca="1" si="34"/>
        <v>?</v>
      </c>
      <c r="AD44" s="80" t="str">
        <f t="shared" ca="1" si="34"/>
        <v>?</v>
      </c>
      <c r="AE44" s="80" t="str">
        <f t="shared" ca="1" si="34"/>
        <v>?</v>
      </c>
      <c r="AF44" s="80" t="str">
        <f t="shared" ca="1" si="34"/>
        <v>?</v>
      </c>
      <c r="AG44" s="80" t="str">
        <f t="shared" ca="1" si="34"/>
        <v>?</v>
      </c>
      <c r="AH44" s="80" t="str">
        <f t="shared" ca="1" si="34"/>
        <v>?</v>
      </c>
      <c r="AI44" s="80" t="str">
        <f t="shared" ca="1" si="34"/>
        <v>?</v>
      </c>
      <c r="AJ44" s="80" t="str">
        <f t="shared" ca="1" si="34"/>
        <v>?</v>
      </c>
      <c r="AK44" s="80" t="str">
        <f t="shared" ca="1" si="34"/>
        <v>?</v>
      </c>
    </row>
    <row r="45" spans="1:37">
      <c r="A45" s="76" t="s">
        <v>226</v>
      </c>
      <c r="B45" s="77" t="str">
        <f>IF(ISBLANK($A45),"NO_CODE",VLOOKUP($A45,'UPD Questions_290926 '!$E$1:$N$300,MATCH(B$1,'UPD Questions_290926 '!$E$1:$N$1,0),0)&amp;"")</f>
        <v>Implementation</v>
      </c>
      <c r="C45" s="77" t="str">
        <f>IF(ISBLANK($A45),"NO_CODE",VLOOKUP($A45,'UPD Questions_290926 '!$E$1:$N$300,MATCH(C$1,'UPD Questions_290926 '!$E$1:$N$1,0),0)&amp;"")</f>
        <v>Municipal/City Plan status, hierarchy and coordination</v>
      </c>
      <c r="D45" s="77" t="str">
        <f>IF(ISBLANK($A45),"NO_CODE",VLOOKUP($A45,'UPD Questions_290926 '!$E$1:$N$300,MATCH(D$1,'UPD Questions_290926 '!$E$1:$N$1,0),0)&amp;"")</f>
        <v>Objectives of the Municipal/City Plan</v>
      </c>
      <c r="E45" s="77" t="str">
        <f>IF(ISBLANK($A45),"NO_CODE",VLOOKUP($A45,'UPD Questions_290926 '!$E$1:$N$300,MATCH(E$1,'UPD Questions_290926 '!$E$1:$N$1,0),0)&amp;"")</f>
        <v>MQ</v>
      </c>
      <c r="F45" s="77" t="str">
        <f>IF(ISBLANK($A45),"NO_CODE",VLOOKUP($A45,'UPD Questions_290926 '!$E$1:$N$300,MATCH(F$1,'UPD Questions_290926 '!$E$1:$N$1,0),0)&amp;"")</f>
        <v>Does the municipal/city plan include objectives on social development (health care, education)?</v>
      </c>
      <c r="G45" s="77" t="str">
        <f>IF(ISBLANK($A45),"NO_CODE",VLOOKUP($A45,'UPD Questions_290926 '!$E$1:$N$300,MATCH(G$1,'UPD Questions_290926 '!$E$1:$N$1,0),0)&amp;"")</f>
        <v>Implementation</v>
      </c>
      <c r="H45" s="79">
        <f>IF(ISBLANK($A45),"NO_CODE",VLOOKUP($A45,'UPD Questions_290926 '!$E$1:$N$300,MATCH(H$1,'UPD Questions_290926 '!$E$1:$N$1,0),0))</f>
        <v>10</v>
      </c>
      <c r="I45" s="80" t="str">
        <f t="shared" ref="I45:AK45" ca="1" si="35">IF(OR(I46="ER",I47="ER",I48="ER"),"ER",IF(OR(I46="?",I47="?",I48="?"),"?",IF(AND(I46="NA",I47="NA",I48="NA"),"NA",SUM(I46,I47,I48)/((I46&lt;&gt;"NA")*$H$46+(I47&lt;&gt;"NA")*$H$47+(I48&lt;&gt;"NA")*$H$48)*$H45)))</f>
        <v>?</v>
      </c>
      <c r="J45" s="80">
        <f t="shared" ca="1" si="35"/>
        <v>0</v>
      </c>
      <c r="K45" s="80" t="str">
        <f t="shared" ca="1" si="35"/>
        <v>?</v>
      </c>
      <c r="L45" s="80" t="str">
        <f t="shared" ca="1" si="35"/>
        <v>?</v>
      </c>
      <c r="M45" s="80" t="str">
        <f t="shared" ca="1" si="35"/>
        <v>?</v>
      </c>
      <c r="N45" s="80" t="str">
        <f t="shared" ca="1" si="35"/>
        <v>?</v>
      </c>
      <c r="O45" s="80" t="str">
        <f t="shared" ca="1" si="35"/>
        <v>?</v>
      </c>
      <c r="P45" s="80" t="str">
        <f t="shared" ca="1" si="35"/>
        <v>?</v>
      </c>
      <c r="Q45" s="80" t="str">
        <f t="shared" ca="1" si="35"/>
        <v>?</v>
      </c>
      <c r="R45" s="80" t="str">
        <f t="shared" ca="1" si="35"/>
        <v>?</v>
      </c>
      <c r="S45" s="80" t="str">
        <f t="shared" ca="1" si="35"/>
        <v>?</v>
      </c>
      <c r="T45" s="80" t="str">
        <f t="shared" ca="1" si="35"/>
        <v>?</v>
      </c>
      <c r="U45" s="80" t="str">
        <f t="shared" ca="1" si="35"/>
        <v>?</v>
      </c>
      <c r="V45" s="80" t="str">
        <f t="shared" ca="1" si="35"/>
        <v>?</v>
      </c>
      <c r="W45" s="80" t="str">
        <f t="shared" ca="1" si="35"/>
        <v>?</v>
      </c>
      <c r="X45" s="80" t="str">
        <f t="shared" ca="1" si="35"/>
        <v>?</v>
      </c>
      <c r="Y45" s="80" t="str">
        <f t="shared" ca="1" si="35"/>
        <v>?</v>
      </c>
      <c r="Z45" s="80" t="str">
        <f t="shared" ca="1" si="35"/>
        <v>?</v>
      </c>
      <c r="AA45" s="80" t="str">
        <f t="shared" ca="1" si="35"/>
        <v>?</v>
      </c>
      <c r="AB45" s="80" t="str">
        <f t="shared" ca="1" si="35"/>
        <v>?</v>
      </c>
      <c r="AC45" s="80" t="str">
        <f t="shared" ca="1" si="35"/>
        <v>?</v>
      </c>
      <c r="AD45" s="80" t="str">
        <f t="shared" ca="1" si="35"/>
        <v>?</v>
      </c>
      <c r="AE45" s="80" t="str">
        <f t="shared" ca="1" si="35"/>
        <v>?</v>
      </c>
      <c r="AF45" s="80" t="str">
        <f t="shared" ca="1" si="35"/>
        <v>?</v>
      </c>
      <c r="AG45" s="80" t="str">
        <f t="shared" ca="1" si="35"/>
        <v>?</v>
      </c>
      <c r="AH45" s="80" t="str">
        <f t="shared" ca="1" si="35"/>
        <v>?</v>
      </c>
      <c r="AI45" s="80" t="str">
        <f t="shared" ca="1" si="35"/>
        <v>?</v>
      </c>
      <c r="AJ45" s="80" t="str">
        <f t="shared" ca="1" si="35"/>
        <v>?</v>
      </c>
      <c r="AK45" s="80" t="str">
        <f t="shared" ca="1" si="35"/>
        <v>?</v>
      </c>
    </row>
    <row r="46" spans="1:37">
      <c r="A46" s="76" t="s">
        <v>230</v>
      </c>
      <c r="B46" s="77" t="str">
        <f>IF(ISBLANK($A46),"NO_CODE",VLOOKUP($A46,'UPD Questions_290926 '!$E$1:$N$300,MATCH(B$1,'UPD Questions_290926 '!$E$1:$N$1,0),0)&amp;"")</f>
        <v>Implementation</v>
      </c>
      <c r="C46" s="77" t="str">
        <f>IF(ISBLANK($A46),"NO_CODE",VLOOKUP($A46,'UPD Questions_290926 '!$E$1:$N$300,MATCH(C$1,'UPD Questions_290926 '!$E$1:$N$1,0),0)&amp;"")</f>
        <v>Municipal/City Plan status, hierarchy and coordination</v>
      </c>
      <c r="D46" s="77" t="str">
        <f>IF(ISBLANK($A46),"NO_CODE",VLOOKUP($A46,'UPD Questions_290926 '!$E$1:$N$300,MATCH(D$1,'UPD Questions_290926 '!$E$1:$N$1,0),0)&amp;"")</f>
        <v>Objectives of the Municipal/City Plan</v>
      </c>
      <c r="E46" s="77" t="str">
        <f>IF(ISBLANK($A46),"NO_CODE",VLOOKUP($A46,'UPD Questions_290926 '!$E$1:$N$300,MATCH(E$1,'UPD Questions_290926 '!$E$1:$N$1,0),0)&amp;"")</f>
        <v>SQ</v>
      </c>
      <c r="F46" s="77" t="str">
        <f>IF(ISBLANK($A46),"NO_CODE",VLOOKUP($A46,'UPD Questions_290926 '!$E$1:$N$300,MATCH(F$1,'UPD Questions_290926 '!$E$1:$N$1,0),0)&amp;"")</f>
        <v xml:space="preserve">a) Education </v>
      </c>
      <c r="G46" s="77" t="str">
        <f>IF(ISBLANK($A46),"NO_CODE",VLOOKUP($A46,'UPD Questions_290926 '!$E$1:$N$300,MATCH(G$1,'UPD Questions_290926 '!$E$1:$N$1,0),0)&amp;"")</f>
        <v>Implementation</v>
      </c>
      <c r="H46" s="79">
        <f>IF(ISBLANK($A46),"NO_CODE",VLOOKUP($A46,'UPD Questions_290926 '!$E$1:$N$300,MATCH(H$1,'UPD Questions_290926 '!$E$1:$N$1,0),0))</f>
        <v>3.33</v>
      </c>
      <c r="I46" s="80" t="str">
        <f t="shared" ref="I46:R50" ca="1" si="36">IF($H46=0,"NA",IF($A46=INDIRECT("'"&amp;$A46&amp;"'!$B$1"),IF(VLOOKUP(I$1,INDIRECT("'"&amp;$A46&amp;"'!$A$12:$Z$41"),MATCH("Points (Auto-generate)",INDIRECT("'"&amp;$A46&amp;"'!$A$12:$Z$12"),0),0)="","?",VLOOKUP(I$1,INDIRECT("'"&amp;$A46&amp;"'!$A$12:$Z$41"),MATCH("Points (Auto-generate)",INDIRECT("'"&amp;$A46&amp;"'!$A$12:$Z$12"),0),0)),"ER"))</f>
        <v>?</v>
      </c>
      <c r="J46" s="80">
        <f t="shared" ca="1" si="36"/>
        <v>0</v>
      </c>
      <c r="K46" s="80" t="str">
        <f t="shared" ca="1" si="36"/>
        <v>?</v>
      </c>
      <c r="L46" s="80" t="str">
        <f t="shared" ca="1" si="36"/>
        <v>?</v>
      </c>
      <c r="M46" s="80" t="str">
        <f t="shared" ca="1" si="36"/>
        <v>?</v>
      </c>
      <c r="N46" s="80" t="str">
        <f t="shared" ca="1" si="36"/>
        <v>?</v>
      </c>
      <c r="O46" s="80" t="str">
        <f t="shared" ca="1" si="36"/>
        <v>?</v>
      </c>
      <c r="P46" s="80" t="str">
        <f t="shared" ca="1" si="36"/>
        <v>?</v>
      </c>
      <c r="Q46" s="80" t="str">
        <f t="shared" ca="1" si="36"/>
        <v>?</v>
      </c>
      <c r="R46" s="80" t="str">
        <f t="shared" ca="1" si="36"/>
        <v>?</v>
      </c>
      <c r="S46" s="80" t="str">
        <f t="shared" ref="S46:AB50" ca="1" si="37">IF($H46=0,"NA",IF($A46=INDIRECT("'"&amp;$A46&amp;"'!$B$1"),IF(VLOOKUP(S$1,INDIRECT("'"&amp;$A46&amp;"'!$A$12:$Z$41"),MATCH("Points (Auto-generate)",INDIRECT("'"&amp;$A46&amp;"'!$A$12:$Z$12"),0),0)="","?",VLOOKUP(S$1,INDIRECT("'"&amp;$A46&amp;"'!$A$12:$Z$41"),MATCH("Points (Auto-generate)",INDIRECT("'"&amp;$A46&amp;"'!$A$12:$Z$12"),0),0)),"ER"))</f>
        <v>?</v>
      </c>
      <c r="T46" s="80" t="str">
        <f t="shared" ca="1" si="37"/>
        <v>?</v>
      </c>
      <c r="U46" s="80" t="str">
        <f t="shared" ca="1" si="37"/>
        <v>?</v>
      </c>
      <c r="V46" s="80" t="str">
        <f t="shared" ca="1" si="37"/>
        <v>?</v>
      </c>
      <c r="W46" s="80" t="str">
        <f t="shared" ca="1" si="37"/>
        <v>?</v>
      </c>
      <c r="X46" s="80" t="str">
        <f t="shared" ca="1" si="37"/>
        <v>?</v>
      </c>
      <c r="Y46" s="80" t="str">
        <f t="shared" ca="1" si="37"/>
        <v>?</v>
      </c>
      <c r="Z46" s="80" t="str">
        <f t="shared" ca="1" si="37"/>
        <v>?</v>
      </c>
      <c r="AA46" s="80" t="str">
        <f t="shared" ca="1" si="37"/>
        <v>?</v>
      </c>
      <c r="AB46" s="80" t="str">
        <f t="shared" ca="1" si="37"/>
        <v>?</v>
      </c>
      <c r="AC46" s="80" t="str">
        <f t="shared" ref="AC46:AK50" ca="1" si="38">IF($H46=0,"NA",IF($A46=INDIRECT("'"&amp;$A46&amp;"'!$B$1"),IF(VLOOKUP(AC$1,INDIRECT("'"&amp;$A46&amp;"'!$A$12:$Z$41"),MATCH("Points (Auto-generate)",INDIRECT("'"&amp;$A46&amp;"'!$A$12:$Z$12"),0),0)="","?",VLOOKUP(AC$1,INDIRECT("'"&amp;$A46&amp;"'!$A$12:$Z$41"),MATCH("Points (Auto-generate)",INDIRECT("'"&amp;$A46&amp;"'!$A$12:$Z$12"),0),0)),"ER"))</f>
        <v>?</v>
      </c>
      <c r="AD46" s="80" t="str">
        <f t="shared" ca="1" si="38"/>
        <v>?</v>
      </c>
      <c r="AE46" s="80" t="str">
        <f t="shared" ca="1" si="38"/>
        <v>?</v>
      </c>
      <c r="AF46" s="80" t="str">
        <f t="shared" ca="1" si="38"/>
        <v>?</v>
      </c>
      <c r="AG46" s="80" t="str">
        <f t="shared" ca="1" si="38"/>
        <v>?</v>
      </c>
      <c r="AH46" s="80" t="str">
        <f t="shared" ca="1" si="38"/>
        <v>?</v>
      </c>
      <c r="AI46" s="80" t="str">
        <f t="shared" ca="1" si="38"/>
        <v>?</v>
      </c>
      <c r="AJ46" s="80" t="str">
        <f t="shared" ca="1" si="38"/>
        <v>?</v>
      </c>
      <c r="AK46" s="80" t="str">
        <f t="shared" ca="1" si="38"/>
        <v>?</v>
      </c>
    </row>
    <row r="47" spans="1:37">
      <c r="A47" s="76" t="s">
        <v>234</v>
      </c>
      <c r="B47" s="77" t="str">
        <f>IF(ISBLANK($A47),"NO_CODE",VLOOKUP($A47,'UPD Questions_290926 '!$E$1:$N$300,MATCH(B$1,'UPD Questions_290926 '!$E$1:$N$1,0),0)&amp;"")</f>
        <v>Implementation</v>
      </c>
      <c r="C47" s="77" t="str">
        <f>IF(ISBLANK($A47),"NO_CODE",VLOOKUP($A47,'UPD Questions_290926 '!$E$1:$N$300,MATCH(C$1,'UPD Questions_290926 '!$E$1:$N$1,0),0)&amp;"")</f>
        <v>Municipal/City Plan status, hierarchy and coordination</v>
      </c>
      <c r="D47" s="77" t="str">
        <f>IF(ISBLANK($A47),"NO_CODE",VLOOKUP($A47,'UPD Questions_290926 '!$E$1:$N$300,MATCH(D$1,'UPD Questions_290926 '!$E$1:$N$1,0),0)&amp;"")</f>
        <v>Objectives of the Municipal/City Plan</v>
      </c>
      <c r="E47" s="77" t="str">
        <f>IF(ISBLANK($A47),"NO_CODE",VLOOKUP($A47,'UPD Questions_290926 '!$E$1:$N$300,MATCH(E$1,'UPD Questions_290926 '!$E$1:$N$1,0),0)&amp;"")</f>
        <v>SQ</v>
      </c>
      <c r="F47" s="77" t="str">
        <f>IF(ISBLANK($A47),"NO_CODE",VLOOKUP($A47,'UPD Questions_290926 '!$E$1:$N$300,MATCH(F$1,'UPD Questions_290926 '!$E$1:$N$1,0),0)&amp;"")</f>
        <v>b) Healthcare</v>
      </c>
      <c r="G47" s="77" t="str">
        <f>IF(ISBLANK($A47),"NO_CODE",VLOOKUP($A47,'UPD Questions_290926 '!$E$1:$N$300,MATCH(G$1,'UPD Questions_290926 '!$E$1:$N$1,0),0)&amp;"")</f>
        <v>Implementation</v>
      </c>
      <c r="H47" s="79">
        <f>IF(ISBLANK($A47),"NO_CODE",VLOOKUP($A47,'UPD Questions_290926 '!$E$1:$N$300,MATCH(H$1,'UPD Questions_290926 '!$E$1:$N$1,0),0))</f>
        <v>3.33</v>
      </c>
      <c r="I47" s="80" t="str">
        <f t="shared" ca="1" si="36"/>
        <v>?</v>
      </c>
      <c r="J47" s="80">
        <f t="shared" ca="1" si="36"/>
        <v>0</v>
      </c>
      <c r="K47" s="80" t="str">
        <f t="shared" ca="1" si="36"/>
        <v>?</v>
      </c>
      <c r="L47" s="80" t="str">
        <f t="shared" ca="1" si="36"/>
        <v>?</v>
      </c>
      <c r="M47" s="80" t="str">
        <f t="shared" ca="1" si="36"/>
        <v>?</v>
      </c>
      <c r="N47" s="80" t="str">
        <f t="shared" ca="1" si="36"/>
        <v>?</v>
      </c>
      <c r="O47" s="80" t="str">
        <f t="shared" ca="1" si="36"/>
        <v>?</v>
      </c>
      <c r="P47" s="80" t="str">
        <f t="shared" ca="1" si="36"/>
        <v>?</v>
      </c>
      <c r="Q47" s="80" t="str">
        <f t="shared" ca="1" si="36"/>
        <v>?</v>
      </c>
      <c r="R47" s="80" t="str">
        <f t="shared" ca="1" si="36"/>
        <v>?</v>
      </c>
      <c r="S47" s="80" t="str">
        <f t="shared" ca="1" si="37"/>
        <v>?</v>
      </c>
      <c r="T47" s="80" t="str">
        <f t="shared" ca="1" si="37"/>
        <v>?</v>
      </c>
      <c r="U47" s="80" t="str">
        <f t="shared" ca="1" si="37"/>
        <v>?</v>
      </c>
      <c r="V47" s="80" t="str">
        <f t="shared" ca="1" si="37"/>
        <v>?</v>
      </c>
      <c r="W47" s="80" t="str">
        <f t="shared" ca="1" si="37"/>
        <v>?</v>
      </c>
      <c r="X47" s="80" t="str">
        <f t="shared" ca="1" si="37"/>
        <v>?</v>
      </c>
      <c r="Y47" s="80" t="str">
        <f t="shared" ca="1" si="37"/>
        <v>?</v>
      </c>
      <c r="Z47" s="80" t="str">
        <f t="shared" ca="1" si="37"/>
        <v>?</v>
      </c>
      <c r="AA47" s="80" t="str">
        <f t="shared" ca="1" si="37"/>
        <v>?</v>
      </c>
      <c r="AB47" s="80" t="str">
        <f t="shared" ca="1" si="37"/>
        <v>?</v>
      </c>
      <c r="AC47" s="80" t="str">
        <f t="shared" ca="1" si="38"/>
        <v>?</v>
      </c>
      <c r="AD47" s="80" t="str">
        <f t="shared" ca="1" si="38"/>
        <v>?</v>
      </c>
      <c r="AE47" s="80" t="str">
        <f t="shared" ca="1" si="38"/>
        <v>?</v>
      </c>
      <c r="AF47" s="80" t="str">
        <f t="shared" ca="1" si="38"/>
        <v>?</v>
      </c>
      <c r="AG47" s="80" t="str">
        <f t="shared" ca="1" si="38"/>
        <v>?</v>
      </c>
      <c r="AH47" s="80" t="str">
        <f t="shared" ca="1" si="38"/>
        <v>?</v>
      </c>
      <c r="AI47" s="80" t="str">
        <f t="shared" ca="1" si="38"/>
        <v>?</v>
      </c>
      <c r="AJ47" s="80" t="str">
        <f t="shared" ca="1" si="38"/>
        <v>?</v>
      </c>
      <c r="AK47" s="80" t="str">
        <f t="shared" ca="1" si="38"/>
        <v>?</v>
      </c>
    </row>
    <row r="48" spans="1:37">
      <c r="A48" s="76" t="s">
        <v>238</v>
      </c>
      <c r="B48" s="77" t="str">
        <f>IF(ISBLANK($A48),"NO_CODE",VLOOKUP($A48,'UPD Questions_290926 '!$E$1:$N$300,MATCH(B$1,'UPD Questions_290926 '!$E$1:$N$1,0),0)&amp;"")</f>
        <v>Implementation</v>
      </c>
      <c r="C48" s="77" t="str">
        <f>IF(ISBLANK($A48),"NO_CODE",VLOOKUP($A48,'UPD Questions_290926 '!$E$1:$N$300,MATCH(C$1,'UPD Questions_290926 '!$E$1:$N$1,0),0)&amp;"")</f>
        <v>Municipal/City Plan status, hierarchy and coordination</v>
      </c>
      <c r="D48" s="77" t="str">
        <f>IF(ISBLANK($A48),"NO_CODE",VLOOKUP($A48,'UPD Questions_290926 '!$E$1:$N$300,MATCH(D$1,'UPD Questions_290926 '!$E$1:$N$1,0),0)&amp;"")</f>
        <v>Objectives of the Municipal/City Plan</v>
      </c>
      <c r="E48" s="77" t="str">
        <f>IF(ISBLANK($A48),"NO_CODE",VLOOKUP($A48,'UPD Questions_290926 '!$E$1:$N$300,MATCH(E$1,'UPD Questions_290926 '!$E$1:$N$1,0),0)&amp;"")</f>
        <v>SQ</v>
      </c>
      <c r="F48" s="77" t="str">
        <f>IF(ISBLANK($A48),"NO_CODE",VLOOKUP($A48,'UPD Questions_290926 '!$E$1:$N$300,MATCH(F$1,'UPD Questions_290926 '!$E$1:$N$1,0),0)&amp;"")</f>
        <v xml:space="preserve">c) Affordable housing </v>
      </c>
      <c r="G48" s="77" t="str">
        <f>IF(ISBLANK($A48),"NO_CODE",VLOOKUP($A48,'UPD Questions_290926 '!$E$1:$N$300,MATCH(G$1,'UPD Questions_290926 '!$E$1:$N$1,0),0)&amp;"")</f>
        <v>Implementation</v>
      </c>
      <c r="H48" s="79">
        <f>IF(ISBLANK($A48),"NO_CODE",VLOOKUP($A48,'UPD Questions_290926 '!$E$1:$N$300,MATCH(H$1,'UPD Questions_290926 '!$E$1:$N$1,0),0))</f>
        <v>3.33</v>
      </c>
      <c r="I48" s="80" t="str">
        <f t="shared" ca="1" si="36"/>
        <v>?</v>
      </c>
      <c r="J48" s="80">
        <f t="shared" ca="1" si="36"/>
        <v>0</v>
      </c>
      <c r="K48" s="80" t="str">
        <f t="shared" ca="1" si="36"/>
        <v>?</v>
      </c>
      <c r="L48" s="80" t="str">
        <f t="shared" ca="1" si="36"/>
        <v>?</v>
      </c>
      <c r="M48" s="80" t="str">
        <f t="shared" ca="1" si="36"/>
        <v>?</v>
      </c>
      <c r="N48" s="80" t="str">
        <f t="shared" ca="1" si="36"/>
        <v>?</v>
      </c>
      <c r="O48" s="80" t="str">
        <f t="shared" ca="1" si="36"/>
        <v>?</v>
      </c>
      <c r="P48" s="80" t="str">
        <f t="shared" ca="1" si="36"/>
        <v>?</v>
      </c>
      <c r="Q48" s="80" t="str">
        <f t="shared" ca="1" si="36"/>
        <v>?</v>
      </c>
      <c r="R48" s="80" t="str">
        <f t="shared" ca="1" si="36"/>
        <v>?</v>
      </c>
      <c r="S48" s="80" t="str">
        <f t="shared" ca="1" si="37"/>
        <v>?</v>
      </c>
      <c r="T48" s="80" t="str">
        <f t="shared" ca="1" si="37"/>
        <v>?</v>
      </c>
      <c r="U48" s="80" t="str">
        <f t="shared" ca="1" si="37"/>
        <v>?</v>
      </c>
      <c r="V48" s="80" t="str">
        <f t="shared" ca="1" si="37"/>
        <v>?</v>
      </c>
      <c r="W48" s="80" t="str">
        <f t="shared" ca="1" si="37"/>
        <v>?</v>
      </c>
      <c r="X48" s="80" t="str">
        <f t="shared" ca="1" si="37"/>
        <v>?</v>
      </c>
      <c r="Y48" s="80" t="str">
        <f t="shared" ca="1" si="37"/>
        <v>?</v>
      </c>
      <c r="Z48" s="80" t="str">
        <f t="shared" ca="1" si="37"/>
        <v>?</v>
      </c>
      <c r="AA48" s="80" t="str">
        <f t="shared" ca="1" si="37"/>
        <v>?</v>
      </c>
      <c r="AB48" s="80" t="str">
        <f t="shared" ca="1" si="37"/>
        <v>?</v>
      </c>
      <c r="AC48" s="80" t="str">
        <f t="shared" ca="1" si="38"/>
        <v>?</v>
      </c>
      <c r="AD48" s="80" t="str">
        <f t="shared" ca="1" si="38"/>
        <v>?</v>
      </c>
      <c r="AE48" s="80" t="str">
        <f t="shared" ca="1" si="38"/>
        <v>?</v>
      </c>
      <c r="AF48" s="80" t="str">
        <f t="shared" ca="1" si="38"/>
        <v>?</v>
      </c>
      <c r="AG48" s="80" t="str">
        <f t="shared" ca="1" si="38"/>
        <v>?</v>
      </c>
      <c r="AH48" s="80" t="str">
        <f t="shared" ca="1" si="38"/>
        <v>?</v>
      </c>
      <c r="AI48" s="80" t="str">
        <f t="shared" ca="1" si="38"/>
        <v>?</v>
      </c>
      <c r="AJ48" s="80" t="str">
        <f t="shared" ca="1" si="38"/>
        <v>?</v>
      </c>
      <c r="AK48" s="80" t="str">
        <f t="shared" ca="1" si="38"/>
        <v>?</v>
      </c>
    </row>
    <row r="49" spans="1:37">
      <c r="A49" s="76" t="s">
        <v>243</v>
      </c>
      <c r="B49" s="77" t="str">
        <f>IF(ISBLANK($A49),"NO_CODE",VLOOKUP($A49,'UPD Questions_290926 '!$E$1:$N$300,MATCH(B$1,'UPD Questions_290926 '!$E$1:$N$1,0),0)&amp;"")</f>
        <v>Implementation</v>
      </c>
      <c r="C49" s="77" t="str">
        <f>IF(ISBLANK($A49),"NO_CODE",VLOOKUP($A49,'UPD Questions_290926 '!$E$1:$N$300,MATCH(C$1,'UPD Questions_290926 '!$E$1:$N$1,0),0)&amp;"")</f>
        <v>Municipal/City Plan status, hierarchy and coordination</v>
      </c>
      <c r="D49" s="77" t="str">
        <f>IF(ISBLANK($A49),"NO_CODE",VLOOKUP($A49,'UPD Questions_290926 '!$E$1:$N$300,MATCH(D$1,'UPD Questions_290926 '!$E$1:$N$1,0),0)&amp;"")</f>
        <v>Objectives of the Municipal/City Plan</v>
      </c>
      <c r="E49" s="77" t="str">
        <f>IF(ISBLANK($A49),"NO_CODE",VLOOKUP($A49,'UPD Questions_290926 '!$E$1:$N$300,MATCH(E$1,'UPD Questions_290926 '!$E$1:$N$1,0),0)&amp;"")</f>
        <v>MQ</v>
      </c>
      <c r="F49" s="77" t="str">
        <f>IF(ISBLANK($A49),"NO_CODE",VLOOKUP($A49,'UPD Questions_290926 '!$E$1:$N$300,MATCH(F$1,'UPD Questions_290926 '!$E$1:$N$1,0),0)&amp;"")</f>
        <v>Does the municipal/city plan include objectives for women?</v>
      </c>
      <c r="G49" s="77" t="str">
        <f>IF(ISBLANK($A49),"NO_CODE",VLOOKUP($A49,'UPD Questions_290926 '!$E$1:$N$300,MATCH(G$1,'UPD Questions_290926 '!$E$1:$N$1,0),0)&amp;"")</f>
        <v>Implementation</v>
      </c>
      <c r="H49" s="79">
        <f>IF(ISBLANK($A49),"NO_CODE",VLOOKUP($A49,'UPD Questions_290926 '!$E$1:$N$300,MATCH(H$1,'UPD Questions_290926 '!$E$1:$N$1,0),0))</f>
        <v>10</v>
      </c>
      <c r="I49" s="80" t="str">
        <f t="shared" ca="1" si="36"/>
        <v>?</v>
      </c>
      <c r="J49" s="80">
        <f t="shared" ca="1" si="36"/>
        <v>0</v>
      </c>
      <c r="K49" s="80" t="str">
        <f t="shared" ca="1" si="36"/>
        <v>?</v>
      </c>
      <c r="L49" s="80" t="str">
        <f t="shared" ca="1" si="36"/>
        <v>?</v>
      </c>
      <c r="M49" s="80" t="str">
        <f t="shared" ca="1" si="36"/>
        <v>?</v>
      </c>
      <c r="N49" s="80" t="str">
        <f t="shared" ca="1" si="36"/>
        <v>?</v>
      </c>
      <c r="O49" s="80" t="str">
        <f t="shared" ca="1" si="36"/>
        <v>?</v>
      </c>
      <c r="P49" s="80" t="str">
        <f t="shared" ca="1" si="36"/>
        <v>?</v>
      </c>
      <c r="Q49" s="80" t="str">
        <f t="shared" ca="1" si="36"/>
        <v>?</v>
      </c>
      <c r="R49" s="80" t="str">
        <f t="shared" ca="1" si="36"/>
        <v>?</v>
      </c>
      <c r="S49" s="80" t="str">
        <f t="shared" ca="1" si="37"/>
        <v>?</v>
      </c>
      <c r="T49" s="80" t="str">
        <f t="shared" ca="1" si="37"/>
        <v>?</v>
      </c>
      <c r="U49" s="80" t="str">
        <f t="shared" ca="1" si="37"/>
        <v>?</v>
      </c>
      <c r="V49" s="80" t="str">
        <f t="shared" ca="1" si="37"/>
        <v>?</v>
      </c>
      <c r="W49" s="80" t="str">
        <f t="shared" ca="1" si="37"/>
        <v>?</v>
      </c>
      <c r="X49" s="80" t="str">
        <f t="shared" ca="1" si="37"/>
        <v>?</v>
      </c>
      <c r="Y49" s="80" t="str">
        <f t="shared" ca="1" si="37"/>
        <v>?</v>
      </c>
      <c r="Z49" s="80" t="str">
        <f t="shared" ca="1" si="37"/>
        <v>?</v>
      </c>
      <c r="AA49" s="80" t="str">
        <f t="shared" ca="1" si="37"/>
        <v>?</v>
      </c>
      <c r="AB49" s="80" t="str">
        <f t="shared" ca="1" si="37"/>
        <v>?</v>
      </c>
      <c r="AC49" s="80" t="str">
        <f t="shared" ca="1" si="38"/>
        <v>?</v>
      </c>
      <c r="AD49" s="80" t="str">
        <f t="shared" ca="1" si="38"/>
        <v>?</v>
      </c>
      <c r="AE49" s="80" t="str">
        <f t="shared" ca="1" si="38"/>
        <v>?</v>
      </c>
      <c r="AF49" s="80" t="str">
        <f t="shared" ca="1" si="38"/>
        <v>?</v>
      </c>
      <c r="AG49" s="80" t="str">
        <f t="shared" ca="1" si="38"/>
        <v>?</v>
      </c>
      <c r="AH49" s="80" t="str">
        <f t="shared" ca="1" si="38"/>
        <v>?</v>
      </c>
      <c r="AI49" s="80" t="str">
        <f t="shared" ca="1" si="38"/>
        <v>?</v>
      </c>
      <c r="AJ49" s="80" t="str">
        <f t="shared" ca="1" si="38"/>
        <v>?</v>
      </c>
      <c r="AK49" s="80" t="str">
        <f t="shared" ca="1" si="38"/>
        <v>?</v>
      </c>
    </row>
    <row r="50" spans="1:37">
      <c r="A50" s="76" t="s">
        <v>247</v>
      </c>
      <c r="B50" s="77" t="str">
        <f>IF(ISBLANK($A50),"NO_CODE",VLOOKUP($A50,'UPD Questions_290926 '!$E$1:$N$300,MATCH(B$1,'UPD Questions_290926 '!$E$1:$N$1,0),0)&amp;"")</f>
        <v>Implementation</v>
      </c>
      <c r="C50" s="77" t="str">
        <f>IF(ISBLANK($A50),"NO_CODE",VLOOKUP($A50,'UPD Questions_290926 '!$E$1:$N$300,MATCH(C$1,'UPD Questions_290926 '!$E$1:$N$1,0),0)&amp;"")</f>
        <v>Municipal/City Plan status, hierarchy and coordination</v>
      </c>
      <c r="D50" s="77" t="str">
        <f>IF(ISBLANK($A50),"NO_CODE",VLOOKUP($A50,'UPD Questions_290926 '!$E$1:$N$300,MATCH(D$1,'UPD Questions_290926 '!$E$1:$N$1,0),0)&amp;"")</f>
        <v>Shared spatial information and data coordination</v>
      </c>
      <c r="E50" s="77" t="str">
        <f>IF(ISBLANK($A50),"NO_CODE",VLOOKUP($A50,'UPD Questions_290926 '!$E$1:$N$300,MATCH(E$1,'UPD Questions_290926 '!$E$1:$N$1,0),0)&amp;"")</f>
        <v>MQ</v>
      </c>
      <c r="F50" s="77" t="str">
        <f>IF(ISBLANK($A50),"NO_CODE",VLOOKUP($A50,'UPD Questions_290926 '!$E$1:$N$300,MATCH(F$1,'UPD Questions_290926 '!$E$1:$N$1,0),0)&amp;"")</f>
        <v>Is there a common digital base municipal/city plan Map shared among Planning Authorities, and data updated through GIS with fixed periodicity by the relevent sectoral agencies (transport, network infrastructure, land use changes)</v>
      </c>
      <c r="G50" s="77" t="str">
        <f>IF(ISBLANK($A50),"NO_CODE",VLOOKUP($A50,'UPD Questions_290926 '!$E$1:$N$300,MATCH(G$1,'UPD Questions_290926 '!$E$1:$N$1,0),0)&amp;"")</f>
        <v>Implementation</v>
      </c>
      <c r="H50" s="79">
        <f>IF(ISBLANK($A50),"NO_CODE",VLOOKUP($A50,'UPD Questions_290926 '!$E$1:$N$300,MATCH(H$1,'UPD Questions_290926 '!$E$1:$N$1,0),0))</f>
        <v>10</v>
      </c>
      <c r="I50" s="80" t="str">
        <f t="shared" ca="1" si="36"/>
        <v>?</v>
      </c>
      <c r="J50" s="80">
        <f t="shared" ca="1" si="36"/>
        <v>10</v>
      </c>
      <c r="K50" s="80" t="str">
        <f t="shared" ca="1" si="36"/>
        <v>?</v>
      </c>
      <c r="L50" s="80" t="str">
        <f t="shared" ca="1" si="36"/>
        <v>?</v>
      </c>
      <c r="M50" s="80" t="str">
        <f t="shared" ca="1" si="36"/>
        <v>?</v>
      </c>
      <c r="N50" s="80" t="str">
        <f t="shared" ca="1" si="36"/>
        <v>?</v>
      </c>
      <c r="O50" s="80" t="str">
        <f t="shared" ca="1" si="36"/>
        <v>?</v>
      </c>
      <c r="P50" s="80" t="str">
        <f t="shared" ca="1" si="36"/>
        <v>?</v>
      </c>
      <c r="Q50" s="80" t="str">
        <f t="shared" ca="1" si="36"/>
        <v>?</v>
      </c>
      <c r="R50" s="80" t="str">
        <f t="shared" ca="1" si="36"/>
        <v>?</v>
      </c>
      <c r="S50" s="80" t="str">
        <f t="shared" ca="1" si="37"/>
        <v>?</v>
      </c>
      <c r="T50" s="80" t="str">
        <f t="shared" ca="1" si="37"/>
        <v>?</v>
      </c>
      <c r="U50" s="80" t="str">
        <f t="shared" ca="1" si="37"/>
        <v>?</v>
      </c>
      <c r="V50" s="80" t="str">
        <f t="shared" ca="1" si="37"/>
        <v>?</v>
      </c>
      <c r="W50" s="80" t="str">
        <f t="shared" ca="1" si="37"/>
        <v>?</v>
      </c>
      <c r="X50" s="80" t="str">
        <f t="shared" ca="1" si="37"/>
        <v>?</v>
      </c>
      <c r="Y50" s="80" t="str">
        <f t="shared" ca="1" si="37"/>
        <v>?</v>
      </c>
      <c r="Z50" s="80" t="str">
        <f t="shared" ca="1" si="37"/>
        <v>?</v>
      </c>
      <c r="AA50" s="80" t="str">
        <f t="shared" ca="1" si="37"/>
        <v>?</v>
      </c>
      <c r="AB50" s="80" t="str">
        <f t="shared" ca="1" si="37"/>
        <v>?</v>
      </c>
      <c r="AC50" s="80" t="str">
        <f t="shared" ca="1" si="38"/>
        <v>?</v>
      </c>
      <c r="AD50" s="80" t="str">
        <f t="shared" ca="1" si="38"/>
        <v>?</v>
      </c>
      <c r="AE50" s="80" t="str">
        <f t="shared" ca="1" si="38"/>
        <v>?</v>
      </c>
      <c r="AF50" s="80" t="str">
        <f t="shared" ca="1" si="38"/>
        <v>?</v>
      </c>
      <c r="AG50" s="80" t="str">
        <f t="shared" ca="1" si="38"/>
        <v>?</v>
      </c>
      <c r="AH50" s="80" t="str">
        <f t="shared" ca="1" si="38"/>
        <v>?</v>
      </c>
      <c r="AI50" s="80" t="str">
        <f t="shared" ca="1" si="38"/>
        <v>?</v>
      </c>
      <c r="AJ50" s="80" t="str">
        <f t="shared" ca="1" si="38"/>
        <v>?</v>
      </c>
      <c r="AK50" s="80" t="str">
        <f t="shared" ca="1" si="38"/>
        <v>?</v>
      </c>
    </row>
    <row r="51" spans="1:37">
      <c r="A51" s="76" t="s">
        <v>252</v>
      </c>
      <c r="B51" s="77" t="str">
        <f>IF(ISBLANK($A51),"NO_CODE",VLOOKUP($A51,'UPD Questions_290926 '!$E$1:$N$300,MATCH(B$1,'UPD Questions_290926 '!$E$1:$N$1,0),0)&amp;"")</f>
        <v>Implementation</v>
      </c>
      <c r="C51" s="77" t="str">
        <f>IF(ISBLANK($A51),"NO_CODE",VLOOKUP($A51,'UPD Questions_290926 '!$E$1:$N$300,MATCH(C$1,'UPD Questions_290926 '!$E$1:$N$1,0),0)&amp;"")</f>
        <v>Sectoral planning</v>
      </c>
      <c r="D51" s="77" t="str">
        <f>IF(ISBLANK($A51),"NO_CODE",VLOOKUP($A51,'UPD Questions_290926 '!$E$1:$N$300,MATCH(D$1,'UPD Questions_290926 '!$E$1:$N$1,0),0)&amp;"")</f>
        <v xml:space="preserve">Water supply and sewerage, sanitation, solid waste management </v>
      </c>
      <c r="E51" s="77" t="str">
        <f>IF(ISBLANK($A51),"NO_CODE",VLOOKUP($A51,'UPD Questions_290926 '!$E$1:$N$300,MATCH(E$1,'UPD Questions_290926 '!$E$1:$N$1,0),0)&amp;"")</f>
        <v>MQ</v>
      </c>
      <c r="F51" s="77" t="str">
        <f>IF(ISBLANK($A51),"NO_CODE",VLOOKUP($A51,'UPD Questions_290926 '!$E$1:$N$300,MATCH(F$1,'UPD Questions_290926 '!$E$1:$N$1,0),0)&amp;"")</f>
        <v>Does the city have a Water Supply and Sewerage Plan, City Sanitation Plan, and Solid Waste Management Plan  that clearly articulates development priorities, measurable objectives, and the roles and responsibilities of the ULG?</v>
      </c>
      <c r="G51" s="77" t="str">
        <f>IF(ISBLANK($A51),"NO_CODE",VLOOKUP($A51,'UPD Questions_290926 '!$E$1:$N$300,MATCH(G$1,'UPD Questions_290926 '!$E$1:$N$1,0),0)&amp;"")</f>
        <v>Implementation</v>
      </c>
      <c r="H51" s="79">
        <f>IF(ISBLANK($A51),"NO_CODE",VLOOKUP($A51,'UPD Questions_290926 '!$E$1:$N$300,MATCH(H$1,'UPD Questions_290926 '!$E$1:$N$1,0),0))</f>
        <v>10</v>
      </c>
      <c r="I51" s="80" t="str">
        <f t="shared" ref="I51:AK51" ca="1" si="39">IF(OR(I52="ER",I56="ER",I60="ER"),"ER",IF(OR(I52="?",I56="?",I60="?"),"?",IF(AND(I52="NA",I56="NA",I60="NA"),"NA",SUM(I52,I56,I60)/((I52&lt;&gt;"NA")*$H$52+(I56&lt;&gt;"NA")*$H$56+(I60&lt;&gt;"NA")*$H$60)*$H51)))</f>
        <v>?</v>
      </c>
      <c r="J51" s="80">
        <f t="shared" ca="1" si="39"/>
        <v>2.2222222222222219</v>
      </c>
      <c r="K51" s="80" t="str">
        <f t="shared" ca="1" si="39"/>
        <v>?</v>
      </c>
      <c r="L51" s="80" t="str">
        <f t="shared" ca="1" si="39"/>
        <v>?</v>
      </c>
      <c r="M51" s="80" t="str">
        <f t="shared" ca="1" si="39"/>
        <v>?</v>
      </c>
      <c r="N51" s="80" t="str">
        <f t="shared" ca="1" si="39"/>
        <v>?</v>
      </c>
      <c r="O51" s="80" t="str">
        <f t="shared" ca="1" si="39"/>
        <v>?</v>
      </c>
      <c r="P51" s="80" t="str">
        <f t="shared" ca="1" si="39"/>
        <v>?</v>
      </c>
      <c r="Q51" s="80" t="str">
        <f t="shared" ca="1" si="39"/>
        <v>?</v>
      </c>
      <c r="R51" s="80" t="str">
        <f t="shared" ca="1" si="39"/>
        <v>?</v>
      </c>
      <c r="S51" s="80" t="str">
        <f t="shared" ca="1" si="39"/>
        <v>?</v>
      </c>
      <c r="T51" s="80" t="str">
        <f t="shared" ca="1" si="39"/>
        <v>?</v>
      </c>
      <c r="U51" s="80" t="str">
        <f t="shared" ca="1" si="39"/>
        <v>?</v>
      </c>
      <c r="V51" s="80" t="str">
        <f t="shared" ca="1" si="39"/>
        <v>?</v>
      </c>
      <c r="W51" s="80" t="str">
        <f t="shared" ca="1" si="39"/>
        <v>?</v>
      </c>
      <c r="X51" s="80" t="str">
        <f t="shared" ca="1" si="39"/>
        <v>?</v>
      </c>
      <c r="Y51" s="80" t="str">
        <f t="shared" ca="1" si="39"/>
        <v>?</v>
      </c>
      <c r="Z51" s="80" t="str">
        <f t="shared" ca="1" si="39"/>
        <v>?</v>
      </c>
      <c r="AA51" s="80" t="str">
        <f t="shared" ca="1" si="39"/>
        <v>?</v>
      </c>
      <c r="AB51" s="80" t="str">
        <f t="shared" ca="1" si="39"/>
        <v>?</v>
      </c>
      <c r="AC51" s="80" t="str">
        <f t="shared" ca="1" si="39"/>
        <v>?</v>
      </c>
      <c r="AD51" s="80" t="str">
        <f t="shared" ca="1" si="39"/>
        <v>?</v>
      </c>
      <c r="AE51" s="80" t="str">
        <f t="shared" ca="1" si="39"/>
        <v>?</v>
      </c>
      <c r="AF51" s="80" t="str">
        <f t="shared" ca="1" si="39"/>
        <v>?</v>
      </c>
      <c r="AG51" s="80" t="str">
        <f t="shared" ca="1" si="39"/>
        <v>?</v>
      </c>
      <c r="AH51" s="80" t="str">
        <f t="shared" ca="1" si="39"/>
        <v>?</v>
      </c>
      <c r="AI51" s="80" t="str">
        <f t="shared" ca="1" si="39"/>
        <v>?</v>
      </c>
      <c r="AJ51" s="80" t="str">
        <f t="shared" ca="1" si="39"/>
        <v>?</v>
      </c>
      <c r="AK51" s="80" t="str">
        <f t="shared" ca="1" si="39"/>
        <v>?</v>
      </c>
    </row>
    <row r="52" spans="1:37">
      <c r="A52" s="76" t="s">
        <v>258</v>
      </c>
      <c r="B52" s="77" t="str">
        <f>IF(ISBLANK($A52),"NO_CODE",VLOOKUP($A52,'UPD Questions_290926 '!$E$1:$N$300,MATCH(B$1,'UPD Questions_290926 '!$E$1:$N$1,0),0)&amp;"")</f>
        <v>Implementation</v>
      </c>
      <c r="C52" s="77" t="str">
        <f>IF(ISBLANK($A52),"NO_CODE",VLOOKUP($A52,'UPD Questions_290926 '!$E$1:$N$300,MATCH(C$1,'UPD Questions_290926 '!$E$1:$N$1,0),0)&amp;"")</f>
        <v>Sectoral planning</v>
      </c>
      <c r="D52" s="77" t="str">
        <f>IF(ISBLANK($A52),"NO_CODE",VLOOKUP($A52,'UPD Questions_290926 '!$E$1:$N$300,MATCH(D$1,'UPD Questions_290926 '!$E$1:$N$1,0),0)&amp;"")</f>
        <v xml:space="preserve">Water supply and sewerage, sanitation, solid waste management </v>
      </c>
      <c r="E52" s="77" t="str">
        <f>IF(ISBLANK($A52),"NO_CODE",VLOOKUP($A52,'UPD Questions_290926 '!$E$1:$N$300,MATCH(E$1,'UPD Questions_290926 '!$E$1:$N$1,0),0)&amp;"")</f>
        <v>SQ</v>
      </c>
      <c r="F52" s="77" t="str">
        <f>IF(ISBLANK($A52),"NO_CODE",VLOOKUP($A52,'UPD Questions_290926 '!$E$1:$N$300,MATCH(F$1,'UPD Questions_290926 '!$E$1:$N$1,0),0)&amp;"")</f>
        <v>Does the city have a notified and active Plan?</v>
      </c>
      <c r="G52" s="77" t="str">
        <f>IF(ISBLANK($A52),"NO_CODE",VLOOKUP($A52,'UPD Questions_290926 '!$E$1:$N$300,MATCH(G$1,'UPD Questions_290926 '!$E$1:$N$1,0),0)&amp;"")</f>
        <v>Implementation</v>
      </c>
      <c r="H52" s="79">
        <f>IF(ISBLANK($A52),"NO_CODE",VLOOKUP($A52,'UPD Questions_290926 '!$E$1:$N$300,MATCH(H$1,'UPD Questions_290926 '!$E$1:$N$1,0),0))</f>
        <v>3.33</v>
      </c>
      <c r="I52" s="80" t="str">
        <f t="shared" ref="I52:AK52" ca="1" si="40">IF($H52=0,"NA",IF($A52=INDIRECT("'"&amp;$A52&amp;"'!$B$1"),IF(VLOOKUP(I$1,INDIRECT("'"&amp;$A52&amp;"'!$A$12:$Z$41"),MATCH("Points (Auto-generate)",INDIRECT("'"&amp;$A52&amp;"'!$A$12:$Z$12"),0),0)="","?",VLOOKUP(I$1,INDIRECT("'"&amp;$A52&amp;"'!$A$12:$Z$41"),MATCH("Points (Auto-generate)",INDIRECT("'"&amp;$A52&amp;"'!$A$12:$Z$12"),0),0)),"ER"))</f>
        <v>?</v>
      </c>
      <c r="J52" s="80">
        <f t="shared" ca="1" si="40"/>
        <v>1.1099999999999999</v>
      </c>
      <c r="K52" s="80" t="str">
        <f t="shared" ca="1" si="40"/>
        <v>?</v>
      </c>
      <c r="L52" s="80" t="str">
        <f t="shared" ca="1" si="40"/>
        <v>?</v>
      </c>
      <c r="M52" s="80" t="str">
        <f t="shared" ca="1" si="40"/>
        <v>?</v>
      </c>
      <c r="N52" s="80" t="str">
        <f t="shared" ca="1" si="40"/>
        <v>?</v>
      </c>
      <c r="O52" s="80" t="str">
        <f t="shared" ca="1" si="40"/>
        <v>?</v>
      </c>
      <c r="P52" s="80" t="str">
        <f t="shared" ca="1" si="40"/>
        <v>?</v>
      </c>
      <c r="Q52" s="80" t="str">
        <f t="shared" ca="1" si="40"/>
        <v>?</v>
      </c>
      <c r="R52" s="80" t="str">
        <f t="shared" ca="1" si="40"/>
        <v>?</v>
      </c>
      <c r="S52" s="80" t="str">
        <f t="shared" ca="1" si="40"/>
        <v>?</v>
      </c>
      <c r="T52" s="80" t="str">
        <f t="shared" ca="1" si="40"/>
        <v>?</v>
      </c>
      <c r="U52" s="80" t="str">
        <f t="shared" ca="1" si="40"/>
        <v>?</v>
      </c>
      <c r="V52" s="80" t="str">
        <f t="shared" ca="1" si="40"/>
        <v>?</v>
      </c>
      <c r="W52" s="80" t="str">
        <f t="shared" ca="1" si="40"/>
        <v>?</v>
      </c>
      <c r="X52" s="80" t="str">
        <f t="shared" ca="1" si="40"/>
        <v>?</v>
      </c>
      <c r="Y52" s="80" t="str">
        <f t="shared" ca="1" si="40"/>
        <v>?</v>
      </c>
      <c r="Z52" s="80" t="str">
        <f t="shared" ca="1" si="40"/>
        <v>?</v>
      </c>
      <c r="AA52" s="80" t="str">
        <f t="shared" ca="1" si="40"/>
        <v>?</v>
      </c>
      <c r="AB52" s="80" t="str">
        <f t="shared" ca="1" si="40"/>
        <v>?</v>
      </c>
      <c r="AC52" s="80" t="str">
        <f t="shared" ca="1" si="40"/>
        <v>?</v>
      </c>
      <c r="AD52" s="80" t="str">
        <f t="shared" ca="1" si="40"/>
        <v>?</v>
      </c>
      <c r="AE52" s="80" t="str">
        <f t="shared" ca="1" si="40"/>
        <v>?</v>
      </c>
      <c r="AF52" s="80" t="str">
        <f t="shared" ca="1" si="40"/>
        <v>?</v>
      </c>
      <c r="AG52" s="80" t="str">
        <f t="shared" ca="1" si="40"/>
        <v>?</v>
      </c>
      <c r="AH52" s="80" t="str">
        <f t="shared" ca="1" si="40"/>
        <v>?</v>
      </c>
      <c r="AI52" s="80" t="str">
        <f t="shared" ca="1" si="40"/>
        <v>?</v>
      </c>
      <c r="AJ52" s="80" t="str">
        <f t="shared" ca="1" si="40"/>
        <v>?</v>
      </c>
      <c r="AK52" s="80" t="str">
        <f t="shared" ca="1" si="40"/>
        <v>?</v>
      </c>
    </row>
    <row r="53" spans="1:37">
      <c r="A53" s="76" t="s">
        <v>262</v>
      </c>
      <c r="B53" s="77" t="str">
        <f>IF(ISBLANK($A53),"NO_CODE",VLOOKUP($A53,'UPD Questions_290926 '!$E$1:$N$300,MATCH(B$1,'UPD Questions_290926 '!$E$1:$N$1,0),0)&amp;"")</f>
        <v>Implementation</v>
      </c>
      <c r="C53" s="77" t="str">
        <f>IF(ISBLANK($A53),"NO_CODE",VLOOKUP($A53,'UPD Questions_290926 '!$E$1:$N$300,MATCH(C$1,'UPD Questions_290926 '!$E$1:$N$1,0),0)&amp;"")</f>
        <v>Sectoral planning</v>
      </c>
      <c r="D53" s="77" t="str">
        <f>IF(ISBLANK($A53),"NO_CODE",VLOOKUP($A53,'UPD Questions_290926 '!$E$1:$N$300,MATCH(D$1,'UPD Questions_290926 '!$E$1:$N$1,0),0)&amp;"")</f>
        <v xml:space="preserve">Water supply and sewerage, sanitation, solid waste management </v>
      </c>
      <c r="E53" s="77" t="str">
        <f>IF(ISBLANK($A53),"NO_CODE",VLOOKUP($A53,'UPD Questions_290926 '!$E$1:$N$300,MATCH(E$1,'UPD Questions_290926 '!$E$1:$N$1,0),0)&amp;"")</f>
        <v>SQ1</v>
      </c>
      <c r="F53" s="77" t="str">
        <f>IF(ISBLANK($A53),"NO_CODE",VLOOKUP($A53,'UPD Questions_290926 '!$E$1:$N$300,MATCH(F$1,'UPD Questions_290926 '!$E$1:$N$1,0),0)&amp;"")</f>
        <v>a) Water Supply and Sewerage Plan</v>
      </c>
      <c r="G53" s="77" t="str">
        <f>IF(ISBLANK($A53),"NO_CODE",VLOOKUP($A53,'UPD Questions_290926 '!$E$1:$N$300,MATCH(G$1,'UPD Questions_290926 '!$E$1:$N$1,0),0)&amp;"")</f>
        <v>Implementation</v>
      </c>
      <c r="H53" s="79">
        <f>IF(ISBLANK($A53),"NO_CODE",VLOOKUP($A53,'UPD Questions_290926 '!$E$1:$N$300,MATCH(H$1,'UPD Questions_290926 '!$E$1:$N$1,0),0))</f>
        <v>1.1100000000000001</v>
      </c>
      <c r="I53" s="80" t="str">
        <f t="shared" ref="I53:R55" ca="1" si="41">IF(INDEX(INDIRECT("'"&amp;LEFT($A53,LEN($A53)-1)&amp;"'!$H$13:$J$41"),MATCH(I$1,INDIRECT("'"&amp;LEFT($A53,LEN($A53)-1)&amp;"'!$A$13:$A$41"),0),VALUE(RIGHT($A53,1)))="YES",$H53,IF(INDEX(INDIRECT("'"&amp;LEFT($A53,LEN($A53)-1)&amp;"'!$H$13:$J$41"),MATCH(I$1,INDIRECT("'"&amp;LEFT($A53,LEN($A53)-1)&amp;"'!$A$13:$A$41"),0),VALUE(RIGHT($A53,1)))="NO",0,"?"))</f>
        <v>?</v>
      </c>
      <c r="J53" s="80">
        <f t="shared" ca="1" si="41"/>
        <v>1.1100000000000001</v>
      </c>
      <c r="K53" s="80" t="str">
        <f t="shared" ca="1" si="41"/>
        <v>?</v>
      </c>
      <c r="L53" s="80" t="str">
        <f t="shared" ca="1" si="41"/>
        <v>?</v>
      </c>
      <c r="M53" s="80" t="str">
        <f t="shared" ca="1" si="41"/>
        <v>?</v>
      </c>
      <c r="N53" s="80" t="str">
        <f t="shared" ca="1" si="41"/>
        <v>?</v>
      </c>
      <c r="O53" s="80" t="str">
        <f t="shared" ca="1" si="41"/>
        <v>?</v>
      </c>
      <c r="P53" s="80" t="str">
        <f t="shared" ca="1" si="41"/>
        <v>?</v>
      </c>
      <c r="Q53" s="80" t="str">
        <f t="shared" ca="1" si="41"/>
        <v>?</v>
      </c>
      <c r="R53" s="80" t="str">
        <f t="shared" ca="1" si="41"/>
        <v>?</v>
      </c>
      <c r="S53" s="80" t="str">
        <f t="shared" ref="S53:AB55" ca="1" si="42">IF(INDEX(INDIRECT("'"&amp;LEFT($A53,LEN($A53)-1)&amp;"'!$H$13:$J$41"),MATCH(S$1,INDIRECT("'"&amp;LEFT($A53,LEN($A53)-1)&amp;"'!$A$13:$A$41"),0),VALUE(RIGHT($A53,1)))="YES",$H53,IF(INDEX(INDIRECT("'"&amp;LEFT($A53,LEN($A53)-1)&amp;"'!$H$13:$J$41"),MATCH(S$1,INDIRECT("'"&amp;LEFT($A53,LEN($A53)-1)&amp;"'!$A$13:$A$41"),0),VALUE(RIGHT($A53,1)))="NO",0,"?"))</f>
        <v>?</v>
      </c>
      <c r="T53" s="80" t="str">
        <f t="shared" ca="1" si="42"/>
        <v>?</v>
      </c>
      <c r="U53" s="80" t="str">
        <f t="shared" ca="1" si="42"/>
        <v>?</v>
      </c>
      <c r="V53" s="80" t="str">
        <f t="shared" ca="1" si="42"/>
        <v>?</v>
      </c>
      <c r="W53" s="80" t="str">
        <f t="shared" ca="1" si="42"/>
        <v>?</v>
      </c>
      <c r="X53" s="80" t="str">
        <f t="shared" ca="1" si="42"/>
        <v>?</v>
      </c>
      <c r="Y53" s="80" t="str">
        <f t="shared" ca="1" si="42"/>
        <v>?</v>
      </c>
      <c r="Z53" s="80" t="str">
        <f t="shared" ca="1" si="42"/>
        <v>?</v>
      </c>
      <c r="AA53" s="80" t="str">
        <f t="shared" ca="1" si="42"/>
        <v>?</v>
      </c>
      <c r="AB53" s="80" t="str">
        <f t="shared" ca="1" si="42"/>
        <v>?</v>
      </c>
      <c r="AC53" s="80" t="str">
        <f t="shared" ref="AC53:AK55" ca="1" si="43">IF(INDEX(INDIRECT("'"&amp;LEFT($A53,LEN($A53)-1)&amp;"'!$H$13:$J$41"),MATCH(AC$1,INDIRECT("'"&amp;LEFT($A53,LEN($A53)-1)&amp;"'!$A$13:$A$41"),0),VALUE(RIGHT($A53,1)))="YES",$H53,IF(INDEX(INDIRECT("'"&amp;LEFT($A53,LEN($A53)-1)&amp;"'!$H$13:$J$41"),MATCH(AC$1,INDIRECT("'"&amp;LEFT($A53,LEN($A53)-1)&amp;"'!$A$13:$A$41"),0),VALUE(RIGHT($A53,1)))="NO",0,"?"))</f>
        <v>?</v>
      </c>
      <c r="AD53" s="80" t="str">
        <f t="shared" ca="1" si="43"/>
        <v>?</v>
      </c>
      <c r="AE53" s="80" t="str">
        <f t="shared" ca="1" si="43"/>
        <v>?</v>
      </c>
      <c r="AF53" s="80" t="str">
        <f t="shared" ca="1" si="43"/>
        <v>?</v>
      </c>
      <c r="AG53" s="80" t="str">
        <f t="shared" ca="1" si="43"/>
        <v>?</v>
      </c>
      <c r="AH53" s="80" t="str">
        <f t="shared" ca="1" si="43"/>
        <v>?</v>
      </c>
      <c r="AI53" s="80" t="str">
        <f t="shared" ca="1" si="43"/>
        <v>?</v>
      </c>
      <c r="AJ53" s="80" t="str">
        <f t="shared" ca="1" si="43"/>
        <v>?</v>
      </c>
      <c r="AK53" s="80" t="str">
        <f t="shared" ca="1" si="43"/>
        <v>?</v>
      </c>
    </row>
    <row r="54" spans="1:37">
      <c r="A54" s="76" t="s">
        <v>267</v>
      </c>
      <c r="B54" s="77" t="str">
        <f>IF(ISBLANK($A54),"NO_CODE",VLOOKUP($A54,'UPD Questions_290926 '!$E$1:$N$300,MATCH(B$1,'UPD Questions_290926 '!$E$1:$N$1,0),0)&amp;"")</f>
        <v>Implementation</v>
      </c>
      <c r="C54" s="77" t="str">
        <f>IF(ISBLANK($A54),"NO_CODE",VLOOKUP($A54,'UPD Questions_290926 '!$E$1:$N$300,MATCH(C$1,'UPD Questions_290926 '!$E$1:$N$1,0),0)&amp;"")</f>
        <v>Sectoral planning</v>
      </c>
      <c r="D54" s="77" t="str">
        <f>IF(ISBLANK($A54),"NO_CODE",VLOOKUP($A54,'UPD Questions_290926 '!$E$1:$N$300,MATCH(D$1,'UPD Questions_290926 '!$E$1:$N$1,0),0)&amp;"")</f>
        <v xml:space="preserve">Water supply and sewerage, sanitation, solid waste management </v>
      </c>
      <c r="E54" s="77" t="str">
        <f>IF(ISBLANK($A54),"NO_CODE",VLOOKUP($A54,'UPD Questions_290926 '!$E$1:$N$300,MATCH(E$1,'UPD Questions_290926 '!$E$1:$N$1,0),0)&amp;"")</f>
        <v>SQ2</v>
      </c>
      <c r="F54" s="77" t="str">
        <f>IF(ISBLANK($A54),"NO_CODE",VLOOKUP($A54,'UPD Questions_290926 '!$E$1:$N$300,MATCH(F$1,'UPD Questions_290926 '!$E$1:$N$1,0),0)&amp;"")</f>
        <v xml:space="preserve">b) Solid Waste Management Plan </v>
      </c>
      <c r="G54" s="77" t="str">
        <f>IF(ISBLANK($A54),"NO_CODE",VLOOKUP($A54,'UPD Questions_290926 '!$E$1:$N$300,MATCH(G$1,'UPD Questions_290926 '!$E$1:$N$1,0),0)&amp;"")</f>
        <v>Implementation</v>
      </c>
      <c r="H54" s="79">
        <f>IF(ISBLANK($A54),"NO_CODE",VLOOKUP($A54,'UPD Questions_290926 '!$E$1:$N$300,MATCH(H$1,'UPD Questions_290926 '!$E$1:$N$1,0),0))</f>
        <v>1.1100000000000001</v>
      </c>
      <c r="I54" s="80" t="str">
        <f t="shared" ca="1" si="41"/>
        <v>?</v>
      </c>
      <c r="J54" s="80">
        <f t="shared" ca="1" si="41"/>
        <v>0</v>
      </c>
      <c r="K54" s="80" t="str">
        <f t="shared" ca="1" si="41"/>
        <v>?</v>
      </c>
      <c r="L54" s="80" t="str">
        <f t="shared" ca="1" si="41"/>
        <v>?</v>
      </c>
      <c r="M54" s="80" t="str">
        <f t="shared" ca="1" si="41"/>
        <v>?</v>
      </c>
      <c r="N54" s="80" t="str">
        <f t="shared" ca="1" si="41"/>
        <v>?</v>
      </c>
      <c r="O54" s="80" t="str">
        <f t="shared" ca="1" si="41"/>
        <v>?</v>
      </c>
      <c r="P54" s="80" t="str">
        <f t="shared" ca="1" si="41"/>
        <v>?</v>
      </c>
      <c r="Q54" s="80" t="str">
        <f t="shared" ca="1" si="41"/>
        <v>?</v>
      </c>
      <c r="R54" s="80" t="str">
        <f t="shared" ca="1" si="41"/>
        <v>?</v>
      </c>
      <c r="S54" s="80" t="str">
        <f t="shared" ca="1" si="42"/>
        <v>?</v>
      </c>
      <c r="T54" s="80" t="str">
        <f t="shared" ca="1" si="42"/>
        <v>?</v>
      </c>
      <c r="U54" s="80" t="str">
        <f t="shared" ca="1" si="42"/>
        <v>?</v>
      </c>
      <c r="V54" s="80" t="str">
        <f t="shared" ca="1" si="42"/>
        <v>?</v>
      </c>
      <c r="W54" s="80" t="str">
        <f t="shared" ca="1" si="42"/>
        <v>?</v>
      </c>
      <c r="X54" s="80" t="str">
        <f t="shared" ca="1" si="42"/>
        <v>?</v>
      </c>
      <c r="Y54" s="80" t="str">
        <f t="shared" ca="1" si="42"/>
        <v>?</v>
      </c>
      <c r="Z54" s="80" t="str">
        <f t="shared" ca="1" si="42"/>
        <v>?</v>
      </c>
      <c r="AA54" s="80" t="str">
        <f t="shared" ca="1" si="42"/>
        <v>?</v>
      </c>
      <c r="AB54" s="80" t="str">
        <f t="shared" ca="1" si="42"/>
        <v>?</v>
      </c>
      <c r="AC54" s="80" t="str">
        <f t="shared" ca="1" si="43"/>
        <v>?</v>
      </c>
      <c r="AD54" s="80" t="str">
        <f t="shared" ca="1" si="43"/>
        <v>?</v>
      </c>
      <c r="AE54" s="80" t="str">
        <f t="shared" ca="1" si="43"/>
        <v>?</v>
      </c>
      <c r="AF54" s="80" t="str">
        <f t="shared" ca="1" si="43"/>
        <v>?</v>
      </c>
      <c r="AG54" s="80" t="str">
        <f t="shared" ca="1" si="43"/>
        <v>?</v>
      </c>
      <c r="AH54" s="80" t="str">
        <f t="shared" ca="1" si="43"/>
        <v>?</v>
      </c>
      <c r="AI54" s="80" t="str">
        <f t="shared" ca="1" si="43"/>
        <v>?</v>
      </c>
      <c r="AJ54" s="80" t="str">
        <f t="shared" ca="1" si="43"/>
        <v>?</v>
      </c>
      <c r="AK54" s="80" t="str">
        <f t="shared" ca="1" si="43"/>
        <v>?</v>
      </c>
    </row>
    <row r="55" spans="1:37">
      <c r="A55" s="76" t="s">
        <v>271</v>
      </c>
      <c r="B55" s="77" t="str">
        <f>IF(ISBLANK($A55),"NO_CODE",VLOOKUP($A55,'UPD Questions_290926 '!$E$1:$N$300,MATCH(B$1,'UPD Questions_290926 '!$E$1:$N$1,0),0)&amp;"")</f>
        <v>Implementation</v>
      </c>
      <c r="C55" s="77" t="str">
        <f>IF(ISBLANK($A55),"NO_CODE",VLOOKUP($A55,'UPD Questions_290926 '!$E$1:$N$300,MATCH(C$1,'UPD Questions_290926 '!$E$1:$N$1,0),0)&amp;"")</f>
        <v>Sectoral planning</v>
      </c>
      <c r="D55" s="77" t="str">
        <f>IF(ISBLANK($A55),"NO_CODE",VLOOKUP($A55,'UPD Questions_290926 '!$E$1:$N$300,MATCH(D$1,'UPD Questions_290926 '!$E$1:$N$1,0),0)&amp;"")</f>
        <v xml:space="preserve">Water supply and sewerage, sanitation, solid waste management </v>
      </c>
      <c r="E55" s="77" t="str">
        <f>IF(ISBLANK($A55),"NO_CODE",VLOOKUP($A55,'UPD Questions_290926 '!$E$1:$N$300,MATCH(E$1,'UPD Questions_290926 '!$E$1:$N$1,0),0)&amp;"")</f>
        <v>SQ3</v>
      </c>
      <c r="F55" s="77" t="str">
        <f>IF(ISBLANK($A55),"NO_CODE",VLOOKUP($A55,'UPD Questions_290926 '!$E$1:$N$300,MATCH(F$1,'UPD Questions_290926 '!$E$1:$N$1,0),0)&amp;"")</f>
        <v>c)  City Sanitation Plan</v>
      </c>
      <c r="G55" s="77" t="str">
        <f>IF(ISBLANK($A55),"NO_CODE",VLOOKUP($A55,'UPD Questions_290926 '!$E$1:$N$300,MATCH(G$1,'UPD Questions_290926 '!$E$1:$N$1,0),0)&amp;"")</f>
        <v>Implementation</v>
      </c>
      <c r="H55" s="79">
        <f>IF(ISBLANK($A55),"NO_CODE",VLOOKUP($A55,'UPD Questions_290926 '!$E$1:$N$300,MATCH(H$1,'UPD Questions_290926 '!$E$1:$N$1,0),0))</f>
        <v>1.1100000000000001</v>
      </c>
      <c r="I55" s="80" t="str">
        <f t="shared" ca="1" si="41"/>
        <v>?</v>
      </c>
      <c r="J55" s="80">
        <f t="shared" ca="1" si="41"/>
        <v>0</v>
      </c>
      <c r="K55" s="80" t="str">
        <f t="shared" ca="1" si="41"/>
        <v>?</v>
      </c>
      <c r="L55" s="80" t="str">
        <f t="shared" ca="1" si="41"/>
        <v>?</v>
      </c>
      <c r="M55" s="80" t="str">
        <f t="shared" ca="1" si="41"/>
        <v>?</v>
      </c>
      <c r="N55" s="80" t="str">
        <f t="shared" ca="1" si="41"/>
        <v>?</v>
      </c>
      <c r="O55" s="80" t="str">
        <f t="shared" ca="1" si="41"/>
        <v>?</v>
      </c>
      <c r="P55" s="80" t="str">
        <f t="shared" ca="1" si="41"/>
        <v>?</v>
      </c>
      <c r="Q55" s="80" t="str">
        <f t="shared" ca="1" si="41"/>
        <v>?</v>
      </c>
      <c r="R55" s="80" t="str">
        <f t="shared" ca="1" si="41"/>
        <v>?</v>
      </c>
      <c r="S55" s="80" t="str">
        <f t="shared" ca="1" si="42"/>
        <v>?</v>
      </c>
      <c r="T55" s="80" t="str">
        <f t="shared" ca="1" si="42"/>
        <v>?</v>
      </c>
      <c r="U55" s="80" t="str">
        <f t="shared" ca="1" si="42"/>
        <v>?</v>
      </c>
      <c r="V55" s="80" t="str">
        <f t="shared" ca="1" si="42"/>
        <v>?</v>
      </c>
      <c r="W55" s="80" t="str">
        <f t="shared" ca="1" si="42"/>
        <v>?</v>
      </c>
      <c r="X55" s="80" t="str">
        <f t="shared" ca="1" si="42"/>
        <v>?</v>
      </c>
      <c r="Y55" s="80" t="str">
        <f t="shared" ca="1" si="42"/>
        <v>?</v>
      </c>
      <c r="Z55" s="80" t="str">
        <f t="shared" ca="1" si="42"/>
        <v>?</v>
      </c>
      <c r="AA55" s="80" t="str">
        <f t="shared" ca="1" si="42"/>
        <v>?</v>
      </c>
      <c r="AB55" s="80" t="str">
        <f t="shared" ca="1" si="42"/>
        <v>?</v>
      </c>
      <c r="AC55" s="80" t="str">
        <f t="shared" ca="1" si="43"/>
        <v>?</v>
      </c>
      <c r="AD55" s="80" t="str">
        <f t="shared" ca="1" si="43"/>
        <v>?</v>
      </c>
      <c r="AE55" s="80" t="str">
        <f t="shared" ca="1" si="43"/>
        <v>?</v>
      </c>
      <c r="AF55" s="80" t="str">
        <f t="shared" ca="1" si="43"/>
        <v>?</v>
      </c>
      <c r="AG55" s="80" t="str">
        <f t="shared" ca="1" si="43"/>
        <v>?</v>
      </c>
      <c r="AH55" s="80" t="str">
        <f t="shared" ca="1" si="43"/>
        <v>?</v>
      </c>
      <c r="AI55" s="80" t="str">
        <f t="shared" ca="1" si="43"/>
        <v>?</v>
      </c>
      <c r="AJ55" s="80" t="str">
        <f t="shared" ca="1" si="43"/>
        <v>?</v>
      </c>
      <c r="AK55" s="80" t="str">
        <f t="shared" ca="1" si="43"/>
        <v>?</v>
      </c>
    </row>
    <row r="56" spans="1:37">
      <c r="A56" s="76" t="s">
        <v>275</v>
      </c>
      <c r="B56" s="77" t="str">
        <f>IF(ISBLANK($A56),"NO_CODE",VLOOKUP($A56,'UPD Questions_290926 '!$E$1:$N$300,MATCH(B$1,'UPD Questions_290926 '!$E$1:$N$1,0),0)&amp;"")</f>
        <v>Implementation</v>
      </c>
      <c r="C56" s="77" t="str">
        <f>IF(ISBLANK($A56),"NO_CODE",VLOOKUP($A56,'UPD Questions_290926 '!$E$1:$N$300,MATCH(C$1,'UPD Questions_290926 '!$E$1:$N$1,0),0)&amp;"")</f>
        <v>Sectoral planning</v>
      </c>
      <c r="D56" s="77" t="str">
        <f>IF(ISBLANK($A56),"NO_CODE",VLOOKUP($A56,'UPD Questions_290926 '!$E$1:$N$300,MATCH(D$1,'UPD Questions_290926 '!$E$1:$N$1,0),0)&amp;"")</f>
        <v xml:space="preserve">Water supply and sewerage, sanitation, solid waste management </v>
      </c>
      <c r="E56" s="77" t="str">
        <f>IF(ISBLANK($A56),"NO_CODE",VLOOKUP($A56,'UPD Questions_290926 '!$E$1:$N$300,MATCH(E$1,'UPD Questions_290926 '!$E$1:$N$1,0),0)&amp;"")</f>
        <v>SQ</v>
      </c>
      <c r="F56" s="77" t="str">
        <f>IF(ISBLANK($A56),"NO_CODE",VLOOKUP($A56,'UPD Questions_290926 '!$E$1:$N$300,MATCH(F$1,'UPD Questions_290926 '!$E$1:$N$1,0),0)&amp;"")</f>
        <v>Does the plan have development priorities and measureable objectives?</v>
      </c>
      <c r="G56" s="77" t="str">
        <f>IF(ISBLANK($A56),"NO_CODE",VLOOKUP($A56,'UPD Questions_290926 '!$E$1:$N$300,MATCH(G$1,'UPD Questions_290926 '!$E$1:$N$1,0),0)&amp;"")</f>
        <v>Implementation</v>
      </c>
      <c r="H56" s="79">
        <f>IF(ISBLANK($A56),"NO_CODE",VLOOKUP($A56,'UPD Questions_290926 '!$E$1:$N$300,MATCH(H$1,'UPD Questions_290926 '!$E$1:$N$1,0),0))</f>
        <v>3.33</v>
      </c>
      <c r="I56" s="80" t="str">
        <f t="shared" ref="I56:AK56" ca="1" si="44">IF($H56=0,"NA",IF($A56=INDIRECT("'"&amp;$A56&amp;"'!$B$1"),IF(VLOOKUP(I$1,INDIRECT("'"&amp;$A56&amp;"'!$A$12:$Z$41"),MATCH("Points (Auto-generate)",INDIRECT("'"&amp;$A56&amp;"'!$A$12:$Z$12"),0),0)="","?",VLOOKUP(I$1,INDIRECT("'"&amp;$A56&amp;"'!$A$12:$Z$41"),MATCH("Points (Auto-generate)",INDIRECT("'"&amp;$A56&amp;"'!$A$12:$Z$12"),0),0)),"ER"))</f>
        <v>?</v>
      </c>
      <c r="J56" s="80">
        <f t="shared" ca="1" si="44"/>
        <v>1.1099999999999999</v>
      </c>
      <c r="K56" s="80" t="str">
        <f t="shared" ca="1" si="44"/>
        <v>?</v>
      </c>
      <c r="L56" s="80" t="str">
        <f t="shared" ca="1" si="44"/>
        <v>?</v>
      </c>
      <c r="M56" s="80" t="str">
        <f t="shared" ca="1" si="44"/>
        <v>?</v>
      </c>
      <c r="N56" s="80" t="str">
        <f t="shared" ca="1" si="44"/>
        <v>?</v>
      </c>
      <c r="O56" s="80" t="str">
        <f t="shared" ca="1" si="44"/>
        <v>?</v>
      </c>
      <c r="P56" s="80" t="str">
        <f t="shared" ca="1" si="44"/>
        <v>?</v>
      </c>
      <c r="Q56" s="80" t="str">
        <f t="shared" ca="1" si="44"/>
        <v>?</v>
      </c>
      <c r="R56" s="80" t="str">
        <f t="shared" ca="1" si="44"/>
        <v>?</v>
      </c>
      <c r="S56" s="80" t="str">
        <f t="shared" ca="1" si="44"/>
        <v>?</v>
      </c>
      <c r="T56" s="80" t="str">
        <f t="shared" ca="1" si="44"/>
        <v>?</v>
      </c>
      <c r="U56" s="80" t="str">
        <f t="shared" ca="1" si="44"/>
        <v>?</v>
      </c>
      <c r="V56" s="80" t="str">
        <f t="shared" ca="1" si="44"/>
        <v>?</v>
      </c>
      <c r="W56" s="80" t="str">
        <f t="shared" ca="1" si="44"/>
        <v>?</v>
      </c>
      <c r="X56" s="80" t="str">
        <f t="shared" ca="1" si="44"/>
        <v>?</v>
      </c>
      <c r="Y56" s="80" t="str">
        <f t="shared" ca="1" si="44"/>
        <v>?</v>
      </c>
      <c r="Z56" s="80" t="str">
        <f t="shared" ca="1" si="44"/>
        <v>?</v>
      </c>
      <c r="AA56" s="80" t="str">
        <f t="shared" ca="1" si="44"/>
        <v>?</v>
      </c>
      <c r="AB56" s="80" t="str">
        <f t="shared" ca="1" si="44"/>
        <v>?</v>
      </c>
      <c r="AC56" s="80" t="str">
        <f t="shared" ca="1" si="44"/>
        <v>?</v>
      </c>
      <c r="AD56" s="80" t="str">
        <f t="shared" ca="1" si="44"/>
        <v>?</v>
      </c>
      <c r="AE56" s="80" t="str">
        <f t="shared" ca="1" si="44"/>
        <v>?</v>
      </c>
      <c r="AF56" s="80" t="str">
        <f t="shared" ca="1" si="44"/>
        <v>?</v>
      </c>
      <c r="AG56" s="80" t="str">
        <f t="shared" ca="1" si="44"/>
        <v>?</v>
      </c>
      <c r="AH56" s="80" t="str">
        <f t="shared" ca="1" si="44"/>
        <v>?</v>
      </c>
      <c r="AI56" s="80" t="str">
        <f t="shared" ca="1" si="44"/>
        <v>?</v>
      </c>
      <c r="AJ56" s="80" t="str">
        <f t="shared" ca="1" si="44"/>
        <v>?</v>
      </c>
      <c r="AK56" s="80" t="str">
        <f t="shared" ca="1" si="44"/>
        <v>?</v>
      </c>
    </row>
    <row r="57" spans="1:37">
      <c r="A57" s="76" t="s">
        <v>279</v>
      </c>
      <c r="B57" s="77" t="str">
        <f>IF(ISBLANK($A57),"NO_CODE",VLOOKUP($A57,'UPD Questions_290926 '!$E$1:$N$300,MATCH(B$1,'UPD Questions_290926 '!$E$1:$N$1,0),0)&amp;"")</f>
        <v>Implementation</v>
      </c>
      <c r="C57" s="77" t="str">
        <f>IF(ISBLANK($A57),"NO_CODE",VLOOKUP($A57,'UPD Questions_290926 '!$E$1:$N$300,MATCH(C$1,'UPD Questions_290926 '!$E$1:$N$1,0),0)&amp;"")</f>
        <v>Sectoral planning</v>
      </c>
      <c r="D57" s="77" t="str">
        <f>IF(ISBLANK($A57),"NO_CODE",VLOOKUP($A57,'UPD Questions_290926 '!$E$1:$N$300,MATCH(D$1,'UPD Questions_290926 '!$E$1:$N$1,0),0)&amp;"")</f>
        <v xml:space="preserve">Water supply and sewerage, sanitation, solid waste management </v>
      </c>
      <c r="E57" s="77" t="str">
        <f>IF(ISBLANK($A57),"NO_CODE",VLOOKUP($A57,'UPD Questions_290926 '!$E$1:$N$300,MATCH(E$1,'UPD Questions_290926 '!$E$1:$N$1,0),0)&amp;"")</f>
        <v>SQ1</v>
      </c>
      <c r="F57" s="77" t="str">
        <f>IF(ISBLANK($A57),"NO_CODE",VLOOKUP($A57,'UPD Questions_290926 '!$E$1:$N$300,MATCH(F$1,'UPD Questions_290926 '!$E$1:$N$1,0),0)&amp;"")</f>
        <v>a) Water Supply and Sewerage Plan</v>
      </c>
      <c r="G57" s="77" t="str">
        <f>IF(ISBLANK($A57),"NO_CODE",VLOOKUP($A57,'UPD Questions_290926 '!$E$1:$N$300,MATCH(G$1,'UPD Questions_290926 '!$E$1:$N$1,0),0)&amp;"")</f>
        <v>Implementation</v>
      </c>
      <c r="H57" s="79">
        <f>IF(ISBLANK($A57),"NO_CODE",VLOOKUP($A57,'UPD Questions_290926 '!$E$1:$N$300,MATCH(H$1,'UPD Questions_290926 '!$E$1:$N$1,0),0))</f>
        <v>1.1100000000000001</v>
      </c>
      <c r="I57" s="80" t="str">
        <f t="shared" ref="I57:R59" ca="1" si="45">IF(INDEX(INDIRECT("'"&amp;LEFT($A57,LEN($A57)-1)&amp;"'!$H$13:$J$41"),MATCH(I$1,INDIRECT("'"&amp;LEFT($A57,LEN($A57)-1)&amp;"'!$A$13:$A$41"),0),VALUE(RIGHT($A57,1)))="YES",$H57,IF(INDEX(INDIRECT("'"&amp;LEFT($A57,LEN($A57)-1)&amp;"'!$H$13:$J$41"),MATCH(I$1,INDIRECT("'"&amp;LEFT($A57,LEN($A57)-1)&amp;"'!$A$13:$A$41"),0),VALUE(RIGHT($A57,1)))="NO",0,"?"))</f>
        <v>?</v>
      </c>
      <c r="J57" s="80">
        <f t="shared" ca="1" si="45"/>
        <v>1.1100000000000001</v>
      </c>
      <c r="K57" s="80" t="str">
        <f t="shared" ca="1" si="45"/>
        <v>?</v>
      </c>
      <c r="L57" s="80" t="str">
        <f t="shared" ca="1" si="45"/>
        <v>?</v>
      </c>
      <c r="M57" s="80" t="str">
        <f t="shared" ca="1" si="45"/>
        <v>?</v>
      </c>
      <c r="N57" s="80" t="str">
        <f t="shared" ca="1" si="45"/>
        <v>?</v>
      </c>
      <c r="O57" s="80" t="str">
        <f t="shared" ca="1" si="45"/>
        <v>?</v>
      </c>
      <c r="P57" s="80" t="str">
        <f t="shared" ca="1" si="45"/>
        <v>?</v>
      </c>
      <c r="Q57" s="80" t="str">
        <f t="shared" ca="1" si="45"/>
        <v>?</v>
      </c>
      <c r="R57" s="80" t="str">
        <f t="shared" ca="1" si="45"/>
        <v>?</v>
      </c>
      <c r="S57" s="80" t="str">
        <f t="shared" ref="S57:AB59" ca="1" si="46">IF(INDEX(INDIRECT("'"&amp;LEFT($A57,LEN($A57)-1)&amp;"'!$H$13:$J$41"),MATCH(S$1,INDIRECT("'"&amp;LEFT($A57,LEN($A57)-1)&amp;"'!$A$13:$A$41"),0),VALUE(RIGHT($A57,1)))="YES",$H57,IF(INDEX(INDIRECT("'"&amp;LEFT($A57,LEN($A57)-1)&amp;"'!$H$13:$J$41"),MATCH(S$1,INDIRECT("'"&amp;LEFT($A57,LEN($A57)-1)&amp;"'!$A$13:$A$41"),0),VALUE(RIGHT($A57,1)))="NO",0,"?"))</f>
        <v>?</v>
      </c>
      <c r="T57" s="80" t="str">
        <f t="shared" ca="1" si="46"/>
        <v>?</v>
      </c>
      <c r="U57" s="80" t="str">
        <f t="shared" ca="1" si="46"/>
        <v>?</v>
      </c>
      <c r="V57" s="80" t="str">
        <f t="shared" ca="1" si="46"/>
        <v>?</v>
      </c>
      <c r="W57" s="80" t="str">
        <f t="shared" ca="1" si="46"/>
        <v>?</v>
      </c>
      <c r="X57" s="80" t="str">
        <f t="shared" ca="1" si="46"/>
        <v>?</v>
      </c>
      <c r="Y57" s="80" t="str">
        <f t="shared" ca="1" si="46"/>
        <v>?</v>
      </c>
      <c r="Z57" s="80" t="str">
        <f t="shared" ca="1" si="46"/>
        <v>?</v>
      </c>
      <c r="AA57" s="80" t="str">
        <f t="shared" ca="1" si="46"/>
        <v>?</v>
      </c>
      <c r="AB57" s="80" t="str">
        <f t="shared" ca="1" si="46"/>
        <v>?</v>
      </c>
      <c r="AC57" s="80" t="str">
        <f t="shared" ref="AC57:AK59" ca="1" si="47">IF(INDEX(INDIRECT("'"&amp;LEFT($A57,LEN($A57)-1)&amp;"'!$H$13:$J$41"),MATCH(AC$1,INDIRECT("'"&amp;LEFT($A57,LEN($A57)-1)&amp;"'!$A$13:$A$41"),0),VALUE(RIGHT($A57,1)))="YES",$H57,IF(INDEX(INDIRECT("'"&amp;LEFT($A57,LEN($A57)-1)&amp;"'!$H$13:$J$41"),MATCH(AC$1,INDIRECT("'"&amp;LEFT($A57,LEN($A57)-1)&amp;"'!$A$13:$A$41"),0),VALUE(RIGHT($A57,1)))="NO",0,"?"))</f>
        <v>?</v>
      </c>
      <c r="AD57" s="80" t="str">
        <f t="shared" ca="1" si="47"/>
        <v>?</v>
      </c>
      <c r="AE57" s="80" t="str">
        <f t="shared" ca="1" si="47"/>
        <v>?</v>
      </c>
      <c r="AF57" s="80" t="str">
        <f t="shared" ca="1" si="47"/>
        <v>?</v>
      </c>
      <c r="AG57" s="80" t="str">
        <f t="shared" ca="1" si="47"/>
        <v>?</v>
      </c>
      <c r="AH57" s="80" t="str">
        <f t="shared" ca="1" si="47"/>
        <v>?</v>
      </c>
      <c r="AI57" s="80" t="str">
        <f t="shared" ca="1" si="47"/>
        <v>?</v>
      </c>
      <c r="AJ57" s="80" t="str">
        <f t="shared" ca="1" si="47"/>
        <v>?</v>
      </c>
      <c r="AK57" s="80" t="str">
        <f t="shared" ca="1" si="47"/>
        <v>?</v>
      </c>
    </row>
    <row r="58" spans="1:37">
      <c r="A58" s="76" t="s">
        <v>281</v>
      </c>
      <c r="B58" s="77" t="str">
        <f>IF(ISBLANK($A58),"NO_CODE",VLOOKUP($A58,'UPD Questions_290926 '!$E$1:$N$300,MATCH(B$1,'UPD Questions_290926 '!$E$1:$N$1,0),0)&amp;"")</f>
        <v>Implementation</v>
      </c>
      <c r="C58" s="77" t="str">
        <f>IF(ISBLANK($A58),"NO_CODE",VLOOKUP($A58,'UPD Questions_290926 '!$E$1:$N$300,MATCH(C$1,'UPD Questions_290926 '!$E$1:$N$1,0),0)&amp;"")</f>
        <v>Sectoral planning</v>
      </c>
      <c r="D58" s="77" t="str">
        <f>IF(ISBLANK($A58),"NO_CODE",VLOOKUP($A58,'UPD Questions_290926 '!$E$1:$N$300,MATCH(D$1,'UPD Questions_290926 '!$E$1:$N$1,0),0)&amp;"")</f>
        <v xml:space="preserve">Water supply and sewerage, sanitation, solid waste management </v>
      </c>
      <c r="E58" s="77" t="str">
        <f>IF(ISBLANK($A58),"NO_CODE",VLOOKUP($A58,'UPD Questions_290926 '!$E$1:$N$300,MATCH(E$1,'UPD Questions_290926 '!$E$1:$N$1,0),0)&amp;"")</f>
        <v>SQ2</v>
      </c>
      <c r="F58" s="77" t="str">
        <f>IF(ISBLANK($A58),"NO_CODE",VLOOKUP($A58,'UPD Questions_290926 '!$E$1:$N$300,MATCH(F$1,'UPD Questions_290926 '!$E$1:$N$1,0),0)&amp;"")</f>
        <v xml:space="preserve">b) Solid Waste Management Plan </v>
      </c>
      <c r="G58" s="77" t="str">
        <f>IF(ISBLANK($A58),"NO_CODE",VLOOKUP($A58,'UPD Questions_290926 '!$E$1:$N$300,MATCH(G$1,'UPD Questions_290926 '!$E$1:$N$1,0),0)&amp;"")</f>
        <v>Implementation</v>
      </c>
      <c r="H58" s="79">
        <f>IF(ISBLANK($A58),"NO_CODE",VLOOKUP($A58,'UPD Questions_290926 '!$E$1:$N$300,MATCH(H$1,'UPD Questions_290926 '!$E$1:$N$1,0),0))</f>
        <v>1.1100000000000001</v>
      </c>
      <c r="I58" s="80" t="str">
        <f t="shared" ca="1" si="45"/>
        <v>?</v>
      </c>
      <c r="J58" s="80">
        <f t="shared" ca="1" si="45"/>
        <v>0</v>
      </c>
      <c r="K58" s="80" t="str">
        <f t="shared" ca="1" si="45"/>
        <v>?</v>
      </c>
      <c r="L58" s="80" t="str">
        <f t="shared" ca="1" si="45"/>
        <v>?</v>
      </c>
      <c r="M58" s="80" t="str">
        <f t="shared" ca="1" si="45"/>
        <v>?</v>
      </c>
      <c r="N58" s="80" t="str">
        <f t="shared" ca="1" si="45"/>
        <v>?</v>
      </c>
      <c r="O58" s="80" t="str">
        <f t="shared" ca="1" si="45"/>
        <v>?</v>
      </c>
      <c r="P58" s="80" t="str">
        <f t="shared" ca="1" si="45"/>
        <v>?</v>
      </c>
      <c r="Q58" s="80" t="str">
        <f t="shared" ca="1" si="45"/>
        <v>?</v>
      </c>
      <c r="R58" s="80" t="str">
        <f t="shared" ca="1" si="45"/>
        <v>?</v>
      </c>
      <c r="S58" s="80" t="str">
        <f t="shared" ca="1" si="46"/>
        <v>?</v>
      </c>
      <c r="T58" s="80" t="str">
        <f t="shared" ca="1" si="46"/>
        <v>?</v>
      </c>
      <c r="U58" s="80" t="str">
        <f t="shared" ca="1" si="46"/>
        <v>?</v>
      </c>
      <c r="V58" s="80" t="str">
        <f t="shared" ca="1" si="46"/>
        <v>?</v>
      </c>
      <c r="W58" s="80" t="str">
        <f t="shared" ca="1" si="46"/>
        <v>?</v>
      </c>
      <c r="X58" s="80" t="str">
        <f t="shared" ca="1" si="46"/>
        <v>?</v>
      </c>
      <c r="Y58" s="80" t="str">
        <f t="shared" ca="1" si="46"/>
        <v>?</v>
      </c>
      <c r="Z58" s="80" t="str">
        <f t="shared" ca="1" si="46"/>
        <v>?</v>
      </c>
      <c r="AA58" s="80" t="str">
        <f t="shared" ca="1" si="46"/>
        <v>?</v>
      </c>
      <c r="AB58" s="80" t="str">
        <f t="shared" ca="1" si="46"/>
        <v>?</v>
      </c>
      <c r="AC58" s="80" t="str">
        <f t="shared" ca="1" si="47"/>
        <v>?</v>
      </c>
      <c r="AD58" s="80" t="str">
        <f t="shared" ca="1" si="47"/>
        <v>?</v>
      </c>
      <c r="AE58" s="80" t="str">
        <f t="shared" ca="1" si="47"/>
        <v>?</v>
      </c>
      <c r="AF58" s="80" t="str">
        <f t="shared" ca="1" si="47"/>
        <v>?</v>
      </c>
      <c r="AG58" s="80" t="str">
        <f t="shared" ca="1" si="47"/>
        <v>?</v>
      </c>
      <c r="AH58" s="80" t="str">
        <f t="shared" ca="1" si="47"/>
        <v>?</v>
      </c>
      <c r="AI58" s="80" t="str">
        <f t="shared" ca="1" si="47"/>
        <v>?</v>
      </c>
      <c r="AJ58" s="80" t="str">
        <f t="shared" ca="1" si="47"/>
        <v>?</v>
      </c>
      <c r="AK58" s="80" t="str">
        <f t="shared" ca="1" si="47"/>
        <v>?</v>
      </c>
    </row>
    <row r="59" spans="1:37">
      <c r="A59" s="76" t="s">
        <v>283</v>
      </c>
      <c r="B59" s="77" t="str">
        <f>IF(ISBLANK($A59),"NO_CODE",VLOOKUP($A59,'UPD Questions_290926 '!$E$1:$N$300,MATCH(B$1,'UPD Questions_290926 '!$E$1:$N$1,0),0)&amp;"")</f>
        <v>Implementation</v>
      </c>
      <c r="C59" s="77" t="str">
        <f>IF(ISBLANK($A59),"NO_CODE",VLOOKUP($A59,'UPD Questions_290926 '!$E$1:$N$300,MATCH(C$1,'UPD Questions_290926 '!$E$1:$N$1,0),0)&amp;"")</f>
        <v>Sectoral planning</v>
      </c>
      <c r="D59" s="77" t="str">
        <f>IF(ISBLANK($A59),"NO_CODE",VLOOKUP($A59,'UPD Questions_290926 '!$E$1:$N$300,MATCH(D$1,'UPD Questions_290926 '!$E$1:$N$1,0),0)&amp;"")</f>
        <v xml:space="preserve">Water supply and sewerage, sanitation, solid waste management </v>
      </c>
      <c r="E59" s="77" t="str">
        <f>IF(ISBLANK($A59),"NO_CODE",VLOOKUP($A59,'UPD Questions_290926 '!$E$1:$N$300,MATCH(E$1,'UPD Questions_290926 '!$E$1:$N$1,0),0)&amp;"")</f>
        <v>SQ3</v>
      </c>
      <c r="F59" s="77" t="str">
        <f>IF(ISBLANK($A59),"NO_CODE",VLOOKUP($A59,'UPD Questions_290926 '!$E$1:$N$300,MATCH(F$1,'UPD Questions_290926 '!$E$1:$N$1,0),0)&amp;"")</f>
        <v>c)  City Sanitation Plan</v>
      </c>
      <c r="G59" s="77" t="str">
        <f>IF(ISBLANK($A59),"NO_CODE",VLOOKUP($A59,'UPD Questions_290926 '!$E$1:$N$300,MATCH(G$1,'UPD Questions_290926 '!$E$1:$N$1,0),0)&amp;"")</f>
        <v>Implementation</v>
      </c>
      <c r="H59" s="79">
        <f>IF(ISBLANK($A59),"NO_CODE",VLOOKUP($A59,'UPD Questions_290926 '!$E$1:$N$300,MATCH(H$1,'UPD Questions_290926 '!$E$1:$N$1,0),0))</f>
        <v>1.1100000000000001</v>
      </c>
      <c r="I59" s="80" t="str">
        <f t="shared" ca="1" si="45"/>
        <v>?</v>
      </c>
      <c r="J59" s="80">
        <f t="shared" ca="1" si="45"/>
        <v>0</v>
      </c>
      <c r="K59" s="80" t="str">
        <f t="shared" ca="1" si="45"/>
        <v>?</v>
      </c>
      <c r="L59" s="80" t="str">
        <f t="shared" ca="1" si="45"/>
        <v>?</v>
      </c>
      <c r="M59" s="80" t="str">
        <f t="shared" ca="1" si="45"/>
        <v>?</v>
      </c>
      <c r="N59" s="80" t="str">
        <f t="shared" ca="1" si="45"/>
        <v>?</v>
      </c>
      <c r="O59" s="80" t="str">
        <f t="shared" ca="1" si="45"/>
        <v>?</v>
      </c>
      <c r="P59" s="80" t="str">
        <f t="shared" ca="1" si="45"/>
        <v>?</v>
      </c>
      <c r="Q59" s="80" t="str">
        <f t="shared" ca="1" si="45"/>
        <v>?</v>
      </c>
      <c r="R59" s="80" t="str">
        <f t="shared" ca="1" si="45"/>
        <v>?</v>
      </c>
      <c r="S59" s="80" t="str">
        <f t="shared" ca="1" si="46"/>
        <v>?</v>
      </c>
      <c r="T59" s="80" t="str">
        <f t="shared" ca="1" si="46"/>
        <v>?</v>
      </c>
      <c r="U59" s="80" t="str">
        <f t="shared" ca="1" si="46"/>
        <v>?</v>
      </c>
      <c r="V59" s="80" t="str">
        <f t="shared" ca="1" si="46"/>
        <v>?</v>
      </c>
      <c r="W59" s="80" t="str">
        <f t="shared" ca="1" si="46"/>
        <v>?</v>
      </c>
      <c r="X59" s="80" t="str">
        <f t="shared" ca="1" si="46"/>
        <v>?</v>
      </c>
      <c r="Y59" s="80" t="str">
        <f t="shared" ca="1" si="46"/>
        <v>?</v>
      </c>
      <c r="Z59" s="80" t="str">
        <f t="shared" ca="1" si="46"/>
        <v>?</v>
      </c>
      <c r="AA59" s="80" t="str">
        <f t="shared" ca="1" si="46"/>
        <v>?</v>
      </c>
      <c r="AB59" s="80" t="str">
        <f t="shared" ca="1" si="46"/>
        <v>?</v>
      </c>
      <c r="AC59" s="80" t="str">
        <f t="shared" ca="1" si="47"/>
        <v>?</v>
      </c>
      <c r="AD59" s="80" t="str">
        <f t="shared" ca="1" si="47"/>
        <v>?</v>
      </c>
      <c r="AE59" s="80" t="str">
        <f t="shared" ca="1" si="47"/>
        <v>?</v>
      </c>
      <c r="AF59" s="80" t="str">
        <f t="shared" ca="1" si="47"/>
        <v>?</v>
      </c>
      <c r="AG59" s="80" t="str">
        <f t="shared" ca="1" si="47"/>
        <v>?</v>
      </c>
      <c r="AH59" s="80" t="str">
        <f t="shared" ca="1" si="47"/>
        <v>?</v>
      </c>
      <c r="AI59" s="80" t="str">
        <f t="shared" ca="1" si="47"/>
        <v>?</v>
      </c>
      <c r="AJ59" s="80" t="str">
        <f t="shared" ca="1" si="47"/>
        <v>?</v>
      </c>
      <c r="AK59" s="80" t="str">
        <f t="shared" ca="1" si="47"/>
        <v>?</v>
      </c>
    </row>
    <row r="60" spans="1:37">
      <c r="A60" s="76" t="s">
        <v>285</v>
      </c>
      <c r="B60" s="77" t="str">
        <f>IF(ISBLANK($A60),"NO_CODE",VLOOKUP($A60,'UPD Questions_290926 '!$E$1:$N$300,MATCH(B$1,'UPD Questions_290926 '!$E$1:$N$1,0),0)&amp;"")</f>
        <v>Implementation</v>
      </c>
      <c r="C60" s="77" t="str">
        <f>IF(ISBLANK($A60),"NO_CODE",VLOOKUP($A60,'UPD Questions_290926 '!$E$1:$N$300,MATCH(C$1,'UPD Questions_290926 '!$E$1:$N$1,0),0)&amp;"")</f>
        <v>Sectoral planning</v>
      </c>
      <c r="D60" s="77" t="str">
        <f>IF(ISBLANK($A60),"NO_CODE",VLOOKUP($A60,'UPD Questions_290926 '!$E$1:$N$300,MATCH(D$1,'UPD Questions_290926 '!$E$1:$N$1,0),0)&amp;"")</f>
        <v xml:space="preserve">Water supply and sewerage, sanitation, solid waste management </v>
      </c>
      <c r="E60" s="77" t="str">
        <f>IF(ISBLANK($A60),"NO_CODE",VLOOKUP($A60,'UPD Questions_290926 '!$E$1:$N$300,MATCH(E$1,'UPD Questions_290926 '!$E$1:$N$1,0),0)&amp;"")</f>
        <v>SQ</v>
      </c>
      <c r="F60" s="77" t="str">
        <f>IF(ISBLANK($A60),"NO_CODE",VLOOKUP($A60,'UPD Questions_290926 '!$E$1:$N$300,MATCH(F$1,'UPD Questions_290926 '!$E$1:$N$1,0),0)&amp;"")</f>
        <v>Does the plan clearly articulate the role of the ULG?</v>
      </c>
      <c r="G60" s="77" t="str">
        <f>IF(ISBLANK($A60),"NO_CODE",VLOOKUP($A60,'UPD Questions_290926 '!$E$1:$N$300,MATCH(G$1,'UPD Questions_290926 '!$E$1:$N$1,0),0)&amp;"")</f>
        <v>Implementation</v>
      </c>
      <c r="H60" s="79">
        <f>IF(ISBLANK($A60),"NO_CODE",VLOOKUP($A60,'UPD Questions_290926 '!$E$1:$N$300,MATCH(H$1,'UPD Questions_290926 '!$E$1:$N$1,0),0))</f>
        <v>3.33</v>
      </c>
      <c r="I60" s="80" t="str">
        <f t="shared" ref="I60:AK60" ca="1" si="48">IF($H60=0,"NA",IF($A60=INDIRECT("'"&amp;$A60&amp;"'!$B$1"),IF(VLOOKUP(I$1,INDIRECT("'"&amp;$A60&amp;"'!$A$12:$Z$41"),MATCH("Points (Auto-generate)",INDIRECT("'"&amp;$A60&amp;"'!$A$12:$Z$12"),0),0)="","?",VLOOKUP(I$1,INDIRECT("'"&amp;$A60&amp;"'!$A$12:$Z$41"),MATCH("Points (Auto-generate)",INDIRECT("'"&amp;$A60&amp;"'!$A$12:$Z$12"),0),0)),"ER"))</f>
        <v>?</v>
      </c>
      <c r="J60" s="80">
        <f t="shared" ca="1" si="48"/>
        <v>0</v>
      </c>
      <c r="K60" s="80" t="str">
        <f t="shared" ca="1" si="48"/>
        <v>?</v>
      </c>
      <c r="L60" s="80" t="str">
        <f t="shared" ca="1" si="48"/>
        <v>?</v>
      </c>
      <c r="M60" s="80" t="str">
        <f t="shared" ca="1" si="48"/>
        <v>?</v>
      </c>
      <c r="N60" s="80" t="str">
        <f t="shared" ca="1" si="48"/>
        <v>?</v>
      </c>
      <c r="O60" s="80" t="str">
        <f t="shared" ca="1" si="48"/>
        <v>?</v>
      </c>
      <c r="P60" s="80" t="str">
        <f t="shared" ca="1" si="48"/>
        <v>?</v>
      </c>
      <c r="Q60" s="80" t="str">
        <f t="shared" ca="1" si="48"/>
        <v>?</v>
      </c>
      <c r="R60" s="80" t="str">
        <f t="shared" ca="1" si="48"/>
        <v>?</v>
      </c>
      <c r="S60" s="80" t="str">
        <f t="shared" ca="1" si="48"/>
        <v>?</v>
      </c>
      <c r="T60" s="80" t="str">
        <f t="shared" ca="1" si="48"/>
        <v>?</v>
      </c>
      <c r="U60" s="80" t="str">
        <f t="shared" ca="1" si="48"/>
        <v>?</v>
      </c>
      <c r="V60" s="80" t="str">
        <f t="shared" ca="1" si="48"/>
        <v>?</v>
      </c>
      <c r="W60" s="80" t="str">
        <f t="shared" ca="1" si="48"/>
        <v>?</v>
      </c>
      <c r="X60" s="80" t="str">
        <f t="shared" ca="1" si="48"/>
        <v>?</v>
      </c>
      <c r="Y60" s="80" t="str">
        <f t="shared" ca="1" si="48"/>
        <v>?</v>
      </c>
      <c r="Z60" s="80" t="str">
        <f t="shared" ca="1" si="48"/>
        <v>?</v>
      </c>
      <c r="AA60" s="80" t="str">
        <f t="shared" ca="1" si="48"/>
        <v>?</v>
      </c>
      <c r="AB60" s="80" t="str">
        <f t="shared" ca="1" si="48"/>
        <v>?</v>
      </c>
      <c r="AC60" s="80" t="str">
        <f t="shared" ca="1" si="48"/>
        <v>?</v>
      </c>
      <c r="AD60" s="80" t="str">
        <f t="shared" ca="1" si="48"/>
        <v>?</v>
      </c>
      <c r="AE60" s="80" t="str">
        <f t="shared" ca="1" si="48"/>
        <v>?</v>
      </c>
      <c r="AF60" s="80" t="str">
        <f t="shared" ca="1" si="48"/>
        <v>?</v>
      </c>
      <c r="AG60" s="80" t="str">
        <f t="shared" ca="1" si="48"/>
        <v>?</v>
      </c>
      <c r="AH60" s="80" t="str">
        <f t="shared" ca="1" si="48"/>
        <v>?</v>
      </c>
      <c r="AI60" s="80" t="str">
        <f t="shared" ca="1" si="48"/>
        <v>?</v>
      </c>
      <c r="AJ60" s="80" t="str">
        <f t="shared" ca="1" si="48"/>
        <v>?</v>
      </c>
      <c r="AK60" s="80" t="str">
        <f t="shared" ca="1" si="48"/>
        <v>?</v>
      </c>
    </row>
    <row r="61" spans="1:37">
      <c r="A61" s="76" t="s">
        <v>289</v>
      </c>
      <c r="B61" s="77" t="str">
        <f>IF(ISBLANK($A61),"NO_CODE",VLOOKUP($A61,'UPD Questions_290926 '!$E$1:$N$300,MATCH(B$1,'UPD Questions_290926 '!$E$1:$N$1,0),0)&amp;"")</f>
        <v>Implementation</v>
      </c>
      <c r="C61" s="77" t="str">
        <f>IF(ISBLANK($A61),"NO_CODE",VLOOKUP($A61,'UPD Questions_290926 '!$E$1:$N$300,MATCH(C$1,'UPD Questions_290926 '!$E$1:$N$1,0),0)&amp;"")</f>
        <v>Sectoral planning</v>
      </c>
      <c r="D61" s="77" t="str">
        <f>IF(ISBLANK($A61),"NO_CODE",VLOOKUP($A61,'UPD Questions_290926 '!$E$1:$N$300,MATCH(D$1,'UPD Questions_290926 '!$E$1:$N$1,0),0)&amp;"")</f>
        <v xml:space="preserve">Water supply and sewerage, sanitation, solid waste management </v>
      </c>
      <c r="E61" s="77" t="str">
        <f>IF(ISBLANK($A61),"NO_CODE",VLOOKUP($A61,'UPD Questions_290926 '!$E$1:$N$300,MATCH(E$1,'UPD Questions_290926 '!$E$1:$N$1,0),0)&amp;"")</f>
        <v>SQ1</v>
      </c>
      <c r="F61" s="77" t="str">
        <f>IF(ISBLANK($A61),"NO_CODE",VLOOKUP($A61,'UPD Questions_290926 '!$E$1:$N$300,MATCH(F$1,'UPD Questions_290926 '!$E$1:$N$1,0),0)&amp;"")</f>
        <v>a) Water Supply and Sewerage Plan</v>
      </c>
      <c r="G61" s="77" t="str">
        <f>IF(ISBLANK($A61),"NO_CODE",VLOOKUP($A61,'UPD Questions_290926 '!$E$1:$N$300,MATCH(G$1,'UPD Questions_290926 '!$E$1:$N$1,0),0)&amp;"")</f>
        <v>Implementation</v>
      </c>
      <c r="H61" s="79">
        <f>IF(ISBLANK($A61),"NO_CODE",VLOOKUP($A61,'UPD Questions_290926 '!$E$1:$N$300,MATCH(H$1,'UPD Questions_290926 '!$E$1:$N$1,0),0))</f>
        <v>1.1100000000000001</v>
      </c>
      <c r="I61" s="80" t="str">
        <f t="shared" ref="I61:R63" ca="1" si="49">IF(INDEX(INDIRECT("'"&amp;LEFT($A61,LEN($A61)-1)&amp;"'!$H$13:$J$41"),MATCH(I$1,INDIRECT("'"&amp;LEFT($A61,LEN($A61)-1)&amp;"'!$A$13:$A$41"),0),VALUE(RIGHT($A61,1)))="YES",$H61,IF(INDEX(INDIRECT("'"&amp;LEFT($A61,LEN($A61)-1)&amp;"'!$H$13:$J$41"),MATCH(I$1,INDIRECT("'"&amp;LEFT($A61,LEN($A61)-1)&amp;"'!$A$13:$A$41"),0),VALUE(RIGHT($A61,1)))="NO",0,"?"))</f>
        <v>?</v>
      </c>
      <c r="J61" s="80">
        <f t="shared" ca="1" si="49"/>
        <v>0</v>
      </c>
      <c r="K61" s="80" t="str">
        <f t="shared" ca="1" si="49"/>
        <v>?</v>
      </c>
      <c r="L61" s="80" t="str">
        <f t="shared" ca="1" si="49"/>
        <v>?</v>
      </c>
      <c r="M61" s="80" t="str">
        <f t="shared" ca="1" si="49"/>
        <v>?</v>
      </c>
      <c r="N61" s="80" t="str">
        <f t="shared" ca="1" si="49"/>
        <v>?</v>
      </c>
      <c r="O61" s="80" t="str">
        <f t="shared" ca="1" si="49"/>
        <v>?</v>
      </c>
      <c r="P61" s="80" t="str">
        <f t="shared" ca="1" si="49"/>
        <v>?</v>
      </c>
      <c r="Q61" s="80" t="str">
        <f t="shared" ca="1" si="49"/>
        <v>?</v>
      </c>
      <c r="R61" s="80" t="str">
        <f t="shared" ca="1" si="49"/>
        <v>?</v>
      </c>
      <c r="S61" s="80" t="str">
        <f t="shared" ref="S61:AB63" ca="1" si="50">IF(INDEX(INDIRECT("'"&amp;LEFT($A61,LEN($A61)-1)&amp;"'!$H$13:$J$41"),MATCH(S$1,INDIRECT("'"&amp;LEFT($A61,LEN($A61)-1)&amp;"'!$A$13:$A$41"),0),VALUE(RIGHT($A61,1)))="YES",$H61,IF(INDEX(INDIRECT("'"&amp;LEFT($A61,LEN($A61)-1)&amp;"'!$H$13:$J$41"),MATCH(S$1,INDIRECT("'"&amp;LEFT($A61,LEN($A61)-1)&amp;"'!$A$13:$A$41"),0),VALUE(RIGHT($A61,1)))="NO",0,"?"))</f>
        <v>?</v>
      </c>
      <c r="T61" s="80" t="str">
        <f t="shared" ca="1" si="50"/>
        <v>?</v>
      </c>
      <c r="U61" s="80" t="str">
        <f t="shared" ca="1" si="50"/>
        <v>?</v>
      </c>
      <c r="V61" s="80" t="str">
        <f t="shared" ca="1" si="50"/>
        <v>?</v>
      </c>
      <c r="W61" s="80" t="str">
        <f t="shared" ca="1" si="50"/>
        <v>?</v>
      </c>
      <c r="X61" s="80" t="str">
        <f t="shared" ca="1" si="50"/>
        <v>?</v>
      </c>
      <c r="Y61" s="80" t="str">
        <f t="shared" ca="1" si="50"/>
        <v>?</v>
      </c>
      <c r="Z61" s="80" t="str">
        <f t="shared" ca="1" si="50"/>
        <v>?</v>
      </c>
      <c r="AA61" s="80" t="str">
        <f t="shared" ca="1" si="50"/>
        <v>?</v>
      </c>
      <c r="AB61" s="80" t="str">
        <f t="shared" ca="1" si="50"/>
        <v>?</v>
      </c>
      <c r="AC61" s="80" t="str">
        <f t="shared" ref="AC61:AK63" ca="1" si="51">IF(INDEX(INDIRECT("'"&amp;LEFT($A61,LEN($A61)-1)&amp;"'!$H$13:$J$41"),MATCH(AC$1,INDIRECT("'"&amp;LEFT($A61,LEN($A61)-1)&amp;"'!$A$13:$A$41"),0),VALUE(RIGHT($A61,1)))="YES",$H61,IF(INDEX(INDIRECT("'"&amp;LEFT($A61,LEN($A61)-1)&amp;"'!$H$13:$J$41"),MATCH(AC$1,INDIRECT("'"&amp;LEFT($A61,LEN($A61)-1)&amp;"'!$A$13:$A$41"),0),VALUE(RIGHT($A61,1)))="NO",0,"?"))</f>
        <v>?</v>
      </c>
      <c r="AD61" s="80" t="str">
        <f t="shared" ca="1" si="51"/>
        <v>?</v>
      </c>
      <c r="AE61" s="80" t="str">
        <f t="shared" ca="1" si="51"/>
        <v>?</v>
      </c>
      <c r="AF61" s="80" t="str">
        <f t="shared" ca="1" si="51"/>
        <v>?</v>
      </c>
      <c r="AG61" s="80" t="str">
        <f t="shared" ca="1" si="51"/>
        <v>?</v>
      </c>
      <c r="AH61" s="80" t="str">
        <f t="shared" ca="1" si="51"/>
        <v>?</v>
      </c>
      <c r="AI61" s="80" t="str">
        <f t="shared" ca="1" si="51"/>
        <v>?</v>
      </c>
      <c r="AJ61" s="80" t="str">
        <f t="shared" ca="1" si="51"/>
        <v>?</v>
      </c>
      <c r="AK61" s="80" t="str">
        <f t="shared" ca="1" si="51"/>
        <v>?</v>
      </c>
    </row>
    <row r="62" spans="1:37">
      <c r="A62" s="76" t="s">
        <v>291</v>
      </c>
      <c r="B62" s="77" t="str">
        <f>IF(ISBLANK($A62),"NO_CODE",VLOOKUP($A62,'UPD Questions_290926 '!$E$1:$N$300,MATCH(B$1,'UPD Questions_290926 '!$E$1:$N$1,0),0)&amp;"")</f>
        <v>Implementation</v>
      </c>
      <c r="C62" s="77" t="str">
        <f>IF(ISBLANK($A62),"NO_CODE",VLOOKUP($A62,'UPD Questions_290926 '!$E$1:$N$300,MATCH(C$1,'UPD Questions_290926 '!$E$1:$N$1,0),0)&amp;"")</f>
        <v>Sectoral planning</v>
      </c>
      <c r="D62" s="77" t="str">
        <f>IF(ISBLANK($A62),"NO_CODE",VLOOKUP($A62,'UPD Questions_290926 '!$E$1:$N$300,MATCH(D$1,'UPD Questions_290926 '!$E$1:$N$1,0),0)&amp;"")</f>
        <v xml:space="preserve">Water supply and sewerage, sanitation, solid waste management </v>
      </c>
      <c r="E62" s="77" t="str">
        <f>IF(ISBLANK($A62),"NO_CODE",VLOOKUP($A62,'UPD Questions_290926 '!$E$1:$N$300,MATCH(E$1,'UPD Questions_290926 '!$E$1:$N$1,0),0)&amp;"")</f>
        <v>SQ2</v>
      </c>
      <c r="F62" s="77" t="str">
        <f>IF(ISBLANK($A62),"NO_CODE",VLOOKUP($A62,'UPD Questions_290926 '!$E$1:$N$300,MATCH(F$1,'UPD Questions_290926 '!$E$1:$N$1,0),0)&amp;"")</f>
        <v xml:space="preserve">b) Solid Waste Management Plan </v>
      </c>
      <c r="G62" s="77" t="str">
        <f>IF(ISBLANK($A62),"NO_CODE",VLOOKUP($A62,'UPD Questions_290926 '!$E$1:$N$300,MATCH(G$1,'UPD Questions_290926 '!$E$1:$N$1,0),0)&amp;"")</f>
        <v>Implementation</v>
      </c>
      <c r="H62" s="79">
        <f>IF(ISBLANK($A62),"NO_CODE",VLOOKUP($A62,'UPD Questions_290926 '!$E$1:$N$300,MATCH(H$1,'UPD Questions_290926 '!$E$1:$N$1,0),0))</f>
        <v>1.1100000000000001</v>
      </c>
      <c r="I62" s="80" t="str">
        <f t="shared" ca="1" si="49"/>
        <v>?</v>
      </c>
      <c r="J62" s="80">
        <f t="shared" ca="1" si="49"/>
        <v>0</v>
      </c>
      <c r="K62" s="80" t="str">
        <f t="shared" ca="1" si="49"/>
        <v>?</v>
      </c>
      <c r="L62" s="80" t="str">
        <f t="shared" ca="1" si="49"/>
        <v>?</v>
      </c>
      <c r="M62" s="80" t="str">
        <f t="shared" ca="1" si="49"/>
        <v>?</v>
      </c>
      <c r="N62" s="80" t="str">
        <f t="shared" ca="1" si="49"/>
        <v>?</v>
      </c>
      <c r="O62" s="80" t="str">
        <f t="shared" ca="1" si="49"/>
        <v>?</v>
      </c>
      <c r="P62" s="80" t="str">
        <f t="shared" ca="1" si="49"/>
        <v>?</v>
      </c>
      <c r="Q62" s="80" t="str">
        <f t="shared" ca="1" si="49"/>
        <v>?</v>
      </c>
      <c r="R62" s="80" t="str">
        <f t="shared" ca="1" si="49"/>
        <v>?</v>
      </c>
      <c r="S62" s="80" t="str">
        <f t="shared" ca="1" si="50"/>
        <v>?</v>
      </c>
      <c r="T62" s="80" t="str">
        <f t="shared" ca="1" si="50"/>
        <v>?</v>
      </c>
      <c r="U62" s="80" t="str">
        <f t="shared" ca="1" si="50"/>
        <v>?</v>
      </c>
      <c r="V62" s="80" t="str">
        <f t="shared" ca="1" si="50"/>
        <v>?</v>
      </c>
      <c r="W62" s="80" t="str">
        <f t="shared" ca="1" si="50"/>
        <v>?</v>
      </c>
      <c r="X62" s="80" t="str">
        <f t="shared" ca="1" si="50"/>
        <v>?</v>
      </c>
      <c r="Y62" s="80" t="str">
        <f t="shared" ca="1" si="50"/>
        <v>?</v>
      </c>
      <c r="Z62" s="80" t="str">
        <f t="shared" ca="1" si="50"/>
        <v>?</v>
      </c>
      <c r="AA62" s="80" t="str">
        <f t="shared" ca="1" si="50"/>
        <v>?</v>
      </c>
      <c r="AB62" s="80" t="str">
        <f t="shared" ca="1" si="50"/>
        <v>?</v>
      </c>
      <c r="AC62" s="80" t="str">
        <f t="shared" ca="1" si="51"/>
        <v>?</v>
      </c>
      <c r="AD62" s="80" t="str">
        <f t="shared" ca="1" si="51"/>
        <v>?</v>
      </c>
      <c r="AE62" s="80" t="str">
        <f t="shared" ca="1" si="51"/>
        <v>?</v>
      </c>
      <c r="AF62" s="80" t="str">
        <f t="shared" ca="1" si="51"/>
        <v>?</v>
      </c>
      <c r="AG62" s="80" t="str">
        <f t="shared" ca="1" si="51"/>
        <v>?</v>
      </c>
      <c r="AH62" s="80" t="str">
        <f t="shared" ca="1" si="51"/>
        <v>?</v>
      </c>
      <c r="AI62" s="80" t="str">
        <f t="shared" ca="1" si="51"/>
        <v>?</v>
      </c>
      <c r="AJ62" s="80" t="str">
        <f t="shared" ca="1" si="51"/>
        <v>?</v>
      </c>
      <c r="AK62" s="80" t="str">
        <f t="shared" ca="1" si="51"/>
        <v>?</v>
      </c>
    </row>
    <row r="63" spans="1:37">
      <c r="A63" s="76" t="s">
        <v>293</v>
      </c>
      <c r="B63" s="77" t="str">
        <f>IF(ISBLANK($A63),"NO_CODE",VLOOKUP($A63,'UPD Questions_290926 '!$E$1:$N$300,MATCH(B$1,'UPD Questions_290926 '!$E$1:$N$1,0),0)&amp;"")</f>
        <v>Implementation</v>
      </c>
      <c r="C63" s="77" t="str">
        <f>IF(ISBLANK($A63),"NO_CODE",VLOOKUP($A63,'UPD Questions_290926 '!$E$1:$N$300,MATCH(C$1,'UPD Questions_290926 '!$E$1:$N$1,0),0)&amp;"")</f>
        <v>Sectoral planning</v>
      </c>
      <c r="D63" s="77" t="str">
        <f>IF(ISBLANK($A63),"NO_CODE",VLOOKUP($A63,'UPD Questions_290926 '!$E$1:$N$300,MATCH(D$1,'UPD Questions_290926 '!$E$1:$N$1,0),0)&amp;"")</f>
        <v xml:space="preserve">Water supply and sewerage, sanitation, solid waste management </v>
      </c>
      <c r="E63" s="77" t="str">
        <f>IF(ISBLANK($A63),"NO_CODE",VLOOKUP($A63,'UPD Questions_290926 '!$E$1:$N$300,MATCH(E$1,'UPD Questions_290926 '!$E$1:$N$1,0),0)&amp;"")</f>
        <v>SQ3</v>
      </c>
      <c r="F63" s="77" t="str">
        <f>IF(ISBLANK($A63),"NO_CODE",VLOOKUP($A63,'UPD Questions_290926 '!$E$1:$N$300,MATCH(F$1,'UPD Questions_290926 '!$E$1:$N$1,0),0)&amp;"")</f>
        <v>c)  City Sanitation Plan</v>
      </c>
      <c r="G63" s="77" t="str">
        <f>IF(ISBLANK($A63),"NO_CODE",VLOOKUP($A63,'UPD Questions_290926 '!$E$1:$N$300,MATCH(G$1,'UPD Questions_290926 '!$E$1:$N$1,0),0)&amp;"")</f>
        <v>Implementation</v>
      </c>
      <c r="H63" s="79">
        <f>IF(ISBLANK($A63),"NO_CODE",VLOOKUP($A63,'UPD Questions_290926 '!$E$1:$N$300,MATCH(H$1,'UPD Questions_290926 '!$E$1:$N$1,0),0))</f>
        <v>1.1100000000000001</v>
      </c>
      <c r="I63" s="80" t="str">
        <f t="shared" ca="1" si="49"/>
        <v>?</v>
      </c>
      <c r="J63" s="80">
        <f t="shared" ca="1" si="49"/>
        <v>0</v>
      </c>
      <c r="K63" s="80" t="str">
        <f t="shared" ca="1" si="49"/>
        <v>?</v>
      </c>
      <c r="L63" s="80" t="str">
        <f t="shared" ca="1" si="49"/>
        <v>?</v>
      </c>
      <c r="M63" s="80" t="str">
        <f t="shared" ca="1" si="49"/>
        <v>?</v>
      </c>
      <c r="N63" s="80" t="str">
        <f t="shared" ca="1" si="49"/>
        <v>?</v>
      </c>
      <c r="O63" s="80" t="str">
        <f t="shared" ca="1" si="49"/>
        <v>?</v>
      </c>
      <c r="P63" s="80" t="str">
        <f t="shared" ca="1" si="49"/>
        <v>?</v>
      </c>
      <c r="Q63" s="80" t="str">
        <f t="shared" ca="1" si="49"/>
        <v>?</v>
      </c>
      <c r="R63" s="80" t="str">
        <f t="shared" ca="1" si="49"/>
        <v>?</v>
      </c>
      <c r="S63" s="80" t="str">
        <f t="shared" ca="1" si="50"/>
        <v>?</v>
      </c>
      <c r="T63" s="80" t="str">
        <f t="shared" ca="1" si="50"/>
        <v>?</v>
      </c>
      <c r="U63" s="80" t="str">
        <f t="shared" ca="1" si="50"/>
        <v>?</v>
      </c>
      <c r="V63" s="80" t="str">
        <f t="shared" ca="1" si="50"/>
        <v>?</v>
      </c>
      <c r="W63" s="80" t="str">
        <f t="shared" ca="1" si="50"/>
        <v>?</v>
      </c>
      <c r="X63" s="80" t="str">
        <f t="shared" ca="1" si="50"/>
        <v>?</v>
      </c>
      <c r="Y63" s="80" t="str">
        <f t="shared" ca="1" si="50"/>
        <v>?</v>
      </c>
      <c r="Z63" s="80" t="str">
        <f t="shared" ca="1" si="50"/>
        <v>?</v>
      </c>
      <c r="AA63" s="80" t="str">
        <f t="shared" ca="1" si="50"/>
        <v>?</v>
      </c>
      <c r="AB63" s="80" t="str">
        <f t="shared" ca="1" si="50"/>
        <v>?</v>
      </c>
      <c r="AC63" s="80" t="str">
        <f t="shared" ca="1" si="51"/>
        <v>?</v>
      </c>
      <c r="AD63" s="80" t="str">
        <f t="shared" ca="1" si="51"/>
        <v>?</v>
      </c>
      <c r="AE63" s="80" t="str">
        <f t="shared" ca="1" si="51"/>
        <v>?</v>
      </c>
      <c r="AF63" s="80" t="str">
        <f t="shared" ca="1" si="51"/>
        <v>?</v>
      </c>
      <c r="AG63" s="80" t="str">
        <f t="shared" ca="1" si="51"/>
        <v>?</v>
      </c>
      <c r="AH63" s="80" t="str">
        <f t="shared" ca="1" si="51"/>
        <v>?</v>
      </c>
      <c r="AI63" s="80" t="str">
        <f t="shared" ca="1" si="51"/>
        <v>?</v>
      </c>
      <c r="AJ63" s="80" t="str">
        <f t="shared" ca="1" si="51"/>
        <v>?</v>
      </c>
      <c r="AK63" s="80" t="str">
        <f t="shared" ca="1" si="51"/>
        <v>?</v>
      </c>
    </row>
    <row r="64" spans="1:37">
      <c r="A64" s="76" t="s">
        <v>295</v>
      </c>
      <c r="B64" s="77" t="str">
        <f>IF(ISBLANK($A64),"NO_CODE",VLOOKUP($A64,'UPD Questions_290926 '!$E$1:$N$300,MATCH(B$1,'UPD Questions_290926 '!$E$1:$N$1,0),0)&amp;"")</f>
        <v>Implementation</v>
      </c>
      <c r="C64" s="77" t="str">
        <f>IF(ISBLANK($A64),"NO_CODE",VLOOKUP($A64,'UPD Questions_290926 '!$E$1:$N$300,MATCH(C$1,'UPD Questions_290926 '!$E$1:$N$1,0),0)&amp;"")</f>
        <v>Sectoral planning</v>
      </c>
      <c r="D64" s="77" t="str">
        <f>IF(ISBLANK($A64),"NO_CODE",VLOOKUP($A64,'UPD Questions_290926 '!$E$1:$N$300,MATCH(D$1,'UPD Questions_290926 '!$E$1:$N$1,0),0)&amp;"")</f>
        <v>Sustainability, resilience and climate action</v>
      </c>
      <c r="E64" s="77" t="str">
        <f>IF(ISBLANK($A64),"NO_CODE",VLOOKUP($A64,'UPD Questions_290926 '!$E$1:$N$300,MATCH(E$1,'UPD Questions_290926 '!$E$1:$N$1,0),0)&amp;"")</f>
        <v>MQ</v>
      </c>
      <c r="F64" s="77" t="str">
        <f>IF(ISBLANK($A64),"NO_CODE",VLOOKUP($A64,'UPD Questions_290926 '!$E$1:$N$300,MATCH(F$1,'UPD Questions_290926 '!$E$1:$N$1,0),0)&amp;"")</f>
        <v>Does your city have a Sustainability/ Resilience Strategy/Climate Action Plan that clearly articulates development priorities, measurable objectives, and the roles and responsibilities of the ULG?</v>
      </c>
      <c r="G64" s="77" t="str">
        <f>IF(ISBLANK($A64),"NO_CODE",VLOOKUP($A64,'UPD Questions_290926 '!$E$1:$N$300,MATCH(G$1,'UPD Questions_290926 '!$E$1:$N$1,0),0)&amp;"")</f>
        <v>Implementation</v>
      </c>
      <c r="H64" s="79">
        <f>IF(ISBLANK($A64),"NO_CODE",VLOOKUP($A64,'UPD Questions_290926 '!$E$1:$N$300,MATCH(H$1,'UPD Questions_290926 '!$E$1:$N$1,0),0))</f>
        <v>10</v>
      </c>
      <c r="I64" s="80" t="str">
        <f t="shared" ref="I64:AK64" ca="1" si="52">IF(OR(I65="ER",I66="ER",I67="ER"),"ER",IF(OR(I65="?",I66="?",I67="?"),"?",IF(AND(I65="NA",I66="NA",I67="NA"),"NA",SUM(I65,I66,I67)/((I65&lt;&gt;"NA")*$H$65+(I66&lt;&gt;"NA")*$H$66+(I67&lt;&gt;"NA")*$H$67)*$H64)))</f>
        <v>?</v>
      </c>
      <c r="J64" s="80">
        <f t="shared" ca="1" si="52"/>
        <v>10</v>
      </c>
      <c r="K64" s="80" t="str">
        <f t="shared" ca="1" si="52"/>
        <v>?</v>
      </c>
      <c r="L64" s="80" t="str">
        <f t="shared" ca="1" si="52"/>
        <v>?</v>
      </c>
      <c r="M64" s="80" t="str">
        <f t="shared" ca="1" si="52"/>
        <v>?</v>
      </c>
      <c r="N64" s="80" t="str">
        <f t="shared" ca="1" si="52"/>
        <v>?</v>
      </c>
      <c r="O64" s="80" t="str">
        <f t="shared" ca="1" si="52"/>
        <v>?</v>
      </c>
      <c r="P64" s="80" t="str">
        <f t="shared" ca="1" si="52"/>
        <v>?</v>
      </c>
      <c r="Q64" s="80" t="str">
        <f t="shared" ca="1" si="52"/>
        <v>?</v>
      </c>
      <c r="R64" s="80" t="str">
        <f t="shared" ca="1" si="52"/>
        <v>?</v>
      </c>
      <c r="S64" s="80" t="str">
        <f t="shared" ca="1" si="52"/>
        <v>?</v>
      </c>
      <c r="T64" s="80" t="str">
        <f t="shared" ca="1" si="52"/>
        <v>?</v>
      </c>
      <c r="U64" s="80" t="str">
        <f t="shared" ca="1" si="52"/>
        <v>?</v>
      </c>
      <c r="V64" s="80" t="str">
        <f t="shared" ca="1" si="52"/>
        <v>?</v>
      </c>
      <c r="W64" s="80" t="str">
        <f t="shared" ca="1" si="52"/>
        <v>?</v>
      </c>
      <c r="X64" s="80" t="str">
        <f t="shared" ca="1" si="52"/>
        <v>?</v>
      </c>
      <c r="Y64" s="80" t="str">
        <f t="shared" ca="1" si="52"/>
        <v>?</v>
      </c>
      <c r="Z64" s="80" t="str">
        <f t="shared" ca="1" si="52"/>
        <v>?</v>
      </c>
      <c r="AA64" s="80" t="str">
        <f t="shared" ca="1" si="52"/>
        <v>?</v>
      </c>
      <c r="AB64" s="80" t="str">
        <f t="shared" ca="1" si="52"/>
        <v>?</v>
      </c>
      <c r="AC64" s="80" t="str">
        <f t="shared" ca="1" si="52"/>
        <v>?</v>
      </c>
      <c r="AD64" s="80" t="str">
        <f t="shared" ca="1" si="52"/>
        <v>?</v>
      </c>
      <c r="AE64" s="80" t="str">
        <f t="shared" ca="1" si="52"/>
        <v>?</v>
      </c>
      <c r="AF64" s="80" t="str">
        <f t="shared" ca="1" si="52"/>
        <v>?</v>
      </c>
      <c r="AG64" s="80" t="str">
        <f t="shared" ca="1" si="52"/>
        <v>?</v>
      </c>
      <c r="AH64" s="80" t="str">
        <f t="shared" ca="1" si="52"/>
        <v>?</v>
      </c>
      <c r="AI64" s="80" t="str">
        <f t="shared" ca="1" si="52"/>
        <v>?</v>
      </c>
      <c r="AJ64" s="80" t="str">
        <f t="shared" ca="1" si="52"/>
        <v>?</v>
      </c>
      <c r="AK64" s="80" t="str">
        <f t="shared" ca="1" si="52"/>
        <v>?</v>
      </c>
    </row>
    <row r="65" spans="1:37">
      <c r="A65" s="76" t="s">
        <v>299</v>
      </c>
      <c r="B65" s="77" t="str">
        <f>IF(ISBLANK($A65),"NO_CODE",VLOOKUP($A65,'UPD Questions_290926 '!$E$1:$N$300,MATCH(B$1,'UPD Questions_290926 '!$E$1:$N$1,0),0)&amp;"")</f>
        <v>Implementation</v>
      </c>
      <c r="C65" s="77" t="str">
        <f>IF(ISBLANK($A65),"NO_CODE",VLOOKUP($A65,'UPD Questions_290926 '!$E$1:$N$300,MATCH(C$1,'UPD Questions_290926 '!$E$1:$N$1,0),0)&amp;"")</f>
        <v>Sectoral planning</v>
      </c>
      <c r="D65" s="77" t="str">
        <f>IF(ISBLANK($A65),"NO_CODE",VLOOKUP($A65,'UPD Questions_290926 '!$E$1:$N$300,MATCH(D$1,'UPD Questions_290926 '!$E$1:$N$1,0),0)&amp;"")</f>
        <v>Sustainability, resilience and climate action</v>
      </c>
      <c r="E65" s="77" t="str">
        <f>IF(ISBLANK($A65),"NO_CODE",VLOOKUP($A65,'UPD Questions_290926 '!$E$1:$N$300,MATCH(E$1,'UPD Questions_290926 '!$E$1:$N$1,0),0)&amp;"")</f>
        <v>SQ</v>
      </c>
      <c r="F65" s="77" t="str">
        <f>IF(ISBLANK($A65),"NO_CODE",VLOOKUP($A65,'UPD Questions_290926 '!$E$1:$N$300,MATCH(F$1,'UPD Questions_290926 '!$E$1:$N$1,0),0)&amp;"")</f>
        <v>Does the city have a notified and active Sustainability/Resilience Strategy?</v>
      </c>
      <c r="G65" s="77" t="str">
        <f>IF(ISBLANK($A65),"NO_CODE",VLOOKUP($A65,'UPD Questions_290926 '!$E$1:$N$300,MATCH(G$1,'UPD Questions_290926 '!$E$1:$N$1,0),0)&amp;"")</f>
        <v>Implementation</v>
      </c>
      <c r="H65" s="79">
        <f>IF(ISBLANK($A65),"NO_CODE",VLOOKUP($A65,'UPD Questions_290926 '!$E$1:$N$300,MATCH(H$1,'UPD Questions_290926 '!$E$1:$N$1,0),0))</f>
        <v>3.33</v>
      </c>
      <c r="I65" s="80" t="str">
        <f t="shared" ref="I65:R67" ca="1" si="53">IF($H65=0,"NA",IF($A65=INDIRECT("'"&amp;$A65&amp;"'!$B$1"),IF(VLOOKUP(I$1,INDIRECT("'"&amp;$A65&amp;"'!$A$12:$Z$41"),MATCH("Points (Auto-generate)",INDIRECT("'"&amp;$A65&amp;"'!$A$12:$Z$12"),0),0)="","?",VLOOKUP(I$1,INDIRECT("'"&amp;$A65&amp;"'!$A$12:$Z$41"),MATCH("Points (Auto-generate)",INDIRECT("'"&amp;$A65&amp;"'!$A$12:$Z$12"),0),0)),"ER"))</f>
        <v>?</v>
      </c>
      <c r="J65" s="80">
        <f t="shared" ca="1" si="53"/>
        <v>3.33</v>
      </c>
      <c r="K65" s="80" t="str">
        <f t="shared" ca="1" si="53"/>
        <v>?</v>
      </c>
      <c r="L65" s="80" t="str">
        <f t="shared" ca="1" si="53"/>
        <v>?</v>
      </c>
      <c r="M65" s="80" t="str">
        <f t="shared" ca="1" si="53"/>
        <v>?</v>
      </c>
      <c r="N65" s="80" t="str">
        <f t="shared" ca="1" si="53"/>
        <v>?</v>
      </c>
      <c r="O65" s="80" t="str">
        <f t="shared" ca="1" si="53"/>
        <v>?</v>
      </c>
      <c r="P65" s="80" t="str">
        <f t="shared" ca="1" si="53"/>
        <v>?</v>
      </c>
      <c r="Q65" s="80" t="str">
        <f t="shared" ca="1" si="53"/>
        <v>?</v>
      </c>
      <c r="R65" s="80" t="str">
        <f t="shared" ca="1" si="53"/>
        <v>?</v>
      </c>
      <c r="S65" s="80" t="str">
        <f t="shared" ref="S65:AB67" ca="1" si="54">IF($H65=0,"NA",IF($A65=INDIRECT("'"&amp;$A65&amp;"'!$B$1"),IF(VLOOKUP(S$1,INDIRECT("'"&amp;$A65&amp;"'!$A$12:$Z$41"),MATCH("Points (Auto-generate)",INDIRECT("'"&amp;$A65&amp;"'!$A$12:$Z$12"),0),0)="","?",VLOOKUP(S$1,INDIRECT("'"&amp;$A65&amp;"'!$A$12:$Z$41"),MATCH("Points (Auto-generate)",INDIRECT("'"&amp;$A65&amp;"'!$A$12:$Z$12"),0),0)),"ER"))</f>
        <v>?</v>
      </c>
      <c r="T65" s="80" t="str">
        <f t="shared" ca="1" si="54"/>
        <v>?</v>
      </c>
      <c r="U65" s="80" t="str">
        <f t="shared" ca="1" si="54"/>
        <v>?</v>
      </c>
      <c r="V65" s="80" t="str">
        <f t="shared" ca="1" si="54"/>
        <v>?</v>
      </c>
      <c r="W65" s="80" t="str">
        <f t="shared" ca="1" si="54"/>
        <v>?</v>
      </c>
      <c r="X65" s="80" t="str">
        <f t="shared" ca="1" si="54"/>
        <v>?</v>
      </c>
      <c r="Y65" s="80" t="str">
        <f t="shared" ca="1" si="54"/>
        <v>?</v>
      </c>
      <c r="Z65" s="80" t="str">
        <f t="shared" ca="1" si="54"/>
        <v>?</v>
      </c>
      <c r="AA65" s="80" t="str">
        <f t="shared" ca="1" si="54"/>
        <v>?</v>
      </c>
      <c r="AB65" s="80" t="str">
        <f t="shared" ca="1" si="54"/>
        <v>?</v>
      </c>
      <c r="AC65" s="80" t="str">
        <f t="shared" ref="AC65:AK67" ca="1" si="55">IF($H65=0,"NA",IF($A65=INDIRECT("'"&amp;$A65&amp;"'!$B$1"),IF(VLOOKUP(AC$1,INDIRECT("'"&amp;$A65&amp;"'!$A$12:$Z$41"),MATCH("Points (Auto-generate)",INDIRECT("'"&amp;$A65&amp;"'!$A$12:$Z$12"),0),0)="","?",VLOOKUP(AC$1,INDIRECT("'"&amp;$A65&amp;"'!$A$12:$Z$41"),MATCH("Points (Auto-generate)",INDIRECT("'"&amp;$A65&amp;"'!$A$12:$Z$12"),0),0)),"ER"))</f>
        <v>?</v>
      </c>
      <c r="AD65" s="80" t="str">
        <f t="shared" ca="1" si="55"/>
        <v>?</v>
      </c>
      <c r="AE65" s="80" t="str">
        <f t="shared" ca="1" si="55"/>
        <v>?</v>
      </c>
      <c r="AF65" s="80" t="str">
        <f t="shared" ca="1" si="55"/>
        <v>?</v>
      </c>
      <c r="AG65" s="80" t="str">
        <f t="shared" ca="1" si="55"/>
        <v>?</v>
      </c>
      <c r="AH65" s="80" t="str">
        <f t="shared" ca="1" si="55"/>
        <v>?</v>
      </c>
      <c r="AI65" s="80" t="str">
        <f t="shared" ca="1" si="55"/>
        <v>?</v>
      </c>
      <c r="AJ65" s="80" t="str">
        <f t="shared" ca="1" si="55"/>
        <v>?</v>
      </c>
      <c r="AK65" s="80" t="str">
        <f t="shared" ca="1" si="55"/>
        <v>?</v>
      </c>
    </row>
    <row r="66" spans="1:37">
      <c r="A66" s="76" t="s">
        <v>304</v>
      </c>
      <c r="B66" s="77" t="str">
        <f>IF(ISBLANK($A66),"NO_CODE",VLOOKUP($A66,'UPD Questions_290926 '!$E$1:$N$300,MATCH(B$1,'UPD Questions_290926 '!$E$1:$N$1,0),0)&amp;"")</f>
        <v>Implementation</v>
      </c>
      <c r="C66" s="77" t="str">
        <f>IF(ISBLANK($A66),"NO_CODE",VLOOKUP($A66,'UPD Questions_290926 '!$E$1:$N$300,MATCH(C$1,'UPD Questions_290926 '!$E$1:$N$1,0),0)&amp;"")</f>
        <v>Sectoral planning</v>
      </c>
      <c r="D66" s="77" t="str">
        <f>IF(ISBLANK($A66),"NO_CODE",VLOOKUP($A66,'UPD Questions_290926 '!$E$1:$N$300,MATCH(D$1,'UPD Questions_290926 '!$E$1:$N$1,0),0)&amp;"")</f>
        <v>Sustainability, resilience and climate action</v>
      </c>
      <c r="E66" s="77" t="str">
        <f>IF(ISBLANK($A66),"NO_CODE",VLOOKUP($A66,'UPD Questions_290926 '!$E$1:$N$300,MATCH(E$1,'UPD Questions_290926 '!$E$1:$N$1,0),0)&amp;"")</f>
        <v>SQ</v>
      </c>
      <c r="F66" s="77" t="str">
        <f>IF(ISBLANK($A66),"NO_CODE",VLOOKUP($A66,'UPD Questions_290926 '!$E$1:$N$300,MATCH(F$1,'UPD Questions_290926 '!$E$1:$N$1,0),0)&amp;"")</f>
        <v>Does the plan have development priorities and measurable objectives?</v>
      </c>
      <c r="G66" s="77" t="str">
        <f>IF(ISBLANK($A66),"NO_CODE",VLOOKUP($A66,'UPD Questions_290926 '!$E$1:$N$300,MATCH(G$1,'UPD Questions_290926 '!$E$1:$N$1,0),0)&amp;"")</f>
        <v>Implementation</v>
      </c>
      <c r="H66" s="79">
        <f>IF(ISBLANK($A66),"NO_CODE",VLOOKUP($A66,'UPD Questions_290926 '!$E$1:$N$300,MATCH(H$1,'UPD Questions_290926 '!$E$1:$N$1,0),0))</f>
        <v>3.33</v>
      </c>
      <c r="I66" s="80" t="str">
        <f t="shared" ca="1" si="53"/>
        <v>?</v>
      </c>
      <c r="J66" s="80">
        <f t="shared" ca="1" si="53"/>
        <v>3.33</v>
      </c>
      <c r="K66" s="80" t="str">
        <f t="shared" ca="1" si="53"/>
        <v>?</v>
      </c>
      <c r="L66" s="80" t="str">
        <f t="shared" ca="1" si="53"/>
        <v>?</v>
      </c>
      <c r="M66" s="80" t="str">
        <f t="shared" ca="1" si="53"/>
        <v>?</v>
      </c>
      <c r="N66" s="80" t="str">
        <f t="shared" ca="1" si="53"/>
        <v>?</v>
      </c>
      <c r="O66" s="80" t="str">
        <f t="shared" ca="1" si="53"/>
        <v>?</v>
      </c>
      <c r="P66" s="80" t="str">
        <f t="shared" ca="1" si="53"/>
        <v>?</v>
      </c>
      <c r="Q66" s="80" t="str">
        <f t="shared" ca="1" si="53"/>
        <v>?</v>
      </c>
      <c r="R66" s="80" t="str">
        <f t="shared" ca="1" si="53"/>
        <v>?</v>
      </c>
      <c r="S66" s="80" t="str">
        <f t="shared" ca="1" si="54"/>
        <v>?</v>
      </c>
      <c r="T66" s="80" t="str">
        <f t="shared" ca="1" si="54"/>
        <v>?</v>
      </c>
      <c r="U66" s="80" t="str">
        <f t="shared" ca="1" si="54"/>
        <v>?</v>
      </c>
      <c r="V66" s="80" t="str">
        <f t="shared" ca="1" si="54"/>
        <v>?</v>
      </c>
      <c r="W66" s="80" t="str">
        <f t="shared" ca="1" si="54"/>
        <v>?</v>
      </c>
      <c r="X66" s="80" t="str">
        <f t="shared" ca="1" si="54"/>
        <v>?</v>
      </c>
      <c r="Y66" s="80" t="str">
        <f t="shared" ca="1" si="54"/>
        <v>?</v>
      </c>
      <c r="Z66" s="80" t="str">
        <f t="shared" ca="1" si="54"/>
        <v>?</v>
      </c>
      <c r="AA66" s="80" t="str">
        <f t="shared" ca="1" si="54"/>
        <v>?</v>
      </c>
      <c r="AB66" s="80" t="str">
        <f t="shared" ca="1" si="54"/>
        <v>?</v>
      </c>
      <c r="AC66" s="80" t="str">
        <f t="shared" ca="1" si="55"/>
        <v>?</v>
      </c>
      <c r="AD66" s="80" t="str">
        <f t="shared" ca="1" si="55"/>
        <v>?</v>
      </c>
      <c r="AE66" s="80" t="str">
        <f t="shared" ca="1" si="55"/>
        <v>?</v>
      </c>
      <c r="AF66" s="80" t="str">
        <f t="shared" ca="1" si="55"/>
        <v>?</v>
      </c>
      <c r="AG66" s="80" t="str">
        <f t="shared" ca="1" si="55"/>
        <v>?</v>
      </c>
      <c r="AH66" s="80" t="str">
        <f t="shared" ca="1" si="55"/>
        <v>?</v>
      </c>
      <c r="AI66" s="80" t="str">
        <f t="shared" ca="1" si="55"/>
        <v>?</v>
      </c>
      <c r="AJ66" s="80" t="str">
        <f t="shared" ca="1" si="55"/>
        <v>?</v>
      </c>
      <c r="AK66" s="80" t="str">
        <f t="shared" ca="1" si="55"/>
        <v>?</v>
      </c>
    </row>
    <row r="67" spans="1:37">
      <c r="A67" s="76" t="s">
        <v>308</v>
      </c>
      <c r="B67" s="77" t="str">
        <f>IF(ISBLANK($A67),"NO_CODE",VLOOKUP($A67,'UPD Questions_290926 '!$E$1:$N$300,MATCH(B$1,'UPD Questions_290926 '!$E$1:$N$1,0),0)&amp;"")</f>
        <v>Implementation</v>
      </c>
      <c r="C67" s="77" t="str">
        <f>IF(ISBLANK($A67),"NO_CODE",VLOOKUP($A67,'UPD Questions_290926 '!$E$1:$N$300,MATCH(C$1,'UPD Questions_290926 '!$E$1:$N$1,0),0)&amp;"")</f>
        <v>Sectoral planning</v>
      </c>
      <c r="D67" s="77" t="str">
        <f>IF(ISBLANK($A67),"NO_CODE",VLOOKUP($A67,'UPD Questions_290926 '!$E$1:$N$300,MATCH(D$1,'UPD Questions_290926 '!$E$1:$N$1,0),0)&amp;"")</f>
        <v>Sustainability, resilience and climate action</v>
      </c>
      <c r="E67" s="77" t="str">
        <f>IF(ISBLANK($A67),"NO_CODE",VLOOKUP($A67,'UPD Questions_290926 '!$E$1:$N$300,MATCH(E$1,'UPD Questions_290926 '!$E$1:$N$1,0),0)&amp;"")</f>
        <v>SQ</v>
      </c>
      <c r="F67" s="77" t="str">
        <f>IF(ISBLANK($A67),"NO_CODE",VLOOKUP($A67,'UPD Questions_290926 '!$E$1:$N$300,MATCH(F$1,'UPD Questions_290926 '!$E$1:$N$1,0),0)&amp;"")</f>
        <v>Does the plan clearly articulate the role of the ULG?</v>
      </c>
      <c r="G67" s="77" t="str">
        <f>IF(ISBLANK($A67),"NO_CODE",VLOOKUP($A67,'UPD Questions_290926 '!$E$1:$N$300,MATCH(G$1,'UPD Questions_290926 '!$E$1:$N$1,0),0)&amp;"")</f>
        <v>Implementation</v>
      </c>
      <c r="H67" s="79">
        <f>IF(ISBLANK($A67),"NO_CODE",VLOOKUP($A67,'UPD Questions_290926 '!$E$1:$N$300,MATCH(H$1,'UPD Questions_290926 '!$E$1:$N$1,0),0))</f>
        <v>3.33</v>
      </c>
      <c r="I67" s="80" t="str">
        <f t="shared" ca="1" si="53"/>
        <v>?</v>
      </c>
      <c r="J67" s="80">
        <f t="shared" ca="1" si="53"/>
        <v>3.33</v>
      </c>
      <c r="K67" s="80" t="str">
        <f t="shared" ca="1" si="53"/>
        <v>?</v>
      </c>
      <c r="L67" s="80" t="str">
        <f t="shared" ca="1" si="53"/>
        <v>?</v>
      </c>
      <c r="M67" s="80" t="str">
        <f t="shared" ca="1" si="53"/>
        <v>?</v>
      </c>
      <c r="N67" s="80" t="str">
        <f t="shared" ca="1" si="53"/>
        <v>?</v>
      </c>
      <c r="O67" s="80" t="str">
        <f t="shared" ca="1" si="53"/>
        <v>?</v>
      </c>
      <c r="P67" s="80" t="str">
        <f t="shared" ca="1" si="53"/>
        <v>?</v>
      </c>
      <c r="Q67" s="80" t="str">
        <f t="shared" ca="1" si="53"/>
        <v>?</v>
      </c>
      <c r="R67" s="80" t="str">
        <f t="shared" ca="1" si="53"/>
        <v>?</v>
      </c>
      <c r="S67" s="80" t="str">
        <f t="shared" ca="1" si="54"/>
        <v>?</v>
      </c>
      <c r="T67" s="80" t="str">
        <f t="shared" ca="1" si="54"/>
        <v>?</v>
      </c>
      <c r="U67" s="80" t="str">
        <f t="shared" ca="1" si="54"/>
        <v>?</v>
      </c>
      <c r="V67" s="80" t="str">
        <f t="shared" ca="1" si="54"/>
        <v>?</v>
      </c>
      <c r="W67" s="80" t="str">
        <f t="shared" ca="1" si="54"/>
        <v>?</v>
      </c>
      <c r="X67" s="80" t="str">
        <f t="shared" ca="1" si="54"/>
        <v>?</v>
      </c>
      <c r="Y67" s="80" t="str">
        <f t="shared" ca="1" si="54"/>
        <v>?</v>
      </c>
      <c r="Z67" s="80" t="str">
        <f t="shared" ca="1" si="54"/>
        <v>?</v>
      </c>
      <c r="AA67" s="80" t="str">
        <f t="shared" ca="1" si="54"/>
        <v>?</v>
      </c>
      <c r="AB67" s="80" t="str">
        <f t="shared" ca="1" si="54"/>
        <v>?</v>
      </c>
      <c r="AC67" s="80" t="str">
        <f t="shared" ca="1" si="55"/>
        <v>?</v>
      </c>
      <c r="AD67" s="80" t="str">
        <f t="shared" ca="1" si="55"/>
        <v>?</v>
      </c>
      <c r="AE67" s="80" t="str">
        <f t="shared" ca="1" si="55"/>
        <v>?</v>
      </c>
      <c r="AF67" s="80" t="str">
        <f t="shared" ca="1" si="55"/>
        <v>?</v>
      </c>
      <c r="AG67" s="80" t="str">
        <f t="shared" ca="1" si="55"/>
        <v>?</v>
      </c>
      <c r="AH67" s="80" t="str">
        <f t="shared" ca="1" si="55"/>
        <v>?</v>
      </c>
      <c r="AI67" s="80" t="str">
        <f t="shared" ca="1" si="55"/>
        <v>?</v>
      </c>
      <c r="AJ67" s="80" t="str">
        <f t="shared" ca="1" si="55"/>
        <v>?</v>
      </c>
      <c r="AK67" s="80" t="str">
        <f t="shared" ca="1" si="55"/>
        <v>?</v>
      </c>
    </row>
    <row r="68" spans="1:37">
      <c r="A68" s="76" t="s">
        <v>311</v>
      </c>
      <c r="B68" s="77" t="str">
        <f>IF(ISBLANK($A68),"NO_CODE",VLOOKUP($A68,'UPD Questions_290926 '!$E$1:$N$300,MATCH(B$1,'UPD Questions_290926 '!$E$1:$N$1,0),0)&amp;"")</f>
        <v>Implementation</v>
      </c>
      <c r="C68" s="77" t="str">
        <f>IF(ISBLANK($A68),"NO_CODE",VLOOKUP($A68,'UPD Questions_290926 '!$E$1:$N$300,MATCH(C$1,'UPD Questions_290926 '!$E$1:$N$1,0),0)&amp;"")</f>
        <v>Sectoral planning</v>
      </c>
      <c r="D68" s="77" t="str">
        <f>IF(ISBLANK($A68),"NO_CODE",VLOOKUP($A68,'UPD Questions_290926 '!$E$1:$N$300,MATCH(D$1,'UPD Questions_290926 '!$E$1:$N$1,0),0)&amp;"")</f>
        <v>Comprehensive mobility planning</v>
      </c>
      <c r="E68" s="77" t="str">
        <f>IF(ISBLANK($A68),"NO_CODE",VLOOKUP($A68,'UPD Questions_290926 '!$E$1:$N$300,MATCH(E$1,'UPD Questions_290926 '!$E$1:$N$1,0),0)&amp;"")</f>
        <v>MQ</v>
      </c>
      <c r="F68" s="77" t="str">
        <f>IF(ISBLANK($A68),"NO_CODE",VLOOKUP($A68,'UPD Questions_290926 '!$E$1:$N$300,MATCH(F$1,'UPD Questions_290926 '!$E$1:$N$1,0),0)&amp;"")</f>
        <v>Does your city have a Comprehensive Mobility Plan that clearly articulates development priorities, measurable objectives, and the roles and responsibilities of the ULG?</v>
      </c>
      <c r="G68" s="77" t="str">
        <f>IF(ISBLANK($A68),"NO_CODE",VLOOKUP($A68,'UPD Questions_290926 '!$E$1:$N$300,MATCH(G$1,'UPD Questions_290926 '!$E$1:$N$1,0),0)&amp;"")</f>
        <v>Implementation</v>
      </c>
      <c r="H68" s="79">
        <f>IF(ISBLANK($A68),"NO_CODE",VLOOKUP($A68,'UPD Questions_290926 '!$E$1:$N$300,MATCH(H$1,'UPD Questions_290926 '!$E$1:$N$1,0),0))</f>
        <v>10</v>
      </c>
      <c r="I68" s="80" t="str">
        <f t="shared" ref="I68:AK68" ca="1" si="56">IF(OR(I69="ER",I70="ER",I71="ER"),"ER",IF(OR(I69="?",I70="?",I71="?"),"?",IF(AND(I69="NA",I70="NA",I71="NA"),"NA",SUM(I69,I70,I71)/((I69&lt;&gt;"NA")*$H$69+(I70&lt;&gt;"NA")*$H$70+(I71&lt;&gt;"NA")*$H$71)*$H68)))</f>
        <v>?</v>
      </c>
      <c r="J68" s="80">
        <f t="shared" ca="1" si="56"/>
        <v>10</v>
      </c>
      <c r="K68" s="80" t="str">
        <f t="shared" ca="1" si="56"/>
        <v>?</v>
      </c>
      <c r="L68" s="80" t="str">
        <f t="shared" ca="1" si="56"/>
        <v>?</v>
      </c>
      <c r="M68" s="80" t="str">
        <f t="shared" ca="1" si="56"/>
        <v>?</v>
      </c>
      <c r="N68" s="80" t="str">
        <f t="shared" ca="1" si="56"/>
        <v>?</v>
      </c>
      <c r="O68" s="80" t="str">
        <f t="shared" ca="1" si="56"/>
        <v>?</v>
      </c>
      <c r="P68" s="80" t="str">
        <f t="shared" ca="1" si="56"/>
        <v>?</v>
      </c>
      <c r="Q68" s="80" t="str">
        <f t="shared" ca="1" si="56"/>
        <v>?</v>
      </c>
      <c r="R68" s="80" t="str">
        <f t="shared" ca="1" si="56"/>
        <v>?</v>
      </c>
      <c r="S68" s="80" t="str">
        <f t="shared" ca="1" si="56"/>
        <v>?</v>
      </c>
      <c r="T68" s="80" t="str">
        <f t="shared" ca="1" si="56"/>
        <v>?</v>
      </c>
      <c r="U68" s="80" t="str">
        <f t="shared" ca="1" si="56"/>
        <v>?</v>
      </c>
      <c r="V68" s="80" t="str">
        <f t="shared" ca="1" si="56"/>
        <v>?</v>
      </c>
      <c r="W68" s="80" t="str">
        <f t="shared" ca="1" si="56"/>
        <v>?</v>
      </c>
      <c r="X68" s="80" t="str">
        <f t="shared" ca="1" si="56"/>
        <v>?</v>
      </c>
      <c r="Y68" s="80" t="str">
        <f t="shared" ca="1" si="56"/>
        <v>?</v>
      </c>
      <c r="Z68" s="80" t="str">
        <f t="shared" ca="1" si="56"/>
        <v>?</v>
      </c>
      <c r="AA68" s="80" t="str">
        <f t="shared" ca="1" si="56"/>
        <v>?</v>
      </c>
      <c r="AB68" s="80" t="str">
        <f t="shared" ca="1" si="56"/>
        <v>?</v>
      </c>
      <c r="AC68" s="80" t="str">
        <f t="shared" ca="1" si="56"/>
        <v>?</v>
      </c>
      <c r="AD68" s="80" t="str">
        <f t="shared" ca="1" si="56"/>
        <v>?</v>
      </c>
      <c r="AE68" s="80" t="str">
        <f t="shared" ca="1" si="56"/>
        <v>?</v>
      </c>
      <c r="AF68" s="80" t="str">
        <f t="shared" ca="1" si="56"/>
        <v>?</v>
      </c>
      <c r="AG68" s="80" t="str">
        <f t="shared" ca="1" si="56"/>
        <v>?</v>
      </c>
      <c r="AH68" s="80" t="str">
        <f t="shared" ca="1" si="56"/>
        <v>?</v>
      </c>
      <c r="AI68" s="80" t="str">
        <f t="shared" ca="1" si="56"/>
        <v>?</v>
      </c>
      <c r="AJ68" s="80" t="str">
        <f t="shared" ca="1" si="56"/>
        <v>?</v>
      </c>
      <c r="AK68" s="80" t="str">
        <f t="shared" ca="1" si="56"/>
        <v>?</v>
      </c>
    </row>
    <row r="69" spans="1:37">
      <c r="A69" s="76" t="s">
        <v>315</v>
      </c>
      <c r="B69" s="77" t="str">
        <f>IF(ISBLANK($A69),"NO_CODE",VLOOKUP($A69,'UPD Questions_290926 '!$E$1:$N$300,MATCH(B$1,'UPD Questions_290926 '!$E$1:$N$1,0),0)&amp;"")</f>
        <v>Implementation</v>
      </c>
      <c r="C69" s="77" t="str">
        <f>IF(ISBLANK($A69),"NO_CODE",VLOOKUP($A69,'UPD Questions_290926 '!$E$1:$N$300,MATCH(C$1,'UPD Questions_290926 '!$E$1:$N$1,0),0)&amp;"")</f>
        <v>Sectoral planning</v>
      </c>
      <c r="D69" s="77" t="str">
        <f>IF(ISBLANK($A69),"NO_CODE",VLOOKUP($A69,'UPD Questions_290926 '!$E$1:$N$300,MATCH(D$1,'UPD Questions_290926 '!$E$1:$N$1,0),0)&amp;"")</f>
        <v>Comprehensive mobility planning</v>
      </c>
      <c r="E69" s="77" t="str">
        <f>IF(ISBLANK($A69),"NO_CODE",VLOOKUP($A69,'UPD Questions_290926 '!$E$1:$N$300,MATCH(E$1,'UPD Questions_290926 '!$E$1:$N$1,0),0)&amp;"")</f>
        <v>SQ</v>
      </c>
      <c r="F69" s="77" t="str">
        <f>IF(ISBLANK($A69),"NO_CODE",VLOOKUP($A69,'UPD Questions_290926 '!$E$1:$N$300,MATCH(F$1,'UPD Questions_290926 '!$E$1:$N$1,0),0)&amp;"")</f>
        <v>Does the city have a notified and active Comprehensive Mobility Plan?</v>
      </c>
      <c r="G69" s="77" t="str">
        <f>IF(ISBLANK($A69),"NO_CODE",VLOOKUP($A69,'UPD Questions_290926 '!$E$1:$N$300,MATCH(G$1,'UPD Questions_290926 '!$E$1:$N$1,0),0)&amp;"")</f>
        <v>Implementation</v>
      </c>
      <c r="H69" s="79">
        <f>IF(ISBLANK($A69),"NO_CODE",VLOOKUP($A69,'UPD Questions_290926 '!$E$1:$N$300,MATCH(H$1,'UPD Questions_290926 '!$E$1:$N$1,0),0))</f>
        <v>3.33</v>
      </c>
      <c r="I69" s="80" t="str">
        <f t="shared" ref="I69:R71" ca="1" si="57">IF($H69=0,"NA",IF($A69=INDIRECT("'"&amp;$A69&amp;"'!$B$1"),IF(VLOOKUP(I$1,INDIRECT("'"&amp;$A69&amp;"'!$A$12:$Z$41"),MATCH("Points (Auto-generate)",INDIRECT("'"&amp;$A69&amp;"'!$A$12:$Z$12"),0),0)="","?",VLOOKUP(I$1,INDIRECT("'"&amp;$A69&amp;"'!$A$12:$Z$41"),MATCH("Points (Auto-generate)",INDIRECT("'"&amp;$A69&amp;"'!$A$12:$Z$12"),0),0)),"ER"))</f>
        <v>?</v>
      </c>
      <c r="J69" s="80">
        <f t="shared" ca="1" si="57"/>
        <v>3.33</v>
      </c>
      <c r="K69" s="80" t="str">
        <f t="shared" ca="1" si="57"/>
        <v>?</v>
      </c>
      <c r="L69" s="80" t="str">
        <f t="shared" ca="1" si="57"/>
        <v>?</v>
      </c>
      <c r="M69" s="80" t="str">
        <f t="shared" ca="1" si="57"/>
        <v>?</v>
      </c>
      <c r="N69" s="80" t="str">
        <f t="shared" ca="1" si="57"/>
        <v>?</v>
      </c>
      <c r="O69" s="80" t="str">
        <f t="shared" ca="1" si="57"/>
        <v>?</v>
      </c>
      <c r="P69" s="80" t="str">
        <f t="shared" ca="1" si="57"/>
        <v>?</v>
      </c>
      <c r="Q69" s="80" t="str">
        <f t="shared" ca="1" si="57"/>
        <v>?</v>
      </c>
      <c r="R69" s="80" t="str">
        <f t="shared" ca="1" si="57"/>
        <v>?</v>
      </c>
      <c r="S69" s="80" t="str">
        <f t="shared" ref="S69:AB71" ca="1" si="58">IF($H69=0,"NA",IF($A69=INDIRECT("'"&amp;$A69&amp;"'!$B$1"),IF(VLOOKUP(S$1,INDIRECT("'"&amp;$A69&amp;"'!$A$12:$Z$41"),MATCH("Points (Auto-generate)",INDIRECT("'"&amp;$A69&amp;"'!$A$12:$Z$12"),0),0)="","?",VLOOKUP(S$1,INDIRECT("'"&amp;$A69&amp;"'!$A$12:$Z$41"),MATCH("Points (Auto-generate)",INDIRECT("'"&amp;$A69&amp;"'!$A$12:$Z$12"),0),0)),"ER"))</f>
        <v>?</v>
      </c>
      <c r="T69" s="80" t="str">
        <f t="shared" ca="1" si="58"/>
        <v>?</v>
      </c>
      <c r="U69" s="80" t="str">
        <f t="shared" ca="1" si="58"/>
        <v>?</v>
      </c>
      <c r="V69" s="80" t="str">
        <f t="shared" ca="1" si="58"/>
        <v>?</v>
      </c>
      <c r="W69" s="80" t="str">
        <f t="shared" ca="1" si="58"/>
        <v>?</v>
      </c>
      <c r="X69" s="80" t="str">
        <f t="shared" ca="1" si="58"/>
        <v>?</v>
      </c>
      <c r="Y69" s="80" t="str">
        <f t="shared" ca="1" si="58"/>
        <v>?</v>
      </c>
      <c r="Z69" s="80" t="str">
        <f t="shared" ca="1" si="58"/>
        <v>?</v>
      </c>
      <c r="AA69" s="80" t="str">
        <f t="shared" ca="1" si="58"/>
        <v>?</v>
      </c>
      <c r="AB69" s="80" t="str">
        <f t="shared" ca="1" si="58"/>
        <v>?</v>
      </c>
      <c r="AC69" s="80" t="str">
        <f t="shared" ref="AC69:AK71" ca="1" si="59">IF($H69=0,"NA",IF($A69=INDIRECT("'"&amp;$A69&amp;"'!$B$1"),IF(VLOOKUP(AC$1,INDIRECT("'"&amp;$A69&amp;"'!$A$12:$Z$41"),MATCH("Points (Auto-generate)",INDIRECT("'"&amp;$A69&amp;"'!$A$12:$Z$12"),0),0)="","?",VLOOKUP(AC$1,INDIRECT("'"&amp;$A69&amp;"'!$A$12:$Z$41"),MATCH("Points (Auto-generate)",INDIRECT("'"&amp;$A69&amp;"'!$A$12:$Z$12"),0),0)),"ER"))</f>
        <v>?</v>
      </c>
      <c r="AD69" s="80" t="str">
        <f t="shared" ca="1" si="59"/>
        <v>?</v>
      </c>
      <c r="AE69" s="80" t="str">
        <f t="shared" ca="1" si="59"/>
        <v>?</v>
      </c>
      <c r="AF69" s="80" t="str">
        <f t="shared" ca="1" si="59"/>
        <v>?</v>
      </c>
      <c r="AG69" s="80" t="str">
        <f t="shared" ca="1" si="59"/>
        <v>?</v>
      </c>
      <c r="AH69" s="80" t="str">
        <f t="shared" ca="1" si="59"/>
        <v>?</v>
      </c>
      <c r="AI69" s="80" t="str">
        <f t="shared" ca="1" si="59"/>
        <v>?</v>
      </c>
      <c r="AJ69" s="80" t="str">
        <f t="shared" ca="1" si="59"/>
        <v>?</v>
      </c>
      <c r="AK69" s="80" t="str">
        <f t="shared" ca="1" si="59"/>
        <v>?</v>
      </c>
    </row>
    <row r="70" spans="1:37">
      <c r="A70" s="76" t="s">
        <v>319</v>
      </c>
      <c r="B70" s="77" t="str">
        <f>IF(ISBLANK($A70),"NO_CODE",VLOOKUP($A70,'UPD Questions_290926 '!$E$1:$N$300,MATCH(B$1,'UPD Questions_290926 '!$E$1:$N$1,0),0)&amp;"")</f>
        <v>Implementation</v>
      </c>
      <c r="C70" s="77" t="str">
        <f>IF(ISBLANK($A70),"NO_CODE",VLOOKUP($A70,'UPD Questions_290926 '!$E$1:$N$300,MATCH(C$1,'UPD Questions_290926 '!$E$1:$N$1,0),0)&amp;"")</f>
        <v>Sectoral planning</v>
      </c>
      <c r="D70" s="77" t="str">
        <f>IF(ISBLANK($A70),"NO_CODE",VLOOKUP($A70,'UPD Questions_290926 '!$E$1:$N$300,MATCH(D$1,'UPD Questions_290926 '!$E$1:$N$1,0),0)&amp;"")</f>
        <v>Comprehensive mobility planning</v>
      </c>
      <c r="E70" s="77" t="str">
        <f>IF(ISBLANK($A70),"NO_CODE",VLOOKUP($A70,'UPD Questions_290926 '!$E$1:$N$300,MATCH(E$1,'UPD Questions_290926 '!$E$1:$N$1,0),0)&amp;"")</f>
        <v>SQ</v>
      </c>
      <c r="F70" s="77" t="str">
        <f>IF(ISBLANK($A70),"NO_CODE",VLOOKUP($A70,'UPD Questions_290926 '!$E$1:$N$300,MATCH(F$1,'UPD Questions_290926 '!$E$1:$N$1,0),0)&amp;"")</f>
        <v>Does the plan have development priorities and measurable objectives?</v>
      </c>
      <c r="G70" s="77" t="str">
        <f>IF(ISBLANK($A70),"NO_CODE",VLOOKUP($A70,'UPD Questions_290926 '!$E$1:$N$300,MATCH(G$1,'UPD Questions_290926 '!$E$1:$N$1,0),0)&amp;"")</f>
        <v>Implementation</v>
      </c>
      <c r="H70" s="79">
        <f>IF(ISBLANK($A70),"NO_CODE",VLOOKUP($A70,'UPD Questions_290926 '!$E$1:$N$300,MATCH(H$1,'UPD Questions_290926 '!$E$1:$N$1,0),0))</f>
        <v>3.33</v>
      </c>
      <c r="I70" s="80" t="str">
        <f t="shared" ca="1" si="57"/>
        <v>?</v>
      </c>
      <c r="J70" s="80">
        <f t="shared" ca="1" si="57"/>
        <v>3.33</v>
      </c>
      <c r="K70" s="80" t="str">
        <f t="shared" ca="1" si="57"/>
        <v>?</v>
      </c>
      <c r="L70" s="80" t="str">
        <f t="shared" ca="1" si="57"/>
        <v>?</v>
      </c>
      <c r="M70" s="80" t="str">
        <f t="shared" ca="1" si="57"/>
        <v>?</v>
      </c>
      <c r="N70" s="80" t="str">
        <f t="shared" ca="1" si="57"/>
        <v>?</v>
      </c>
      <c r="O70" s="80" t="str">
        <f t="shared" ca="1" si="57"/>
        <v>?</v>
      </c>
      <c r="P70" s="80" t="str">
        <f t="shared" ca="1" si="57"/>
        <v>?</v>
      </c>
      <c r="Q70" s="80" t="str">
        <f t="shared" ca="1" si="57"/>
        <v>?</v>
      </c>
      <c r="R70" s="80" t="str">
        <f t="shared" ca="1" si="57"/>
        <v>?</v>
      </c>
      <c r="S70" s="80" t="str">
        <f t="shared" ca="1" si="58"/>
        <v>?</v>
      </c>
      <c r="T70" s="80" t="str">
        <f t="shared" ca="1" si="58"/>
        <v>?</v>
      </c>
      <c r="U70" s="80" t="str">
        <f t="shared" ca="1" si="58"/>
        <v>?</v>
      </c>
      <c r="V70" s="80" t="str">
        <f t="shared" ca="1" si="58"/>
        <v>?</v>
      </c>
      <c r="W70" s="80" t="str">
        <f t="shared" ca="1" si="58"/>
        <v>?</v>
      </c>
      <c r="X70" s="80" t="str">
        <f t="shared" ca="1" si="58"/>
        <v>?</v>
      </c>
      <c r="Y70" s="80" t="str">
        <f t="shared" ca="1" si="58"/>
        <v>?</v>
      </c>
      <c r="Z70" s="80" t="str">
        <f t="shared" ca="1" si="58"/>
        <v>?</v>
      </c>
      <c r="AA70" s="80" t="str">
        <f t="shared" ca="1" si="58"/>
        <v>?</v>
      </c>
      <c r="AB70" s="80" t="str">
        <f t="shared" ca="1" si="58"/>
        <v>?</v>
      </c>
      <c r="AC70" s="80" t="str">
        <f t="shared" ca="1" si="59"/>
        <v>?</v>
      </c>
      <c r="AD70" s="80" t="str">
        <f t="shared" ca="1" si="59"/>
        <v>?</v>
      </c>
      <c r="AE70" s="80" t="str">
        <f t="shared" ca="1" si="59"/>
        <v>?</v>
      </c>
      <c r="AF70" s="80" t="str">
        <f t="shared" ca="1" si="59"/>
        <v>?</v>
      </c>
      <c r="AG70" s="80" t="str">
        <f t="shared" ca="1" si="59"/>
        <v>?</v>
      </c>
      <c r="AH70" s="80" t="str">
        <f t="shared" ca="1" si="59"/>
        <v>?</v>
      </c>
      <c r="AI70" s="80" t="str">
        <f t="shared" ca="1" si="59"/>
        <v>?</v>
      </c>
      <c r="AJ70" s="80" t="str">
        <f t="shared" ca="1" si="59"/>
        <v>?</v>
      </c>
      <c r="AK70" s="80" t="str">
        <f t="shared" ca="1" si="59"/>
        <v>?</v>
      </c>
    </row>
    <row r="71" spans="1:37">
      <c r="A71" s="76" t="s">
        <v>322</v>
      </c>
      <c r="B71" s="77" t="str">
        <f>IF(ISBLANK($A71),"NO_CODE",VLOOKUP($A71,'UPD Questions_290926 '!$E$1:$N$300,MATCH(B$1,'UPD Questions_290926 '!$E$1:$N$1,0),0)&amp;"")</f>
        <v>Implementation</v>
      </c>
      <c r="C71" s="77" t="str">
        <f>IF(ISBLANK($A71),"NO_CODE",VLOOKUP($A71,'UPD Questions_290926 '!$E$1:$N$300,MATCH(C$1,'UPD Questions_290926 '!$E$1:$N$1,0),0)&amp;"")</f>
        <v>Sectoral planning</v>
      </c>
      <c r="D71" s="77" t="str">
        <f>IF(ISBLANK($A71),"NO_CODE",VLOOKUP($A71,'UPD Questions_290926 '!$E$1:$N$300,MATCH(D$1,'UPD Questions_290926 '!$E$1:$N$1,0),0)&amp;"")</f>
        <v>Comprehensive mobility planning</v>
      </c>
      <c r="E71" s="77" t="str">
        <f>IF(ISBLANK($A71),"NO_CODE",VLOOKUP($A71,'UPD Questions_290926 '!$E$1:$N$300,MATCH(E$1,'UPD Questions_290926 '!$E$1:$N$1,0),0)&amp;"")</f>
        <v>SQ</v>
      </c>
      <c r="F71" s="77" t="str">
        <f>IF(ISBLANK($A71),"NO_CODE",VLOOKUP($A71,'UPD Questions_290926 '!$E$1:$N$300,MATCH(F$1,'UPD Questions_290926 '!$E$1:$N$1,0),0)&amp;"")</f>
        <v>Does the plan clearly articulate the role of the ULG?</v>
      </c>
      <c r="G71" s="77" t="str">
        <f>IF(ISBLANK($A71),"NO_CODE",VLOOKUP($A71,'UPD Questions_290926 '!$E$1:$N$300,MATCH(G$1,'UPD Questions_290926 '!$E$1:$N$1,0),0)&amp;"")</f>
        <v>Implementation</v>
      </c>
      <c r="H71" s="79">
        <f>IF(ISBLANK($A71),"NO_CODE",VLOOKUP($A71,'UPD Questions_290926 '!$E$1:$N$300,MATCH(H$1,'UPD Questions_290926 '!$E$1:$N$1,0),0))</f>
        <v>3.33</v>
      </c>
      <c r="I71" s="80" t="str">
        <f t="shared" ca="1" si="57"/>
        <v>?</v>
      </c>
      <c r="J71" s="80">
        <f t="shared" ca="1" si="57"/>
        <v>3.33</v>
      </c>
      <c r="K71" s="80" t="str">
        <f t="shared" ca="1" si="57"/>
        <v>?</v>
      </c>
      <c r="L71" s="80" t="str">
        <f t="shared" ca="1" si="57"/>
        <v>?</v>
      </c>
      <c r="M71" s="80" t="str">
        <f t="shared" ca="1" si="57"/>
        <v>?</v>
      </c>
      <c r="N71" s="80" t="str">
        <f t="shared" ca="1" si="57"/>
        <v>?</v>
      </c>
      <c r="O71" s="80" t="str">
        <f t="shared" ca="1" si="57"/>
        <v>?</v>
      </c>
      <c r="P71" s="80" t="str">
        <f t="shared" ca="1" si="57"/>
        <v>?</v>
      </c>
      <c r="Q71" s="80" t="str">
        <f t="shared" ca="1" si="57"/>
        <v>?</v>
      </c>
      <c r="R71" s="80" t="str">
        <f t="shared" ca="1" si="57"/>
        <v>?</v>
      </c>
      <c r="S71" s="80" t="str">
        <f t="shared" ca="1" si="58"/>
        <v>?</v>
      </c>
      <c r="T71" s="80" t="str">
        <f t="shared" ca="1" si="58"/>
        <v>?</v>
      </c>
      <c r="U71" s="80" t="str">
        <f t="shared" ca="1" si="58"/>
        <v>?</v>
      </c>
      <c r="V71" s="80" t="str">
        <f t="shared" ca="1" si="58"/>
        <v>?</v>
      </c>
      <c r="W71" s="80" t="str">
        <f t="shared" ca="1" si="58"/>
        <v>?</v>
      </c>
      <c r="X71" s="80" t="str">
        <f t="shared" ca="1" si="58"/>
        <v>?</v>
      </c>
      <c r="Y71" s="80" t="str">
        <f t="shared" ca="1" si="58"/>
        <v>?</v>
      </c>
      <c r="Z71" s="80" t="str">
        <f t="shared" ca="1" si="58"/>
        <v>?</v>
      </c>
      <c r="AA71" s="80" t="str">
        <f t="shared" ca="1" si="58"/>
        <v>?</v>
      </c>
      <c r="AB71" s="80" t="str">
        <f t="shared" ca="1" si="58"/>
        <v>?</v>
      </c>
      <c r="AC71" s="80" t="str">
        <f t="shared" ca="1" si="59"/>
        <v>?</v>
      </c>
      <c r="AD71" s="80" t="str">
        <f t="shared" ca="1" si="59"/>
        <v>?</v>
      </c>
      <c r="AE71" s="80" t="str">
        <f t="shared" ca="1" si="59"/>
        <v>?</v>
      </c>
      <c r="AF71" s="80" t="str">
        <f t="shared" ca="1" si="59"/>
        <v>?</v>
      </c>
      <c r="AG71" s="80" t="str">
        <f t="shared" ca="1" si="59"/>
        <v>?</v>
      </c>
      <c r="AH71" s="80" t="str">
        <f t="shared" ca="1" si="59"/>
        <v>?</v>
      </c>
      <c r="AI71" s="80" t="str">
        <f t="shared" ca="1" si="59"/>
        <v>?</v>
      </c>
      <c r="AJ71" s="80" t="str">
        <f t="shared" ca="1" si="59"/>
        <v>?</v>
      </c>
      <c r="AK71" s="80" t="str">
        <f t="shared" ca="1" si="59"/>
        <v>?</v>
      </c>
    </row>
    <row r="72" spans="1:37">
      <c r="A72" s="76" t="s">
        <v>325</v>
      </c>
      <c r="B72" s="77" t="str">
        <f>IF(ISBLANK($A72),"NO_CODE",VLOOKUP($A72,'UPD Questions_290926 '!$E$1:$N$300,MATCH(B$1,'UPD Questions_290926 '!$E$1:$N$1,0),0)&amp;"")</f>
        <v>Implementation</v>
      </c>
      <c r="C72" s="77" t="str">
        <f>IF(ISBLANK($A72),"NO_CODE",VLOOKUP($A72,'UPD Questions_290926 '!$E$1:$N$300,MATCH(C$1,'UPD Questions_290926 '!$E$1:$N$1,0),0)&amp;"")</f>
        <v>Sectoral planning</v>
      </c>
      <c r="D72" s="77" t="str">
        <f>IF(ISBLANK($A72),"NO_CODE",VLOOKUP($A72,'UPD Questions_290926 '!$E$1:$N$300,MATCH(D$1,'UPD Questions_290926 '!$E$1:$N$1,0),0)&amp;"")</f>
        <v>Economic development planning</v>
      </c>
      <c r="E72" s="77" t="str">
        <f>IF(ISBLANK($A72),"NO_CODE",VLOOKUP($A72,'UPD Questions_290926 '!$E$1:$N$300,MATCH(E$1,'UPD Questions_290926 '!$E$1:$N$1,0),0)&amp;"")</f>
        <v>MQ</v>
      </c>
      <c r="F72" s="77" t="str">
        <f>IF(ISBLANK($A72),"NO_CODE",VLOOKUP($A72,'UPD Questions_290926 '!$E$1:$N$300,MATCH(F$1,'UPD Questions_290926 '!$E$1:$N$1,0),0)&amp;"")</f>
        <v>Does your city have an Economic Vision Plan that clearly articulates development priorities, measurable objectives, and the roles and responsibilities of the ULG?</v>
      </c>
      <c r="G72" s="77" t="str">
        <f>IF(ISBLANK($A72),"NO_CODE",VLOOKUP($A72,'UPD Questions_290926 '!$E$1:$N$300,MATCH(G$1,'UPD Questions_290926 '!$E$1:$N$1,0),0)&amp;"")</f>
        <v>Implementation</v>
      </c>
      <c r="H72" s="79">
        <f>IF(ISBLANK($A72),"NO_CODE",VLOOKUP($A72,'UPD Questions_290926 '!$E$1:$N$300,MATCH(H$1,'UPD Questions_290926 '!$E$1:$N$1,0),0))</f>
        <v>10</v>
      </c>
      <c r="I72" s="80" t="str">
        <f t="shared" ref="I72:AK72" ca="1" si="60">IF(OR(I73="ER",I74="ER",I75="ER"),"ER",IF(OR(I73="?",I74="?",I75="?"),"?",IF(AND(I73="NA",I74="NA",I75="NA"),"NA",SUM(I73,I74,I75)/((I73&lt;&gt;"NA")*$H$73+(I74&lt;&gt;"NA")*$H$74+(I75&lt;&gt;"NA")*$H$75)*$H72)))</f>
        <v>?</v>
      </c>
      <c r="J72" s="80">
        <f t="shared" ca="1" si="60"/>
        <v>0</v>
      </c>
      <c r="K72" s="80" t="str">
        <f t="shared" ca="1" si="60"/>
        <v>?</v>
      </c>
      <c r="L72" s="80" t="str">
        <f t="shared" ca="1" si="60"/>
        <v>?</v>
      </c>
      <c r="M72" s="80" t="str">
        <f t="shared" ca="1" si="60"/>
        <v>?</v>
      </c>
      <c r="N72" s="80" t="str">
        <f t="shared" ca="1" si="60"/>
        <v>?</v>
      </c>
      <c r="O72" s="80" t="str">
        <f t="shared" ca="1" si="60"/>
        <v>?</v>
      </c>
      <c r="P72" s="80" t="str">
        <f t="shared" ca="1" si="60"/>
        <v>?</v>
      </c>
      <c r="Q72" s="80" t="str">
        <f t="shared" ca="1" si="60"/>
        <v>?</v>
      </c>
      <c r="R72" s="80" t="str">
        <f t="shared" ca="1" si="60"/>
        <v>?</v>
      </c>
      <c r="S72" s="80" t="str">
        <f t="shared" ca="1" si="60"/>
        <v>?</v>
      </c>
      <c r="T72" s="80" t="str">
        <f t="shared" ca="1" si="60"/>
        <v>?</v>
      </c>
      <c r="U72" s="80" t="str">
        <f t="shared" ca="1" si="60"/>
        <v>?</v>
      </c>
      <c r="V72" s="80" t="str">
        <f t="shared" ca="1" si="60"/>
        <v>?</v>
      </c>
      <c r="W72" s="80" t="str">
        <f t="shared" ca="1" si="60"/>
        <v>?</v>
      </c>
      <c r="X72" s="80" t="str">
        <f t="shared" ca="1" si="60"/>
        <v>?</v>
      </c>
      <c r="Y72" s="80" t="str">
        <f t="shared" ca="1" si="60"/>
        <v>?</v>
      </c>
      <c r="Z72" s="80" t="str">
        <f t="shared" ca="1" si="60"/>
        <v>?</v>
      </c>
      <c r="AA72" s="80" t="str">
        <f t="shared" ca="1" si="60"/>
        <v>?</v>
      </c>
      <c r="AB72" s="80" t="str">
        <f t="shared" ca="1" si="60"/>
        <v>?</v>
      </c>
      <c r="AC72" s="80" t="str">
        <f t="shared" ca="1" si="60"/>
        <v>?</v>
      </c>
      <c r="AD72" s="80" t="str">
        <f t="shared" ca="1" si="60"/>
        <v>?</v>
      </c>
      <c r="AE72" s="80" t="str">
        <f t="shared" ca="1" si="60"/>
        <v>?</v>
      </c>
      <c r="AF72" s="80" t="str">
        <f t="shared" ca="1" si="60"/>
        <v>?</v>
      </c>
      <c r="AG72" s="80" t="str">
        <f t="shared" ca="1" si="60"/>
        <v>?</v>
      </c>
      <c r="AH72" s="80" t="str">
        <f t="shared" ca="1" si="60"/>
        <v>?</v>
      </c>
      <c r="AI72" s="80" t="str">
        <f t="shared" ca="1" si="60"/>
        <v>?</v>
      </c>
      <c r="AJ72" s="80" t="str">
        <f t="shared" ca="1" si="60"/>
        <v>?</v>
      </c>
      <c r="AK72" s="80" t="str">
        <f t="shared" ca="1" si="60"/>
        <v>?</v>
      </c>
    </row>
    <row r="73" spans="1:37">
      <c r="A73" s="76" t="s">
        <v>329</v>
      </c>
      <c r="B73" s="77" t="str">
        <f>IF(ISBLANK($A73),"NO_CODE",VLOOKUP($A73,'UPD Questions_290926 '!$E$1:$N$300,MATCH(B$1,'UPD Questions_290926 '!$E$1:$N$1,0),0)&amp;"")</f>
        <v>Implementation</v>
      </c>
      <c r="C73" s="77" t="str">
        <f>IF(ISBLANK($A73),"NO_CODE",VLOOKUP($A73,'UPD Questions_290926 '!$E$1:$N$300,MATCH(C$1,'UPD Questions_290926 '!$E$1:$N$1,0),0)&amp;"")</f>
        <v>Sectoral planning</v>
      </c>
      <c r="D73" s="77" t="str">
        <f>IF(ISBLANK($A73),"NO_CODE",VLOOKUP($A73,'UPD Questions_290926 '!$E$1:$N$300,MATCH(D$1,'UPD Questions_290926 '!$E$1:$N$1,0),0)&amp;"")</f>
        <v>Economic development planning</v>
      </c>
      <c r="E73" s="77" t="str">
        <f>IF(ISBLANK($A73),"NO_CODE",VLOOKUP($A73,'UPD Questions_290926 '!$E$1:$N$300,MATCH(E$1,'UPD Questions_290926 '!$E$1:$N$1,0),0)&amp;"")</f>
        <v>SQ</v>
      </c>
      <c r="F73" s="77" t="str">
        <f>IF(ISBLANK($A73),"NO_CODE",VLOOKUP($A73,'UPD Questions_290926 '!$E$1:$N$300,MATCH(F$1,'UPD Questions_290926 '!$E$1:$N$1,0),0)&amp;"")</f>
        <v>Does the city have a notified and active Economic Vision Plan?</v>
      </c>
      <c r="G73" s="77" t="str">
        <f>IF(ISBLANK($A73),"NO_CODE",VLOOKUP($A73,'UPD Questions_290926 '!$E$1:$N$300,MATCH(G$1,'UPD Questions_290926 '!$E$1:$N$1,0),0)&amp;"")</f>
        <v>Implementation</v>
      </c>
      <c r="H73" s="79">
        <f>IF(ISBLANK($A73),"NO_CODE",VLOOKUP($A73,'UPD Questions_290926 '!$E$1:$N$300,MATCH(H$1,'UPD Questions_290926 '!$E$1:$N$1,0),0))</f>
        <v>3.33</v>
      </c>
      <c r="I73" s="80" t="str">
        <f t="shared" ref="I73:R75" ca="1" si="61">IF($H73=0,"NA",IF($A73=INDIRECT("'"&amp;$A73&amp;"'!$B$1"),IF(VLOOKUP(I$1,INDIRECT("'"&amp;$A73&amp;"'!$A$12:$Z$41"),MATCH("Points (Auto-generate)",INDIRECT("'"&amp;$A73&amp;"'!$A$12:$Z$12"),0),0)="","?",VLOOKUP(I$1,INDIRECT("'"&amp;$A73&amp;"'!$A$12:$Z$41"),MATCH("Points (Auto-generate)",INDIRECT("'"&amp;$A73&amp;"'!$A$12:$Z$12"),0),0)),"ER"))</f>
        <v>?</v>
      </c>
      <c r="J73" s="80">
        <f t="shared" ca="1" si="61"/>
        <v>0</v>
      </c>
      <c r="K73" s="80" t="str">
        <f t="shared" ca="1" si="61"/>
        <v>?</v>
      </c>
      <c r="L73" s="80" t="str">
        <f t="shared" ca="1" si="61"/>
        <v>?</v>
      </c>
      <c r="M73" s="80" t="str">
        <f t="shared" ca="1" si="61"/>
        <v>?</v>
      </c>
      <c r="N73" s="80" t="str">
        <f t="shared" ca="1" si="61"/>
        <v>?</v>
      </c>
      <c r="O73" s="80" t="str">
        <f t="shared" ca="1" si="61"/>
        <v>?</v>
      </c>
      <c r="P73" s="80" t="str">
        <f t="shared" ca="1" si="61"/>
        <v>?</v>
      </c>
      <c r="Q73" s="80" t="str">
        <f t="shared" ca="1" si="61"/>
        <v>?</v>
      </c>
      <c r="R73" s="80" t="str">
        <f t="shared" ca="1" si="61"/>
        <v>?</v>
      </c>
      <c r="S73" s="80" t="str">
        <f t="shared" ref="S73:AB75" ca="1" si="62">IF($H73=0,"NA",IF($A73=INDIRECT("'"&amp;$A73&amp;"'!$B$1"),IF(VLOOKUP(S$1,INDIRECT("'"&amp;$A73&amp;"'!$A$12:$Z$41"),MATCH("Points (Auto-generate)",INDIRECT("'"&amp;$A73&amp;"'!$A$12:$Z$12"),0),0)="","?",VLOOKUP(S$1,INDIRECT("'"&amp;$A73&amp;"'!$A$12:$Z$41"),MATCH("Points (Auto-generate)",INDIRECT("'"&amp;$A73&amp;"'!$A$12:$Z$12"),0),0)),"ER"))</f>
        <v>?</v>
      </c>
      <c r="T73" s="80" t="str">
        <f t="shared" ca="1" si="62"/>
        <v>?</v>
      </c>
      <c r="U73" s="80" t="str">
        <f t="shared" ca="1" si="62"/>
        <v>?</v>
      </c>
      <c r="V73" s="80" t="str">
        <f t="shared" ca="1" si="62"/>
        <v>?</v>
      </c>
      <c r="W73" s="80" t="str">
        <f t="shared" ca="1" si="62"/>
        <v>?</v>
      </c>
      <c r="X73" s="80" t="str">
        <f t="shared" ca="1" si="62"/>
        <v>?</v>
      </c>
      <c r="Y73" s="80" t="str">
        <f t="shared" ca="1" si="62"/>
        <v>?</v>
      </c>
      <c r="Z73" s="80" t="str">
        <f t="shared" ca="1" si="62"/>
        <v>?</v>
      </c>
      <c r="AA73" s="80" t="str">
        <f t="shared" ca="1" si="62"/>
        <v>?</v>
      </c>
      <c r="AB73" s="80" t="str">
        <f t="shared" ca="1" si="62"/>
        <v>?</v>
      </c>
      <c r="AC73" s="80" t="str">
        <f t="shared" ref="AC73:AK75" ca="1" si="63">IF($H73=0,"NA",IF($A73=INDIRECT("'"&amp;$A73&amp;"'!$B$1"),IF(VLOOKUP(AC$1,INDIRECT("'"&amp;$A73&amp;"'!$A$12:$Z$41"),MATCH("Points (Auto-generate)",INDIRECT("'"&amp;$A73&amp;"'!$A$12:$Z$12"),0),0)="","?",VLOOKUP(AC$1,INDIRECT("'"&amp;$A73&amp;"'!$A$12:$Z$41"),MATCH("Points (Auto-generate)",INDIRECT("'"&amp;$A73&amp;"'!$A$12:$Z$12"),0),0)),"ER"))</f>
        <v>?</v>
      </c>
      <c r="AD73" s="80" t="str">
        <f t="shared" ca="1" si="63"/>
        <v>?</v>
      </c>
      <c r="AE73" s="80" t="str">
        <f t="shared" ca="1" si="63"/>
        <v>?</v>
      </c>
      <c r="AF73" s="80" t="str">
        <f t="shared" ca="1" si="63"/>
        <v>?</v>
      </c>
      <c r="AG73" s="80" t="str">
        <f t="shared" ca="1" si="63"/>
        <v>?</v>
      </c>
      <c r="AH73" s="80" t="str">
        <f t="shared" ca="1" si="63"/>
        <v>?</v>
      </c>
      <c r="AI73" s="80" t="str">
        <f t="shared" ca="1" si="63"/>
        <v>?</v>
      </c>
      <c r="AJ73" s="80" t="str">
        <f t="shared" ca="1" si="63"/>
        <v>?</v>
      </c>
      <c r="AK73" s="80" t="str">
        <f t="shared" ca="1" si="63"/>
        <v>?</v>
      </c>
    </row>
    <row r="74" spans="1:37">
      <c r="A74" s="76" t="s">
        <v>333</v>
      </c>
      <c r="B74" s="77" t="str">
        <f>IF(ISBLANK($A74),"NO_CODE",VLOOKUP($A74,'UPD Questions_290926 '!$E$1:$N$300,MATCH(B$1,'UPD Questions_290926 '!$E$1:$N$1,0),0)&amp;"")</f>
        <v>Implementation</v>
      </c>
      <c r="C74" s="77" t="str">
        <f>IF(ISBLANK($A74),"NO_CODE",VLOOKUP($A74,'UPD Questions_290926 '!$E$1:$N$300,MATCH(C$1,'UPD Questions_290926 '!$E$1:$N$1,0),0)&amp;"")</f>
        <v>Sectoral planning</v>
      </c>
      <c r="D74" s="77" t="str">
        <f>IF(ISBLANK($A74),"NO_CODE",VLOOKUP($A74,'UPD Questions_290926 '!$E$1:$N$300,MATCH(D$1,'UPD Questions_290926 '!$E$1:$N$1,0),0)&amp;"")</f>
        <v>Economic development planning</v>
      </c>
      <c r="E74" s="77" t="str">
        <f>IF(ISBLANK($A74),"NO_CODE",VLOOKUP($A74,'UPD Questions_290926 '!$E$1:$N$300,MATCH(E$1,'UPD Questions_290926 '!$E$1:$N$1,0),0)&amp;"")</f>
        <v>SQ</v>
      </c>
      <c r="F74" s="77" t="str">
        <f>IF(ISBLANK($A74),"NO_CODE",VLOOKUP($A74,'UPD Questions_290926 '!$E$1:$N$300,MATCH(F$1,'UPD Questions_290926 '!$E$1:$N$1,0),0)&amp;"")</f>
        <v>Does the plan have development priorities and measurable objectives?</v>
      </c>
      <c r="G74" s="77" t="str">
        <f>IF(ISBLANK($A74),"NO_CODE",VLOOKUP($A74,'UPD Questions_290926 '!$E$1:$N$300,MATCH(G$1,'UPD Questions_290926 '!$E$1:$N$1,0),0)&amp;"")</f>
        <v>Implementation</v>
      </c>
      <c r="H74" s="79">
        <f>IF(ISBLANK($A74),"NO_CODE",VLOOKUP($A74,'UPD Questions_290926 '!$E$1:$N$300,MATCH(H$1,'UPD Questions_290926 '!$E$1:$N$1,0),0))</f>
        <v>3.33</v>
      </c>
      <c r="I74" s="80" t="str">
        <f t="shared" ca="1" si="61"/>
        <v>?</v>
      </c>
      <c r="J74" s="80">
        <f t="shared" ca="1" si="61"/>
        <v>0</v>
      </c>
      <c r="K74" s="80" t="str">
        <f t="shared" ca="1" si="61"/>
        <v>?</v>
      </c>
      <c r="L74" s="80" t="str">
        <f t="shared" ca="1" si="61"/>
        <v>?</v>
      </c>
      <c r="M74" s="80" t="str">
        <f t="shared" ca="1" si="61"/>
        <v>?</v>
      </c>
      <c r="N74" s="80" t="str">
        <f t="shared" ca="1" si="61"/>
        <v>?</v>
      </c>
      <c r="O74" s="80" t="str">
        <f t="shared" ca="1" si="61"/>
        <v>?</v>
      </c>
      <c r="P74" s="80" t="str">
        <f t="shared" ca="1" si="61"/>
        <v>?</v>
      </c>
      <c r="Q74" s="80" t="str">
        <f t="shared" ca="1" si="61"/>
        <v>?</v>
      </c>
      <c r="R74" s="80" t="str">
        <f t="shared" ca="1" si="61"/>
        <v>?</v>
      </c>
      <c r="S74" s="80" t="str">
        <f t="shared" ca="1" si="62"/>
        <v>?</v>
      </c>
      <c r="T74" s="80" t="str">
        <f t="shared" ca="1" si="62"/>
        <v>?</v>
      </c>
      <c r="U74" s="80" t="str">
        <f t="shared" ca="1" si="62"/>
        <v>?</v>
      </c>
      <c r="V74" s="80" t="str">
        <f t="shared" ca="1" si="62"/>
        <v>?</v>
      </c>
      <c r="W74" s="80" t="str">
        <f t="shared" ca="1" si="62"/>
        <v>?</v>
      </c>
      <c r="X74" s="80" t="str">
        <f t="shared" ca="1" si="62"/>
        <v>?</v>
      </c>
      <c r="Y74" s="80" t="str">
        <f t="shared" ca="1" si="62"/>
        <v>?</v>
      </c>
      <c r="Z74" s="80" t="str">
        <f t="shared" ca="1" si="62"/>
        <v>?</v>
      </c>
      <c r="AA74" s="80" t="str">
        <f t="shared" ca="1" si="62"/>
        <v>?</v>
      </c>
      <c r="AB74" s="80" t="str">
        <f t="shared" ca="1" si="62"/>
        <v>?</v>
      </c>
      <c r="AC74" s="80" t="str">
        <f t="shared" ca="1" si="63"/>
        <v>?</v>
      </c>
      <c r="AD74" s="80" t="str">
        <f t="shared" ca="1" si="63"/>
        <v>?</v>
      </c>
      <c r="AE74" s="80" t="str">
        <f t="shared" ca="1" si="63"/>
        <v>?</v>
      </c>
      <c r="AF74" s="80" t="str">
        <f t="shared" ca="1" si="63"/>
        <v>?</v>
      </c>
      <c r="AG74" s="80" t="str">
        <f t="shared" ca="1" si="63"/>
        <v>?</v>
      </c>
      <c r="AH74" s="80" t="str">
        <f t="shared" ca="1" si="63"/>
        <v>?</v>
      </c>
      <c r="AI74" s="80" t="str">
        <f t="shared" ca="1" si="63"/>
        <v>?</v>
      </c>
      <c r="AJ74" s="80" t="str">
        <f t="shared" ca="1" si="63"/>
        <v>?</v>
      </c>
      <c r="AK74" s="80" t="str">
        <f t="shared" ca="1" si="63"/>
        <v>?</v>
      </c>
    </row>
    <row r="75" spans="1:37">
      <c r="A75" s="76" t="s">
        <v>336</v>
      </c>
      <c r="B75" s="77" t="str">
        <f>IF(ISBLANK($A75),"NO_CODE",VLOOKUP($A75,'UPD Questions_290926 '!$E$1:$N$300,MATCH(B$1,'UPD Questions_290926 '!$E$1:$N$1,0),0)&amp;"")</f>
        <v>Implementation</v>
      </c>
      <c r="C75" s="77" t="str">
        <f>IF(ISBLANK($A75),"NO_CODE",VLOOKUP($A75,'UPD Questions_290926 '!$E$1:$N$300,MATCH(C$1,'UPD Questions_290926 '!$E$1:$N$1,0),0)&amp;"")</f>
        <v>Sectoral planning</v>
      </c>
      <c r="D75" s="77" t="str">
        <f>IF(ISBLANK($A75),"NO_CODE",VLOOKUP($A75,'UPD Questions_290926 '!$E$1:$N$300,MATCH(D$1,'UPD Questions_290926 '!$E$1:$N$1,0),0)&amp;"")</f>
        <v>Economic development planning</v>
      </c>
      <c r="E75" s="77" t="str">
        <f>IF(ISBLANK($A75),"NO_CODE",VLOOKUP($A75,'UPD Questions_290926 '!$E$1:$N$300,MATCH(E$1,'UPD Questions_290926 '!$E$1:$N$1,0),0)&amp;"")</f>
        <v>SQ</v>
      </c>
      <c r="F75" s="77" t="str">
        <f>IF(ISBLANK($A75),"NO_CODE",VLOOKUP($A75,'UPD Questions_290926 '!$E$1:$N$300,MATCH(F$1,'UPD Questions_290926 '!$E$1:$N$1,0),0)&amp;"")</f>
        <v>Does the plan clearly articulate the role of the ULG?</v>
      </c>
      <c r="G75" s="77" t="str">
        <f>IF(ISBLANK($A75),"NO_CODE",VLOOKUP($A75,'UPD Questions_290926 '!$E$1:$N$300,MATCH(G$1,'UPD Questions_290926 '!$E$1:$N$1,0),0)&amp;"")</f>
        <v>Implementation</v>
      </c>
      <c r="H75" s="79">
        <f>IF(ISBLANK($A75),"NO_CODE",VLOOKUP($A75,'UPD Questions_290926 '!$E$1:$N$300,MATCH(H$1,'UPD Questions_290926 '!$E$1:$N$1,0),0))</f>
        <v>3.33</v>
      </c>
      <c r="I75" s="80" t="str">
        <f t="shared" ca="1" si="61"/>
        <v>?</v>
      </c>
      <c r="J75" s="80">
        <f t="shared" ca="1" si="61"/>
        <v>0</v>
      </c>
      <c r="K75" s="80" t="str">
        <f t="shared" ca="1" si="61"/>
        <v>?</v>
      </c>
      <c r="L75" s="80" t="str">
        <f t="shared" ca="1" si="61"/>
        <v>?</v>
      </c>
      <c r="M75" s="80" t="str">
        <f t="shared" ca="1" si="61"/>
        <v>?</v>
      </c>
      <c r="N75" s="80" t="str">
        <f t="shared" ca="1" si="61"/>
        <v>?</v>
      </c>
      <c r="O75" s="80" t="str">
        <f t="shared" ca="1" si="61"/>
        <v>?</v>
      </c>
      <c r="P75" s="80" t="str">
        <f t="shared" ca="1" si="61"/>
        <v>?</v>
      </c>
      <c r="Q75" s="80" t="str">
        <f t="shared" ca="1" si="61"/>
        <v>?</v>
      </c>
      <c r="R75" s="80" t="str">
        <f t="shared" ca="1" si="61"/>
        <v>?</v>
      </c>
      <c r="S75" s="80" t="str">
        <f t="shared" ca="1" si="62"/>
        <v>?</v>
      </c>
      <c r="T75" s="80" t="str">
        <f t="shared" ca="1" si="62"/>
        <v>?</v>
      </c>
      <c r="U75" s="80" t="str">
        <f t="shared" ca="1" si="62"/>
        <v>?</v>
      </c>
      <c r="V75" s="80" t="str">
        <f t="shared" ca="1" si="62"/>
        <v>?</v>
      </c>
      <c r="W75" s="80" t="str">
        <f t="shared" ca="1" si="62"/>
        <v>?</v>
      </c>
      <c r="X75" s="80" t="str">
        <f t="shared" ca="1" si="62"/>
        <v>?</v>
      </c>
      <c r="Y75" s="80" t="str">
        <f t="shared" ca="1" si="62"/>
        <v>?</v>
      </c>
      <c r="Z75" s="80" t="str">
        <f t="shared" ca="1" si="62"/>
        <v>?</v>
      </c>
      <c r="AA75" s="80" t="str">
        <f t="shared" ca="1" si="62"/>
        <v>?</v>
      </c>
      <c r="AB75" s="80" t="str">
        <f t="shared" ca="1" si="62"/>
        <v>?</v>
      </c>
      <c r="AC75" s="80" t="str">
        <f t="shared" ca="1" si="63"/>
        <v>?</v>
      </c>
      <c r="AD75" s="80" t="str">
        <f t="shared" ca="1" si="63"/>
        <v>?</v>
      </c>
      <c r="AE75" s="80" t="str">
        <f t="shared" ca="1" si="63"/>
        <v>?</v>
      </c>
      <c r="AF75" s="80" t="str">
        <f t="shared" ca="1" si="63"/>
        <v>?</v>
      </c>
      <c r="AG75" s="80" t="str">
        <f t="shared" ca="1" si="63"/>
        <v>?</v>
      </c>
      <c r="AH75" s="80" t="str">
        <f t="shared" ca="1" si="63"/>
        <v>?</v>
      </c>
      <c r="AI75" s="80" t="str">
        <f t="shared" ca="1" si="63"/>
        <v>?</v>
      </c>
      <c r="AJ75" s="80" t="str">
        <f t="shared" ca="1" si="63"/>
        <v>?</v>
      </c>
      <c r="AK75" s="80" t="str">
        <f t="shared" ca="1" si="63"/>
        <v>?</v>
      </c>
    </row>
    <row r="76" spans="1:37">
      <c r="A76" s="76" t="s">
        <v>207</v>
      </c>
      <c r="B76" s="77" t="str">
        <f>IF(ISBLANK($A76),"NO_CODE",VLOOKUP($A76,'UPD Questions_290926 '!$E$1:$N$300,MATCH(B$1,'UPD Questions_290926 '!$E$1:$N$1,0),0)&amp;"")</f>
        <v>Implementation</v>
      </c>
      <c r="C76" s="77" t="str">
        <f>IF(ISBLANK($A76),"NO_CODE",VLOOKUP($A76,'UPD Questions_290926 '!$E$1:$N$300,MATCH(C$1,'UPD Questions_290926 '!$E$1:$N$1,0),0)&amp;"")</f>
        <v>Specialised institutional capacity</v>
      </c>
      <c r="D76" s="77" t="str">
        <f>IF(ISBLANK($A76),"NO_CODE",VLOOKUP($A76,'UPD Questions_290926 '!$E$1:$N$300,MATCH(D$1,'UPD Questions_290926 '!$E$1:$N$1,0),0)&amp;"")</f>
        <v>Specialised institutional capacity</v>
      </c>
      <c r="E76" s="77" t="str">
        <f>IF(ISBLANK($A76),"NO_CODE",VLOOKUP($A76,'UPD Questions_290926 '!$E$1:$N$300,MATCH(E$1,'UPD Questions_290926 '!$E$1:$N$1,0),0)&amp;"")</f>
        <v>MQ</v>
      </c>
      <c r="F76" s="77" t="str">
        <f>IF(ISBLANK($A76),"NO_CODE",VLOOKUP($A76,'UPD Questions_290926 '!$E$1:$N$300,MATCH(F$1,'UPD Questions_290926 '!$E$1:$N$1,0),0)&amp;"")</f>
        <v>Does the city have adequate and representative professional town-planning capacity?</v>
      </c>
      <c r="G76" s="77" t="str">
        <f>IF(ISBLANK($A76),"NO_CODE",VLOOKUP($A76,'UPD Questions_290926 '!$E$1:$N$300,MATCH(G$1,'UPD Questions_290926 '!$E$1:$N$1,0),0)&amp;"")</f>
        <v>Implementation</v>
      </c>
      <c r="H76" s="79">
        <f>IF(ISBLANK($A76),"NO_CODE",VLOOKUP($A76,'UPD Questions_290926 '!$E$1:$N$300,MATCH(H$1,'UPD Questions_290926 '!$E$1:$N$1,0),0))</f>
        <v>10</v>
      </c>
      <c r="I76" s="80" t="str">
        <f t="shared" ref="I76:AK76" ca="1" si="64">IF(OR(I77="ER",I78="ER"),"ER",IF(OR(I77="?",I78="?"),"?",IF(AND(I77="NA",I78="NA"),"NA",SUM(I77,I78)/((I77&lt;&gt;"NA")*$H$77+(I78&lt;&gt;"NA")*$H$78)*$H76)))</f>
        <v>?</v>
      </c>
      <c r="J76" s="80" t="str">
        <f t="shared" ca="1" si="64"/>
        <v>?</v>
      </c>
      <c r="K76" s="80" t="str">
        <f t="shared" ca="1" si="64"/>
        <v>?</v>
      </c>
      <c r="L76" s="80" t="str">
        <f t="shared" ca="1" si="64"/>
        <v>?</v>
      </c>
      <c r="M76" s="80" t="str">
        <f t="shared" ca="1" si="64"/>
        <v>?</v>
      </c>
      <c r="N76" s="80" t="str">
        <f t="shared" ca="1" si="64"/>
        <v>?</v>
      </c>
      <c r="O76" s="80" t="str">
        <f t="shared" ca="1" si="64"/>
        <v>?</v>
      </c>
      <c r="P76" s="80" t="str">
        <f t="shared" ca="1" si="64"/>
        <v>?</v>
      </c>
      <c r="Q76" s="80" t="str">
        <f t="shared" ca="1" si="64"/>
        <v>?</v>
      </c>
      <c r="R76" s="80" t="str">
        <f t="shared" ca="1" si="64"/>
        <v>?</v>
      </c>
      <c r="S76" s="80" t="str">
        <f t="shared" ca="1" si="64"/>
        <v>?</v>
      </c>
      <c r="T76" s="80" t="str">
        <f t="shared" ca="1" si="64"/>
        <v>?</v>
      </c>
      <c r="U76" s="80" t="str">
        <f t="shared" ca="1" si="64"/>
        <v>?</v>
      </c>
      <c r="V76" s="80" t="str">
        <f t="shared" ca="1" si="64"/>
        <v>?</v>
      </c>
      <c r="W76" s="80" t="str">
        <f t="shared" ca="1" si="64"/>
        <v>?</v>
      </c>
      <c r="X76" s="80" t="str">
        <f t="shared" ca="1" si="64"/>
        <v>?</v>
      </c>
      <c r="Y76" s="80" t="str">
        <f t="shared" ca="1" si="64"/>
        <v>?</v>
      </c>
      <c r="Z76" s="80" t="str">
        <f t="shared" ca="1" si="64"/>
        <v>?</v>
      </c>
      <c r="AA76" s="80" t="str">
        <f t="shared" ca="1" si="64"/>
        <v>?</v>
      </c>
      <c r="AB76" s="80" t="str">
        <f t="shared" ca="1" si="64"/>
        <v>?</v>
      </c>
      <c r="AC76" s="80" t="str">
        <f t="shared" ca="1" si="64"/>
        <v>?</v>
      </c>
      <c r="AD76" s="80" t="str">
        <f t="shared" ca="1" si="64"/>
        <v>?</v>
      </c>
      <c r="AE76" s="80" t="str">
        <f t="shared" ca="1" si="64"/>
        <v>?</v>
      </c>
      <c r="AF76" s="80" t="str">
        <f t="shared" ca="1" si="64"/>
        <v>?</v>
      </c>
      <c r="AG76" s="80" t="str">
        <f t="shared" ca="1" si="64"/>
        <v>?</v>
      </c>
      <c r="AH76" s="80" t="str">
        <f t="shared" ca="1" si="64"/>
        <v>?</v>
      </c>
      <c r="AI76" s="80" t="str">
        <f t="shared" ca="1" si="64"/>
        <v>?</v>
      </c>
      <c r="AJ76" s="80" t="str">
        <f t="shared" ca="1" si="64"/>
        <v>?</v>
      </c>
      <c r="AK76" s="80" t="str">
        <f t="shared" ca="1" si="64"/>
        <v>?</v>
      </c>
    </row>
    <row r="77" spans="1:37">
      <c r="A77" s="76" t="s">
        <v>342</v>
      </c>
      <c r="B77" s="77" t="str">
        <f>IF(ISBLANK($A77),"NO_CODE",VLOOKUP($A77,'UPD Questions_290926 '!$E$1:$N$300,MATCH(B$1,'UPD Questions_290926 '!$E$1:$N$1,0),0)&amp;"")</f>
        <v>Implementation</v>
      </c>
      <c r="C77" s="77" t="str">
        <f>IF(ISBLANK($A77),"NO_CODE",VLOOKUP($A77,'UPD Questions_290926 '!$E$1:$N$300,MATCH(C$1,'UPD Questions_290926 '!$E$1:$N$1,0),0)&amp;"")</f>
        <v>Specialised institutional capacity</v>
      </c>
      <c r="D77" s="77" t="str">
        <f>IF(ISBLANK($A77),"NO_CODE",VLOOKUP($A77,'UPD Questions_290926 '!$E$1:$N$300,MATCH(D$1,'UPD Questions_290926 '!$E$1:$N$1,0),0)&amp;"")</f>
        <v>Specialised institutional capacity</v>
      </c>
      <c r="E77" s="77" t="str">
        <f>IF(ISBLANK($A77),"NO_CODE",VLOOKUP($A77,'UPD Questions_290926 '!$E$1:$N$300,MATCH(E$1,'UPD Questions_290926 '!$E$1:$N$1,0),0)&amp;"")</f>
        <v>SQ</v>
      </c>
      <c r="F77" s="77" t="str">
        <f>IF(ISBLANK($A77),"NO_CODE",VLOOKUP($A77,'UPD Questions_290926 '!$E$1:$N$300,MATCH(F$1,'UPD Questions_290926 '!$E$1:$N$1,0),0)&amp;"")</f>
        <v>Does the city have adequate professional town-planning capacity?</v>
      </c>
      <c r="G77" s="77" t="str">
        <f>IF(ISBLANK($A77),"NO_CODE",VLOOKUP($A77,'UPD Questions_290926 '!$E$1:$N$300,MATCH(G$1,'UPD Questions_290926 '!$E$1:$N$1,0),0)&amp;"")</f>
        <v>Implementation</v>
      </c>
      <c r="H77" s="79">
        <f>IF(ISBLANK($A77),"NO_CODE",VLOOKUP($A77,'UPD Questions_290926 '!$E$1:$N$300,MATCH(H$1,'UPD Questions_290926 '!$E$1:$N$1,0),0))</f>
        <v>5</v>
      </c>
      <c r="I77" s="80" t="str">
        <f t="shared" ref="I77:R78" ca="1" si="65">IF($H77=0,"NA",IF($A77=INDIRECT("'"&amp;$A77&amp;"'!$B$1"),IF(VLOOKUP(I$1,INDIRECT("'"&amp;$A77&amp;"'!$A$12:$Z$41"),MATCH("Points (Auto-generate)",INDIRECT("'"&amp;$A77&amp;"'!$A$12:$Z$12"),0),0)="","?",VLOOKUP(I$1,INDIRECT("'"&amp;$A77&amp;"'!$A$12:$Z$41"),MATCH("Points (Auto-generate)",INDIRECT("'"&amp;$A77&amp;"'!$A$12:$Z$12"),0),0)),"ER"))</f>
        <v>?</v>
      </c>
      <c r="J77" s="80" t="str">
        <f t="shared" ca="1" si="65"/>
        <v>?</v>
      </c>
      <c r="K77" s="80" t="str">
        <f t="shared" ca="1" si="65"/>
        <v>?</v>
      </c>
      <c r="L77" s="80" t="str">
        <f t="shared" ca="1" si="65"/>
        <v>?</v>
      </c>
      <c r="M77" s="80" t="str">
        <f t="shared" ca="1" si="65"/>
        <v>?</v>
      </c>
      <c r="N77" s="80" t="str">
        <f t="shared" ca="1" si="65"/>
        <v>?</v>
      </c>
      <c r="O77" s="80" t="str">
        <f t="shared" ca="1" si="65"/>
        <v>?</v>
      </c>
      <c r="P77" s="80" t="str">
        <f t="shared" ca="1" si="65"/>
        <v>?</v>
      </c>
      <c r="Q77" s="80" t="str">
        <f t="shared" ca="1" si="65"/>
        <v>?</v>
      </c>
      <c r="R77" s="80" t="str">
        <f t="shared" ca="1" si="65"/>
        <v>?</v>
      </c>
      <c r="S77" s="80" t="str">
        <f t="shared" ref="S77:AB78" ca="1" si="66">IF($H77=0,"NA",IF($A77=INDIRECT("'"&amp;$A77&amp;"'!$B$1"),IF(VLOOKUP(S$1,INDIRECT("'"&amp;$A77&amp;"'!$A$12:$Z$41"),MATCH("Points (Auto-generate)",INDIRECT("'"&amp;$A77&amp;"'!$A$12:$Z$12"),0),0)="","?",VLOOKUP(S$1,INDIRECT("'"&amp;$A77&amp;"'!$A$12:$Z$41"),MATCH("Points (Auto-generate)",INDIRECT("'"&amp;$A77&amp;"'!$A$12:$Z$12"),0),0)),"ER"))</f>
        <v>?</v>
      </c>
      <c r="T77" s="80" t="str">
        <f t="shared" ca="1" si="66"/>
        <v>?</v>
      </c>
      <c r="U77" s="80" t="str">
        <f t="shared" ca="1" si="66"/>
        <v>?</v>
      </c>
      <c r="V77" s="80" t="str">
        <f t="shared" ca="1" si="66"/>
        <v>?</v>
      </c>
      <c r="W77" s="80" t="str">
        <f t="shared" ca="1" si="66"/>
        <v>?</v>
      </c>
      <c r="X77" s="80" t="str">
        <f t="shared" ca="1" si="66"/>
        <v>?</v>
      </c>
      <c r="Y77" s="80" t="str">
        <f t="shared" ca="1" si="66"/>
        <v>?</v>
      </c>
      <c r="Z77" s="80" t="str">
        <f t="shared" ca="1" si="66"/>
        <v>?</v>
      </c>
      <c r="AA77" s="80" t="str">
        <f t="shared" ca="1" si="66"/>
        <v>?</v>
      </c>
      <c r="AB77" s="80" t="str">
        <f t="shared" ca="1" si="66"/>
        <v>?</v>
      </c>
      <c r="AC77" s="80" t="str">
        <f t="shared" ref="AC77:AK78" ca="1" si="67">IF($H77=0,"NA",IF($A77=INDIRECT("'"&amp;$A77&amp;"'!$B$1"),IF(VLOOKUP(AC$1,INDIRECT("'"&amp;$A77&amp;"'!$A$12:$Z$41"),MATCH("Points (Auto-generate)",INDIRECT("'"&amp;$A77&amp;"'!$A$12:$Z$12"),0),0)="","?",VLOOKUP(AC$1,INDIRECT("'"&amp;$A77&amp;"'!$A$12:$Z$41"),MATCH("Points (Auto-generate)",INDIRECT("'"&amp;$A77&amp;"'!$A$12:$Z$12"),0),0)),"ER"))</f>
        <v>?</v>
      </c>
      <c r="AD77" s="80" t="str">
        <f t="shared" ca="1" si="67"/>
        <v>?</v>
      </c>
      <c r="AE77" s="80" t="str">
        <f t="shared" ca="1" si="67"/>
        <v>?</v>
      </c>
      <c r="AF77" s="80" t="str">
        <f t="shared" ca="1" si="67"/>
        <v>?</v>
      </c>
      <c r="AG77" s="80" t="str">
        <f t="shared" ca="1" si="67"/>
        <v>?</v>
      </c>
      <c r="AH77" s="80" t="str">
        <f t="shared" ca="1" si="67"/>
        <v>?</v>
      </c>
      <c r="AI77" s="80" t="str">
        <f t="shared" ca="1" si="67"/>
        <v>?</v>
      </c>
      <c r="AJ77" s="80" t="str">
        <f t="shared" ca="1" si="67"/>
        <v>?</v>
      </c>
      <c r="AK77" s="80" t="str">
        <f t="shared" ca="1" si="67"/>
        <v>?</v>
      </c>
    </row>
    <row r="78" spans="1:37">
      <c r="A78" s="76" t="s">
        <v>347</v>
      </c>
      <c r="B78" s="77" t="str">
        <f>IF(ISBLANK($A78),"NO_CODE",VLOOKUP($A78,'UPD Questions_290926 '!$E$1:$N$300,MATCH(B$1,'UPD Questions_290926 '!$E$1:$N$1,0),0)&amp;"")</f>
        <v>Implementation</v>
      </c>
      <c r="C78" s="77" t="str">
        <f>IF(ISBLANK($A78),"NO_CODE",VLOOKUP($A78,'UPD Questions_290926 '!$E$1:$N$300,MATCH(C$1,'UPD Questions_290926 '!$E$1:$N$1,0),0)&amp;"")</f>
        <v>Specialised institutional capacity</v>
      </c>
      <c r="D78" s="77" t="str">
        <f>IF(ISBLANK($A78),"NO_CODE",VLOOKUP($A78,'UPD Questions_290926 '!$E$1:$N$300,MATCH(D$1,'UPD Questions_290926 '!$E$1:$N$1,0),0)&amp;"")</f>
        <v>Specialised institutional capacity</v>
      </c>
      <c r="E78" s="77" t="str">
        <f>IF(ISBLANK($A78),"NO_CODE",VLOOKUP($A78,'UPD Questions_290926 '!$E$1:$N$300,MATCH(E$1,'UPD Questions_290926 '!$E$1:$N$1,0),0)&amp;"")</f>
        <v>SQ</v>
      </c>
      <c r="F78" s="77" t="str">
        <f>IF(ISBLANK($A78),"NO_CODE",VLOOKUP($A78,'UPD Questions_290926 '!$E$1:$N$300,MATCH(F$1,'UPD Questions_290926 '!$E$1:$N$1,0),0)&amp;"")</f>
        <v>What proportion of the city's professional town-planning workforce is women?</v>
      </c>
      <c r="G78" s="77" t="str">
        <f>IF(ISBLANK($A78),"NO_CODE",VLOOKUP($A78,'UPD Questions_290926 '!$E$1:$N$300,MATCH(G$1,'UPD Questions_290926 '!$E$1:$N$1,0),0)&amp;"")</f>
        <v>Implementation</v>
      </c>
      <c r="H78" s="79">
        <f>IF(ISBLANK($A78),"NO_CODE",VLOOKUP($A78,'UPD Questions_290926 '!$E$1:$N$300,MATCH(H$1,'UPD Questions_290926 '!$E$1:$N$1,0),0))</f>
        <v>5</v>
      </c>
      <c r="I78" s="80" t="str">
        <f t="shared" ca="1" si="65"/>
        <v>?</v>
      </c>
      <c r="J78" s="80" t="str">
        <f t="shared" ca="1" si="65"/>
        <v>?</v>
      </c>
      <c r="K78" s="80" t="str">
        <f t="shared" ca="1" si="65"/>
        <v>?</v>
      </c>
      <c r="L78" s="80" t="str">
        <f t="shared" ca="1" si="65"/>
        <v>?</v>
      </c>
      <c r="M78" s="80" t="str">
        <f t="shared" ca="1" si="65"/>
        <v>?</v>
      </c>
      <c r="N78" s="80" t="str">
        <f t="shared" ca="1" si="65"/>
        <v>?</v>
      </c>
      <c r="O78" s="80" t="str">
        <f t="shared" ca="1" si="65"/>
        <v>?</v>
      </c>
      <c r="P78" s="80" t="str">
        <f t="shared" ca="1" si="65"/>
        <v>?</v>
      </c>
      <c r="Q78" s="80" t="str">
        <f t="shared" ca="1" si="65"/>
        <v>?</v>
      </c>
      <c r="R78" s="80" t="str">
        <f t="shared" ca="1" si="65"/>
        <v>?</v>
      </c>
      <c r="S78" s="80" t="str">
        <f t="shared" ca="1" si="66"/>
        <v>?</v>
      </c>
      <c r="T78" s="80" t="str">
        <f t="shared" ca="1" si="66"/>
        <v>?</v>
      </c>
      <c r="U78" s="80" t="str">
        <f t="shared" ca="1" si="66"/>
        <v>?</v>
      </c>
      <c r="V78" s="80" t="str">
        <f t="shared" ca="1" si="66"/>
        <v>?</v>
      </c>
      <c r="W78" s="80" t="str">
        <f t="shared" ca="1" si="66"/>
        <v>?</v>
      </c>
      <c r="X78" s="80" t="str">
        <f t="shared" ca="1" si="66"/>
        <v>?</v>
      </c>
      <c r="Y78" s="80" t="str">
        <f t="shared" ca="1" si="66"/>
        <v>?</v>
      </c>
      <c r="Z78" s="80" t="str">
        <f t="shared" ca="1" si="66"/>
        <v>?</v>
      </c>
      <c r="AA78" s="80" t="str">
        <f t="shared" ca="1" si="66"/>
        <v>?</v>
      </c>
      <c r="AB78" s="80" t="str">
        <f t="shared" ca="1" si="66"/>
        <v>?</v>
      </c>
      <c r="AC78" s="80" t="str">
        <f t="shared" ca="1" si="67"/>
        <v>?</v>
      </c>
      <c r="AD78" s="80" t="str">
        <f t="shared" ca="1" si="67"/>
        <v>?</v>
      </c>
      <c r="AE78" s="80" t="str">
        <f t="shared" ca="1" si="67"/>
        <v>?</v>
      </c>
      <c r="AF78" s="80" t="str">
        <f t="shared" ca="1" si="67"/>
        <v>?</v>
      </c>
      <c r="AG78" s="80" t="str">
        <f t="shared" ca="1" si="67"/>
        <v>?</v>
      </c>
      <c r="AH78" s="80" t="str">
        <f t="shared" ca="1" si="67"/>
        <v>?</v>
      </c>
      <c r="AI78" s="80" t="str">
        <f t="shared" ca="1" si="67"/>
        <v>?</v>
      </c>
      <c r="AJ78" s="80" t="str">
        <f t="shared" ca="1" si="67"/>
        <v>?</v>
      </c>
      <c r="AK78" s="80" t="str">
        <f t="shared" ca="1" si="67"/>
        <v>?</v>
      </c>
    </row>
    <row r="79" spans="1:37">
      <c r="A79" s="76" t="s">
        <v>212</v>
      </c>
      <c r="B79" s="77" t="str">
        <f>IF(ISBLANK($A79),"NO_CODE",VLOOKUP($A79,'UPD Questions_290926 '!$E$1:$N$300,MATCH(B$1,'UPD Questions_290926 '!$E$1:$N$1,0),0)&amp;"")</f>
        <v>Implementation</v>
      </c>
      <c r="C79" s="77" t="str">
        <f>IF(ISBLANK($A79),"NO_CODE",VLOOKUP($A79,'UPD Questions_290926 '!$E$1:$N$300,MATCH(C$1,'UPD Questions_290926 '!$E$1:$N$1,0),0)&amp;"")</f>
        <v>Specialised institutional capacity</v>
      </c>
      <c r="D79" s="77" t="str">
        <f>IF(ISBLANK($A79),"NO_CODE",VLOOKUP($A79,'UPD Questions_290926 '!$E$1:$N$300,MATCH(D$1,'UPD Questions_290926 '!$E$1:$N$1,0),0)&amp;"")</f>
        <v>Specialised institutional capacity</v>
      </c>
      <c r="E79" s="77" t="str">
        <f>IF(ISBLANK($A79),"NO_CODE",VLOOKUP($A79,'UPD Questions_290926 '!$E$1:$N$300,MATCH(E$1,'UPD Questions_290926 '!$E$1:$N$1,0),0)&amp;"")</f>
        <v>MQ</v>
      </c>
      <c r="F79" s="77" t="str">
        <f>IF(ISBLANK($A79),"NO_CODE",VLOOKUP($A79,'UPD Questions_290926 '!$E$1:$N$300,MATCH(F$1,'UPD Questions_290926 '!$E$1:$N$1,0),0)&amp;"")</f>
        <v>Does the city have dedicated institutional cells/units for specialised functions?</v>
      </c>
      <c r="G79" s="77" t="str">
        <f>IF(ISBLANK($A79),"NO_CODE",VLOOKUP($A79,'UPD Questions_290926 '!$E$1:$N$300,MATCH(G$1,'UPD Questions_290926 '!$E$1:$N$1,0),0)&amp;"")</f>
        <v>Implementation</v>
      </c>
      <c r="H79" s="79">
        <f>IF(ISBLANK($A79),"NO_CODE",VLOOKUP($A79,'UPD Questions_290926 '!$E$1:$N$300,MATCH(H$1,'UPD Questions_290926 '!$E$1:$N$1,0),0))</f>
        <v>10</v>
      </c>
      <c r="I79" s="80" t="str">
        <f t="shared" ref="I79:AK79" ca="1" si="68">IF(OR(I80="ER",I81="ER",I82="ER",I83="ER"),"ER",IF(OR(I80="?",I81="?",I82="?",I83="?"),"?",IF(AND(I80="NA",I81="NA",I82="NA",I83="NA"),"NA",SUM(I80,I81,I82,I83)/((I80&lt;&gt;"NA")*$H$80+(I81&lt;&gt;"NA")*$H$81+(I82&lt;&gt;"NA")*$H$82+(I83&lt;&gt;"NA")*$H$83)*$H79)))</f>
        <v>?</v>
      </c>
      <c r="J79" s="80" t="str">
        <f t="shared" ca="1" si="68"/>
        <v>?</v>
      </c>
      <c r="K79" s="80" t="str">
        <f t="shared" ca="1" si="68"/>
        <v>?</v>
      </c>
      <c r="L79" s="80" t="str">
        <f t="shared" ca="1" si="68"/>
        <v>?</v>
      </c>
      <c r="M79" s="80" t="str">
        <f t="shared" ca="1" si="68"/>
        <v>?</v>
      </c>
      <c r="N79" s="80" t="str">
        <f t="shared" ca="1" si="68"/>
        <v>?</v>
      </c>
      <c r="O79" s="80" t="str">
        <f t="shared" ca="1" si="68"/>
        <v>?</v>
      </c>
      <c r="P79" s="80" t="str">
        <f t="shared" ca="1" si="68"/>
        <v>?</v>
      </c>
      <c r="Q79" s="80" t="str">
        <f t="shared" ca="1" si="68"/>
        <v>?</v>
      </c>
      <c r="R79" s="80" t="str">
        <f t="shared" ca="1" si="68"/>
        <v>?</v>
      </c>
      <c r="S79" s="80" t="str">
        <f t="shared" ca="1" si="68"/>
        <v>?</v>
      </c>
      <c r="T79" s="80" t="str">
        <f t="shared" ca="1" si="68"/>
        <v>?</v>
      </c>
      <c r="U79" s="80" t="str">
        <f t="shared" ca="1" si="68"/>
        <v>?</v>
      </c>
      <c r="V79" s="80" t="str">
        <f t="shared" ca="1" si="68"/>
        <v>?</v>
      </c>
      <c r="W79" s="80" t="str">
        <f t="shared" ca="1" si="68"/>
        <v>?</v>
      </c>
      <c r="X79" s="80" t="str">
        <f t="shared" ca="1" si="68"/>
        <v>?</v>
      </c>
      <c r="Y79" s="80" t="str">
        <f t="shared" ca="1" si="68"/>
        <v>?</v>
      </c>
      <c r="Z79" s="80" t="str">
        <f t="shared" ca="1" si="68"/>
        <v>?</v>
      </c>
      <c r="AA79" s="80" t="str">
        <f t="shared" ca="1" si="68"/>
        <v>?</v>
      </c>
      <c r="AB79" s="80" t="str">
        <f t="shared" ca="1" si="68"/>
        <v>?</v>
      </c>
      <c r="AC79" s="80" t="str">
        <f t="shared" ca="1" si="68"/>
        <v>?</v>
      </c>
      <c r="AD79" s="80" t="str">
        <f t="shared" ca="1" si="68"/>
        <v>?</v>
      </c>
      <c r="AE79" s="80" t="str">
        <f t="shared" ca="1" si="68"/>
        <v>?</v>
      </c>
      <c r="AF79" s="80" t="str">
        <f t="shared" ca="1" si="68"/>
        <v>?</v>
      </c>
      <c r="AG79" s="80" t="str">
        <f t="shared" ca="1" si="68"/>
        <v>?</v>
      </c>
      <c r="AH79" s="80" t="str">
        <f t="shared" ca="1" si="68"/>
        <v>?</v>
      </c>
      <c r="AI79" s="80" t="str">
        <f t="shared" ca="1" si="68"/>
        <v>?</v>
      </c>
      <c r="AJ79" s="80" t="str">
        <f t="shared" ca="1" si="68"/>
        <v>?</v>
      </c>
      <c r="AK79" s="80" t="str">
        <f t="shared" ca="1" si="68"/>
        <v>?</v>
      </c>
    </row>
    <row r="80" spans="1:37">
      <c r="A80" s="76" t="s">
        <v>355</v>
      </c>
      <c r="B80" s="77" t="str">
        <f>IF(ISBLANK($A80),"NO_CODE",VLOOKUP($A80,'UPD Questions_290926 '!$E$1:$N$300,MATCH(B$1,'UPD Questions_290926 '!$E$1:$N$1,0),0)&amp;"")</f>
        <v>Implementation</v>
      </c>
      <c r="C80" s="77" t="str">
        <f>IF(ISBLANK($A80),"NO_CODE",VLOOKUP($A80,'UPD Questions_290926 '!$E$1:$N$300,MATCH(C$1,'UPD Questions_290926 '!$E$1:$N$1,0),0)&amp;"")</f>
        <v>Specialised institutional capacity</v>
      </c>
      <c r="D80" s="77" t="str">
        <f>IF(ISBLANK($A80),"NO_CODE",VLOOKUP($A80,'UPD Questions_290926 '!$E$1:$N$300,MATCH(D$1,'UPD Questions_290926 '!$E$1:$N$1,0),0)&amp;"")</f>
        <v>Urban design</v>
      </c>
      <c r="E80" s="77" t="str">
        <f>IF(ISBLANK($A80),"NO_CODE",VLOOKUP($A80,'UPD Questions_290926 '!$E$1:$N$300,MATCH(E$1,'UPD Questions_290926 '!$E$1:$N$1,0),0)&amp;"")</f>
        <v>SQ</v>
      </c>
      <c r="F80" s="77" t="str">
        <f>IF(ISBLANK($A80),"NO_CODE",VLOOKUP($A80,'UPD Questions_290926 '!$E$1:$N$300,MATCH(F$1,'UPD Questions_290926 '!$E$1:$N$1,0),0)&amp;"")</f>
        <v>Does the city have an Urban Design Cell?</v>
      </c>
      <c r="G80" s="77" t="str">
        <f>IF(ISBLANK($A80),"NO_CODE",VLOOKUP($A80,'UPD Questions_290926 '!$E$1:$N$300,MATCH(G$1,'UPD Questions_290926 '!$E$1:$N$1,0),0)&amp;"")</f>
        <v>Implementation</v>
      </c>
      <c r="H80" s="79">
        <f>IF(ISBLANK($A80),"NO_CODE",VLOOKUP($A80,'UPD Questions_290926 '!$E$1:$N$300,MATCH(H$1,'UPD Questions_290926 '!$E$1:$N$1,0),0))</f>
        <v>2.5</v>
      </c>
      <c r="I80" s="80" t="str">
        <f t="shared" ref="I80:R83" ca="1" si="69">IF($H80=0,"NA",IF($A80=INDIRECT("'"&amp;$A80&amp;"'!$B$1"),IF(VLOOKUP(I$1,INDIRECT("'"&amp;$A80&amp;"'!$A$12:$Z$41"),MATCH("Points (Auto-generate)",INDIRECT("'"&amp;$A80&amp;"'!$A$12:$Z$12"),0),0)="","?",VLOOKUP(I$1,INDIRECT("'"&amp;$A80&amp;"'!$A$12:$Z$41"),MATCH("Points (Auto-generate)",INDIRECT("'"&amp;$A80&amp;"'!$A$12:$Z$12"),0),0)),"ER"))</f>
        <v>?</v>
      </c>
      <c r="J80" s="80" t="str">
        <f t="shared" ca="1" si="69"/>
        <v>?</v>
      </c>
      <c r="K80" s="80" t="str">
        <f t="shared" ca="1" si="69"/>
        <v>?</v>
      </c>
      <c r="L80" s="80" t="str">
        <f t="shared" ca="1" si="69"/>
        <v>?</v>
      </c>
      <c r="M80" s="80" t="str">
        <f t="shared" ca="1" si="69"/>
        <v>?</v>
      </c>
      <c r="N80" s="80" t="str">
        <f t="shared" ca="1" si="69"/>
        <v>?</v>
      </c>
      <c r="O80" s="80" t="str">
        <f t="shared" ca="1" si="69"/>
        <v>?</v>
      </c>
      <c r="P80" s="80" t="str">
        <f t="shared" ca="1" si="69"/>
        <v>?</v>
      </c>
      <c r="Q80" s="80" t="str">
        <f t="shared" ca="1" si="69"/>
        <v>?</v>
      </c>
      <c r="R80" s="80" t="str">
        <f t="shared" ca="1" si="69"/>
        <v>?</v>
      </c>
      <c r="S80" s="80" t="str">
        <f t="shared" ref="S80:AB83" ca="1" si="70">IF($H80=0,"NA",IF($A80=INDIRECT("'"&amp;$A80&amp;"'!$B$1"),IF(VLOOKUP(S$1,INDIRECT("'"&amp;$A80&amp;"'!$A$12:$Z$41"),MATCH("Points (Auto-generate)",INDIRECT("'"&amp;$A80&amp;"'!$A$12:$Z$12"),0),0)="","?",VLOOKUP(S$1,INDIRECT("'"&amp;$A80&amp;"'!$A$12:$Z$41"),MATCH("Points (Auto-generate)",INDIRECT("'"&amp;$A80&amp;"'!$A$12:$Z$12"),0),0)),"ER"))</f>
        <v>?</v>
      </c>
      <c r="T80" s="80" t="str">
        <f t="shared" ca="1" si="70"/>
        <v>?</v>
      </c>
      <c r="U80" s="80" t="str">
        <f t="shared" ca="1" si="70"/>
        <v>?</v>
      </c>
      <c r="V80" s="80" t="str">
        <f t="shared" ca="1" si="70"/>
        <v>?</v>
      </c>
      <c r="W80" s="80" t="str">
        <f t="shared" ca="1" si="70"/>
        <v>?</v>
      </c>
      <c r="X80" s="80" t="str">
        <f t="shared" ca="1" si="70"/>
        <v>?</v>
      </c>
      <c r="Y80" s="80" t="str">
        <f t="shared" ca="1" si="70"/>
        <v>?</v>
      </c>
      <c r="Z80" s="80" t="str">
        <f t="shared" ca="1" si="70"/>
        <v>?</v>
      </c>
      <c r="AA80" s="80" t="str">
        <f t="shared" ca="1" si="70"/>
        <v>?</v>
      </c>
      <c r="AB80" s="80" t="str">
        <f t="shared" ca="1" si="70"/>
        <v>?</v>
      </c>
      <c r="AC80" s="80" t="str">
        <f t="shared" ref="AC80:AK83" ca="1" si="71">IF($H80=0,"NA",IF($A80=INDIRECT("'"&amp;$A80&amp;"'!$B$1"),IF(VLOOKUP(AC$1,INDIRECT("'"&amp;$A80&amp;"'!$A$12:$Z$41"),MATCH("Points (Auto-generate)",INDIRECT("'"&amp;$A80&amp;"'!$A$12:$Z$12"),0),0)="","?",VLOOKUP(AC$1,INDIRECT("'"&amp;$A80&amp;"'!$A$12:$Z$41"),MATCH("Points (Auto-generate)",INDIRECT("'"&amp;$A80&amp;"'!$A$12:$Z$12"),0),0)),"ER"))</f>
        <v>?</v>
      </c>
      <c r="AD80" s="80" t="str">
        <f t="shared" ca="1" si="71"/>
        <v>?</v>
      </c>
      <c r="AE80" s="80" t="str">
        <f t="shared" ca="1" si="71"/>
        <v>?</v>
      </c>
      <c r="AF80" s="80" t="str">
        <f t="shared" ca="1" si="71"/>
        <v>?</v>
      </c>
      <c r="AG80" s="80" t="str">
        <f t="shared" ca="1" si="71"/>
        <v>?</v>
      </c>
      <c r="AH80" s="80" t="str">
        <f t="shared" ca="1" si="71"/>
        <v>?</v>
      </c>
      <c r="AI80" s="80" t="str">
        <f t="shared" ca="1" si="71"/>
        <v>?</v>
      </c>
      <c r="AJ80" s="80" t="str">
        <f t="shared" ca="1" si="71"/>
        <v>?</v>
      </c>
      <c r="AK80" s="80" t="str">
        <f t="shared" ca="1" si="71"/>
        <v>?</v>
      </c>
    </row>
    <row r="81" spans="1:37">
      <c r="A81" s="76" t="s">
        <v>360</v>
      </c>
      <c r="B81" s="77" t="str">
        <f>IF(ISBLANK($A81),"NO_CODE",VLOOKUP($A81,'UPD Questions_290926 '!$E$1:$N$300,MATCH(B$1,'UPD Questions_290926 '!$E$1:$N$1,0),0)&amp;"")</f>
        <v>Implementation</v>
      </c>
      <c r="C81" s="77" t="str">
        <f>IF(ISBLANK($A81),"NO_CODE",VLOOKUP($A81,'UPD Questions_290926 '!$E$1:$N$300,MATCH(C$1,'UPD Questions_290926 '!$E$1:$N$1,0),0)&amp;"")</f>
        <v>Does the city have dedicated institutional capacity to undertake specialised planning and development functions?</v>
      </c>
      <c r="D81" s="77" t="str">
        <f>IF(ISBLANK($A81),"NO_CODE",VLOOKUP($A81,'UPD Questions_290926 '!$E$1:$N$300,MATCH(D$1,'UPD Questions_290926 '!$E$1:$N$1,0),0)&amp;"")</f>
        <v>Climate</v>
      </c>
      <c r="E81" s="77" t="str">
        <f>IF(ISBLANK($A81),"NO_CODE",VLOOKUP($A81,'UPD Questions_290926 '!$E$1:$N$300,MATCH(E$1,'UPD Questions_290926 '!$E$1:$N$1,0),0)&amp;"")</f>
        <v>SQ</v>
      </c>
      <c r="F81" s="77" t="str">
        <f>IF(ISBLANK($A81),"NO_CODE",VLOOKUP($A81,'UPD Questions_290926 '!$E$1:$N$300,MATCH(F$1,'UPD Questions_290926 '!$E$1:$N$1,0),0)&amp;"")</f>
        <v>Does the city have a Climate Action/Sustainability/Disaster Management Cell?</v>
      </c>
      <c r="G81" s="77" t="str">
        <f>IF(ISBLANK($A81),"NO_CODE",VLOOKUP($A81,'UPD Questions_290926 '!$E$1:$N$300,MATCH(G$1,'UPD Questions_290926 '!$E$1:$N$1,0),0)&amp;"")</f>
        <v>Implementation</v>
      </c>
      <c r="H81" s="79">
        <f>IF(ISBLANK($A81),"NO_CODE",VLOOKUP($A81,'UPD Questions_290926 '!$E$1:$N$300,MATCH(H$1,'UPD Questions_290926 '!$E$1:$N$1,0),0))</f>
        <v>2.5</v>
      </c>
      <c r="I81" s="80" t="str">
        <f t="shared" ca="1" si="69"/>
        <v>?</v>
      </c>
      <c r="J81" s="80" t="str">
        <f t="shared" ca="1" si="69"/>
        <v>?</v>
      </c>
      <c r="K81" s="80" t="str">
        <f t="shared" ca="1" si="69"/>
        <v>?</v>
      </c>
      <c r="L81" s="80" t="str">
        <f t="shared" ca="1" si="69"/>
        <v>?</v>
      </c>
      <c r="M81" s="80" t="str">
        <f t="shared" ca="1" si="69"/>
        <v>?</v>
      </c>
      <c r="N81" s="80" t="str">
        <f t="shared" ca="1" si="69"/>
        <v>?</v>
      </c>
      <c r="O81" s="80" t="str">
        <f t="shared" ca="1" si="69"/>
        <v>?</v>
      </c>
      <c r="P81" s="80" t="str">
        <f t="shared" ca="1" si="69"/>
        <v>?</v>
      </c>
      <c r="Q81" s="80" t="str">
        <f t="shared" ca="1" si="69"/>
        <v>?</v>
      </c>
      <c r="R81" s="80" t="str">
        <f t="shared" ca="1" si="69"/>
        <v>?</v>
      </c>
      <c r="S81" s="80" t="str">
        <f t="shared" ca="1" si="70"/>
        <v>?</v>
      </c>
      <c r="T81" s="80" t="str">
        <f t="shared" ca="1" si="70"/>
        <v>?</v>
      </c>
      <c r="U81" s="80" t="str">
        <f t="shared" ca="1" si="70"/>
        <v>?</v>
      </c>
      <c r="V81" s="80" t="str">
        <f t="shared" ca="1" si="70"/>
        <v>?</v>
      </c>
      <c r="W81" s="80" t="str">
        <f t="shared" ca="1" si="70"/>
        <v>?</v>
      </c>
      <c r="X81" s="80" t="str">
        <f t="shared" ca="1" si="70"/>
        <v>?</v>
      </c>
      <c r="Y81" s="80" t="str">
        <f t="shared" ca="1" si="70"/>
        <v>?</v>
      </c>
      <c r="Z81" s="80" t="str">
        <f t="shared" ca="1" si="70"/>
        <v>?</v>
      </c>
      <c r="AA81" s="80" t="str">
        <f t="shared" ca="1" si="70"/>
        <v>?</v>
      </c>
      <c r="AB81" s="80" t="str">
        <f t="shared" ca="1" si="70"/>
        <v>?</v>
      </c>
      <c r="AC81" s="80" t="str">
        <f t="shared" ca="1" si="71"/>
        <v>?</v>
      </c>
      <c r="AD81" s="80" t="str">
        <f t="shared" ca="1" si="71"/>
        <v>?</v>
      </c>
      <c r="AE81" s="80" t="str">
        <f t="shared" ca="1" si="71"/>
        <v>?</v>
      </c>
      <c r="AF81" s="80" t="str">
        <f t="shared" ca="1" si="71"/>
        <v>?</v>
      </c>
      <c r="AG81" s="80" t="str">
        <f t="shared" ca="1" si="71"/>
        <v>?</v>
      </c>
      <c r="AH81" s="80" t="str">
        <f t="shared" ca="1" si="71"/>
        <v>?</v>
      </c>
      <c r="AI81" s="80" t="str">
        <f t="shared" ca="1" si="71"/>
        <v>?</v>
      </c>
      <c r="AJ81" s="80" t="str">
        <f t="shared" ca="1" si="71"/>
        <v>?</v>
      </c>
      <c r="AK81" s="80" t="str">
        <f t="shared" ca="1" si="71"/>
        <v>?</v>
      </c>
    </row>
    <row r="82" spans="1:37">
      <c r="A82" s="76" t="s">
        <v>366</v>
      </c>
      <c r="B82" s="77" t="str">
        <f>IF(ISBLANK($A82),"NO_CODE",VLOOKUP($A82,'UPD Questions_290926 '!$E$1:$N$300,MATCH(B$1,'UPD Questions_290926 '!$E$1:$N$1,0),0)&amp;"")</f>
        <v>Implementation</v>
      </c>
      <c r="C82" s="77" t="str">
        <f>IF(ISBLANK($A82),"NO_CODE",VLOOKUP($A82,'UPD Questions_290926 '!$E$1:$N$300,MATCH(C$1,'UPD Questions_290926 '!$E$1:$N$1,0),0)&amp;"")</f>
        <v>Does the city have dedicated institutional capacity to undertake specialised planning and development functions?</v>
      </c>
      <c r="D82" s="77" t="str">
        <f>IF(ISBLANK($A82),"NO_CODE",VLOOKUP($A82,'UPD Questions_290926 '!$E$1:$N$300,MATCH(D$1,'UPD Questions_290926 '!$E$1:$N$1,0),0)&amp;"")</f>
        <v>Economic development</v>
      </c>
      <c r="E82" s="77" t="str">
        <f>IF(ISBLANK($A82),"NO_CODE",VLOOKUP($A82,'UPD Questions_290926 '!$E$1:$N$300,MATCH(E$1,'UPD Questions_290926 '!$E$1:$N$1,0),0)&amp;"")</f>
        <v>SQ</v>
      </c>
      <c r="F82" s="77" t="str">
        <f>IF(ISBLANK($A82),"NO_CODE",VLOOKUP($A82,'UPD Questions_290926 '!$E$1:$N$300,MATCH(F$1,'UPD Questions_290926 '!$E$1:$N$1,0),0)&amp;"")</f>
        <v>Does the city have an Economic Develepment Cell ?</v>
      </c>
      <c r="G82" s="77" t="str">
        <f>IF(ISBLANK($A82),"NO_CODE",VLOOKUP($A82,'UPD Questions_290926 '!$E$1:$N$300,MATCH(G$1,'UPD Questions_290926 '!$E$1:$N$1,0),0)&amp;"")</f>
        <v>Implementation</v>
      </c>
      <c r="H82" s="79">
        <f>IF(ISBLANK($A82),"NO_CODE",VLOOKUP($A82,'UPD Questions_290926 '!$E$1:$N$300,MATCH(H$1,'UPD Questions_290926 '!$E$1:$N$1,0),0))</f>
        <v>2.5</v>
      </c>
      <c r="I82" s="80" t="str">
        <f t="shared" ca="1" si="69"/>
        <v>?</v>
      </c>
      <c r="J82" s="80" t="str">
        <f t="shared" ca="1" si="69"/>
        <v>?</v>
      </c>
      <c r="K82" s="80" t="str">
        <f t="shared" ca="1" si="69"/>
        <v>?</v>
      </c>
      <c r="L82" s="80" t="str">
        <f t="shared" ca="1" si="69"/>
        <v>?</v>
      </c>
      <c r="M82" s="80" t="str">
        <f t="shared" ca="1" si="69"/>
        <v>?</v>
      </c>
      <c r="N82" s="80" t="str">
        <f t="shared" ca="1" si="69"/>
        <v>?</v>
      </c>
      <c r="O82" s="80" t="str">
        <f t="shared" ca="1" si="69"/>
        <v>?</v>
      </c>
      <c r="P82" s="80" t="str">
        <f t="shared" ca="1" si="69"/>
        <v>?</v>
      </c>
      <c r="Q82" s="80" t="str">
        <f t="shared" ca="1" si="69"/>
        <v>?</v>
      </c>
      <c r="R82" s="80" t="str">
        <f t="shared" ca="1" si="69"/>
        <v>?</v>
      </c>
      <c r="S82" s="80" t="str">
        <f t="shared" ca="1" si="70"/>
        <v>?</v>
      </c>
      <c r="T82" s="80" t="str">
        <f t="shared" ca="1" si="70"/>
        <v>?</v>
      </c>
      <c r="U82" s="80" t="str">
        <f t="shared" ca="1" si="70"/>
        <v>?</v>
      </c>
      <c r="V82" s="80" t="str">
        <f t="shared" ca="1" si="70"/>
        <v>?</v>
      </c>
      <c r="W82" s="80" t="str">
        <f t="shared" ca="1" si="70"/>
        <v>?</v>
      </c>
      <c r="X82" s="80" t="str">
        <f t="shared" ca="1" si="70"/>
        <v>?</v>
      </c>
      <c r="Y82" s="80" t="str">
        <f t="shared" ca="1" si="70"/>
        <v>?</v>
      </c>
      <c r="Z82" s="80" t="str">
        <f t="shared" ca="1" si="70"/>
        <v>?</v>
      </c>
      <c r="AA82" s="80" t="str">
        <f t="shared" ca="1" si="70"/>
        <v>?</v>
      </c>
      <c r="AB82" s="80" t="str">
        <f t="shared" ca="1" si="70"/>
        <v>?</v>
      </c>
      <c r="AC82" s="80" t="str">
        <f t="shared" ca="1" si="71"/>
        <v>?</v>
      </c>
      <c r="AD82" s="80" t="str">
        <f t="shared" ca="1" si="71"/>
        <v>?</v>
      </c>
      <c r="AE82" s="80" t="str">
        <f t="shared" ca="1" si="71"/>
        <v>?</v>
      </c>
      <c r="AF82" s="80" t="str">
        <f t="shared" ca="1" si="71"/>
        <v>?</v>
      </c>
      <c r="AG82" s="80" t="str">
        <f t="shared" ca="1" si="71"/>
        <v>?</v>
      </c>
      <c r="AH82" s="80" t="str">
        <f t="shared" ca="1" si="71"/>
        <v>?</v>
      </c>
      <c r="AI82" s="80" t="str">
        <f t="shared" ca="1" si="71"/>
        <v>?</v>
      </c>
      <c r="AJ82" s="80" t="str">
        <f t="shared" ca="1" si="71"/>
        <v>?</v>
      </c>
      <c r="AK82" s="80" t="str">
        <f t="shared" ca="1" si="71"/>
        <v>?</v>
      </c>
    </row>
    <row r="83" spans="1:37">
      <c r="A83" s="76" t="s">
        <v>371</v>
      </c>
      <c r="B83" s="77" t="str">
        <f>IF(ISBLANK($A83),"NO_CODE",VLOOKUP($A83,'UPD Questions_290926 '!$E$1:$N$300,MATCH(B$1,'UPD Questions_290926 '!$E$1:$N$1,0),0)&amp;"")</f>
        <v>Implementation</v>
      </c>
      <c r="C83" s="77" t="str">
        <f>IF(ISBLANK($A83),"NO_CODE",VLOOKUP($A83,'UPD Questions_290926 '!$E$1:$N$300,MATCH(C$1,'UPD Questions_290926 '!$E$1:$N$1,0),0)&amp;"")</f>
        <v>Does the city have dedicated institutional capacity to undertake specialised planning and development functions?</v>
      </c>
      <c r="D83" s="77" t="str">
        <f>IF(ISBLANK($A83),"NO_CODE",VLOOKUP($A83,'UPD Questions_290926 '!$E$1:$N$300,MATCH(D$1,'UPD Questions_290926 '!$E$1:$N$1,0),0)&amp;"")</f>
        <v>Women's welfare or development</v>
      </c>
      <c r="E83" s="77" t="str">
        <f>IF(ISBLANK($A83),"NO_CODE",VLOOKUP($A83,'UPD Questions_290926 '!$E$1:$N$300,MATCH(E$1,'UPD Questions_290926 '!$E$1:$N$1,0),0)&amp;"")</f>
        <v>SQ</v>
      </c>
      <c r="F83" s="77" t="str">
        <f>IF(ISBLANK($A83),"NO_CODE",VLOOKUP($A83,'UPD Questions_290926 '!$E$1:$N$300,MATCH(F$1,'UPD Questions_290926 '!$E$1:$N$1,0),0)&amp;"")</f>
        <v>Does the city have a dedicated Women's Welfare/Development Cell?</v>
      </c>
      <c r="G83" s="77" t="str">
        <f>IF(ISBLANK($A83),"NO_CODE",VLOOKUP($A83,'UPD Questions_290926 '!$E$1:$N$300,MATCH(G$1,'UPD Questions_290926 '!$E$1:$N$1,0),0)&amp;"")</f>
        <v>Implementation</v>
      </c>
      <c r="H83" s="79">
        <f>IF(ISBLANK($A83),"NO_CODE",VLOOKUP($A83,'UPD Questions_290926 '!$E$1:$N$300,MATCH(H$1,'UPD Questions_290926 '!$E$1:$N$1,0),0))</f>
        <v>2.5</v>
      </c>
      <c r="I83" s="80" t="str">
        <f t="shared" ca="1" si="69"/>
        <v>?</v>
      </c>
      <c r="J83" s="80" t="str">
        <f t="shared" ca="1" si="69"/>
        <v>?</v>
      </c>
      <c r="K83" s="80" t="str">
        <f t="shared" ca="1" si="69"/>
        <v>?</v>
      </c>
      <c r="L83" s="80" t="str">
        <f t="shared" ca="1" si="69"/>
        <v>?</v>
      </c>
      <c r="M83" s="80" t="str">
        <f t="shared" ca="1" si="69"/>
        <v>?</v>
      </c>
      <c r="N83" s="80" t="str">
        <f t="shared" ca="1" si="69"/>
        <v>?</v>
      </c>
      <c r="O83" s="80" t="str">
        <f t="shared" ca="1" si="69"/>
        <v>?</v>
      </c>
      <c r="P83" s="80" t="str">
        <f t="shared" ca="1" si="69"/>
        <v>?</v>
      </c>
      <c r="Q83" s="80" t="str">
        <f t="shared" ca="1" si="69"/>
        <v>?</v>
      </c>
      <c r="R83" s="80" t="str">
        <f t="shared" ca="1" si="69"/>
        <v>?</v>
      </c>
      <c r="S83" s="80" t="str">
        <f t="shared" ca="1" si="70"/>
        <v>?</v>
      </c>
      <c r="T83" s="80" t="str">
        <f t="shared" ca="1" si="70"/>
        <v>?</v>
      </c>
      <c r="U83" s="80" t="str">
        <f t="shared" ca="1" si="70"/>
        <v>?</v>
      </c>
      <c r="V83" s="80" t="str">
        <f t="shared" ca="1" si="70"/>
        <v>?</v>
      </c>
      <c r="W83" s="80" t="str">
        <f t="shared" ca="1" si="70"/>
        <v>?</v>
      </c>
      <c r="X83" s="80" t="str">
        <f t="shared" ca="1" si="70"/>
        <v>?</v>
      </c>
      <c r="Y83" s="80" t="str">
        <f t="shared" ca="1" si="70"/>
        <v>?</v>
      </c>
      <c r="Z83" s="80" t="str">
        <f t="shared" ca="1" si="70"/>
        <v>?</v>
      </c>
      <c r="AA83" s="80" t="str">
        <f t="shared" ca="1" si="70"/>
        <v>?</v>
      </c>
      <c r="AB83" s="80" t="str">
        <f t="shared" ca="1" si="70"/>
        <v>?</v>
      </c>
      <c r="AC83" s="80" t="str">
        <f t="shared" ca="1" si="71"/>
        <v>?</v>
      </c>
      <c r="AD83" s="80" t="str">
        <f t="shared" ca="1" si="71"/>
        <v>?</v>
      </c>
      <c r="AE83" s="80" t="str">
        <f t="shared" ca="1" si="71"/>
        <v>?</v>
      </c>
      <c r="AF83" s="80" t="str">
        <f t="shared" ca="1" si="71"/>
        <v>?</v>
      </c>
      <c r="AG83" s="80" t="str">
        <f t="shared" ca="1" si="71"/>
        <v>?</v>
      </c>
      <c r="AH83" s="80" t="str">
        <f t="shared" ca="1" si="71"/>
        <v>?</v>
      </c>
      <c r="AI83" s="80" t="str">
        <f t="shared" ca="1" si="71"/>
        <v>?</v>
      </c>
      <c r="AJ83" s="80" t="str">
        <f t="shared" ca="1" si="71"/>
        <v>?</v>
      </c>
      <c r="AK83" s="80" t="str">
        <f t="shared" ca="1" si="71"/>
        <v>?</v>
      </c>
    </row>
    <row r="84" spans="1:37">
      <c r="A84" s="76" t="s">
        <v>224</v>
      </c>
      <c r="B84" s="77" t="str">
        <f>IF(ISBLANK($A84),"NO_CODE",VLOOKUP($A84,'UPD Questions_290926 '!$E$1:$N$300,MATCH(B$1,'UPD Questions_290926 '!$E$1:$N$1,0),0)&amp;"")</f>
        <v>Implementation</v>
      </c>
      <c r="C84" s="77" t="str">
        <f>IF(ISBLANK($A84),"NO_CODE",VLOOKUP($A84,'UPD Questions_290926 '!$E$1:$N$300,MATCH(C$1,'UPD Questions_290926 '!$E$1:$N$1,0),0)&amp;"")</f>
        <v>Urban design, accessibility and parking</v>
      </c>
      <c r="D84" s="77" t="str">
        <f>IF(ISBLANK($A84),"NO_CODE",VLOOKUP($A84,'UPD Questions_290926 '!$E$1:$N$300,MATCH(D$1,'UPD Questions_290926 '!$E$1:$N$1,0),0)&amp;"")</f>
        <v>Urban design standards and universal accessibility</v>
      </c>
      <c r="E84" s="77" t="str">
        <f>IF(ISBLANK($A84),"NO_CODE",VLOOKUP($A84,'UPD Questions_290926 '!$E$1:$N$300,MATCH(E$1,'UPD Questions_290926 '!$E$1:$N$1,0),0)&amp;"")</f>
        <v>MQ</v>
      </c>
      <c r="F84" s="77" t="str">
        <f>IF(ISBLANK($A84),"NO_CODE",VLOOKUP($A84,'UPD Questions_290926 '!$E$1:$N$300,MATCH(F$1,'UPD Questions_290926 '!$E$1:$N$1,0),0)&amp;"")</f>
        <v>Are there prescribed urban design standards to guide the execution of urban projects, including standards for universal accessibility?</v>
      </c>
      <c r="G84" s="77" t="str">
        <f>IF(ISBLANK($A84),"NO_CODE",VLOOKUP($A84,'UPD Questions_290926 '!$E$1:$N$300,MATCH(G$1,'UPD Questions_290926 '!$E$1:$N$1,0),0)&amp;"")</f>
        <v>Law or Policy</v>
      </c>
      <c r="H84" s="79">
        <f>IF(ISBLANK($A84),"NO_CODE",VLOOKUP($A84,'UPD Questions_290926 '!$E$1:$N$300,MATCH(H$1,'UPD Questions_290926 '!$E$1:$N$1,0),0))</f>
        <v>10</v>
      </c>
      <c r="I84" s="80" t="str">
        <f t="shared" ref="I84:AK84" ca="1" si="72">IF(OR(I85="ER",I86="ER"),"ER",IF(OR(I85="?",I86="?"),"?",IF(AND(I85="NA",I86="NA"),"NA",SUM(I85,I86)/((I85&lt;&gt;"NA")*$H$85+(I86&lt;&gt;"NA")*$H$86)*$H84)))</f>
        <v>?</v>
      </c>
      <c r="J84" s="80" t="str">
        <f t="shared" ca="1" si="72"/>
        <v>?</v>
      </c>
      <c r="K84" s="80" t="str">
        <f t="shared" ca="1" si="72"/>
        <v>?</v>
      </c>
      <c r="L84" s="80" t="str">
        <f t="shared" ca="1" si="72"/>
        <v>?</v>
      </c>
      <c r="M84" s="80" t="str">
        <f t="shared" ca="1" si="72"/>
        <v>?</v>
      </c>
      <c r="N84" s="80" t="str">
        <f t="shared" ca="1" si="72"/>
        <v>?</v>
      </c>
      <c r="O84" s="80" t="str">
        <f t="shared" ca="1" si="72"/>
        <v>?</v>
      </c>
      <c r="P84" s="80" t="str">
        <f t="shared" ca="1" si="72"/>
        <v>?</v>
      </c>
      <c r="Q84" s="80" t="str">
        <f t="shared" ca="1" si="72"/>
        <v>?</v>
      </c>
      <c r="R84" s="80" t="str">
        <f t="shared" ca="1" si="72"/>
        <v>?</v>
      </c>
      <c r="S84" s="80" t="str">
        <f t="shared" ca="1" si="72"/>
        <v>?</v>
      </c>
      <c r="T84" s="80" t="str">
        <f t="shared" ca="1" si="72"/>
        <v>?</v>
      </c>
      <c r="U84" s="80" t="str">
        <f t="shared" ca="1" si="72"/>
        <v>?</v>
      </c>
      <c r="V84" s="80" t="str">
        <f t="shared" ca="1" si="72"/>
        <v>?</v>
      </c>
      <c r="W84" s="80" t="str">
        <f t="shared" ca="1" si="72"/>
        <v>?</v>
      </c>
      <c r="X84" s="80" t="str">
        <f t="shared" ca="1" si="72"/>
        <v>?</v>
      </c>
      <c r="Y84" s="80" t="str">
        <f t="shared" ca="1" si="72"/>
        <v>?</v>
      </c>
      <c r="Z84" s="80" t="str">
        <f t="shared" ca="1" si="72"/>
        <v>?</v>
      </c>
      <c r="AA84" s="80" t="str">
        <f t="shared" ca="1" si="72"/>
        <v>?</v>
      </c>
      <c r="AB84" s="80" t="str">
        <f t="shared" ca="1" si="72"/>
        <v>?</v>
      </c>
      <c r="AC84" s="80" t="str">
        <f t="shared" ca="1" si="72"/>
        <v>?</v>
      </c>
      <c r="AD84" s="80" t="str">
        <f t="shared" ca="1" si="72"/>
        <v>?</v>
      </c>
      <c r="AE84" s="80" t="str">
        <f t="shared" ca="1" si="72"/>
        <v>?</v>
      </c>
      <c r="AF84" s="80" t="str">
        <f t="shared" ca="1" si="72"/>
        <v>?</v>
      </c>
      <c r="AG84" s="80" t="str">
        <f t="shared" ca="1" si="72"/>
        <v>?</v>
      </c>
      <c r="AH84" s="80" t="str">
        <f t="shared" ca="1" si="72"/>
        <v>?</v>
      </c>
      <c r="AI84" s="80" t="str">
        <f t="shared" ca="1" si="72"/>
        <v>?</v>
      </c>
      <c r="AJ84" s="80" t="str">
        <f t="shared" ca="1" si="72"/>
        <v>?</v>
      </c>
      <c r="AK84" s="80" t="str">
        <f t="shared" ca="1" si="72"/>
        <v>?</v>
      </c>
    </row>
    <row r="85" spans="1:37">
      <c r="A85" s="76" t="s">
        <v>380</v>
      </c>
      <c r="B85" s="77" t="str">
        <f>IF(ISBLANK($A85),"NO_CODE",VLOOKUP($A85,'UPD Questions_290926 '!$E$1:$N$300,MATCH(B$1,'UPD Questions_290926 '!$E$1:$N$1,0),0)&amp;"")</f>
        <v>Implementation</v>
      </c>
      <c r="C85" s="77" t="str">
        <f>IF(ISBLANK($A85),"NO_CODE",VLOOKUP($A85,'UPD Questions_290926 '!$E$1:$N$300,MATCH(C$1,'UPD Questions_290926 '!$E$1:$N$1,0),0)&amp;"")</f>
        <v>Urban design, accessibility and parking</v>
      </c>
      <c r="D85" s="77" t="str">
        <f>IF(ISBLANK($A85),"NO_CODE",VLOOKUP($A85,'UPD Questions_290926 '!$E$1:$N$300,MATCH(D$1,'UPD Questions_290926 '!$E$1:$N$1,0),0)&amp;"")</f>
        <v>Urban design standards and universal accessibility</v>
      </c>
      <c r="E85" s="77" t="str">
        <f>IF(ISBLANK($A85),"NO_CODE",VLOOKUP($A85,'UPD Questions_290926 '!$E$1:$N$300,MATCH(E$1,'UPD Questions_290926 '!$E$1:$N$1,0),0)&amp;"")</f>
        <v>SQ</v>
      </c>
      <c r="F85" s="77" t="str">
        <f>IF(ISBLANK($A85),"NO_CODE",VLOOKUP($A85,'UPD Questions_290926 '!$E$1:$N$300,MATCH(F$1,'UPD Questions_290926 '!$E$1:$N$1,0),0)&amp;"")</f>
        <v>Does the law mandate comprehensive urban design standards and universal accessibility?</v>
      </c>
      <c r="G85" s="77" t="str">
        <f>IF(ISBLANK($A85),"NO_CODE",VLOOKUP($A85,'UPD Questions_290926 '!$E$1:$N$300,MATCH(G$1,'UPD Questions_290926 '!$E$1:$N$1,0),0)&amp;"")</f>
        <v>Law or Policy</v>
      </c>
      <c r="H85" s="79">
        <f>IF(ISBLANK($A85),"NO_CODE",VLOOKUP($A85,'UPD Questions_290926 '!$E$1:$N$300,MATCH(H$1,'UPD Questions_290926 '!$E$1:$N$1,0),0))</f>
        <v>5</v>
      </c>
      <c r="I85" s="80" t="str">
        <f t="shared" ref="I85:R86" ca="1" si="73">IF($H85=0,"NA",IF($A85=INDIRECT("'"&amp;$A85&amp;"'!$B$1"),IF(VLOOKUP(I$1,INDIRECT("'"&amp;$A85&amp;"'!$A$12:$Z$41"),MATCH("Points (Auto-generate)",INDIRECT("'"&amp;$A85&amp;"'!$A$12:$Z$12"),0),0)="","?",VLOOKUP(I$1,INDIRECT("'"&amp;$A85&amp;"'!$A$12:$Z$41"),MATCH("Points (Auto-generate)",INDIRECT("'"&amp;$A85&amp;"'!$A$12:$Z$12"),0),0)),"ER"))</f>
        <v>?</v>
      </c>
      <c r="J85" s="80" t="str">
        <f t="shared" ca="1" si="73"/>
        <v>?</v>
      </c>
      <c r="K85" s="80" t="str">
        <f t="shared" ca="1" si="73"/>
        <v>?</v>
      </c>
      <c r="L85" s="80" t="str">
        <f t="shared" ca="1" si="73"/>
        <v>?</v>
      </c>
      <c r="M85" s="80" t="str">
        <f t="shared" ca="1" si="73"/>
        <v>?</v>
      </c>
      <c r="N85" s="80" t="str">
        <f t="shared" ca="1" si="73"/>
        <v>?</v>
      </c>
      <c r="O85" s="80" t="str">
        <f t="shared" ca="1" si="73"/>
        <v>?</v>
      </c>
      <c r="P85" s="80" t="str">
        <f t="shared" ca="1" si="73"/>
        <v>?</v>
      </c>
      <c r="Q85" s="80" t="str">
        <f t="shared" ca="1" si="73"/>
        <v>?</v>
      </c>
      <c r="R85" s="80" t="str">
        <f t="shared" ca="1" si="73"/>
        <v>?</v>
      </c>
      <c r="S85" s="80" t="str">
        <f t="shared" ref="S85:AB86" ca="1" si="74">IF($H85=0,"NA",IF($A85=INDIRECT("'"&amp;$A85&amp;"'!$B$1"),IF(VLOOKUP(S$1,INDIRECT("'"&amp;$A85&amp;"'!$A$12:$Z$41"),MATCH("Points (Auto-generate)",INDIRECT("'"&amp;$A85&amp;"'!$A$12:$Z$12"),0),0)="","?",VLOOKUP(S$1,INDIRECT("'"&amp;$A85&amp;"'!$A$12:$Z$41"),MATCH("Points (Auto-generate)",INDIRECT("'"&amp;$A85&amp;"'!$A$12:$Z$12"),0),0)),"ER"))</f>
        <v>?</v>
      </c>
      <c r="T85" s="80" t="str">
        <f t="shared" ca="1" si="74"/>
        <v>?</v>
      </c>
      <c r="U85" s="80" t="str">
        <f t="shared" ca="1" si="74"/>
        <v>?</v>
      </c>
      <c r="V85" s="80" t="str">
        <f t="shared" ca="1" si="74"/>
        <v>?</v>
      </c>
      <c r="W85" s="80" t="str">
        <f t="shared" ca="1" si="74"/>
        <v>?</v>
      </c>
      <c r="X85" s="80" t="str">
        <f t="shared" ca="1" si="74"/>
        <v>?</v>
      </c>
      <c r="Y85" s="80" t="str">
        <f t="shared" ca="1" si="74"/>
        <v>?</v>
      </c>
      <c r="Z85" s="80" t="str">
        <f t="shared" ca="1" si="74"/>
        <v>?</v>
      </c>
      <c r="AA85" s="80" t="str">
        <f t="shared" ca="1" si="74"/>
        <v>?</v>
      </c>
      <c r="AB85" s="80" t="str">
        <f t="shared" ca="1" si="74"/>
        <v>?</v>
      </c>
      <c r="AC85" s="80" t="str">
        <f t="shared" ref="AC85:AK86" ca="1" si="75">IF($H85=0,"NA",IF($A85=INDIRECT("'"&amp;$A85&amp;"'!$B$1"),IF(VLOOKUP(AC$1,INDIRECT("'"&amp;$A85&amp;"'!$A$12:$Z$41"),MATCH("Points (Auto-generate)",INDIRECT("'"&amp;$A85&amp;"'!$A$12:$Z$12"),0),0)="","?",VLOOKUP(AC$1,INDIRECT("'"&amp;$A85&amp;"'!$A$12:$Z$41"),MATCH("Points (Auto-generate)",INDIRECT("'"&amp;$A85&amp;"'!$A$12:$Z$12"),0),0)),"ER"))</f>
        <v>?</v>
      </c>
      <c r="AD85" s="80" t="str">
        <f t="shared" ca="1" si="75"/>
        <v>?</v>
      </c>
      <c r="AE85" s="80" t="str">
        <f t="shared" ca="1" si="75"/>
        <v>?</v>
      </c>
      <c r="AF85" s="80" t="str">
        <f t="shared" ca="1" si="75"/>
        <v>?</v>
      </c>
      <c r="AG85" s="80" t="str">
        <f t="shared" ca="1" si="75"/>
        <v>?</v>
      </c>
      <c r="AH85" s="80" t="str">
        <f t="shared" ca="1" si="75"/>
        <v>?</v>
      </c>
      <c r="AI85" s="80" t="str">
        <f t="shared" ca="1" si="75"/>
        <v>?</v>
      </c>
      <c r="AJ85" s="80" t="str">
        <f t="shared" ca="1" si="75"/>
        <v>?</v>
      </c>
      <c r="AK85" s="80" t="str">
        <f t="shared" ca="1" si="75"/>
        <v>?</v>
      </c>
    </row>
    <row r="86" spans="1:37">
      <c r="A86" s="76" t="s">
        <v>384</v>
      </c>
      <c r="B86" s="77" t="str">
        <f>IF(ISBLANK($A86),"NO_CODE",VLOOKUP($A86,'UPD Questions_290926 '!$E$1:$N$300,MATCH(B$1,'UPD Questions_290926 '!$E$1:$N$1,0),0)&amp;"")</f>
        <v>Implementation</v>
      </c>
      <c r="C86" s="77" t="str">
        <f>IF(ISBLANK($A86),"NO_CODE",VLOOKUP($A86,'UPD Questions_290926 '!$E$1:$N$300,MATCH(C$1,'UPD Questions_290926 '!$E$1:$N$1,0),0)&amp;"")</f>
        <v>Urban design, accessibility and parking</v>
      </c>
      <c r="D86" s="77" t="str">
        <f>IF(ISBLANK($A86),"NO_CODE",VLOOKUP($A86,'UPD Questions_290926 '!$E$1:$N$300,MATCH(D$1,'UPD Questions_290926 '!$E$1:$N$1,0),0)&amp;"")</f>
        <v>Urban design standards and universal accessibility</v>
      </c>
      <c r="E86" s="77" t="str">
        <f>IF(ISBLANK($A86),"NO_CODE",VLOOKUP($A86,'UPD Questions_290926 '!$E$1:$N$300,MATCH(E$1,'UPD Questions_290926 '!$E$1:$N$1,0),0)&amp;"")</f>
        <v>SQ</v>
      </c>
      <c r="F86" s="77" t="str">
        <f>IF(ISBLANK($A86),"NO_CODE",VLOOKUP($A86,'UPD Questions_290926 '!$E$1:$N$300,MATCH(F$1,'UPD Questions_290926 '!$E$1:$N$1,0),0)&amp;"")</f>
        <v>Does the city have urban design standards to guide the execution of urban projects?</v>
      </c>
      <c r="G86" s="77" t="str">
        <f>IF(ISBLANK($A86),"NO_CODE",VLOOKUP($A86,'UPD Questions_290926 '!$E$1:$N$300,MATCH(G$1,'UPD Questions_290926 '!$E$1:$N$1,0),0)&amp;"")</f>
        <v>Implementation</v>
      </c>
      <c r="H86" s="79">
        <f>IF(ISBLANK($A86),"NO_CODE",VLOOKUP($A86,'UPD Questions_290926 '!$E$1:$N$300,MATCH(H$1,'UPD Questions_290926 '!$E$1:$N$1,0),0))</f>
        <v>5</v>
      </c>
      <c r="I86" s="80" t="str">
        <f t="shared" ca="1" si="73"/>
        <v>?</v>
      </c>
      <c r="J86" s="80" t="str">
        <f t="shared" ca="1" si="73"/>
        <v>?</v>
      </c>
      <c r="K86" s="80" t="str">
        <f t="shared" ca="1" si="73"/>
        <v>?</v>
      </c>
      <c r="L86" s="80" t="str">
        <f t="shared" ca="1" si="73"/>
        <v>?</v>
      </c>
      <c r="M86" s="80" t="str">
        <f t="shared" ca="1" si="73"/>
        <v>?</v>
      </c>
      <c r="N86" s="80" t="str">
        <f t="shared" ca="1" si="73"/>
        <v>?</v>
      </c>
      <c r="O86" s="80" t="str">
        <f t="shared" ca="1" si="73"/>
        <v>?</v>
      </c>
      <c r="P86" s="80" t="str">
        <f t="shared" ca="1" si="73"/>
        <v>?</v>
      </c>
      <c r="Q86" s="80" t="str">
        <f t="shared" ca="1" si="73"/>
        <v>?</v>
      </c>
      <c r="R86" s="80" t="str">
        <f t="shared" ca="1" si="73"/>
        <v>?</v>
      </c>
      <c r="S86" s="80" t="str">
        <f t="shared" ca="1" si="74"/>
        <v>?</v>
      </c>
      <c r="T86" s="80" t="str">
        <f t="shared" ca="1" si="74"/>
        <v>?</v>
      </c>
      <c r="U86" s="80" t="str">
        <f t="shared" ca="1" si="74"/>
        <v>?</v>
      </c>
      <c r="V86" s="80" t="str">
        <f t="shared" ca="1" si="74"/>
        <v>?</v>
      </c>
      <c r="W86" s="80" t="str">
        <f t="shared" ca="1" si="74"/>
        <v>?</v>
      </c>
      <c r="X86" s="80" t="str">
        <f t="shared" ca="1" si="74"/>
        <v>?</v>
      </c>
      <c r="Y86" s="80" t="str">
        <f t="shared" ca="1" si="74"/>
        <v>?</v>
      </c>
      <c r="Z86" s="80" t="str">
        <f t="shared" ca="1" si="74"/>
        <v>?</v>
      </c>
      <c r="AA86" s="80" t="str">
        <f t="shared" ca="1" si="74"/>
        <v>?</v>
      </c>
      <c r="AB86" s="80" t="str">
        <f t="shared" ca="1" si="74"/>
        <v>?</v>
      </c>
      <c r="AC86" s="80" t="str">
        <f t="shared" ca="1" si="75"/>
        <v>?</v>
      </c>
      <c r="AD86" s="80" t="str">
        <f t="shared" ca="1" si="75"/>
        <v>?</v>
      </c>
      <c r="AE86" s="80" t="str">
        <f t="shared" ca="1" si="75"/>
        <v>?</v>
      </c>
      <c r="AF86" s="80" t="str">
        <f t="shared" ca="1" si="75"/>
        <v>?</v>
      </c>
      <c r="AG86" s="80" t="str">
        <f t="shared" ca="1" si="75"/>
        <v>?</v>
      </c>
      <c r="AH86" s="80" t="str">
        <f t="shared" ca="1" si="75"/>
        <v>?</v>
      </c>
      <c r="AI86" s="80" t="str">
        <f t="shared" ca="1" si="75"/>
        <v>?</v>
      </c>
      <c r="AJ86" s="80" t="str">
        <f t="shared" ca="1" si="75"/>
        <v>?</v>
      </c>
      <c r="AK86" s="80" t="str">
        <f t="shared" ca="1" si="75"/>
        <v>?</v>
      </c>
    </row>
    <row r="87" spans="1:37">
      <c r="A87" s="76" t="s">
        <v>388</v>
      </c>
      <c r="B87" s="77" t="str">
        <f>IF(ISBLANK($A87),"NO_CODE",VLOOKUP($A87,'UPD Questions_290926 '!$E$1:$N$300,MATCH(B$1,'UPD Questions_290926 '!$E$1:$N$1,0),0)&amp;"")</f>
        <v>Implementation</v>
      </c>
      <c r="C87" s="77" t="str">
        <f>IF(ISBLANK($A87),"NO_CODE",VLOOKUP($A87,'UPD Questions_290926 '!$E$1:$N$300,MATCH(C$1,'UPD Questions_290926 '!$E$1:$N$1,0),0)&amp;"")</f>
        <v>Urban design, accessibility and parking</v>
      </c>
      <c r="D87" s="77" t="str">
        <f>IF(ISBLANK($A87),"NO_CODE",VLOOKUP($A87,'UPD Questions_290926 '!$E$1:$N$300,MATCH(D$1,'UPD Questions_290926 '!$E$1:$N$1,0),0)&amp;"")</f>
        <v>Parking policy</v>
      </c>
      <c r="E87" s="77" t="str">
        <f>IF(ISBLANK($A87),"NO_CODE",VLOOKUP($A87,'UPD Questions_290926 '!$E$1:$N$300,MATCH(E$1,'UPD Questions_290926 '!$E$1:$N$1,0),0)&amp;"")</f>
        <v>MQ</v>
      </c>
      <c r="F87" s="77" t="str">
        <f>IF(ISBLANK($A87),"NO_CODE",VLOOKUP($A87,'UPD Questions_290926 '!$E$1:$N$300,MATCH(F$1,'UPD Questions_290926 '!$E$1:$N$1,0),0)&amp;"")</f>
        <v xml:space="preserve">Does the city have a parking policy? </v>
      </c>
      <c r="G87" s="77" t="str">
        <f>IF(ISBLANK($A87),"NO_CODE",VLOOKUP($A87,'UPD Questions_290926 '!$E$1:$N$300,MATCH(G$1,'UPD Questions_290926 '!$E$1:$N$1,0),0)&amp;"")</f>
        <v>Implementation</v>
      </c>
      <c r="H87" s="79">
        <f>IF(ISBLANK($A87),"NO_CODE",VLOOKUP($A87,'UPD Questions_290926 '!$E$1:$N$300,MATCH(H$1,'UPD Questions_290926 '!$E$1:$N$1,0),0))</f>
        <v>10</v>
      </c>
      <c r="I87" s="80" t="str">
        <f t="shared" ref="I87:AK87" ca="1" si="76">IF(OR(I88="ER",I89="ER"),"ER",IF(OR(I88="?",I89="?"),"?",IF(AND(I88="NA",I89="NA"),"NA",SUM(I88,I89)/((I88&lt;&gt;"NA")*$H$88+(I89&lt;&gt;"NA")*$H$89)*$H87)))</f>
        <v>?</v>
      </c>
      <c r="J87" s="80" t="str">
        <f t="shared" ca="1" si="76"/>
        <v>?</v>
      </c>
      <c r="K87" s="80" t="str">
        <f t="shared" ca="1" si="76"/>
        <v>?</v>
      </c>
      <c r="L87" s="80" t="str">
        <f t="shared" ca="1" si="76"/>
        <v>?</v>
      </c>
      <c r="M87" s="80" t="str">
        <f t="shared" ca="1" si="76"/>
        <v>?</v>
      </c>
      <c r="N87" s="80" t="str">
        <f t="shared" ca="1" si="76"/>
        <v>?</v>
      </c>
      <c r="O87" s="80" t="str">
        <f t="shared" ca="1" si="76"/>
        <v>?</v>
      </c>
      <c r="P87" s="80" t="str">
        <f t="shared" ca="1" si="76"/>
        <v>?</v>
      </c>
      <c r="Q87" s="80" t="str">
        <f t="shared" ca="1" si="76"/>
        <v>?</v>
      </c>
      <c r="R87" s="80" t="str">
        <f t="shared" ca="1" si="76"/>
        <v>?</v>
      </c>
      <c r="S87" s="80" t="str">
        <f t="shared" ca="1" si="76"/>
        <v>?</v>
      </c>
      <c r="T87" s="80" t="str">
        <f t="shared" ca="1" si="76"/>
        <v>?</v>
      </c>
      <c r="U87" s="80" t="str">
        <f t="shared" ca="1" si="76"/>
        <v>?</v>
      </c>
      <c r="V87" s="80" t="str">
        <f t="shared" ca="1" si="76"/>
        <v>?</v>
      </c>
      <c r="W87" s="80" t="str">
        <f t="shared" ca="1" si="76"/>
        <v>?</v>
      </c>
      <c r="X87" s="80" t="str">
        <f t="shared" ca="1" si="76"/>
        <v>?</v>
      </c>
      <c r="Y87" s="80" t="str">
        <f t="shared" ca="1" si="76"/>
        <v>?</v>
      </c>
      <c r="Z87" s="80" t="str">
        <f t="shared" ca="1" si="76"/>
        <v>?</v>
      </c>
      <c r="AA87" s="80" t="str">
        <f t="shared" ca="1" si="76"/>
        <v>?</v>
      </c>
      <c r="AB87" s="80" t="str">
        <f t="shared" ca="1" si="76"/>
        <v>?</v>
      </c>
      <c r="AC87" s="80" t="str">
        <f t="shared" ca="1" si="76"/>
        <v>?</v>
      </c>
      <c r="AD87" s="80" t="str">
        <f t="shared" ca="1" si="76"/>
        <v>?</v>
      </c>
      <c r="AE87" s="80" t="str">
        <f t="shared" ca="1" si="76"/>
        <v>?</v>
      </c>
      <c r="AF87" s="80" t="str">
        <f t="shared" ca="1" si="76"/>
        <v>?</v>
      </c>
      <c r="AG87" s="80" t="str">
        <f t="shared" ca="1" si="76"/>
        <v>?</v>
      </c>
      <c r="AH87" s="80" t="str">
        <f t="shared" ca="1" si="76"/>
        <v>?</v>
      </c>
      <c r="AI87" s="80" t="str">
        <f t="shared" ca="1" si="76"/>
        <v>?</v>
      </c>
      <c r="AJ87" s="80" t="str">
        <f t="shared" ca="1" si="76"/>
        <v>?</v>
      </c>
      <c r="AK87" s="80" t="str">
        <f t="shared" ca="1" si="76"/>
        <v>?</v>
      </c>
    </row>
    <row r="88" spans="1:37">
      <c r="A88" s="76" t="s">
        <v>392</v>
      </c>
      <c r="B88" s="77" t="str">
        <f>IF(ISBLANK($A88),"NO_CODE",VLOOKUP($A88,'UPD Questions_290926 '!$E$1:$N$300,MATCH(B$1,'UPD Questions_290926 '!$E$1:$N$1,0),0)&amp;"")</f>
        <v>Implementation</v>
      </c>
      <c r="C88" s="77" t="str">
        <f>IF(ISBLANK($A88),"NO_CODE",VLOOKUP($A88,'UPD Questions_290926 '!$E$1:$N$300,MATCH(C$1,'UPD Questions_290926 '!$E$1:$N$1,0),0)&amp;"")</f>
        <v>Urban design, accessibility and parking</v>
      </c>
      <c r="D88" s="77" t="str">
        <f>IF(ISBLANK($A88),"NO_CODE",VLOOKUP($A88,'UPD Questions_290926 '!$E$1:$N$300,MATCH(D$1,'UPD Questions_290926 '!$E$1:$N$1,0),0)&amp;"")</f>
        <v>Parking policy</v>
      </c>
      <c r="E88" s="77" t="str">
        <f>IF(ISBLANK($A88),"NO_CODE",VLOOKUP($A88,'UPD Questions_290926 '!$E$1:$N$300,MATCH(E$1,'UPD Questions_290926 '!$E$1:$N$1,0),0)&amp;"")</f>
        <v>SQ</v>
      </c>
      <c r="F88" s="77" t="str">
        <f>IF(ISBLANK($A88),"NO_CODE",VLOOKUP($A88,'UPD Questions_290926 '!$E$1:$N$300,MATCH(F$1,'UPD Questions_290926 '!$E$1:$N$1,0),0)&amp;"")</f>
        <v>Is there a clear mandate in the law for a parking policy?</v>
      </c>
      <c r="G88" s="77" t="str">
        <f>IF(ISBLANK($A88),"NO_CODE",VLOOKUP($A88,'UPD Questions_290926 '!$E$1:$N$300,MATCH(G$1,'UPD Questions_290926 '!$E$1:$N$1,0),0)&amp;"")</f>
        <v>Law or Policy</v>
      </c>
      <c r="H88" s="79">
        <f>IF(ISBLANK($A88),"NO_CODE",VLOOKUP($A88,'UPD Questions_290926 '!$E$1:$N$300,MATCH(H$1,'UPD Questions_290926 '!$E$1:$N$1,0),0))</f>
        <v>5</v>
      </c>
      <c r="I88" s="80" t="str">
        <f t="shared" ref="I88:R90" ca="1" si="77">IF($H88=0,"NA",IF($A88=INDIRECT("'"&amp;$A88&amp;"'!$B$1"),IF(VLOOKUP(I$1,INDIRECT("'"&amp;$A88&amp;"'!$A$12:$Z$41"),MATCH("Points (Auto-generate)",INDIRECT("'"&amp;$A88&amp;"'!$A$12:$Z$12"),0),0)="","?",VLOOKUP(I$1,INDIRECT("'"&amp;$A88&amp;"'!$A$12:$Z$41"),MATCH("Points (Auto-generate)",INDIRECT("'"&amp;$A88&amp;"'!$A$12:$Z$12"),0),0)),"ER"))</f>
        <v>?</v>
      </c>
      <c r="J88" s="80" t="str">
        <f t="shared" ca="1" si="77"/>
        <v>?</v>
      </c>
      <c r="K88" s="80" t="str">
        <f t="shared" ca="1" si="77"/>
        <v>?</v>
      </c>
      <c r="L88" s="80" t="str">
        <f t="shared" ca="1" si="77"/>
        <v>?</v>
      </c>
      <c r="M88" s="80" t="str">
        <f t="shared" ca="1" si="77"/>
        <v>?</v>
      </c>
      <c r="N88" s="80" t="str">
        <f t="shared" ca="1" si="77"/>
        <v>?</v>
      </c>
      <c r="O88" s="80" t="str">
        <f t="shared" ca="1" si="77"/>
        <v>?</v>
      </c>
      <c r="P88" s="80" t="str">
        <f t="shared" ca="1" si="77"/>
        <v>?</v>
      </c>
      <c r="Q88" s="80" t="str">
        <f t="shared" ca="1" si="77"/>
        <v>?</v>
      </c>
      <c r="R88" s="80" t="str">
        <f t="shared" ca="1" si="77"/>
        <v>?</v>
      </c>
      <c r="S88" s="80" t="str">
        <f t="shared" ref="S88:AB90" ca="1" si="78">IF($H88=0,"NA",IF($A88=INDIRECT("'"&amp;$A88&amp;"'!$B$1"),IF(VLOOKUP(S$1,INDIRECT("'"&amp;$A88&amp;"'!$A$12:$Z$41"),MATCH("Points (Auto-generate)",INDIRECT("'"&amp;$A88&amp;"'!$A$12:$Z$12"),0),0)="","?",VLOOKUP(S$1,INDIRECT("'"&amp;$A88&amp;"'!$A$12:$Z$41"),MATCH("Points (Auto-generate)",INDIRECT("'"&amp;$A88&amp;"'!$A$12:$Z$12"),0),0)),"ER"))</f>
        <v>?</v>
      </c>
      <c r="T88" s="80" t="str">
        <f t="shared" ca="1" si="78"/>
        <v>?</v>
      </c>
      <c r="U88" s="80" t="str">
        <f t="shared" ca="1" si="78"/>
        <v>?</v>
      </c>
      <c r="V88" s="80" t="str">
        <f t="shared" ca="1" si="78"/>
        <v>?</v>
      </c>
      <c r="W88" s="80" t="str">
        <f t="shared" ca="1" si="78"/>
        <v>?</v>
      </c>
      <c r="X88" s="80" t="str">
        <f t="shared" ca="1" si="78"/>
        <v>?</v>
      </c>
      <c r="Y88" s="80" t="str">
        <f t="shared" ca="1" si="78"/>
        <v>?</v>
      </c>
      <c r="Z88" s="80" t="str">
        <f t="shared" ca="1" si="78"/>
        <v>?</v>
      </c>
      <c r="AA88" s="80" t="str">
        <f t="shared" ca="1" si="78"/>
        <v>?</v>
      </c>
      <c r="AB88" s="80" t="str">
        <f t="shared" ca="1" si="78"/>
        <v>?</v>
      </c>
      <c r="AC88" s="80" t="str">
        <f t="shared" ref="AC88:AK90" ca="1" si="79">IF($H88=0,"NA",IF($A88=INDIRECT("'"&amp;$A88&amp;"'!$B$1"),IF(VLOOKUP(AC$1,INDIRECT("'"&amp;$A88&amp;"'!$A$12:$Z$41"),MATCH("Points (Auto-generate)",INDIRECT("'"&amp;$A88&amp;"'!$A$12:$Z$12"),0),0)="","?",VLOOKUP(AC$1,INDIRECT("'"&amp;$A88&amp;"'!$A$12:$Z$41"),MATCH("Points (Auto-generate)",INDIRECT("'"&amp;$A88&amp;"'!$A$12:$Z$12"),0),0)),"ER"))</f>
        <v>?</v>
      </c>
      <c r="AD88" s="80" t="str">
        <f t="shared" ca="1" si="79"/>
        <v>?</v>
      </c>
      <c r="AE88" s="80" t="str">
        <f t="shared" ca="1" si="79"/>
        <v>?</v>
      </c>
      <c r="AF88" s="80" t="str">
        <f t="shared" ca="1" si="79"/>
        <v>?</v>
      </c>
      <c r="AG88" s="80" t="str">
        <f t="shared" ca="1" si="79"/>
        <v>?</v>
      </c>
      <c r="AH88" s="80" t="str">
        <f t="shared" ca="1" si="79"/>
        <v>?</v>
      </c>
      <c r="AI88" s="80" t="str">
        <f t="shared" ca="1" si="79"/>
        <v>?</v>
      </c>
      <c r="AJ88" s="80" t="str">
        <f t="shared" ca="1" si="79"/>
        <v>?</v>
      </c>
      <c r="AK88" s="80" t="str">
        <f t="shared" ca="1" si="79"/>
        <v>?</v>
      </c>
    </row>
    <row r="89" spans="1:37">
      <c r="A89" s="76" t="s">
        <v>396</v>
      </c>
      <c r="B89" s="77" t="str">
        <f>IF(ISBLANK($A89),"NO_CODE",VLOOKUP($A89,'UPD Questions_290926 '!$E$1:$N$300,MATCH(B$1,'UPD Questions_290926 '!$E$1:$N$1,0),0)&amp;"")</f>
        <v>Implementation</v>
      </c>
      <c r="C89" s="77" t="str">
        <f>IF(ISBLANK($A89),"NO_CODE",VLOOKUP($A89,'UPD Questions_290926 '!$E$1:$N$300,MATCH(C$1,'UPD Questions_290926 '!$E$1:$N$1,0),0)&amp;"")</f>
        <v>Urban design, accessibility and parking</v>
      </c>
      <c r="D89" s="77" t="str">
        <f>IF(ISBLANK($A89),"NO_CODE",VLOOKUP($A89,'UPD Questions_290926 '!$E$1:$N$300,MATCH(D$1,'UPD Questions_290926 '!$E$1:$N$1,0),0)&amp;"")</f>
        <v>Parking policy</v>
      </c>
      <c r="E89" s="77" t="str">
        <f>IF(ISBLANK($A89),"NO_CODE",VLOOKUP($A89,'UPD Questions_290926 '!$E$1:$N$300,MATCH(E$1,'UPD Questions_290926 '!$E$1:$N$1,0),0)&amp;"")</f>
        <v>SQ</v>
      </c>
      <c r="F89" s="77" t="str">
        <f>IF(ISBLANK($A89),"NO_CODE",VLOOKUP($A89,'UPD Questions_290926 '!$E$1:$N$300,MATCH(F$1,'UPD Questions_290926 '!$E$1:$N$1,0),0)&amp;"")</f>
        <v>Has the parking policy been implemented?</v>
      </c>
      <c r="G89" s="77" t="str">
        <f>IF(ISBLANK($A89),"NO_CODE",VLOOKUP($A89,'UPD Questions_290926 '!$E$1:$N$300,MATCH(G$1,'UPD Questions_290926 '!$E$1:$N$1,0),0)&amp;"")</f>
        <v>Implementation</v>
      </c>
      <c r="H89" s="79">
        <f>IF(ISBLANK($A89),"NO_CODE",VLOOKUP($A89,'UPD Questions_290926 '!$E$1:$N$300,MATCH(H$1,'UPD Questions_290926 '!$E$1:$N$1,0),0))</f>
        <v>5</v>
      </c>
      <c r="I89" s="80" t="str">
        <f t="shared" ca="1" si="77"/>
        <v>?</v>
      </c>
      <c r="J89" s="80" t="str">
        <f t="shared" ca="1" si="77"/>
        <v>?</v>
      </c>
      <c r="K89" s="80" t="str">
        <f t="shared" ca="1" si="77"/>
        <v>?</v>
      </c>
      <c r="L89" s="80" t="str">
        <f t="shared" ca="1" si="77"/>
        <v>?</v>
      </c>
      <c r="M89" s="80" t="str">
        <f t="shared" ca="1" si="77"/>
        <v>?</v>
      </c>
      <c r="N89" s="80" t="str">
        <f t="shared" ca="1" si="77"/>
        <v>?</v>
      </c>
      <c r="O89" s="80" t="str">
        <f t="shared" ca="1" si="77"/>
        <v>?</v>
      </c>
      <c r="P89" s="80" t="str">
        <f t="shared" ca="1" si="77"/>
        <v>?</v>
      </c>
      <c r="Q89" s="80" t="str">
        <f t="shared" ca="1" si="77"/>
        <v>?</v>
      </c>
      <c r="R89" s="80" t="str">
        <f t="shared" ca="1" si="77"/>
        <v>?</v>
      </c>
      <c r="S89" s="80" t="str">
        <f t="shared" ca="1" si="78"/>
        <v>?</v>
      </c>
      <c r="T89" s="80" t="str">
        <f t="shared" ca="1" si="78"/>
        <v>?</v>
      </c>
      <c r="U89" s="80" t="str">
        <f t="shared" ca="1" si="78"/>
        <v>?</v>
      </c>
      <c r="V89" s="80" t="str">
        <f t="shared" ca="1" si="78"/>
        <v>?</v>
      </c>
      <c r="W89" s="80" t="str">
        <f t="shared" ca="1" si="78"/>
        <v>?</v>
      </c>
      <c r="X89" s="80" t="str">
        <f t="shared" ca="1" si="78"/>
        <v>?</v>
      </c>
      <c r="Y89" s="80" t="str">
        <f t="shared" ca="1" si="78"/>
        <v>?</v>
      </c>
      <c r="Z89" s="80" t="str">
        <f t="shared" ca="1" si="78"/>
        <v>?</v>
      </c>
      <c r="AA89" s="80" t="str">
        <f t="shared" ca="1" si="78"/>
        <v>?</v>
      </c>
      <c r="AB89" s="80" t="str">
        <f t="shared" ca="1" si="78"/>
        <v>?</v>
      </c>
      <c r="AC89" s="80" t="str">
        <f t="shared" ca="1" si="79"/>
        <v>?</v>
      </c>
      <c r="AD89" s="80" t="str">
        <f t="shared" ca="1" si="79"/>
        <v>?</v>
      </c>
      <c r="AE89" s="80" t="str">
        <f t="shared" ca="1" si="79"/>
        <v>?</v>
      </c>
      <c r="AF89" s="80" t="str">
        <f t="shared" ca="1" si="79"/>
        <v>?</v>
      </c>
      <c r="AG89" s="80" t="str">
        <f t="shared" ca="1" si="79"/>
        <v>?</v>
      </c>
      <c r="AH89" s="80" t="str">
        <f t="shared" ca="1" si="79"/>
        <v>?</v>
      </c>
      <c r="AI89" s="80" t="str">
        <f t="shared" ca="1" si="79"/>
        <v>?</v>
      </c>
      <c r="AJ89" s="80" t="str">
        <f t="shared" ca="1" si="79"/>
        <v>?</v>
      </c>
      <c r="AK89" s="80" t="str">
        <f t="shared" ca="1" si="79"/>
        <v>?</v>
      </c>
    </row>
    <row r="90" spans="1:37">
      <c r="A90" s="76" t="s">
        <v>401</v>
      </c>
      <c r="B90" s="77" t="str">
        <f>IF(ISBLANK($A90),"NO_CODE",VLOOKUP($A90,'UPD Questions_290926 '!$E$1:$N$300,MATCH(B$1,'UPD Questions_290926 '!$E$1:$N$1,0),0)&amp;"")</f>
        <v>Implementation</v>
      </c>
      <c r="C90" s="77" t="str">
        <f>IF(ISBLANK($A90),"NO_CODE",VLOOKUP($A90,'UPD Questions_290926 '!$E$1:$N$300,MATCH(C$1,'UPD Questions_290926 '!$E$1:$N$1,0),0)&amp;"")</f>
        <v>Development Control Regulations and land-management instruments</v>
      </c>
      <c r="D90" s="77" t="str">
        <f>IF(ISBLANK($A90),"NO_CODE",VLOOKUP($A90,'UPD Questions_290926 '!$E$1:$N$300,MATCH(D$1,'UPD Questions_290926 '!$E$1:$N$1,0),0)&amp;"")</f>
        <v>Applicability and currency of DCRs</v>
      </c>
      <c r="E90" s="77" t="str">
        <f>IF(ISBLANK($A90),"NO_CODE",VLOOKUP($A90,'UPD Questions_290926 '!$E$1:$N$300,MATCH(E$1,'UPD Questions_290926 '!$E$1:$N$1,0),0)&amp;"")</f>
        <v>MQ</v>
      </c>
      <c r="F90" s="77" t="str">
        <f>IF(ISBLANK($A90),"NO_CODE",VLOOKUP($A90,'UPD Questions_290926 '!$E$1:$N$300,MATCH(F$1,'UPD Questions_290926 '!$E$1:$N$1,0),0)&amp;"")</f>
        <v>Does the city have a city-specific Development Control Regulation (DCR)?</v>
      </c>
      <c r="G90" s="77" t="str">
        <f>IF(ISBLANK($A90),"NO_CODE",VLOOKUP($A90,'UPD Questions_290926 '!$E$1:$N$300,MATCH(G$1,'UPD Questions_290926 '!$E$1:$N$1,0),0)&amp;"")</f>
        <v>Law or Policy &amp; Implementation</v>
      </c>
      <c r="H90" s="79">
        <f>IF(ISBLANK($A90),"NO_CODE",VLOOKUP($A90,'UPD Questions_290926 '!$E$1:$N$300,MATCH(H$1,'UPD Questions_290926 '!$E$1:$N$1,0),0))</f>
        <v>10</v>
      </c>
      <c r="I90" s="80" t="str">
        <f t="shared" ca="1" si="77"/>
        <v>?</v>
      </c>
      <c r="J90" s="80" t="str">
        <f t="shared" ca="1" si="77"/>
        <v>?</v>
      </c>
      <c r="K90" s="80" t="str">
        <f t="shared" ca="1" si="77"/>
        <v>?</v>
      </c>
      <c r="L90" s="80" t="str">
        <f t="shared" ca="1" si="77"/>
        <v>?</v>
      </c>
      <c r="M90" s="80" t="str">
        <f t="shared" ca="1" si="77"/>
        <v>?</v>
      </c>
      <c r="N90" s="80" t="str">
        <f t="shared" ca="1" si="77"/>
        <v>?</v>
      </c>
      <c r="O90" s="80" t="str">
        <f t="shared" ca="1" si="77"/>
        <v>?</v>
      </c>
      <c r="P90" s="80" t="str">
        <f t="shared" ca="1" si="77"/>
        <v>?</v>
      </c>
      <c r="Q90" s="80" t="str">
        <f t="shared" ca="1" si="77"/>
        <v>?</v>
      </c>
      <c r="R90" s="80" t="str">
        <f t="shared" ca="1" si="77"/>
        <v>?</v>
      </c>
      <c r="S90" s="80" t="str">
        <f t="shared" ca="1" si="78"/>
        <v>?</v>
      </c>
      <c r="T90" s="80" t="str">
        <f t="shared" ca="1" si="78"/>
        <v>?</v>
      </c>
      <c r="U90" s="80" t="str">
        <f t="shared" ca="1" si="78"/>
        <v>?</v>
      </c>
      <c r="V90" s="80" t="str">
        <f t="shared" ca="1" si="78"/>
        <v>?</v>
      </c>
      <c r="W90" s="80" t="str">
        <f t="shared" ca="1" si="78"/>
        <v>?</v>
      </c>
      <c r="X90" s="80" t="str">
        <f t="shared" ca="1" si="78"/>
        <v>?</v>
      </c>
      <c r="Y90" s="80" t="str">
        <f t="shared" ca="1" si="78"/>
        <v>?</v>
      </c>
      <c r="Z90" s="80" t="str">
        <f t="shared" ca="1" si="78"/>
        <v>?</v>
      </c>
      <c r="AA90" s="80" t="str">
        <f t="shared" ca="1" si="78"/>
        <v>?</v>
      </c>
      <c r="AB90" s="80" t="str">
        <f t="shared" ca="1" si="78"/>
        <v>?</v>
      </c>
      <c r="AC90" s="80" t="str">
        <f t="shared" ca="1" si="79"/>
        <v>?</v>
      </c>
      <c r="AD90" s="80" t="str">
        <f t="shared" ca="1" si="79"/>
        <v>?</v>
      </c>
      <c r="AE90" s="80" t="str">
        <f t="shared" ca="1" si="79"/>
        <v>?</v>
      </c>
      <c r="AF90" s="80" t="str">
        <f t="shared" ca="1" si="79"/>
        <v>?</v>
      </c>
      <c r="AG90" s="80" t="str">
        <f t="shared" ca="1" si="79"/>
        <v>?</v>
      </c>
      <c r="AH90" s="80" t="str">
        <f t="shared" ca="1" si="79"/>
        <v>?</v>
      </c>
      <c r="AI90" s="80" t="str">
        <f t="shared" ca="1" si="79"/>
        <v>?</v>
      </c>
      <c r="AJ90" s="80" t="str">
        <f t="shared" ca="1" si="79"/>
        <v>?</v>
      </c>
      <c r="AK90" s="80" t="str">
        <f t="shared" ca="1" si="79"/>
        <v>?</v>
      </c>
    </row>
    <row r="91" spans="1:37">
      <c r="A91" s="76" t="s">
        <v>408</v>
      </c>
      <c r="B91" s="77" t="str">
        <f>IF(ISBLANK($A91),"NO_CODE",VLOOKUP($A91,'UPD Questions_290926 '!$E$1:$N$300,MATCH(B$1,'UPD Questions_290926 '!$E$1:$N$1,0),0)&amp;"")</f>
        <v>Implementation</v>
      </c>
      <c r="C91" s="77" t="str">
        <f>IF(ISBLANK($A91),"NO_CODE",VLOOKUP($A91,'UPD Questions_290926 '!$E$1:$N$300,MATCH(C$1,'UPD Questions_290926 '!$E$1:$N$1,0),0)&amp;"")</f>
        <v>Development Control Regulations and land-management instruments</v>
      </c>
      <c r="D91" s="77" t="str">
        <f>IF(ISBLANK($A91),"NO_CODE",VLOOKUP($A91,'UPD Questions_290926 '!$E$1:$N$300,MATCH(D$1,'UPD Questions_290926 '!$E$1:$N$1,0),0)&amp;"")</f>
        <v>DCR revision and public consultation</v>
      </c>
      <c r="E91" s="77" t="str">
        <f>IF(ISBLANK($A91),"NO_CODE",VLOOKUP($A91,'UPD Questions_290926 '!$E$1:$N$300,MATCH(E$1,'UPD Questions_290926 '!$E$1:$N$1,0),0)&amp;"")</f>
        <v>MQ</v>
      </c>
      <c r="F91" s="77" t="str">
        <f>IF(ISBLANK($A91),"NO_CODE",VLOOKUP($A91,'UPD Questions_290926 '!$E$1:$N$300,MATCH(F$1,'UPD Questions_290926 '!$E$1:$N$1,0),0)&amp;"")</f>
        <v>Does the city’s DCR provide development controls, standards or incentives that enable positive economic, environmental, public health, heritage, and inclusion outcomes?</v>
      </c>
      <c r="G91" s="77" t="str">
        <f>IF(ISBLANK($A91),"NO_CODE",VLOOKUP($A91,'UPD Questions_290926 '!$E$1:$N$300,MATCH(G$1,'UPD Questions_290926 '!$E$1:$N$1,0),0)&amp;"")</f>
        <v>Law or Policy</v>
      </c>
      <c r="H91" s="79">
        <f>IF(ISBLANK($A91),"NO_CODE",VLOOKUP($A91,'UPD Questions_290926 '!$E$1:$N$300,MATCH(H$1,'UPD Questions_290926 '!$E$1:$N$1,0),0))</f>
        <v>10</v>
      </c>
      <c r="I91" s="80" t="str">
        <f t="shared" ref="I91:AK91" ca="1" si="80">IF(OR(I92="ER",I93="ER",I94="ER",I95="ER",I96="ER"),"ER",IF(OR(I92="?",I93="?",I94="?",I95="?",I96="?"),"?",IF(AND(I92="NA",I93="NA",I94="NA",I95="NA",I96="NA"),"NA",SUM(I92,I93,I94,I95,I96)/((I92&lt;&gt;"NA")*$H$92+(I93&lt;&gt;"NA")*$H$93+(I94&lt;&gt;"NA")*$H$94+(I95&lt;&gt;"NA")*$H$95+(I96&lt;&gt;"NA")*$H$96)*$H91)))</f>
        <v>?</v>
      </c>
      <c r="J91" s="80">
        <f t="shared" ca="1" si="80"/>
        <v>0</v>
      </c>
      <c r="K91" s="80" t="str">
        <f t="shared" ca="1" si="80"/>
        <v>?</v>
      </c>
      <c r="L91" s="80" t="str">
        <f t="shared" ca="1" si="80"/>
        <v>?</v>
      </c>
      <c r="M91" s="80" t="str">
        <f t="shared" ca="1" si="80"/>
        <v>?</v>
      </c>
      <c r="N91" s="80" t="str">
        <f t="shared" ca="1" si="80"/>
        <v>?</v>
      </c>
      <c r="O91" s="80" t="str">
        <f t="shared" ca="1" si="80"/>
        <v>?</v>
      </c>
      <c r="P91" s="80" t="str">
        <f t="shared" ca="1" si="80"/>
        <v>?</v>
      </c>
      <c r="Q91" s="80" t="str">
        <f t="shared" ca="1" si="80"/>
        <v>?</v>
      </c>
      <c r="R91" s="80" t="str">
        <f t="shared" ca="1" si="80"/>
        <v>?</v>
      </c>
      <c r="S91" s="80" t="str">
        <f t="shared" ca="1" si="80"/>
        <v>?</v>
      </c>
      <c r="T91" s="80" t="str">
        <f t="shared" ca="1" si="80"/>
        <v>?</v>
      </c>
      <c r="U91" s="80" t="str">
        <f t="shared" ca="1" si="80"/>
        <v>?</v>
      </c>
      <c r="V91" s="80" t="str">
        <f t="shared" ca="1" si="80"/>
        <v>?</v>
      </c>
      <c r="W91" s="80" t="str">
        <f t="shared" ca="1" si="80"/>
        <v>?</v>
      </c>
      <c r="X91" s="80" t="str">
        <f t="shared" ca="1" si="80"/>
        <v>?</v>
      </c>
      <c r="Y91" s="80" t="str">
        <f t="shared" ca="1" si="80"/>
        <v>?</v>
      </c>
      <c r="Z91" s="80" t="str">
        <f t="shared" ca="1" si="80"/>
        <v>?</v>
      </c>
      <c r="AA91" s="80" t="str">
        <f t="shared" ca="1" si="80"/>
        <v>?</v>
      </c>
      <c r="AB91" s="80" t="str">
        <f t="shared" ca="1" si="80"/>
        <v>?</v>
      </c>
      <c r="AC91" s="80" t="str">
        <f t="shared" ca="1" si="80"/>
        <v>?</v>
      </c>
      <c r="AD91" s="80" t="str">
        <f t="shared" ca="1" si="80"/>
        <v>?</v>
      </c>
      <c r="AE91" s="80" t="str">
        <f t="shared" ca="1" si="80"/>
        <v>?</v>
      </c>
      <c r="AF91" s="80" t="str">
        <f t="shared" ca="1" si="80"/>
        <v>?</v>
      </c>
      <c r="AG91" s="80" t="str">
        <f t="shared" ca="1" si="80"/>
        <v>?</v>
      </c>
      <c r="AH91" s="80" t="str">
        <f t="shared" ca="1" si="80"/>
        <v>?</v>
      </c>
      <c r="AI91" s="80" t="str">
        <f t="shared" ca="1" si="80"/>
        <v>?</v>
      </c>
      <c r="AJ91" s="80" t="str">
        <f t="shared" ca="1" si="80"/>
        <v>?</v>
      </c>
      <c r="AK91" s="80" t="str">
        <f t="shared" ca="1" si="80"/>
        <v>?</v>
      </c>
    </row>
    <row r="92" spans="1:37">
      <c r="A92" s="76" t="s">
        <v>413</v>
      </c>
      <c r="B92" s="77" t="str">
        <f>IF(ISBLANK($A92),"NO_CODE",VLOOKUP($A92,'UPD Questions_290926 '!$E$1:$N$300,MATCH(B$1,'UPD Questions_290926 '!$E$1:$N$1,0),0)&amp;"")</f>
        <v>Implementation</v>
      </c>
      <c r="C92" s="77" t="str">
        <f>IF(ISBLANK($A92),"NO_CODE",VLOOKUP($A92,'UPD Questions_290926 '!$E$1:$N$300,MATCH(C$1,'UPD Questions_290926 '!$E$1:$N$1,0),0)&amp;"")</f>
        <v>Development Control Regulations and land-management instruments</v>
      </c>
      <c r="D92" s="77" t="str">
        <f>IF(ISBLANK($A92),"NO_CODE",VLOOKUP($A92,'UPD Questions_290926 '!$E$1:$N$300,MATCH(D$1,'UPD Questions_290926 '!$E$1:$N$1,0),0)&amp;"")</f>
        <v>DCR revision and public consultation</v>
      </c>
      <c r="E92" s="77" t="str">
        <f>IF(ISBLANK($A92),"NO_CODE",VLOOKUP($A92,'UPD Questions_290926 '!$E$1:$N$300,MATCH(E$1,'UPD Questions_290926 '!$E$1:$N$1,0),0)&amp;"")</f>
        <v>SQ</v>
      </c>
      <c r="F92" s="77" t="str">
        <f>IF(ISBLANK($A92),"NO_CODE",VLOOKUP($A92,'UPD Questions_290926 '!$E$1:$N$300,MATCH(F$1,'UPD Questions_290926 '!$E$1:$N$1,0),0)&amp;"")</f>
        <v>Do the DCRs provide development controls, standards or incentives that enable different types and scales of economic activity?</v>
      </c>
      <c r="G92" s="77" t="str">
        <f>IF(ISBLANK($A92),"NO_CODE",VLOOKUP($A92,'UPD Questions_290926 '!$E$1:$N$300,MATCH(G$1,'UPD Questions_290926 '!$E$1:$N$1,0),0)&amp;"")</f>
        <v>Law or Policy</v>
      </c>
      <c r="H92" s="79">
        <f>IF(ISBLANK($A92),"NO_CODE",VLOOKUP($A92,'UPD Questions_290926 '!$E$1:$N$300,MATCH(H$1,'UPD Questions_290926 '!$E$1:$N$1,0),0))</f>
        <v>2</v>
      </c>
      <c r="I92" s="80" t="str">
        <f t="shared" ref="I92:R96" ca="1" si="81">IF($H92=0,"NA",IF($A92=INDIRECT("'"&amp;$A92&amp;"'!$B$1"),IF(VLOOKUP(I$1,INDIRECT("'"&amp;$A92&amp;"'!$A$12:$Z$41"),MATCH("Points (Auto-generate)",INDIRECT("'"&amp;$A92&amp;"'!$A$12:$Z$12"),0),0)="","?",VLOOKUP(I$1,INDIRECT("'"&amp;$A92&amp;"'!$A$12:$Z$41"),MATCH("Points (Auto-generate)",INDIRECT("'"&amp;$A92&amp;"'!$A$12:$Z$12"),0),0)),"ER"))</f>
        <v>?</v>
      </c>
      <c r="J92" s="80">
        <f t="shared" ca="1" si="81"/>
        <v>0</v>
      </c>
      <c r="K92" s="80" t="str">
        <f t="shared" ca="1" si="81"/>
        <v>?</v>
      </c>
      <c r="L92" s="80" t="str">
        <f t="shared" ca="1" si="81"/>
        <v>?</v>
      </c>
      <c r="M92" s="80" t="str">
        <f t="shared" ca="1" si="81"/>
        <v>?</v>
      </c>
      <c r="N92" s="80" t="str">
        <f t="shared" ca="1" si="81"/>
        <v>?</v>
      </c>
      <c r="O92" s="80" t="str">
        <f t="shared" ca="1" si="81"/>
        <v>?</v>
      </c>
      <c r="P92" s="80" t="str">
        <f t="shared" ca="1" si="81"/>
        <v>?</v>
      </c>
      <c r="Q92" s="80" t="str">
        <f t="shared" ca="1" si="81"/>
        <v>?</v>
      </c>
      <c r="R92" s="80" t="str">
        <f t="shared" ca="1" si="81"/>
        <v>?</v>
      </c>
      <c r="S92" s="80" t="str">
        <f t="shared" ref="S92:AB96" ca="1" si="82">IF($H92=0,"NA",IF($A92=INDIRECT("'"&amp;$A92&amp;"'!$B$1"),IF(VLOOKUP(S$1,INDIRECT("'"&amp;$A92&amp;"'!$A$12:$Z$41"),MATCH("Points (Auto-generate)",INDIRECT("'"&amp;$A92&amp;"'!$A$12:$Z$12"),0),0)="","?",VLOOKUP(S$1,INDIRECT("'"&amp;$A92&amp;"'!$A$12:$Z$41"),MATCH("Points (Auto-generate)",INDIRECT("'"&amp;$A92&amp;"'!$A$12:$Z$12"),0),0)),"ER"))</f>
        <v>?</v>
      </c>
      <c r="T92" s="80" t="str">
        <f t="shared" ca="1" si="82"/>
        <v>?</v>
      </c>
      <c r="U92" s="80" t="str">
        <f t="shared" ca="1" si="82"/>
        <v>?</v>
      </c>
      <c r="V92" s="80" t="str">
        <f t="shared" ca="1" si="82"/>
        <v>?</v>
      </c>
      <c r="W92" s="80" t="str">
        <f t="shared" ca="1" si="82"/>
        <v>?</v>
      </c>
      <c r="X92" s="80" t="str">
        <f t="shared" ca="1" si="82"/>
        <v>?</v>
      </c>
      <c r="Y92" s="80" t="str">
        <f t="shared" ca="1" si="82"/>
        <v>?</v>
      </c>
      <c r="Z92" s="80" t="str">
        <f t="shared" ca="1" si="82"/>
        <v>?</v>
      </c>
      <c r="AA92" s="80" t="str">
        <f t="shared" ca="1" si="82"/>
        <v>?</v>
      </c>
      <c r="AB92" s="80" t="str">
        <f t="shared" ca="1" si="82"/>
        <v>?</v>
      </c>
      <c r="AC92" s="80" t="str">
        <f t="shared" ref="AC92:AK96" ca="1" si="83">IF($H92=0,"NA",IF($A92=INDIRECT("'"&amp;$A92&amp;"'!$B$1"),IF(VLOOKUP(AC$1,INDIRECT("'"&amp;$A92&amp;"'!$A$12:$Z$41"),MATCH("Points (Auto-generate)",INDIRECT("'"&amp;$A92&amp;"'!$A$12:$Z$12"),0),0)="","?",VLOOKUP(AC$1,INDIRECT("'"&amp;$A92&amp;"'!$A$12:$Z$41"),MATCH("Points (Auto-generate)",INDIRECT("'"&amp;$A92&amp;"'!$A$12:$Z$12"),0),0)),"ER"))</f>
        <v>?</v>
      </c>
      <c r="AD92" s="80" t="str">
        <f t="shared" ca="1" si="83"/>
        <v>?</v>
      </c>
      <c r="AE92" s="80" t="str">
        <f t="shared" ca="1" si="83"/>
        <v>?</v>
      </c>
      <c r="AF92" s="80" t="str">
        <f t="shared" ca="1" si="83"/>
        <v>?</v>
      </c>
      <c r="AG92" s="80" t="str">
        <f t="shared" ca="1" si="83"/>
        <v>?</v>
      </c>
      <c r="AH92" s="80" t="str">
        <f t="shared" ca="1" si="83"/>
        <v>?</v>
      </c>
      <c r="AI92" s="80" t="str">
        <f t="shared" ca="1" si="83"/>
        <v>?</v>
      </c>
      <c r="AJ92" s="80" t="str">
        <f t="shared" ca="1" si="83"/>
        <v>?</v>
      </c>
      <c r="AK92" s="80" t="str">
        <f t="shared" ca="1" si="83"/>
        <v>?</v>
      </c>
    </row>
    <row r="93" spans="1:37">
      <c r="A93" s="76" t="s">
        <v>417</v>
      </c>
      <c r="B93" s="77" t="str">
        <f>IF(ISBLANK($A93),"NO_CODE",VLOOKUP($A93,'UPD Questions_290926 '!$E$1:$N$300,MATCH(B$1,'UPD Questions_290926 '!$E$1:$N$1,0),0)&amp;"")</f>
        <v>Implementation</v>
      </c>
      <c r="C93" s="77" t="str">
        <f>IF(ISBLANK($A93),"NO_CODE",VLOOKUP($A93,'UPD Questions_290926 '!$E$1:$N$300,MATCH(C$1,'UPD Questions_290926 '!$E$1:$N$1,0),0)&amp;"")</f>
        <v>Development Control Regulations and land-management instruments</v>
      </c>
      <c r="D93" s="77" t="str">
        <f>IF(ISBLANK($A93),"NO_CODE",VLOOKUP($A93,'UPD Questions_290926 '!$E$1:$N$300,MATCH(D$1,'UPD Questions_290926 '!$E$1:$N$1,0),0)&amp;"")</f>
        <v>DCR revision and public consultation</v>
      </c>
      <c r="E93" s="77" t="str">
        <f>IF(ISBLANK($A93),"NO_CODE",VLOOKUP($A93,'UPD Questions_290926 '!$E$1:$N$300,MATCH(E$1,'UPD Questions_290926 '!$E$1:$N$1,0),0)&amp;"")</f>
        <v>SQ</v>
      </c>
      <c r="F93" s="77" t="str">
        <f>IF(ISBLANK($A93),"NO_CODE",VLOOKUP($A93,'UPD Questions_290926 '!$E$1:$N$300,MATCH(F$1,'UPD Questions_290926 '!$E$1:$N$1,0),0)&amp;"")</f>
        <v>Do the DCRs provide development controls, standards or incentives that improve access, safety, affordability and development outcomes for women and the urban poor?</v>
      </c>
      <c r="G93" s="77" t="str">
        <f>IF(ISBLANK($A93),"NO_CODE",VLOOKUP($A93,'UPD Questions_290926 '!$E$1:$N$300,MATCH(G$1,'UPD Questions_290926 '!$E$1:$N$1,0),0)&amp;"")</f>
        <v>Law or Policy</v>
      </c>
      <c r="H93" s="79">
        <f>IF(ISBLANK($A93),"NO_CODE",VLOOKUP($A93,'UPD Questions_290926 '!$E$1:$N$300,MATCH(H$1,'UPD Questions_290926 '!$E$1:$N$1,0),0))</f>
        <v>2</v>
      </c>
      <c r="I93" s="80" t="str">
        <f t="shared" ca="1" si="81"/>
        <v>?</v>
      </c>
      <c r="J93" s="80">
        <f t="shared" ca="1" si="81"/>
        <v>0</v>
      </c>
      <c r="K93" s="80" t="str">
        <f t="shared" ca="1" si="81"/>
        <v>?</v>
      </c>
      <c r="L93" s="80" t="str">
        <f t="shared" ca="1" si="81"/>
        <v>?</v>
      </c>
      <c r="M93" s="80" t="str">
        <f t="shared" ca="1" si="81"/>
        <v>?</v>
      </c>
      <c r="N93" s="80" t="str">
        <f t="shared" ca="1" si="81"/>
        <v>?</v>
      </c>
      <c r="O93" s="80" t="str">
        <f t="shared" ca="1" si="81"/>
        <v>?</v>
      </c>
      <c r="P93" s="80" t="str">
        <f t="shared" ca="1" si="81"/>
        <v>?</v>
      </c>
      <c r="Q93" s="80" t="str">
        <f t="shared" ca="1" si="81"/>
        <v>?</v>
      </c>
      <c r="R93" s="80" t="str">
        <f t="shared" ca="1" si="81"/>
        <v>?</v>
      </c>
      <c r="S93" s="80" t="str">
        <f t="shared" ca="1" si="82"/>
        <v>?</v>
      </c>
      <c r="T93" s="80" t="str">
        <f t="shared" ca="1" si="82"/>
        <v>?</v>
      </c>
      <c r="U93" s="80" t="str">
        <f t="shared" ca="1" si="82"/>
        <v>?</v>
      </c>
      <c r="V93" s="80" t="str">
        <f t="shared" ca="1" si="82"/>
        <v>?</v>
      </c>
      <c r="W93" s="80" t="str">
        <f t="shared" ca="1" si="82"/>
        <v>?</v>
      </c>
      <c r="X93" s="80" t="str">
        <f t="shared" ca="1" si="82"/>
        <v>?</v>
      </c>
      <c r="Y93" s="80" t="str">
        <f t="shared" ca="1" si="82"/>
        <v>?</v>
      </c>
      <c r="Z93" s="80" t="str">
        <f t="shared" ca="1" si="82"/>
        <v>?</v>
      </c>
      <c r="AA93" s="80" t="str">
        <f t="shared" ca="1" si="82"/>
        <v>?</v>
      </c>
      <c r="AB93" s="80" t="str">
        <f t="shared" ca="1" si="82"/>
        <v>?</v>
      </c>
      <c r="AC93" s="80" t="str">
        <f t="shared" ca="1" si="83"/>
        <v>?</v>
      </c>
      <c r="AD93" s="80" t="str">
        <f t="shared" ca="1" si="83"/>
        <v>?</v>
      </c>
      <c r="AE93" s="80" t="str">
        <f t="shared" ca="1" si="83"/>
        <v>?</v>
      </c>
      <c r="AF93" s="80" t="str">
        <f t="shared" ca="1" si="83"/>
        <v>?</v>
      </c>
      <c r="AG93" s="80" t="str">
        <f t="shared" ca="1" si="83"/>
        <v>?</v>
      </c>
      <c r="AH93" s="80" t="str">
        <f t="shared" ca="1" si="83"/>
        <v>?</v>
      </c>
      <c r="AI93" s="80" t="str">
        <f t="shared" ca="1" si="83"/>
        <v>?</v>
      </c>
      <c r="AJ93" s="80" t="str">
        <f t="shared" ca="1" si="83"/>
        <v>?</v>
      </c>
      <c r="AK93" s="80" t="str">
        <f t="shared" ca="1" si="83"/>
        <v>?</v>
      </c>
    </row>
    <row r="94" spans="1:37">
      <c r="A94" s="76" t="s">
        <v>422</v>
      </c>
      <c r="B94" s="77" t="str">
        <f>IF(ISBLANK($A94),"NO_CODE",VLOOKUP($A94,'UPD Questions_290926 '!$E$1:$N$300,MATCH(B$1,'UPD Questions_290926 '!$E$1:$N$1,0),0)&amp;"")</f>
        <v>Implementation</v>
      </c>
      <c r="C94" s="77" t="str">
        <f>IF(ISBLANK($A94),"NO_CODE",VLOOKUP($A94,'UPD Questions_290926 '!$E$1:$N$300,MATCH(C$1,'UPD Questions_290926 '!$E$1:$N$1,0),0)&amp;"")</f>
        <v>Development Control Regulations and land-management instruments</v>
      </c>
      <c r="D94" s="77" t="str">
        <f>IF(ISBLANK($A94),"NO_CODE",VLOOKUP($A94,'UPD Questions_290926 '!$E$1:$N$300,MATCH(D$1,'UPD Questions_290926 '!$E$1:$N$1,0),0)&amp;"")</f>
        <v>DCR revision and public consultation</v>
      </c>
      <c r="E94" s="77" t="str">
        <f>IF(ISBLANK($A94),"NO_CODE",VLOOKUP($A94,'UPD Questions_290926 '!$E$1:$N$300,MATCH(E$1,'UPD Questions_290926 '!$E$1:$N$1,0),0)&amp;"")</f>
        <v>SQ</v>
      </c>
      <c r="F94" s="77" t="str">
        <f>IF(ISBLANK($A94),"NO_CODE",VLOOKUP($A94,'UPD Questions_290926 '!$E$1:$N$300,MATCH(F$1,'UPD Questions_290926 '!$E$1:$N$1,0),0)&amp;"")</f>
        <v>Do the DCRs provide development controls, standards or incentives that promote environmental sustainability and climate resilience?</v>
      </c>
      <c r="G94" s="77" t="str">
        <f>IF(ISBLANK($A94),"NO_CODE",VLOOKUP($A94,'UPD Questions_290926 '!$E$1:$N$300,MATCH(G$1,'UPD Questions_290926 '!$E$1:$N$1,0),0)&amp;"")</f>
        <v>Law or Policy</v>
      </c>
      <c r="H94" s="79">
        <f>IF(ISBLANK($A94),"NO_CODE",VLOOKUP($A94,'UPD Questions_290926 '!$E$1:$N$300,MATCH(H$1,'UPD Questions_290926 '!$E$1:$N$1,0),0))</f>
        <v>2</v>
      </c>
      <c r="I94" s="80" t="str">
        <f t="shared" ca="1" si="81"/>
        <v>?</v>
      </c>
      <c r="J94" s="80">
        <f t="shared" ca="1" si="81"/>
        <v>0</v>
      </c>
      <c r="K94" s="80" t="str">
        <f t="shared" ca="1" si="81"/>
        <v>?</v>
      </c>
      <c r="L94" s="80" t="str">
        <f t="shared" ca="1" si="81"/>
        <v>?</v>
      </c>
      <c r="M94" s="80" t="str">
        <f t="shared" ca="1" si="81"/>
        <v>?</v>
      </c>
      <c r="N94" s="80" t="str">
        <f t="shared" ca="1" si="81"/>
        <v>?</v>
      </c>
      <c r="O94" s="80" t="str">
        <f t="shared" ca="1" si="81"/>
        <v>?</v>
      </c>
      <c r="P94" s="80" t="str">
        <f t="shared" ca="1" si="81"/>
        <v>?</v>
      </c>
      <c r="Q94" s="80" t="str">
        <f t="shared" ca="1" si="81"/>
        <v>?</v>
      </c>
      <c r="R94" s="80" t="str">
        <f t="shared" ca="1" si="81"/>
        <v>?</v>
      </c>
      <c r="S94" s="80" t="str">
        <f t="shared" ca="1" si="82"/>
        <v>?</v>
      </c>
      <c r="T94" s="80" t="str">
        <f t="shared" ca="1" si="82"/>
        <v>?</v>
      </c>
      <c r="U94" s="80" t="str">
        <f t="shared" ca="1" si="82"/>
        <v>?</v>
      </c>
      <c r="V94" s="80" t="str">
        <f t="shared" ca="1" si="82"/>
        <v>?</v>
      </c>
      <c r="W94" s="80" t="str">
        <f t="shared" ca="1" si="82"/>
        <v>?</v>
      </c>
      <c r="X94" s="80" t="str">
        <f t="shared" ca="1" si="82"/>
        <v>?</v>
      </c>
      <c r="Y94" s="80" t="str">
        <f t="shared" ca="1" si="82"/>
        <v>?</v>
      </c>
      <c r="Z94" s="80" t="str">
        <f t="shared" ca="1" si="82"/>
        <v>?</v>
      </c>
      <c r="AA94" s="80" t="str">
        <f t="shared" ca="1" si="82"/>
        <v>?</v>
      </c>
      <c r="AB94" s="80" t="str">
        <f t="shared" ca="1" si="82"/>
        <v>?</v>
      </c>
      <c r="AC94" s="80" t="str">
        <f t="shared" ca="1" si="83"/>
        <v>?</v>
      </c>
      <c r="AD94" s="80" t="str">
        <f t="shared" ca="1" si="83"/>
        <v>?</v>
      </c>
      <c r="AE94" s="80" t="str">
        <f t="shared" ca="1" si="83"/>
        <v>?</v>
      </c>
      <c r="AF94" s="80" t="str">
        <f t="shared" ca="1" si="83"/>
        <v>?</v>
      </c>
      <c r="AG94" s="80" t="str">
        <f t="shared" ca="1" si="83"/>
        <v>?</v>
      </c>
      <c r="AH94" s="80" t="str">
        <f t="shared" ca="1" si="83"/>
        <v>?</v>
      </c>
      <c r="AI94" s="80" t="str">
        <f t="shared" ca="1" si="83"/>
        <v>?</v>
      </c>
      <c r="AJ94" s="80" t="str">
        <f t="shared" ca="1" si="83"/>
        <v>?</v>
      </c>
      <c r="AK94" s="80" t="str">
        <f t="shared" ca="1" si="83"/>
        <v>?</v>
      </c>
    </row>
    <row r="95" spans="1:37">
      <c r="A95" s="76" t="s">
        <v>427</v>
      </c>
      <c r="B95" s="77" t="str">
        <f>IF(ISBLANK($A95),"NO_CODE",VLOOKUP($A95,'UPD Questions_290926 '!$E$1:$N$300,MATCH(B$1,'UPD Questions_290926 '!$E$1:$N$1,0),0)&amp;"")</f>
        <v>Implementation</v>
      </c>
      <c r="C95" s="77" t="str">
        <f>IF(ISBLANK($A95),"NO_CODE",VLOOKUP($A95,'UPD Questions_290926 '!$E$1:$N$300,MATCH(C$1,'UPD Questions_290926 '!$E$1:$N$1,0),0)&amp;"")</f>
        <v>Development Control Regulations and land-management instruments</v>
      </c>
      <c r="D95" s="77" t="str">
        <f>IF(ISBLANK($A95),"NO_CODE",VLOOKUP($A95,'UPD Questions_290926 '!$E$1:$N$300,MATCH(D$1,'UPD Questions_290926 '!$E$1:$N$1,0),0)&amp;"")</f>
        <v>DCR revision and public consultation</v>
      </c>
      <c r="E95" s="77" t="str">
        <f>IF(ISBLANK($A95),"NO_CODE",VLOOKUP($A95,'UPD Questions_290926 '!$E$1:$N$300,MATCH(E$1,'UPD Questions_290926 '!$E$1:$N$1,0),0)&amp;"")</f>
        <v>SQ</v>
      </c>
      <c r="F95" s="77" t="str">
        <f>IF(ISBLANK($A95),"NO_CODE",VLOOKUP($A95,'UPD Questions_290926 '!$E$1:$N$300,MATCH(F$1,'UPD Questions_290926 '!$E$1:$N$1,0),0)&amp;"")</f>
        <v>Do the DCRs provide development controls or standards that promote positive public-health outcomes?</v>
      </c>
      <c r="G95" s="77" t="str">
        <f>IF(ISBLANK($A95),"NO_CODE",VLOOKUP($A95,'UPD Questions_290926 '!$E$1:$N$300,MATCH(G$1,'UPD Questions_290926 '!$E$1:$N$1,0),0)&amp;"")</f>
        <v>Law or Policy</v>
      </c>
      <c r="H95" s="79">
        <f>IF(ISBLANK($A95),"NO_CODE",VLOOKUP($A95,'UPD Questions_290926 '!$E$1:$N$300,MATCH(H$1,'UPD Questions_290926 '!$E$1:$N$1,0),0))</f>
        <v>2</v>
      </c>
      <c r="I95" s="80" t="str">
        <f t="shared" ca="1" si="81"/>
        <v>?</v>
      </c>
      <c r="J95" s="80">
        <f t="shared" ca="1" si="81"/>
        <v>0</v>
      </c>
      <c r="K95" s="80" t="str">
        <f t="shared" ca="1" si="81"/>
        <v>?</v>
      </c>
      <c r="L95" s="80" t="str">
        <f t="shared" ca="1" si="81"/>
        <v>?</v>
      </c>
      <c r="M95" s="80" t="str">
        <f t="shared" ca="1" si="81"/>
        <v>?</v>
      </c>
      <c r="N95" s="80" t="str">
        <f t="shared" ca="1" si="81"/>
        <v>?</v>
      </c>
      <c r="O95" s="80" t="str">
        <f t="shared" ca="1" si="81"/>
        <v>?</v>
      </c>
      <c r="P95" s="80" t="str">
        <f t="shared" ca="1" si="81"/>
        <v>?</v>
      </c>
      <c r="Q95" s="80" t="str">
        <f t="shared" ca="1" si="81"/>
        <v>?</v>
      </c>
      <c r="R95" s="80" t="str">
        <f t="shared" ca="1" si="81"/>
        <v>?</v>
      </c>
      <c r="S95" s="80" t="str">
        <f t="shared" ca="1" si="82"/>
        <v>?</v>
      </c>
      <c r="T95" s="80" t="str">
        <f t="shared" ca="1" si="82"/>
        <v>?</v>
      </c>
      <c r="U95" s="80" t="str">
        <f t="shared" ca="1" si="82"/>
        <v>?</v>
      </c>
      <c r="V95" s="80" t="str">
        <f t="shared" ca="1" si="82"/>
        <v>?</v>
      </c>
      <c r="W95" s="80" t="str">
        <f t="shared" ca="1" si="82"/>
        <v>?</v>
      </c>
      <c r="X95" s="80" t="str">
        <f t="shared" ca="1" si="82"/>
        <v>?</v>
      </c>
      <c r="Y95" s="80" t="str">
        <f t="shared" ca="1" si="82"/>
        <v>?</v>
      </c>
      <c r="Z95" s="80" t="str">
        <f t="shared" ca="1" si="82"/>
        <v>?</v>
      </c>
      <c r="AA95" s="80" t="str">
        <f t="shared" ca="1" si="82"/>
        <v>?</v>
      </c>
      <c r="AB95" s="80" t="str">
        <f t="shared" ca="1" si="82"/>
        <v>?</v>
      </c>
      <c r="AC95" s="80" t="str">
        <f t="shared" ca="1" si="83"/>
        <v>?</v>
      </c>
      <c r="AD95" s="80" t="str">
        <f t="shared" ca="1" si="83"/>
        <v>?</v>
      </c>
      <c r="AE95" s="80" t="str">
        <f t="shared" ca="1" si="83"/>
        <v>?</v>
      </c>
      <c r="AF95" s="80" t="str">
        <f t="shared" ca="1" si="83"/>
        <v>?</v>
      </c>
      <c r="AG95" s="80" t="str">
        <f t="shared" ca="1" si="83"/>
        <v>?</v>
      </c>
      <c r="AH95" s="80" t="str">
        <f t="shared" ca="1" si="83"/>
        <v>?</v>
      </c>
      <c r="AI95" s="80" t="str">
        <f t="shared" ca="1" si="83"/>
        <v>?</v>
      </c>
      <c r="AJ95" s="80" t="str">
        <f t="shared" ca="1" si="83"/>
        <v>?</v>
      </c>
      <c r="AK95" s="80" t="str">
        <f t="shared" ca="1" si="83"/>
        <v>?</v>
      </c>
    </row>
    <row r="96" spans="1:37">
      <c r="A96" s="76" t="s">
        <v>431</v>
      </c>
      <c r="B96" s="77" t="str">
        <f>IF(ISBLANK($A96),"NO_CODE",VLOOKUP($A96,'UPD Questions_290926 '!$E$1:$N$300,MATCH(B$1,'UPD Questions_290926 '!$E$1:$N$1,0),0)&amp;"")</f>
        <v>Implementation</v>
      </c>
      <c r="C96" s="77" t="str">
        <f>IF(ISBLANK($A96),"NO_CODE",VLOOKUP($A96,'UPD Questions_290926 '!$E$1:$N$300,MATCH(C$1,'UPD Questions_290926 '!$E$1:$N$1,0),0)&amp;"")</f>
        <v>Development Control Regulations and land-management instruments</v>
      </c>
      <c r="D96" s="77" t="str">
        <f>IF(ISBLANK($A96),"NO_CODE",VLOOKUP($A96,'UPD Questions_290926 '!$E$1:$N$300,MATCH(D$1,'UPD Questions_290926 '!$E$1:$N$1,0),0)&amp;"")</f>
        <v>DCR revision and public consultation</v>
      </c>
      <c r="E96" s="77" t="str">
        <f>IF(ISBLANK($A96),"NO_CODE",VLOOKUP($A96,'UPD Questions_290926 '!$E$1:$N$300,MATCH(E$1,'UPD Questions_290926 '!$E$1:$N$1,0),0)&amp;"")</f>
        <v>SQ</v>
      </c>
      <c r="F96" s="77" t="str">
        <f>IF(ISBLANK($A96),"NO_CODE",VLOOKUP($A96,'UPD Questions_290926 '!$E$1:$N$300,MATCH(F$1,'UPD Questions_290926 '!$E$1:$N$1,0),0)&amp;"")</f>
        <v>Do the DCRs provide development controls, standards or incentives that enable the conservation and adaptive reuse of heritage buildings, precincts or historic areas?</v>
      </c>
      <c r="G96" s="77" t="str">
        <f>IF(ISBLANK($A96),"NO_CODE",VLOOKUP($A96,'UPD Questions_290926 '!$E$1:$N$300,MATCH(G$1,'UPD Questions_290926 '!$E$1:$N$1,0),0)&amp;"")</f>
        <v>Law or Policy</v>
      </c>
      <c r="H96" s="79">
        <f>IF(ISBLANK($A96),"NO_CODE",VLOOKUP($A96,'UPD Questions_290926 '!$E$1:$N$300,MATCH(H$1,'UPD Questions_290926 '!$E$1:$N$1,0),0))</f>
        <v>2</v>
      </c>
      <c r="I96" s="80" t="str">
        <f t="shared" ca="1" si="81"/>
        <v>?</v>
      </c>
      <c r="J96" s="80">
        <f t="shared" ca="1" si="81"/>
        <v>0</v>
      </c>
      <c r="K96" s="80" t="str">
        <f t="shared" ca="1" si="81"/>
        <v>?</v>
      </c>
      <c r="L96" s="80" t="str">
        <f t="shared" ca="1" si="81"/>
        <v>?</v>
      </c>
      <c r="M96" s="80" t="str">
        <f t="shared" ca="1" si="81"/>
        <v>?</v>
      </c>
      <c r="N96" s="80" t="str">
        <f t="shared" ca="1" si="81"/>
        <v>?</v>
      </c>
      <c r="O96" s="80" t="str">
        <f t="shared" ca="1" si="81"/>
        <v>?</v>
      </c>
      <c r="P96" s="80" t="str">
        <f t="shared" ca="1" si="81"/>
        <v>?</v>
      </c>
      <c r="Q96" s="80" t="str">
        <f t="shared" ca="1" si="81"/>
        <v>?</v>
      </c>
      <c r="R96" s="80" t="str">
        <f t="shared" ca="1" si="81"/>
        <v>?</v>
      </c>
      <c r="S96" s="80" t="str">
        <f t="shared" ca="1" si="82"/>
        <v>?</v>
      </c>
      <c r="T96" s="80" t="str">
        <f t="shared" ca="1" si="82"/>
        <v>?</v>
      </c>
      <c r="U96" s="80" t="str">
        <f t="shared" ca="1" si="82"/>
        <v>?</v>
      </c>
      <c r="V96" s="80" t="str">
        <f t="shared" ca="1" si="82"/>
        <v>?</v>
      </c>
      <c r="W96" s="80" t="str">
        <f t="shared" ca="1" si="82"/>
        <v>?</v>
      </c>
      <c r="X96" s="80" t="str">
        <f t="shared" ca="1" si="82"/>
        <v>?</v>
      </c>
      <c r="Y96" s="80" t="str">
        <f t="shared" ca="1" si="82"/>
        <v>?</v>
      </c>
      <c r="Z96" s="80" t="str">
        <f t="shared" ca="1" si="82"/>
        <v>?</v>
      </c>
      <c r="AA96" s="80" t="str">
        <f t="shared" ca="1" si="82"/>
        <v>?</v>
      </c>
      <c r="AB96" s="80" t="str">
        <f t="shared" ca="1" si="82"/>
        <v>?</v>
      </c>
      <c r="AC96" s="80" t="str">
        <f t="shared" ca="1" si="83"/>
        <v>?</v>
      </c>
      <c r="AD96" s="80" t="str">
        <f t="shared" ca="1" si="83"/>
        <v>?</v>
      </c>
      <c r="AE96" s="80" t="str">
        <f t="shared" ca="1" si="83"/>
        <v>?</v>
      </c>
      <c r="AF96" s="80" t="str">
        <f t="shared" ca="1" si="83"/>
        <v>?</v>
      </c>
      <c r="AG96" s="80" t="str">
        <f t="shared" ca="1" si="83"/>
        <v>?</v>
      </c>
      <c r="AH96" s="80" t="str">
        <f t="shared" ca="1" si="83"/>
        <v>?</v>
      </c>
      <c r="AI96" s="80" t="str">
        <f t="shared" ca="1" si="83"/>
        <v>?</v>
      </c>
      <c r="AJ96" s="80" t="str">
        <f t="shared" ca="1" si="83"/>
        <v>?</v>
      </c>
      <c r="AK96" s="80" t="str">
        <f t="shared" ca="1" si="83"/>
        <v>?</v>
      </c>
    </row>
    <row r="97" spans="1:37">
      <c r="A97" s="76" t="s">
        <v>110</v>
      </c>
      <c r="B97" s="77" t="str">
        <f>IF(ISBLANK($A97),"NO_CODE",VLOOKUP($A97,'UPD Questions_290926 '!$E$1:$N$300,MATCH(B$1,'UPD Questions_290926 '!$E$1:$N$1,0),0)&amp;"")</f>
        <v>Implementation</v>
      </c>
      <c r="C97" s="77" t="str">
        <f>IF(ISBLANK($A97),"NO_CODE",VLOOKUP($A97,'UPD Questions_290926 '!$E$1:$N$300,MATCH(C$1,'UPD Questions_290926 '!$E$1:$N$1,0),0)&amp;"")</f>
        <v>Development Control Regulations and land-management instruments</v>
      </c>
      <c r="D97" s="77" t="str">
        <f>IF(ISBLANK($A97),"NO_CODE",VLOOKUP($A97,'UPD Questions_290926 '!$E$1:$N$300,MATCH(D$1,'UPD Questions_290926 '!$E$1:$N$1,0),0)&amp;"")</f>
        <v>Green-building incentives</v>
      </c>
      <c r="E97" s="77" t="str">
        <f>IF(ISBLANK($A97),"NO_CODE",VLOOKUP($A97,'UPD Questions_290926 '!$E$1:$N$300,MATCH(E$1,'UPD Questions_290926 '!$E$1:$N$1,0),0)&amp;"")</f>
        <v>MQ</v>
      </c>
      <c r="F97" s="77" t="str">
        <f>IF(ISBLANK($A97),"NO_CODE",VLOOKUP($A97,'UPD Questions_290926 '!$E$1:$N$300,MATCH(F$1,'UPD Questions_290926 '!$E$1:$N$1,0),0)&amp;"")</f>
        <v>Does the city have a mandate to provide incentives for green buildings, and are these incentives operationalised?</v>
      </c>
      <c r="G97" s="77" t="str">
        <f>IF(ISBLANK($A97),"NO_CODE",VLOOKUP($A97,'UPD Questions_290926 '!$E$1:$N$300,MATCH(G$1,'UPD Questions_290926 '!$E$1:$N$1,0),0)&amp;"")</f>
        <v>Law or Policy &amp; Implementation</v>
      </c>
      <c r="H97" s="79">
        <f>IF(ISBLANK($A97),"NO_CODE",VLOOKUP($A97,'UPD Questions_290926 '!$E$1:$N$300,MATCH(H$1,'UPD Questions_290926 '!$E$1:$N$1,0),0))</f>
        <v>10</v>
      </c>
      <c r="I97" s="80" t="str">
        <f t="shared" ref="I97:AK97" ca="1" si="84">IF(OR(I98="ER",I99="ER"),"ER",IF(OR(I98="?",I99="?"),"?",IF(AND(I98="NA",I99="NA"),"NA",SUM(I98,I99)/((I98&lt;&gt;"NA")*$H$98+(I99&lt;&gt;"NA")*$H$99)*$H97)))</f>
        <v>?</v>
      </c>
      <c r="J97" s="80" t="str">
        <f t="shared" ca="1" si="84"/>
        <v>?</v>
      </c>
      <c r="K97" s="80" t="str">
        <f t="shared" ca="1" si="84"/>
        <v>?</v>
      </c>
      <c r="L97" s="80" t="str">
        <f t="shared" ca="1" si="84"/>
        <v>?</v>
      </c>
      <c r="M97" s="80" t="str">
        <f t="shared" ca="1" si="84"/>
        <v>?</v>
      </c>
      <c r="N97" s="80" t="str">
        <f t="shared" ca="1" si="84"/>
        <v>?</v>
      </c>
      <c r="O97" s="80" t="str">
        <f t="shared" ca="1" si="84"/>
        <v>?</v>
      </c>
      <c r="P97" s="80" t="str">
        <f t="shared" ca="1" si="84"/>
        <v>?</v>
      </c>
      <c r="Q97" s="80" t="str">
        <f t="shared" ca="1" si="84"/>
        <v>?</v>
      </c>
      <c r="R97" s="80" t="str">
        <f t="shared" ca="1" si="84"/>
        <v>?</v>
      </c>
      <c r="S97" s="80" t="str">
        <f t="shared" ca="1" si="84"/>
        <v>?</v>
      </c>
      <c r="T97" s="80" t="str">
        <f t="shared" ca="1" si="84"/>
        <v>?</v>
      </c>
      <c r="U97" s="80" t="str">
        <f t="shared" ca="1" si="84"/>
        <v>?</v>
      </c>
      <c r="V97" s="80" t="str">
        <f t="shared" ca="1" si="84"/>
        <v>?</v>
      </c>
      <c r="W97" s="80" t="str">
        <f t="shared" ca="1" si="84"/>
        <v>?</v>
      </c>
      <c r="X97" s="80" t="str">
        <f t="shared" ca="1" si="84"/>
        <v>?</v>
      </c>
      <c r="Y97" s="80" t="str">
        <f t="shared" ca="1" si="84"/>
        <v>?</v>
      </c>
      <c r="Z97" s="80" t="str">
        <f t="shared" ca="1" si="84"/>
        <v>?</v>
      </c>
      <c r="AA97" s="80" t="str">
        <f t="shared" ca="1" si="84"/>
        <v>?</v>
      </c>
      <c r="AB97" s="80" t="str">
        <f t="shared" ca="1" si="84"/>
        <v>?</v>
      </c>
      <c r="AC97" s="80" t="str">
        <f t="shared" ca="1" si="84"/>
        <v>?</v>
      </c>
      <c r="AD97" s="80" t="str">
        <f t="shared" ca="1" si="84"/>
        <v>?</v>
      </c>
      <c r="AE97" s="80" t="str">
        <f t="shared" ca="1" si="84"/>
        <v>?</v>
      </c>
      <c r="AF97" s="80" t="str">
        <f t="shared" ca="1" si="84"/>
        <v>?</v>
      </c>
      <c r="AG97" s="80" t="str">
        <f t="shared" ca="1" si="84"/>
        <v>?</v>
      </c>
      <c r="AH97" s="80" t="str">
        <f t="shared" ca="1" si="84"/>
        <v>?</v>
      </c>
      <c r="AI97" s="80" t="str">
        <f t="shared" ca="1" si="84"/>
        <v>?</v>
      </c>
      <c r="AJ97" s="80" t="str">
        <f t="shared" ca="1" si="84"/>
        <v>?</v>
      </c>
      <c r="AK97" s="80" t="str">
        <f t="shared" ca="1" si="84"/>
        <v>?</v>
      </c>
    </row>
    <row r="98" spans="1:37">
      <c r="A98" s="76" t="s">
        <v>439</v>
      </c>
      <c r="B98" s="77" t="str">
        <f>IF(ISBLANK($A98),"NO_CODE",VLOOKUP($A98,'UPD Questions_290926 '!$E$1:$N$300,MATCH(B$1,'UPD Questions_290926 '!$E$1:$N$1,0),0)&amp;"")</f>
        <v>Implementation</v>
      </c>
      <c r="C98" s="77" t="str">
        <f>IF(ISBLANK($A98),"NO_CODE",VLOOKUP($A98,'UPD Questions_290926 '!$E$1:$N$300,MATCH(C$1,'UPD Questions_290926 '!$E$1:$N$1,0),0)&amp;"")</f>
        <v>Development Control Regulations and land-management instruments</v>
      </c>
      <c r="D98" s="77" t="str">
        <f>IF(ISBLANK($A98),"NO_CODE",VLOOKUP($A98,'UPD Questions_290926 '!$E$1:$N$300,MATCH(D$1,'UPD Questions_290926 '!$E$1:$N$1,0),0)&amp;"")</f>
        <v>Green-building incentives</v>
      </c>
      <c r="E98" s="77" t="str">
        <f>IF(ISBLANK($A98),"NO_CODE",VLOOKUP($A98,'UPD Questions_290926 '!$E$1:$N$300,MATCH(E$1,'UPD Questions_290926 '!$E$1:$N$1,0),0)&amp;"")</f>
        <v>SQ</v>
      </c>
      <c r="F98" s="77" t="str">
        <f>IF(ISBLANK($A98),"NO_CODE",VLOOKUP($A98,'UPD Questions_290926 '!$E$1:$N$300,MATCH(F$1,'UPD Questions_290926 '!$E$1:$N$1,0),0)&amp;"")</f>
        <v>Does the law mandate incentives for green buildings ?</v>
      </c>
      <c r="G98" s="77" t="str">
        <f>IF(ISBLANK($A98),"NO_CODE",VLOOKUP($A98,'UPD Questions_290926 '!$E$1:$N$300,MATCH(G$1,'UPD Questions_290926 '!$E$1:$N$1,0),0)&amp;"")</f>
        <v>Law or Policy</v>
      </c>
      <c r="H98" s="79">
        <f>IF(ISBLANK($A98),"NO_CODE",VLOOKUP($A98,'UPD Questions_290926 '!$E$1:$N$300,MATCH(H$1,'UPD Questions_290926 '!$E$1:$N$1,0),0))</f>
        <v>5</v>
      </c>
      <c r="I98" s="80" t="str">
        <f t="shared" ref="I98:R103" ca="1" si="85">IF($H98=0,"NA",IF($A98=INDIRECT("'"&amp;$A98&amp;"'!$B$1"),IF(VLOOKUP(I$1,INDIRECT("'"&amp;$A98&amp;"'!$A$12:$Z$41"),MATCH("Points (Auto-generate)",INDIRECT("'"&amp;$A98&amp;"'!$A$12:$Z$12"),0),0)="","?",VLOOKUP(I$1,INDIRECT("'"&amp;$A98&amp;"'!$A$12:$Z$41"),MATCH("Points (Auto-generate)",INDIRECT("'"&amp;$A98&amp;"'!$A$12:$Z$12"),0),0)),"ER"))</f>
        <v>?</v>
      </c>
      <c r="J98" s="80" t="str">
        <f t="shared" ca="1" si="85"/>
        <v>?</v>
      </c>
      <c r="K98" s="80" t="str">
        <f t="shared" ca="1" si="85"/>
        <v>?</v>
      </c>
      <c r="L98" s="80" t="str">
        <f t="shared" ca="1" si="85"/>
        <v>?</v>
      </c>
      <c r="M98" s="80" t="str">
        <f t="shared" ca="1" si="85"/>
        <v>?</v>
      </c>
      <c r="N98" s="80" t="str">
        <f t="shared" ca="1" si="85"/>
        <v>?</v>
      </c>
      <c r="O98" s="80" t="str">
        <f t="shared" ca="1" si="85"/>
        <v>?</v>
      </c>
      <c r="P98" s="80" t="str">
        <f t="shared" ca="1" si="85"/>
        <v>?</v>
      </c>
      <c r="Q98" s="80" t="str">
        <f t="shared" ca="1" si="85"/>
        <v>?</v>
      </c>
      <c r="R98" s="80" t="str">
        <f t="shared" ca="1" si="85"/>
        <v>?</v>
      </c>
      <c r="S98" s="80" t="str">
        <f t="shared" ref="S98:AB103" ca="1" si="86">IF($H98=0,"NA",IF($A98=INDIRECT("'"&amp;$A98&amp;"'!$B$1"),IF(VLOOKUP(S$1,INDIRECT("'"&amp;$A98&amp;"'!$A$12:$Z$41"),MATCH("Points (Auto-generate)",INDIRECT("'"&amp;$A98&amp;"'!$A$12:$Z$12"),0),0)="","?",VLOOKUP(S$1,INDIRECT("'"&amp;$A98&amp;"'!$A$12:$Z$41"),MATCH("Points (Auto-generate)",INDIRECT("'"&amp;$A98&amp;"'!$A$12:$Z$12"),0),0)),"ER"))</f>
        <v>?</v>
      </c>
      <c r="T98" s="80" t="str">
        <f t="shared" ca="1" si="86"/>
        <v>?</v>
      </c>
      <c r="U98" s="80" t="str">
        <f t="shared" ca="1" si="86"/>
        <v>?</v>
      </c>
      <c r="V98" s="80" t="str">
        <f t="shared" ca="1" si="86"/>
        <v>?</v>
      </c>
      <c r="W98" s="80" t="str">
        <f t="shared" ca="1" si="86"/>
        <v>?</v>
      </c>
      <c r="X98" s="80" t="str">
        <f t="shared" ca="1" si="86"/>
        <v>?</v>
      </c>
      <c r="Y98" s="80" t="str">
        <f t="shared" ca="1" si="86"/>
        <v>?</v>
      </c>
      <c r="Z98" s="80" t="str">
        <f t="shared" ca="1" si="86"/>
        <v>?</v>
      </c>
      <c r="AA98" s="80" t="str">
        <f t="shared" ca="1" si="86"/>
        <v>?</v>
      </c>
      <c r="AB98" s="80" t="str">
        <f t="shared" ca="1" si="86"/>
        <v>?</v>
      </c>
      <c r="AC98" s="80" t="str">
        <f t="shared" ref="AC98:AK103" ca="1" si="87">IF($H98=0,"NA",IF($A98=INDIRECT("'"&amp;$A98&amp;"'!$B$1"),IF(VLOOKUP(AC$1,INDIRECT("'"&amp;$A98&amp;"'!$A$12:$Z$41"),MATCH("Points (Auto-generate)",INDIRECT("'"&amp;$A98&amp;"'!$A$12:$Z$12"),0),0)="","?",VLOOKUP(AC$1,INDIRECT("'"&amp;$A98&amp;"'!$A$12:$Z$41"),MATCH("Points (Auto-generate)",INDIRECT("'"&amp;$A98&amp;"'!$A$12:$Z$12"),0),0)),"ER"))</f>
        <v>?</v>
      </c>
      <c r="AD98" s="80" t="str">
        <f t="shared" ca="1" si="87"/>
        <v>?</v>
      </c>
      <c r="AE98" s="80" t="str">
        <f t="shared" ca="1" si="87"/>
        <v>?</v>
      </c>
      <c r="AF98" s="80" t="str">
        <f t="shared" ca="1" si="87"/>
        <v>?</v>
      </c>
      <c r="AG98" s="80" t="str">
        <f t="shared" ca="1" si="87"/>
        <v>?</v>
      </c>
      <c r="AH98" s="80" t="str">
        <f t="shared" ca="1" si="87"/>
        <v>?</v>
      </c>
      <c r="AI98" s="80" t="str">
        <f t="shared" ca="1" si="87"/>
        <v>?</v>
      </c>
      <c r="AJ98" s="80" t="str">
        <f t="shared" ca="1" si="87"/>
        <v>?</v>
      </c>
      <c r="AK98" s="80" t="str">
        <f t="shared" ca="1" si="87"/>
        <v>?</v>
      </c>
    </row>
    <row r="99" spans="1:37">
      <c r="A99" s="76" t="s">
        <v>443</v>
      </c>
      <c r="B99" s="77" t="str">
        <f>IF(ISBLANK($A99),"NO_CODE",VLOOKUP($A99,'UPD Questions_290926 '!$E$1:$N$300,MATCH(B$1,'UPD Questions_290926 '!$E$1:$N$1,0),0)&amp;"")</f>
        <v>Implementation</v>
      </c>
      <c r="C99" s="77" t="str">
        <f>IF(ISBLANK($A99),"NO_CODE",VLOOKUP($A99,'UPD Questions_290926 '!$E$1:$N$300,MATCH(C$1,'UPD Questions_290926 '!$E$1:$N$1,0),0)&amp;"")</f>
        <v>Development Control Regulations and land-management instruments</v>
      </c>
      <c r="D99" s="77" t="str">
        <f>IF(ISBLANK($A99),"NO_CODE",VLOOKUP($A99,'UPD Questions_290926 '!$E$1:$N$300,MATCH(D$1,'UPD Questions_290926 '!$E$1:$N$1,0),0)&amp;"")</f>
        <v>Green-building incentives</v>
      </c>
      <c r="E99" s="77" t="str">
        <f>IF(ISBLANK($A99),"NO_CODE",VLOOKUP($A99,'UPD Questions_290926 '!$E$1:$N$300,MATCH(E$1,'UPD Questions_290926 '!$E$1:$N$1,0),0)&amp;"")</f>
        <v>SQ</v>
      </c>
      <c r="F99" s="77" t="str">
        <f>IF(ISBLANK($A99),"NO_CODE",VLOOKUP($A99,'UPD Questions_290926 '!$E$1:$N$300,MATCH(F$1,'UPD Questions_290926 '!$E$1:$N$1,0),0)&amp;"")</f>
        <v>Does your city give incentives for green buildings ?</v>
      </c>
      <c r="G99" s="77" t="str">
        <f>IF(ISBLANK($A99),"NO_CODE",VLOOKUP($A99,'UPD Questions_290926 '!$E$1:$N$300,MATCH(G$1,'UPD Questions_290926 '!$E$1:$N$1,0),0)&amp;"")</f>
        <v>Implementation</v>
      </c>
      <c r="H99" s="79">
        <f>IF(ISBLANK($A99),"NO_CODE",VLOOKUP($A99,'UPD Questions_290926 '!$E$1:$N$300,MATCH(H$1,'UPD Questions_290926 '!$E$1:$N$1,0),0))</f>
        <v>5</v>
      </c>
      <c r="I99" s="80" t="str">
        <f t="shared" ca="1" si="85"/>
        <v>?</v>
      </c>
      <c r="J99" s="80" t="str">
        <f t="shared" ca="1" si="85"/>
        <v>?</v>
      </c>
      <c r="K99" s="80" t="str">
        <f t="shared" ca="1" si="85"/>
        <v>?</v>
      </c>
      <c r="L99" s="80" t="str">
        <f t="shared" ca="1" si="85"/>
        <v>?</v>
      </c>
      <c r="M99" s="80" t="str">
        <f t="shared" ca="1" si="85"/>
        <v>?</v>
      </c>
      <c r="N99" s="80" t="str">
        <f t="shared" ca="1" si="85"/>
        <v>?</v>
      </c>
      <c r="O99" s="80" t="str">
        <f t="shared" ca="1" si="85"/>
        <v>?</v>
      </c>
      <c r="P99" s="80" t="str">
        <f t="shared" ca="1" si="85"/>
        <v>?</v>
      </c>
      <c r="Q99" s="80" t="str">
        <f t="shared" ca="1" si="85"/>
        <v>?</v>
      </c>
      <c r="R99" s="80" t="str">
        <f t="shared" ca="1" si="85"/>
        <v>?</v>
      </c>
      <c r="S99" s="80" t="str">
        <f t="shared" ca="1" si="86"/>
        <v>?</v>
      </c>
      <c r="T99" s="80" t="str">
        <f t="shared" ca="1" si="86"/>
        <v>?</v>
      </c>
      <c r="U99" s="80" t="str">
        <f t="shared" ca="1" si="86"/>
        <v>?</v>
      </c>
      <c r="V99" s="80" t="str">
        <f t="shared" ca="1" si="86"/>
        <v>?</v>
      </c>
      <c r="W99" s="80" t="str">
        <f t="shared" ca="1" si="86"/>
        <v>?</v>
      </c>
      <c r="X99" s="80" t="str">
        <f t="shared" ca="1" si="86"/>
        <v>?</v>
      </c>
      <c r="Y99" s="80" t="str">
        <f t="shared" ca="1" si="86"/>
        <v>?</v>
      </c>
      <c r="Z99" s="80" t="str">
        <f t="shared" ca="1" si="86"/>
        <v>?</v>
      </c>
      <c r="AA99" s="80" t="str">
        <f t="shared" ca="1" si="86"/>
        <v>?</v>
      </c>
      <c r="AB99" s="80" t="str">
        <f t="shared" ca="1" si="86"/>
        <v>?</v>
      </c>
      <c r="AC99" s="80" t="str">
        <f t="shared" ca="1" si="87"/>
        <v>?</v>
      </c>
      <c r="AD99" s="80" t="str">
        <f t="shared" ca="1" si="87"/>
        <v>?</v>
      </c>
      <c r="AE99" s="80" t="str">
        <f t="shared" ca="1" si="87"/>
        <v>?</v>
      </c>
      <c r="AF99" s="80" t="str">
        <f t="shared" ca="1" si="87"/>
        <v>?</v>
      </c>
      <c r="AG99" s="80" t="str">
        <f t="shared" ca="1" si="87"/>
        <v>?</v>
      </c>
      <c r="AH99" s="80" t="str">
        <f t="shared" ca="1" si="87"/>
        <v>?</v>
      </c>
      <c r="AI99" s="80" t="str">
        <f t="shared" ca="1" si="87"/>
        <v>?</v>
      </c>
      <c r="AJ99" s="80" t="str">
        <f t="shared" ca="1" si="87"/>
        <v>?</v>
      </c>
      <c r="AK99" s="80" t="str">
        <f t="shared" ca="1" si="87"/>
        <v>?</v>
      </c>
    </row>
    <row r="100" spans="1:37">
      <c r="A100" s="76" t="s">
        <v>117</v>
      </c>
      <c r="B100" s="77" t="str">
        <f>IF(ISBLANK($A100),"NO_CODE",VLOOKUP($A100,'UPD Questions_290926 '!$E$1:$N$300,MATCH(B$1,'UPD Questions_290926 '!$E$1:$N$1,0),0)&amp;"")</f>
        <v>Implementation</v>
      </c>
      <c r="C100" s="77" t="str">
        <f>IF(ISBLANK($A100),"NO_CODE",VLOOKUP($A100,'UPD Questions_290926 '!$E$1:$N$300,MATCH(C$1,'UPD Questions_290926 '!$E$1:$N$1,0),0)&amp;"")</f>
        <v>Development Control Regulations and land-management instruments</v>
      </c>
      <c r="D100" s="77" t="str">
        <f>IF(ISBLANK($A100),"NO_CODE",VLOOKUP($A100,'UPD Questions_290926 '!$E$1:$N$300,MATCH(D$1,'UPD Questions_290926 '!$E$1:$N$1,0),0)&amp;"")</f>
        <v>Land-management instruments</v>
      </c>
      <c r="E100" s="77" t="str">
        <f>IF(ISBLANK($A100),"NO_CODE",VLOOKUP($A100,'UPD Questions_290926 '!$E$1:$N$300,MATCH(E$1,'UPD Questions_290926 '!$E$1:$N$1,0),0)&amp;"")</f>
        <v>MQ</v>
      </c>
      <c r="F100" s="77" t="str">
        <f>IF(ISBLANK($A100),"NO_CODE",VLOOKUP($A100,'UPD Questions_290926 '!$E$1:$N$300,MATCH(F$1,'UPD Questions_290926 '!$E$1:$N$1,0),0)&amp;"")</f>
        <v>Does the law enable a guaranteed land titling system ?</v>
      </c>
      <c r="G100" s="77" t="str">
        <f>IF(ISBLANK($A100),"NO_CODE",VLOOKUP($A100,'UPD Questions_290926 '!$E$1:$N$300,MATCH(G$1,'UPD Questions_290926 '!$E$1:$N$1,0),0)&amp;"")</f>
        <v>Law or Policy</v>
      </c>
      <c r="H100" s="79">
        <f>IF(ISBLANK($A100),"NO_CODE",VLOOKUP($A100,'UPD Questions_290926 '!$E$1:$N$300,MATCH(H$1,'UPD Questions_290926 '!$E$1:$N$1,0),0))</f>
        <v>10</v>
      </c>
      <c r="I100" s="80" t="str">
        <f t="shared" ca="1" si="85"/>
        <v>?</v>
      </c>
      <c r="J100" s="80" t="str">
        <f t="shared" ca="1" si="85"/>
        <v>?</v>
      </c>
      <c r="K100" s="80" t="str">
        <f t="shared" ca="1" si="85"/>
        <v>?</v>
      </c>
      <c r="L100" s="80" t="str">
        <f t="shared" ca="1" si="85"/>
        <v>?</v>
      </c>
      <c r="M100" s="80" t="str">
        <f t="shared" ca="1" si="85"/>
        <v>?</v>
      </c>
      <c r="N100" s="80" t="str">
        <f t="shared" ca="1" si="85"/>
        <v>?</v>
      </c>
      <c r="O100" s="80" t="str">
        <f t="shared" ca="1" si="85"/>
        <v>?</v>
      </c>
      <c r="P100" s="80" t="str">
        <f t="shared" ca="1" si="85"/>
        <v>?</v>
      </c>
      <c r="Q100" s="80" t="str">
        <f t="shared" ca="1" si="85"/>
        <v>?</v>
      </c>
      <c r="R100" s="80" t="str">
        <f t="shared" ca="1" si="85"/>
        <v>?</v>
      </c>
      <c r="S100" s="80" t="str">
        <f t="shared" ca="1" si="86"/>
        <v>?</v>
      </c>
      <c r="T100" s="80" t="str">
        <f t="shared" ca="1" si="86"/>
        <v>?</v>
      </c>
      <c r="U100" s="80" t="str">
        <f t="shared" ca="1" si="86"/>
        <v>?</v>
      </c>
      <c r="V100" s="80" t="str">
        <f t="shared" ca="1" si="86"/>
        <v>?</v>
      </c>
      <c r="W100" s="80" t="str">
        <f t="shared" ca="1" si="86"/>
        <v>?</v>
      </c>
      <c r="X100" s="80" t="str">
        <f t="shared" ca="1" si="86"/>
        <v>?</v>
      </c>
      <c r="Y100" s="80" t="str">
        <f t="shared" ca="1" si="86"/>
        <v>?</v>
      </c>
      <c r="Z100" s="80" t="str">
        <f t="shared" ca="1" si="86"/>
        <v>?</v>
      </c>
      <c r="AA100" s="80" t="str">
        <f t="shared" ca="1" si="86"/>
        <v>?</v>
      </c>
      <c r="AB100" s="80" t="str">
        <f t="shared" ca="1" si="86"/>
        <v>?</v>
      </c>
      <c r="AC100" s="80" t="str">
        <f t="shared" ca="1" si="87"/>
        <v>?</v>
      </c>
      <c r="AD100" s="80" t="str">
        <f t="shared" ca="1" si="87"/>
        <v>?</v>
      </c>
      <c r="AE100" s="80" t="str">
        <f t="shared" ca="1" si="87"/>
        <v>?</v>
      </c>
      <c r="AF100" s="80" t="str">
        <f t="shared" ca="1" si="87"/>
        <v>?</v>
      </c>
      <c r="AG100" s="80" t="str">
        <f t="shared" ca="1" si="87"/>
        <v>?</v>
      </c>
      <c r="AH100" s="80" t="str">
        <f t="shared" ca="1" si="87"/>
        <v>?</v>
      </c>
      <c r="AI100" s="80" t="str">
        <f t="shared" ca="1" si="87"/>
        <v>?</v>
      </c>
      <c r="AJ100" s="80" t="str">
        <f t="shared" ca="1" si="87"/>
        <v>?</v>
      </c>
      <c r="AK100" s="80" t="str">
        <f t="shared" ca="1" si="87"/>
        <v>?</v>
      </c>
    </row>
    <row r="101" spans="1:37">
      <c r="A101" s="76" t="s">
        <v>451</v>
      </c>
      <c r="B101" s="77" t="str">
        <f>IF(ISBLANK($A101),"NO_CODE",VLOOKUP($A101,'UPD Questions_290926 '!$E$1:$N$300,MATCH(B$1,'UPD Questions_290926 '!$E$1:$N$1,0),0)&amp;"")</f>
        <v>Implementation</v>
      </c>
      <c r="C101" s="77" t="str">
        <f>IF(ISBLANK($A101),"NO_CODE",VLOOKUP($A101,'UPD Questions_290926 '!$E$1:$N$300,MATCH(C$1,'UPD Questions_290926 '!$E$1:$N$1,0),0)&amp;"")</f>
        <v>Development Control Regulations and land-management instruments</v>
      </c>
      <c r="D101" s="77" t="str">
        <f>IF(ISBLANK($A101),"NO_CODE",VLOOKUP($A101,'UPD Questions_290926 '!$E$1:$N$300,MATCH(D$1,'UPD Questions_290926 '!$E$1:$N$1,0),0)&amp;"")</f>
        <v>Land-management instruments</v>
      </c>
      <c r="E101" s="77" t="str">
        <f>IF(ISBLANK($A101),"NO_CODE",VLOOKUP($A101,'UPD Questions_290926 '!$E$1:$N$300,MATCH(E$1,'UPD Questions_290926 '!$E$1:$N$1,0),0)&amp;"")</f>
        <v>MQ</v>
      </c>
      <c r="F101" s="77" t="str">
        <f>IF(ISBLANK($A101),"NO_CODE",VLOOKUP($A101,'UPD Questions_290926 '!$E$1:$N$300,MATCH(F$1,'UPD Questions_290926 '!$E$1:$N$1,0),0)&amp;"")</f>
        <v>Does the law enable a guaranteed land pooling system ?</v>
      </c>
      <c r="G101" s="77" t="str">
        <f>IF(ISBLANK($A101),"NO_CODE",VLOOKUP($A101,'UPD Questions_290926 '!$E$1:$N$300,MATCH(G$1,'UPD Questions_290926 '!$E$1:$N$1,0),0)&amp;"")</f>
        <v>Law or Policy</v>
      </c>
      <c r="H101" s="79">
        <f>IF(ISBLANK($A101),"NO_CODE",VLOOKUP($A101,'UPD Questions_290926 '!$E$1:$N$300,MATCH(H$1,'UPD Questions_290926 '!$E$1:$N$1,0),0))</f>
        <v>10</v>
      </c>
      <c r="I101" s="80" t="str">
        <f t="shared" ca="1" si="85"/>
        <v>?</v>
      </c>
      <c r="J101" s="80" t="str">
        <f t="shared" ca="1" si="85"/>
        <v>?</v>
      </c>
      <c r="K101" s="80" t="str">
        <f t="shared" ca="1" si="85"/>
        <v>?</v>
      </c>
      <c r="L101" s="80" t="str">
        <f t="shared" ca="1" si="85"/>
        <v>?</v>
      </c>
      <c r="M101" s="80" t="str">
        <f t="shared" ca="1" si="85"/>
        <v>?</v>
      </c>
      <c r="N101" s="80" t="str">
        <f t="shared" ca="1" si="85"/>
        <v>?</v>
      </c>
      <c r="O101" s="80" t="str">
        <f t="shared" ca="1" si="85"/>
        <v>?</v>
      </c>
      <c r="P101" s="80" t="str">
        <f t="shared" ca="1" si="85"/>
        <v>?</v>
      </c>
      <c r="Q101" s="80" t="str">
        <f t="shared" ca="1" si="85"/>
        <v>?</v>
      </c>
      <c r="R101" s="80" t="str">
        <f t="shared" ca="1" si="85"/>
        <v>?</v>
      </c>
      <c r="S101" s="80" t="str">
        <f t="shared" ca="1" si="86"/>
        <v>?</v>
      </c>
      <c r="T101" s="80" t="str">
        <f t="shared" ca="1" si="86"/>
        <v>?</v>
      </c>
      <c r="U101" s="80" t="str">
        <f t="shared" ca="1" si="86"/>
        <v>?</v>
      </c>
      <c r="V101" s="80" t="str">
        <f t="shared" ca="1" si="86"/>
        <v>?</v>
      </c>
      <c r="W101" s="80" t="str">
        <f t="shared" ca="1" si="86"/>
        <v>?</v>
      </c>
      <c r="X101" s="80" t="str">
        <f t="shared" ca="1" si="86"/>
        <v>?</v>
      </c>
      <c r="Y101" s="80" t="str">
        <f t="shared" ca="1" si="86"/>
        <v>?</v>
      </c>
      <c r="Z101" s="80" t="str">
        <f t="shared" ca="1" si="86"/>
        <v>?</v>
      </c>
      <c r="AA101" s="80" t="str">
        <f t="shared" ca="1" si="86"/>
        <v>?</v>
      </c>
      <c r="AB101" s="80" t="str">
        <f t="shared" ca="1" si="86"/>
        <v>?</v>
      </c>
      <c r="AC101" s="80" t="str">
        <f t="shared" ca="1" si="87"/>
        <v>?</v>
      </c>
      <c r="AD101" s="80" t="str">
        <f t="shared" ca="1" si="87"/>
        <v>?</v>
      </c>
      <c r="AE101" s="80" t="str">
        <f t="shared" ca="1" si="87"/>
        <v>?</v>
      </c>
      <c r="AF101" s="80" t="str">
        <f t="shared" ca="1" si="87"/>
        <v>?</v>
      </c>
      <c r="AG101" s="80" t="str">
        <f t="shared" ca="1" si="87"/>
        <v>?</v>
      </c>
      <c r="AH101" s="80" t="str">
        <f t="shared" ca="1" si="87"/>
        <v>?</v>
      </c>
      <c r="AI101" s="80" t="str">
        <f t="shared" ca="1" si="87"/>
        <v>?</v>
      </c>
      <c r="AJ101" s="80" t="str">
        <f t="shared" ca="1" si="87"/>
        <v>?</v>
      </c>
      <c r="AK101" s="80" t="str">
        <f t="shared" ca="1" si="87"/>
        <v>?</v>
      </c>
    </row>
    <row r="102" spans="1:37">
      <c r="A102" s="76" t="s">
        <v>456</v>
      </c>
      <c r="B102" s="77" t="str">
        <f>IF(ISBLANK($A102),"NO_CODE",VLOOKUP($A102,'UPD Questions_290926 '!$E$1:$N$300,MATCH(B$1,'UPD Questions_290926 '!$E$1:$N$1,0),0)&amp;"")</f>
        <v>Implementation</v>
      </c>
      <c r="C102" s="77" t="str">
        <f>IF(ISBLANK($A102),"NO_CODE",VLOOKUP($A102,'UPD Questions_290926 '!$E$1:$N$300,MATCH(C$1,'UPD Questions_290926 '!$E$1:$N$1,0),0)&amp;"")</f>
        <v>Development Compliance</v>
      </c>
      <c r="D102" s="77" t="str">
        <f>IF(ISBLANK($A102),"NO_CODE",VLOOKUP($A102,'UPD Questions_290926 '!$E$1:$N$300,MATCH(D$1,'UPD Questions_290926 '!$E$1:$N$1,0),0)&amp;"")</f>
        <v>Development approvals</v>
      </c>
      <c r="E102" s="77" t="str">
        <f>IF(ISBLANK($A102),"NO_CODE",VLOOKUP($A102,'UPD Questions_290926 '!$E$1:$N$300,MATCH(E$1,'UPD Questions_290926 '!$E$1:$N$1,0),0)&amp;"")</f>
        <v>MQ</v>
      </c>
      <c r="F102" s="77" t="str">
        <f>IF(ISBLANK($A102),"NO_CODE",VLOOKUP($A102,'UPD Questions_290926 '!$E$1:$N$300,MATCH(F$1,'UPD Questions_290926 '!$E$1:$N$1,0),0)&amp;"")</f>
        <v>Does your city have a single window clearance process in place for  development projects that are in conformity with municipal/city plans?</v>
      </c>
      <c r="G102" s="77" t="str">
        <f>IF(ISBLANK($A102),"NO_CODE",VLOOKUP($A102,'UPD Questions_290926 '!$E$1:$N$300,MATCH(G$1,'UPD Questions_290926 '!$E$1:$N$1,0),0)&amp;"")</f>
        <v>Implementation</v>
      </c>
      <c r="H102" s="79">
        <f>IF(ISBLANK($A102),"NO_CODE",VLOOKUP($A102,'UPD Questions_290926 '!$E$1:$N$300,MATCH(H$1,'UPD Questions_290926 '!$E$1:$N$1,0),0))</f>
        <v>10</v>
      </c>
      <c r="I102" s="80" t="str">
        <f t="shared" ca="1" si="85"/>
        <v>?</v>
      </c>
      <c r="J102" s="80" t="str">
        <f t="shared" ca="1" si="85"/>
        <v>?</v>
      </c>
      <c r="K102" s="80" t="str">
        <f t="shared" ca="1" si="85"/>
        <v>?</v>
      </c>
      <c r="L102" s="80" t="str">
        <f t="shared" ca="1" si="85"/>
        <v>?</v>
      </c>
      <c r="M102" s="80" t="str">
        <f t="shared" ca="1" si="85"/>
        <v>?</v>
      </c>
      <c r="N102" s="80" t="str">
        <f t="shared" ca="1" si="85"/>
        <v>?</v>
      </c>
      <c r="O102" s="80" t="str">
        <f t="shared" ca="1" si="85"/>
        <v>?</v>
      </c>
      <c r="P102" s="80" t="str">
        <f t="shared" ca="1" si="85"/>
        <v>?</v>
      </c>
      <c r="Q102" s="80" t="str">
        <f t="shared" ca="1" si="85"/>
        <v>?</v>
      </c>
      <c r="R102" s="80" t="str">
        <f t="shared" ca="1" si="85"/>
        <v>?</v>
      </c>
      <c r="S102" s="80" t="str">
        <f t="shared" ca="1" si="86"/>
        <v>?</v>
      </c>
      <c r="T102" s="80" t="str">
        <f t="shared" ca="1" si="86"/>
        <v>?</v>
      </c>
      <c r="U102" s="80" t="str">
        <f t="shared" ca="1" si="86"/>
        <v>?</v>
      </c>
      <c r="V102" s="80" t="str">
        <f t="shared" ca="1" si="86"/>
        <v>?</v>
      </c>
      <c r="W102" s="80" t="str">
        <f t="shared" ca="1" si="86"/>
        <v>?</v>
      </c>
      <c r="X102" s="80" t="str">
        <f t="shared" ca="1" si="86"/>
        <v>?</v>
      </c>
      <c r="Y102" s="80" t="str">
        <f t="shared" ca="1" si="86"/>
        <v>?</v>
      </c>
      <c r="Z102" s="80" t="str">
        <f t="shared" ca="1" si="86"/>
        <v>?</v>
      </c>
      <c r="AA102" s="80" t="str">
        <f t="shared" ca="1" si="86"/>
        <v>?</v>
      </c>
      <c r="AB102" s="80" t="str">
        <f t="shared" ca="1" si="86"/>
        <v>?</v>
      </c>
      <c r="AC102" s="80" t="str">
        <f t="shared" ca="1" si="87"/>
        <v>?</v>
      </c>
      <c r="AD102" s="80" t="str">
        <f t="shared" ca="1" si="87"/>
        <v>?</v>
      </c>
      <c r="AE102" s="80" t="str">
        <f t="shared" ca="1" si="87"/>
        <v>?</v>
      </c>
      <c r="AF102" s="80" t="str">
        <f t="shared" ca="1" si="87"/>
        <v>?</v>
      </c>
      <c r="AG102" s="80" t="str">
        <f t="shared" ca="1" si="87"/>
        <v>?</v>
      </c>
      <c r="AH102" s="80" t="str">
        <f t="shared" ca="1" si="87"/>
        <v>?</v>
      </c>
      <c r="AI102" s="80" t="str">
        <f t="shared" ca="1" si="87"/>
        <v>?</v>
      </c>
      <c r="AJ102" s="80" t="str">
        <f t="shared" ca="1" si="87"/>
        <v>?</v>
      </c>
      <c r="AK102" s="80" t="str">
        <f t="shared" ca="1" si="87"/>
        <v>?</v>
      </c>
    </row>
    <row r="103" spans="1:37">
      <c r="A103" s="76" t="s">
        <v>462</v>
      </c>
      <c r="B103" s="77" t="str">
        <f>IF(ISBLANK($A103),"NO_CODE",VLOOKUP($A103,'UPD Questions_290926 '!$E$1:$N$300,MATCH(B$1,'UPD Questions_290926 '!$E$1:$N$1,0),0)&amp;"")</f>
        <v>Enforcement</v>
      </c>
      <c r="C103" s="77" t="str">
        <f>IF(ISBLANK($A103),"NO_CODE",VLOOKUP($A103,'UPD Questions_290926 '!$E$1:$N$300,MATCH(C$1,'UPD Questions_290926 '!$E$1:$N$1,0),0)&amp;"")</f>
        <v>Development Compliance</v>
      </c>
      <c r="D103" s="77" t="str">
        <f>IF(ISBLANK($A103),"NO_CODE",VLOOKUP($A103,'UPD Questions_290926 '!$E$1:$N$300,MATCH(D$1,'UPD Questions_290926 '!$E$1:$N$1,0),0)&amp;"")</f>
        <v>Development approvals</v>
      </c>
      <c r="E103" s="77" t="str">
        <f>IF(ISBLANK($A103),"NO_CODE",VLOOKUP($A103,'UPD Questions_290926 '!$E$1:$N$300,MATCH(E$1,'UPD Questions_290926 '!$E$1:$N$1,0),0)&amp;"")</f>
        <v>MQ</v>
      </c>
      <c r="F103" s="77" t="str">
        <f>IF(ISBLANK($A103),"NO_CODE",VLOOKUP($A103,'UPD Questions_290926 '!$E$1:$N$300,MATCH(F$1,'UPD Questions_290926 '!$E$1:$N$1,0),0)&amp;"")</f>
        <v>Is there an effective system to prevent approval of plans that are not in conformity with municipal/city plan?</v>
      </c>
      <c r="G103" s="77" t="str">
        <f>IF(ISBLANK($A103),"NO_CODE",VLOOKUP($A103,'UPD Questions_290926 '!$E$1:$N$300,MATCH(G$1,'UPD Questions_290926 '!$E$1:$N$1,0),0)&amp;"")</f>
        <v>Law or Policy/Implementation</v>
      </c>
      <c r="H103" s="79">
        <f>IF(ISBLANK($A103),"NO_CODE",VLOOKUP($A103,'UPD Questions_290926 '!$E$1:$N$300,MATCH(H$1,'UPD Questions_290926 '!$E$1:$N$1,0),0))</f>
        <v>10</v>
      </c>
      <c r="I103" s="80" t="str">
        <f t="shared" ca="1" si="85"/>
        <v>?</v>
      </c>
      <c r="J103" s="80" t="str">
        <f t="shared" ca="1" si="85"/>
        <v>?</v>
      </c>
      <c r="K103" s="80" t="str">
        <f t="shared" ca="1" si="85"/>
        <v>?</v>
      </c>
      <c r="L103" s="80" t="str">
        <f t="shared" ca="1" si="85"/>
        <v>?</v>
      </c>
      <c r="M103" s="80" t="str">
        <f t="shared" ca="1" si="85"/>
        <v>?</v>
      </c>
      <c r="N103" s="80" t="str">
        <f t="shared" ca="1" si="85"/>
        <v>?</v>
      </c>
      <c r="O103" s="80" t="str">
        <f t="shared" ca="1" si="85"/>
        <v>?</v>
      </c>
      <c r="P103" s="80" t="str">
        <f t="shared" ca="1" si="85"/>
        <v>?</v>
      </c>
      <c r="Q103" s="80" t="str">
        <f t="shared" ca="1" si="85"/>
        <v>?</v>
      </c>
      <c r="R103" s="80" t="str">
        <f t="shared" ca="1" si="85"/>
        <v>?</v>
      </c>
      <c r="S103" s="80" t="str">
        <f t="shared" ca="1" si="86"/>
        <v>?</v>
      </c>
      <c r="T103" s="80" t="str">
        <f t="shared" ca="1" si="86"/>
        <v>?</v>
      </c>
      <c r="U103" s="80" t="str">
        <f t="shared" ca="1" si="86"/>
        <v>?</v>
      </c>
      <c r="V103" s="80" t="str">
        <f t="shared" ca="1" si="86"/>
        <v>?</v>
      </c>
      <c r="W103" s="80" t="str">
        <f t="shared" ca="1" si="86"/>
        <v>?</v>
      </c>
      <c r="X103" s="80" t="str">
        <f t="shared" ca="1" si="86"/>
        <v>?</v>
      </c>
      <c r="Y103" s="80" t="str">
        <f t="shared" ca="1" si="86"/>
        <v>?</v>
      </c>
      <c r="Z103" s="80" t="str">
        <f t="shared" ca="1" si="86"/>
        <v>?</v>
      </c>
      <c r="AA103" s="80" t="str">
        <f t="shared" ca="1" si="86"/>
        <v>?</v>
      </c>
      <c r="AB103" s="80" t="str">
        <f t="shared" ca="1" si="86"/>
        <v>?</v>
      </c>
      <c r="AC103" s="80" t="str">
        <f t="shared" ca="1" si="87"/>
        <v>?</v>
      </c>
      <c r="AD103" s="80" t="str">
        <f t="shared" ca="1" si="87"/>
        <v>?</v>
      </c>
      <c r="AE103" s="80" t="str">
        <f t="shared" ca="1" si="87"/>
        <v>?</v>
      </c>
      <c r="AF103" s="80" t="str">
        <f t="shared" ca="1" si="87"/>
        <v>?</v>
      </c>
      <c r="AG103" s="80" t="str">
        <f t="shared" ca="1" si="87"/>
        <v>?</v>
      </c>
      <c r="AH103" s="80" t="str">
        <f t="shared" ca="1" si="87"/>
        <v>?</v>
      </c>
      <c r="AI103" s="80" t="str">
        <f t="shared" ca="1" si="87"/>
        <v>?</v>
      </c>
      <c r="AJ103" s="80" t="str">
        <f t="shared" ca="1" si="87"/>
        <v>?</v>
      </c>
      <c r="AK103" s="80" t="str">
        <f t="shared" ca="1" si="87"/>
        <v>?</v>
      </c>
    </row>
    <row r="104" spans="1:37">
      <c r="A104" s="76" t="s">
        <v>468</v>
      </c>
      <c r="B104" s="77" t="str">
        <f>IF(ISBLANK($A104),"NO_CODE",VLOOKUP($A104,'UPD Questions_290926 '!$E$1:$N$300,MATCH(B$1,'UPD Questions_290926 '!$E$1:$N$1,0),0)&amp;"")</f>
        <v>Enforcement</v>
      </c>
      <c r="C104" s="77" t="str">
        <f>IF(ISBLANK($A104),"NO_CODE",VLOOKUP($A104,'UPD Questions_290926 '!$E$1:$N$300,MATCH(C$1,'UPD Questions_290926 '!$E$1:$N$1,0),0)&amp;"")</f>
        <v>Development Compliance</v>
      </c>
      <c r="D104" s="77" t="str">
        <f>IF(ISBLANK($A104),"NO_CODE",VLOOKUP($A104,'UPD Questions_290926 '!$E$1:$N$300,MATCH(D$1,'UPD Questions_290926 '!$E$1:$N$1,0),0)&amp;"")</f>
        <v>Construction monitoring</v>
      </c>
      <c r="E104" s="77" t="str">
        <f>IF(ISBLANK($A104),"NO_CODE",VLOOKUP($A104,'UPD Questions_290926 '!$E$1:$N$300,MATCH(E$1,'UPD Questions_290926 '!$E$1:$N$1,0),0)&amp;"")</f>
        <v>MQ</v>
      </c>
      <c r="F104" s="77" t="str">
        <f>IF(ISBLANK($A104),"NO_CODE",VLOOKUP($A104,'UPD Questions_290926 '!$E$1:$N$300,MATCH(F$1,'UPD Questions_290926 '!$E$1:$N$1,0),0)&amp;"")</f>
        <v xml:space="preserve">Does the law mandate mechanisms for monitoring ongoing construction/development projects for compliance with approved plans and permissions?  </v>
      </c>
      <c r="G104" s="77" t="str">
        <f>IF(ISBLANK($A104),"NO_CODE",VLOOKUP($A104,'UPD Questions_290926 '!$E$1:$N$300,MATCH(G$1,'UPD Questions_290926 '!$E$1:$N$1,0),0)&amp;"")</f>
        <v>Implementation</v>
      </c>
      <c r="H104" s="79">
        <f>IF(ISBLANK($A104),"NO_CODE",VLOOKUP($A104,'UPD Questions_290926 '!$E$1:$N$300,MATCH(H$1,'UPD Questions_290926 '!$E$1:$N$1,0),0))</f>
        <v>10</v>
      </c>
      <c r="I104" s="80" t="str">
        <f t="shared" ref="I104:AK104" ca="1" si="88">IF(OR(I105="ER",I106="ER"),"ER",IF(OR(I105="?",I106="?"),"?",IF(AND(I105="NA",I106="NA"),"NA",SUM(I105,I106)/((I105&lt;&gt;"NA")*$H$105+(I106&lt;&gt;"NA")*$H$106)*$H104)))</f>
        <v>?</v>
      </c>
      <c r="J104" s="80" t="str">
        <f t="shared" ca="1" si="88"/>
        <v>?</v>
      </c>
      <c r="K104" s="80" t="str">
        <f t="shared" ca="1" si="88"/>
        <v>?</v>
      </c>
      <c r="L104" s="80" t="str">
        <f t="shared" ca="1" si="88"/>
        <v>?</v>
      </c>
      <c r="M104" s="80" t="str">
        <f t="shared" ca="1" si="88"/>
        <v>?</v>
      </c>
      <c r="N104" s="80" t="str">
        <f t="shared" ca="1" si="88"/>
        <v>?</v>
      </c>
      <c r="O104" s="80" t="str">
        <f t="shared" ca="1" si="88"/>
        <v>?</v>
      </c>
      <c r="P104" s="80" t="str">
        <f t="shared" ca="1" si="88"/>
        <v>?</v>
      </c>
      <c r="Q104" s="80" t="str">
        <f t="shared" ca="1" si="88"/>
        <v>?</v>
      </c>
      <c r="R104" s="80" t="str">
        <f t="shared" ca="1" si="88"/>
        <v>?</v>
      </c>
      <c r="S104" s="80" t="str">
        <f t="shared" ca="1" si="88"/>
        <v>?</v>
      </c>
      <c r="T104" s="80" t="str">
        <f t="shared" ca="1" si="88"/>
        <v>?</v>
      </c>
      <c r="U104" s="80" t="str">
        <f t="shared" ca="1" si="88"/>
        <v>?</v>
      </c>
      <c r="V104" s="80" t="str">
        <f t="shared" ca="1" si="88"/>
        <v>?</v>
      </c>
      <c r="W104" s="80" t="str">
        <f t="shared" ca="1" si="88"/>
        <v>?</v>
      </c>
      <c r="X104" s="80" t="str">
        <f t="shared" ca="1" si="88"/>
        <v>?</v>
      </c>
      <c r="Y104" s="80" t="str">
        <f t="shared" ca="1" si="88"/>
        <v>?</v>
      </c>
      <c r="Z104" s="80" t="str">
        <f t="shared" ca="1" si="88"/>
        <v>?</v>
      </c>
      <c r="AA104" s="80" t="str">
        <f t="shared" ca="1" si="88"/>
        <v>?</v>
      </c>
      <c r="AB104" s="80" t="str">
        <f t="shared" ca="1" si="88"/>
        <v>?</v>
      </c>
      <c r="AC104" s="80" t="str">
        <f t="shared" ca="1" si="88"/>
        <v>?</v>
      </c>
      <c r="AD104" s="80" t="str">
        <f t="shared" ca="1" si="88"/>
        <v>?</v>
      </c>
      <c r="AE104" s="80" t="str">
        <f t="shared" ca="1" si="88"/>
        <v>?</v>
      </c>
      <c r="AF104" s="80" t="str">
        <f t="shared" ca="1" si="88"/>
        <v>?</v>
      </c>
      <c r="AG104" s="80" t="str">
        <f t="shared" ca="1" si="88"/>
        <v>?</v>
      </c>
      <c r="AH104" s="80" t="str">
        <f t="shared" ca="1" si="88"/>
        <v>?</v>
      </c>
      <c r="AI104" s="80" t="str">
        <f t="shared" ca="1" si="88"/>
        <v>?</v>
      </c>
      <c r="AJ104" s="80" t="str">
        <f t="shared" ca="1" si="88"/>
        <v>?</v>
      </c>
      <c r="AK104" s="80" t="str">
        <f t="shared" ca="1" si="88"/>
        <v>?</v>
      </c>
    </row>
    <row r="105" spans="1:37">
      <c r="A105" s="76" t="s">
        <v>472</v>
      </c>
      <c r="B105" s="77" t="str">
        <f>IF(ISBLANK($A105),"NO_CODE",VLOOKUP($A105,'UPD Questions_290926 '!$E$1:$N$300,MATCH(B$1,'UPD Questions_290926 '!$E$1:$N$1,0),0)&amp;"")</f>
        <v>Enforcement</v>
      </c>
      <c r="C105" s="77" t="str">
        <f>IF(ISBLANK($A105),"NO_CODE",VLOOKUP($A105,'UPD Questions_290926 '!$E$1:$N$300,MATCH(C$1,'UPD Questions_290926 '!$E$1:$N$1,0),0)&amp;"")</f>
        <v>Development Compliance</v>
      </c>
      <c r="D105" s="77" t="str">
        <f>IF(ISBLANK($A105),"NO_CODE",VLOOKUP($A105,'UPD Questions_290926 '!$E$1:$N$300,MATCH(D$1,'UPD Questions_290926 '!$E$1:$N$1,0),0)&amp;"")</f>
        <v>Construction monitoring</v>
      </c>
      <c r="E105" s="77" t="str">
        <f>IF(ISBLANK($A105),"NO_CODE",VLOOKUP($A105,'UPD Questions_290926 '!$E$1:$N$300,MATCH(E$1,'UPD Questions_290926 '!$E$1:$N$1,0),0)&amp;"")</f>
        <v>SQ</v>
      </c>
      <c r="F105" s="77" t="str">
        <f>IF(ISBLANK($A105),"NO_CODE",VLOOKUP($A105,'UPD Questions_290926 '!$E$1:$N$300,MATCH(F$1,'UPD Questions_290926 '!$E$1:$N$1,0),0)&amp;"")</f>
        <v>Does the law mandate a system for monitoring ongoing construction/projects for possible violations?</v>
      </c>
      <c r="G105" s="77" t="str">
        <f>IF(ISBLANK($A105),"NO_CODE",VLOOKUP($A105,'UPD Questions_290926 '!$E$1:$N$300,MATCH(G$1,'UPD Questions_290926 '!$E$1:$N$1,0),0)&amp;"")</f>
        <v>Implementation</v>
      </c>
      <c r="H105" s="79">
        <f>IF(ISBLANK($A105),"NO_CODE",VLOOKUP($A105,'UPD Questions_290926 '!$E$1:$N$300,MATCH(H$1,'UPD Questions_290926 '!$E$1:$N$1,0),0))</f>
        <v>5</v>
      </c>
      <c r="I105" s="80" t="str">
        <f t="shared" ref="I105:R107" ca="1" si="89">IF($H105=0,"NA",IF($A105=INDIRECT("'"&amp;$A105&amp;"'!$B$1"),IF(VLOOKUP(I$1,INDIRECT("'"&amp;$A105&amp;"'!$A$12:$Z$41"),MATCH("Points (Auto-generate)",INDIRECT("'"&amp;$A105&amp;"'!$A$12:$Z$12"),0),0)="","?",VLOOKUP(I$1,INDIRECT("'"&amp;$A105&amp;"'!$A$12:$Z$41"),MATCH("Points (Auto-generate)",INDIRECT("'"&amp;$A105&amp;"'!$A$12:$Z$12"),0),0)),"ER"))</f>
        <v>?</v>
      </c>
      <c r="J105" s="80" t="str">
        <f t="shared" ca="1" si="89"/>
        <v>?</v>
      </c>
      <c r="K105" s="80" t="str">
        <f t="shared" ca="1" si="89"/>
        <v>?</v>
      </c>
      <c r="L105" s="80" t="str">
        <f t="shared" ca="1" si="89"/>
        <v>?</v>
      </c>
      <c r="M105" s="80" t="str">
        <f t="shared" ca="1" si="89"/>
        <v>?</v>
      </c>
      <c r="N105" s="80" t="str">
        <f t="shared" ca="1" si="89"/>
        <v>?</v>
      </c>
      <c r="O105" s="80" t="str">
        <f t="shared" ca="1" si="89"/>
        <v>?</v>
      </c>
      <c r="P105" s="80" t="str">
        <f t="shared" ca="1" si="89"/>
        <v>?</v>
      </c>
      <c r="Q105" s="80" t="str">
        <f t="shared" ca="1" si="89"/>
        <v>?</v>
      </c>
      <c r="R105" s="80" t="str">
        <f t="shared" ca="1" si="89"/>
        <v>?</v>
      </c>
      <c r="S105" s="80" t="str">
        <f t="shared" ref="S105:AB107" ca="1" si="90">IF($H105=0,"NA",IF($A105=INDIRECT("'"&amp;$A105&amp;"'!$B$1"),IF(VLOOKUP(S$1,INDIRECT("'"&amp;$A105&amp;"'!$A$12:$Z$41"),MATCH("Points (Auto-generate)",INDIRECT("'"&amp;$A105&amp;"'!$A$12:$Z$12"),0),0)="","?",VLOOKUP(S$1,INDIRECT("'"&amp;$A105&amp;"'!$A$12:$Z$41"),MATCH("Points (Auto-generate)",INDIRECT("'"&amp;$A105&amp;"'!$A$12:$Z$12"),0),0)),"ER"))</f>
        <v>?</v>
      </c>
      <c r="T105" s="80" t="str">
        <f t="shared" ca="1" si="90"/>
        <v>?</v>
      </c>
      <c r="U105" s="80" t="str">
        <f t="shared" ca="1" si="90"/>
        <v>?</v>
      </c>
      <c r="V105" s="80" t="str">
        <f t="shared" ca="1" si="90"/>
        <v>?</v>
      </c>
      <c r="W105" s="80" t="str">
        <f t="shared" ca="1" si="90"/>
        <v>?</v>
      </c>
      <c r="X105" s="80" t="str">
        <f t="shared" ca="1" si="90"/>
        <v>?</v>
      </c>
      <c r="Y105" s="80" t="str">
        <f t="shared" ca="1" si="90"/>
        <v>?</v>
      </c>
      <c r="Z105" s="80" t="str">
        <f t="shared" ca="1" si="90"/>
        <v>?</v>
      </c>
      <c r="AA105" s="80" t="str">
        <f t="shared" ca="1" si="90"/>
        <v>?</v>
      </c>
      <c r="AB105" s="80" t="str">
        <f t="shared" ca="1" si="90"/>
        <v>?</v>
      </c>
      <c r="AC105" s="80" t="str">
        <f t="shared" ref="AC105:AK107" ca="1" si="91">IF($H105=0,"NA",IF($A105=INDIRECT("'"&amp;$A105&amp;"'!$B$1"),IF(VLOOKUP(AC$1,INDIRECT("'"&amp;$A105&amp;"'!$A$12:$Z$41"),MATCH("Points (Auto-generate)",INDIRECT("'"&amp;$A105&amp;"'!$A$12:$Z$12"),0),0)="","?",VLOOKUP(AC$1,INDIRECT("'"&amp;$A105&amp;"'!$A$12:$Z$41"),MATCH("Points (Auto-generate)",INDIRECT("'"&amp;$A105&amp;"'!$A$12:$Z$12"),0),0)),"ER"))</f>
        <v>?</v>
      </c>
      <c r="AD105" s="80" t="str">
        <f t="shared" ca="1" si="91"/>
        <v>?</v>
      </c>
      <c r="AE105" s="80" t="str">
        <f t="shared" ca="1" si="91"/>
        <v>?</v>
      </c>
      <c r="AF105" s="80" t="str">
        <f t="shared" ca="1" si="91"/>
        <v>?</v>
      </c>
      <c r="AG105" s="80" t="str">
        <f t="shared" ca="1" si="91"/>
        <v>?</v>
      </c>
      <c r="AH105" s="80" t="str">
        <f t="shared" ca="1" si="91"/>
        <v>?</v>
      </c>
      <c r="AI105" s="80" t="str">
        <f t="shared" ca="1" si="91"/>
        <v>?</v>
      </c>
      <c r="AJ105" s="80" t="str">
        <f t="shared" ca="1" si="91"/>
        <v>?</v>
      </c>
      <c r="AK105" s="80" t="str">
        <f t="shared" ca="1" si="91"/>
        <v>?</v>
      </c>
    </row>
    <row r="106" spans="1:37">
      <c r="A106" s="76" t="s">
        <v>476</v>
      </c>
      <c r="B106" s="77" t="str">
        <f>IF(ISBLANK($A106),"NO_CODE",VLOOKUP($A106,'UPD Questions_290926 '!$E$1:$N$300,MATCH(B$1,'UPD Questions_290926 '!$E$1:$N$1,0),0)&amp;"")</f>
        <v>Enforcement</v>
      </c>
      <c r="C106" s="77" t="str">
        <f>IF(ISBLANK($A106),"NO_CODE",VLOOKUP($A106,'UPD Questions_290926 '!$E$1:$N$300,MATCH(C$1,'UPD Questions_290926 '!$E$1:$N$1,0),0)&amp;"")</f>
        <v>Development Compliance</v>
      </c>
      <c r="D106" s="77" t="str">
        <f>IF(ISBLANK($A106),"NO_CODE",VLOOKUP($A106,'UPD Questions_290926 '!$E$1:$N$300,MATCH(D$1,'UPD Questions_290926 '!$E$1:$N$1,0),0)&amp;"")</f>
        <v>Construction monitoring</v>
      </c>
      <c r="E106" s="77" t="str">
        <f>IF(ISBLANK($A106),"NO_CODE",VLOOKUP($A106,'UPD Questions_290926 '!$E$1:$N$300,MATCH(E$1,'UPD Questions_290926 '!$E$1:$N$1,0),0)&amp;"")</f>
        <v>SQ</v>
      </c>
      <c r="F106" s="77" t="str">
        <f>IF(ISBLANK($A106),"NO_CODE",VLOOKUP($A106,'UPD Questions_290926 '!$E$1:$N$300,MATCH(F$1,'UPD Questions_290926 '!$E$1:$N$1,0),0)&amp;"")</f>
        <v>Has a system for monitoring ongoing construction/projects for possible violations been implemented?</v>
      </c>
      <c r="G106" s="77" t="str">
        <f>IF(ISBLANK($A106),"NO_CODE",VLOOKUP($A106,'UPD Questions_290926 '!$E$1:$N$300,MATCH(G$1,'UPD Questions_290926 '!$E$1:$N$1,0),0)&amp;"")</f>
        <v>Implementation</v>
      </c>
      <c r="H106" s="79">
        <f>IF(ISBLANK($A106),"NO_CODE",VLOOKUP($A106,'UPD Questions_290926 '!$E$1:$N$300,MATCH(H$1,'UPD Questions_290926 '!$E$1:$N$1,0),0))</f>
        <v>5</v>
      </c>
      <c r="I106" s="80" t="str">
        <f t="shared" ca="1" si="89"/>
        <v>?</v>
      </c>
      <c r="J106" s="80" t="str">
        <f t="shared" ca="1" si="89"/>
        <v>?</v>
      </c>
      <c r="K106" s="80" t="str">
        <f t="shared" ca="1" si="89"/>
        <v>?</v>
      </c>
      <c r="L106" s="80" t="str">
        <f t="shared" ca="1" si="89"/>
        <v>?</v>
      </c>
      <c r="M106" s="80" t="str">
        <f t="shared" ca="1" si="89"/>
        <v>?</v>
      </c>
      <c r="N106" s="80" t="str">
        <f t="shared" ca="1" si="89"/>
        <v>?</v>
      </c>
      <c r="O106" s="80" t="str">
        <f t="shared" ca="1" si="89"/>
        <v>?</v>
      </c>
      <c r="P106" s="80" t="str">
        <f t="shared" ca="1" si="89"/>
        <v>?</v>
      </c>
      <c r="Q106" s="80" t="str">
        <f t="shared" ca="1" si="89"/>
        <v>?</v>
      </c>
      <c r="R106" s="80" t="str">
        <f t="shared" ca="1" si="89"/>
        <v>?</v>
      </c>
      <c r="S106" s="80" t="str">
        <f t="shared" ca="1" si="90"/>
        <v>?</v>
      </c>
      <c r="T106" s="80" t="str">
        <f t="shared" ca="1" si="90"/>
        <v>?</v>
      </c>
      <c r="U106" s="80" t="str">
        <f t="shared" ca="1" si="90"/>
        <v>?</v>
      </c>
      <c r="V106" s="80" t="str">
        <f t="shared" ca="1" si="90"/>
        <v>?</v>
      </c>
      <c r="W106" s="80" t="str">
        <f t="shared" ca="1" si="90"/>
        <v>?</v>
      </c>
      <c r="X106" s="80" t="str">
        <f t="shared" ca="1" si="90"/>
        <v>?</v>
      </c>
      <c r="Y106" s="80" t="str">
        <f t="shared" ca="1" si="90"/>
        <v>?</v>
      </c>
      <c r="Z106" s="80" t="str">
        <f t="shared" ca="1" si="90"/>
        <v>?</v>
      </c>
      <c r="AA106" s="80" t="str">
        <f t="shared" ca="1" si="90"/>
        <v>?</v>
      </c>
      <c r="AB106" s="80" t="str">
        <f t="shared" ca="1" si="90"/>
        <v>?</v>
      </c>
      <c r="AC106" s="80" t="str">
        <f t="shared" ca="1" si="91"/>
        <v>?</v>
      </c>
      <c r="AD106" s="80" t="str">
        <f t="shared" ca="1" si="91"/>
        <v>?</v>
      </c>
      <c r="AE106" s="80" t="str">
        <f t="shared" ca="1" si="91"/>
        <v>?</v>
      </c>
      <c r="AF106" s="80" t="str">
        <f t="shared" ca="1" si="91"/>
        <v>?</v>
      </c>
      <c r="AG106" s="80" t="str">
        <f t="shared" ca="1" si="91"/>
        <v>?</v>
      </c>
      <c r="AH106" s="80" t="str">
        <f t="shared" ca="1" si="91"/>
        <v>?</v>
      </c>
      <c r="AI106" s="80" t="str">
        <f t="shared" ca="1" si="91"/>
        <v>?</v>
      </c>
      <c r="AJ106" s="80" t="str">
        <f t="shared" ca="1" si="91"/>
        <v>?</v>
      </c>
      <c r="AK106" s="80" t="str">
        <f t="shared" ca="1" si="91"/>
        <v>?</v>
      </c>
    </row>
    <row r="107" spans="1:37">
      <c r="A107" s="76" t="s">
        <v>480</v>
      </c>
      <c r="B107" s="77" t="str">
        <f>IF(ISBLANK($A107),"NO_CODE",VLOOKUP($A107,'UPD Questions_290926 '!$E$1:$N$300,MATCH(B$1,'UPD Questions_290926 '!$E$1:$N$1,0),0)&amp;"")</f>
        <v>Enforcement</v>
      </c>
      <c r="C107" s="77" t="str">
        <f>IF(ISBLANK($A107),"NO_CODE",VLOOKUP($A107,'UPD Questions_290926 '!$E$1:$N$300,MATCH(C$1,'UPD Questions_290926 '!$E$1:$N$1,0),0)&amp;"")</f>
        <v>Development Compliance</v>
      </c>
      <c r="D107" s="77" t="str">
        <f>IF(ISBLANK($A107),"NO_CODE",VLOOKUP($A107,'UPD Questions_290926 '!$E$1:$N$300,MATCH(D$1,'UPD Questions_290926 '!$E$1:$N$1,0),0)&amp;"")</f>
        <v>Corrective action</v>
      </c>
      <c r="E107" s="77" t="str">
        <f>IF(ISBLANK($A107),"NO_CODE",VLOOKUP($A107,'UPD Questions_290926 '!$E$1:$N$300,MATCH(E$1,'UPD Questions_290926 '!$E$1:$N$1,0),0)&amp;"")</f>
        <v>MQ</v>
      </c>
      <c r="F107" s="77" t="str">
        <f>IF(ISBLANK($A107),"NO_CODE",VLOOKUP($A107,'UPD Questions_290926 '!$E$1:$N$300,MATCH(F$1,'UPD Questions_290926 '!$E$1:$N$1,0),0)&amp;"")</f>
        <v>Are there provisions to penalise violating plans?</v>
      </c>
      <c r="G107" s="77" t="str">
        <f>IF(ISBLANK($A107),"NO_CODE",VLOOKUP($A107,'UPD Questions_290926 '!$E$1:$N$300,MATCH(G$1,'UPD Questions_290926 '!$E$1:$N$1,0),0)&amp;"")</f>
        <v>Law or Policy</v>
      </c>
      <c r="H107" s="79">
        <f>IF(ISBLANK($A107),"NO_CODE",VLOOKUP($A107,'UPD Questions_290926 '!$E$1:$N$300,MATCH(H$1,'UPD Questions_290926 '!$E$1:$N$1,0),0))</f>
        <v>10</v>
      </c>
      <c r="I107" s="80" t="str">
        <f t="shared" ca="1" si="89"/>
        <v>?</v>
      </c>
      <c r="J107" s="80" t="str">
        <f t="shared" ca="1" si="89"/>
        <v>?</v>
      </c>
      <c r="K107" s="80" t="str">
        <f t="shared" ca="1" si="89"/>
        <v>?</v>
      </c>
      <c r="L107" s="80" t="str">
        <f t="shared" ca="1" si="89"/>
        <v>?</v>
      </c>
      <c r="M107" s="80" t="str">
        <f t="shared" ca="1" si="89"/>
        <v>?</v>
      </c>
      <c r="N107" s="80" t="str">
        <f t="shared" ca="1" si="89"/>
        <v>?</v>
      </c>
      <c r="O107" s="80" t="str">
        <f t="shared" ca="1" si="89"/>
        <v>?</v>
      </c>
      <c r="P107" s="80" t="str">
        <f t="shared" ca="1" si="89"/>
        <v>?</v>
      </c>
      <c r="Q107" s="80" t="str">
        <f t="shared" ca="1" si="89"/>
        <v>?</v>
      </c>
      <c r="R107" s="80" t="str">
        <f t="shared" ca="1" si="89"/>
        <v>?</v>
      </c>
      <c r="S107" s="80" t="str">
        <f t="shared" ca="1" si="90"/>
        <v>?</v>
      </c>
      <c r="T107" s="80" t="str">
        <f t="shared" ca="1" si="90"/>
        <v>?</v>
      </c>
      <c r="U107" s="80" t="str">
        <f t="shared" ca="1" si="90"/>
        <v>?</v>
      </c>
      <c r="V107" s="80" t="str">
        <f t="shared" ca="1" si="90"/>
        <v>?</v>
      </c>
      <c r="W107" s="80" t="str">
        <f t="shared" ca="1" si="90"/>
        <v>?</v>
      </c>
      <c r="X107" s="80" t="str">
        <f t="shared" ca="1" si="90"/>
        <v>?</v>
      </c>
      <c r="Y107" s="80" t="str">
        <f t="shared" ca="1" si="90"/>
        <v>?</v>
      </c>
      <c r="Z107" s="80" t="str">
        <f t="shared" ca="1" si="90"/>
        <v>?</v>
      </c>
      <c r="AA107" s="80" t="str">
        <f t="shared" ca="1" si="90"/>
        <v>?</v>
      </c>
      <c r="AB107" s="80" t="str">
        <f t="shared" ca="1" si="90"/>
        <v>?</v>
      </c>
      <c r="AC107" s="80" t="str">
        <f t="shared" ca="1" si="91"/>
        <v>?</v>
      </c>
      <c r="AD107" s="80" t="str">
        <f t="shared" ca="1" si="91"/>
        <v>?</v>
      </c>
      <c r="AE107" s="80" t="str">
        <f t="shared" ca="1" si="91"/>
        <v>?</v>
      </c>
      <c r="AF107" s="80" t="str">
        <f t="shared" ca="1" si="91"/>
        <v>?</v>
      </c>
      <c r="AG107" s="80" t="str">
        <f t="shared" ca="1" si="91"/>
        <v>?</v>
      </c>
      <c r="AH107" s="80" t="str">
        <f t="shared" ca="1" si="91"/>
        <v>?</v>
      </c>
      <c r="AI107" s="80" t="str">
        <f t="shared" ca="1" si="91"/>
        <v>?</v>
      </c>
      <c r="AJ107" s="80" t="str">
        <f t="shared" ca="1" si="91"/>
        <v>?</v>
      </c>
      <c r="AK107" s="80" t="str">
        <f t="shared" ca="1" si="91"/>
        <v>?</v>
      </c>
    </row>
    <row r="109" spans="1:37" ht="93.75" customHeight="1">
      <c r="F109" s="81" t="s">
        <v>517</v>
      </c>
      <c r="I109" s="73" t="s">
        <v>486</v>
      </c>
      <c r="J109" s="73" t="s">
        <v>487</v>
      </c>
      <c r="K109" s="73" t="s">
        <v>488</v>
      </c>
      <c r="L109" s="73" t="s">
        <v>489</v>
      </c>
      <c r="M109" s="73" t="s">
        <v>490</v>
      </c>
      <c r="N109" s="73" t="s">
        <v>491</v>
      </c>
      <c r="O109" s="73" t="s">
        <v>492</v>
      </c>
      <c r="P109" s="73" t="s">
        <v>493</v>
      </c>
      <c r="Q109" s="73" t="s">
        <v>494</v>
      </c>
      <c r="R109" s="73" t="s">
        <v>495</v>
      </c>
      <c r="S109" s="73" t="s">
        <v>496</v>
      </c>
      <c r="T109" s="73" t="s">
        <v>497</v>
      </c>
      <c r="U109" s="73" t="s">
        <v>498</v>
      </c>
      <c r="V109" s="73" t="s">
        <v>499</v>
      </c>
      <c r="W109" s="73" t="s">
        <v>500</v>
      </c>
      <c r="X109" s="73" t="s">
        <v>501</v>
      </c>
      <c r="Y109" s="73" t="s">
        <v>502</v>
      </c>
      <c r="Z109" s="73" t="s">
        <v>503</v>
      </c>
      <c r="AA109" s="73" t="s">
        <v>504</v>
      </c>
      <c r="AB109" s="73" t="s">
        <v>505</v>
      </c>
      <c r="AC109" s="73" t="s">
        <v>506</v>
      </c>
      <c r="AD109" s="73" t="s">
        <v>507</v>
      </c>
      <c r="AE109" s="73" t="s">
        <v>508</v>
      </c>
      <c r="AF109" s="73" t="s">
        <v>509</v>
      </c>
      <c r="AG109" s="73" t="s">
        <v>510</v>
      </c>
      <c r="AH109" s="73" t="s">
        <v>511</v>
      </c>
      <c r="AI109" s="73" t="s">
        <v>512</v>
      </c>
      <c r="AJ109" s="73" t="s">
        <v>513</v>
      </c>
      <c r="AK109" s="73" t="s">
        <v>514</v>
      </c>
    </row>
    <row r="110" spans="1:37">
      <c r="F110" s="82" t="s">
        <v>518</v>
      </c>
      <c r="I110" s="83">
        <f t="shared" ref="I110:AK110" ca="1" si="92">SUMIFS(I$3:I$107,$E$3:$E$107,"MQ")/(COUNTIFS($E$3:$E$107,"MQ")-COUNTIFS($E$3:$E$107,"MQ",I$3:I$107,"NA"))</f>
        <v>0</v>
      </c>
      <c r="J110" s="83">
        <f t="shared" ca="1" si="92"/>
        <v>1.0826210826210827</v>
      </c>
      <c r="K110" s="83">
        <f t="shared" ca="1" si="92"/>
        <v>0</v>
      </c>
      <c r="L110" s="83">
        <f t="shared" ca="1" si="92"/>
        <v>0</v>
      </c>
      <c r="M110" s="83">
        <f t="shared" ca="1" si="92"/>
        <v>0</v>
      </c>
      <c r="N110" s="83">
        <f t="shared" ca="1" si="92"/>
        <v>0</v>
      </c>
      <c r="O110" s="83">
        <f t="shared" ca="1" si="92"/>
        <v>0</v>
      </c>
      <c r="P110" s="83">
        <f t="shared" ca="1" si="92"/>
        <v>0</v>
      </c>
      <c r="Q110" s="83">
        <f t="shared" ca="1" si="92"/>
        <v>0</v>
      </c>
      <c r="R110" s="83">
        <f t="shared" ca="1" si="92"/>
        <v>0</v>
      </c>
      <c r="S110" s="83">
        <f t="shared" ca="1" si="92"/>
        <v>0</v>
      </c>
      <c r="T110" s="83">
        <f t="shared" ca="1" si="92"/>
        <v>0</v>
      </c>
      <c r="U110" s="83">
        <f t="shared" ca="1" si="92"/>
        <v>0</v>
      </c>
      <c r="V110" s="83">
        <f t="shared" ca="1" si="92"/>
        <v>0</v>
      </c>
      <c r="W110" s="83">
        <f t="shared" ca="1" si="92"/>
        <v>0</v>
      </c>
      <c r="X110" s="83">
        <f t="shared" ca="1" si="92"/>
        <v>0</v>
      </c>
      <c r="Y110" s="83">
        <f t="shared" ca="1" si="92"/>
        <v>0</v>
      </c>
      <c r="Z110" s="83">
        <f t="shared" ca="1" si="92"/>
        <v>0</v>
      </c>
      <c r="AA110" s="83">
        <f t="shared" ca="1" si="92"/>
        <v>0</v>
      </c>
      <c r="AB110" s="83">
        <f t="shared" ca="1" si="92"/>
        <v>0</v>
      </c>
      <c r="AC110" s="83">
        <f t="shared" ca="1" si="92"/>
        <v>0</v>
      </c>
      <c r="AD110" s="83">
        <f t="shared" ca="1" si="92"/>
        <v>0</v>
      </c>
      <c r="AE110" s="83">
        <f t="shared" ca="1" si="92"/>
        <v>0</v>
      </c>
      <c r="AF110" s="83">
        <f t="shared" ca="1" si="92"/>
        <v>0</v>
      </c>
      <c r="AG110" s="83">
        <f t="shared" ca="1" si="92"/>
        <v>0</v>
      </c>
      <c r="AH110" s="83">
        <f t="shared" ca="1" si="92"/>
        <v>0</v>
      </c>
      <c r="AI110" s="83">
        <f t="shared" ca="1" si="92"/>
        <v>0</v>
      </c>
      <c r="AJ110" s="83">
        <f t="shared" ca="1" si="92"/>
        <v>0</v>
      </c>
      <c r="AK110" s="83">
        <f t="shared" ca="1" si="92"/>
        <v>0</v>
      </c>
    </row>
    <row r="111" spans="1:37">
      <c r="F111" s="84" t="s">
        <v>519</v>
      </c>
      <c r="I111" s="85">
        <f t="shared" ref="I111:AK111" ca="1" si="93">COUNTIFS($E$3:$E$107,"MQ",I$3:I$107,"?")</f>
        <v>39</v>
      </c>
      <c r="J111" s="85">
        <f t="shared" ca="1" si="93"/>
        <v>27</v>
      </c>
      <c r="K111" s="85">
        <f t="shared" ca="1" si="93"/>
        <v>39</v>
      </c>
      <c r="L111" s="85">
        <f t="shared" ca="1" si="93"/>
        <v>39</v>
      </c>
      <c r="M111" s="85">
        <f t="shared" ca="1" si="93"/>
        <v>39</v>
      </c>
      <c r="N111" s="85">
        <f t="shared" ca="1" si="93"/>
        <v>39</v>
      </c>
      <c r="O111" s="85">
        <f t="shared" ca="1" si="93"/>
        <v>39</v>
      </c>
      <c r="P111" s="85">
        <f t="shared" ca="1" si="93"/>
        <v>39</v>
      </c>
      <c r="Q111" s="85">
        <f t="shared" ca="1" si="93"/>
        <v>39</v>
      </c>
      <c r="R111" s="85">
        <f t="shared" ca="1" si="93"/>
        <v>39</v>
      </c>
      <c r="S111" s="85">
        <f t="shared" ca="1" si="93"/>
        <v>39</v>
      </c>
      <c r="T111" s="85">
        <f t="shared" ca="1" si="93"/>
        <v>39</v>
      </c>
      <c r="U111" s="85">
        <f t="shared" ca="1" si="93"/>
        <v>39</v>
      </c>
      <c r="V111" s="85">
        <f t="shared" ca="1" si="93"/>
        <v>39</v>
      </c>
      <c r="W111" s="85">
        <f t="shared" ca="1" si="93"/>
        <v>39</v>
      </c>
      <c r="X111" s="85">
        <f t="shared" ca="1" si="93"/>
        <v>39</v>
      </c>
      <c r="Y111" s="85">
        <f t="shared" ca="1" si="93"/>
        <v>39</v>
      </c>
      <c r="Z111" s="85">
        <f t="shared" ca="1" si="93"/>
        <v>39</v>
      </c>
      <c r="AA111" s="85">
        <f t="shared" ca="1" si="93"/>
        <v>39</v>
      </c>
      <c r="AB111" s="85">
        <f t="shared" ca="1" si="93"/>
        <v>39</v>
      </c>
      <c r="AC111" s="85">
        <f t="shared" ca="1" si="93"/>
        <v>39</v>
      </c>
      <c r="AD111" s="85">
        <f t="shared" ca="1" si="93"/>
        <v>39</v>
      </c>
      <c r="AE111" s="85">
        <f t="shared" ca="1" si="93"/>
        <v>39</v>
      </c>
      <c r="AF111" s="85">
        <f t="shared" ca="1" si="93"/>
        <v>39</v>
      </c>
      <c r="AG111" s="85">
        <f t="shared" ca="1" si="93"/>
        <v>39</v>
      </c>
      <c r="AH111" s="85">
        <f t="shared" ca="1" si="93"/>
        <v>39</v>
      </c>
      <c r="AI111" s="85">
        <f t="shared" ca="1" si="93"/>
        <v>39</v>
      </c>
      <c r="AJ111" s="85">
        <f t="shared" ca="1" si="93"/>
        <v>39</v>
      </c>
      <c r="AK111" s="85">
        <f t="shared" ca="1" si="93"/>
        <v>39</v>
      </c>
    </row>
    <row r="112" spans="1:37">
      <c r="F112" s="84" t="s">
        <v>520</v>
      </c>
      <c r="I112" s="85">
        <f t="shared" ref="I112:AK112" ca="1" si="94">COUNTIFS($E$3:$E$107,"MQ",I$3:I$107,"NA")</f>
        <v>0</v>
      </c>
      <c r="J112" s="85">
        <f t="shared" ca="1" si="94"/>
        <v>0</v>
      </c>
      <c r="K112" s="85">
        <f t="shared" ca="1" si="94"/>
        <v>0</v>
      </c>
      <c r="L112" s="85">
        <f t="shared" ca="1" si="94"/>
        <v>0</v>
      </c>
      <c r="M112" s="85">
        <f t="shared" ca="1" si="94"/>
        <v>0</v>
      </c>
      <c r="N112" s="85">
        <f t="shared" ca="1" si="94"/>
        <v>0</v>
      </c>
      <c r="O112" s="85">
        <f t="shared" ca="1" si="94"/>
        <v>0</v>
      </c>
      <c r="P112" s="85">
        <f t="shared" ca="1" si="94"/>
        <v>0</v>
      </c>
      <c r="Q112" s="85">
        <f t="shared" ca="1" si="94"/>
        <v>0</v>
      </c>
      <c r="R112" s="85">
        <f t="shared" ca="1" si="94"/>
        <v>0</v>
      </c>
      <c r="S112" s="85">
        <f t="shared" ca="1" si="94"/>
        <v>0</v>
      </c>
      <c r="T112" s="85">
        <f t="shared" ca="1" si="94"/>
        <v>0</v>
      </c>
      <c r="U112" s="85">
        <f t="shared" ca="1" si="94"/>
        <v>0</v>
      </c>
      <c r="V112" s="85">
        <f t="shared" ca="1" si="94"/>
        <v>0</v>
      </c>
      <c r="W112" s="85">
        <f t="shared" ca="1" si="94"/>
        <v>0</v>
      </c>
      <c r="X112" s="85">
        <f t="shared" ca="1" si="94"/>
        <v>0</v>
      </c>
      <c r="Y112" s="85">
        <f t="shared" ca="1" si="94"/>
        <v>0</v>
      </c>
      <c r="Z112" s="85">
        <f t="shared" ca="1" si="94"/>
        <v>0</v>
      </c>
      <c r="AA112" s="85">
        <f t="shared" ca="1" si="94"/>
        <v>0</v>
      </c>
      <c r="AB112" s="85">
        <f t="shared" ca="1" si="94"/>
        <v>0</v>
      </c>
      <c r="AC112" s="85">
        <f t="shared" ca="1" si="94"/>
        <v>0</v>
      </c>
      <c r="AD112" s="85">
        <f t="shared" ca="1" si="94"/>
        <v>0</v>
      </c>
      <c r="AE112" s="85">
        <f t="shared" ca="1" si="94"/>
        <v>0</v>
      </c>
      <c r="AF112" s="85">
        <f t="shared" ca="1" si="94"/>
        <v>0</v>
      </c>
      <c r="AG112" s="85">
        <f t="shared" ca="1" si="94"/>
        <v>0</v>
      </c>
      <c r="AH112" s="85">
        <f t="shared" ca="1" si="94"/>
        <v>0</v>
      </c>
      <c r="AI112" s="85">
        <f t="shared" ca="1" si="94"/>
        <v>0</v>
      </c>
      <c r="AJ112" s="85">
        <f t="shared" ca="1" si="94"/>
        <v>0</v>
      </c>
      <c r="AK112" s="85">
        <f t="shared" ca="1" si="94"/>
        <v>0</v>
      </c>
    </row>
  </sheetData>
  <mergeCells count="1">
    <mergeCell ref="I2:AK2"/>
  </mergeCells>
  <conditionalFormatting sqref="A3:AK107">
    <cfRule type="expression" dxfId="1" priority="2">
      <formula>$A4=$A3&amp;"a"</formula>
    </cfRule>
    <cfRule type="expression" dxfId="0" priority="3">
      <formula>AND(LEFT($E3,2)="SQ",LEN($E3)=3)</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42"/>
  <sheetViews>
    <sheetView zoomScaleNormal="100" workbookViewId="0"/>
  </sheetViews>
  <sheetFormatPr defaultColWidth="9.140625" defaultRowHeight="14.45"/>
  <cols>
    <col min="1" max="1" width="9.140625" style="86"/>
    <col min="2" max="2" width="9.140625" style="87"/>
    <col min="3" max="3" width="7.5703125" style="87" customWidth="1"/>
    <col min="4" max="4" width="5.140625" style="87" customWidth="1"/>
    <col min="5" max="5" width="7.5703125" style="88" customWidth="1"/>
    <col min="6" max="6" width="8.7109375" style="88" customWidth="1"/>
    <col min="7" max="7" width="22.28515625" style="89" customWidth="1"/>
    <col min="8" max="8" width="19.140625" style="90" customWidth="1"/>
    <col min="9" max="9" width="79.85546875" style="87" customWidth="1"/>
    <col min="10" max="10" width="7.7109375" style="86" customWidth="1"/>
    <col min="11" max="11" width="19.5703125" style="91" customWidth="1"/>
    <col min="12" max="12" width="18.28515625" style="87" customWidth="1"/>
    <col min="13" max="13" width="98.28515625" style="87" customWidth="1"/>
    <col min="14" max="14" width="138.140625" style="92" customWidth="1"/>
    <col min="15" max="16384" width="9.140625" style="87"/>
  </cols>
  <sheetData>
    <row r="1" spans="1:19" s="86" customFormat="1" ht="48" customHeight="1">
      <c r="A1" s="93" t="s">
        <v>0</v>
      </c>
      <c r="B1" s="93" t="s">
        <v>1</v>
      </c>
      <c r="C1" s="93" t="s">
        <v>2</v>
      </c>
      <c r="D1" s="93" t="s">
        <v>3</v>
      </c>
      <c r="E1" s="94" t="s">
        <v>4</v>
      </c>
      <c r="F1" s="94" t="s">
        <v>5</v>
      </c>
      <c r="G1" s="11" t="s">
        <v>6</v>
      </c>
      <c r="H1" s="11" t="s">
        <v>7</v>
      </c>
      <c r="I1" s="93" t="s">
        <v>8</v>
      </c>
      <c r="J1" s="93" t="s">
        <v>9</v>
      </c>
      <c r="K1" s="93" t="s">
        <v>10</v>
      </c>
      <c r="L1" s="95" t="s">
        <v>11</v>
      </c>
      <c r="M1" s="96" t="s">
        <v>12</v>
      </c>
      <c r="N1" s="96" t="s">
        <v>13</v>
      </c>
    </row>
    <row r="2" spans="1:19" ht="111" customHeight="1">
      <c r="A2" s="2" t="s">
        <v>14</v>
      </c>
      <c r="B2" s="4" t="s">
        <v>15</v>
      </c>
      <c r="C2" s="4" t="s">
        <v>15</v>
      </c>
      <c r="D2" s="4" t="s">
        <v>16</v>
      </c>
      <c r="E2" s="97" t="s">
        <v>15</v>
      </c>
      <c r="F2" s="97" t="s">
        <v>17</v>
      </c>
      <c r="G2" s="17" t="s">
        <v>18</v>
      </c>
      <c r="H2" s="17" t="s">
        <v>19</v>
      </c>
      <c r="I2" s="15" t="s">
        <v>20</v>
      </c>
      <c r="J2" s="2" t="s">
        <v>21</v>
      </c>
      <c r="K2" s="1">
        <v>10</v>
      </c>
      <c r="L2" s="98" t="s">
        <v>22</v>
      </c>
      <c r="M2" s="4" t="s">
        <v>23</v>
      </c>
      <c r="N2" s="99" t="s">
        <v>24</v>
      </c>
    </row>
    <row r="3" spans="1:19" ht="40.5" customHeight="1">
      <c r="A3" s="2" t="s">
        <v>25</v>
      </c>
      <c r="B3" s="4" t="s">
        <v>26</v>
      </c>
      <c r="C3" s="4" t="s">
        <v>27</v>
      </c>
      <c r="D3" s="4" t="s">
        <v>16</v>
      </c>
      <c r="E3" s="97" t="s">
        <v>28</v>
      </c>
      <c r="F3" s="97" t="s">
        <v>17</v>
      </c>
      <c r="G3" s="17" t="s">
        <v>18</v>
      </c>
      <c r="H3" s="17" t="s">
        <v>19</v>
      </c>
      <c r="I3" s="4" t="s">
        <v>521</v>
      </c>
      <c r="J3" s="2" t="s">
        <v>21</v>
      </c>
      <c r="K3" s="1">
        <v>10</v>
      </c>
      <c r="L3" s="98" t="s">
        <v>22</v>
      </c>
      <c r="M3" s="4" t="s">
        <v>522</v>
      </c>
      <c r="N3" s="99"/>
    </row>
    <row r="4" spans="1:19" ht="48" customHeight="1">
      <c r="A4" s="100" t="s">
        <v>53</v>
      </c>
      <c r="B4" s="3" t="s">
        <v>28</v>
      </c>
      <c r="C4" s="4" t="s">
        <v>28</v>
      </c>
      <c r="D4" s="4" t="s">
        <v>16</v>
      </c>
      <c r="E4" s="97" t="s">
        <v>55</v>
      </c>
      <c r="F4" s="97" t="s">
        <v>17</v>
      </c>
      <c r="G4" s="17" t="s">
        <v>18</v>
      </c>
      <c r="H4" s="17" t="s">
        <v>33</v>
      </c>
      <c r="I4" s="3" t="s">
        <v>34</v>
      </c>
      <c r="J4" s="100" t="s">
        <v>21</v>
      </c>
      <c r="K4" s="101">
        <v>10</v>
      </c>
      <c r="L4" s="102" t="s">
        <v>22</v>
      </c>
      <c r="M4" s="4" t="s">
        <v>523</v>
      </c>
      <c r="N4" s="99"/>
    </row>
    <row r="5" spans="1:19" ht="69" customHeight="1">
      <c r="A5" s="103" t="s">
        <v>524</v>
      </c>
      <c r="B5" s="104" t="s">
        <v>37</v>
      </c>
      <c r="C5" s="104" t="s">
        <v>37</v>
      </c>
      <c r="D5" s="4" t="s">
        <v>16</v>
      </c>
      <c r="E5" s="97" t="s">
        <v>525</v>
      </c>
      <c r="F5" s="97" t="s">
        <v>17</v>
      </c>
      <c r="G5" s="17" t="s">
        <v>18</v>
      </c>
      <c r="H5" s="17" t="s">
        <v>33</v>
      </c>
      <c r="I5" s="104" t="s">
        <v>39</v>
      </c>
      <c r="J5" s="103" t="s">
        <v>40</v>
      </c>
      <c r="K5" s="105">
        <v>3.33</v>
      </c>
      <c r="L5" s="106" t="s">
        <v>22</v>
      </c>
      <c r="M5" s="104" t="s">
        <v>41</v>
      </c>
      <c r="N5" s="99"/>
    </row>
    <row r="6" spans="1:19" ht="42.75" customHeight="1">
      <c r="A6" s="103" t="s">
        <v>526</v>
      </c>
      <c r="B6" s="104" t="s">
        <v>43</v>
      </c>
      <c r="C6" s="104" t="s">
        <v>43</v>
      </c>
      <c r="D6" s="4" t="s">
        <v>16</v>
      </c>
      <c r="E6" s="97" t="s">
        <v>527</v>
      </c>
      <c r="F6" s="97" t="s">
        <v>17</v>
      </c>
      <c r="G6" s="17" t="s">
        <v>18</v>
      </c>
      <c r="H6" s="17" t="s">
        <v>33</v>
      </c>
      <c r="I6" s="25" t="s">
        <v>45</v>
      </c>
      <c r="J6" s="103" t="s">
        <v>40</v>
      </c>
      <c r="K6" s="105">
        <v>3.33</v>
      </c>
      <c r="L6" s="106" t="s">
        <v>22</v>
      </c>
      <c r="M6" s="104" t="s">
        <v>528</v>
      </c>
      <c r="N6" s="99"/>
    </row>
    <row r="7" spans="1:19" ht="67.5" customHeight="1">
      <c r="A7" s="103" t="s">
        <v>529</v>
      </c>
      <c r="B7" s="104" t="s">
        <v>48</v>
      </c>
      <c r="C7" s="104" t="s">
        <v>48</v>
      </c>
      <c r="D7" s="4" t="s">
        <v>16</v>
      </c>
      <c r="E7" s="97" t="s">
        <v>530</v>
      </c>
      <c r="F7" s="97" t="s">
        <v>17</v>
      </c>
      <c r="G7" s="17" t="s">
        <v>18</v>
      </c>
      <c r="H7" s="17" t="s">
        <v>33</v>
      </c>
      <c r="I7" s="107" t="s">
        <v>50</v>
      </c>
      <c r="J7" s="108" t="s">
        <v>40</v>
      </c>
      <c r="K7" s="105">
        <v>3.33</v>
      </c>
      <c r="L7" s="109" t="s">
        <v>22</v>
      </c>
      <c r="M7" s="107" t="s">
        <v>531</v>
      </c>
      <c r="N7" s="99" t="s">
        <v>52</v>
      </c>
    </row>
    <row r="8" spans="1:19" ht="404.25" customHeight="1">
      <c r="A8" s="2" t="s">
        <v>58</v>
      </c>
      <c r="B8" s="4" t="s">
        <v>27</v>
      </c>
      <c r="C8" s="110" t="s">
        <v>54</v>
      </c>
      <c r="D8" s="110" t="s">
        <v>16</v>
      </c>
      <c r="E8" s="111" t="s">
        <v>59</v>
      </c>
      <c r="F8" s="97" t="s">
        <v>17</v>
      </c>
      <c r="G8" s="17" t="s">
        <v>18</v>
      </c>
      <c r="H8" s="112" t="s">
        <v>33</v>
      </c>
      <c r="I8" s="113" t="s">
        <v>56</v>
      </c>
      <c r="J8" s="2" t="s">
        <v>21</v>
      </c>
      <c r="K8" s="1">
        <v>10</v>
      </c>
      <c r="L8" s="4" t="s">
        <v>22</v>
      </c>
      <c r="M8" s="110" t="s">
        <v>532</v>
      </c>
      <c r="N8" s="114"/>
      <c r="O8" s="87" t="s">
        <v>533</v>
      </c>
    </row>
    <row r="9" spans="1:19" ht="37.5" customHeight="1">
      <c r="A9" s="115">
        <v>8</v>
      </c>
      <c r="B9" s="116" t="s">
        <v>16</v>
      </c>
      <c r="C9" s="117"/>
      <c r="D9" s="117"/>
      <c r="E9" s="117"/>
      <c r="F9" s="118" t="s">
        <v>17</v>
      </c>
      <c r="G9" s="17" t="s">
        <v>18</v>
      </c>
      <c r="H9" s="112" t="s">
        <v>33</v>
      </c>
      <c r="I9" s="29" t="s">
        <v>60</v>
      </c>
      <c r="J9" s="30" t="s">
        <v>21</v>
      </c>
      <c r="K9" s="101">
        <v>10</v>
      </c>
      <c r="L9" s="102" t="s">
        <v>22</v>
      </c>
      <c r="M9" s="119" t="s">
        <v>534</v>
      </c>
      <c r="N9" s="120"/>
      <c r="O9" s="121"/>
      <c r="P9" s="33"/>
      <c r="R9" s="122"/>
      <c r="S9" s="123"/>
    </row>
    <row r="10" spans="1:19" ht="66" customHeight="1">
      <c r="A10" s="115" t="s">
        <v>535</v>
      </c>
      <c r="B10" s="116" t="s">
        <v>16</v>
      </c>
      <c r="C10" s="117"/>
      <c r="D10" s="117"/>
      <c r="E10" s="117"/>
      <c r="F10" s="118" t="s">
        <v>17</v>
      </c>
      <c r="G10" s="17" t="s">
        <v>18</v>
      </c>
      <c r="H10" s="112" t="s">
        <v>33</v>
      </c>
      <c r="I10" s="25" t="s">
        <v>64</v>
      </c>
      <c r="J10" s="28" t="s">
        <v>40</v>
      </c>
      <c r="K10" s="28">
        <v>3.3</v>
      </c>
      <c r="L10" s="98" t="s">
        <v>22</v>
      </c>
      <c r="M10" s="124" t="s">
        <v>536</v>
      </c>
      <c r="N10" s="120"/>
      <c r="P10" s="33"/>
      <c r="R10" s="122"/>
      <c r="S10" s="123"/>
    </row>
    <row r="11" spans="1:19" ht="66" customHeight="1">
      <c r="A11" s="115" t="s">
        <v>537</v>
      </c>
      <c r="B11" s="116" t="s">
        <v>16</v>
      </c>
      <c r="C11" s="117"/>
      <c r="D11" s="117"/>
      <c r="E11" s="117"/>
      <c r="F11" s="118" t="s">
        <v>17</v>
      </c>
      <c r="G11" s="17" t="s">
        <v>18</v>
      </c>
      <c r="H11" s="112" t="s">
        <v>33</v>
      </c>
      <c r="I11" s="25" t="s">
        <v>68</v>
      </c>
      <c r="J11" s="28" t="s">
        <v>40</v>
      </c>
      <c r="K11" s="28">
        <v>3.3</v>
      </c>
      <c r="L11" s="4" t="s">
        <v>22</v>
      </c>
      <c r="M11" s="124" t="s">
        <v>538</v>
      </c>
      <c r="N11" s="120"/>
      <c r="P11" s="33"/>
      <c r="R11" s="122"/>
      <c r="S11" s="123"/>
    </row>
    <row r="12" spans="1:19" ht="34.5" customHeight="1">
      <c r="A12" s="115" t="s">
        <v>539</v>
      </c>
      <c r="B12" s="116" t="s">
        <v>16</v>
      </c>
      <c r="C12" s="117"/>
      <c r="D12" s="117"/>
      <c r="E12" s="117"/>
      <c r="F12" s="118" t="s">
        <v>17</v>
      </c>
      <c r="G12" s="17" t="s">
        <v>18</v>
      </c>
      <c r="H12" s="112" t="s">
        <v>33</v>
      </c>
      <c r="I12" s="25" t="s">
        <v>72</v>
      </c>
      <c r="J12" s="28" t="s">
        <v>40</v>
      </c>
      <c r="K12" s="28">
        <v>3.3</v>
      </c>
      <c r="L12" s="4" t="s">
        <v>22</v>
      </c>
      <c r="M12" s="124" t="s">
        <v>540</v>
      </c>
      <c r="N12" s="120"/>
      <c r="P12" s="33"/>
      <c r="R12" s="122"/>
      <c r="S12" s="123"/>
    </row>
    <row r="13" spans="1:19" ht="124.5" customHeight="1">
      <c r="A13" s="2" t="s">
        <v>78</v>
      </c>
      <c r="B13" s="4" t="s">
        <v>59</v>
      </c>
      <c r="C13" s="125" t="s">
        <v>55</v>
      </c>
      <c r="D13" s="125" t="s">
        <v>16</v>
      </c>
      <c r="E13" s="126" t="s">
        <v>80</v>
      </c>
      <c r="F13" s="97" t="s">
        <v>17</v>
      </c>
      <c r="G13" s="17" t="s">
        <v>18</v>
      </c>
      <c r="H13" s="17" t="s">
        <v>541</v>
      </c>
      <c r="I13" s="4" t="s">
        <v>76</v>
      </c>
      <c r="J13" s="2" t="s">
        <v>21</v>
      </c>
      <c r="K13" s="1">
        <v>10</v>
      </c>
      <c r="L13" s="98" t="s">
        <v>22</v>
      </c>
      <c r="M13" s="4" t="s">
        <v>542</v>
      </c>
      <c r="N13" s="99"/>
    </row>
    <row r="14" spans="1:19" ht="42" customHeight="1">
      <c r="A14" s="2" t="s">
        <v>251</v>
      </c>
      <c r="B14" s="4" t="s">
        <v>79</v>
      </c>
      <c r="C14" s="4" t="s">
        <v>26</v>
      </c>
      <c r="D14" s="4" t="s">
        <v>16</v>
      </c>
      <c r="E14" s="97" t="s">
        <v>252</v>
      </c>
      <c r="F14" s="97" t="s">
        <v>17</v>
      </c>
      <c r="G14" s="17" t="s">
        <v>18</v>
      </c>
      <c r="H14" s="17" t="s">
        <v>81</v>
      </c>
      <c r="I14" s="4" t="s">
        <v>82</v>
      </c>
      <c r="J14" s="2" t="s">
        <v>21</v>
      </c>
      <c r="K14" s="1">
        <v>10</v>
      </c>
      <c r="L14" s="98" t="s">
        <v>83</v>
      </c>
      <c r="M14" s="4" t="s">
        <v>84</v>
      </c>
      <c r="N14" s="99"/>
    </row>
    <row r="15" spans="1:19" ht="40.5" customHeight="1">
      <c r="A15" s="103" t="s">
        <v>257</v>
      </c>
      <c r="B15" s="104" t="s">
        <v>86</v>
      </c>
      <c r="C15" s="104" t="s">
        <v>87</v>
      </c>
      <c r="D15" s="4" t="s">
        <v>16</v>
      </c>
      <c r="E15" s="97" t="s">
        <v>258</v>
      </c>
      <c r="F15" s="97" t="s">
        <v>17</v>
      </c>
      <c r="G15" s="17" t="s">
        <v>18</v>
      </c>
      <c r="H15" s="17" t="s">
        <v>81</v>
      </c>
      <c r="I15" s="104" t="s">
        <v>89</v>
      </c>
      <c r="J15" s="103" t="s">
        <v>40</v>
      </c>
      <c r="K15" s="105">
        <v>5</v>
      </c>
      <c r="L15" s="98" t="s">
        <v>90</v>
      </c>
      <c r="M15" s="104" t="s">
        <v>543</v>
      </c>
      <c r="N15" s="99" t="s">
        <v>544</v>
      </c>
    </row>
    <row r="16" spans="1:19" ht="84.75" customHeight="1">
      <c r="A16" s="103" t="s">
        <v>274</v>
      </c>
      <c r="B16" s="104" t="s">
        <v>93</v>
      </c>
      <c r="C16" s="104" t="s">
        <v>94</v>
      </c>
      <c r="D16" s="4" t="s">
        <v>16</v>
      </c>
      <c r="E16" s="97" t="s">
        <v>275</v>
      </c>
      <c r="F16" s="97" t="s">
        <v>17</v>
      </c>
      <c r="G16" s="17" t="s">
        <v>18</v>
      </c>
      <c r="H16" s="17" t="s">
        <v>81</v>
      </c>
      <c r="I16" s="104" t="s">
        <v>545</v>
      </c>
      <c r="J16" s="103" t="s">
        <v>40</v>
      </c>
      <c r="K16" s="105">
        <v>5</v>
      </c>
      <c r="L16" s="98" t="s">
        <v>97</v>
      </c>
      <c r="M16" s="104" t="s">
        <v>546</v>
      </c>
      <c r="N16" s="99"/>
    </row>
    <row r="17" spans="1:14" ht="81.75" customHeight="1">
      <c r="A17" s="103" t="s">
        <v>294</v>
      </c>
      <c r="B17" s="127" t="s">
        <v>485</v>
      </c>
      <c r="C17" s="127" t="s">
        <v>485</v>
      </c>
      <c r="D17" s="15" t="s">
        <v>16</v>
      </c>
      <c r="E17" s="36" t="s">
        <v>295</v>
      </c>
      <c r="F17" s="36" t="s">
        <v>17</v>
      </c>
      <c r="G17" s="17" t="s">
        <v>18</v>
      </c>
      <c r="H17" s="17" t="s">
        <v>81</v>
      </c>
      <c r="I17" s="15" t="s">
        <v>101</v>
      </c>
      <c r="J17" s="2" t="s">
        <v>21</v>
      </c>
      <c r="K17" s="105">
        <v>10</v>
      </c>
      <c r="L17" s="128" t="s">
        <v>102</v>
      </c>
      <c r="M17" s="15" t="s">
        <v>547</v>
      </c>
      <c r="N17" s="99"/>
    </row>
    <row r="18" spans="1:14" ht="90.75" customHeight="1">
      <c r="A18" s="2" t="s">
        <v>99</v>
      </c>
      <c r="B18" s="4" t="s">
        <v>55</v>
      </c>
      <c r="C18" s="4" t="s">
        <v>32</v>
      </c>
      <c r="D18" s="4" t="s">
        <v>16</v>
      </c>
      <c r="E18" s="97" t="s">
        <v>100</v>
      </c>
      <c r="F18" s="97" t="s">
        <v>17</v>
      </c>
      <c r="G18" s="17" t="s">
        <v>548</v>
      </c>
      <c r="H18" s="17" t="s">
        <v>106</v>
      </c>
      <c r="I18" s="15" t="s">
        <v>107</v>
      </c>
      <c r="J18" s="2" t="s">
        <v>21</v>
      </c>
      <c r="K18" s="1">
        <v>10</v>
      </c>
      <c r="L18" s="129" t="s">
        <v>22</v>
      </c>
      <c r="M18" s="110" t="s">
        <v>549</v>
      </c>
      <c r="N18" s="99"/>
    </row>
    <row r="19" spans="1:14" ht="95.25" customHeight="1">
      <c r="A19" s="130" t="s">
        <v>104</v>
      </c>
      <c r="B19" s="4" t="s">
        <v>110</v>
      </c>
      <c r="C19" s="4" t="s">
        <v>111</v>
      </c>
      <c r="D19" s="4" t="s">
        <v>16</v>
      </c>
      <c r="E19" s="97" t="s">
        <v>26</v>
      </c>
      <c r="F19" s="97" t="s">
        <v>17</v>
      </c>
      <c r="G19" s="17" t="s">
        <v>548</v>
      </c>
      <c r="H19" s="17" t="s">
        <v>113</v>
      </c>
      <c r="I19" s="15" t="s">
        <v>114</v>
      </c>
      <c r="J19" s="130" t="s">
        <v>21</v>
      </c>
      <c r="K19" s="131">
        <v>10</v>
      </c>
      <c r="L19" s="4" t="s">
        <v>22</v>
      </c>
      <c r="M19" s="4" t="s">
        <v>550</v>
      </c>
      <c r="N19" s="104"/>
    </row>
    <row r="20" spans="1:14" ht="54" customHeight="1">
      <c r="A20" s="130" t="s">
        <v>109</v>
      </c>
      <c r="B20" s="4" t="s">
        <v>117</v>
      </c>
      <c r="C20" s="4" t="s">
        <v>118</v>
      </c>
      <c r="D20" s="4" t="s">
        <v>16</v>
      </c>
      <c r="E20" s="97" t="s">
        <v>112</v>
      </c>
      <c r="F20" s="97" t="s">
        <v>17</v>
      </c>
      <c r="G20" s="17" t="s">
        <v>548</v>
      </c>
      <c r="H20" s="17" t="s">
        <v>113</v>
      </c>
      <c r="I20" s="15" t="s">
        <v>120</v>
      </c>
      <c r="J20" s="130" t="s">
        <v>21</v>
      </c>
      <c r="K20" s="131">
        <v>10</v>
      </c>
      <c r="L20" s="4" t="s">
        <v>83</v>
      </c>
      <c r="M20" s="4" t="s">
        <v>84</v>
      </c>
      <c r="N20" s="114"/>
    </row>
    <row r="21" spans="1:14" ht="105.75" customHeight="1">
      <c r="A21" s="130"/>
      <c r="B21" s="4" t="s">
        <v>122</v>
      </c>
      <c r="C21" s="4"/>
      <c r="D21" s="4"/>
      <c r="E21" s="97"/>
      <c r="F21" s="97" t="s">
        <v>17</v>
      </c>
      <c r="G21" s="17" t="s">
        <v>548</v>
      </c>
      <c r="H21" s="17" t="s">
        <v>113</v>
      </c>
      <c r="I21" s="15" t="s">
        <v>124</v>
      </c>
      <c r="J21" s="130" t="s">
        <v>40</v>
      </c>
      <c r="K21" s="131">
        <v>5</v>
      </c>
      <c r="L21" s="4" t="s">
        <v>90</v>
      </c>
      <c r="M21" s="104" t="s">
        <v>551</v>
      </c>
      <c r="N21" s="114"/>
    </row>
    <row r="22" spans="1:14" ht="54" customHeight="1">
      <c r="A22" s="130"/>
      <c r="B22" s="4" t="s">
        <v>127</v>
      </c>
      <c r="C22" s="4"/>
      <c r="D22" s="4"/>
      <c r="E22" s="97"/>
      <c r="F22" s="97" t="s">
        <v>17</v>
      </c>
      <c r="G22" s="17" t="s">
        <v>548</v>
      </c>
      <c r="H22" s="17" t="s">
        <v>113</v>
      </c>
      <c r="I22" s="15" t="s">
        <v>129</v>
      </c>
      <c r="J22" s="130" t="s">
        <v>40</v>
      </c>
      <c r="K22" s="132">
        <v>5</v>
      </c>
      <c r="L22" s="133" t="s">
        <v>97</v>
      </c>
      <c r="M22" s="134" t="s">
        <v>552</v>
      </c>
      <c r="N22" s="99"/>
    </row>
    <row r="23" spans="1:14" ht="164.25" customHeight="1">
      <c r="A23" s="135" t="s">
        <v>186</v>
      </c>
      <c r="B23" s="136"/>
      <c r="C23" s="136"/>
      <c r="D23" s="136" t="s">
        <v>16</v>
      </c>
      <c r="E23" s="89" t="s">
        <v>187</v>
      </c>
      <c r="F23" s="97" t="s">
        <v>17</v>
      </c>
      <c r="G23" s="17" t="s">
        <v>548</v>
      </c>
      <c r="H23" s="17" t="s">
        <v>133</v>
      </c>
      <c r="I23" s="137" t="s">
        <v>553</v>
      </c>
      <c r="J23" s="130" t="s">
        <v>21</v>
      </c>
      <c r="K23" s="132">
        <v>10</v>
      </c>
      <c r="L23" s="98" t="s">
        <v>22</v>
      </c>
      <c r="M23" s="137" t="s">
        <v>554</v>
      </c>
      <c r="N23" s="99"/>
    </row>
    <row r="24" spans="1:14" ht="54" customHeight="1">
      <c r="A24" s="2" t="s">
        <v>116</v>
      </c>
      <c r="B24" s="4" t="s">
        <v>54</v>
      </c>
      <c r="C24" s="4" t="s">
        <v>119</v>
      </c>
      <c r="D24" s="4" t="s">
        <v>16</v>
      </c>
      <c r="E24" s="97" t="s">
        <v>119</v>
      </c>
      <c r="F24" s="97" t="s">
        <v>17</v>
      </c>
      <c r="G24" s="17" t="s">
        <v>555</v>
      </c>
      <c r="H24" s="17" t="s">
        <v>139</v>
      </c>
      <c r="I24" s="4" t="s">
        <v>556</v>
      </c>
      <c r="J24" s="2" t="s">
        <v>21</v>
      </c>
      <c r="K24" s="1">
        <v>10</v>
      </c>
      <c r="L24" s="98" t="s">
        <v>141</v>
      </c>
      <c r="M24" s="104" t="s">
        <v>142</v>
      </c>
      <c r="N24" s="99"/>
    </row>
    <row r="25" spans="1:14" ht="126.75" customHeight="1">
      <c r="A25" s="130" t="s">
        <v>121</v>
      </c>
      <c r="B25" s="4"/>
      <c r="C25" s="4"/>
      <c r="D25" s="4"/>
      <c r="E25" s="97" t="s">
        <v>123</v>
      </c>
      <c r="F25" s="97" t="s">
        <v>17</v>
      </c>
      <c r="G25" s="17" t="s">
        <v>555</v>
      </c>
      <c r="H25" s="17" t="s">
        <v>139</v>
      </c>
      <c r="I25" s="4" t="s">
        <v>145</v>
      </c>
      <c r="J25" s="2" t="s">
        <v>40</v>
      </c>
      <c r="K25" s="1">
        <v>1.67</v>
      </c>
      <c r="L25" s="98" t="s">
        <v>90</v>
      </c>
      <c r="M25" s="104" t="s">
        <v>557</v>
      </c>
      <c r="N25" s="99"/>
    </row>
    <row r="26" spans="1:14" ht="57" customHeight="1">
      <c r="A26" s="130" t="s">
        <v>126</v>
      </c>
      <c r="B26" s="4"/>
      <c r="C26" s="4"/>
      <c r="D26" s="4"/>
      <c r="E26" s="97" t="s">
        <v>128</v>
      </c>
      <c r="F26" s="97" t="s">
        <v>17</v>
      </c>
      <c r="G26" s="17" t="s">
        <v>555</v>
      </c>
      <c r="H26" s="17" t="s">
        <v>139</v>
      </c>
      <c r="I26" s="4" t="s">
        <v>149</v>
      </c>
      <c r="J26" s="2" t="s">
        <v>40</v>
      </c>
      <c r="K26" s="1">
        <v>1.67</v>
      </c>
      <c r="L26" s="98" t="s">
        <v>90</v>
      </c>
      <c r="M26" s="104" t="s">
        <v>150</v>
      </c>
      <c r="N26" s="99"/>
    </row>
    <row r="27" spans="1:14" ht="54" customHeight="1">
      <c r="A27" s="130" t="s">
        <v>558</v>
      </c>
      <c r="B27" s="4"/>
      <c r="C27" s="4"/>
      <c r="D27" s="4"/>
      <c r="E27" s="97" t="s">
        <v>559</v>
      </c>
      <c r="F27" s="97" t="s">
        <v>17</v>
      </c>
      <c r="G27" s="17" t="s">
        <v>555</v>
      </c>
      <c r="H27" s="17" t="s">
        <v>139</v>
      </c>
      <c r="I27" s="4" t="s">
        <v>153</v>
      </c>
      <c r="J27" s="2" t="s">
        <v>40</v>
      </c>
      <c r="K27" s="1">
        <v>1.67</v>
      </c>
      <c r="L27" s="98" t="s">
        <v>90</v>
      </c>
      <c r="M27" s="104" t="s">
        <v>154</v>
      </c>
      <c r="N27" s="99"/>
    </row>
    <row r="28" spans="1:14" ht="65.25" customHeight="1">
      <c r="A28" s="130" t="s">
        <v>560</v>
      </c>
      <c r="B28" s="4"/>
      <c r="C28" s="4"/>
      <c r="D28" s="4"/>
      <c r="E28" s="97" t="s">
        <v>561</v>
      </c>
      <c r="F28" s="97" t="s">
        <v>17</v>
      </c>
      <c r="G28" s="17" t="s">
        <v>555</v>
      </c>
      <c r="H28" s="17" t="s">
        <v>139</v>
      </c>
      <c r="I28" s="4" t="s">
        <v>157</v>
      </c>
      <c r="J28" s="2" t="s">
        <v>40</v>
      </c>
      <c r="K28" s="1">
        <v>1.67</v>
      </c>
      <c r="L28" s="98" t="s">
        <v>90</v>
      </c>
      <c r="M28" s="104" t="s">
        <v>158</v>
      </c>
      <c r="N28" s="99"/>
    </row>
    <row r="29" spans="1:14" ht="55.5" customHeight="1">
      <c r="A29" s="130" t="s">
        <v>562</v>
      </c>
      <c r="B29" s="4"/>
      <c r="C29" s="4"/>
      <c r="D29" s="4"/>
      <c r="E29" s="97" t="s">
        <v>563</v>
      </c>
      <c r="F29" s="97" t="s">
        <v>17</v>
      </c>
      <c r="G29" s="17" t="s">
        <v>555</v>
      </c>
      <c r="H29" s="17" t="s">
        <v>139</v>
      </c>
      <c r="I29" s="4" t="s">
        <v>161</v>
      </c>
      <c r="J29" s="2" t="s">
        <v>40</v>
      </c>
      <c r="K29" s="1">
        <v>1.67</v>
      </c>
      <c r="L29" s="98" t="s">
        <v>90</v>
      </c>
      <c r="M29" s="104" t="s">
        <v>162</v>
      </c>
      <c r="N29" s="99"/>
    </row>
    <row r="30" spans="1:14" ht="120.75" customHeight="1">
      <c r="A30" s="130" t="s">
        <v>564</v>
      </c>
      <c r="B30" s="4"/>
      <c r="C30" s="4"/>
      <c r="D30" s="4"/>
      <c r="E30" s="97" t="s">
        <v>565</v>
      </c>
      <c r="F30" s="97" t="s">
        <v>17</v>
      </c>
      <c r="G30" s="17" t="s">
        <v>555</v>
      </c>
      <c r="H30" s="17" t="s">
        <v>139</v>
      </c>
      <c r="I30" s="4" t="s">
        <v>165</v>
      </c>
      <c r="J30" s="2" t="s">
        <v>40</v>
      </c>
      <c r="K30" s="1">
        <v>1.67</v>
      </c>
      <c r="L30" s="98" t="s">
        <v>90</v>
      </c>
      <c r="M30" s="104" t="s">
        <v>566</v>
      </c>
      <c r="N30" s="99"/>
    </row>
    <row r="31" spans="1:14" ht="47.25" customHeight="1">
      <c r="A31" s="100" t="s">
        <v>223</v>
      </c>
      <c r="B31" s="3" t="s">
        <v>32</v>
      </c>
      <c r="C31" s="3" t="s">
        <v>54</v>
      </c>
      <c r="D31" s="4" t="s">
        <v>16</v>
      </c>
      <c r="E31" s="97" t="s">
        <v>226</v>
      </c>
      <c r="F31" s="97" t="s">
        <v>97</v>
      </c>
      <c r="G31" s="17" t="s">
        <v>567</v>
      </c>
      <c r="H31" s="17" t="s">
        <v>568</v>
      </c>
      <c r="I31" s="3" t="s">
        <v>171</v>
      </c>
      <c r="J31" s="100" t="s">
        <v>21</v>
      </c>
      <c r="K31" s="101">
        <v>10</v>
      </c>
      <c r="L31" s="102" t="s">
        <v>97</v>
      </c>
      <c r="M31" s="104" t="s">
        <v>172</v>
      </c>
      <c r="N31" s="99"/>
    </row>
    <row r="32" spans="1:14" ht="60" customHeight="1">
      <c r="A32" s="103" t="s">
        <v>229</v>
      </c>
      <c r="B32" s="104" t="s">
        <v>38</v>
      </c>
      <c r="C32" s="3" t="s">
        <v>54</v>
      </c>
      <c r="D32" s="4" t="s">
        <v>16</v>
      </c>
      <c r="E32" s="97" t="s">
        <v>230</v>
      </c>
      <c r="F32" s="97" t="s">
        <v>97</v>
      </c>
      <c r="G32" s="17" t="s">
        <v>567</v>
      </c>
      <c r="H32" s="17" t="s">
        <v>568</v>
      </c>
      <c r="I32" s="104" t="s">
        <v>175</v>
      </c>
      <c r="J32" s="103" t="s">
        <v>40</v>
      </c>
      <c r="K32" s="105">
        <v>3.3</v>
      </c>
      <c r="L32" s="106" t="s">
        <v>97</v>
      </c>
      <c r="M32" s="104" t="s">
        <v>176</v>
      </c>
      <c r="N32" s="99" t="s">
        <v>177</v>
      </c>
    </row>
    <row r="33" spans="1:14" ht="54" customHeight="1">
      <c r="A33" s="103" t="s">
        <v>233</v>
      </c>
      <c r="B33" s="104" t="s">
        <v>44</v>
      </c>
      <c r="C33" s="3" t="s">
        <v>54</v>
      </c>
      <c r="D33" s="4" t="s">
        <v>16</v>
      </c>
      <c r="E33" s="97" t="s">
        <v>234</v>
      </c>
      <c r="F33" s="97" t="s">
        <v>97</v>
      </c>
      <c r="G33" s="17" t="s">
        <v>567</v>
      </c>
      <c r="H33" s="17" t="s">
        <v>568</v>
      </c>
      <c r="I33" s="104" t="s">
        <v>180</v>
      </c>
      <c r="J33" s="103" t="s">
        <v>40</v>
      </c>
      <c r="K33" s="105">
        <v>3.3</v>
      </c>
      <c r="L33" s="106" t="s">
        <v>97</v>
      </c>
      <c r="M33" s="104" t="s">
        <v>569</v>
      </c>
      <c r="N33" s="99" t="s">
        <v>177</v>
      </c>
    </row>
    <row r="34" spans="1:14" ht="44.25" customHeight="1">
      <c r="A34" s="103" t="s">
        <v>237</v>
      </c>
      <c r="B34" s="104" t="s">
        <v>49</v>
      </c>
      <c r="C34" s="3" t="s">
        <v>54</v>
      </c>
      <c r="D34" s="4" t="s">
        <v>16</v>
      </c>
      <c r="E34" s="97" t="s">
        <v>238</v>
      </c>
      <c r="F34" s="97" t="s">
        <v>97</v>
      </c>
      <c r="G34" s="17" t="s">
        <v>567</v>
      </c>
      <c r="H34" s="17" t="s">
        <v>568</v>
      </c>
      <c r="I34" s="104" t="s">
        <v>184</v>
      </c>
      <c r="J34" s="103" t="s">
        <v>40</v>
      </c>
      <c r="K34" s="105">
        <v>3.3</v>
      </c>
      <c r="L34" s="106" t="s">
        <v>97</v>
      </c>
      <c r="M34" s="104" t="s">
        <v>185</v>
      </c>
      <c r="N34" s="99"/>
    </row>
    <row r="35" spans="1:14" ht="131.25" customHeight="1">
      <c r="A35" s="135" t="s">
        <v>241</v>
      </c>
      <c r="B35" s="136"/>
      <c r="C35" s="136"/>
      <c r="D35" s="136" t="s">
        <v>16</v>
      </c>
      <c r="E35" s="89" t="s">
        <v>243</v>
      </c>
      <c r="F35" s="97" t="s">
        <v>97</v>
      </c>
      <c r="G35" s="17" t="s">
        <v>567</v>
      </c>
      <c r="H35" s="17" t="s">
        <v>570</v>
      </c>
      <c r="I35" s="4" t="s">
        <v>189</v>
      </c>
      <c r="J35" s="130" t="s">
        <v>21</v>
      </c>
      <c r="K35" s="132">
        <v>10</v>
      </c>
      <c r="L35" s="129" t="s">
        <v>97</v>
      </c>
      <c r="M35" s="138" t="s">
        <v>571</v>
      </c>
      <c r="N35" s="99"/>
    </row>
    <row r="36" spans="1:14" ht="49.5" customHeight="1">
      <c r="A36" s="100" t="s">
        <v>246</v>
      </c>
      <c r="B36" s="3" t="s">
        <v>80</v>
      </c>
      <c r="C36" s="3" t="s">
        <v>54</v>
      </c>
      <c r="D36" s="4" t="s">
        <v>16</v>
      </c>
      <c r="E36" s="97" t="s">
        <v>247</v>
      </c>
      <c r="F36" s="97" t="s">
        <v>97</v>
      </c>
      <c r="G36" s="17" t="s">
        <v>567</v>
      </c>
      <c r="H36" s="17" t="s">
        <v>192</v>
      </c>
      <c r="I36" s="3" t="s">
        <v>193</v>
      </c>
      <c r="J36" s="100" t="s">
        <v>21</v>
      </c>
      <c r="K36" s="139">
        <v>10</v>
      </c>
      <c r="L36" s="3" t="s">
        <v>97</v>
      </c>
      <c r="M36" s="138" t="s">
        <v>194</v>
      </c>
      <c r="N36" s="114"/>
    </row>
    <row r="37" spans="1:14" ht="75" customHeight="1">
      <c r="A37" s="103" t="s">
        <v>572</v>
      </c>
      <c r="B37" s="104" t="s">
        <v>88</v>
      </c>
      <c r="C37" s="3" t="s">
        <v>54</v>
      </c>
      <c r="D37" s="4" t="s">
        <v>16</v>
      </c>
      <c r="E37" s="97" t="s">
        <v>573</v>
      </c>
      <c r="F37" s="97" t="s">
        <v>97</v>
      </c>
      <c r="G37" s="17" t="s">
        <v>567</v>
      </c>
      <c r="H37" s="17" t="s">
        <v>192</v>
      </c>
      <c r="I37" s="104" t="s">
        <v>196</v>
      </c>
      <c r="J37" s="103" t="s">
        <v>40</v>
      </c>
      <c r="K37" s="140">
        <v>5</v>
      </c>
      <c r="L37" s="98" t="s">
        <v>97</v>
      </c>
      <c r="M37" s="137" t="s">
        <v>574</v>
      </c>
      <c r="N37" s="114"/>
    </row>
    <row r="38" spans="1:14" ht="71.25" customHeight="1">
      <c r="A38" s="103" t="s">
        <v>575</v>
      </c>
      <c r="B38" s="104" t="s">
        <v>95</v>
      </c>
      <c r="C38" s="3" t="s">
        <v>54</v>
      </c>
      <c r="D38" s="4" t="s">
        <v>16</v>
      </c>
      <c r="E38" s="97" t="s">
        <v>576</v>
      </c>
      <c r="F38" s="97" t="s">
        <v>97</v>
      </c>
      <c r="G38" s="17" t="s">
        <v>567</v>
      </c>
      <c r="H38" s="17" t="s">
        <v>192</v>
      </c>
      <c r="I38" s="104" t="s">
        <v>577</v>
      </c>
      <c r="J38" s="103" t="s">
        <v>40</v>
      </c>
      <c r="K38" s="105">
        <v>5</v>
      </c>
      <c r="L38" s="133" t="s">
        <v>97</v>
      </c>
      <c r="M38" s="104" t="s">
        <v>578</v>
      </c>
      <c r="N38" s="114"/>
    </row>
    <row r="39" spans="1:14" ht="78.75" customHeight="1">
      <c r="A39" s="2" t="s">
        <v>324</v>
      </c>
      <c r="B39" s="4" t="s">
        <v>132</v>
      </c>
      <c r="C39" s="4" t="s">
        <v>54</v>
      </c>
      <c r="D39" s="4" t="s">
        <v>16</v>
      </c>
      <c r="E39" s="97" t="s">
        <v>325</v>
      </c>
      <c r="F39" s="97" t="s">
        <v>97</v>
      </c>
      <c r="G39" s="17" t="s">
        <v>567</v>
      </c>
      <c r="H39" s="17" t="s">
        <v>203</v>
      </c>
      <c r="I39" s="4" t="s">
        <v>579</v>
      </c>
      <c r="J39" s="2" t="s">
        <v>21</v>
      </c>
      <c r="K39" s="1">
        <v>10</v>
      </c>
      <c r="L39" s="98" t="s">
        <v>97</v>
      </c>
      <c r="M39" s="134" t="s">
        <v>580</v>
      </c>
      <c r="N39" s="99"/>
    </row>
    <row r="40" spans="1:14" ht="264" customHeight="1">
      <c r="A40" s="130" t="s">
        <v>407</v>
      </c>
      <c r="B40" s="4" t="s">
        <v>207</v>
      </c>
      <c r="C40" s="4" t="s">
        <v>54</v>
      </c>
      <c r="D40" s="4" t="s">
        <v>16</v>
      </c>
      <c r="E40" s="97" t="s">
        <v>408</v>
      </c>
      <c r="F40" s="141" t="s">
        <v>97</v>
      </c>
      <c r="G40" s="17" t="s">
        <v>567</v>
      </c>
      <c r="H40" s="17" t="s">
        <v>581</v>
      </c>
      <c r="I40" s="4" t="s">
        <v>582</v>
      </c>
      <c r="J40" s="130" t="s">
        <v>21</v>
      </c>
      <c r="K40" s="132">
        <v>10</v>
      </c>
      <c r="L40" s="98" t="s">
        <v>97</v>
      </c>
      <c r="M40" s="104" t="s">
        <v>583</v>
      </c>
      <c r="N40" s="99"/>
    </row>
    <row r="41" spans="1:14" ht="45" customHeight="1">
      <c r="A41" s="130" t="s">
        <v>434</v>
      </c>
      <c r="B41" s="4" t="s">
        <v>212</v>
      </c>
      <c r="C41" s="4" t="s">
        <v>54</v>
      </c>
      <c r="D41" s="4" t="s">
        <v>16</v>
      </c>
      <c r="E41" s="97" t="s">
        <v>110</v>
      </c>
      <c r="F41" s="141" t="s">
        <v>97</v>
      </c>
      <c r="G41" s="17" t="s">
        <v>567</v>
      </c>
      <c r="H41" s="17" t="s">
        <v>581</v>
      </c>
      <c r="I41" s="4" t="s">
        <v>584</v>
      </c>
      <c r="J41" s="130" t="s">
        <v>21</v>
      </c>
      <c r="K41" s="132">
        <v>10</v>
      </c>
      <c r="L41" s="98" t="s">
        <v>97</v>
      </c>
      <c r="M41" s="4" t="s">
        <v>214</v>
      </c>
      <c r="N41" s="99"/>
    </row>
    <row r="42" spans="1:14" ht="336" customHeight="1">
      <c r="A42" s="130"/>
      <c r="B42" s="4"/>
      <c r="C42" s="4"/>
      <c r="D42" s="4"/>
      <c r="E42" s="97"/>
      <c r="F42" s="141"/>
      <c r="G42" s="17"/>
      <c r="H42" s="17"/>
      <c r="I42" s="4" t="s">
        <v>217</v>
      </c>
      <c r="J42" s="130" t="s">
        <v>40</v>
      </c>
      <c r="K42" s="132">
        <v>5</v>
      </c>
      <c r="L42" s="98" t="s">
        <v>97</v>
      </c>
      <c r="M42" s="104" t="s">
        <v>585</v>
      </c>
      <c r="N42" s="99"/>
    </row>
    <row r="43" spans="1:14" ht="266.25" customHeight="1">
      <c r="A43" s="130"/>
      <c r="B43" s="4"/>
      <c r="C43" s="4"/>
      <c r="D43" s="4"/>
      <c r="E43" s="97"/>
      <c r="F43" s="141"/>
      <c r="G43" s="17"/>
      <c r="H43" s="17"/>
      <c r="I43" s="4" t="s">
        <v>221</v>
      </c>
      <c r="J43" s="130" t="s">
        <v>40</v>
      </c>
      <c r="K43" s="132">
        <v>5</v>
      </c>
      <c r="L43" s="98" t="s">
        <v>97</v>
      </c>
      <c r="M43" s="104" t="s">
        <v>586</v>
      </c>
      <c r="N43" s="99"/>
    </row>
    <row r="44" spans="1:14" ht="53.25" customHeight="1">
      <c r="A44" s="130" t="s">
        <v>446</v>
      </c>
      <c r="B44" s="4" t="s">
        <v>224</v>
      </c>
      <c r="C44" s="4" t="s">
        <v>225</v>
      </c>
      <c r="D44" s="4" t="s">
        <v>16</v>
      </c>
      <c r="E44" s="97" t="s">
        <v>117</v>
      </c>
      <c r="F44" s="141" t="s">
        <v>97</v>
      </c>
      <c r="G44" s="17" t="s">
        <v>567</v>
      </c>
      <c r="H44" s="17" t="s">
        <v>581</v>
      </c>
      <c r="I44" s="4" t="s">
        <v>587</v>
      </c>
      <c r="J44" s="130" t="s">
        <v>21</v>
      </c>
      <c r="K44" s="132">
        <v>10</v>
      </c>
      <c r="L44" s="98" t="s">
        <v>97</v>
      </c>
      <c r="M44" s="104" t="s">
        <v>588</v>
      </c>
      <c r="N44" s="99"/>
    </row>
    <row r="45" spans="1:14" ht="137.25" customHeight="1">
      <c r="A45" s="130"/>
      <c r="B45" s="4"/>
      <c r="C45" s="4"/>
      <c r="D45" s="4"/>
      <c r="E45" s="97"/>
      <c r="F45" s="141"/>
      <c r="G45" s="17"/>
      <c r="H45" s="17"/>
      <c r="I45" s="4" t="s">
        <v>231</v>
      </c>
      <c r="J45" s="130" t="s">
        <v>40</v>
      </c>
      <c r="K45" s="132">
        <v>3.33</v>
      </c>
      <c r="L45" s="98" t="s">
        <v>97</v>
      </c>
      <c r="M45" s="104" t="s">
        <v>589</v>
      </c>
      <c r="N45" s="99"/>
    </row>
    <row r="46" spans="1:14" ht="186.75" customHeight="1">
      <c r="A46" s="130"/>
      <c r="B46" s="4"/>
      <c r="C46" s="4"/>
      <c r="D46" s="4"/>
      <c r="E46" s="97"/>
      <c r="F46" s="141"/>
      <c r="G46" s="17"/>
      <c r="H46" s="17"/>
      <c r="I46" s="4" t="s">
        <v>235</v>
      </c>
      <c r="J46" s="130" t="s">
        <v>40</v>
      </c>
      <c r="K46" s="132">
        <v>3.33</v>
      </c>
      <c r="L46" s="98" t="s">
        <v>97</v>
      </c>
      <c r="M46" s="123" t="s">
        <v>590</v>
      </c>
      <c r="N46" s="99"/>
    </row>
    <row r="47" spans="1:14" ht="180" customHeight="1">
      <c r="A47" s="130"/>
      <c r="B47" s="4"/>
      <c r="C47" s="4"/>
      <c r="D47" s="4"/>
      <c r="E47" s="97"/>
      <c r="F47" s="141"/>
      <c r="G47" s="17"/>
      <c r="H47" s="17"/>
      <c r="I47" s="4" t="s">
        <v>239</v>
      </c>
      <c r="J47" s="130" t="s">
        <v>40</v>
      </c>
      <c r="K47" s="132">
        <v>3.33</v>
      </c>
      <c r="L47" s="98" t="s">
        <v>97</v>
      </c>
      <c r="M47" s="104" t="s">
        <v>591</v>
      </c>
      <c r="N47" s="99"/>
    </row>
    <row r="48" spans="1:14" ht="271.5" customHeight="1">
      <c r="A48" s="130" t="s">
        <v>450</v>
      </c>
      <c r="B48" s="4" t="s">
        <v>242</v>
      </c>
      <c r="C48" s="4" t="s">
        <v>54</v>
      </c>
      <c r="D48" s="4" t="s">
        <v>16</v>
      </c>
      <c r="E48" s="97" t="s">
        <v>451</v>
      </c>
      <c r="F48" s="141" t="s">
        <v>97</v>
      </c>
      <c r="G48" s="17" t="s">
        <v>567</v>
      </c>
      <c r="H48" s="17" t="s">
        <v>581</v>
      </c>
      <c r="I48" s="4" t="s">
        <v>592</v>
      </c>
      <c r="J48" s="130" t="s">
        <v>21</v>
      </c>
      <c r="K48" s="132">
        <v>10</v>
      </c>
      <c r="L48" s="98" t="s">
        <v>97</v>
      </c>
      <c r="M48" s="107" t="s">
        <v>593</v>
      </c>
      <c r="N48" s="99"/>
    </row>
    <row r="49" spans="1:14" ht="96" customHeight="1">
      <c r="A49" s="2" t="s">
        <v>338</v>
      </c>
      <c r="B49" s="4" t="s">
        <v>137</v>
      </c>
      <c r="C49" s="4" t="s">
        <v>54</v>
      </c>
      <c r="D49" s="4" t="s">
        <v>16</v>
      </c>
      <c r="E49" s="97" t="s">
        <v>207</v>
      </c>
      <c r="F49" s="141" t="s">
        <v>97</v>
      </c>
      <c r="G49" s="17" t="s">
        <v>567</v>
      </c>
      <c r="H49" s="17" t="s">
        <v>248</v>
      </c>
      <c r="I49" s="4" t="s">
        <v>594</v>
      </c>
      <c r="J49" s="2" t="s">
        <v>21</v>
      </c>
      <c r="K49" s="1">
        <v>10</v>
      </c>
      <c r="L49" s="129" t="s">
        <v>97</v>
      </c>
      <c r="M49" s="104" t="s">
        <v>250</v>
      </c>
      <c r="N49" s="114"/>
    </row>
    <row r="50" spans="1:14" ht="50.25" customHeight="1">
      <c r="A50" s="2"/>
      <c r="B50" s="4"/>
      <c r="C50" s="4"/>
      <c r="D50" s="4"/>
      <c r="E50" s="97"/>
      <c r="F50" s="141"/>
      <c r="G50" s="17"/>
      <c r="H50" s="17"/>
      <c r="I50" s="3" t="s">
        <v>255</v>
      </c>
      <c r="J50" s="2" t="s">
        <v>21</v>
      </c>
      <c r="K50" s="142">
        <v>10</v>
      </c>
      <c r="L50" s="98" t="s">
        <v>97</v>
      </c>
      <c r="M50" s="143" t="s">
        <v>256</v>
      </c>
      <c r="N50" s="144"/>
    </row>
    <row r="51" spans="1:14" ht="153" customHeight="1">
      <c r="A51" s="2"/>
      <c r="B51" s="4"/>
      <c r="C51" s="4"/>
      <c r="D51" s="4"/>
      <c r="E51" s="97"/>
      <c r="F51" s="141"/>
      <c r="G51" s="17"/>
      <c r="H51" s="17"/>
      <c r="I51" s="104" t="s">
        <v>259</v>
      </c>
      <c r="J51" s="103" t="s">
        <v>40</v>
      </c>
      <c r="K51" s="140">
        <v>3.33</v>
      </c>
      <c r="L51" s="102" t="s">
        <v>97</v>
      </c>
      <c r="M51" s="125" t="s">
        <v>595</v>
      </c>
      <c r="N51" s="114"/>
    </row>
    <row r="52" spans="1:14" ht="19.5" customHeight="1">
      <c r="A52" s="2"/>
      <c r="B52" s="4"/>
      <c r="C52" s="4"/>
      <c r="D52" s="4"/>
      <c r="E52" s="97"/>
      <c r="F52" s="141"/>
      <c r="G52" s="17"/>
      <c r="H52" s="17"/>
      <c r="I52" s="104" t="s">
        <v>263</v>
      </c>
      <c r="J52" s="103" t="s">
        <v>264</v>
      </c>
      <c r="K52" s="140">
        <v>0.56000000000000005</v>
      </c>
      <c r="L52" s="102" t="s">
        <v>97</v>
      </c>
      <c r="M52" s="104" t="s">
        <v>265</v>
      </c>
      <c r="N52" s="145"/>
    </row>
    <row r="53" spans="1:14" ht="19.5" customHeight="1">
      <c r="A53" s="2"/>
      <c r="B53" s="4"/>
      <c r="C53" s="4"/>
      <c r="D53" s="4"/>
      <c r="E53" s="97"/>
      <c r="F53" s="141"/>
      <c r="G53" s="17"/>
      <c r="H53" s="17"/>
      <c r="I53" s="104" t="s">
        <v>268</v>
      </c>
      <c r="J53" s="103" t="s">
        <v>269</v>
      </c>
      <c r="K53" s="140">
        <v>0.56000000000000005</v>
      </c>
      <c r="L53" s="3" t="s">
        <v>97</v>
      </c>
      <c r="M53" s="104" t="s">
        <v>265</v>
      </c>
      <c r="N53" s="114"/>
    </row>
    <row r="54" spans="1:14" ht="22.5" customHeight="1">
      <c r="A54" s="2"/>
      <c r="B54" s="4"/>
      <c r="C54" s="4"/>
      <c r="D54" s="4"/>
      <c r="E54" s="97"/>
      <c r="F54" s="141"/>
      <c r="G54" s="17"/>
      <c r="H54" s="17"/>
      <c r="I54" s="104" t="s">
        <v>272</v>
      </c>
      <c r="J54" s="103" t="s">
        <v>273</v>
      </c>
      <c r="K54" s="105">
        <v>0.56000000000000005</v>
      </c>
      <c r="L54" s="146" t="s">
        <v>97</v>
      </c>
      <c r="M54" s="104" t="s">
        <v>265</v>
      </c>
      <c r="N54" s="99"/>
    </row>
    <row r="55" spans="1:14" ht="79.5" customHeight="1">
      <c r="A55" s="2"/>
      <c r="B55" s="4"/>
      <c r="C55" s="4"/>
      <c r="D55" s="4"/>
      <c r="E55" s="97"/>
      <c r="F55" s="141"/>
      <c r="G55" s="17"/>
      <c r="H55" s="17"/>
      <c r="I55" s="104" t="s">
        <v>276</v>
      </c>
      <c r="J55" s="103" t="s">
        <v>40</v>
      </c>
      <c r="K55" s="105">
        <v>3.3</v>
      </c>
      <c r="L55" s="102" t="s">
        <v>97</v>
      </c>
      <c r="M55" s="104" t="s">
        <v>596</v>
      </c>
      <c r="N55" s="99"/>
    </row>
    <row r="56" spans="1:14" ht="19.5" customHeight="1">
      <c r="A56" s="2"/>
      <c r="B56" s="4"/>
      <c r="C56" s="4"/>
      <c r="D56" s="4"/>
      <c r="E56" s="97"/>
      <c r="F56" s="141"/>
      <c r="G56" s="17"/>
      <c r="H56" s="17"/>
      <c r="I56" s="104" t="s">
        <v>263</v>
      </c>
      <c r="J56" s="103" t="s">
        <v>264</v>
      </c>
      <c r="K56" s="105">
        <v>0.56000000000000005</v>
      </c>
      <c r="L56" s="102" t="s">
        <v>97</v>
      </c>
      <c r="M56" s="104" t="s">
        <v>265</v>
      </c>
      <c r="N56" s="99"/>
    </row>
    <row r="57" spans="1:14" ht="19.5" customHeight="1">
      <c r="A57" s="2"/>
      <c r="B57" s="4"/>
      <c r="C57" s="4"/>
      <c r="D57" s="4"/>
      <c r="E57" s="97"/>
      <c r="F57" s="141"/>
      <c r="G57" s="17"/>
      <c r="H57" s="17"/>
      <c r="I57" s="104" t="s">
        <v>268</v>
      </c>
      <c r="J57" s="103" t="s">
        <v>269</v>
      </c>
      <c r="K57" s="105">
        <v>0.56000000000000005</v>
      </c>
      <c r="L57" s="102" t="s">
        <v>97</v>
      </c>
      <c r="M57" s="104" t="s">
        <v>265</v>
      </c>
      <c r="N57" s="99"/>
    </row>
    <row r="58" spans="1:14" ht="27" customHeight="1">
      <c r="A58" s="2"/>
      <c r="B58" s="4"/>
      <c r="C58" s="4"/>
      <c r="D58" s="4"/>
      <c r="E58" s="97"/>
      <c r="F58" s="141"/>
      <c r="G58" s="17"/>
      <c r="H58" s="17"/>
      <c r="I58" s="104" t="s">
        <v>272</v>
      </c>
      <c r="J58" s="103" t="s">
        <v>273</v>
      </c>
      <c r="K58" s="105">
        <v>0.56000000000000005</v>
      </c>
      <c r="L58" s="102" t="s">
        <v>97</v>
      </c>
      <c r="M58" s="104" t="s">
        <v>265</v>
      </c>
      <c r="N58" s="99"/>
    </row>
    <row r="59" spans="1:14" ht="87" customHeight="1">
      <c r="A59" s="2"/>
      <c r="B59" s="4"/>
      <c r="C59" s="4"/>
      <c r="D59" s="4"/>
      <c r="E59" s="97"/>
      <c r="F59" s="141"/>
      <c r="G59" s="17"/>
      <c r="H59" s="17"/>
      <c r="I59" s="104" t="s">
        <v>286</v>
      </c>
      <c r="J59" s="103" t="s">
        <v>40</v>
      </c>
      <c r="K59" s="105">
        <v>3.3</v>
      </c>
      <c r="L59" s="102" t="s">
        <v>97</v>
      </c>
      <c r="M59" s="104" t="s">
        <v>287</v>
      </c>
      <c r="N59" s="99"/>
    </row>
    <row r="60" spans="1:14" ht="19.5" customHeight="1">
      <c r="A60" s="2"/>
      <c r="B60" s="4"/>
      <c r="C60" s="4"/>
      <c r="D60" s="4"/>
      <c r="E60" s="97"/>
      <c r="F60" s="141"/>
      <c r="G60" s="17"/>
      <c r="H60" s="17"/>
      <c r="I60" s="104" t="s">
        <v>263</v>
      </c>
      <c r="J60" s="103" t="s">
        <v>264</v>
      </c>
      <c r="K60" s="105">
        <v>0.56000000000000005</v>
      </c>
      <c r="L60" s="102" t="s">
        <v>97</v>
      </c>
      <c r="M60" s="104" t="s">
        <v>265</v>
      </c>
      <c r="N60" s="99"/>
    </row>
    <row r="61" spans="1:14" ht="19.5" customHeight="1">
      <c r="A61" s="2"/>
      <c r="B61" s="4"/>
      <c r="C61" s="4"/>
      <c r="D61" s="4"/>
      <c r="E61" s="97"/>
      <c r="F61" s="141"/>
      <c r="G61" s="17"/>
      <c r="H61" s="17"/>
      <c r="I61" s="104" t="s">
        <v>268</v>
      </c>
      <c r="J61" s="103" t="s">
        <v>269</v>
      </c>
      <c r="K61" s="105">
        <v>0.56000000000000005</v>
      </c>
      <c r="L61" s="102" t="s">
        <v>97</v>
      </c>
      <c r="M61" s="104" t="s">
        <v>265</v>
      </c>
      <c r="N61" s="99"/>
    </row>
    <row r="62" spans="1:14" ht="30.75" customHeight="1">
      <c r="A62" s="2"/>
      <c r="B62" s="4"/>
      <c r="C62" s="4"/>
      <c r="D62" s="4"/>
      <c r="E62" s="97"/>
      <c r="F62" s="141"/>
      <c r="G62" s="17"/>
      <c r="H62" s="17"/>
      <c r="I62" s="104" t="s">
        <v>272</v>
      </c>
      <c r="J62" s="103" t="s">
        <v>273</v>
      </c>
      <c r="K62" s="105">
        <v>0.56000000000000005</v>
      </c>
      <c r="L62" s="102" t="s">
        <v>97</v>
      </c>
      <c r="M62" s="104" t="s">
        <v>265</v>
      </c>
      <c r="N62" s="99"/>
    </row>
    <row r="63" spans="1:14" ht="50.25" customHeight="1">
      <c r="A63" s="2" t="s">
        <v>375</v>
      </c>
      <c r="B63" s="4" t="s">
        <v>118</v>
      </c>
      <c r="C63" s="4" t="s">
        <v>54</v>
      </c>
      <c r="D63" s="4" t="s">
        <v>16</v>
      </c>
      <c r="E63" s="97" t="s">
        <v>224</v>
      </c>
      <c r="F63" s="141" t="s">
        <v>97</v>
      </c>
      <c r="G63" s="17" t="s">
        <v>253</v>
      </c>
      <c r="H63" s="17" t="s">
        <v>296</v>
      </c>
      <c r="I63" s="3" t="s">
        <v>297</v>
      </c>
      <c r="J63" s="2" t="s">
        <v>21</v>
      </c>
      <c r="K63" s="1">
        <v>10</v>
      </c>
      <c r="L63" s="102" t="s">
        <v>97</v>
      </c>
      <c r="M63" s="104" t="s">
        <v>54</v>
      </c>
      <c r="N63" s="99"/>
    </row>
    <row r="64" spans="1:14" ht="96" customHeight="1">
      <c r="A64" s="103" t="s">
        <v>379</v>
      </c>
      <c r="B64" s="104" t="s">
        <v>216</v>
      </c>
      <c r="C64" s="104" t="s">
        <v>54</v>
      </c>
      <c r="D64" s="4" t="s">
        <v>16</v>
      </c>
      <c r="E64" s="97" t="s">
        <v>380</v>
      </c>
      <c r="F64" s="141" t="s">
        <v>97</v>
      </c>
      <c r="G64" s="17" t="s">
        <v>253</v>
      </c>
      <c r="H64" s="17" t="s">
        <v>296</v>
      </c>
      <c r="I64" s="104" t="s">
        <v>300</v>
      </c>
      <c r="J64" s="103" t="s">
        <v>40</v>
      </c>
      <c r="K64" s="1">
        <v>3.33</v>
      </c>
      <c r="L64" s="98" t="s">
        <v>97</v>
      </c>
      <c r="M64" s="104" t="s">
        <v>597</v>
      </c>
      <c r="N64" s="99" t="s">
        <v>302</v>
      </c>
    </row>
    <row r="65" spans="1:14" ht="141" customHeight="1">
      <c r="A65" s="103" t="s">
        <v>383</v>
      </c>
      <c r="B65" s="104" t="s">
        <v>220</v>
      </c>
      <c r="C65" s="104" t="s">
        <v>54</v>
      </c>
      <c r="D65" s="4" t="s">
        <v>16</v>
      </c>
      <c r="E65" s="97" t="s">
        <v>384</v>
      </c>
      <c r="F65" s="141" t="s">
        <v>97</v>
      </c>
      <c r="G65" s="17" t="s">
        <v>253</v>
      </c>
      <c r="H65" s="17" t="s">
        <v>296</v>
      </c>
      <c r="I65" s="104" t="s">
        <v>305</v>
      </c>
      <c r="J65" s="103" t="s">
        <v>40</v>
      </c>
      <c r="K65" s="1">
        <v>3.33</v>
      </c>
      <c r="L65" s="98" t="s">
        <v>97</v>
      </c>
      <c r="M65" s="104" t="s">
        <v>598</v>
      </c>
      <c r="N65" s="99"/>
    </row>
    <row r="66" spans="1:14" ht="30" customHeight="1">
      <c r="A66" s="103" t="s">
        <v>599</v>
      </c>
      <c r="B66" s="104" t="s">
        <v>54</v>
      </c>
      <c r="C66" s="104" t="s">
        <v>54</v>
      </c>
      <c r="D66" s="4" t="s">
        <v>16</v>
      </c>
      <c r="E66" s="97" t="s">
        <v>600</v>
      </c>
      <c r="F66" s="141" t="s">
        <v>97</v>
      </c>
      <c r="G66" s="17" t="s">
        <v>253</v>
      </c>
      <c r="H66" s="17" t="s">
        <v>296</v>
      </c>
      <c r="I66" s="104" t="s">
        <v>286</v>
      </c>
      <c r="J66" s="103" t="s">
        <v>40</v>
      </c>
      <c r="K66" s="1">
        <v>3.33</v>
      </c>
      <c r="L66" s="102" t="s">
        <v>97</v>
      </c>
      <c r="M66" s="104" t="s">
        <v>601</v>
      </c>
      <c r="N66" s="99"/>
    </row>
    <row r="67" spans="1:14" ht="37.5" customHeight="1">
      <c r="A67" s="2" t="s">
        <v>387</v>
      </c>
      <c r="B67" s="4" t="s">
        <v>226</v>
      </c>
      <c r="C67" s="4" t="s">
        <v>54</v>
      </c>
      <c r="D67" s="4" t="s">
        <v>16</v>
      </c>
      <c r="E67" s="97" t="s">
        <v>388</v>
      </c>
      <c r="F67" s="141" t="s">
        <v>97</v>
      </c>
      <c r="G67" s="17" t="s">
        <v>253</v>
      </c>
      <c r="H67" s="17" t="s">
        <v>312</v>
      </c>
      <c r="I67" s="3" t="s">
        <v>313</v>
      </c>
      <c r="J67" s="2" t="s">
        <v>21</v>
      </c>
      <c r="K67" s="1">
        <v>10</v>
      </c>
      <c r="L67" s="98" t="s">
        <v>97</v>
      </c>
      <c r="M67" s="104" t="s">
        <v>54</v>
      </c>
      <c r="N67" s="99"/>
    </row>
    <row r="68" spans="1:14" ht="207" customHeight="1">
      <c r="A68" s="2" t="s">
        <v>391</v>
      </c>
      <c r="B68" s="4" t="s">
        <v>54</v>
      </c>
      <c r="C68" s="4" t="s">
        <v>54</v>
      </c>
      <c r="D68" s="4" t="s">
        <v>16</v>
      </c>
      <c r="E68" s="97" t="s">
        <v>392</v>
      </c>
      <c r="F68" s="141" t="s">
        <v>97</v>
      </c>
      <c r="G68" s="17" t="s">
        <v>253</v>
      </c>
      <c r="H68" s="17" t="s">
        <v>312</v>
      </c>
      <c r="I68" s="104" t="s">
        <v>316</v>
      </c>
      <c r="J68" s="103" t="s">
        <v>40</v>
      </c>
      <c r="K68" s="1">
        <v>3.33</v>
      </c>
      <c r="L68" s="102" t="s">
        <v>97</v>
      </c>
      <c r="M68" s="104" t="s">
        <v>602</v>
      </c>
      <c r="N68" s="99"/>
    </row>
    <row r="69" spans="1:14" ht="143.25" customHeight="1">
      <c r="A69" s="2" t="s">
        <v>395</v>
      </c>
      <c r="B69" s="4" t="s">
        <v>54</v>
      </c>
      <c r="C69" s="4" t="s">
        <v>54</v>
      </c>
      <c r="D69" s="4" t="s">
        <v>16</v>
      </c>
      <c r="E69" s="97" t="s">
        <v>396</v>
      </c>
      <c r="F69" s="141" t="s">
        <v>97</v>
      </c>
      <c r="G69" s="17" t="s">
        <v>253</v>
      </c>
      <c r="H69" s="17" t="s">
        <v>312</v>
      </c>
      <c r="I69" s="104" t="s">
        <v>305</v>
      </c>
      <c r="J69" s="103" t="s">
        <v>40</v>
      </c>
      <c r="K69" s="1">
        <v>3.33</v>
      </c>
      <c r="L69" s="102" t="s">
        <v>97</v>
      </c>
      <c r="M69" s="104" t="s">
        <v>320</v>
      </c>
      <c r="N69" s="99"/>
    </row>
    <row r="70" spans="1:14" ht="159.75" customHeight="1">
      <c r="A70" s="2" t="s">
        <v>603</v>
      </c>
      <c r="B70" s="4" t="s">
        <v>54</v>
      </c>
      <c r="C70" s="4" t="s">
        <v>54</v>
      </c>
      <c r="D70" s="4" t="s">
        <v>16</v>
      </c>
      <c r="E70" s="97" t="s">
        <v>604</v>
      </c>
      <c r="F70" s="141" t="s">
        <v>97</v>
      </c>
      <c r="G70" s="17" t="s">
        <v>253</v>
      </c>
      <c r="H70" s="17" t="s">
        <v>312</v>
      </c>
      <c r="I70" s="104" t="s">
        <v>286</v>
      </c>
      <c r="J70" s="103" t="s">
        <v>40</v>
      </c>
      <c r="K70" s="1">
        <v>3.33</v>
      </c>
      <c r="L70" s="102" t="s">
        <v>97</v>
      </c>
      <c r="M70" s="104" t="s">
        <v>323</v>
      </c>
      <c r="N70" s="99"/>
    </row>
    <row r="71" spans="1:14" ht="37.5" customHeight="1">
      <c r="A71" s="2" t="s">
        <v>400</v>
      </c>
      <c r="B71" s="4" t="s">
        <v>54</v>
      </c>
      <c r="C71" s="4" t="s">
        <v>54</v>
      </c>
      <c r="D71" s="4" t="s">
        <v>16</v>
      </c>
      <c r="E71" s="97" t="s">
        <v>401</v>
      </c>
      <c r="F71" s="141" t="s">
        <v>97</v>
      </c>
      <c r="G71" s="17" t="s">
        <v>253</v>
      </c>
      <c r="H71" s="17" t="s">
        <v>326</v>
      </c>
      <c r="I71" s="3" t="s">
        <v>327</v>
      </c>
      <c r="J71" s="2" t="s">
        <v>21</v>
      </c>
      <c r="K71" s="1">
        <v>10</v>
      </c>
      <c r="L71" s="102" t="s">
        <v>97</v>
      </c>
      <c r="M71" s="104" t="s">
        <v>54</v>
      </c>
      <c r="N71" s="99"/>
    </row>
    <row r="72" spans="1:14" ht="203.25" customHeight="1">
      <c r="A72" s="2" t="s">
        <v>605</v>
      </c>
      <c r="B72" s="4" t="s">
        <v>54</v>
      </c>
      <c r="C72" s="4" t="s">
        <v>54</v>
      </c>
      <c r="D72" s="4" t="s">
        <v>16</v>
      </c>
      <c r="E72" s="97" t="s">
        <v>606</v>
      </c>
      <c r="F72" s="141" t="s">
        <v>97</v>
      </c>
      <c r="G72" s="17" t="s">
        <v>253</v>
      </c>
      <c r="H72" s="17" t="s">
        <v>326</v>
      </c>
      <c r="I72" s="104" t="s">
        <v>330</v>
      </c>
      <c r="J72" s="103" t="s">
        <v>40</v>
      </c>
      <c r="K72" s="1">
        <v>3.3</v>
      </c>
      <c r="L72" s="98" t="s">
        <v>97</v>
      </c>
      <c r="M72" s="104" t="s">
        <v>607</v>
      </c>
      <c r="N72" s="99"/>
    </row>
    <row r="73" spans="1:14" ht="190.5" customHeight="1">
      <c r="A73" s="2" t="s">
        <v>608</v>
      </c>
      <c r="B73" s="4" t="s">
        <v>54</v>
      </c>
      <c r="C73" s="4" t="s">
        <v>54</v>
      </c>
      <c r="D73" s="4" t="s">
        <v>16</v>
      </c>
      <c r="E73" s="97" t="s">
        <v>609</v>
      </c>
      <c r="F73" s="141" t="s">
        <v>97</v>
      </c>
      <c r="G73" s="17" t="s">
        <v>253</v>
      </c>
      <c r="H73" s="17" t="s">
        <v>326</v>
      </c>
      <c r="I73" s="104" t="s">
        <v>305</v>
      </c>
      <c r="J73" s="103" t="s">
        <v>40</v>
      </c>
      <c r="K73" s="1">
        <v>3.3</v>
      </c>
      <c r="L73" s="98" t="s">
        <v>97</v>
      </c>
      <c r="M73" s="104" t="s">
        <v>334</v>
      </c>
      <c r="N73" s="99"/>
    </row>
    <row r="74" spans="1:14" ht="50.25" customHeight="1">
      <c r="A74" s="2" t="s">
        <v>610</v>
      </c>
      <c r="B74" s="4" t="s">
        <v>54</v>
      </c>
      <c r="C74" s="4" t="s">
        <v>54</v>
      </c>
      <c r="D74" s="4" t="s">
        <v>16</v>
      </c>
      <c r="E74" s="97" t="s">
        <v>611</v>
      </c>
      <c r="F74" s="141" t="s">
        <v>97</v>
      </c>
      <c r="G74" s="17" t="s">
        <v>253</v>
      </c>
      <c r="H74" s="17" t="s">
        <v>326</v>
      </c>
      <c r="I74" s="104" t="s">
        <v>286</v>
      </c>
      <c r="J74" s="103" t="s">
        <v>40</v>
      </c>
      <c r="K74" s="1">
        <v>3.3</v>
      </c>
      <c r="L74" s="98" t="s">
        <v>97</v>
      </c>
      <c r="M74" s="104" t="s">
        <v>337</v>
      </c>
      <c r="N74" s="99"/>
    </row>
    <row r="75" spans="1:14" ht="50.25" customHeight="1">
      <c r="A75" s="2"/>
      <c r="B75" s="4"/>
      <c r="C75" s="4"/>
      <c r="D75" s="4"/>
      <c r="E75" s="97"/>
      <c r="F75" s="97" t="s">
        <v>97</v>
      </c>
      <c r="G75" s="17" t="s">
        <v>339</v>
      </c>
      <c r="H75" s="17" t="s">
        <v>339</v>
      </c>
      <c r="I75" s="147" t="s">
        <v>340</v>
      </c>
      <c r="J75" s="103" t="s">
        <v>21</v>
      </c>
      <c r="K75" s="1">
        <v>10</v>
      </c>
      <c r="L75" s="98" t="s">
        <v>97</v>
      </c>
      <c r="M75" s="104" t="s">
        <v>256</v>
      </c>
      <c r="N75" s="99"/>
    </row>
    <row r="76" spans="1:14" ht="50.25" customHeight="1">
      <c r="A76" s="2"/>
      <c r="B76" s="4"/>
      <c r="C76" s="4"/>
      <c r="D76" s="4"/>
      <c r="E76" s="97"/>
      <c r="F76" s="97" t="s">
        <v>97</v>
      </c>
      <c r="G76" s="17" t="s">
        <v>339</v>
      </c>
      <c r="H76" s="17" t="s">
        <v>339</v>
      </c>
      <c r="I76" s="148" t="s">
        <v>343</v>
      </c>
      <c r="J76" s="103" t="s">
        <v>40</v>
      </c>
      <c r="K76" s="1">
        <v>5</v>
      </c>
      <c r="L76" s="98" t="s">
        <v>97</v>
      </c>
      <c r="M76" s="104" t="s">
        <v>344</v>
      </c>
      <c r="N76" s="99" t="s">
        <v>345</v>
      </c>
    </row>
    <row r="77" spans="1:14" ht="50.25" customHeight="1">
      <c r="A77" s="2"/>
      <c r="B77" s="4"/>
      <c r="C77" s="4"/>
      <c r="D77" s="4"/>
      <c r="E77" s="97"/>
      <c r="F77" s="97" t="s">
        <v>97</v>
      </c>
      <c r="G77" s="17" t="s">
        <v>339</v>
      </c>
      <c r="H77" s="17" t="s">
        <v>339</v>
      </c>
      <c r="I77" s="104" t="s">
        <v>348</v>
      </c>
      <c r="J77" s="103" t="s">
        <v>40</v>
      </c>
      <c r="K77" s="1">
        <v>5</v>
      </c>
      <c r="L77" s="98" t="s">
        <v>97</v>
      </c>
      <c r="M77" s="104" t="s">
        <v>349</v>
      </c>
      <c r="N77" s="99" t="s">
        <v>350</v>
      </c>
    </row>
    <row r="78" spans="1:14" ht="47.25" customHeight="1">
      <c r="A78" s="130" t="s">
        <v>310</v>
      </c>
      <c r="B78" s="149" t="s">
        <v>54</v>
      </c>
      <c r="C78" s="149" t="s">
        <v>54</v>
      </c>
      <c r="D78" s="149" t="s">
        <v>16</v>
      </c>
      <c r="E78" s="97" t="s">
        <v>311</v>
      </c>
      <c r="F78" s="97" t="s">
        <v>97</v>
      </c>
      <c r="G78" s="17" t="s">
        <v>339</v>
      </c>
      <c r="H78" s="17" t="s">
        <v>339</v>
      </c>
      <c r="I78" s="3" t="s">
        <v>352</v>
      </c>
      <c r="J78" s="130" t="s">
        <v>21</v>
      </c>
      <c r="K78" s="132">
        <v>10</v>
      </c>
      <c r="L78" s="150" t="s">
        <v>97</v>
      </c>
      <c r="M78" s="104" t="s">
        <v>353</v>
      </c>
      <c r="N78" s="99"/>
    </row>
    <row r="79" spans="1:14" ht="138" customHeight="1">
      <c r="A79" s="130" t="s">
        <v>314</v>
      </c>
      <c r="B79" s="149" t="s">
        <v>54</v>
      </c>
      <c r="C79" s="149" t="s">
        <v>54</v>
      </c>
      <c r="D79" s="149" t="s">
        <v>16</v>
      </c>
      <c r="E79" s="97" t="s">
        <v>315</v>
      </c>
      <c r="F79" s="97" t="s">
        <v>97</v>
      </c>
      <c r="G79" s="17" t="s">
        <v>339</v>
      </c>
      <c r="H79" s="17" t="s">
        <v>356</v>
      </c>
      <c r="I79" s="44" t="s">
        <v>357</v>
      </c>
      <c r="J79" s="130" t="s">
        <v>40</v>
      </c>
      <c r="K79" s="132">
        <v>2.5</v>
      </c>
      <c r="L79" s="150" t="s">
        <v>97</v>
      </c>
      <c r="M79" s="104" t="s">
        <v>612</v>
      </c>
      <c r="N79" s="99"/>
    </row>
    <row r="80" spans="1:14" ht="147" customHeight="1">
      <c r="A80" s="130" t="s">
        <v>318</v>
      </c>
      <c r="B80" s="149" t="s">
        <v>54</v>
      </c>
      <c r="C80" s="149" t="s">
        <v>54</v>
      </c>
      <c r="D80" s="149" t="s">
        <v>16</v>
      </c>
      <c r="E80" s="97" t="s">
        <v>319</v>
      </c>
      <c r="F80" s="97" t="s">
        <v>97</v>
      </c>
      <c r="G80" s="17" t="s">
        <v>361</v>
      </c>
      <c r="H80" s="17" t="s">
        <v>362</v>
      </c>
      <c r="I80" s="25" t="s">
        <v>363</v>
      </c>
      <c r="J80" s="130" t="s">
        <v>40</v>
      </c>
      <c r="K80" s="132">
        <v>2.5</v>
      </c>
      <c r="L80" s="150" t="s">
        <v>97</v>
      </c>
      <c r="M80" s="104" t="s">
        <v>613</v>
      </c>
      <c r="N80" s="99"/>
    </row>
    <row r="81" spans="1:14" ht="102.75" customHeight="1">
      <c r="A81" s="130" t="s">
        <v>321</v>
      </c>
      <c r="B81" s="149" t="s">
        <v>54</v>
      </c>
      <c r="C81" s="149" t="s">
        <v>54</v>
      </c>
      <c r="D81" s="149" t="s">
        <v>16</v>
      </c>
      <c r="E81" s="97" t="s">
        <v>322</v>
      </c>
      <c r="F81" s="97" t="s">
        <v>97</v>
      </c>
      <c r="G81" s="17" t="s">
        <v>361</v>
      </c>
      <c r="H81" s="17" t="s">
        <v>367</v>
      </c>
      <c r="I81" s="44" t="s">
        <v>614</v>
      </c>
      <c r="J81" s="130" t="s">
        <v>40</v>
      </c>
      <c r="K81" s="132">
        <v>2.5</v>
      </c>
      <c r="L81" s="150" t="s">
        <v>97</v>
      </c>
      <c r="M81" s="104" t="s">
        <v>615</v>
      </c>
      <c r="N81" s="99"/>
    </row>
    <row r="82" spans="1:14" ht="107.25" customHeight="1">
      <c r="A82" s="130" t="s">
        <v>616</v>
      </c>
      <c r="B82" s="149" t="s">
        <v>54</v>
      </c>
      <c r="C82" s="149" t="s">
        <v>54</v>
      </c>
      <c r="D82" s="149" t="s">
        <v>16</v>
      </c>
      <c r="E82" s="97" t="s">
        <v>617</v>
      </c>
      <c r="F82" s="97" t="s">
        <v>97</v>
      </c>
      <c r="G82" s="17" t="s">
        <v>361</v>
      </c>
      <c r="H82" s="17" t="s">
        <v>372</v>
      </c>
      <c r="I82" s="44" t="s">
        <v>373</v>
      </c>
      <c r="J82" s="130" t="s">
        <v>40</v>
      </c>
      <c r="K82" s="132">
        <v>2.5</v>
      </c>
      <c r="L82" s="150" t="s">
        <v>97</v>
      </c>
      <c r="M82" s="104" t="s">
        <v>618</v>
      </c>
      <c r="N82" s="99"/>
    </row>
    <row r="83" spans="1:14" ht="33" customHeight="1">
      <c r="A83" s="2" t="s">
        <v>461</v>
      </c>
      <c r="B83" s="4" t="s">
        <v>252</v>
      </c>
      <c r="C83" s="4" t="s">
        <v>132</v>
      </c>
      <c r="D83" s="4" t="s">
        <v>16</v>
      </c>
      <c r="E83" s="97" t="s">
        <v>462</v>
      </c>
      <c r="F83" s="141" t="s">
        <v>97</v>
      </c>
      <c r="G83" s="117"/>
      <c r="H83" s="17" t="s">
        <v>377</v>
      </c>
      <c r="I83" s="3" t="s">
        <v>378</v>
      </c>
      <c r="J83" s="2" t="s">
        <v>21</v>
      </c>
      <c r="K83" s="1">
        <v>10</v>
      </c>
      <c r="L83" s="98" t="s">
        <v>22</v>
      </c>
      <c r="M83" s="25" t="s">
        <v>256</v>
      </c>
      <c r="N83" s="99"/>
    </row>
    <row r="84" spans="1:14" ht="246" customHeight="1">
      <c r="A84" s="2" t="s">
        <v>619</v>
      </c>
      <c r="B84" s="4" t="s">
        <v>54</v>
      </c>
      <c r="C84" s="4" t="s">
        <v>54</v>
      </c>
      <c r="D84" s="4" t="s">
        <v>16</v>
      </c>
      <c r="E84" s="97" t="s">
        <v>620</v>
      </c>
      <c r="F84" s="141" t="s">
        <v>97</v>
      </c>
      <c r="G84" s="17" t="s">
        <v>376</v>
      </c>
      <c r="H84" s="17" t="s">
        <v>377</v>
      </c>
      <c r="I84" s="104" t="s">
        <v>381</v>
      </c>
      <c r="J84" s="2" t="s">
        <v>40</v>
      </c>
      <c r="K84" s="1">
        <v>5</v>
      </c>
      <c r="L84" s="102" t="s">
        <v>22</v>
      </c>
      <c r="M84" s="104" t="s">
        <v>382</v>
      </c>
      <c r="N84" s="99"/>
    </row>
    <row r="85" spans="1:14" ht="391.5" customHeight="1">
      <c r="A85" s="2" t="s">
        <v>621</v>
      </c>
      <c r="B85" s="4" t="s">
        <v>54</v>
      </c>
      <c r="C85" s="4" t="s">
        <v>54</v>
      </c>
      <c r="D85" s="4" t="s">
        <v>16</v>
      </c>
      <c r="E85" s="97" t="s">
        <v>622</v>
      </c>
      <c r="F85" s="141" t="s">
        <v>97</v>
      </c>
      <c r="G85" s="17" t="s">
        <v>376</v>
      </c>
      <c r="H85" s="17" t="s">
        <v>377</v>
      </c>
      <c r="I85" s="104" t="s">
        <v>385</v>
      </c>
      <c r="J85" s="2" t="s">
        <v>40</v>
      </c>
      <c r="K85" s="1">
        <v>5</v>
      </c>
      <c r="L85" s="102" t="s">
        <v>97</v>
      </c>
      <c r="M85" s="104" t="s">
        <v>386</v>
      </c>
      <c r="N85" s="99"/>
    </row>
    <row r="86" spans="1:14" ht="37.5" customHeight="1">
      <c r="A86" s="2" t="s">
        <v>467</v>
      </c>
      <c r="B86" s="4" t="s">
        <v>54</v>
      </c>
      <c r="C86" s="4" t="s">
        <v>54</v>
      </c>
      <c r="D86" s="4" t="s">
        <v>16</v>
      </c>
      <c r="E86" s="97" t="s">
        <v>468</v>
      </c>
      <c r="F86" s="141" t="s">
        <v>97</v>
      </c>
      <c r="G86" s="17" t="s">
        <v>376</v>
      </c>
      <c r="H86" s="17" t="s">
        <v>389</v>
      </c>
      <c r="I86" s="4" t="s">
        <v>390</v>
      </c>
      <c r="J86" s="100" t="s">
        <v>21</v>
      </c>
      <c r="K86" s="101">
        <v>10</v>
      </c>
      <c r="L86" s="102" t="s">
        <v>97</v>
      </c>
      <c r="M86" s="104" t="s">
        <v>256</v>
      </c>
      <c r="N86" s="99"/>
    </row>
    <row r="87" spans="1:14" ht="37.5" customHeight="1">
      <c r="A87" s="2" t="s">
        <v>471</v>
      </c>
      <c r="B87" s="4" t="s">
        <v>54</v>
      </c>
      <c r="C87" s="4" t="s">
        <v>54</v>
      </c>
      <c r="D87" s="4" t="s">
        <v>16</v>
      </c>
      <c r="E87" s="97" t="s">
        <v>472</v>
      </c>
      <c r="F87" s="141" t="s">
        <v>97</v>
      </c>
      <c r="G87" s="17" t="s">
        <v>376</v>
      </c>
      <c r="H87" s="17" t="s">
        <v>389</v>
      </c>
      <c r="I87" s="4" t="s">
        <v>393</v>
      </c>
      <c r="J87" s="2" t="s">
        <v>40</v>
      </c>
      <c r="K87" s="1">
        <v>5</v>
      </c>
      <c r="L87" s="98" t="s">
        <v>22</v>
      </c>
      <c r="M87" s="104" t="s">
        <v>394</v>
      </c>
      <c r="N87" s="99"/>
    </row>
    <row r="88" spans="1:14" ht="36" customHeight="1">
      <c r="A88" s="2" t="s">
        <v>475</v>
      </c>
      <c r="B88" s="4" t="s">
        <v>54</v>
      </c>
      <c r="C88" s="4" t="s">
        <v>54</v>
      </c>
      <c r="D88" s="4" t="s">
        <v>16</v>
      </c>
      <c r="E88" s="97" t="s">
        <v>476</v>
      </c>
      <c r="F88" s="141" t="s">
        <v>97</v>
      </c>
      <c r="G88" s="17" t="s">
        <v>376</v>
      </c>
      <c r="H88" s="17" t="s">
        <v>389</v>
      </c>
      <c r="I88" s="4" t="s">
        <v>397</v>
      </c>
      <c r="J88" s="2" t="s">
        <v>40</v>
      </c>
      <c r="K88" s="1">
        <v>5</v>
      </c>
      <c r="L88" s="98" t="s">
        <v>97</v>
      </c>
      <c r="M88" s="104" t="s">
        <v>623</v>
      </c>
      <c r="N88" s="99"/>
    </row>
    <row r="89" spans="1:14" ht="32.25" customHeight="1">
      <c r="A89" s="130" t="s">
        <v>191</v>
      </c>
      <c r="B89" s="136" t="s">
        <v>54</v>
      </c>
      <c r="C89" s="136" t="s">
        <v>54</v>
      </c>
      <c r="D89" s="136" t="s">
        <v>16</v>
      </c>
      <c r="E89" s="97" t="s">
        <v>79</v>
      </c>
      <c r="F89" s="141" t="s">
        <v>97</v>
      </c>
      <c r="G89" s="17" t="s">
        <v>402</v>
      </c>
      <c r="H89" s="17" t="s">
        <v>403</v>
      </c>
      <c r="I89" s="151" t="s">
        <v>404</v>
      </c>
      <c r="J89" s="152" t="s">
        <v>21</v>
      </c>
      <c r="K89" s="153">
        <v>10</v>
      </c>
      <c r="L89" s="150" t="s">
        <v>405</v>
      </c>
      <c r="M89" s="4" t="s">
        <v>406</v>
      </c>
      <c r="N89" s="99"/>
    </row>
    <row r="90" spans="1:14" s="165" customFormat="1" ht="201.75" customHeight="1">
      <c r="A90" s="154" t="s">
        <v>201</v>
      </c>
      <c r="B90" s="155"/>
      <c r="C90" s="155"/>
      <c r="D90" s="155" t="s">
        <v>16</v>
      </c>
      <c r="E90" s="156" t="s">
        <v>202</v>
      </c>
      <c r="F90" s="157" t="s">
        <v>97</v>
      </c>
      <c r="G90" s="158" t="s">
        <v>402</v>
      </c>
      <c r="H90" s="158" t="s">
        <v>409</v>
      </c>
      <c r="I90" s="159" t="s">
        <v>624</v>
      </c>
      <c r="J90" s="160" t="s">
        <v>21</v>
      </c>
      <c r="K90" s="161">
        <v>10</v>
      </c>
      <c r="L90" s="162" t="s">
        <v>405</v>
      </c>
      <c r="M90" s="163" t="s">
        <v>437</v>
      </c>
      <c r="N90" s="164"/>
    </row>
    <row r="91" spans="1:14" s="165" customFormat="1" ht="108" customHeight="1">
      <c r="A91" s="154"/>
      <c r="B91" s="155"/>
      <c r="C91" s="155"/>
      <c r="D91" s="155"/>
      <c r="E91" s="156"/>
      <c r="F91" s="166"/>
      <c r="G91" s="158" t="s">
        <v>402</v>
      </c>
      <c r="H91" s="158" t="s">
        <v>409</v>
      </c>
      <c r="I91" s="167" t="s">
        <v>473</v>
      </c>
      <c r="J91" s="160" t="s">
        <v>40</v>
      </c>
      <c r="K91" s="168">
        <v>3.33</v>
      </c>
      <c r="L91" s="162" t="s">
        <v>22</v>
      </c>
      <c r="M91" s="163" t="s">
        <v>625</v>
      </c>
      <c r="N91" s="164"/>
    </row>
    <row r="92" spans="1:14" s="165" customFormat="1" ht="81.75" customHeight="1">
      <c r="A92" s="154"/>
      <c r="B92" s="155"/>
      <c r="C92" s="155"/>
      <c r="D92" s="155"/>
      <c r="E92" s="156"/>
      <c r="F92" s="166"/>
      <c r="G92" s="158" t="s">
        <v>402</v>
      </c>
      <c r="H92" s="158" t="s">
        <v>409</v>
      </c>
      <c r="I92" s="163" t="s">
        <v>477</v>
      </c>
      <c r="J92" s="160" t="s">
        <v>40</v>
      </c>
      <c r="K92" s="168">
        <v>3.33</v>
      </c>
      <c r="L92" s="162" t="s">
        <v>97</v>
      </c>
      <c r="M92" s="163" t="s">
        <v>626</v>
      </c>
      <c r="N92" s="164"/>
    </row>
    <row r="93" spans="1:14" s="175" customFormat="1" ht="139.5" customHeight="1">
      <c r="A93" s="169"/>
      <c r="B93" s="170"/>
      <c r="C93" s="170"/>
      <c r="D93" s="170"/>
      <c r="E93" s="171"/>
      <c r="F93" s="172"/>
      <c r="G93" s="17" t="s">
        <v>402</v>
      </c>
      <c r="H93" s="17" t="s">
        <v>409</v>
      </c>
      <c r="I93" s="141" t="s">
        <v>410</v>
      </c>
      <c r="J93" s="29" t="s">
        <v>21</v>
      </c>
      <c r="K93" s="173">
        <v>10</v>
      </c>
      <c r="L93" s="102" t="s">
        <v>22</v>
      </c>
      <c r="M93" s="40" t="s">
        <v>411</v>
      </c>
      <c r="N93" s="174"/>
    </row>
    <row r="94" spans="1:14" s="175" customFormat="1" ht="272.25" customHeight="1">
      <c r="A94" s="169"/>
      <c r="B94" s="170"/>
      <c r="C94" s="170"/>
      <c r="D94" s="170"/>
      <c r="E94" s="171"/>
      <c r="F94" s="172"/>
      <c r="G94" s="17"/>
      <c r="H94" s="17"/>
      <c r="I94" s="176" t="s">
        <v>414</v>
      </c>
      <c r="J94" s="125" t="s">
        <v>40</v>
      </c>
      <c r="K94" s="177">
        <v>2</v>
      </c>
      <c r="L94" s="102" t="s">
        <v>22</v>
      </c>
      <c r="M94" s="178" t="s">
        <v>415</v>
      </c>
    </row>
    <row r="95" spans="1:14" s="175" customFormat="1" ht="406.5" customHeight="1">
      <c r="A95" s="169"/>
      <c r="B95" s="170"/>
      <c r="C95" s="170"/>
      <c r="D95" s="170"/>
      <c r="E95" s="171"/>
      <c r="F95" s="172"/>
      <c r="G95" s="17" t="s">
        <v>402</v>
      </c>
      <c r="H95" s="17" t="s">
        <v>409</v>
      </c>
      <c r="I95" s="179" t="s">
        <v>418</v>
      </c>
      <c r="J95" s="180" t="s">
        <v>40</v>
      </c>
      <c r="K95" s="181">
        <v>2</v>
      </c>
      <c r="L95" s="98" t="s">
        <v>22</v>
      </c>
      <c r="M95" s="182" t="s">
        <v>419</v>
      </c>
      <c r="N95" s="174" t="s">
        <v>420</v>
      </c>
    </row>
    <row r="96" spans="1:14" s="175" customFormat="1" ht="219.75" customHeight="1">
      <c r="A96" s="169"/>
      <c r="B96" s="170"/>
      <c r="C96" s="170"/>
      <c r="D96" s="170"/>
      <c r="E96" s="171"/>
      <c r="F96" s="172"/>
      <c r="G96" s="17" t="s">
        <v>402</v>
      </c>
      <c r="H96" s="17" t="s">
        <v>409</v>
      </c>
      <c r="I96" s="179" t="s">
        <v>423</v>
      </c>
      <c r="J96" s="180" t="s">
        <v>40</v>
      </c>
      <c r="K96" s="181">
        <v>2</v>
      </c>
      <c r="L96" s="98" t="s">
        <v>22</v>
      </c>
      <c r="M96" s="180" t="s">
        <v>424</v>
      </c>
      <c r="N96" s="174" t="s">
        <v>425</v>
      </c>
    </row>
    <row r="97" spans="1:15" s="175" customFormat="1" ht="243.75" customHeight="1">
      <c r="A97" s="169"/>
      <c r="B97" s="170"/>
      <c r="C97" s="170"/>
      <c r="D97" s="170"/>
      <c r="E97" s="171"/>
      <c r="F97" s="172"/>
      <c r="G97" s="17" t="s">
        <v>402</v>
      </c>
      <c r="H97" s="17" t="s">
        <v>409</v>
      </c>
      <c r="I97" s="179" t="s">
        <v>428</v>
      </c>
      <c r="J97" s="180" t="s">
        <v>40</v>
      </c>
      <c r="K97" s="181">
        <v>2</v>
      </c>
      <c r="L97" s="98" t="s">
        <v>22</v>
      </c>
      <c r="M97" s="180" t="s">
        <v>429</v>
      </c>
      <c r="N97" s="174" t="s">
        <v>420</v>
      </c>
    </row>
    <row r="98" spans="1:15" s="175" customFormat="1" ht="324" customHeight="1">
      <c r="A98" s="169"/>
      <c r="B98" s="170"/>
      <c r="C98" s="170"/>
      <c r="D98" s="170"/>
      <c r="E98" s="171"/>
      <c r="F98" s="172"/>
      <c r="G98" s="17" t="s">
        <v>402</v>
      </c>
      <c r="H98" s="17" t="s">
        <v>409</v>
      </c>
      <c r="I98" s="183" t="s">
        <v>432</v>
      </c>
      <c r="J98" s="180" t="s">
        <v>40</v>
      </c>
      <c r="K98" s="181">
        <v>2</v>
      </c>
      <c r="L98" s="98" t="s">
        <v>22</v>
      </c>
      <c r="M98" s="180" t="s">
        <v>433</v>
      </c>
      <c r="N98" s="174" t="s">
        <v>420</v>
      </c>
    </row>
    <row r="99" spans="1:15" ht="56.25" customHeight="1">
      <c r="A99" s="2" t="s">
        <v>455</v>
      </c>
      <c r="B99" s="4" t="s">
        <v>202</v>
      </c>
      <c r="C99" s="4" t="s">
        <v>112</v>
      </c>
      <c r="D99" s="4" t="s">
        <v>16</v>
      </c>
      <c r="E99" s="97" t="s">
        <v>456</v>
      </c>
      <c r="F99" s="141" t="s">
        <v>97</v>
      </c>
      <c r="G99" s="17" t="s">
        <v>402</v>
      </c>
      <c r="H99" s="17" t="s">
        <v>435</v>
      </c>
      <c r="I99" s="184" t="s">
        <v>436</v>
      </c>
      <c r="J99" s="100" t="s">
        <v>21</v>
      </c>
      <c r="K99" s="101">
        <v>10</v>
      </c>
      <c r="L99" s="102" t="s">
        <v>405</v>
      </c>
      <c r="M99" s="104" t="s">
        <v>437</v>
      </c>
      <c r="N99" s="99"/>
    </row>
    <row r="100" spans="1:15" ht="105.75" customHeight="1">
      <c r="A100" s="2"/>
      <c r="B100" s="4"/>
      <c r="C100" s="4"/>
      <c r="D100" s="4"/>
      <c r="E100" s="97"/>
      <c r="F100" s="141" t="s">
        <v>97</v>
      </c>
      <c r="G100" s="17" t="s">
        <v>402</v>
      </c>
      <c r="H100" s="17" t="s">
        <v>435</v>
      </c>
      <c r="I100" s="185" t="s">
        <v>440</v>
      </c>
      <c r="J100" s="2" t="s">
        <v>40</v>
      </c>
      <c r="K100" s="1">
        <v>5</v>
      </c>
      <c r="L100" s="98" t="s">
        <v>22</v>
      </c>
      <c r="M100" s="104" t="s">
        <v>441</v>
      </c>
      <c r="N100" s="99"/>
    </row>
    <row r="101" spans="1:15" ht="130.5" customHeight="1">
      <c r="A101" s="2"/>
      <c r="B101" s="4"/>
      <c r="C101" s="4"/>
      <c r="D101" s="4"/>
      <c r="E101" s="97"/>
      <c r="F101" s="141" t="s">
        <v>97</v>
      </c>
      <c r="G101" s="17" t="s">
        <v>402</v>
      </c>
      <c r="H101" s="17" t="s">
        <v>435</v>
      </c>
      <c r="I101" s="185" t="s">
        <v>444</v>
      </c>
      <c r="J101" s="2" t="s">
        <v>40</v>
      </c>
      <c r="K101" s="1">
        <v>5</v>
      </c>
      <c r="L101" s="98" t="s">
        <v>97</v>
      </c>
      <c r="M101" s="104" t="s">
        <v>627</v>
      </c>
      <c r="N101" s="99"/>
    </row>
    <row r="102" spans="1:15" ht="249.75" customHeight="1">
      <c r="A102" s="130" t="s">
        <v>131</v>
      </c>
      <c r="B102" s="4" t="s">
        <v>295</v>
      </c>
      <c r="C102" s="4" t="s">
        <v>137</v>
      </c>
      <c r="D102" s="4" t="s">
        <v>16</v>
      </c>
      <c r="E102" s="97" t="s">
        <v>132</v>
      </c>
      <c r="F102" s="141" t="s">
        <v>97</v>
      </c>
      <c r="G102" s="17" t="s">
        <v>402</v>
      </c>
      <c r="H102" s="17" t="s">
        <v>447</v>
      </c>
      <c r="I102" s="186" t="s">
        <v>448</v>
      </c>
      <c r="J102" s="130" t="s">
        <v>21</v>
      </c>
      <c r="K102" s="132">
        <v>10</v>
      </c>
      <c r="L102" s="98" t="s">
        <v>22</v>
      </c>
      <c r="M102" s="104" t="s">
        <v>449</v>
      </c>
      <c r="N102" s="99"/>
    </row>
    <row r="103" spans="1:15" ht="144" customHeight="1">
      <c r="A103" s="130" t="s">
        <v>136</v>
      </c>
      <c r="B103" s="4" t="s">
        <v>311</v>
      </c>
      <c r="C103" s="4" t="s">
        <v>168</v>
      </c>
      <c r="D103" s="4" t="s">
        <v>16</v>
      </c>
      <c r="E103" s="97" t="s">
        <v>137</v>
      </c>
      <c r="F103" s="141" t="s">
        <v>97</v>
      </c>
      <c r="G103" s="17" t="s">
        <v>402</v>
      </c>
      <c r="H103" s="17" t="s">
        <v>447</v>
      </c>
      <c r="I103" s="186" t="s">
        <v>452</v>
      </c>
      <c r="J103" s="130" t="s">
        <v>21</v>
      </c>
      <c r="K103" s="132">
        <v>10</v>
      </c>
      <c r="L103" s="98" t="s">
        <v>22</v>
      </c>
      <c r="M103" s="104" t="s">
        <v>453</v>
      </c>
      <c r="N103" s="99" t="s">
        <v>454</v>
      </c>
    </row>
    <row r="104" spans="1:15" ht="60.75" customHeight="1">
      <c r="A104" s="130" t="s">
        <v>479</v>
      </c>
      <c r="B104" s="4" t="s">
        <v>325</v>
      </c>
      <c r="C104" s="4" t="s">
        <v>54</v>
      </c>
      <c r="D104" s="4" t="s">
        <v>16</v>
      </c>
      <c r="E104" s="97" t="s">
        <v>480</v>
      </c>
      <c r="F104" s="15" t="s">
        <v>97</v>
      </c>
      <c r="G104" s="17" t="s">
        <v>457</v>
      </c>
      <c r="H104" s="17" t="s">
        <v>458</v>
      </c>
      <c r="I104" s="4" t="s">
        <v>628</v>
      </c>
      <c r="J104" s="130" t="s">
        <v>21</v>
      </c>
      <c r="K104" s="132">
        <v>10</v>
      </c>
      <c r="L104" s="98" t="s">
        <v>97</v>
      </c>
      <c r="M104" s="104" t="s">
        <v>460</v>
      </c>
      <c r="N104" s="99"/>
    </row>
    <row r="105" spans="1:15" ht="148.5" customHeight="1">
      <c r="A105" s="130" t="s">
        <v>629</v>
      </c>
      <c r="B105" s="4" t="s">
        <v>388</v>
      </c>
      <c r="C105" s="4" t="s">
        <v>187</v>
      </c>
      <c r="D105" s="4" t="s">
        <v>16</v>
      </c>
      <c r="E105" s="97" t="s">
        <v>630</v>
      </c>
      <c r="F105" s="97" t="s">
        <v>463</v>
      </c>
      <c r="G105" s="17" t="s">
        <v>457</v>
      </c>
      <c r="H105" s="17" t="s">
        <v>458</v>
      </c>
      <c r="I105" s="4" t="s">
        <v>631</v>
      </c>
      <c r="J105" s="130" t="s">
        <v>21</v>
      </c>
      <c r="K105" s="132">
        <v>10</v>
      </c>
      <c r="L105" s="129" t="s">
        <v>465</v>
      </c>
      <c r="M105" s="104" t="s">
        <v>632</v>
      </c>
      <c r="N105" s="99"/>
    </row>
    <row r="106" spans="1:15" ht="48.75" customHeight="1">
      <c r="A106" s="130" t="s">
        <v>633</v>
      </c>
      <c r="B106" s="4" t="s">
        <v>401</v>
      </c>
      <c r="C106" s="4" t="s">
        <v>79</v>
      </c>
      <c r="D106" s="4" t="s">
        <v>16</v>
      </c>
      <c r="E106" s="97" t="s">
        <v>634</v>
      </c>
      <c r="F106" s="97" t="s">
        <v>463</v>
      </c>
      <c r="G106" s="17" t="s">
        <v>457</v>
      </c>
      <c r="H106" s="17" t="s">
        <v>469</v>
      </c>
      <c r="I106" s="3" t="s">
        <v>470</v>
      </c>
      <c r="J106" s="152" t="s">
        <v>21</v>
      </c>
      <c r="K106" s="187">
        <v>10</v>
      </c>
      <c r="L106" s="184" t="s">
        <v>97</v>
      </c>
      <c r="M106" s="188" t="s">
        <v>256</v>
      </c>
      <c r="N106" s="99"/>
    </row>
    <row r="107" spans="1:15" ht="114.75" customHeight="1">
      <c r="A107" s="130"/>
      <c r="B107" s="4"/>
      <c r="C107" s="4"/>
      <c r="D107" s="4"/>
      <c r="E107" s="97"/>
      <c r="F107" s="97"/>
      <c r="G107" s="17" t="s">
        <v>457</v>
      </c>
      <c r="H107" s="17" t="s">
        <v>469</v>
      </c>
      <c r="I107" s="104" t="s">
        <v>473</v>
      </c>
      <c r="J107" s="130" t="s">
        <v>40</v>
      </c>
      <c r="K107" s="132">
        <v>5</v>
      </c>
      <c r="L107" s="189" t="s">
        <v>97</v>
      </c>
      <c r="M107" s="185" t="s">
        <v>474</v>
      </c>
      <c r="N107" s="99"/>
    </row>
    <row r="108" spans="1:15" ht="161.25" customHeight="1">
      <c r="A108" s="130"/>
      <c r="B108" s="4"/>
      <c r="C108" s="4"/>
      <c r="D108" s="4"/>
      <c r="E108" s="97"/>
      <c r="F108" s="97"/>
      <c r="G108" s="17" t="s">
        <v>457</v>
      </c>
      <c r="H108" s="17" t="s">
        <v>469</v>
      </c>
      <c r="I108" s="104" t="s">
        <v>477</v>
      </c>
      <c r="J108" s="130" t="s">
        <v>40</v>
      </c>
      <c r="K108" s="132">
        <v>5</v>
      </c>
      <c r="L108" s="190" t="s">
        <v>97</v>
      </c>
      <c r="M108" s="185" t="s">
        <v>478</v>
      </c>
      <c r="N108" s="99"/>
    </row>
    <row r="109" spans="1:15" ht="409.5" customHeight="1">
      <c r="A109" s="130" t="s">
        <v>635</v>
      </c>
      <c r="B109" s="4" t="s">
        <v>408</v>
      </c>
      <c r="C109" s="4" t="s">
        <v>202</v>
      </c>
      <c r="D109" s="4" t="s">
        <v>16</v>
      </c>
      <c r="E109" s="97" t="s">
        <v>636</v>
      </c>
      <c r="F109" s="97" t="s">
        <v>463</v>
      </c>
      <c r="G109" s="17" t="s">
        <v>457</v>
      </c>
      <c r="H109" s="17" t="s">
        <v>637</v>
      </c>
      <c r="I109" s="4" t="s">
        <v>482</v>
      </c>
      <c r="J109" s="130" t="s">
        <v>21</v>
      </c>
      <c r="K109" s="132">
        <v>10</v>
      </c>
      <c r="L109" s="98" t="s">
        <v>22</v>
      </c>
      <c r="M109" s="104" t="s">
        <v>638</v>
      </c>
      <c r="N109" s="191" t="s">
        <v>639</v>
      </c>
      <c r="O109" s="132"/>
    </row>
    <row r="110" spans="1:15" ht="29.25" customHeight="1">
      <c r="A110" s="87"/>
      <c r="E110" s="87"/>
      <c r="F110" s="87"/>
      <c r="G110" s="87"/>
      <c r="H110" s="92"/>
      <c r="I110" s="175"/>
      <c r="K110" s="86"/>
    </row>
    <row r="111" spans="1:15">
      <c r="A111" s="87"/>
      <c r="E111" s="87"/>
      <c r="F111" s="87"/>
      <c r="G111" s="87"/>
      <c r="H111" s="92"/>
      <c r="K111" s="86"/>
    </row>
    <row r="112" spans="1:15">
      <c r="A112" s="87"/>
      <c r="E112" s="87"/>
      <c r="F112" s="87"/>
      <c r="G112" s="87"/>
      <c r="H112" s="92"/>
      <c r="K112" s="86"/>
    </row>
    <row r="113" spans="1:13">
      <c r="A113" s="87"/>
      <c r="E113" s="87"/>
      <c r="F113" s="87"/>
      <c r="G113" s="87"/>
      <c r="H113" s="92"/>
      <c r="K113" s="86"/>
    </row>
    <row r="114" spans="1:13">
      <c r="A114" s="87"/>
      <c r="E114" s="87"/>
      <c r="F114" s="87"/>
      <c r="G114" s="87"/>
      <c r="H114" s="92"/>
      <c r="K114" s="86"/>
    </row>
    <row r="115" spans="1:13" ht="14.25" customHeight="1">
      <c r="A115" s="192"/>
      <c r="B115" s="193"/>
      <c r="C115" s="193"/>
      <c r="D115" s="193"/>
      <c r="G115" s="88"/>
      <c r="H115" s="194"/>
      <c r="I115" s="193"/>
      <c r="J115" s="192"/>
      <c r="K115" s="192"/>
      <c r="L115" s="193"/>
      <c r="M115" s="195"/>
    </row>
    <row r="116" spans="1:13" ht="14.25" customHeight="1">
      <c r="A116" s="192"/>
      <c r="B116" s="193"/>
      <c r="C116" s="193"/>
      <c r="D116" s="193"/>
      <c r="G116" s="88"/>
      <c r="H116" s="194"/>
      <c r="I116" s="193"/>
      <c r="J116" s="192"/>
      <c r="K116" s="192"/>
      <c r="L116" s="193"/>
      <c r="M116" s="195"/>
    </row>
    <row r="117" spans="1:13" ht="14.25" customHeight="1">
      <c r="A117" s="192"/>
      <c r="B117" s="193"/>
      <c r="C117" s="193"/>
      <c r="D117" s="193"/>
      <c r="G117" s="88"/>
      <c r="H117" s="194"/>
      <c r="I117" s="193"/>
      <c r="J117" s="192"/>
      <c r="K117" s="192"/>
      <c r="L117" s="193"/>
      <c r="M117" s="195"/>
    </row>
    <row r="118" spans="1:13" ht="14.25" customHeight="1">
      <c r="A118" s="192"/>
      <c r="B118" s="193"/>
      <c r="C118" s="193"/>
      <c r="D118" s="193"/>
      <c r="G118" s="88"/>
      <c r="H118" s="194"/>
      <c r="I118" s="193"/>
      <c r="J118" s="192"/>
      <c r="K118" s="192"/>
      <c r="L118" s="193"/>
      <c r="M118" s="195"/>
    </row>
    <row r="119" spans="1:13" ht="14.25" customHeight="1">
      <c r="A119" s="192"/>
      <c r="B119" s="193"/>
      <c r="C119" s="193"/>
      <c r="D119" s="193"/>
      <c r="G119" s="88"/>
      <c r="H119" s="194"/>
      <c r="I119" s="193"/>
      <c r="J119" s="192"/>
      <c r="K119" s="192"/>
      <c r="L119" s="193"/>
      <c r="M119" s="195"/>
    </row>
    <row r="120" spans="1:13" ht="14.25" customHeight="1">
      <c r="A120" s="192"/>
      <c r="B120" s="193"/>
      <c r="C120" s="193"/>
      <c r="D120" s="193"/>
      <c r="G120" s="88"/>
      <c r="H120" s="194"/>
      <c r="I120" s="193"/>
      <c r="J120" s="192"/>
      <c r="K120" s="192"/>
      <c r="L120" s="193"/>
      <c r="M120" s="195"/>
    </row>
    <row r="121" spans="1:13" ht="14.25" customHeight="1">
      <c r="A121" s="192"/>
      <c r="B121" s="193"/>
      <c r="C121" s="193"/>
      <c r="D121" s="193"/>
      <c r="G121" s="88"/>
      <c r="H121" s="194"/>
      <c r="I121" s="193"/>
      <c r="J121" s="192"/>
      <c r="K121" s="192"/>
      <c r="L121" s="193"/>
      <c r="M121" s="195"/>
    </row>
    <row r="122" spans="1:13" ht="14.25" customHeight="1">
      <c r="A122" s="192"/>
      <c r="B122" s="193"/>
      <c r="C122" s="193"/>
      <c r="D122" s="193"/>
      <c r="G122" s="88"/>
      <c r="H122" s="194"/>
      <c r="I122" s="193"/>
      <c r="J122" s="192"/>
      <c r="K122" s="192"/>
      <c r="L122" s="193"/>
      <c r="M122" s="195"/>
    </row>
    <row r="123" spans="1:13" ht="14.25" customHeight="1">
      <c r="A123" s="192"/>
      <c r="B123" s="193"/>
      <c r="C123" s="193"/>
      <c r="D123" s="193"/>
      <c r="G123" s="88"/>
      <c r="H123" s="194"/>
      <c r="I123" s="193"/>
      <c r="J123" s="192"/>
      <c r="K123" s="192"/>
      <c r="L123" s="193"/>
      <c r="M123" s="195"/>
    </row>
    <row r="124" spans="1:13" ht="14.25" customHeight="1">
      <c r="A124" s="192"/>
      <c r="B124" s="193"/>
      <c r="C124" s="193"/>
      <c r="D124" s="193"/>
      <c r="G124" s="88"/>
      <c r="H124" s="194"/>
      <c r="I124" s="193"/>
      <c r="J124" s="192"/>
      <c r="K124" s="192"/>
      <c r="L124" s="193"/>
      <c r="M124" s="195"/>
    </row>
    <row r="125" spans="1:13" ht="14.25" customHeight="1">
      <c r="A125" s="192"/>
      <c r="B125" s="193"/>
      <c r="C125" s="193"/>
      <c r="D125" s="193"/>
      <c r="G125" s="88"/>
      <c r="H125" s="194"/>
      <c r="I125" s="193"/>
      <c r="J125" s="192"/>
      <c r="K125" s="192"/>
      <c r="L125" s="193"/>
      <c r="M125" s="195"/>
    </row>
    <row r="126" spans="1:13" ht="14.25" customHeight="1">
      <c r="A126" s="192"/>
      <c r="B126" s="193"/>
      <c r="C126" s="193"/>
      <c r="D126" s="193"/>
      <c r="G126" s="88"/>
      <c r="H126" s="194"/>
      <c r="I126" s="193"/>
      <c r="J126" s="192"/>
      <c r="K126" s="192"/>
      <c r="L126" s="193"/>
      <c r="M126" s="195"/>
    </row>
    <row r="127" spans="1:13" ht="14.25" customHeight="1">
      <c r="A127" s="192"/>
      <c r="B127" s="193"/>
      <c r="C127" s="193"/>
      <c r="D127" s="193"/>
      <c r="G127" s="88"/>
      <c r="H127" s="194"/>
      <c r="I127" s="193"/>
      <c r="J127" s="192"/>
      <c r="K127" s="192"/>
      <c r="L127" s="193"/>
      <c r="M127" s="195"/>
    </row>
    <row r="128" spans="1:13" ht="14.25" customHeight="1">
      <c r="A128" s="192"/>
      <c r="B128" s="193"/>
      <c r="C128" s="193"/>
      <c r="D128" s="193"/>
      <c r="G128" s="88"/>
      <c r="H128" s="194"/>
      <c r="I128" s="193"/>
      <c r="J128" s="192"/>
      <c r="K128" s="192"/>
      <c r="L128" s="193"/>
      <c r="M128" s="195"/>
    </row>
    <row r="129" spans="1:13" ht="14.25" customHeight="1">
      <c r="A129" s="192"/>
      <c r="B129" s="193"/>
      <c r="C129" s="193"/>
      <c r="D129" s="193"/>
      <c r="G129" s="88"/>
      <c r="H129" s="194"/>
      <c r="I129" s="193"/>
      <c r="J129" s="192"/>
      <c r="K129" s="192"/>
      <c r="L129" s="193"/>
      <c r="M129" s="195"/>
    </row>
    <row r="130" spans="1:13" ht="14.25" customHeight="1">
      <c r="A130" s="192"/>
      <c r="B130" s="193"/>
      <c r="C130" s="193"/>
      <c r="D130" s="193"/>
      <c r="G130" s="88"/>
      <c r="H130" s="194"/>
      <c r="I130" s="193"/>
      <c r="J130" s="192"/>
      <c r="K130" s="192"/>
      <c r="L130" s="193"/>
      <c r="M130" s="195"/>
    </row>
    <row r="131" spans="1:13" ht="14.25" customHeight="1">
      <c r="A131" s="192"/>
      <c r="B131" s="193"/>
      <c r="C131" s="193"/>
      <c r="D131" s="193"/>
      <c r="G131" s="88"/>
      <c r="H131" s="194"/>
      <c r="I131" s="193"/>
      <c r="J131" s="192"/>
      <c r="K131" s="192"/>
      <c r="L131" s="193"/>
      <c r="M131" s="195"/>
    </row>
    <row r="132" spans="1:13" ht="14.25" customHeight="1">
      <c r="A132" s="192"/>
      <c r="B132" s="193"/>
      <c r="C132" s="193"/>
      <c r="D132" s="193"/>
      <c r="G132" s="88"/>
      <c r="H132" s="194"/>
      <c r="I132" s="193"/>
      <c r="J132" s="192"/>
      <c r="K132" s="192"/>
      <c r="L132" s="193"/>
      <c r="M132" s="195"/>
    </row>
    <row r="133" spans="1:13" ht="14.25" customHeight="1">
      <c r="A133" s="192"/>
      <c r="B133" s="193"/>
      <c r="C133" s="193"/>
      <c r="D133" s="193"/>
      <c r="G133" s="88"/>
      <c r="H133" s="194"/>
      <c r="I133" s="193"/>
      <c r="J133" s="192"/>
      <c r="K133" s="192"/>
      <c r="L133" s="193"/>
      <c r="M133" s="195"/>
    </row>
    <row r="134" spans="1:13" ht="14.25" customHeight="1">
      <c r="A134" s="192"/>
      <c r="B134" s="193"/>
      <c r="C134" s="193"/>
      <c r="D134" s="193"/>
      <c r="G134" s="88"/>
      <c r="H134" s="194"/>
      <c r="I134" s="193"/>
      <c r="J134" s="192"/>
      <c r="K134" s="192"/>
      <c r="L134" s="193"/>
      <c r="M134" s="195"/>
    </row>
    <row r="135" spans="1:13" ht="14.25" customHeight="1">
      <c r="A135" s="192"/>
      <c r="B135" s="193"/>
      <c r="C135" s="193"/>
      <c r="D135" s="193"/>
      <c r="G135" s="88"/>
      <c r="H135" s="194"/>
      <c r="I135" s="193"/>
      <c r="J135" s="192"/>
      <c r="K135" s="192"/>
      <c r="L135" s="193"/>
      <c r="M135" s="195"/>
    </row>
    <row r="136" spans="1:13" ht="14.25" customHeight="1">
      <c r="A136" s="192"/>
      <c r="B136" s="193"/>
      <c r="C136" s="193"/>
      <c r="D136" s="193"/>
      <c r="G136" s="88"/>
      <c r="H136" s="194"/>
      <c r="I136" s="193"/>
      <c r="J136" s="192"/>
      <c r="K136" s="192"/>
      <c r="L136" s="193"/>
      <c r="M136" s="195"/>
    </row>
    <row r="137" spans="1:13" ht="14.25" customHeight="1">
      <c r="A137" s="192"/>
      <c r="B137" s="193"/>
      <c r="C137" s="193"/>
      <c r="D137" s="193"/>
      <c r="G137" s="88"/>
      <c r="H137" s="194"/>
      <c r="I137" s="193"/>
      <c r="J137" s="192"/>
      <c r="K137" s="192"/>
      <c r="L137" s="193"/>
      <c r="M137" s="195"/>
    </row>
    <row r="138" spans="1:13" ht="14.25" customHeight="1">
      <c r="A138" s="192"/>
      <c r="B138" s="193"/>
      <c r="C138" s="193"/>
      <c r="D138" s="193"/>
      <c r="G138" s="88"/>
      <c r="H138" s="194"/>
      <c r="I138" s="193"/>
      <c r="J138" s="192"/>
      <c r="K138" s="192"/>
      <c r="L138" s="193"/>
      <c r="M138" s="195"/>
    </row>
    <row r="139" spans="1:13" ht="15.75" customHeight="1">
      <c r="A139" s="192"/>
      <c r="B139" s="193"/>
      <c r="C139" s="193"/>
      <c r="D139" s="193"/>
      <c r="G139" s="88"/>
      <c r="H139" s="194"/>
      <c r="I139" s="193"/>
      <c r="J139" s="192"/>
      <c r="K139" s="192"/>
      <c r="L139" s="193"/>
      <c r="M139" s="195" t="s">
        <v>485</v>
      </c>
    </row>
    <row r="140" spans="1:13" ht="14.25" customHeight="1">
      <c r="A140" s="192"/>
      <c r="B140" s="193"/>
      <c r="C140" s="193"/>
      <c r="D140" s="193"/>
      <c r="G140" s="88"/>
      <c r="H140" s="194"/>
      <c r="I140" s="193"/>
      <c r="J140" s="192"/>
      <c r="K140" s="192"/>
      <c r="L140" s="193"/>
      <c r="M140" s="195"/>
    </row>
    <row r="141" spans="1:13" ht="14.25" customHeight="1">
      <c r="A141" s="192"/>
      <c r="B141" s="193"/>
      <c r="C141" s="193"/>
      <c r="D141" s="193"/>
      <c r="G141" s="88"/>
      <c r="H141" s="194"/>
      <c r="I141" s="193"/>
      <c r="J141" s="192"/>
      <c r="K141" s="192"/>
      <c r="L141" s="193"/>
      <c r="M141" s="195"/>
    </row>
    <row r="142" spans="1:13" ht="14.25" customHeight="1">
      <c r="A142" s="192"/>
      <c r="B142" s="193"/>
      <c r="C142" s="193"/>
      <c r="D142" s="193"/>
      <c r="G142" s="88"/>
      <c r="H142" s="194"/>
      <c r="I142" s="193"/>
      <c r="J142" s="192"/>
      <c r="K142" s="192"/>
      <c r="L142" s="193"/>
      <c r="M142" s="195"/>
    </row>
    <row r="143" spans="1:13" ht="14.25" customHeight="1">
      <c r="A143" s="192"/>
      <c r="B143" s="193"/>
      <c r="C143" s="193"/>
      <c r="D143" s="193"/>
      <c r="G143" s="88"/>
      <c r="H143" s="194"/>
      <c r="I143" s="193"/>
      <c r="J143" s="192"/>
      <c r="K143" s="192"/>
      <c r="L143" s="193"/>
      <c r="M143" s="195"/>
    </row>
    <row r="144" spans="1:13" ht="14.25" customHeight="1">
      <c r="A144" s="192"/>
      <c r="B144" s="193"/>
      <c r="C144" s="193"/>
      <c r="D144" s="193"/>
      <c r="G144" s="88"/>
      <c r="H144" s="194"/>
      <c r="I144" s="193"/>
      <c r="J144" s="192"/>
      <c r="K144" s="192"/>
      <c r="L144" s="193"/>
      <c r="M144" s="195"/>
    </row>
    <row r="145" spans="1:13" ht="14.25" customHeight="1">
      <c r="A145" s="192"/>
      <c r="B145" s="193"/>
      <c r="C145" s="193"/>
      <c r="D145" s="193"/>
      <c r="G145" s="88"/>
      <c r="H145" s="194"/>
      <c r="I145" s="193"/>
      <c r="J145" s="192"/>
      <c r="K145" s="192"/>
      <c r="L145" s="193"/>
      <c r="M145" s="195"/>
    </row>
    <row r="146" spans="1:13" ht="15.75" customHeight="1">
      <c r="A146" s="192"/>
      <c r="B146" s="193"/>
      <c r="C146" s="193"/>
      <c r="D146" s="193"/>
      <c r="G146" s="88"/>
      <c r="H146" s="194"/>
      <c r="I146" s="193"/>
      <c r="J146" s="192"/>
      <c r="K146" s="192"/>
      <c r="L146" s="193"/>
      <c r="M146" s="195" t="s">
        <v>485</v>
      </c>
    </row>
    <row r="147" spans="1:13" ht="14.25" customHeight="1">
      <c r="A147" s="192"/>
      <c r="B147" s="193"/>
      <c r="C147" s="193"/>
      <c r="D147" s="193"/>
      <c r="G147" s="88"/>
      <c r="H147" s="194"/>
      <c r="I147" s="193"/>
      <c r="J147" s="192"/>
      <c r="K147" s="192"/>
      <c r="L147" s="193"/>
      <c r="M147" s="195"/>
    </row>
    <row r="148" spans="1:13" ht="14.25" customHeight="1">
      <c r="A148" s="192"/>
      <c r="B148" s="193"/>
      <c r="C148" s="193"/>
      <c r="D148" s="193"/>
      <c r="G148" s="88"/>
      <c r="H148" s="194"/>
      <c r="I148" s="193"/>
      <c r="J148" s="192"/>
      <c r="K148" s="192"/>
      <c r="L148" s="193"/>
      <c r="M148" s="195"/>
    </row>
    <row r="149" spans="1:13" ht="14.25" customHeight="1">
      <c r="A149" s="192"/>
      <c r="B149" s="193"/>
      <c r="C149" s="193"/>
      <c r="D149" s="193"/>
      <c r="G149" s="88"/>
      <c r="H149" s="194"/>
      <c r="I149" s="193"/>
      <c r="J149" s="192"/>
      <c r="K149" s="192"/>
      <c r="L149" s="193"/>
      <c r="M149" s="195"/>
    </row>
    <row r="150" spans="1:13" ht="14.25" customHeight="1">
      <c r="A150" s="192"/>
      <c r="B150" s="193"/>
      <c r="C150" s="193"/>
      <c r="D150" s="193"/>
      <c r="G150" s="88"/>
      <c r="H150" s="194"/>
      <c r="I150" s="193"/>
      <c r="J150" s="192"/>
      <c r="K150" s="192"/>
      <c r="L150" s="193"/>
      <c r="M150" s="195"/>
    </row>
    <row r="151" spans="1:13" ht="14.25" customHeight="1">
      <c r="A151" s="192"/>
      <c r="B151" s="193"/>
      <c r="C151" s="193"/>
      <c r="D151" s="193"/>
      <c r="G151" s="88"/>
      <c r="H151" s="194"/>
      <c r="I151" s="193"/>
      <c r="J151" s="192"/>
      <c r="K151" s="192"/>
      <c r="L151" s="193"/>
      <c r="M151" s="195"/>
    </row>
    <row r="152" spans="1:13" ht="15.75" customHeight="1">
      <c r="A152" s="192"/>
      <c r="B152" s="193"/>
      <c r="C152" s="193"/>
      <c r="D152" s="193"/>
      <c r="G152" s="88"/>
      <c r="H152" s="194"/>
      <c r="I152" s="193"/>
      <c r="J152" s="192"/>
      <c r="K152" s="192"/>
      <c r="L152" s="193"/>
      <c r="M152" s="195" t="s">
        <v>485</v>
      </c>
    </row>
    <row r="153" spans="1:13" ht="14.25" customHeight="1">
      <c r="A153" s="192"/>
      <c r="B153" s="193"/>
      <c r="C153" s="193"/>
      <c r="D153" s="193"/>
      <c r="G153" s="88"/>
      <c r="H153" s="194"/>
      <c r="I153" s="193"/>
      <c r="J153" s="192"/>
      <c r="K153" s="192"/>
      <c r="L153" s="193"/>
      <c r="M153" s="195"/>
    </row>
    <row r="154" spans="1:13" ht="14.25" customHeight="1">
      <c r="A154" s="192"/>
      <c r="B154" s="193"/>
      <c r="C154" s="193"/>
      <c r="D154" s="193"/>
      <c r="G154" s="88"/>
      <c r="H154" s="194"/>
      <c r="I154" s="193"/>
      <c r="J154" s="192"/>
      <c r="K154" s="192"/>
      <c r="L154" s="193"/>
      <c r="M154" s="195"/>
    </row>
    <row r="155" spans="1:13" ht="14.25" customHeight="1">
      <c r="A155" s="192"/>
      <c r="B155" s="193"/>
      <c r="C155" s="193"/>
      <c r="D155" s="193"/>
      <c r="G155" s="88"/>
      <c r="H155" s="194"/>
      <c r="I155" s="193"/>
      <c r="J155" s="192"/>
      <c r="K155" s="192"/>
      <c r="L155" s="193"/>
      <c r="M155" s="195"/>
    </row>
    <row r="156" spans="1:13" ht="14.25" customHeight="1">
      <c r="A156" s="192"/>
      <c r="B156" s="193"/>
      <c r="C156" s="193"/>
      <c r="D156" s="193"/>
      <c r="G156" s="88"/>
      <c r="H156" s="194"/>
      <c r="I156" s="193"/>
      <c r="J156" s="192"/>
      <c r="K156" s="192"/>
      <c r="L156" s="193"/>
      <c r="M156" s="195"/>
    </row>
    <row r="157" spans="1:13" ht="14.25" customHeight="1">
      <c r="A157" s="192"/>
      <c r="B157" s="193"/>
      <c r="C157" s="193"/>
      <c r="D157" s="193"/>
      <c r="G157" s="88"/>
      <c r="H157" s="194"/>
      <c r="I157" s="193"/>
      <c r="J157" s="192"/>
      <c r="K157" s="192"/>
      <c r="L157" s="193"/>
      <c r="M157" s="195"/>
    </row>
    <row r="158" spans="1:13" ht="14.25" customHeight="1">
      <c r="A158" s="192"/>
      <c r="B158" s="193"/>
      <c r="C158" s="193"/>
      <c r="D158" s="193"/>
      <c r="G158" s="88"/>
      <c r="H158" s="194"/>
      <c r="I158" s="193"/>
      <c r="J158" s="192"/>
      <c r="K158" s="192"/>
      <c r="L158" s="193"/>
      <c r="M158" s="195"/>
    </row>
    <row r="159" spans="1:13" ht="14.25" customHeight="1">
      <c r="A159" s="192"/>
      <c r="B159" s="193"/>
      <c r="C159" s="193"/>
      <c r="D159" s="193"/>
      <c r="G159" s="88"/>
      <c r="H159" s="194"/>
      <c r="I159" s="193"/>
      <c r="J159" s="192"/>
      <c r="K159" s="192"/>
      <c r="L159" s="193"/>
      <c r="M159" s="195"/>
    </row>
    <row r="160" spans="1:13" ht="14.25" customHeight="1">
      <c r="A160" s="192"/>
      <c r="B160" s="193"/>
      <c r="C160" s="193"/>
      <c r="D160" s="193"/>
      <c r="G160" s="88"/>
      <c r="H160" s="194"/>
      <c r="I160" s="193"/>
      <c r="J160" s="192"/>
      <c r="K160" s="192"/>
      <c r="L160" s="193"/>
      <c r="M160" s="195"/>
    </row>
    <row r="161" spans="1:13" ht="14.25" customHeight="1">
      <c r="A161" s="192"/>
      <c r="B161" s="193"/>
      <c r="C161" s="193"/>
      <c r="D161" s="193"/>
      <c r="G161" s="88"/>
      <c r="H161" s="194"/>
      <c r="I161" s="193"/>
      <c r="J161" s="192"/>
      <c r="K161" s="192"/>
      <c r="L161" s="193"/>
      <c r="M161" s="195"/>
    </row>
    <row r="162" spans="1:13" ht="14.25" customHeight="1">
      <c r="A162" s="192"/>
      <c r="B162" s="193"/>
      <c r="C162" s="193"/>
      <c r="D162" s="193"/>
      <c r="G162" s="88"/>
      <c r="H162" s="194"/>
      <c r="I162" s="193"/>
      <c r="J162" s="192"/>
      <c r="K162" s="192"/>
      <c r="L162" s="193"/>
      <c r="M162" s="195"/>
    </row>
    <row r="163" spans="1:13" ht="14.25" customHeight="1">
      <c r="A163" s="192"/>
      <c r="B163" s="193"/>
      <c r="C163" s="193"/>
      <c r="D163" s="193"/>
      <c r="G163" s="88"/>
      <c r="H163" s="194"/>
      <c r="I163" s="193"/>
      <c r="J163" s="192"/>
      <c r="K163" s="192"/>
      <c r="L163" s="193"/>
      <c r="M163" s="195"/>
    </row>
    <row r="164" spans="1:13" ht="14.25" customHeight="1">
      <c r="A164" s="192"/>
      <c r="B164" s="193"/>
      <c r="C164" s="193"/>
      <c r="D164" s="193"/>
      <c r="G164" s="88"/>
      <c r="H164" s="194"/>
      <c r="I164" s="193"/>
      <c r="J164" s="192"/>
      <c r="K164" s="192"/>
      <c r="L164" s="193"/>
      <c r="M164" s="195"/>
    </row>
    <row r="165" spans="1:13" ht="14.25" customHeight="1">
      <c r="A165" s="192"/>
      <c r="B165" s="193"/>
      <c r="C165" s="193"/>
      <c r="D165" s="193"/>
      <c r="G165" s="88"/>
      <c r="H165" s="194"/>
      <c r="I165" s="193"/>
      <c r="J165" s="192"/>
      <c r="K165" s="192"/>
      <c r="L165" s="193"/>
      <c r="M165" s="195"/>
    </row>
    <row r="166" spans="1:13" ht="14.25" customHeight="1">
      <c r="A166" s="192"/>
      <c r="B166" s="193"/>
      <c r="C166" s="193"/>
      <c r="D166" s="193"/>
      <c r="G166" s="88"/>
      <c r="H166" s="194"/>
      <c r="I166" s="193"/>
      <c r="J166" s="192"/>
      <c r="K166" s="192"/>
      <c r="L166" s="193"/>
      <c r="M166" s="195"/>
    </row>
    <row r="167" spans="1:13" ht="14.25" customHeight="1">
      <c r="A167" s="192"/>
      <c r="B167" s="193"/>
      <c r="C167" s="193"/>
      <c r="D167" s="193"/>
      <c r="G167" s="88"/>
      <c r="H167" s="194"/>
      <c r="I167" s="193"/>
      <c r="J167" s="192"/>
      <c r="K167" s="192"/>
      <c r="L167" s="193"/>
      <c r="M167" s="195"/>
    </row>
    <row r="168" spans="1:13" ht="14.25" customHeight="1">
      <c r="A168" s="192"/>
      <c r="B168" s="193"/>
      <c r="C168" s="193"/>
      <c r="D168" s="193"/>
      <c r="G168" s="88"/>
      <c r="H168" s="194"/>
      <c r="I168" s="193"/>
      <c r="J168" s="192"/>
      <c r="K168" s="192"/>
      <c r="L168" s="193"/>
      <c r="M168" s="195"/>
    </row>
    <row r="169" spans="1:13" ht="14.25" customHeight="1">
      <c r="A169" s="192"/>
      <c r="B169" s="193"/>
      <c r="C169" s="193"/>
      <c r="D169" s="193"/>
      <c r="G169" s="88"/>
      <c r="H169" s="194"/>
      <c r="I169" s="193"/>
      <c r="J169" s="192"/>
      <c r="K169" s="192"/>
      <c r="L169" s="193"/>
      <c r="M169" s="195"/>
    </row>
    <row r="170" spans="1:13" ht="14.25" customHeight="1">
      <c r="A170" s="192"/>
      <c r="B170" s="193"/>
      <c r="C170" s="193"/>
      <c r="D170" s="193"/>
      <c r="G170" s="88"/>
      <c r="H170" s="194"/>
      <c r="I170" s="193"/>
      <c r="J170" s="192"/>
      <c r="K170" s="192"/>
      <c r="L170" s="193"/>
      <c r="M170" s="195"/>
    </row>
    <row r="171" spans="1:13" ht="14.25" customHeight="1">
      <c r="A171" s="192"/>
      <c r="B171" s="193"/>
      <c r="C171" s="193"/>
      <c r="D171" s="193"/>
      <c r="G171" s="88"/>
      <c r="H171" s="194"/>
      <c r="I171" s="193"/>
      <c r="J171" s="192"/>
      <c r="K171" s="192"/>
      <c r="L171" s="193"/>
      <c r="M171" s="195"/>
    </row>
    <row r="172" spans="1:13" ht="14.25" customHeight="1">
      <c r="A172" s="192"/>
      <c r="B172" s="193"/>
      <c r="C172" s="193"/>
      <c r="D172" s="193"/>
      <c r="G172" s="88"/>
      <c r="H172" s="194"/>
      <c r="I172" s="193"/>
      <c r="J172" s="192"/>
      <c r="K172" s="192"/>
      <c r="L172" s="193"/>
      <c r="M172" s="195"/>
    </row>
    <row r="173" spans="1:13" ht="14.25" customHeight="1">
      <c r="A173" s="192"/>
      <c r="B173" s="193"/>
      <c r="C173" s="193"/>
      <c r="D173" s="193"/>
      <c r="G173" s="88"/>
      <c r="H173" s="194"/>
      <c r="I173" s="193"/>
      <c r="J173" s="192"/>
      <c r="K173" s="192"/>
      <c r="L173" s="193"/>
      <c r="M173" s="195"/>
    </row>
    <row r="174" spans="1:13" ht="15" customHeight="1">
      <c r="A174" s="192"/>
      <c r="B174" s="193"/>
      <c r="C174" s="193"/>
      <c r="D174" s="193"/>
      <c r="G174" s="88"/>
      <c r="H174" s="194"/>
      <c r="I174" s="193"/>
      <c r="J174" s="192"/>
      <c r="K174" s="192"/>
      <c r="L174" s="193"/>
      <c r="M174" s="195" t="s">
        <v>485</v>
      </c>
    </row>
    <row r="175" spans="1:13" ht="14.25" customHeight="1">
      <c r="A175" s="192"/>
      <c r="B175" s="193"/>
      <c r="C175" s="193"/>
      <c r="D175" s="193"/>
      <c r="G175" s="88"/>
      <c r="H175" s="194"/>
      <c r="I175" s="193"/>
      <c r="J175" s="192"/>
      <c r="K175" s="192"/>
      <c r="L175" s="193"/>
      <c r="M175" s="195"/>
    </row>
    <row r="176" spans="1:13" ht="14.25" customHeight="1">
      <c r="A176" s="192"/>
      <c r="B176" s="193"/>
      <c r="C176" s="193"/>
      <c r="D176" s="193"/>
      <c r="G176" s="88"/>
      <c r="H176" s="194"/>
      <c r="I176" s="193"/>
      <c r="J176" s="192"/>
      <c r="K176" s="192"/>
      <c r="L176" s="193"/>
      <c r="M176" s="195"/>
    </row>
    <row r="177" spans="1:13" ht="15" customHeight="1">
      <c r="A177" s="192"/>
      <c r="B177" s="193"/>
      <c r="C177" s="193"/>
      <c r="D177" s="193"/>
      <c r="G177" s="88"/>
      <c r="H177" s="194"/>
      <c r="I177" s="193"/>
      <c r="J177" s="192"/>
      <c r="K177" s="192"/>
      <c r="L177" s="193"/>
      <c r="M177" s="195" t="s">
        <v>485</v>
      </c>
    </row>
    <row r="178" spans="1:13" ht="14.25" customHeight="1">
      <c r="A178" s="192"/>
      <c r="B178" s="193"/>
      <c r="C178" s="193"/>
      <c r="D178" s="193"/>
      <c r="G178" s="88"/>
      <c r="H178" s="194"/>
      <c r="I178" s="193"/>
      <c r="J178" s="192"/>
      <c r="K178" s="192"/>
      <c r="L178" s="193"/>
      <c r="M178" s="195"/>
    </row>
    <row r="179" spans="1:13" ht="14.25" customHeight="1">
      <c r="A179" s="192"/>
      <c r="B179" s="193"/>
      <c r="C179" s="193"/>
      <c r="D179" s="193"/>
      <c r="G179" s="88"/>
      <c r="H179" s="194"/>
      <c r="I179" s="193"/>
      <c r="J179" s="192"/>
      <c r="K179" s="192"/>
      <c r="L179" s="193"/>
      <c r="M179" s="195"/>
    </row>
    <row r="180" spans="1:13">
      <c r="G180" s="88"/>
      <c r="H180" s="194"/>
    </row>
    <row r="181" spans="1:13">
      <c r="G181" s="88"/>
      <c r="H181" s="194"/>
    </row>
    <row r="182" spans="1:13">
      <c r="G182" s="88"/>
      <c r="H182" s="194"/>
    </row>
    <row r="183" spans="1:13">
      <c r="G183" s="88"/>
      <c r="H183" s="194"/>
    </row>
    <row r="184" spans="1:13">
      <c r="G184" s="88"/>
      <c r="H184" s="194"/>
    </row>
    <row r="185" spans="1:13">
      <c r="G185" s="88"/>
      <c r="H185" s="194"/>
    </row>
    <row r="186" spans="1:13">
      <c r="G186" s="88"/>
      <c r="H186" s="194"/>
    </row>
    <row r="187" spans="1:13">
      <c r="G187" s="88"/>
      <c r="H187" s="194"/>
    </row>
    <row r="188" spans="1:13">
      <c r="G188" s="88"/>
      <c r="H188" s="194"/>
    </row>
    <row r="189" spans="1:13">
      <c r="G189" s="88"/>
      <c r="H189" s="194"/>
    </row>
    <row r="190" spans="1:13">
      <c r="G190" s="88"/>
      <c r="H190" s="194"/>
    </row>
    <row r="191" spans="1:13">
      <c r="G191" s="88"/>
      <c r="H191" s="194"/>
    </row>
    <row r="192" spans="1:13">
      <c r="G192" s="88"/>
      <c r="H192" s="194"/>
    </row>
    <row r="193" spans="7:8">
      <c r="G193" s="88"/>
      <c r="H193" s="194"/>
    </row>
    <row r="194" spans="7:8">
      <c r="G194" s="88"/>
      <c r="H194" s="194"/>
    </row>
    <row r="195" spans="7:8">
      <c r="G195" s="88"/>
      <c r="H195" s="194"/>
    </row>
    <row r="196" spans="7:8">
      <c r="G196" s="88"/>
      <c r="H196" s="194"/>
    </row>
    <row r="197" spans="7:8">
      <c r="G197" s="88"/>
      <c r="H197" s="194"/>
    </row>
    <row r="198" spans="7:8">
      <c r="G198" s="88"/>
      <c r="H198" s="194"/>
    </row>
    <row r="199" spans="7:8">
      <c r="G199" s="88"/>
      <c r="H199" s="194"/>
    </row>
    <row r="200" spans="7:8">
      <c r="G200" s="88"/>
      <c r="H200" s="194"/>
    </row>
    <row r="201" spans="7:8">
      <c r="G201" s="88"/>
      <c r="H201" s="194"/>
    </row>
    <row r="202" spans="7:8">
      <c r="G202" s="88"/>
      <c r="H202" s="194"/>
    </row>
    <row r="203" spans="7:8">
      <c r="G203" s="88"/>
      <c r="H203" s="194"/>
    </row>
    <row r="204" spans="7:8">
      <c r="G204" s="88"/>
      <c r="H204" s="194"/>
    </row>
    <row r="205" spans="7:8">
      <c r="G205" s="88"/>
      <c r="H205" s="194"/>
    </row>
    <row r="206" spans="7:8">
      <c r="G206" s="88"/>
      <c r="H206" s="194"/>
    </row>
    <row r="207" spans="7:8">
      <c r="G207" s="88"/>
      <c r="H207" s="194"/>
    </row>
    <row r="208" spans="7:8">
      <c r="G208" s="88"/>
      <c r="H208" s="194"/>
    </row>
    <row r="209" spans="7:8">
      <c r="G209" s="88"/>
      <c r="H209" s="194"/>
    </row>
    <row r="210" spans="7:8">
      <c r="G210" s="88"/>
      <c r="H210" s="194"/>
    </row>
    <row r="211" spans="7:8">
      <c r="G211" s="88"/>
      <c r="H211" s="194"/>
    </row>
    <row r="212" spans="7:8">
      <c r="G212" s="88"/>
      <c r="H212" s="194"/>
    </row>
    <row r="213" spans="7:8">
      <c r="G213" s="88"/>
      <c r="H213" s="194"/>
    </row>
    <row r="214" spans="7:8">
      <c r="G214" s="88"/>
      <c r="H214" s="194"/>
    </row>
    <row r="215" spans="7:8">
      <c r="G215" s="88"/>
      <c r="H215" s="194"/>
    </row>
    <row r="216" spans="7:8">
      <c r="G216" s="88"/>
      <c r="H216" s="194"/>
    </row>
    <row r="217" spans="7:8">
      <c r="G217" s="88"/>
      <c r="H217" s="194"/>
    </row>
    <row r="218" spans="7:8">
      <c r="G218" s="88"/>
      <c r="H218" s="194"/>
    </row>
    <row r="219" spans="7:8">
      <c r="G219" s="88"/>
      <c r="H219" s="194"/>
    </row>
    <row r="220" spans="7:8">
      <c r="G220" s="88"/>
      <c r="H220" s="194"/>
    </row>
    <row r="221" spans="7:8">
      <c r="G221" s="88"/>
      <c r="H221" s="194"/>
    </row>
    <row r="222" spans="7:8">
      <c r="G222" s="88"/>
      <c r="H222" s="194"/>
    </row>
    <row r="223" spans="7:8">
      <c r="G223" s="88"/>
      <c r="H223" s="194"/>
    </row>
    <row r="224" spans="7:8">
      <c r="G224" s="88"/>
      <c r="H224" s="194"/>
    </row>
    <row r="225" spans="7:8">
      <c r="G225" s="88"/>
      <c r="H225" s="194"/>
    </row>
    <row r="226" spans="7:8">
      <c r="G226" s="88"/>
      <c r="H226" s="194"/>
    </row>
    <row r="227" spans="7:8">
      <c r="G227" s="88"/>
      <c r="H227" s="194"/>
    </row>
    <row r="228" spans="7:8">
      <c r="G228" s="88"/>
      <c r="H228" s="194"/>
    </row>
    <row r="229" spans="7:8">
      <c r="G229" s="88"/>
      <c r="H229" s="194"/>
    </row>
    <row r="230" spans="7:8">
      <c r="G230" s="88"/>
      <c r="H230" s="194"/>
    </row>
    <row r="231" spans="7:8">
      <c r="G231" s="88"/>
      <c r="H231" s="194"/>
    </row>
    <row r="232" spans="7:8">
      <c r="G232" s="88"/>
      <c r="H232" s="194"/>
    </row>
    <row r="233" spans="7:8">
      <c r="G233" s="88"/>
      <c r="H233" s="194"/>
    </row>
    <row r="234" spans="7:8">
      <c r="G234" s="88"/>
      <c r="H234" s="194"/>
    </row>
    <row r="235" spans="7:8">
      <c r="G235" s="88"/>
      <c r="H235" s="194"/>
    </row>
    <row r="236" spans="7:8">
      <c r="G236" s="88"/>
      <c r="H236" s="194"/>
    </row>
    <row r="237" spans="7:8">
      <c r="G237" s="88"/>
      <c r="H237" s="194"/>
    </row>
    <row r="238" spans="7:8">
      <c r="G238" s="88"/>
      <c r="H238" s="194"/>
    </row>
    <row r="239" spans="7:8">
      <c r="G239" s="88"/>
      <c r="H239" s="194"/>
    </row>
    <row r="240" spans="7:8">
      <c r="G240" s="88"/>
      <c r="H240" s="194"/>
    </row>
    <row r="241" spans="7:8">
      <c r="G241" s="88"/>
      <c r="H241" s="194"/>
    </row>
    <row r="242" spans="7:8">
      <c r="G242" s="196"/>
      <c r="H242" s="197"/>
    </row>
  </sheetData>
  <autoFilter ref="A1:N109" xr:uid="{00000000-0009-0000-0000-000002000000}"/>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zoomScaleNormal="100" workbookViewId="0">
      <selection activeCell="A6" sqref="A6"/>
    </sheetView>
  </sheetViews>
  <sheetFormatPr defaultColWidth="9.140625" defaultRowHeight="14.45"/>
  <cols>
    <col min="1" max="1" width="29.5703125" style="87" customWidth="1"/>
    <col min="2" max="2" width="44.28515625" style="92" customWidth="1"/>
    <col min="3" max="16384" width="9.140625" style="87"/>
  </cols>
  <sheetData>
    <row r="1" spans="1:2">
      <c r="A1" s="87" t="s">
        <v>640</v>
      </c>
    </row>
    <row r="2" spans="1:2">
      <c r="A2" s="87" t="s">
        <v>641</v>
      </c>
    </row>
    <row r="3" spans="1:2">
      <c r="A3" s="87" t="s">
        <v>642</v>
      </c>
    </row>
    <row r="4" spans="1:2">
      <c r="A4" s="87" t="s">
        <v>643</v>
      </c>
    </row>
    <row r="5" spans="1:2" ht="43.5" customHeight="1">
      <c r="A5" s="87" t="s">
        <v>644</v>
      </c>
      <c r="B5" s="92" t="s">
        <v>645</v>
      </c>
    </row>
    <row r="7" spans="1:2" ht="28.5" customHeight="1">
      <c r="A7" s="87" t="s">
        <v>646</v>
      </c>
      <c r="B7" s="198" t="s">
        <v>647</v>
      </c>
    </row>
    <row r="8" spans="1:2">
      <c r="A8" s="87" t="s">
        <v>648</v>
      </c>
    </row>
    <row r="9" spans="1:2" ht="28.5" customHeight="1">
      <c r="A9" s="87" t="s">
        <v>649</v>
      </c>
      <c r="B9" s="92" t="s">
        <v>650</v>
      </c>
    </row>
    <row r="10" spans="1:2">
      <c r="A10" s="87" t="s">
        <v>651</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22"/>
  <sheetViews>
    <sheetView topLeftCell="A60" zoomScaleNormal="100" workbookViewId="0">
      <selection activeCell="I46" sqref="I46"/>
    </sheetView>
  </sheetViews>
  <sheetFormatPr defaultColWidth="9.140625" defaultRowHeight="14.45"/>
  <cols>
    <col min="1" max="1" width="9.140625" style="86"/>
    <col min="2" max="2" width="9.140625" style="87"/>
    <col min="3" max="3" width="7.5703125" style="87" customWidth="1"/>
    <col min="4" max="4" width="5.140625" style="87" customWidth="1"/>
    <col min="5" max="5" width="7.5703125" style="88" customWidth="1"/>
    <col min="6" max="6" width="8.7109375" style="88" customWidth="1"/>
    <col min="7" max="7" width="22.28515625" style="89" customWidth="1"/>
    <col min="8" max="8" width="19.140625" style="90" customWidth="1"/>
    <col min="9" max="9" width="73.140625" style="87" customWidth="1"/>
    <col min="10" max="10" width="7.7109375" style="86" customWidth="1"/>
    <col min="11" max="11" width="7.28515625" style="91" customWidth="1"/>
    <col min="12" max="12" width="12.85546875" style="87" customWidth="1"/>
    <col min="13" max="13" width="81.140625" style="87" customWidth="1"/>
    <col min="14" max="16384" width="9.140625" style="87"/>
  </cols>
  <sheetData>
    <row r="1" spans="1:13" s="86" customFormat="1" ht="48" customHeight="1">
      <c r="A1" s="93" t="s">
        <v>0</v>
      </c>
      <c r="B1" s="93" t="s">
        <v>1</v>
      </c>
      <c r="C1" s="93" t="s">
        <v>2</v>
      </c>
      <c r="D1" s="93" t="s">
        <v>3</v>
      </c>
      <c r="E1" s="94" t="s">
        <v>4</v>
      </c>
      <c r="F1" s="94" t="s">
        <v>5</v>
      </c>
      <c r="G1" s="11" t="s">
        <v>6</v>
      </c>
      <c r="H1" s="11" t="s">
        <v>7</v>
      </c>
      <c r="I1" s="93" t="s">
        <v>8</v>
      </c>
      <c r="J1" s="93" t="s">
        <v>9</v>
      </c>
      <c r="K1" s="93" t="s">
        <v>10</v>
      </c>
      <c r="L1" s="93" t="s">
        <v>11</v>
      </c>
      <c r="M1" s="96" t="s">
        <v>12</v>
      </c>
    </row>
    <row r="2" spans="1:13" ht="94.5" customHeight="1">
      <c r="A2" s="2" t="s">
        <v>14</v>
      </c>
      <c r="B2" s="4" t="s">
        <v>15</v>
      </c>
      <c r="C2" s="4" t="s">
        <v>15</v>
      </c>
      <c r="D2" s="4" t="s">
        <v>16</v>
      </c>
      <c r="E2" s="97" t="s">
        <v>15</v>
      </c>
      <c r="F2" s="97" t="s">
        <v>17</v>
      </c>
      <c r="G2" s="17" t="s">
        <v>18</v>
      </c>
      <c r="H2" s="17" t="s">
        <v>19</v>
      </c>
      <c r="I2" s="15" t="s">
        <v>652</v>
      </c>
      <c r="J2" s="2" t="s">
        <v>21</v>
      </c>
      <c r="K2" s="1">
        <v>10</v>
      </c>
      <c r="L2" s="4" t="s">
        <v>22</v>
      </c>
      <c r="M2" s="104" t="s">
        <v>653</v>
      </c>
    </row>
    <row r="3" spans="1:13" ht="85.5" customHeight="1">
      <c r="A3" s="2" t="s">
        <v>25</v>
      </c>
      <c r="B3" s="4" t="s">
        <v>26</v>
      </c>
      <c r="C3" s="4" t="s">
        <v>27</v>
      </c>
      <c r="D3" s="4" t="s">
        <v>16</v>
      </c>
      <c r="E3" s="97" t="s">
        <v>28</v>
      </c>
      <c r="F3" s="97" t="s">
        <v>17</v>
      </c>
      <c r="G3" s="17" t="s">
        <v>18</v>
      </c>
      <c r="H3" s="17" t="s">
        <v>19</v>
      </c>
      <c r="I3" s="4" t="s">
        <v>521</v>
      </c>
      <c r="J3" s="2" t="s">
        <v>21</v>
      </c>
      <c r="K3" s="1">
        <v>10</v>
      </c>
      <c r="L3" s="4" t="s">
        <v>22</v>
      </c>
      <c r="M3" s="104" t="s">
        <v>522</v>
      </c>
    </row>
    <row r="4" spans="1:13" ht="48" customHeight="1">
      <c r="A4" s="100" t="s">
        <v>53</v>
      </c>
      <c r="B4" s="3" t="s">
        <v>28</v>
      </c>
      <c r="C4" s="4" t="s">
        <v>28</v>
      </c>
      <c r="D4" s="4" t="s">
        <v>16</v>
      </c>
      <c r="E4" s="97" t="s">
        <v>55</v>
      </c>
      <c r="F4" s="97" t="s">
        <v>17</v>
      </c>
      <c r="G4" s="17" t="s">
        <v>18</v>
      </c>
      <c r="H4" s="17" t="s">
        <v>33</v>
      </c>
      <c r="I4" s="3" t="s">
        <v>654</v>
      </c>
      <c r="J4" s="100" t="s">
        <v>21</v>
      </c>
      <c r="K4" s="101">
        <v>10</v>
      </c>
      <c r="L4" s="3" t="s">
        <v>22</v>
      </c>
      <c r="M4" s="104" t="s">
        <v>523</v>
      </c>
    </row>
    <row r="5" spans="1:13" ht="105.75" customHeight="1">
      <c r="A5" s="103" t="s">
        <v>524</v>
      </c>
      <c r="B5" s="104" t="s">
        <v>37</v>
      </c>
      <c r="C5" s="104" t="s">
        <v>37</v>
      </c>
      <c r="D5" s="4" t="s">
        <v>16</v>
      </c>
      <c r="E5" s="97" t="s">
        <v>525</v>
      </c>
      <c r="F5" s="97" t="s">
        <v>17</v>
      </c>
      <c r="G5" s="17" t="s">
        <v>18</v>
      </c>
      <c r="H5" s="17" t="s">
        <v>33</v>
      </c>
      <c r="I5" s="25" t="s">
        <v>655</v>
      </c>
      <c r="J5" s="103" t="s">
        <v>40</v>
      </c>
      <c r="K5" s="105">
        <v>3.3</v>
      </c>
      <c r="L5" s="104" t="s">
        <v>22</v>
      </c>
      <c r="M5" s="104" t="s">
        <v>656</v>
      </c>
    </row>
    <row r="6" spans="1:13" ht="42.75" customHeight="1">
      <c r="A6" s="103" t="s">
        <v>526</v>
      </c>
      <c r="B6" s="104" t="s">
        <v>43</v>
      </c>
      <c r="C6" s="104" t="s">
        <v>43</v>
      </c>
      <c r="D6" s="4" t="s">
        <v>16</v>
      </c>
      <c r="E6" s="97" t="s">
        <v>527</v>
      </c>
      <c r="F6" s="97" t="s">
        <v>17</v>
      </c>
      <c r="G6" s="17" t="s">
        <v>18</v>
      </c>
      <c r="H6" s="17" t="s">
        <v>33</v>
      </c>
      <c r="I6" s="25" t="s">
        <v>657</v>
      </c>
      <c r="J6" s="103" t="s">
        <v>40</v>
      </c>
      <c r="K6" s="105">
        <v>3.3</v>
      </c>
      <c r="L6" s="104" t="s">
        <v>22</v>
      </c>
      <c r="M6" s="104" t="s">
        <v>658</v>
      </c>
    </row>
    <row r="7" spans="1:13" ht="40.5" customHeight="1">
      <c r="A7" s="103" t="s">
        <v>529</v>
      </c>
      <c r="B7" s="104" t="s">
        <v>48</v>
      </c>
      <c r="C7" s="104" t="s">
        <v>48</v>
      </c>
      <c r="D7" s="4" t="s">
        <v>16</v>
      </c>
      <c r="E7" s="97" t="s">
        <v>530</v>
      </c>
      <c r="F7" s="97" t="s">
        <v>17</v>
      </c>
      <c r="G7" s="17" t="s">
        <v>18</v>
      </c>
      <c r="H7" s="17" t="s">
        <v>33</v>
      </c>
      <c r="I7" s="25" t="s">
        <v>659</v>
      </c>
      <c r="J7" s="103" t="s">
        <v>40</v>
      </c>
      <c r="K7" s="105">
        <v>3.3</v>
      </c>
      <c r="L7" s="104" t="s">
        <v>22</v>
      </c>
      <c r="M7" s="104" t="s">
        <v>660</v>
      </c>
    </row>
    <row r="8" spans="1:13" ht="54" customHeight="1">
      <c r="A8" s="2" t="s">
        <v>58</v>
      </c>
      <c r="B8" s="4" t="s">
        <v>27</v>
      </c>
      <c r="C8" s="4" t="s">
        <v>54</v>
      </c>
      <c r="D8" s="4" t="s">
        <v>16</v>
      </c>
      <c r="E8" s="97" t="s">
        <v>59</v>
      </c>
      <c r="F8" s="97" t="s">
        <v>17</v>
      </c>
      <c r="G8" s="17" t="s">
        <v>18</v>
      </c>
      <c r="H8" s="17" t="s">
        <v>33</v>
      </c>
      <c r="I8" s="4" t="s">
        <v>661</v>
      </c>
      <c r="J8" s="2" t="s">
        <v>21</v>
      </c>
      <c r="K8" s="1">
        <v>10</v>
      </c>
      <c r="L8" s="4" t="s">
        <v>22</v>
      </c>
      <c r="M8" s="104" t="s">
        <v>662</v>
      </c>
    </row>
    <row r="9" spans="1:13" ht="391.5" customHeight="1">
      <c r="A9" s="100" t="s">
        <v>74</v>
      </c>
      <c r="B9" s="3" t="s">
        <v>100</v>
      </c>
      <c r="C9" s="3" t="s">
        <v>59</v>
      </c>
      <c r="D9" s="4" t="s">
        <v>16</v>
      </c>
      <c r="E9" s="97" t="s">
        <v>27</v>
      </c>
      <c r="F9" s="97" t="s">
        <v>17</v>
      </c>
      <c r="G9" s="17" t="s">
        <v>18</v>
      </c>
      <c r="H9" s="17" t="s">
        <v>663</v>
      </c>
      <c r="I9" s="199" t="s">
        <v>664</v>
      </c>
      <c r="J9" s="100" t="s">
        <v>21</v>
      </c>
      <c r="K9" s="101">
        <v>10</v>
      </c>
      <c r="L9" s="3" t="s">
        <v>22</v>
      </c>
      <c r="M9" s="104" t="s">
        <v>665</v>
      </c>
    </row>
    <row r="10" spans="1:13" ht="25.5" customHeight="1">
      <c r="A10" s="103" t="s">
        <v>666</v>
      </c>
      <c r="B10" s="104" t="s">
        <v>667</v>
      </c>
      <c r="C10" s="104" t="s">
        <v>63</v>
      </c>
      <c r="D10" s="4" t="s">
        <v>16</v>
      </c>
      <c r="E10" s="97" t="s">
        <v>668</v>
      </c>
      <c r="F10" s="97" t="s">
        <v>17</v>
      </c>
      <c r="G10" s="17" t="s">
        <v>18</v>
      </c>
      <c r="H10" s="17" t="s">
        <v>663</v>
      </c>
      <c r="I10" s="104" t="s">
        <v>669</v>
      </c>
      <c r="J10" s="103" t="s">
        <v>40</v>
      </c>
      <c r="K10" s="105">
        <v>3.3</v>
      </c>
      <c r="L10" s="3" t="s">
        <v>22</v>
      </c>
      <c r="M10" s="104" t="s">
        <v>670</v>
      </c>
    </row>
    <row r="11" spans="1:13" ht="25.5" customHeight="1">
      <c r="A11" s="103" t="s">
        <v>671</v>
      </c>
      <c r="B11" s="104" t="s">
        <v>672</v>
      </c>
      <c r="C11" s="104" t="s">
        <v>67</v>
      </c>
      <c r="D11" s="4" t="s">
        <v>16</v>
      </c>
      <c r="E11" s="97" t="s">
        <v>673</v>
      </c>
      <c r="F11" s="97" t="s">
        <v>17</v>
      </c>
      <c r="G11" s="17" t="s">
        <v>18</v>
      </c>
      <c r="H11" s="17" t="s">
        <v>663</v>
      </c>
      <c r="I11" s="104" t="s">
        <v>674</v>
      </c>
      <c r="J11" s="103" t="s">
        <v>40</v>
      </c>
      <c r="K11" s="105">
        <v>3.3</v>
      </c>
      <c r="L11" s="3" t="s">
        <v>22</v>
      </c>
      <c r="M11" s="104" t="s">
        <v>670</v>
      </c>
    </row>
    <row r="12" spans="1:13" ht="37.5" customHeight="1">
      <c r="A12" s="103" t="s">
        <v>675</v>
      </c>
      <c r="B12" s="104" t="s">
        <v>676</v>
      </c>
      <c r="C12" s="104" t="s">
        <v>71</v>
      </c>
      <c r="D12" s="4" t="s">
        <v>16</v>
      </c>
      <c r="E12" s="97" t="s">
        <v>677</v>
      </c>
      <c r="F12" s="97" t="s">
        <v>17</v>
      </c>
      <c r="G12" s="17" t="s">
        <v>18</v>
      </c>
      <c r="H12" s="17" t="s">
        <v>663</v>
      </c>
      <c r="I12" s="104" t="s">
        <v>678</v>
      </c>
      <c r="J12" s="103" t="s">
        <v>40</v>
      </c>
      <c r="K12" s="105">
        <v>3.3</v>
      </c>
      <c r="L12" s="3" t="s">
        <v>22</v>
      </c>
      <c r="M12" s="104" t="s">
        <v>679</v>
      </c>
    </row>
    <row r="13" spans="1:13" ht="87" customHeight="1">
      <c r="A13" s="2" t="s">
        <v>78</v>
      </c>
      <c r="B13" s="4" t="s">
        <v>59</v>
      </c>
      <c r="C13" s="4" t="s">
        <v>55</v>
      </c>
      <c r="D13" s="4" t="s">
        <v>16</v>
      </c>
      <c r="E13" s="97" t="s">
        <v>80</v>
      </c>
      <c r="F13" s="97" t="s">
        <v>17</v>
      </c>
      <c r="G13" s="17" t="s">
        <v>18</v>
      </c>
      <c r="H13" s="17" t="s">
        <v>541</v>
      </c>
      <c r="I13" s="4" t="s">
        <v>680</v>
      </c>
      <c r="J13" s="2" t="s">
        <v>21</v>
      </c>
      <c r="K13" s="1">
        <v>10</v>
      </c>
      <c r="L13" s="4" t="s">
        <v>22</v>
      </c>
      <c r="M13" s="104" t="s">
        <v>681</v>
      </c>
    </row>
    <row r="14" spans="1:13" s="165" customFormat="1" ht="37.5" customHeight="1">
      <c r="A14" s="200" t="s">
        <v>31</v>
      </c>
      <c r="B14" s="201" t="s">
        <v>112</v>
      </c>
      <c r="C14" s="201" t="s">
        <v>80</v>
      </c>
      <c r="D14" s="201" t="s">
        <v>16</v>
      </c>
      <c r="E14" s="202" t="s">
        <v>32</v>
      </c>
      <c r="F14" s="202" t="s">
        <v>17</v>
      </c>
      <c r="G14" s="158" t="s">
        <v>18</v>
      </c>
      <c r="H14" s="158" t="s">
        <v>663</v>
      </c>
      <c r="I14" s="203" t="s">
        <v>682</v>
      </c>
      <c r="J14" s="200" t="s">
        <v>21</v>
      </c>
      <c r="K14" s="204">
        <v>10</v>
      </c>
      <c r="L14" s="201" t="s">
        <v>22</v>
      </c>
      <c r="M14" s="205" t="s">
        <v>683</v>
      </c>
    </row>
    <row r="15" spans="1:13" ht="42" customHeight="1">
      <c r="A15" s="2" t="s">
        <v>251</v>
      </c>
      <c r="B15" s="4" t="s">
        <v>79</v>
      </c>
      <c r="C15" s="4" t="s">
        <v>26</v>
      </c>
      <c r="D15" s="4" t="s">
        <v>16</v>
      </c>
      <c r="E15" s="97" t="s">
        <v>252</v>
      </c>
      <c r="F15" s="97" t="s">
        <v>17</v>
      </c>
      <c r="G15" s="17" t="s">
        <v>18</v>
      </c>
      <c r="H15" s="17" t="s">
        <v>81</v>
      </c>
      <c r="I15" s="3" t="s">
        <v>82</v>
      </c>
      <c r="J15" s="2" t="s">
        <v>21</v>
      </c>
      <c r="K15" s="1">
        <v>10</v>
      </c>
      <c r="L15" s="4" t="s">
        <v>97</v>
      </c>
      <c r="M15" s="104" t="s">
        <v>54</v>
      </c>
    </row>
    <row r="16" spans="1:13" ht="81" customHeight="1">
      <c r="A16" s="103" t="s">
        <v>257</v>
      </c>
      <c r="B16" s="104" t="s">
        <v>86</v>
      </c>
      <c r="C16" s="104" t="s">
        <v>87</v>
      </c>
      <c r="D16" s="4" t="s">
        <v>16</v>
      </c>
      <c r="E16" s="97" t="s">
        <v>258</v>
      </c>
      <c r="F16" s="97" t="s">
        <v>17</v>
      </c>
      <c r="G16" s="17" t="s">
        <v>18</v>
      </c>
      <c r="H16" s="17" t="s">
        <v>81</v>
      </c>
      <c r="I16" s="104" t="s">
        <v>684</v>
      </c>
      <c r="J16" s="103" t="s">
        <v>40</v>
      </c>
      <c r="K16" s="105">
        <v>5</v>
      </c>
      <c r="L16" s="3" t="s">
        <v>97</v>
      </c>
      <c r="M16" s="104" t="s">
        <v>685</v>
      </c>
    </row>
    <row r="17" spans="1:14" ht="100.5" customHeight="1">
      <c r="A17" s="103" t="s">
        <v>274</v>
      </c>
      <c r="B17" s="104" t="s">
        <v>93</v>
      </c>
      <c r="C17" s="104" t="s">
        <v>94</v>
      </c>
      <c r="D17" s="4" t="s">
        <v>16</v>
      </c>
      <c r="E17" s="97" t="s">
        <v>275</v>
      </c>
      <c r="F17" s="97" t="s">
        <v>17</v>
      </c>
      <c r="G17" s="17" t="s">
        <v>18</v>
      </c>
      <c r="H17" s="17" t="s">
        <v>81</v>
      </c>
      <c r="I17" s="104" t="s">
        <v>545</v>
      </c>
      <c r="J17" s="103" t="s">
        <v>40</v>
      </c>
      <c r="K17" s="105">
        <v>5</v>
      </c>
      <c r="L17" s="3" t="s">
        <v>97</v>
      </c>
      <c r="M17" s="104" t="s">
        <v>686</v>
      </c>
    </row>
    <row r="18" spans="1:14" ht="121.5" customHeight="1">
      <c r="A18" s="103" t="s">
        <v>294</v>
      </c>
      <c r="B18" s="127" t="s">
        <v>485</v>
      </c>
      <c r="C18" s="127" t="s">
        <v>485</v>
      </c>
      <c r="D18" s="206" t="s">
        <v>16</v>
      </c>
      <c r="E18" s="207" t="s">
        <v>295</v>
      </c>
      <c r="F18" s="207" t="s">
        <v>17</v>
      </c>
      <c r="G18" s="17" t="s">
        <v>18</v>
      </c>
      <c r="H18" s="17" t="s">
        <v>81</v>
      </c>
      <c r="I18" s="15" t="s">
        <v>101</v>
      </c>
      <c r="J18" s="103" t="s">
        <v>21</v>
      </c>
      <c r="K18" s="105">
        <v>10</v>
      </c>
      <c r="L18" s="206" t="s">
        <v>97</v>
      </c>
      <c r="M18" s="25" t="s">
        <v>687</v>
      </c>
    </row>
    <row r="19" spans="1:14" ht="88.5" customHeight="1">
      <c r="A19" s="2" t="s">
        <v>99</v>
      </c>
      <c r="B19" s="4" t="s">
        <v>55</v>
      </c>
      <c r="C19" s="4" t="s">
        <v>32</v>
      </c>
      <c r="D19" s="4" t="s">
        <v>16</v>
      </c>
      <c r="E19" s="97" t="s">
        <v>100</v>
      </c>
      <c r="F19" s="97" t="s">
        <v>17</v>
      </c>
      <c r="G19" s="17" t="s">
        <v>548</v>
      </c>
      <c r="H19" s="17" t="s">
        <v>106</v>
      </c>
      <c r="I19" s="4" t="s">
        <v>688</v>
      </c>
      <c r="J19" s="2" t="s">
        <v>21</v>
      </c>
      <c r="K19" s="1">
        <v>10</v>
      </c>
      <c r="L19" s="4" t="s">
        <v>22</v>
      </c>
      <c r="M19" s="104" t="s">
        <v>689</v>
      </c>
    </row>
    <row r="20" spans="1:14" ht="63" customHeight="1">
      <c r="A20" s="130" t="s">
        <v>104</v>
      </c>
      <c r="B20" s="4" t="s">
        <v>110</v>
      </c>
      <c r="C20" s="4" t="s">
        <v>111</v>
      </c>
      <c r="D20" s="4" t="s">
        <v>16</v>
      </c>
      <c r="E20" s="97" t="s">
        <v>26</v>
      </c>
      <c r="F20" s="97" t="s">
        <v>17</v>
      </c>
      <c r="G20" s="17" t="s">
        <v>548</v>
      </c>
      <c r="H20" s="17" t="s">
        <v>113</v>
      </c>
      <c r="I20" s="208" t="s">
        <v>690</v>
      </c>
      <c r="J20" s="130" t="s">
        <v>21</v>
      </c>
      <c r="K20" s="132">
        <v>10</v>
      </c>
      <c r="L20" s="4" t="s">
        <v>22</v>
      </c>
      <c r="M20" s="104" t="s">
        <v>691</v>
      </c>
      <c r="N20" s="87" t="s">
        <v>692</v>
      </c>
    </row>
    <row r="21" spans="1:14" ht="67.5" customHeight="1">
      <c r="A21" s="130" t="s">
        <v>109</v>
      </c>
      <c r="B21" s="4" t="s">
        <v>117</v>
      </c>
      <c r="C21" s="4" t="s">
        <v>118</v>
      </c>
      <c r="D21" s="4" t="s">
        <v>16</v>
      </c>
      <c r="E21" s="97" t="s">
        <v>112</v>
      </c>
      <c r="F21" s="97" t="s">
        <v>17</v>
      </c>
      <c r="G21" s="17" t="s">
        <v>548</v>
      </c>
      <c r="H21" s="17" t="s">
        <v>113</v>
      </c>
      <c r="I21" s="208" t="s">
        <v>693</v>
      </c>
      <c r="J21" s="130" t="s">
        <v>21</v>
      </c>
      <c r="K21" s="132">
        <v>10</v>
      </c>
      <c r="L21" s="4" t="s">
        <v>22</v>
      </c>
      <c r="M21" s="104" t="s">
        <v>694</v>
      </c>
    </row>
    <row r="22" spans="1:14" ht="81" customHeight="1">
      <c r="A22" s="2" t="s">
        <v>167</v>
      </c>
      <c r="B22" s="4" t="s">
        <v>187</v>
      </c>
      <c r="C22" s="4" t="s">
        <v>100</v>
      </c>
      <c r="D22" s="4" t="s">
        <v>16</v>
      </c>
      <c r="E22" s="97" t="s">
        <v>168</v>
      </c>
      <c r="F22" s="97" t="s">
        <v>17</v>
      </c>
      <c r="G22" s="17" t="s">
        <v>548</v>
      </c>
      <c r="H22" s="17" t="s">
        <v>133</v>
      </c>
      <c r="I22" s="4" t="s">
        <v>695</v>
      </c>
      <c r="J22" s="2" t="s">
        <v>21</v>
      </c>
      <c r="K22" s="1">
        <v>10</v>
      </c>
      <c r="L22" s="4" t="s">
        <v>22</v>
      </c>
      <c r="M22" s="104" t="s">
        <v>696</v>
      </c>
    </row>
    <row r="23" spans="1:14" ht="126" customHeight="1">
      <c r="A23" s="135" t="s">
        <v>186</v>
      </c>
      <c r="B23" s="136"/>
      <c r="C23" s="136"/>
      <c r="D23" s="136" t="s">
        <v>16</v>
      </c>
      <c r="E23" s="89" t="s">
        <v>187</v>
      </c>
      <c r="F23" s="97" t="s">
        <v>17</v>
      </c>
      <c r="G23" s="17" t="s">
        <v>548</v>
      </c>
      <c r="H23" s="17" t="s">
        <v>133</v>
      </c>
      <c r="I23" s="137" t="s">
        <v>697</v>
      </c>
      <c r="J23" s="130" t="s">
        <v>21</v>
      </c>
      <c r="K23" s="132">
        <v>10</v>
      </c>
      <c r="L23" s="4" t="s">
        <v>22</v>
      </c>
      <c r="M23" s="137" t="s">
        <v>698</v>
      </c>
    </row>
    <row r="24" spans="1:14" ht="54" customHeight="1">
      <c r="A24" s="2" t="s">
        <v>116</v>
      </c>
      <c r="B24" s="4" t="s">
        <v>54</v>
      </c>
      <c r="C24" s="4" t="s">
        <v>119</v>
      </c>
      <c r="D24" s="4" t="s">
        <v>16</v>
      </c>
      <c r="E24" s="97" t="s">
        <v>119</v>
      </c>
      <c r="F24" s="97" t="s">
        <v>17</v>
      </c>
      <c r="G24" s="17" t="s">
        <v>555</v>
      </c>
      <c r="H24" s="17" t="s">
        <v>139</v>
      </c>
      <c r="I24" s="3" t="s">
        <v>556</v>
      </c>
      <c r="J24" s="4" t="s">
        <v>21</v>
      </c>
      <c r="K24" s="1">
        <v>10</v>
      </c>
      <c r="L24" s="4" t="s">
        <v>141</v>
      </c>
      <c r="M24" s="104" t="s">
        <v>699</v>
      </c>
    </row>
    <row r="25" spans="1:14" ht="104.25" customHeight="1">
      <c r="A25" s="130" t="s">
        <v>121</v>
      </c>
      <c r="B25" s="4"/>
      <c r="C25" s="4"/>
      <c r="D25" s="4"/>
      <c r="E25" s="97" t="s">
        <v>123</v>
      </c>
      <c r="F25" s="97" t="s">
        <v>17</v>
      </c>
      <c r="G25" s="17" t="s">
        <v>555</v>
      </c>
      <c r="H25" s="17" t="s">
        <v>139</v>
      </c>
      <c r="I25" s="4" t="s">
        <v>700</v>
      </c>
      <c r="J25" s="4" t="s">
        <v>40</v>
      </c>
      <c r="K25" s="1">
        <v>1.67</v>
      </c>
      <c r="L25" s="4"/>
      <c r="M25" s="205" t="s">
        <v>701</v>
      </c>
    </row>
    <row r="26" spans="1:14" ht="64.5" customHeight="1">
      <c r="A26" s="130" t="s">
        <v>126</v>
      </c>
      <c r="B26" s="4"/>
      <c r="C26" s="4"/>
      <c r="D26" s="4"/>
      <c r="E26" s="97" t="s">
        <v>128</v>
      </c>
      <c r="F26" s="97" t="s">
        <v>17</v>
      </c>
      <c r="G26" s="17" t="s">
        <v>555</v>
      </c>
      <c r="H26" s="17" t="s">
        <v>139</v>
      </c>
      <c r="I26" s="4" t="s">
        <v>702</v>
      </c>
      <c r="J26" s="4" t="s">
        <v>40</v>
      </c>
      <c r="K26" s="1">
        <v>1.67</v>
      </c>
      <c r="L26" s="4"/>
      <c r="M26" s="205" t="s">
        <v>703</v>
      </c>
    </row>
    <row r="27" spans="1:14" ht="72" customHeight="1">
      <c r="A27" s="130" t="s">
        <v>558</v>
      </c>
      <c r="B27" s="4"/>
      <c r="C27" s="4"/>
      <c r="D27" s="4"/>
      <c r="E27" s="97" t="s">
        <v>559</v>
      </c>
      <c r="F27" s="97" t="s">
        <v>17</v>
      </c>
      <c r="G27" s="17" t="s">
        <v>555</v>
      </c>
      <c r="H27" s="17" t="s">
        <v>139</v>
      </c>
      <c r="I27" s="4" t="s">
        <v>153</v>
      </c>
      <c r="J27" s="4" t="s">
        <v>40</v>
      </c>
      <c r="K27" s="1">
        <v>1.67</v>
      </c>
      <c r="L27" s="4"/>
      <c r="M27" s="205" t="s">
        <v>704</v>
      </c>
    </row>
    <row r="28" spans="1:14" ht="65.25" customHeight="1">
      <c r="A28" s="130" t="s">
        <v>560</v>
      </c>
      <c r="B28" s="4"/>
      <c r="C28" s="4"/>
      <c r="D28" s="4"/>
      <c r="E28" s="97" t="s">
        <v>561</v>
      </c>
      <c r="F28" s="97" t="s">
        <v>17</v>
      </c>
      <c r="G28" s="17" t="s">
        <v>555</v>
      </c>
      <c r="H28" s="17" t="s">
        <v>139</v>
      </c>
      <c r="I28" s="4" t="s">
        <v>705</v>
      </c>
      <c r="J28" s="4" t="s">
        <v>40</v>
      </c>
      <c r="K28" s="1">
        <v>1.67</v>
      </c>
      <c r="L28" s="4"/>
      <c r="M28" s="205" t="s">
        <v>706</v>
      </c>
    </row>
    <row r="29" spans="1:14" ht="74.25" customHeight="1">
      <c r="A29" s="130" t="s">
        <v>562</v>
      </c>
      <c r="B29" s="4"/>
      <c r="C29" s="4"/>
      <c r="D29" s="4"/>
      <c r="E29" s="97" t="s">
        <v>563</v>
      </c>
      <c r="F29" s="97" t="s">
        <v>17</v>
      </c>
      <c r="G29" s="17" t="s">
        <v>555</v>
      </c>
      <c r="H29" s="17" t="s">
        <v>139</v>
      </c>
      <c r="I29" s="4" t="s">
        <v>161</v>
      </c>
      <c r="J29" s="4" t="s">
        <v>40</v>
      </c>
      <c r="K29" s="1">
        <v>1.67</v>
      </c>
      <c r="L29" s="4"/>
      <c r="M29" s="205" t="s">
        <v>707</v>
      </c>
    </row>
    <row r="30" spans="1:14" ht="63.75" customHeight="1">
      <c r="A30" s="130" t="s">
        <v>564</v>
      </c>
      <c r="B30" s="4"/>
      <c r="C30" s="4"/>
      <c r="D30" s="4"/>
      <c r="E30" s="97" t="s">
        <v>565</v>
      </c>
      <c r="F30" s="97" t="s">
        <v>17</v>
      </c>
      <c r="G30" s="17" t="s">
        <v>555</v>
      </c>
      <c r="H30" s="17" t="s">
        <v>139</v>
      </c>
      <c r="I30" s="4" t="s">
        <v>165</v>
      </c>
      <c r="J30" s="4" t="s">
        <v>40</v>
      </c>
      <c r="K30" s="1">
        <v>1.67</v>
      </c>
      <c r="L30" s="4"/>
      <c r="M30" s="205" t="s">
        <v>708</v>
      </c>
    </row>
    <row r="31" spans="1:14" ht="47.25" customHeight="1">
      <c r="A31" s="100" t="s">
        <v>223</v>
      </c>
      <c r="B31" s="3" t="s">
        <v>32</v>
      </c>
      <c r="C31" s="3" t="s">
        <v>54</v>
      </c>
      <c r="D31" s="4" t="s">
        <v>16</v>
      </c>
      <c r="E31" s="97" t="s">
        <v>226</v>
      </c>
      <c r="F31" s="97" t="s">
        <v>97</v>
      </c>
      <c r="G31" s="17" t="s">
        <v>567</v>
      </c>
      <c r="H31" s="17" t="s">
        <v>568</v>
      </c>
      <c r="I31" s="203" t="s">
        <v>709</v>
      </c>
      <c r="J31" s="100" t="s">
        <v>21</v>
      </c>
      <c r="K31" s="101">
        <v>10</v>
      </c>
      <c r="L31" s="3" t="s">
        <v>97</v>
      </c>
      <c r="M31" s="104" t="s">
        <v>172</v>
      </c>
    </row>
    <row r="32" spans="1:14" ht="50.25" customHeight="1">
      <c r="A32" s="103" t="s">
        <v>229</v>
      </c>
      <c r="B32" s="104" t="s">
        <v>38</v>
      </c>
      <c r="C32" s="3" t="s">
        <v>54</v>
      </c>
      <c r="D32" s="4" t="s">
        <v>16</v>
      </c>
      <c r="E32" s="97" t="s">
        <v>230</v>
      </c>
      <c r="F32" s="97" t="s">
        <v>97</v>
      </c>
      <c r="G32" s="17" t="s">
        <v>567</v>
      </c>
      <c r="H32" s="17" t="s">
        <v>568</v>
      </c>
      <c r="I32" s="205" t="s">
        <v>710</v>
      </c>
      <c r="J32" s="103" t="s">
        <v>40</v>
      </c>
      <c r="K32" s="105">
        <v>3.3</v>
      </c>
      <c r="L32" s="104" t="s">
        <v>97</v>
      </c>
      <c r="M32" s="104" t="s">
        <v>711</v>
      </c>
    </row>
    <row r="33" spans="1:13" ht="50.25" customHeight="1">
      <c r="A33" s="103" t="s">
        <v>233</v>
      </c>
      <c r="B33" s="104" t="s">
        <v>44</v>
      </c>
      <c r="C33" s="3" t="s">
        <v>54</v>
      </c>
      <c r="D33" s="4" t="s">
        <v>16</v>
      </c>
      <c r="E33" s="97" t="s">
        <v>234</v>
      </c>
      <c r="F33" s="97" t="s">
        <v>97</v>
      </c>
      <c r="G33" s="17" t="s">
        <v>567</v>
      </c>
      <c r="H33" s="17" t="s">
        <v>568</v>
      </c>
      <c r="I33" s="205" t="s">
        <v>712</v>
      </c>
      <c r="J33" s="103" t="s">
        <v>40</v>
      </c>
      <c r="K33" s="105">
        <v>3.3</v>
      </c>
      <c r="L33" s="104" t="s">
        <v>97</v>
      </c>
      <c r="M33" s="205" t="s">
        <v>713</v>
      </c>
    </row>
    <row r="34" spans="1:13" ht="63" customHeight="1">
      <c r="A34" s="103" t="s">
        <v>237</v>
      </c>
      <c r="B34" s="104" t="s">
        <v>49</v>
      </c>
      <c r="C34" s="3" t="s">
        <v>54</v>
      </c>
      <c r="D34" s="4" t="s">
        <v>16</v>
      </c>
      <c r="E34" s="97" t="s">
        <v>238</v>
      </c>
      <c r="F34" s="97" t="s">
        <v>97</v>
      </c>
      <c r="G34" s="17" t="s">
        <v>567</v>
      </c>
      <c r="H34" s="17" t="s">
        <v>568</v>
      </c>
      <c r="I34" s="205" t="s">
        <v>714</v>
      </c>
      <c r="J34" s="103" t="s">
        <v>40</v>
      </c>
      <c r="K34" s="105">
        <v>3.3</v>
      </c>
      <c r="L34" s="104" t="s">
        <v>97</v>
      </c>
      <c r="M34" s="104" t="s">
        <v>715</v>
      </c>
    </row>
    <row r="35" spans="1:13" ht="138.75" customHeight="1">
      <c r="A35" s="135" t="s">
        <v>241</v>
      </c>
      <c r="B35" s="136"/>
      <c r="C35" s="136"/>
      <c r="D35" s="136" t="s">
        <v>16</v>
      </c>
      <c r="E35" s="89" t="s">
        <v>243</v>
      </c>
      <c r="F35" s="97" t="s">
        <v>97</v>
      </c>
      <c r="G35" s="17" t="s">
        <v>567</v>
      </c>
      <c r="H35" s="17" t="s">
        <v>570</v>
      </c>
      <c r="I35" s="201" t="s">
        <v>716</v>
      </c>
      <c r="J35" s="160" t="s">
        <v>21</v>
      </c>
      <c r="K35" s="161">
        <v>10</v>
      </c>
      <c r="L35" s="201" t="s">
        <v>97</v>
      </c>
      <c r="M35" s="163" t="s">
        <v>717</v>
      </c>
    </row>
    <row r="36" spans="1:13" ht="25.5" customHeight="1">
      <c r="A36" s="100" t="s">
        <v>246</v>
      </c>
      <c r="B36" s="3" t="s">
        <v>80</v>
      </c>
      <c r="C36" s="3" t="s">
        <v>54</v>
      </c>
      <c r="D36" s="4" t="s">
        <v>16</v>
      </c>
      <c r="E36" s="97" t="s">
        <v>247</v>
      </c>
      <c r="F36" s="97" t="s">
        <v>97</v>
      </c>
      <c r="G36" s="17" t="s">
        <v>567</v>
      </c>
      <c r="H36" s="17" t="s">
        <v>192</v>
      </c>
      <c r="I36" s="203" t="s">
        <v>718</v>
      </c>
      <c r="J36" s="93" t="s">
        <v>21</v>
      </c>
      <c r="K36" s="209">
        <v>10</v>
      </c>
      <c r="L36" s="203" t="s">
        <v>97</v>
      </c>
      <c r="M36" s="205" t="s">
        <v>719</v>
      </c>
    </row>
    <row r="37" spans="1:13" ht="63" customHeight="1">
      <c r="A37" s="103" t="s">
        <v>572</v>
      </c>
      <c r="B37" s="104" t="s">
        <v>88</v>
      </c>
      <c r="C37" s="3" t="s">
        <v>54</v>
      </c>
      <c r="D37" s="4" t="s">
        <v>16</v>
      </c>
      <c r="E37" s="97" t="s">
        <v>573</v>
      </c>
      <c r="F37" s="97" t="s">
        <v>97</v>
      </c>
      <c r="G37" s="17" t="s">
        <v>567</v>
      </c>
      <c r="H37" s="17" t="s">
        <v>192</v>
      </c>
      <c r="I37" s="205" t="s">
        <v>720</v>
      </c>
      <c r="J37" s="210" t="s">
        <v>40</v>
      </c>
      <c r="K37" s="211">
        <v>5</v>
      </c>
      <c r="L37" s="201" t="s">
        <v>97</v>
      </c>
      <c r="M37" s="205" t="s">
        <v>721</v>
      </c>
    </row>
    <row r="38" spans="1:13" ht="50.25" customHeight="1">
      <c r="A38" s="103" t="s">
        <v>575</v>
      </c>
      <c r="B38" s="104" t="s">
        <v>95</v>
      </c>
      <c r="C38" s="3" t="s">
        <v>54</v>
      </c>
      <c r="D38" s="4" t="s">
        <v>16</v>
      </c>
      <c r="E38" s="97" t="s">
        <v>576</v>
      </c>
      <c r="F38" s="97" t="s">
        <v>97</v>
      </c>
      <c r="G38" s="17" t="s">
        <v>567</v>
      </c>
      <c r="H38" s="17" t="s">
        <v>192</v>
      </c>
      <c r="I38" s="205" t="s">
        <v>577</v>
      </c>
      <c r="J38" s="210" t="s">
        <v>40</v>
      </c>
      <c r="K38" s="211">
        <v>5</v>
      </c>
      <c r="L38" s="201" t="s">
        <v>97</v>
      </c>
      <c r="M38" s="205" t="s">
        <v>722</v>
      </c>
    </row>
    <row r="39" spans="1:13" ht="63" customHeight="1">
      <c r="A39" s="2" t="s">
        <v>324</v>
      </c>
      <c r="B39" s="4" t="s">
        <v>132</v>
      </c>
      <c r="C39" s="4" t="s">
        <v>54</v>
      </c>
      <c r="D39" s="4" t="s">
        <v>16</v>
      </c>
      <c r="E39" s="97" t="s">
        <v>325</v>
      </c>
      <c r="F39" s="97" t="s">
        <v>97</v>
      </c>
      <c r="G39" s="17" t="s">
        <v>567</v>
      </c>
      <c r="H39" s="17" t="s">
        <v>203</v>
      </c>
      <c r="I39" s="201" t="s">
        <v>579</v>
      </c>
      <c r="J39" s="200" t="s">
        <v>21</v>
      </c>
      <c r="K39" s="204">
        <v>10</v>
      </c>
      <c r="L39" s="201" t="s">
        <v>97</v>
      </c>
      <c r="M39" s="205" t="s">
        <v>580</v>
      </c>
    </row>
    <row r="40" spans="1:13" ht="126" customHeight="1">
      <c r="A40" s="130" t="s">
        <v>407</v>
      </c>
      <c r="B40" s="4" t="s">
        <v>207</v>
      </c>
      <c r="C40" s="4" t="s">
        <v>54</v>
      </c>
      <c r="D40" s="4" t="s">
        <v>16</v>
      </c>
      <c r="E40" s="97" t="s">
        <v>408</v>
      </c>
      <c r="F40" s="141" t="s">
        <v>97</v>
      </c>
      <c r="G40" s="17" t="s">
        <v>567</v>
      </c>
      <c r="H40" s="17" t="s">
        <v>581</v>
      </c>
      <c r="I40" s="201" t="s">
        <v>582</v>
      </c>
      <c r="J40" s="160" t="s">
        <v>21</v>
      </c>
      <c r="K40" s="161">
        <v>10</v>
      </c>
      <c r="L40" s="201" t="s">
        <v>97</v>
      </c>
      <c r="M40" s="205" t="s">
        <v>723</v>
      </c>
    </row>
    <row r="41" spans="1:13" ht="264.75" customHeight="1">
      <c r="A41" s="130" t="s">
        <v>434</v>
      </c>
      <c r="B41" s="4" t="s">
        <v>212</v>
      </c>
      <c r="C41" s="4" t="s">
        <v>54</v>
      </c>
      <c r="D41" s="4" t="s">
        <v>16</v>
      </c>
      <c r="E41" s="97" t="s">
        <v>110</v>
      </c>
      <c r="F41" s="141" t="s">
        <v>97</v>
      </c>
      <c r="G41" s="17" t="s">
        <v>567</v>
      </c>
      <c r="H41" s="17" t="s">
        <v>581</v>
      </c>
      <c r="I41" s="4" t="s">
        <v>584</v>
      </c>
      <c r="J41" s="130" t="s">
        <v>21</v>
      </c>
      <c r="K41" s="132">
        <v>10</v>
      </c>
      <c r="L41" s="4" t="s">
        <v>97</v>
      </c>
      <c r="M41" s="104" t="s">
        <v>724</v>
      </c>
    </row>
    <row r="42" spans="1:13" ht="53.25" customHeight="1">
      <c r="A42" s="130" t="s">
        <v>446</v>
      </c>
      <c r="B42" s="4" t="s">
        <v>224</v>
      </c>
      <c r="C42" s="4" t="s">
        <v>225</v>
      </c>
      <c r="D42" s="4" t="s">
        <v>16</v>
      </c>
      <c r="E42" s="97" t="s">
        <v>117</v>
      </c>
      <c r="F42" s="141" t="s">
        <v>97</v>
      </c>
      <c r="G42" s="17" t="s">
        <v>567</v>
      </c>
      <c r="H42" s="17" t="s">
        <v>581</v>
      </c>
      <c r="I42" s="4" t="s">
        <v>587</v>
      </c>
      <c r="J42" s="130" t="s">
        <v>21</v>
      </c>
      <c r="K42" s="132">
        <v>10</v>
      </c>
      <c r="L42" s="4" t="s">
        <v>97</v>
      </c>
      <c r="M42" s="104" t="s">
        <v>725</v>
      </c>
    </row>
    <row r="43" spans="1:13" ht="50.25" customHeight="1">
      <c r="A43" s="130" t="s">
        <v>450</v>
      </c>
      <c r="B43" s="4" t="s">
        <v>242</v>
      </c>
      <c r="C43" s="4" t="s">
        <v>54</v>
      </c>
      <c r="D43" s="4" t="s">
        <v>16</v>
      </c>
      <c r="E43" s="97" t="s">
        <v>451</v>
      </c>
      <c r="F43" s="141" t="s">
        <v>97</v>
      </c>
      <c r="G43" s="17" t="s">
        <v>567</v>
      </c>
      <c r="H43" s="17" t="s">
        <v>581</v>
      </c>
      <c r="I43" s="4" t="s">
        <v>592</v>
      </c>
      <c r="J43" s="130" t="s">
        <v>21</v>
      </c>
      <c r="K43" s="132">
        <v>10</v>
      </c>
      <c r="L43" s="4" t="s">
        <v>97</v>
      </c>
      <c r="M43" s="104" t="s">
        <v>726</v>
      </c>
    </row>
    <row r="44" spans="1:13" ht="88.5" customHeight="1">
      <c r="A44" s="2" t="s">
        <v>338</v>
      </c>
      <c r="B44" s="4" t="s">
        <v>137</v>
      </c>
      <c r="C44" s="4" t="s">
        <v>54</v>
      </c>
      <c r="D44" s="4" t="s">
        <v>16</v>
      </c>
      <c r="E44" s="97" t="s">
        <v>207</v>
      </c>
      <c r="F44" s="141" t="s">
        <v>97</v>
      </c>
      <c r="G44" s="17" t="s">
        <v>567</v>
      </c>
      <c r="H44" s="17" t="s">
        <v>248</v>
      </c>
      <c r="I44" s="4" t="s">
        <v>594</v>
      </c>
      <c r="J44" s="2" t="s">
        <v>21</v>
      </c>
      <c r="K44" s="1">
        <v>10</v>
      </c>
      <c r="L44" s="4" t="s">
        <v>97</v>
      </c>
      <c r="M44" s="104" t="s">
        <v>727</v>
      </c>
    </row>
    <row r="45" spans="1:13" s="222" customFormat="1" ht="282.75" customHeight="1">
      <c r="A45" s="212" t="s">
        <v>206</v>
      </c>
      <c r="B45" s="213"/>
      <c r="C45" s="213"/>
      <c r="D45" s="213" t="s">
        <v>16</v>
      </c>
      <c r="E45" s="214" t="s">
        <v>111</v>
      </c>
      <c r="F45" s="215" t="s">
        <v>17</v>
      </c>
      <c r="G45" s="216"/>
      <c r="H45" s="217"/>
      <c r="I45" s="218" t="s">
        <v>728</v>
      </c>
      <c r="J45" s="219" t="s">
        <v>21</v>
      </c>
      <c r="K45" s="220">
        <v>10</v>
      </c>
      <c r="L45" s="221" t="s">
        <v>22</v>
      </c>
      <c r="M45" s="218" t="s">
        <v>729</v>
      </c>
    </row>
    <row r="46" spans="1:13" s="222" customFormat="1" ht="108.75" customHeight="1">
      <c r="A46" s="212" t="s">
        <v>211</v>
      </c>
      <c r="B46" s="213"/>
      <c r="C46" s="213"/>
      <c r="D46" s="213" t="s">
        <v>16</v>
      </c>
      <c r="E46" s="214" t="s">
        <v>118</v>
      </c>
      <c r="F46" s="215" t="s">
        <v>17</v>
      </c>
      <c r="G46" s="216"/>
      <c r="H46" s="217"/>
      <c r="I46" s="218" t="s">
        <v>730</v>
      </c>
      <c r="J46" s="219" t="s">
        <v>21</v>
      </c>
      <c r="K46" s="220">
        <v>10</v>
      </c>
      <c r="L46" s="219" t="s">
        <v>22</v>
      </c>
      <c r="M46" s="218" t="s">
        <v>731</v>
      </c>
    </row>
    <row r="47" spans="1:13" ht="56.25" customHeight="1">
      <c r="A47" s="2" t="s">
        <v>351</v>
      </c>
      <c r="B47" s="4" t="s">
        <v>111</v>
      </c>
      <c r="C47" s="4" t="s">
        <v>54</v>
      </c>
      <c r="D47" s="4" t="s">
        <v>16</v>
      </c>
      <c r="E47" s="97" t="s">
        <v>212</v>
      </c>
      <c r="F47" s="141" t="s">
        <v>97</v>
      </c>
      <c r="G47" s="17" t="s">
        <v>253</v>
      </c>
      <c r="H47" s="17" t="s">
        <v>732</v>
      </c>
      <c r="I47" s="3" t="s">
        <v>733</v>
      </c>
      <c r="J47" s="2" t="s">
        <v>21</v>
      </c>
      <c r="K47" s="1">
        <v>10</v>
      </c>
      <c r="L47" s="4" t="s">
        <v>97</v>
      </c>
      <c r="M47" s="223" t="s">
        <v>54</v>
      </c>
    </row>
    <row r="48" spans="1:13" ht="37.5" customHeight="1">
      <c r="A48" s="103" t="s">
        <v>354</v>
      </c>
      <c r="B48" s="104" t="s">
        <v>734</v>
      </c>
      <c r="C48" s="104" t="s">
        <v>54</v>
      </c>
      <c r="D48" s="4" t="s">
        <v>16</v>
      </c>
      <c r="E48" s="97" t="s">
        <v>355</v>
      </c>
      <c r="F48" s="141" t="s">
        <v>97</v>
      </c>
      <c r="G48" s="17" t="s">
        <v>253</v>
      </c>
      <c r="H48" s="17" t="s">
        <v>732</v>
      </c>
      <c r="I48" s="104" t="s">
        <v>735</v>
      </c>
      <c r="J48" s="103" t="s">
        <v>40</v>
      </c>
      <c r="K48" s="105">
        <v>3.3</v>
      </c>
      <c r="L48" s="3" t="s">
        <v>97</v>
      </c>
      <c r="M48" s="104" t="s">
        <v>736</v>
      </c>
    </row>
    <row r="49" spans="1:13" ht="88.5" customHeight="1">
      <c r="A49" s="103" t="s">
        <v>359</v>
      </c>
      <c r="B49" s="104" t="s">
        <v>737</v>
      </c>
      <c r="C49" s="104" t="s">
        <v>54</v>
      </c>
      <c r="D49" s="4" t="s">
        <v>16</v>
      </c>
      <c r="E49" s="97" t="s">
        <v>360</v>
      </c>
      <c r="F49" s="141" t="s">
        <v>97</v>
      </c>
      <c r="G49" s="17" t="s">
        <v>253</v>
      </c>
      <c r="H49" s="17" t="s">
        <v>732</v>
      </c>
      <c r="I49" s="104" t="s">
        <v>276</v>
      </c>
      <c r="J49" s="103" t="s">
        <v>40</v>
      </c>
      <c r="K49" s="105">
        <v>3.3</v>
      </c>
      <c r="L49" s="3" t="s">
        <v>97</v>
      </c>
      <c r="M49" s="104" t="s">
        <v>738</v>
      </c>
    </row>
    <row r="50" spans="1:13" ht="25.5" customHeight="1">
      <c r="A50" s="103" t="s">
        <v>365</v>
      </c>
      <c r="B50" s="104" t="s">
        <v>485</v>
      </c>
      <c r="C50" s="104" t="s">
        <v>54</v>
      </c>
      <c r="D50" s="4" t="s">
        <v>16</v>
      </c>
      <c r="E50" s="97" t="s">
        <v>366</v>
      </c>
      <c r="F50" s="141" t="s">
        <v>97</v>
      </c>
      <c r="G50" s="17" t="s">
        <v>253</v>
      </c>
      <c r="H50" s="17" t="s">
        <v>732</v>
      </c>
      <c r="I50" s="104" t="s">
        <v>286</v>
      </c>
      <c r="J50" s="103" t="s">
        <v>40</v>
      </c>
      <c r="K50" s="105">
        <v>3.3</v>
      </c>
      <c r="L50" s="3" t="s">
        <v>97</v>
      </c>
      <c r="M50" s="104" t="s">
        <v>739</v>
      </c>
    </row>
    <row r="51" spans="1:13" ht="50.25" customHeight="1">
      <c r="A51" s="2" t="s">
        <v>375</v>
      </c>
      <c r="B51" s="4" t="s">
        <v>118</v>
      </c>
      <c r="C51" s="4" t="s">
        <v>54</v>
      </c>
      <c r="D51" s="4" t="s">
        <v>16</v>
      </c>
      <c r="E51" s="97" t="s">
        <v>224</v>
      </c>
      <c r="F51" s="141" t="s">
        <v>97</v>
      </c>
      <c r="G51" s="17" t="s">
        <v>253</v>
      </c>
      <c r="H51" s="17" t="s">
        <v>296</v>
      </c>
      <c r="I51" s="3" t="s">
        <v>297</v>
      </c>
      <c r="J51" s="2" t="s">
        <v>21</v>
      </c>
      <c r="K51" s="1">
        <v>10</v>
      </c>
      <c r="L51" s="3" t="s">
        <v>97</v>
      </c>
      <c r="M51" s="104" t="s">
        <v>54</v>
      </c>
    </row>
    <row r="52" spans="1:13" ht="113.25" customHeight="1">
      <c r="A52" s="103" t="s">
        <v>379</v>
      </c>
      <c r="B52" s="104" t="s">
        <v>216</v>
      </c>
      <c r="C52" s="104" t="s">
        <v>54</v>
      </c>
      <c r="D52" s="4" t="s">
        <v>16</v>
      </c>
      <c r="E52" s="97" t="s">
        <v>380</v>
      </c>
      <c r="F52" s="141" t="s">
        <v>97</v>
      </c>
      <c r="G52" s="17" t="s">
        <v>253</v>
      </c>
      <c r="H52" s="17" t="s">
        <v>296</v>
      </c>
      <c r="I52" s="104" t="s">
        <v>300</v>
      </c>
      <c r="J52" s="103" t="s">
        <v>40</v>
      </c>
      <c r="K52" s="105">
        <v>3.3</v>
      </c>
      <c r="L52" s="4" t="s">
        <v>97</v>
      </c>
      <c r="M52" s="104" t="s">
        <v>740</v>
      </c>
    </row>
    <row r="53" spans="1:13" ht="88.5" customHeight="1">
      <c r="A53" s="103" t="s">
        <v>383</v>
      </c>
      <c r="B53" s="104" t="s">
        <v>220</v>
      </c>
      <c r="C53" s="104" t="s">
        <v>54</v>
      </c>
      <c r="D53" s="4" t="s">
        <v>16</v>
      </c>
      <c r="E53" s="97" t="s">
        <v>384</v>
      </c>
      <c r="F53" s="141" t="s">
        <v>97</v>
      </c>
      <c r="G53" s="17" t="s">
        <v>253</v>
      </c>
      <c r="H53" s="17" t="s">
        <v>296</v>
      </c>
      <c r="I53" s="104" t="s">
        <v>305</v>
      </c>
      <c r="J53" s="103" t="s">
        <v>40</v>
      </c>
      <c r="K53" s="105">
        <v>3.3</v>
      </c>
      <c r="L53" s="4" t="s">
        <v>97</v>
      </c>
      <c r="M53" s="104" t="s">
        <v>741</v>
      </c>
    </row>
    <row r="54" spans="1:13" ht="25.5" customHeight="1">
      <c r="A54" s="103" t="s">
        <v>599</v>
      </c>
      <c r="B54" s="104" t="s">
        <v>54</v>
      </c>
      <c r="C54" s="104" t="s">
        <v>54</v>
      </c>
      <c r="D54" s="4" t="s">
        <v>16</v>
      </c>
      <c r="E54" s="97" t="s">
        <v>600</v>
      </c>
      <c r="F54" s="141" t="s">
        <v>97</v>
      </c>
      <c r="G54" s="17" t="s">
        <v>253</v>
      </c>
      <c r="H54" s="17" t="s">
        <v>296</v>
      </c>
      <c r="I54" s="104" t="s">
        <v>286</v>
      </c>
      <c r="J54" s="103" t="s">
        <v>40</v>
      </c>
      <c r="K54" s="105">
        <v>3.3</v>
      </c>
      <c r="L54" s="3" t="s">
        <v>97</v>
      </c>
      <c r="M54" s="104" t="s">
        <v>601</v>
      </c>
    </row>
    <row r="55" spans="1:13" ht="37.5" customHeight="1">
      <c r="A55" s="2" t="s">
        <v>387</v>
      </c>
      <c r="B55" s="4" t="s">
        <v>226</v>
      </c>
      <c r="C55" s="4" t="s">
        <v>54</v>
      </c>
      <c r="D55" s="4" t="s">
        <v>16</v>
      </c>
      <c r="E55" s="97" t="s">
        <v>388</v>
      </c>
      <c r="F55" s="141" t="s">
        <v>97</v>
      </c>
      <c r="G55" s="17" t="s">
        <v>253</v>
      </c>
      <c r="H55" s="17" t="s">
        <v>312</v>
      </c>
      <c r="I55" s="3" t="s">
        <v>313</v>
      </c>
      <c r="J55" s="2" t="s">
        <v>21</v>
      </c>
      <c r="K55" s="1">
        <v>10</v>
      </c>
      <c r="L55" s="4" t="s">
        <v>97</v>
      </c>
      <c r="M55" s="104" t="s">
        <v>54</v>
      </c>
    </row>
    <row r="56" spans="1:13" ht="75.75" customHeight="1">
      <c r="A56" s="2" t="s">
        <v>391</v>
      </c>
      <c r="B56" s="4" t="s">
        <v>54</v>
      </c>
      <c r="C56" s="4" t="s">
        <v>54</v>
      </c>
      <c r="D56" s="4" t="s">
        <v>16</v>
      </c>
      <c r="E56" s="97" t="s">
        <v>392</v>
      </c>
      <c r="F56" s="141" t="s">
        <v>97</v>
      </c>
      <c r="G56" s="17" t="s">
        <v>253</v>
      </c>
      <c r="H56" s="17" t="s">
        <v>312</v>
      </c>
      <c r="I56" s="104" t="s">
        <v>316</v>
      </c>
      <c r="J56" s="103" t="s">
        <v>40</v>
      </c>
      <c r="K56" s="1">
        <v>3.3</v>
      </c>
      <c r="L56" s="3" t="s">
        <v>97</v>
      </c>
      <c r="M56" s="104" t="s">
        <v>742</v>
      </c>
    </row>
    <row r="57" spans="1:13" ht="88.5" customHeight="1">
      <c r="A57" s="2" t="s">
        <v>395</v>
      </c>
      <c r="B57" s="4" t="s">
        <v>54</v>
      </c>
      <c r="C57" s="4" t="s">
        <v>54</v>
      </c>
      <c r="D57" s="4" t="s">
        <v>16</v>
      </c>
      <c r="E57" s="97" t="s">
        <v>396</v>
      </c>
      <c r="F57" s="141" t="s">
        <v>97</v>
      </c>
      <c r="G57" s="17" t="s">
        <v>253</v>
      </c>
      <c r="H57" s="17" t="s">
        <v>312</v>
      </c>
      <c r="I57" s="104" t="s">
        <v>305</v>
      </c>
      <c r="J57" s="103" t="s">
        <v>40</v>
      </c>
      <c r="K57" s="1">
        <v>3.3</v>
      </c>
      <c r="L57" s="3" t="s">
        <v>97</v>
      </c>
      <c r="M57" s="104" t="s">
        <v>743</v>
      </c>
    </row>
    <row r="58" spans="1:13" ht="25.5" customHeight="1">
      <c r="A58" s="2" t="s">
        <v>603</v>
      </c>
      <c r="B58" s="4" t="s">
        <v>54</v>
      </c>
      <c r="C58" s="4" t="s">
        <v>54</v>
      </c>
      <c r="D58" s="4" t="s">
        <v>16</v>
      </c>
      <c r="E58" s="97" t="s">
        <v>604</v>
      </c>
      <c r="F58" s="141" t="s">
        <v>97</v>
      </c>
      <c r="G58" s="17" t="s">
        <v>253</v>
      </c>
      <c r="H58" s="17" t="s">
        <v>312</v>
      </c>
      <c r="I58" s="104" t="s">
        <v>286</v>
      </c>
      <c r="J58" s="103" t="s">
        <v>40</v>
      </c>
      <c r="K58" s="1">
        <v>3.3</v>
      </c>
      <c r="L58" s="3" t="s">
        <v>97</v>
      </c>
      <c r="M58" s="104" t="s">
        <v>744</v>
      </c>
    </row>
    <row r="59" spans="1:13" ht="37.5" customHeight="1">
      <c r="A59" s="2" t="s">
        <v>400</v>
      </c>
      <c r="B59" s="4" t="s">
        <v>54</v>
      </c>
      <c r="C59" s="4" t="s">
        <v>54</v>
      </c>
      <c r="D59" s="4" t="s">
        <v>16</v>
      </c>
      <c r="E59" s="97" t="s">
        <v>401</v>
      </c>
      <c r="F59" s="141" t="s">
        <v>97</v>
      </c>
      <c r="G59" s="17" t="s">
        <v>253</v>
      </c>
      <c r="H59" s="17" t="s">
        <v>326</v>
      </c>
      <c r="I59" s="3" t="s">
        <v>327</v>
      </c>
      <c r="J59" s="2" t="s">
        <v>21</v>
      </c>
      <c r="K59" s="1">
        <v>10</v>
      </c>
      <c r="L59" s="4" t="s">
        <v>97</v>
      </c>
      <c r="M59" s="104" t="s">
        <v>54</v>
      </c>
    </row>
    <row r="60" spans="1:13" ht="78" customHeight="1">
      <c r="A60" s="2" t="s">
        <v>605</v>
      </c>
      <c r="B60" s="4" t="s">
        <v>54</v>
      </c>
      <c r="C60" s="4" t="s">
        <v>54</v>
      </c>
      <c r="D60" s="4" t="s">
        <v>16</v>
      </c>
      <c r="E60" s="97" t="s">
        <v>606</v>
      </c>
      <c r="F60" s="141" t="s">
        <v>97</v>
      </c>
      <c r="G60" s="17" t="s">
        <v>253</v>
      </c>
      <c r="H60" s="17" t="s">
        <v>326</v>
      </c>
      <c r="I60" s="104" t="s">
        <v>330</v>
      </c>
      <c r="J60" s="103" t="s">
        <v>40</v>
      </c>
      <c r="K60" s="1">
        <v>3.3</v>
      </c>
      <c r="L60" s="3" t="s">
        <v>97</v>
      </c>
      <c r="M60" s="104" t="s">
        <v>745</v>
      </c>
    </row>
    <row r="61" spans="1:13" ht="93" customHeight="1">
      <c r="A61" s="2" t="s">
        <v>608</v>
      </c>
      <c r="B61" s="4" t="s">
        <v>54</v>
      </c>
      <c r="C61" s="4" t="s">
        <v>54</v>
      </c>
      <c r="D61" s="4" t="s">
        <v>16</v>
      </c>
      <c r="E61" s="97" t="s">
        <v>609</v>
      </c>
      <c r="F61" s="141" t="s">
        <v>97</v>
      </c>
      <c r="G61" s="17" t="s">
        <v>253</v>
      </c>
      <c r="H61" s="17" t="s">
        <v>326</v>
      </c>
      <c r="I61" s="104" t="s">
        <v>305</v>
      </c>
      <c r="J61" s="103" t="s">
        <v>40</v>
      </c>
      <c r="K61" s="1">
        <v>3.3</v>
      </c>
      <c r="L61" s="3" t="s">
        <v>97</v>
      </c>
      <c r="M61" s="104" t="s">
        <v>746</v>
      </c>
    </row>
    <row r="62" spans="1:13" ht="25.5" customHeight="1">
      <c r="A62" s="2" t="s">
        <v>610</v>
      </c>
      <c r="B62" s="4" t="s">
        <v>54</v>
      </c>
      <c r="C62" s="4" t="s">
        <v>54</v>
      </c>
      <c r="D62" s="4" t="s">
        <v>16</v>
      </c>
      <c r="E62" s="97" t="s">
        <v>611</v>
      </c>
      <c r="F62" s="141" t="s">
        <v>97</v>
      </c>
      <c r="G62" s="17" t="s">
        <v>253</v>
      </c>
      <c r="H62" s="17" t="s">
        <v>326</v>
      </c>
      <c r="I62" s="104" t="s">
        <v>286</v>
      </c>
      <c r="J62" s="103" t="s">
        <v>40</v>
      </c>
      <c r="K62" s="1">
        <v>3.3</v>
      </c>
      <c r="L62" s="3" t="s">
        <v>97</v>
      </c>
      <c r="M62" s="104" t="s">
        <v>601</v>
      </c>
    </row>
    <row r="63" spans="1:13" ht="47.25" customHeight="1">
      <c r="A63" s="130" t="s">
        <v>310</v>
      </c>
      <c r="B63" s="149" t="s">
        <v>54</v>
      </c>
      <c r="C63" s="149" t="s">
        <v>54</v>
      </c>
      <c r="D63" s="149" t="s">
        <v>16</v>
      </c>
      <c r="E63" s="97" t="s">
        <v>311</v>
      </c>
      <c r="F63" s="97" t="s">
        <v>97</v>
      </c>
      <c r="G63" s="17" t="s">
        <v>339</v>
      </c>
      <c r="H63" s="17" t="s">
        <v>339</v>
      </c>
      <c r="I63" s="3" t="s">
        <v>352</v>
      </c>
      <c r="J63" s="130" t="s">
        <v>21</v>
      </c>
      <c r="K63" s="132">
        <v>10</v>
      </c>
      <c r="L63" s="149" t="s">
        <v>97</v>
      </c>
      <c r="M63" s="104" t="s">
        <v>353</v>
      </c>
    </row>
    <row r="64" spans="1:13" ht="130.5" customHeight="1">
      <c r="A64" s="130" t="s">
        <v>314</v>
      </c>
      <c r="B64" s="149" t="s">
        <v>54</v>
      </c>
      <c r="C64" s="149" t="s">
        <v>54</v>
      </c>
      <c r="D64" s="149" t="s">
        <v>16</v>
      </c>
      <c r="E64" s="97" t="s">
        <v>315</v>
      </c>
      <c r="F64" s="97" t="s">
        <v>97</v>
      </c>
      <c r="G64" s="17" t="s">
        <v>339</v>
      </c>
      <c r="H64" s="17" t="s">
        <v>356</v>
      </c>
      <c r="I64" s="224" t="s">
        <v>357</v>
      </c>
      <c r="J64" s="130" t="s">
        <v>40</v>
      </c>
      <c r="K64" s="132">
        <v>2.5</v>
      </c>
      <c r="L64" s="149" t="s">
        <v>97</v>
      </c>
      <c r="M64" s="104" t="s">
        <v>747</v>
      </c>
    </row>
    <row r="65" spans="1:13" ht="130.5" customHeight="1">
      <c r="A65" s="130" t="s">
        <v>318</v>
      </c>
      <c r="B65" s="149" t="s">
        <v>54</v>
      </c>
      <c r="C65" s="149" t="s">
        <v>54</v>
      </c>
      <c r="D65" s="149" t="s">
        <v>16</v>
      </c>
      <c r="E65" s="97" t="s">
        <v>319</v>
      </c>
      <c r="F65" s="97" t="s">
        <v>97</v>
      </c>
      <c r="G65" s="17" t="s">
        <v>361</v>
      </c>
      <c r="H65" s="17" t="s">
        <v>362</v>
      </c>
      <c r="I65" s="224" t="s">
        <v>363</v>
      </c>
      <c r="J65" s="130" t="s">
        <v>40</v>
      </c>
      <c r="K65" s="132">
        <v>2.5</v>
      </c>
      <c r="L65" s="149" t="s">
        <v>97</v>
      </c>
      <c r="M65" s="104" t="s">
        <v>747</v>
      </c>
    </row>
    <row r="66" spans="1:13" ht="124.5" customHeight="1">
      <c r="A66" s="130" t="s">
        <v>321</v>
      </c>
      <c r="B66" s="149" t="s">
        <v>54</v>
      </c>
      <c r="C66" s="149" t="s">
        <v>54</v>
      </c>
      <c r="D66" s="149" t="s">
        <v>16</v>
      </c>
      <c r="E66" s="97" t="s">
        <v>322</v>
      </c>
      <c r="F66" s="97" t="s">
        <v>97</v>
      </c>
      <c r="G66" s="17" t="s">
        <v>361</v>
      </c>
      <c r="H66" s="17" t="s">
        <v>367</v>
      </c>
      <c r="I66" s="224" t="s">
        <v>614</v>
      </c>
      <c r="J66" s="130" t="s">
        <v>40</v>
      </c>
      <c r="K66" s="132">
        <v>2.5</v>
      </c>
      <c r="L66" s="149" t="s">
        <v>97</v>
      </c>
      <c r="M66" s="104" t="s">
        <v>747</v>
      </c>
    </row>
    <row r="67" spans="1:13" ht="126" customHeight="1">
      <c r="A67" s="130" t="s">
        <v>616</v>
      </c>
      <c r="B67" s="149" t="s">
        <v>54</v>
      </c>
      <c r="C67" s="149" t="s">
        <v>54</v>
      </c>
      <c r="D67" s="149" t="s">
        <v>16</v>
      </c>
      <c r="E67" s="97" t="s">
        <v>617</v>
      </c>
      <c r="F67" s="97" t="s">
        <v>97</v>
      </c>
      <c r="G67" s="17" t="s">
        <v>361</v>
      </c>
      <c r="H67" s="17" t="s">
        <v>372</v>
      </c>
      <c r="I67" s="224" t="s">
        <v>748</v>
      </c>
      <c r="J67" s="130" t="s">
        <v>40</v>
      </c>
      <c r="K67" s="132">
        <v>2.5</v>
      </c>
      <c r="L67" s="149" t="s">
        <v>97</v>
      </c>
      <c r="M67" s="104" t="s">
        <v>747</v>
      </c>
    </row>
    <row r="68" spans="1:13" ht="57.75" customHeight="1">
      <c r="A68" s="2" t="s">
        <v>461</v>
      </c>
      <c r="B68" s="248" t="s">
        <v>252</v>
      </c>
      <c r="C68" s="248" t="s">
        <v>132</v>
      </c>
      <c r="D68" s="248" t="s">
        <v>16</v>
      </c>
      <c r="E68" s="97" t="s">
        <v>462</v>
      </c>
      <c r="F68" s="141" t="s">
        <v>97</v>
      </c>
      <c r="G68" s="117"/>
      <c r="H68" s="17" t="s">
        <v>377</v>
      </c>
      <c r="I68" s="247" t="s">
        <v>378</v>
      </c>
      <c r="J68" s="249" t="s">
        <v>21</v>
      </c>
      <c r="K68" s="246">
        <v>10</v>
      </c>
      <c r="L68" s="248" t="s">
        <v>22</v>
      </c>
      <c r="M68" s="127" t="s">
        <v>749</v>
      </c>
    </row>
    <row r="69" spans="1:13" ht="14.25" customHeight="1">
      <c r="A69" s="130"/>
      <c r="B69" s="248"/>
      <c r="C69" s="248"/>
      <c r="D69" s="248"/>
      <c r="E69" s="97"/>
      <c r="F69" s="141" t="s">
        <v>97</v>
      </c>
      <c r="G69" s="97"/>
      <c r="H69" s="141"/>
      <c r="I69" s="247"/>
      <c r="J69" s="247"/>
      <c r="K69" s="247"/>
      <c r="L69" s="247"/>
      <c r="M69" s="127" t="s">
        <v>750</v>
      </c>
    </row>
    <row r="70" spans="1:13" ht="14.25" customHeight="1">
      <c r="A70" s="130"/>
      <c r="B70" s="248"/>
      <c r="C70" s="248"/>
      <c r="D70" s="248"/>
      <c r="E70" s="97"/>
      <c r="F70" s="141" t="s">
        <v>97</v>
      </c>
      <c r="G70" s="97"/>
      <c r="H70" s="141"/>
      <c r="I70" s="247"/>
      <c r="J70" s="247"/>
      <c r="K70" s="247"/>
      <c r="L70" s="247"/>
      <c r="M70" s="127" t="s">
        <v>751</v>
      </c>
    </row>
    <row r="71" spans="1:13" ht="14.25" customHeight="1">
      <c r="A71" s="130"/>
      <c r="B71" s="248"/>
      <c r="C71" s="248"/>
      <c r="D71" s="248"/>
      <c r="E71" s="97"/>
      <c r="F71" s="141" t="s">
        <v>97</v>
      </c>
      <c r="G71" s="97"/>
      <c r="H71" s="141"/>
      <c r="I71" s="247"/>
      <c r="J71" s="247"/>
      <c r="K71" s="247"/>
      <c r="L71" s="247"/>
      <c r="M71" s="127" t="s">
        <v>752</v>
      </c>
    </row>
    <row r="72" spans="1:13" ht="14.25" customHeight="1">
      <c r="A72" s="130"/>
      <c r="B72" s="248"/>
      <c r="C72" s="248"/>
      <c r="D72" s="248"/>
      <c r="E72" s="97"/>
      <c r="F72" s="141" t="s">
        <v>97</v>
      </c>
      <c r="G72" s="97"/>
      <c r="H72" s="141"/>
      <c r="I72" s="247"/>
      <c r="J72" s="247"/>
      <c r="K72" s="247"/>
      <c r="L72" s="247"/>
      <c r="M72" s="127" t="s">
        <v>753</v>
      </c>
    </row>
    <row r="73" spans="1:13" ht="14.25" customHeight="1">
      <c r="A73" s="130"/>
      <c r="B73" s="248"/>
      <c r="C73" s="248"/>
      <c r="D73" s="248"/>
      <c r="E73" s="97"/>
      <c r="F73" s="141" t="s">
        <v>97</v>
      </c>
      <c r="G73" s="97"/>
      <c r="H73" s="141"/>
      <c r="I73" s="247"/>
      <c r="J73" s="247"/>
      <c r="K73" s="247"/>
      <c r="L73" s="247"/>
      <c r="M73" s="127" t="s">
        <v>754</v>
      </c>
    </row>
    <row r="74" spans="1:13" ht="99" customHeight="1">
      <c r="A74" s="2" t="s">
        <v>619</v>
      </c>
      <c r="B74" s="4" t="s">
        <v>54</v>
      </c>
      <c r="C74" s="4" t="s">
        <v>54</v>
      </c>
      <c r="D74" s="4" t="s">
        <v>16</v>
      </c>
      <c r="E74" s="97" t="s">
        <v>620</v>
      </c>
      <c r="F74" s="141" t="s">
        <v>97</v>
      </c>
      <c r="G74" s="17" t="s">
        <v>376</v>
      </c>
      <c r="H74" s="17" t="s">
        <v>377</v>
      </c>
      <c r="I74" s="104" t="s">
        <v>381</v>
      </c>
      <c r="J74" s="2" t="s">
        <v>40</v>
      </c>
      <c r="K74" s="1">
        <v>5</v>
      </c>
      <c r="L74" s="3" t="s">
        <v>22</v>
      </c>
      <c r="M74" s="104" t="s">
        <v>755</v>
      </c>
    </row>
    <row r="75" spans="1:13" ht="94.5" customHeight="1">
      <c r="A75" s="2" t="s">
        <v>621</v>
      </c>
      <c r="B75" s="4" t="s">
        <v>54</v>
      </c>
      <c r="C75" s="4" t="s">
        <v>54</v>
      </c>
      <c r="D75" s="4" t="s">
        <v>16</v>
      </c>
      <c r="E75" s="97" t="s">
        <v>622</v>
      </c>
      <c r="F75" s="141" t="s">
        <v>97</v>
      </c>
      <c r="G75" s="17" t="s">
        <v>376</v>
      </c>
      <c r="H75" s="17" t="s">
        <v>377</v>
      </c>
      <c r="I75" s="104" t="s">
        <v>385</v>
      </c>
      <c r="J75" s="2" t="s">
        <v>40</v>
      </c>
      <c r="K75" s="1">
        <v>5</v>
      </c>
      <c r="L75" s="3" t="s">
        <v>97</v>
      </c>
      <c r="M75" s="104" t="s">
        <v>756</v>
      </c>
    </row>
    <row r="76" spans="1:13" ht="37.5" customHeight="1">
      <c r="A76" s="2" t="s">
        <v>467</v>
      </c>
      <c r="B76" s="4" t="s">
        <v>54</v>
      </c>
      <c r="C76" s="4" t="s">
        <v>54</v>
      </c>
      <c r="D76" s="4" t="s">
        <v>16</v>
      </c>
      <c r="E76" s="97" t="s">
        <v>468</v>
      </c>
      <c r="F76" s="141" t="s">
        <v>97</v>
      </c>
      <c r="G76" s="17" t="s">
        <v>376</v>
      </c>
      <c r="H76" s="17" t="s">
        <v>389</v>
      </c>
      <c r="I76" s="4" t="s">
        <v>390</v>
      </c>
      <c r="J76" s="2" t="s">
        <v>21</v>
      </c>
      <c r="K76" s="1">
        <v>10</v>
      </c>
      <c r="L76" s="4" t="s">
        <v>97</v>
      </c>
      <c r="M76" s="104" t="s">
        <v>757</v>
      </c>
    </row>
    <row r="77" spans="1:13" ht="37.5" customHeight="1">
      <c r="A77" s="2" t="s">
        <v>471</v>
      </c>
      <c r="B77" s="4" t="s">
        <v>54</v>
      </c>
      <c r="C77" s="4" t="s">
        <v>54</v>
      </c>
      <c r="D77" s="4" t="s">
        <v>16</v>
      </c>
      <c r="E77" s="97" t="s">
        <v>472</v>
      </c>
      <c r="F77" s="141" t="s">
        <v>97</v>
      </c>
      <c r="G77" s="17" t="s">
        <v>376</v>
      </c>
      <c r="H77" s="17" t="s">
        <v>389</v>
      </c>
      <c r="I77" s="4" t="s">
        <v>758</v>
      </c>
      <c r="J77" s="2" t="s">
        <v>40</v>
      </c>
      <c r="K77" s="1">
        <v>5</v>
      </c>
      <c r="L77" s="3" t="s">
        <v>22</v>
      </c>
      <c r="M77" s="104" t="s">
        <v>759</v>
      </c>
    </row>
    <row r="78" spans="1:13" ht="75.75" customHeight="1">
      <c r="A78" s="2" t="s">
        <v>475</v>
      </c>
      <c r="B78" s="4" t="s">
        <v>54</v>
      </c>
      <c r="C78" s="4" t="s">
        <v>54</v>
      </c>
      <c r="D78" s="4" t="s">
        <v>16</v>
      </c>
      <c r="E78" s="97" t="s">
        <v>476</v>
      </c>
      <c r="F78" s="141" t="s">
        <v>97</v>
      </c>
      <c r="G78" s="17" t="s">
        <v>376</v>
      </c>
      <c r="H78" s="17" t="s">
        <v>389</v>
      </c>
      <c r="I78" s="4" t="s">
        <v>397</v>
      </c>
      <c r="J78" s="2" t="s">
        <v>40</v>
      </c>
      <c r="K78" s="1">
        <v>5</v>
      </c>
      <c r="L78" s="3" t="s">
        <v>97</v>
      </c>
      <c r="M78" s="104" t="s">
        <v>760</v>
      </c>
    </row>
    <row r="79" spans="1:13" ht="25.5" customHeight="1">
      <c r="A79" s="130" t="s">
        <v>191</v>
      </c>
      <c r="B79" s="136" t="s">
        <v>54</v>
      </c>
      <c r="C79" s="136" t="s">
        <v>54</v>
      </c>
      <c r="D79" s="136" t="s">
        <v>16</v>
      </c>
      <c r="E79" s="97" t="s">
        <v>79</v>
      </c>
      <c r="F79" s="207" t="s">
        <v>17</v>
      </c>
      <c r="G79" s="17" t="s">
        <v>402</v>
      </c>
      <c r="H79" s="17" t="s">
        <v>403</v>
      </c>
      <c r="I79" s="4" t="s">
        <v>761</v>
      </c>
      <c r="J79" s="130" t="s">
        <v>21</v>
      </c>
      <c r="K79" s="132">
        <v>10</v>
      </c>
      <c r="L79" s="149" t="s">
        <v>405</v>
      </c>
      <c r="M79" s="4" t="s">
        <v>762</v>
      </c>
    </row>
    <row r="80" spans="1:13" ht="88.5" customHeight="1">
      <c r="A80" s="135" t="s">
        <v>195</v>
      </c>
      <c r="B80" s="225"/>
      <c r="C80" s="225"/>
      <c r="D80" s="104" t="s">
        <v>16</v>
      </c>
      <c r="E80" s="226" t="s">
        <v>86</v>
      </c>
      <c r="F80" s="207" t="s">
        <v>17</v>
      </c>
      <c r="G80" s="17" t="s">
        <v>402</v>
      </c>
      <c r="H80" s="17" t="s">
        <v>403</v>
      </c>
      <c r="I80" s="104" t="s">
        <v>763</v>
      </c>
      <c r="J80" s="135" t="s">
        <v>40</v>
      </c>
      <c r="K80" s="227">
        <v>5</v>
      </c>
      <c r="L80" s="104" t="s">
        <v>22</v>
      </c>
      <c r="M80" s="104" t="s">
        <v>764</v>
      </c>
    </row>
    <row r="81" spans="1:13" ht="75.75" customHeight="1">
      <c r="A81" s="135" t="s">
        <v>198</v>
      </c>
      <c r="B81" s="225"/>
      <c r="C81" s="225"/>
      <c r="D81" s="225" t="s">
        <v>16</v>
      </c>
      <c r="E81" s="226" t="s">
        <v>93</v>
      </c>
      <c r="F81" s="207" t="s">
        <v>17</v>
      </c>
      <c r="G81" s="17" t="s">
        <v>402</v>
      </c>
      <c r="H81" s="17" t="s">
        <v>403</v>
      </c>
      <c r="I81" s="104" t="s">
        <v>765</v>
      </c>
      <c r="J81" s="135" t="s">
        <v>40</v>
      </c>
      <c r="K81" s="227">
        <v>5</v>
      </c>
      <c r="L81" s="104" t="s">
        <v>97</v>
      </c>
      <c r="M81" s="104" t="s">
        <v>766</v>
      </c>
    </row>
    <row r="82" spans="1:13" ht="201.75" customHeight="1">
      <c r="A82" s="135" t="s">
        <v>201</v>
      </c>
      <c r="B82" s="136"/>
      <c r="C82" s="136"/>
      <c r="D82" s="136" t="s">
        <v>16</v>
      </c>
      <c r="E82" s="89" t="s">
        <v>202</v>
      </c>
      <c r="F82" s="207" t="s">
        <v>17</v>
      </c>
      <c r="G82" s="17" t="s">
        <v>402</v>
      </c>
      <c r="H82" s="17" t="s">
        <v>409</v>
      </c>
      <c r="I82" s="137" t="s">
        <v>767</v>
      </c>
      <c r="J82" s="130" t="s">
        <v>21</v>
      </c>
      <c r="K82" s="132">
        <v>10</v>
      </c>
      <c r="L82" s="4" t="s">
        <v>22</v>
      </c>
      <c r="M82" s="137" t="s">
        <v>768</v>
      </c>
    </row>
    <row r="83" spans="1:13" ht="88.5" customHeight="1">
      <c r="A83" s="2" t="s">
        <v>455</v>
      </c>
      <c r="B83" s="4" t="s">
        <v>202</v>
      </c>
      <c r="C83" s="4" t="s">
        <v>112</v>
      </c>
      <c r="D83" s="4" t="s">
        <v>16</v>
      </c>
      <c r="E83" s="97" t="s">
        <v>456</v>
      </c>
      <c r="F83" s="141" t="s">
        <v>97</v>
      </c>
      <c r="G83" s="17" t="s">
        <v>402</v>
      </c>
      <c r="H83" s="17" t="s">
        <v>435</v>
      </c>
      <c r="I83" s="4" t="s">
        <v>444</v>
      </c>
      <c r="J83" s="2" t="s">
        <v>21</v>
      </c>
      <c r="K83" s="1">
        <v>10</v>
      </c>
      <c r="L83" s="4" t="s">
        <v>97</v>
      </c>
      <c r="M83" s="104" t="s">
        <v>769</v>
      </c>
    </row>
    <row r="84" spans="1:13" ht="66" customHeight="1">
      <c r="A84" s="130" t="s">
        <v>131</v>
      </c>
      <c r="B84" s="4" t="s">
        <v>295</v>
      </c>
      <c r="C84" s="4" t="s">
        <v>137</v>
      </c>
      <c r="D84" s="4" t="s">
        <v>16</v>
      </c>
      <c r="E84" s="97" t="s">
        <v>132</v>
      </c>
      <c r="F84" s="207" t="s">
        <v>17</v>
      </c>
      <c r="G84" s="17" t="s">
        <v>402</v>
      </c>
      <c r="H84" s="17" t="s">
        <v>447</v>
      </c>
      <c r="I84" s="4" t="s">
        <v>448</v>
      </c>
      <c r="J84" s="130" t="s">
        <v>21</v>
      </c>
      <c r="K84" s="132">
        <v>10</v>
      </c>
      <c r="L84" s="4" t="s">
        <v>22</v>
      </c>
      <c r="M84" s="104" t="s">
        <v>770</v>
      </c>
    </row>
    <row r="85" spans="1:13" ht="75.75" customHeight="1">
      <c r="A85" s="130" t="s">
        <v>136</v>
      </c>
      <c r="B85" s="4" t="s">
        <v>311</v>
      </c>
      <c r="C85" s="4" t="s">
        <v>168</v>
      </c>
      <c r="D85" s="4" t="s">
        <v>16</v>
      </c>
      <c r="E85" s="97" t="s">
        <v>137</v>
      </c>
      <c r="F85" s="207" t="s">
        <v>17</v>
      </c>
      <c r="G85" s="17" t="s">
        <v>402</v>
      </c>
      <c r="H85" s="17" t="s">
        <v>447</v>
      </c>
      <c r="I85" s="4" t="s">
        <v>452</v>
      </c>
      <c r="J85" s="130" t="s">
        <v>21</v>
      </c>
      <c r="K85" s="132">
        <v>10</v>
      </c>
      <c r="L85" s="4" t="s">
        <v>22</v>
      </c>
      <c r="M85" s="104" t="s">
        <v>771</v>
      </c>
    </row>
    <row r="86" spans="1:13" ht="50.25" customHeight="1">
      <c r="A86" s="130" t="s">
        <v>479</v>
      </c>
      <c r="B86" s="4" t="s">
        <v>325</v>
      </c>
      <c r="C86" s="4" t="s">
        <v>54</v>
      </c>
      <c r="D86" s="4" t="s">
        <v>16</v>
      </c>
      <c r="E86" s="97" t="s">
        <v>480</v>
      </c>
      <c r="F86" s="206" t="s">
        <v>97</v>
      </c>
      <c r="G86" s="17" t="s">
        <v>457</v>
      </c>
      <c r="H86" s="17" t="s">
        <v>458</v>
      </c>
      <c r="I86" s="4" t="s">
        <v>628</v>
      </c>
      <c r="J86" s="130" t="s">
        <v>21</v>
      </c>
      <c r="K86" s="132">
        <v>10</v>
      </c>
      <c r="L86" s="4" t="s">
        <v>97</v>
      </c>
      <c r="M86" s="104" t="s">
        <v>772</v>
      </c>
    </row>
    <row r="87" spans="1:13" ht="126" customHeight="1">
      <c r="A87" s="130" t="s">
        <v>629</v>
      </c>
      <c r="B87" s="4" t="s">
        <v>388</v>
      </c>
      <c r="C87" s="4" t="s">
        <v>187</v>
      </c>
      <c r="D87" s="4" t="s">
        <v>16</v>
      </c>
      <c r="E87" s="97" t="s">
        <v>630</v>
      </c>
      <c r="F87" s="97" t="s">
        <v>463</v>
      </c>
      <c r="G87" s="17" t="s">
        <v>457</v>
      </c>
      <c r="H87" s="17" t="s">
        <v>458</v>
      </c>
      <c r="I87" s="4" t="s">
        <v>631</v>
      </c>
      <c r="J87" s="130" t="s">
        <v>21</v>
      </c>
      <c r="K87" s="132">
        <v>10</v>
      </c>
      <c r="L87" s="4" t="s">
        <v>97</v>
      </c>
      <c r="M87" s="104" t="s">
        <v>773</v>
      </c>
    </row>
    <row r="88" spans="1:13" ht="113.25" customHeight="1">
      <c r="A88" s="130" t="s">
        <v>633</v>
      </c>
      <c r="B88" s="4" t="s">
        <v>401</v>
      </c>
      <c r="C88" s="4" t="s">
        <v>79</v>
      </c>
      <c r="D88" s="4" t="s">
        <v>16</v>
      </c>
      <c r="E88" s="97" t="s">
        <v>634</v>
      </c>
      <c r="F88" s="97" t="s">
        <v>463</v>
      </c>
      <c r="G88" s="17" t="s">
        <v>457</v>
      </c>
      <c r="H88" s="17" t="s">
        <v>469</v>
      </c>
      <c r="I88" s="4" t="s">
        <v>774</v>
      </c>
      <c r="J88" s="130" t="s">
        <v>21</v>
      </c>
      <c r="K88" s="132">
        <v>10</v>
      </c>
      <c r="L88" s="4" t="s">
        <v>97</v>
      </c>
      <c r="M88" s="104" t="s">
        <v>775</v>
      </c>
    </row>
    <row r="89" spans="1:13" ht="409.5" customHeight="1">
      <c r="A89" s="130" t="s">
        <v>635</v>
      </c>
      <c r="B89" s="4" t="s">
        <v>408</v>
      </c>
      <c r="C89" s="4" t="s">
        <v>202</v>
      </c>
      <c r="D89" s="4" t="s">
        <v>16</v>
      </c>
      <c r="E89" s="97" t="s">
        <v>636</v>
      </c>
      <c r="F89" s="97" t="s">
        <v>463</v>
      </c>
      <c r="G89" s="17" t="s">
        <v>457</v>
      </c>
      <c r="H89" s="17" t="s">
        <v>637</v>
      </c>
      <c r="I89" s="4" t="s">
        <v>482</v>
      </c>
      <c r="J89" s="130" t="s">
        <v>21</v>
      </c>
      <c r="K89" s="132">
        <v>10</v>
      </c>
      <c r="L89" s="4" t="s">
        <v>22</v>
      </c>
      <c r="M89" s="104" t="s">
        <v>776</v>
      </c>
    </row>
    <row r="90" spans="1:13" ht="55.5" customHeight="1">
      <c r="A90" s="87"/>
      <c r="E90" s="87"/>
      <c r="F90" s="87"/>
      <c r="G90" s="87"/>
      <c r="H90" s="92"/>
      <c r="J90" s="87"/>
      <c r="K90" s="86"/>
    </row>
    <row r="91" spans="1:13">
      <c r="A91" s="87"/>
      <c r="E91" s="87"/>
      <c r="F91" s="87"/>
      <c r="G91" s="87"/>
      <c r="H91" s="92"/>
      <c r="J91" s="87"/>
      <c r="K91" s="86"/>
    </row>
    <row r="92" spans="1:13">
      <c r="A92" s="87"/>
      <c r="E92" s="87"/>
      <c r="F92" s="87"/>
      <c r="G92" s="87"/>
      <c r="H92" s="92"/>
      <c r="J92" s="87"/>
      <c r="K92" s="86"/>
    </row>
    <row r="93" spans="1:13">
      <c r="A93" s="87"/>
      <c r="E93" s="87"/>
      <c r="F93" s="87"/>
      <c r="G93" s="87"/>
      <c r="H93" s="92"/>
      <c r="J93" s="87"/>
      <c r="K93" s="86"/>
    </row>
    <row r="94" spans="1:13">
      <c r="A94" s="87"/>
      <c r="E94" s="87"/>
      <c r="F94" s="87"/>
      <c r="G94" s="87"/>
      <c r="H94" s="92"/>
      <c r="J94" s="87"/>
      <c r="K94" s="86"/>
    </row>
    <row r="95" spans="1:13" ht="14.25" customHeight="1">
      <c r="A95" s="192"/>
      <c r="B95" s="193"/>
      <c r="C95" s="193"/>
      <c r="D95" s="193"/>
      <c r="G95" s="88"/>
      <c r="H95" s="194"/>
      <c r="I95" s="193"/>
      <c r="J95" s="192"/>
      <c r="K95" s="192"/>
      <c r="L95" s="193"/>
      <c r="M95" s="195"/>
    </row>
    <row r="96" spans="1:13" ht="14.25" customHeight="1">
      <c r="A96" s="192"/>
      <c r="B96" s="193"/>
      <c r="C96" s="193"/>
      <c r="D96" s="193"/>
      <c r="G96" s="88"/>
      <c r="H96" s="194"/>
      <c r="I96" s="193"/>
      <c r="J96" s="192"/>
      <c r="K96" s="192"/>
      <c r="L96" s="193"/>
      <c r="M96" s="195"/>
    </row>
    <row r="97" spans="1:13" ht="14.25" customHeight="1">
      <c r="A97" s="192"/>
      <c r="B97" s="193"/>
      <c r="C97" s="193"/>
      <c r="D97" s="193"/>
      <c r="G97" s="88"/>
      <c r="H97" s="194"/>
      <c r="I97" s="193"/>
      <c r="J97" s="192"/>
      <c r="K97" s="192"/>
      <c r="L97" s="193"/>
      <c r="M97" s="195"/>
    </row>
    <row r="98" spans="1:13" ht="14.25" customHeight="1">
      <c r="A98" s="192"/>
      <c r="B98" s="193"/>
      <c r="C98" s="193"/>
      <c r="D98" s="193"/>
      <c r="G98" s="88"/>
      <c r="H98" s="194"/>
      <c r="I98" s="193"/>
      <c r="J98" s="192"/>
      <c r="K98" s="192"/>
      <c r="L98" s="193"/>
      <c r="M98" s="195"/>
    </row>
    <row r="99" spans="1:13" ht="14.25" customHeight="1">
      <c r="A99" s="192"/>
      <c r="B99" s="193"/>
      <c r="C99" s="193"/>
      <c r="D99" s="193"/>
      <c r="G99" s="88"/>
      <c r="H99" s="194"/>
      <c r="I99" s="193"/>
      <c r="J99" s="192"/>
      <c r="K99" s="192"/>
      <c r="L99" s="193"/>
      <c r="M99" s="195"/>
    </row>
    <row r="100" spans="1:13" ht="14.25" customHeight="1">
      <c r="A100" s="192"/>
      <c r="B100" s="193"/>
      <c r="C100" s="193"/>
      <c r="D100" s="193"/>
      <c r="G100" s="88"/>
      <c r="H100" s="194"/>
      <c r="I100" s="193"/>
      <c r="J100" s="192"/>
      <c r="K100" s="192"/>
      <c r="L100" s="193"/>
      <c r="M100" s="195"/>
    </row>
    <row r="101" spans="1:13" ht="14.25" customHeight="1">
      <c r="A101" s="192"/>
      <c r="B101" s="193"/>
      <c r="C101" s="193"/>
      <c r="D101" s="193"/>
      <c r="G101" s="88"/>
      <c r="H101" s="194"/>
      <c r="I101" s="193"/>
      <c r="J101" s="192"/>
      <c r="K101" s="192"/>
      <c r="L101" s="193"/>
      <c r="M101" s="195"/>
    </row>
    <row r="102" spans="1:13" ht="14.25" customHeight="1">
      <c r="A102" s="192"/>
      <c r="B102" s="193"/>
      <c r="C102" s="193"/>
      <c r="D102" s="193"/>
      <c r="G102" s="88"/>
      <c r="H102" s="194"/>
      <c r="I102" s="193"/>
      <c r="J102" s="192"/>
      <c r="K102" s="192"/>
      <c r="L102" s="193"/>
      <c r="M102" s="195"/>
    </row>
    <row r="103" spans="1:13" ht="14.25" customHeight="1">
      <c r="A103" s="192"/>
      <c r="B103" s="193"/>
      <c r="C103" s="193"/>
      <c r="D103" s="193"/>
      <c r="G103" s="88"/>
      <c r="H103" s="194"/>
      <c r="I103" s="193"/>
      <c r="J103" s="192"/>
      <c r="K103" s="192"/>
      <c r="L103" s="193"/>
      <c r="M103" s="195"/>
    </row>
    <row r="104" spans="1:13" ht="14.25" customHeight="1">
      <c r="A104" s="192"/>
      <c r="B104" s="193"/>
      <c r="C104" s="193"/>
      <c r="D104" s="193"/>
      <c r="G104" s="88"/>
      <c r="H104" s="194"/>
      <c r="I104" s="193"/>
      <c r="J104" s="192"/>
      <c r="K104" s="192"/>
      <c r="L104" s="193"/>
      <c r="M104" s="195"/>
    </row>
    <row r="105" spans="1:13" ht="14.25" customHeight="1">
      <c r="A105" s="192"/>
      <c r="B105" s="193"/>
      <c r="C105" s="193"/>
      <c r="D105" s="193"/>
      <c r="G105" s="88"/>
      <c r="H105" s="194"/>
      <c r="I105" s="193"/>
      <c r="J105" s="192"/>
      <c r="K105" s="192"/>
      <c r="L105" s="193"/>
      <c r="M105" s="195"/>
    </row>
    <row r="106" spans="1:13" ht="14.25" customHeight="1">
      <c r="A106" s="192"/>
      <c r="B106" s="193"/>
      <c r="C106" s="193"/>
      <c r="D106" s="193"/>
      <c r="G106" s="88"/>
      <c r="H106" s="194"/>
      <c r="I106" s="193"/>
      <c r="J106" s="192"/>
      <c r="K106" s="192"/>
      <c r="L106" s="193"/>
      <c r="M106" s="195"/>
    </row>
    <row r="107" spans="1:13" ht="14.25" customHeight="1">
      <c r="A107" s="192"/>
      <c r="B107" s="193"/>
      <c r="C107" s="193"/>
      <c r="D107" s="193"/>
      <c r="G107" s="88"/>
      <c r="H107" s="194"/>
      <c r="I107" s="193"/>
      <c r="J107" s="192"/>
      <c r="K107" s="192"/>
      <c r="L107" s="193"/>
      <c r="M107" s="195"/>
    </row>
    <row r="108" spans="1:13" ht="14.25" customHeight="1">
      <c r="A108" s="192"/>
      <c r="B108" s="193"/>
      <c r="C108" s="193"/>
      <c r="D108" s="193"/>
      <c r="G108" s="88"/>
      <c r="H108" s="194"/>
      <c r="I108" s="193"/>
      <c r="J108" s="192"/>
      <c r="K108" s="192"/>
      <c r="L108" s="193"/>
      <c r="M108" s="195"/>
    </row>
    <row r="109" spans="1:13" ht="14.25" customHeight="1">
      <c r="A109" s="192"/>
      <c r="B109" s="193"/>
      <c r="C109" s="193"/>
      <c r="D109" s="193"/>
      <c r="G109" s="88"/>
      <c r="H109" s="194"/>
      <c r="I109" s="193"/>
      <c r="J109" s="192"/>
      <c r="K109" s="192"/>
      <c r="L109" s="193"/>
      <c r="M109" s="195"/>
    </row>
    <row r="110" spans="1:13" ht="14.25" customHeight="1">
      <c r="A110" s="192"/>
      <c r="B110" s="193"/>
      <c r="C110" s="193"/>
      <c r="D110" s="193"/>
      <c r="G110" s="88"/>
      <c r="H110" s="194"/>
      <c r="I110" s="193"/>
      <c r="J110" s="192"/>
      <c r="K110" s="192"/>
      <c r="L110" s="193"/>
      <c r="M110" s="195"/>
    </row>
    <row r="111" spans="1:13" ht="14.25" customHeight="1">
      <c r="A111" s="192"/>
      <c r="B111" s="193"/>
      <c r="C111" s="193"/>
      <c r="D111" s="193"/>
      <c r="G111" s="88"/>
      <c r="H111" s="194"/>
      <c r="I111" s="193"/>
      <c r="J111" s="192"/>
      <c r="K111" s="192"/>
      <c r="L111" s="193"/>
      <c r="M111" s="195"/>
    </row>
    <row r="112" spans="1:13" ht="14.25" customHeight="1">
      <c r="A112" s="192"/>
      <c r="B112" s="193"/>
      <c r="C112" s="193"/>
      <c r="D112" s="193"/>
      <c r="G112" s="88"/>
      <c r="H112" s="194"/>
      <c r="I112" s="193"/>
      <c r="J112" s="192"/>
      <c r="K112" s="192"/>
      <c r="L112" s="193"/>
      <c r="M112" s="195"/>
    </row>
    <row r="113" spans="1:13" ht="14.25" customHeight="1">
      <c r="A113" s="192"/>
      <c r="B113" s="193"/>
      <c r="C113" s="193"/>
      <c r="D113" s="193"/>
      <c r="G113" s="88"/>
      <c r="H113" s="194"/>
      <c r="I113" s="193"/>
      <c r="J113" s="192"/>
      <c r="K113" s="192"/>
      <c r="L113" s="193"/>
      <c r="M113" s="195"/>
    </row>
    <row r="114" spans="1:13" ht="14.25" customHeight="1">
      <c r="A114" s="192"/>
      <c r="B114" s="193"/>
      <c r="C114" s="193"/>
      <c r="D114" s="193"/>
      <c r="G114" s="88"/>
      <c r="H114" s="194"/>
      <c r="I114" s="193"/>
      <c r="J114" s="192"/>
      <c r="K114" s="192"/>
      <c r="L114" s="193"/>
      <c r="M114" s="195"/>
    </row>
    <row r="115" spans="1:13" ht="14.25" customHeight="1">
      <c r="A115" s="192"/>
      <c r="B115" s="193"/>
      <c r="C115" s="193"/>
      <c r="D115" s="193"/>
      <c r="G115" s="88"/>
      <c r="H115" s="194"/>
      <c r="I115" s="193"/>
      <c r="J115" s="192"/>
      <c r="K115" s="192"/>
      <c r="L115" s="193"/>
      <c r="M115" s="195"/>
    </row>
    <row r="116" spans="1:13" ht="14.25" customHeight="1">
      <c r="A116" s="192"/>
      <c r="B116" s="193"/>
      <c r="C116" s="193"/>
      <c r="D116" s="193"/>
      <c r="G116" s="88"/>
      <c r="H116" s="194"/>
      <c r="I116" s="193"/>
      <c r="J116" s="192"/>
      <c r="K116" s="192"/>
      <c r="L116" s="193"/>
      <c r="M116" s="195"/>
    </row>
    <row r="117" spans="1:13" ht="14.25" customHeight="1">
      <c r="A117" s="192"/>
      <c r="B117" s="193"/>
      <c r="C117" s="193"/>
      <c r="D117" s="193"/>
      <c r="G117" s="88"/>
      <c r="H117" s="194"/>
      <c r="I117" s="193"/>
      <c r="J117" s="192"/>
      <c r="K117" s="192"/>
      <c r="L117" s="193"/>
      <c r="M117" s="195"/>
    </row>
    <row r="118" spans="1:13" ht="14.25" customHeight="1">
      <c r="A118" s="192"/>
      <c r="B118" s="193"/>
      <c r="C118" s="193"/>
      <c r="D118" s="193"/>
      <c r="G118" s="88"/>
      <c r="H118" s="194"/>
      <c r="I118" s="193"/>
      <c r="J118" s="192"/>
      <c r="K118" s="192"/>
      <c r="L118" s="193"/>
      <c r="M118" s="195"/>
    </row>
    <row r="119" spans="1:13" ht="15.75" customHeight="1">
      <c r="A119" s="192"/>
      <c r="B119" s="193"/>
      <c r="C119" s="193"/>
      <c r="D119" s="193"/>
      <c r="G119" s="88"/>
      <c r="H119" s="194"/>
      <c r="I119" s="193"/>
      <c r="J119" s="192"/>
      <c r="K119" s="192"/>
      <c r="L119" s="193"/>
      <c r="M119" s="195" t="s">
        <v>485</v>
      </c>
    </row>
    <row r="120" spans="1:13" ht="14.25" customHeight="1">
      <c r="A120" s="192"/>
      <c r="B120" s="193"/>
      <c r="C120" s="193"/>
      <c r="D120" s="193"/>
      <c r="G120" s="88"/>
      <c r="H120" s="194"/>
      <c r="I120" s="193"/>
      <c r="J120" s="192"/>
      <c r="K120" s="192"/>
      <c r="L120" s="193"/>
      <c r="M120" s="195"/>
    </row>
    <row r="121" spans="1:13" ht="14.25" customHeight="1">
      <c r="A121" s="192"/>
      <c r="B121" s="193"/>
      <c r="C121" s="193"/>
      <c r="D121" s="193"/>
      <c r="G121" s="88"/>
      <c r="H121" s="194"/>
      <c r="I121" s="193"/>
      <c r="J121" s="192"/>
      <c r="K121" s="192"/>
      <c r="L121" s="193"/>
      <c r="M121" s="195"/>
    </row>
    <row r="122" spans="1:13" ht="14.25" customHeight="1">
      <c r="A122" s="192"/>
      <c r="B122" s="193"/>
      <c r="C122" s="193"/>
      <c r="D122" s="193"/>
      <c r="G122" s="88"/>
      <c r="H122" s="194"/>
      <c r="I122" s="193"/>
      <c r="J122" s="192"/>
      <c r="K122" s="192"/>
      <c r="L122" s="193"/>
      <c r="M122" s="195"/>
    </row>
    <row r="123" spans="1:13" ht="14.25" customHeight="1">
      <c r="A123" s="192"/>
      <c r="B123" s="193"/>
      <c r="C123" s="193"/>
      <c r="D123" s="193"/>
      <c r="G123" s="88"/>
      <c r="H123" s="194"/>
      <c r="I123" s="193"/>
      <c r="J123" s="192"/>
      <c r="K123" s="192"/>
      <c r="L123" s="193"/>
      <c r="M123" s="195"/>
    </row>
    <row r="124" spans="1:13" ht="14.25" customHeight="1">
      <c r="A124" s="192"/>
      <c r="B124" s="193"/>
      <c r="C124" s="193"/>
      <c r="D124" s="193"/>
      <c r="G124" s="88"/>
      <c r="H124" s="194"/>
      <c r="I124" s="193"/>
      <c r="J124" s="192"/>
      <c r="K124" s="192"/>
      <c r="L124" s="193"/>
      <c r="M124" s="195"/>
    </row>
    <row r="125" spans="1:13" ht="14.25" customHeight="1">
      <c r="A125" s="192"/>
      <c r="B125" s="193"/>
      <c r="C125" s="193"/>
      <c r="D125" s="193"/>
      <c r="G125" s="88"/>
      <c r="H125" s="194"/>
      <c r="I125" s="193"/>
      <c r="J125" s="192"/>
      <c r="K125" s="192"/>
      <c r="L125" s="193"/>
      <c r="M125" s="195"/>
    </row>
    <row r="126" spans="1:13" ht="15.75" customHeight="1">
      <c r="A126" s="192"/>
      <c r="B126" s="193"/>
      <c r="C126" s="193"/>
      <c r="D126" s="193"/>
      <c r="G126" s="88"/>
      <c r="H126" s="194"/>
      <c r="I126" s="193"/>
      <c r="J126" s="192"/>
      <c r="K126" s="192"/>
      <c r="L126" s="193"/>
      <c r="M126" s="195" t="s">
        <v>485</v>
      </c>
    </row>
    <row r="127" spans="1:13" ht="14.25" customHeight="1">
      <c r="A127" s="192"/>
      <c r="B127" s="193"/>
      <c r="C127" s="193"/>
      <c r="D127" s="193"/>
      <c r="G127" s="88"/>
      <c r="H127" s="194"/>
      <c r="I127" s="193"/>
      <c r="J127" s="192"/>
      <c r="K127" s="192"/>
      <c r="L127" s="193"/>
      <c r="M127" s="195"/>
    </row>
    <row r="128" spans="1:13" ht="14.25" customHeight="1">
      <c r="A128" s="192"/>
      <c r="B128" s="193"/>
      <c r="C128" s="193"/>
      <c r="D128" s="193"/>
      <c r="G128" s="88"/>
      <c r="H128" s="194"/>
      <c r="I128" s="193"/>
      <c r="J128" s="192"/>
      <c r="K128" s="192"/>
      <c r="L128" s="193"/>
      <c r="M128" s="195"/>
    </row>
    <row r="129" spans="1:13" ht="14.25" customHeight="1">
      <c r="A129" s="192"/>
      <c r="B129" s="193"/>
      <c r="C129" s="193"/>
      <c r="D129" s="193"/>
      <c r="G129" s="88"/>
      <c r="H129" s="194"/>
      <c r="I129" s="193"/>
      <c r="J129" s="192"/>
      <c r="K129" s="192"/>
      <c r="L129" s="193"/>
      <c r="M129" s="195"/>
    </row>
    <row r="130" spans="1:13" ht="14.25" customHeight="1">
      <c r="A130" s="192"/>
      <c r="B130" s="193"/>
      <c r="C130" s="193"/>
      <c r="D130" s="193"/>
      <c r="G130" s="88"/>
      <c r="H130" s="194"/>
      <c r="I130" s="193"/>
      <c r="J130" s="192"/>
      <c r="K130" s="192"/>
      <c r="L130" s="193"/>
      <c r="M130" s="195"/>
    </row>
    <row r="131" spans="1:13" ht="14.25" customHeight="1">
      <c r="A131" s="192"/>
      <c r="B131" s="193"/>
      <c r="C131" s="193"/>
      <c r="D131" s="193"/>
      <c r="G131" s="88"/>
      <c r="H131" s="194"/>
      <c r="I131" s="193"/>
      <c r="J131" s="192"/>
      <c r="K131" s="192"/>
      <c r="L131" s="193"/>
      <c r="M131" s="195"/>
    </row>
    <row r="132" spans="1:13" ht="15.75" customHeight="1">
      <c r="A132" s="192"/>
      <c r="B132" s="193"/>
      <c r="C132" s="193"/>
      <c r="D132" s="193"/>
      <c r="G132" s="88"/>
      <c r="H132" s="194"/>
      <c r="I132" s="193"/>
      <c r="J132" s="192"/>
      <c r="K132" s="192"/>
      <c r="L132" s="193"/>
      <c r="M132" s="195" t="s">
        <v>485</v>
      </c>
    </row>
    <row r="133" spans="1:13" ht="14.25" customHeight="1">
      <c r="A133" s="192"/>
      <c r="B133" s="193"/>
      <c r="C133" s="193"/>
      <c r="D133" s="193"/>
      <c r="G133" s="88"/>
      <c r="H133" s="194"/>
      <c r="I133" s="193"/>
      <c r="J133" s="192"/>
      <c r="K133" s="192"/>
      <c r="L133" s="193"/>
      <c r="M133" s="195"/>
    </row>
    <row r="134" spans="1:13" ht="14.25" customHeight="1">
      <c r="A134" s="192"/>
      <c r="B134" s="193"/>
      <c r="C134" s="193"/>
      <c r="D134" s="193"/>
      <c r="G134" s="88"/>
      <c r="H134" s="194"/>
      <c r="I134" s="193"/>
      <c r="J134" s="192"/>
      <c r="K134" s="192"/>
      <c r="L134" s="193"/>
      <c r="M134" s="195"/>
    </row>
    <row r="135" spans="1:13" ht="14.25" customHeight="1">
      <c r="A135" s="192"/>
      <c r="B135" s="193"/>
      <c r="C135" s="193"/>
      <c r="D135" s="193"/>
      <c r="G135" s="88"/>
      <c r="H135" s="194"/>
      <c r="I135" s="193"/>
      <c r="J135" s="192"/>
      <c r="K135" s="192"/>
      <c r="L135" s="193"/>
      <c r="M135" s="195"/>
    </row>
    <row r="136" spans="1:13" ht="14.25" customHeight="1">
      <c r="A136" s="192"/>
      <c r="B136" s="193"/>
      <c r="C136" s="193"/>
      <c r="D136" s="193"/>
      <c r="G136" s="88"/>
      <c r="H136" s="194"/>
      <c r="I136" s="193"/>
      <c r="J136" s="192"/>
      <c r="K136" s="192"/>
      <c r="L136" s="193"/>
      <c r="M136" s="195"/>
    </row>
    <row r="137" spans="1:13" ht="14.25" customHeight="1">
      <c r="A137" s="192"/>
      <c r="B137" s="193"/>
      <c r="C137" s="193"/>
      <c r="D137" s="193"/>
      <c r="G137" s="88"/>
      <c r="H137" s="194"/>
      <c r="I137" s="193"/>
      <c r="J137" s="192"/>
      <c r="K137" s="192"/>
      <c r="L137" s="193"/>
      <c r="M137" s="195"/>
    </row>
    <row r="138" spans="1:13" ht="14.25" customHeight="1">
      <c r="A138" s="192"/>
      <c r="B138" s="193"/>
      <c r="C138" s="193"/>
      <c r="D138" s="193"/>
      <c r="G138" s="88"/>
      <c r="H138" s="194"/>
      <c r="I138" s="193"/>
      <c r="J138" s="192"/>
      <c r="K138" s="192"/>
      <c r="L138" s="193"/>
      <c r="M138" s="195"/>
    </row>
    <row r="139" spans="1:13" ht="14.25" customHeight="1">
      <c r="A139" s="192"/>
      <c r="B139" s="193"/>
      <c r="C139" s="193"/>
      <c r="D139" s="193"/>
      <c r="G139" s="88"/>
      <c r="H139" s="194"/>
      <c r="I139" s="193"/>
      <c r="J139" s="192"/>
      <c r="K139" s="192"/>
      <c r="L139" s="193"/>
      <c r="M139" s="195"/>
    </row>
    <row r="140" spans="1:13" ht="14.25" customHeight="1">
      <c r="A140" s="192"/>
      <c r="B140" s="193"/>
      <c r="C140" s="193"/>
      <c r="D140" s="193"/>
      <c r="G140" s="88"/>
      <c r="H140" s="194"/>
      <c r="I140" s="193"/>
      <c r="J140" s="192"/>
      <c r="K140" s="192"/>
      <c r="L140" s="193"/>
      <c r="M140" s="195"/>
    </row>
    <row r="141" spans="1:13" ht="14.25" customHeight="1">
      <c r="A141" s="192"/>
      <c r="B141" s="193"/>
      <c r="C141" s="193"/>
      <c r="D141" s="193"/>
      <c r="G141" s="88"/>
      <c r="H141" s="194"/>
      <c r="I141" s="193"/>
      <c r="J141" s="192"/>
      <c r="K141" s="192"/>
      <c r="L141" s="193"/>
      <c r="M141" s="195"/>
    </row>
    <row r="142" spans="1:13" ht="14.25" customHeight="1">
      <c r="A142" s="192"/>
      <c r="B142" s="193"/>
      <c r="C142" s="193"/>
      <c r="D142" s="193"/>
      <c r="G142" s="88"/>
      <c r="H142" s="194"/>
      <c r="I142" s="193"/>
      <c r="J142" s="192"/>
      <c r="K142" s="192"/>
      <c r="L142" s="193"/>
      <c r="M142" s="195"/>
    </row>
    <row r="143" spans="1:13" ht="14.25" customHeight="1">
      <c r="A143" s="192"/>
      <c r="B143" s="193"/>
      <c r="C143" s="193"/>
      <c r="D143" s="193"/>
      <c r="G143" s="88"/>
      <c r="H143" s="194"/>
      <c r="I143" s="193"/>
      <c r="J143" s="192"/>
      <c r="K143" s="192"/>
      <c r="L143" s="193"/>
      <c r="M143" s="195"/>
    </row>
    <row r="144" spans="1:13" ht="14.25" customHeight="1">
      <c r="A144" s="192"/>
      <c r="B144" s="193"/>
      <c r="C144" s="193"/>
      <c r="D144" s="193"/>
      <c r="G144" s="88"/>
      <c r="H144" s="194"/>
      <c r="I144" s="193"/>
      <c r="J144" s="192"/>
      <c r="K144" s="192"/>
      <c r="L144" s="193"/>
      <c r="M144" s="195"/>
    </row>
    <row r="145" spans="1:13" ht="14.25" customHeight="1">
      <c r="A145" s="192"/>
      <c r="B145" s="193"/>
      <c r="C145" s="193"/>
      <c r="D145" s="193"/>
      <c r="G145" s="88"/>
      <c r="H145" s="194"/>
      <c r="I145" s="193"/>
      <c r="J145" s="192"/>
      <c r="K145" s="192"/>
      <c r="L145" s="193"/>
      <c r="M145" s="195"/>
    </row>
    <row r="146" spans="1:13" ht="14.25" customHeight="1">
      <c r="A146" s="192"/>
      <c r="B146" s="193"/>
      <c r="C146" s="193"/>
      <c r="D146" s="193"/>
      <c r="G146" s="88"/>
      <c r="H146" s="194"/>
      <c r="I146" s="193"/>
      <c r="J146" s="192"/>
      <c r="K146" s="192"/>
      <c r="L146" s="193"/>
      <c r="M146" s="195"/>
    </row>
    <row r="147" spans="1:13" ht="14.25" customHeight="1">
      <c r="A147" s="192"/>
      <c r="B147" s="193"/>
      <c r="C147" s="193"/>
      <c r="D147" s="193"/>
      <c r="G147" s="88"/>
      <c r="H147" s="194"/>
      <c r="I147" s="193"/>
      <c r="J147" s="192"/>
      <c r="K147" s="192"/>
      <c r="L147" s="193"/>
      <c r="M147" s="195"/>
    </row>
    <row r="148" spans="1:13" ht="14.25" customHeight="1">
      <c r="A148" s="192"/>
      <c r="B148" s="193"/>
      <c r="C148" s="193"/>
      <c r="D148" s="193"/>
      <c r="G148" s="88"/>
      <c r="H148" s="194"/>
      <c r="I148" s="193"/>
      <c r="J148" s="192"/>
      <c r="K148" s="192"/>
      <c r="L148" s="193"/>
      <c r="M148" s="195"/>
    </row>
    <row r="149" spans="1:13" ht="14.25" customHeight="1">
      <c r="A149" s="192"/>
      <c r="B149" s="193"/>
      <c r="C149" s="193"/>
      <c r="D149" s="193"/>
      <c r="G149" s="88"/>
      <c r="H149" s="194"/>
      <c r="I149" s="193"/>
      <c r="J149" s="192"/>
      <c r="K149" s="192"/>
      <c r="L149" s="193"/>
      <c r="M149" s="195"/>
    </row>
    <row r="150" spans="1:13" ht="14.25" customHeight="1">
      <c r="A150" s="192"/>
      <c r="B150" s="193"/>
      <c r="C150" s="193"/>
      <c r="D150" s="193"/>
      <c r="G150" s="88"/>
      <c r="H150" s="194"/>
      <c r="I150" s="193"/>
      <c r="J150" s="192"/>
      <c r="K150" s="192"/>
      <c r="L150" s="193"/>
      <c r="M150" s="195"/>
    </row>
    <row r="151" spans="1:13" ht="14.25" customHeight="1">
      <c r="A151" s="192"/>
      <c r="B151" s="193"/>
      <c r="C151" s="193"/>
      <c r="D151" s="193"/>
      <c r="G151" s="88"/>
      <c r="H151" s="194"/>
      <c r="I151" s="193"/>
      <c r="J151" s="192"/>
      <c r="K151" s="192"/>
      <c r="L151" s="193"/>
      <c r="M151" s="195"/>
    </row>
    <row r="152" spans="1:13" ht="14.25" customHeight="1">
      <c r="A152" s="192"/>
      <c r="B152" s="193"/>
      <c r="C152" s="193"/>
      <c r="D152" s="193"/>
      <c r="G152" s="88"/>
      <c r="H152" s="194"/>
      <c r="I152" s="193"/>
      <c r="J152" s="192"/>
      <c r="K152" s="192"/>
      <c r="L152" s="193"/>
      <c r="M152" s="195"/>
    </row>
    <row r="153" spans="1:13" ht="14.25" customHeight="1">
      <c r="A153" s="192"/>
      <c r="B153" s="193"/>
      <c r="C153" s="193"/>
      <c r="D153" s="193"/>
      <c r="G153" s="88"/>
      <c r="H153" s="194"/>
      <c r="I153" s="193"/>
      <c r="J153" s="192"/>
      <c r="K153" s="192"/>
      <c r="L153" s="193"/>
      <c r="M153" s="195"/>
    </row>
    <row r="154" spans="1:13" ht="15" customHeight="1">
      <c r="A154" s="192"/>
      <c r="B154" s="193"/>
      <c r="C154" s="193"/>
      <c r="D154" s="193"/>
      <c r="G154" s="88"/>
      <c r="H154" s="194"/>
      <c r="I154" s="193"/>
      <c r="J154" s="192"/>
      <c r="K154" s="192"/>
      <c r="L154" s="193"/>
      <c r="M154" s="195" t="s">
        <v>485</v>
      </c>
    </row>
    <row r="155" spans="1:13" ht="14.25" customHeight="1">
      <c r="A155" s="192"/>
      <c r="B155" s="193"/>
      <c r="C155" s="193"/>
      <c r="D155" s="193"/>
      <c r="G155" s="88"/>
      <c r="H155" s="194"/>
      <c r="I155" s="193"/>
      <c r="J155" s="192"/>
      <c r="K155" s="192"/>
      <c r="L155" s="193"/>
      <c r="M155" s="195"/>
    </row>
    <row r="156" spans="1:13" ht="14.25" customHeight="1">
      <c r="A156" s="192"/>
      <c r="B156" s="193"/>
      <c r="C156" s="193"/>
      <c r="D156" s="193"/>
      <c r="G156" s="88"/>
      <c r="H156" s="194"/>
      <c r="I156" s="193"/>
      <c r="J156" s="192"/>
      <c r="K156" s="192"/>
      <c r="L156" s="193"/>
      <c r="M156" s="195"/>
    </row>
    <row r="157" spans="1:13" ht="15" customHeight="1">
      <c r="A157" s="192"/>
      <c r="B157" s="193"/>
      <c r="C157" s="193"/>
      <c r="D157" s="193"/>
      <c r="G157" s="88"/>
      <c r="H157" s="194"/>
      <c r="I157" s="193"/>
      <c r="J157" s="192"/>
      <c r="K157" s="192"/>
      <c r="L157" s="193"/>
      <c r="M157" s="195" t="s">
        <v>485</v>
      </c>
    </row>
    <row r="158" spans="1:13" ht="14.25" customHeight="1">
      <c r="A158" s="192"/>
      <c r="B158" s="193"/>
      <c r="C158" s="193"/>
      <c r="D158" s="193"/>
      <c r="G158" s="88"/>
      <c r="H158" s="194"/>
      <c r="I158" s="193"/>
      <c r="J158" s="192"/>
      <c r="K158" s="192"/>
      <c r="L158" s="193"/>
      <c r="M158" s="195"/>
    </row>
    <row r="159" spans="1:13" ht="14.25" customHeight="1">
      <c r="A159" s="192"/>
      <c r="B159" s="193"/>
      <c r="C159" s="193"/>
      <c r="D159" s="193"/>
      <c r="G159" s="88"/>
      <c r="H159" s="194"/>
      <c r="I159" s="193"/>
      <c r="J159" s="192"/>
      <c r="K159" s="192"/>
      <c r="L159" s="193"/>
      <c r="M159" s="195"/>
    </row>
    <row r="160" spans="1:13">
      <c r="G160" s="88"/>
      <c r="H160" s="194"/>
    </row>
    <row r="161" spans="7:8">
      <c r="G161" s="88"/>
      <c r="H161" s="194"/>
    </row>
    <row r="162" spans="7:8">
      <c r="G162" s="88"/>
      <c r="H162" s="194"/>
    </row>
    <row r="163" spans="7:8">
      <c r="G163" s="88"/>
      <c r="H163" s="194"/>
    </row>
    <row r="164" spans="7:8">
      <c r="G164" s="88"/>
      <c r="H164" s="194"/>
    </row>
    <row r="165" spans="7:8">
      <c r="G165" s="88"/>
      <c r="H165" s="194"/>
    </row>
    <row r="166" spans="7:8">
      <c r="G166" s="88"/>
      <c r="H166" s="194"/>
    </row>
    <row r="167" spans="7:8">
      <c r="G167" s="88"/>
      <c r="H167" s="194"/>
    </row>
    <row r="168" spans="7:8">
      <c r="G168" s="88"/>
      <c r="H168" s="194"/>
    </row>
    <row r="169" spans="7:8">
      <c r="G169" s="88"/>
      <c r="H169" s="194"/>
    </row>
    <row r="170" spans="7:8">
      <c r="G170" s="88"/>
      <c r="H170" s="194"/>
    </row>
    <row r="171" spans="7:8">
      <c r="G171" s="88"/>
      <c r="H171" s="194"/>
    </row>
    <row r="172" spans="7:8">
      <c r="G172" s="88"/>
      <c r="H172" s="194"/>
    </row>
    <row r="173" spans="7:8">
      <c r="G173" s="88"/>
      <c r="H173" s="194"/>
    </row>
    <row r="174" spans="7:8">
      <c r="G174" s="88"/>
      <c r="H174" s="194"/>
    </row>
    <row r="175" spans="7:8">
      <c r="G175" s="88"/>
      <c r="H175" s="194"/>
    </row>
    <row r="176" spans="7:8">
      <c r="G176" s="88"/>
      <c r="H176" s="194"/>
    </row>
    <row r="177" spans="7:8">
      <c r="G177" s="88"/>
      <c r="H177" s="194"/>
    </row>
    <row r="178" spans="7:8">
      <c r="G178" s="88"/>
      <c r="H178" s="194"/>
    </row>
    <row r="179" spans="7:8">
      <c r="G179" s="88"/>
      <c r="H179" s="194"/>
    </row>
    <row r="180" spans="7:8">
      <c r="G180" s="88"/>
      <c r="H180" s="194"/>
    </row>
    <row r="181" spans="7:8">
      <c r="G181" s="88"/>
      <c r="H181" s="194"/>
    </row>
    <row r="182" spans="7:8">
      <c r="G182" s="88"/>
      <c r="H182" s="194"/>
    </row>
    <row r="183" spans="7:8">
      <c r="G183" s="88"/>
      <c r="H183" s="194"/>
    </row>
    <row r="184" spans="7:8">
      <c r="G184" s="88"/>
      <c r="H184" s="194"/>
    </row>
    <row r="185" spans="7:8">
      <c r="G185" s="88"/>
      <c r="H185" s="194"/>
    </row>
    <row r="186" spans="7:8">
      <c r="G186" s="88"/>
      <c r="H186" s="194"/>
    </row>
    <row r="187" spans="7:8">
      <c r="G187" s="88"/>
      <c r="H187" s="194"/>
    </row>
    <row r="188" spans="7:8">
      <c r="G188" s="88"/>
      <c r="H188" s="194"/>
    </row>
    <row r="189" spans="7:8">
      <c r="G189" s="88"/>
      <c r="H189" s="194"/>
    </row>
    <row r="190" spans="7:8">
      <c r="G190" s="88"/>
      <c r="H190" s="194"/>
    </row>
    <row r="191" spans="7:8">
      <c r="G191" s="88"/>
      <c r="H191" s="194"/>
    </row>
    <row r="192" spans="7:8">
      <c r="G192" s="88"/>
      <c r="H192" s="194"/>
    </row>
    <row r="193" spans="7:8">
      <c r="G193" s="88"/>
      <c r="H193" s="194"/>
    </row>
    <row r="194" spans="7:8">
      <c r="G194" s="88"/>
      <c r="H194" s="194"/>
    </row>
    <row r="195" spans="7:8">
      <c r="G195" s="88"/>
      <c r="H195" s="194"/>
    </row>
    <row r="196" spans="7:8">
      <c r="G196" s="88"/>
      <c r="H196" s="194"/>
    </row>
    <row r="197" spans="7:8">
      <c r="G197" s="88"/>
      <c r="H197" s="194"/>
    </row>
    <row r="198" spans="7:8">
      <c r="G198" s="88"/>
      <c r="H198" s="194"/>
    </row>
    <row r="199" spans="7:8">
      <c r="G199" s="88"/>
      <c r="H199" s="194"/>
    </row>
    <row r="200" spans="7:8">
      <c r="G200" s="88"/>
      <c r="H200" s="194"/>
    </row>
    <row r="201" spans="7:8">
      <c r="G201" s="88"/>
      <c r="H201" s="194"/>
    </row>
    <row r="202" spans="7:8">
      <c r="G202" s="88"/>
      <c r="H202" s="194"/>
    </row>
    <row r="203" spans="7:8">
      <c r="G203" s="88"/>
      <c r="H203" s="194"/>
    </row>
    <row r="204" spans="7:8">
      <c r="G204" s="88"/>
      <c r="H204" s="194"/>
    </row>
    <row r="205" spans="7:8">
      <c r="G205" s="88"/>
      <c r="H205" s="194"/>
    </row>
    <row r="206" spans="7:8">
      <c r="G206" s="88"/>
      <c r="H206" s="194"/>
    </row>
    <row r="207" spans="7:8">
      <c r="G207" s="88"/>
      <c r="H207" s="194"/>
    </row>
    <row r="208" spans="7:8">
      <c r="G208" s="88"/>
      <c r="H208" s="194"/>
    </row>
    <row r="209" spans="7:8">
      <c r="G209" s="88"/>
      <c r="H209" s="194"/>
    </row>
    <row r="210" spans="7:8">
      <c r="G210" s="88"/>
      <c r="H210" s="194"/>
    </row>
    <row r="211" spans="7:8">
      <c r="G211" s="88"/>
      <c r="H211" s="194"/>
    </row>
    <row r="212" spans="7:8">
      <c r="G212" s="88"/>
      <c r="H212" s="194"/>
    </row>
    <row r="213" spans="7:8">
      <c r="G213" s="88"/>
      <c r="H213" s="194"/>
    </row>
    <row r="214" spans="7:8">
      <c r="G214" s="88"/>
      <c r="H214" s="194"/>
    </row>
    <row r="215" spans="7:8">
      <c r="G215" s="88"/>
      <c r="H215" s="194"/>
    </row>
    <row r="216" spans="7:8">
      <c r="G216" s="88"/>
      <c r="H216" s="194"/>
    </row>
    <row r="217" spans="7:8">
      <c r="G217" s="88"/>
      <c r="H217" s="194"/>
    </row>
    <row r="218" spans="7:8">
      <c r="G218" s="88"/>
      <c r="H218" s="194"/>
    </row>
    <row r="219" spans="7:8">
      <c r="G219" s="88"/>
      <c r="H219" s="194"/>
    </row>
    <row r="220" spans="7:8">
      <c r="G220" s="88"/>
      <c r="H220" s="194"/>
    </row>
    <row r="221" spans="7:8">
      <c r="G221" s="88"/>
      <c r="H221" s="194"/>
    </row>
    <row r="222" spans="7:8">
      <c r="G222" s="196"/>
      <c r="H222" s="197"/>
    </row>
  </sheetData>
  <mergeCells count="7">
    <mergeCell ref="K68:K73"/>
    <mergeCell ref="L68:L73"/>
    <mergeCell ref="B68:B73"/>
    <mergeCell ref="C68:C73"/>
    <mergeCell ref="D68:D73"/>
    <mergeCell ref="I68:I73"/>
    <mergeCell ref="J68:J7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1"/>
  <sheetViews>
    <sheetView topLeftCell="A9" zoomScaleNormal="100" workbookViewId="0">
      <selection activeCell="I14" sqref="I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15</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1">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State-level planning framework</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provision for a State Spatial Planning Board which is mandated with planning policies and reforms for the state?</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Part A - Check if the state Town and Country Planning (T&amp;CP) act provides for a state-level town and country planning board/ spatial planning board or equivalent body with a 'Shall' provision. If yes, score 5. Where the law only enables the constitution of such a body (e.g., “the State Government may constitute”), additionally verify whether the body has actually been constituted through a government notification or order, or by checking the official website of the relevant State Government department or planning body. If yes, score 5.
Part B - If Part A is scored as 'Yes', check whether the body has an explicit mandate to advise on or formulate state-level spatial planning policies and reforms. if yes, score 5. 
</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Please note that the name of the body need not be identical, provided its statutory functions correspond to the intent of the question.</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"Part A: State planning board provided / constituted ("&amp;TEXT($C$7/2,"0.00")&amp;")"</f>
        <v>Part A: State planning board provided / constituted (5.00)</v>
      </c>
      <c r="I12" s="235" t="str">
        <f>"Part B: Mandate on state spatial planning policies &amp; reforms (counts only if Part A = YES) ("&amp;TEXT($C$7/2,"0.00")&amp;")"</f>
        <v>Part B: Mandate on state spatial planning policies &amp; reforms (counts only if Part A = YES) (5.00)</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c r="A14" s="236" t="s">
        <v>487</v>
      </c>
      <c r="B14" s="237"/>
      <c r="C14" s="237"/>
      <c r="D14" s="237"/>
      <c r="E14" s="237"/>
      <c r="F14" s="237"/>
      <c r="G14" s="237"/>
      <c r="H14" s="238"/>
      <c r="I14" s="238"/>
      <c r="J14" s="239" t="str">
        <f t="shared" si="0"/>
        <v/>
      </c>
      <c r="K14" s="237"/>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05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1"/>
  <sheetViews>
    <sheetView zoomScaleNormal="100" workbookViewId="0">
      <selection activeCell="A12" sqref="A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28</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0">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State-level planning framework</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provision for the establishment of Planning Authorities for notified new towns or special developments?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if the T&amp;CP Act has provisions for establishing a planning authority for new areas/towns notified. The state can also be considered, if the provision mandates the existing planning authority to develop a plan for the notified new area.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06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1"/>
  <sheetViews>
    <sheetView zoomScaleNormal="100" workbookViewId="0">
      <pane xSplit="1" ySplit="12" topLeftCell="B13" activePane="bottomRight" state="frozen"/>
      <selection pane="bottomRight" activeCell="B9" sqref="B9"/>
      <selection pane="bottomLeft" activeCell="A13" sqref="A13"/>
      <selection pane="topRight" activeCell="B1" sqref="B1"/>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38</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Metropolitan/ Regional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The T&amp;CP Act should mandate three levels of spatial plans.  &gt;:&lt; Check the T&amp;CP/Metropolitan Planning Act for provisions that mandate the creation of a metropolitan/regional plan. Relevant metropolitan authority act/urban areas development authority act can also be considered for evidence. If the city is not a metropolitan, the act should mandate the creation of a regional plan.</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07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1"/>
  <sheetViews>
    <sheetView topLeftCell="A8" zoomScaleNormal="100" workbookViewId="0">
      <selection activeCell="B6" sqref="B6"/>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44</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Municipal/city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The T&amp;CP Act should mandate three levels of spatial plans.  &gt;:&lt; Check the T&amp;CP Act for provisions that mandate the creation of a municipal/city plan. Relevant urban areas development authority act can also be considered for evidence.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08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1"/>
  <sheetViews>
    <sheetView topLeftCell="A9" zoomScaleNormal="100" workbookViewId="0">
      <selection activeCell="H16" sqref="H16"/>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49</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1"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Ward(s)/local plan</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1" ht="101.4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The T&amp;CP Act should mandate three levels of spatial plans.  &gt;:&lt; Check the T&amp;CP Act for provisions that mandate the creation of a third tier of plan at the zone/ward level. Town planning schemes that are developed within the framework of the municipal/city plan shall not be considered. </v>
      </c>
    </row>
    <row r="10" spans="1:11" ht="44.1"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Please capture in the comments if the mandate is for a zonal/ward/local area plan, mention the type.</v>
      </c>
    </row>
    <row r="11" spans="1:11" ht="29.1">
      <c r="H11" s="232" t="s">
        <v>782</v>
      </c>
      <c r="I11" s="233" t="s">
        <v>783</v>
      </c>
    </row>
    <row r="12" spans="1:11" ht="60" customHeight="1">
      <c r="A12" s="234" t="s">
        <v>784</v>
      </c>
      <c r="B12" s="234" t="s">
        <v>785</v>
      </c>
      <c r="C12" s="234" t="s">
        <v>786</v>
      </c>
      <c r="D12" s="234" t="s">
        <v>787</v>
      </c>
      <c r="E12" s="234" t="s">
        <v>788</v>
      </c>
      <c r="F12" s="234" t="s">
        <v>789</v>
      </c>
      <c r="G12" s="234" t="s">
        <v>790</v>
      </c>
      <c r="H12" s="235" t="s">
        <v>793</v>
      </c>
      <c r="I12" s="233" t="s">
        <v>791</v>
      </c>
      <c r="J12" s="235" t="s">
        <v>792</v>
      </c>
      <c r="K12" s="235" t="s">
        <v>794</v>
      </c>
    </row>
    <row r="13" spans="1:11">
      <c r="A13" s="236" t="s">
        <v>486</v>
      </c>
      <c r="B13" s="237"/>
      <c r="C13" s="237"/>
      <c r="D13" s="237"/>
      <c r="E13" s="237"/>
      <c r="F13" s="237"/>
      <c r="G13" s="237"/>
      <c r="H13" s="238"/>
      <c r="I13" s="239" t="str">
        <f t="shared" ref="I13:I41" si="0">IF(H13="YES",$C$7,IF(H13="NO",0,""))</f>
        <v/>
      </c>
      <c r="J13" s="237"/>
      <c r="K13" s="237"/>
    </row>
    <row r="14" spans="1:11">
      <c r="A14" s="236" t="s">
        <v>487</v>
      </c>
      <c r="B14" s="237"/>
      <c r="C14" s="237"/>
      <c r="D14" s="237"/>
      <c r="E14" s="237"/>
      <c r="F14" s="237"/>
      <c r="G14" s="237"/>
      <c r="H14" s="238"/>
      <c r="I14" s="239" t="str">
        <f t="shared" si="0"/>
        <v/>
      </c>
      <c r="J14" s="237"/>
      <c r="K14" s="237"/>
    </row>
    <row r="15" spans="1:11">
      <c r="A15" s="236" t="s">
        <v>488</v>
      </c>
      <c r="B15" s="237"/>
      <c r="C15" s="237"/>
      <c r="D15" s="237"/>
      <c r="E15" s="237"/>
      <c r="F15" s="237"/>
      <c r="G15" s="237"/>
      <c r="H15" s="238"/>
      <c r="I15" s="239" t="str">
        <f t="shared" si="0"/>
        <v/>
      </c>
      <c r="J15" s="237"/>
      <c r="K15" s="237"/>
    </row>
    <row r="16" spans="1:11">
      <c r="A16" s="236" t="s">
        <v>489</v>
      </c>
      <c r="B16" s="237"/>
      <c r="C16" s="237"/>
      <c r="D16" s="237"/>
      <c r="E16" s="237"/>
      <c r="F16" s="237"/>
      <c r="G16" s="237"/>
      <c r="H16" s="238"/>
      <c r="I16" s="239" t="str">
        <f t="shared" si="0"/>
        <v/>
      </c>
      <c r="J16" s="237"/>
      <c r="K16" s="237"/>
    </row>
    <row r="17" spans="1:11">
      <c r="A17" s="236" t="s">
        <v>490</v>
      </c>
      <c r="B17" s="237"/>
      <c r="C17" s="237"/>
      <c r="D17" s="237"/>
      <c r="E17" s="237"/>
      <c r="F17" s="237"/>
      <c r="G17" s="237"/>
      <c r="H17" s="238"/>
      <c r="I17" s="239" t="str">
        <f t="shared" si="0"/>
        <v/>
      </c>
      <c r="J17" s="237"/>
      <c r="K17" s="237"/>
    </row>
    <row r="18" spans="1:11">
      <c r="A18" s="236" t="s">
        <v>491</v>
      </c>
      <c r="B18" s="237"/>
      <c r="C18" s="237"/>
      <c r="D18" s="237"/>
      <c r="E18" s="237"/>
      <c r="F18" s="237"/>
      <c r="G18" s="237"/>
      <c r="H18" s="238"/>
      <c r="I18" s="239" t="str">
        <f t="shared" si="0"/>
        <v/>
      </c>
      <c r="J18" s="237"/>
      <c r="K18" s="237"/>
    </row>
    <row r="19" spans="1:11">
      <c r="A19" s="236" t="s">
        <v>492</v>
      </c>
      <c r="B19" s="237"/>
      <c r="C19" s="237"/>
      <c r="D19" s="237"/>
      <c r="E19" s="237"/>
      <c r="F19" s="237"/>
      <c r="G19" s="237"/>
      <c r="H19" s="238"/>
      <c r="I19" s="239" t="str">
        <f t="shared" si="0"/>
        <v/>
      </c>
      <c r="J19" s="237"/>
      <c r="K19" s="237"/>
    </row>
    <row r="20" spans="1:11">
      <c r="A20" s="236" t="s">
        <v>493</v>
      </c>
      <c r="B20" s="237"/>
      <c r="C20" s="237"/>
      <c r="D20" s="237"/>
      <c r="E20" s="237"/>
      <c r="F20" s="237"/>
      <c r="G20" s="237"/>
      <c r="H20" s="238"/>
      <c r="I20" s="239" t="str">
        <f t="shared" si="0"/>
        <v/>
      </c>
      <c r="J20" s="237"/>
      <c r="K20" s="237"/>
    </row>
    <row r="21" spans="1:11">
      <c r="A21" s="236" t="s">
        <v>494</v>
      </c>
      <c r="B21" s="237"/>
      <c r="C21" s="237"/>
      <c r="D21" s="237"/>
      <c r="E21" s="237"/>
      <c r="F21" s="237"/>
      <c r="G21" s="237"/>
      <c r="H21" s="238"/>
      <c r="I21" s="239" t="str">
        <f t="shared" si="0"/>
        <v/>
      </c>
      <c r="J21" s="237"/>
      <c r="K21" s="237"/>
    </row>
    <row r="22" spans="1:11">
      <c r="A22" s="236" t="s">
        <v>495</v>
      </c>
      <c r="B22" s="237"/>
      <c r="C22" s="237"/>
      <c r="D22" s="237"/>
      <c r="E22" s="237"/>
      <c r="F22" s="237"/>
      <c r="G22" s="237"/>
      <c r="H22" s="238"/>
      <c r="I22" s="239" t="str">
        <f t="shared" si="0"/>
        <v/>
      </c>
      <c r="J22" s="237"/>
      <c r="K22" s="237"/>
    </row>
    <row r="23" spans="1:11">
      <c r="A23" s="236" t="s">
        <v>496</v>
      </c>
      <c r="B23" s="237"/>
      <c r="C23" s="237"/>
      <c r="D23" s="237"/>
      <c r="E23" s="237"/>
      <c r="F23" s="237"/>
      <c r="G23" s="237"/>
      <c r="H23" s="238"/>
      <c r="I23" s="239" t="str">
        <f t="shared" si="0"/>
        <v/>
      </c>
      <c r="J23" s="237"/>
      <c r="K23" s="237"/>
    </row>
    <row r="24" spans="1:11">
      <c r="A24" s="236" t="s">
        <v>497</v>
      </c>
      <c r="B24" s="237"/>
      <c r="C24" s="237"/>
      <c r="D24" s="237"/>
      <c r="E24" s="237"/>
      <c r="F24" s="237"/>
      <c r="G24" s="237"/>
      <c r="H24" s="238"/>
      <c r="I24" s="239" t="str">
        <f t="shared" si="0"/>
        <v/>
      </c>
      <c r="J24" s="237"/>
      <c r="K24" s="237"/>
    </row>
    <row r="25" spans="1:11">
      <c r="A25" s="236" t="s">
        <v>498</v>
      </c>
      <c r="B25" s="237"/>
      <c r="C25" s="237"/>
      <c r="D25" s="237"/>
      <c r="E25" s="237"/>
      <c r="F25" s="237"/>
      <c r="G25" s="237"/>
      <c r="H25" s="238"/>
      <c r="I25" s="239" t="str">
        <f t="shared" si="0"/>
        <v/>
      </c>
      <c r="J25" s="237"/>
      <c r="K25" s="237"/>
    </row>
    <row r="26" spans="1:11">
      <c r="A26" s="236" t="s">
        <v>499</v>
      </c>
      <c r="B26" s="237"/>
      <c r="C26" s="237"/>
      <c r="D26" s="237"/>
      <c r="E26" s="237"/>
      <c r="F26" s="237"/>
      <c r="G26" s="237"/>
      <c r="H26" s="238"/>
      <c r="I26" s="239" t="str">
        <f t="shared" si="0"/>
        <v/>
      </c>
      <c r="J26" s="237"/>
      <c r="K26" s="237"/>
    </row>
    <row r="27" spans="1:11">
      <c r="A27" s="236" t="s">
        <v>500</v>
      </c>
      <c r="B27" s="237"/>
      <c r="C27" s="237"/>
      <c r="D27" s="237"/>
      <c r="E27" s="237"/>
      <c r="F27" s="237"/>
      <c r="G27" s="237"/>
      <c r="H27" s="238"/>
      <c r="I27" s="239" t="str">
        <f t="shared" si="0"/>
        <v/>
      </c>
      <c r="J27" s="237"/>
      <c r="K27" s="237"/>
    </row>
    <row r="28" spans="1:11">
      <c r="A28" s="236" t="s">
        <v>501</v>
      </c>
      <c r="B28" s="237"/>
      <c r="C28" s="237"/>
      <c r="D28" s="237"/>
      <c r="E28" s="237"/>
      <c r="F28" s="237"/>
      <c r="G28" s="237"/>
      <c r="H28" s="238"/>
      <c r="I28" s="239" t="str">
        <f t="shared" si="0"/>
        <v/>
      </c>
      <c r="J28" s="237"/>
      <c r="K28" s="237"/>
    </row>
    <row r="29" spans="1:11">
      <c r="A29" s="236" t="s">
        <v>502</v>
      </c>
      <c r="B29" s="237"/>
      <c r="C29" s="237"/>
      <c r="D29" s="237"/>
      <c r="E29" s="237"/>
      <c r="F29" s="237"/>
      <c r="G29" s="237"/>
      <c r="H29" s="238"/>
      <c r="I29" s="239" t="str">
        <f t="shared" si="0"/>
        <v/>
      </c>
      <c r="J29" s="237"/>
      <c r="K29" s="237"/>
    </row>
    <row r="30" spans="1:11">
      <c r="A30" s="236" t="s">
        <v>503</v>
      </c>
      <c r="B30" s="237"/>
      <c r="C30" s="237"/>
      <c r="D30" s="237"/>
      <c r="E30" s="237"/>
      <c r="F30" s="237"/>
      <c r="G30" s="237"/>
      <c r="H30" s="238"/>
      <c r="I30" s="239" t="str">
        <f t="shared" si="0"/>
        <v/>
      </c>
      <c r="J30" s="237"/>
      <c r="K30" s="237"/>
    </row>
    <row r="31" spans="1:11">
      <c r="A31" s="236" t="s">
        <v>504</v>
      </c>
      <c r="B31" s="237"/>
      <c r="C31" s="237"/>
      <c r="D31" s="237"/>
      <c r="E31" s="237"/>
      <c r="F31" s="237"/>
      <c r="G31" s="237"/>
      <c r="H31" s="238"/>
      <c r="I31" s="239" t="str">
        <f t="shared" si="0"/>
        <v/>
      </c>
      <c r="J31" s="237"/>
      <c r="K31" s="237"/>
    </row>
    <row r="32" spans="1:11">
      <c r="A32" s="236" t="s">
        <v>505</v>
      </c>
      <c r="B32" s="237"/>
      <c r="C32" s="237"/>
      <c r="D32" s="237"/>
      <c r="E32" s="237"/>
      <c r="F32" s="237"/>
      <c r="G32" s="237"/>
      <c r="H32" s="238"/>
      <c r="I32" s="239" t="str">
        <f t="shared" si="0"/>
        <v/>
      </c>
      <c r="J32" s="237"/>
      <c r="K32" s="237"/>
    </row>
    <row r="33" spans="1:11">
      <c r="A33" s="236" t="s">
        <v>506</v>
      </c>
      <c r="B33" s="237"/>
      <c r="C33" s="237"/>
      <c r="D33" s="237"/>
      <c r="E33" s="237"/>
      <c r="F33" s="237"/>
      <c r="G33" s="237"/>
      <c r="H33" s="238"/>
      <c r="I33" s="239" t="str">
        <f t="shared" si="0"/>
        <v/>
      </c>
      <c r="J33" s="237"/>
      <c r="K33" s="237"/>
    </row>
    <row r="34" spans="1:11">
      <c r="A34" s="236" t="s">
        <v>507</v>
      </c>
      <c r="B34" s="237"/>
      <c r="C34" s="237"/>
      <c r="D34" s="237"/>
      <c r="E34" s="237"/>
      <c r="F34" s="237"/>
      <c r="G34" s="237"/>
      <c r="H34" s="238"/>
      <c r="I34" s="239" t="str">
        <f t="shared" si="0"/>
        <v/>
      </c>
      <c r="J34" s="237"/>
      <c r="K34" s="237"/>
    </row>
    <row r="35" spans="1:11">
      <c r="A35" s="236" t="s">
        <v>508</v>
      </c>
      <c r="B35" s="237"/>
      <c r="C35" s="237"/>
      <c r="D35" s="237"/>
      <c r="E35" s="237"/>
      <c r="F35" s="237"/>
      <c r="G35" s="237"/>
      <c r="H35" s="238"/>
      <c r="I35" s="239" t="str">
        <f t="shared" si="0"/>
        <v/>
      </c>
      <c r="J35" s="237"/>
      <c r="K35" s="237"/>
    </row>
    <row r="36" spans="1:11">
      <c r="A36" s="236" t="s">
        <v>509</v>
      </c>
      <c r="B36" s="237"/>
      <c r="C36" s="237"/>
      <c r="D36" s="237"/>
      <c r="E36" s="237"/>
      <c r="F36" s="237"/>
      <c r="G36" s="237"/>
      <c r="H36" s="238"/>
      <c r="I36" s="239" t="str">
        <f t="shared" si="0"/>
        <v/>
      </c>
      <c r="J36" s="237"/>
      <c r="K36" s="237"/>
    </row>
    <row r="37" spans="1:11">
      <c r="A37" s="236" t="s">
        <v>510</v>
      </c>
      <c r="B37" s="237"/>
      <c r="C37" s="237"/>
      <c r="D37" s="237"/>
      <c r="E37" s="237"/>
      <c r="F37" s="237"/>
      <c r="G37" s="237"/>
      <c r="H37" s="238"/>
      <c r="I37" s="239" t="str">
        <f t="shared" si="0"/>
        <v/>
      </c>
      <c r="J37" s="237"/>
      <c r="K37" s="237"/>
    </row>
    <row r="38" spans="1:11">
      <c r="A38" s="236" t="s">
        <v>511</v>
      </c>
      <c r="B38" s="237"/>
      <c r="C38" s="237"/>
      <c r="D38" s="237"/>
      <c r="E38" s="237"/>
      <c r="F38" s="237"/>
      <c r="G38" s="237"/>
      <c r="H38" s="238"/>
      <c r="I38" s="239" t="str">
        <f t="shared" si="0"/>
        <v/>
      </c>
      <c r="J38" s="237"/>
      <c r="K38" s="237"/>
    </row>
    <row r="39" spans="1:11">
      <c r="A39" s="236" t="s">
        <v>512</v>
      </c>
      <c r="B39" s="237"/>
      <c r="C39" s="237"/>
      <c r="D39" s="237"/>
      <c r="E39" s="237"/>
      <c r="F39" s="237"/>
      <c r="G39" s="237"/>
      <c r="H39" s="238"/>
      <c r="I39" s="239" t="str">
        <f t="shared" si="0"/>
        <v/>
      </c>
      <c r="J39" s="237"/>
      <c r="K39" s="237"/>
    </row>
    <row r="40" spans="1:11">
      <c r="A40" s="236" t="s">
        <v>513</v>
      </c>
      <c r="B40" s="237"/>
      <c r="C40" s="237"/>
      <c r="D40" s="237"/>
      <c r="E40" s="237"/>
      <c r="F40" s="237"/>
      <c r="G40" s="237"/>
      <c r="H40" s="238"/>
      <c r="I40" s="239" t="str">
        <f t="shared" si="0"/>
        <v/>
      </c>
      <c r="J40" s="237"/>
      <c r="K40" s="237"/>
    </row>
    <row r="41" spans="1:11">
      <c r="A41" s="236" t="s">
        <v>514</v>
      </c>
      <c r="B41" s="237"/>
      <c r="C41" s="237"/>
      <c r="D41" s="237"/>
      <c r="E41" s="237"/>
      <c r="F41" s="237"/>
      <c r="G41" s="237"/>
      <c r="H41" s="238"/>
      <c r="I41" s="239" t="str">
        <f t="shared" si="0"/>
        <v/>
      </c>
      <c r="J41" s="237"/>
      <c r="K41" s="237"/>
    </row>
  </sheetData>
  <dataValidations count="1">
    <dataValidation type="list" allowBlank="1" showErrorMessage="1" errorTitle="Invalid entry" error="Please enter a valid value (see note above the column)." sqref="H13:H41" xr:uid="{00000000-0002-0000-09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1"/>
  <sheetViews>
    <sheetView zoomScaleNormal="100" workbookViewId="0">
      <pane xSplit="1" topLeftCell="B9" activePane="topRight" state="frozen"/>
      <selection pane="topRight" activeCell="G14" sqref="G14"/>
      <selection activeCell="A13" sqref="A13"/>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55</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0">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 planning boundary of the municipal/city plan aligned with political and administrative boundaries?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
For example:
Entire ULG only = Score 10
Entire ULG + 10 complete Gram Panchayats = Score 10
Entire ULG + 15 complete revenue villages = Score 10
Entire ULG + 2 complete taluks = Score 10
ULG + only part of a Gram Panchayat/revenue village = Score 0
Planning boundary itself divides the ULG, leaving part of the ULG outside the plan = Score 0
Use the notification/text defining the planning area as the primary source.
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37" t="s">
        <v>795</v>
      </c>
      <c r="H14" s="238" t="s">
        <v>796</v>
      </c>
      <c r="I14" s="239">
        <f t="shared" si="0"/>
        <v>10</v>
      </c>
      <c r="J14" s="237" t="s">
        <v>797</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0A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41"/>
  <sheetViews>
    <sheetView zoomScaleNormal="100" workbookViewId="0">
      <pane xSplit="1" ySplit="12" topLeftCell="B13" activePane="bottomRight" state="frozen"/>
      <selection pane="bottomRight"/>
      <selection pane="bottomLeft" activeCell="A13" sqref="A13"/>
      <selection pane="topRight" activeCell="B1" sqref="B1"/>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63</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metropolitan/regional plan be approved by the state government?</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state T&amp;CP Act for provisions that delineate a decentralised plan approval process.  &gt;:&lt; Check if the T&amp;CP Act/metropolitan planning act mandates the metropolitan/regional plan to be approved by the state government.</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0B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1"/>
  <sheetViews>
    <sheetView zoomScaleNormal="100" workbookViewId="0">
      <pane xSplit="1" ySplit="12" topLeftCell="B13" activePane="bottomRight" state="frozen"/>
      <selection pane="bottomRight"/>
      <selection pane="bottomLeft" activeCell="A13" sqref="A13"/>
      <selection pane="topRight" activeCell="B1" sqref="B1"/>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67</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municipal/city plan be approved by the MPC (Metropolitan Planning Committee)  for metropolitan cities or by DPC (District Planning Committee) for non-metropolitan cities?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the state T&amp;CP Act for provisions that delineate a decentralised plan approval process.  &gt;:&lt; 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plan is to be approved by the state.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0C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41"/>
  <sheetViews>
    <sheetView zoomScaleNormal="100" workbookViewId="0">
      <pane xSplit="1" ySplit="12" topLeftCell="B13" activePane="bottomRight" state="frozen"/>
      <selection pane="bottomRight"/>
      <selection pane="bottomLeft" activeCell="A13" sqref="A13"/>
      <selection pane="topRight" activeCell="B1" sqref="B1"/>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71</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ward(s)/local plan be approved by the ULG?</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the state T&amp;CP Act for provisions that delineate a decentralised plan approval process.  &gt;:&lt; Check if the T&amp;CP Act mandates the zonal/ward plans to be approved by the ULG.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0D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1"/>
  <sheetViews>
    <sheetView topLeftCell="A9" zoomScaleNormal="100" workbookViewId="0">
      <selection activeCell="I14" sqref="I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27</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2">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each level of Municipal/City Plans</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clearly define the objectives/contents of each level of spatial plan?</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the T&amp;CP Act for provisions that detail the objectives and contents of each level of spatial plan. The Act should broadly mention what each level of spatial plan should cover. 
Score 3.33 each for the objectives and contents of - 
1. Metropolitan/regional plan
2. Municipal/city plan
3. Ward(s)/local plan 
If the T&amp;CP Act provides for all three, score 10. </v>
      </c>
    </row>
    <row r="10" spans="1:12" ht="51.95"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798</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tr">
        <f>"Objectives/contents: Metropolitan/regional plan ("&amp;TEXT($C$7/3,"0.00")&amp;")"</f>
        <v>Objectives/contents: Metropolitan/regional plan (3.33)</v>
      </c>
      <c r="I12" s="235" t="str">
        <f>"Objectives/contents: Municipal/city plan ("&amp;TEXT($C$7/3,"0.00")&amp;")"</f>
        <v>Objectives/contents: Municipal/city plan (3.33)</v>
      </c>
      <c r="J12" s="235" t="str">
        <f>"Objectives/contents: Ward/local plan ("&amp;TEXT($C$7/3,"0.00")&amp;")"</f>
        <v>Objectives/contents: Ward/local plan (3.33)</v>
      </c>
      <c r="K12" s="233" t="s">
        <v>791</v>
      </c>
      <c r="L12" s="235" t="s">
        <v>792</v>
      </c>
    </row>
    <row r="13" spans="1:12">
      <c r="A13" s="236" t="s">
        <v>486</v>
      </c>
      <c r="B13" s="237"/>
      <c r="C13" s="237"/>
      <c r="D13" s="237"/>
      <c r="E13" s="237"/>
      <c r="F13" s="237"/>
      <c r="G13" s="237"/>
      <c r="H13" s="238"/>
      <c r="I13" s="238"/>
      <c r="J13" s="238"/>
      <c r="K13" s="239" t="str">
        <f t="shared" ref="K13:K41" si="0">IF(OR(H13="",I13="",J13=""),"",COUNTIF(H13:J13,"YES")/3*$C$7)</f>
        <v/>
      </c>
      <c r="L13" s="237"/>
    </row>
    <row r="14" spans="1:12">
      <c r="A14" s="236" t="s">
        <v>487</v>
      </c>
      <c r="B14" s="237"/>
      <c r="C14" s="237"/>
      <c r="D14" s="237"/>
      <c r="E14" s="237"/>
      <c r="F14" s="237"/>
      <c r="G14" s="237"/>
      <c r="H14" s="238"/>
      <c r="I14" s="238"/>
      <c r="J14" s="238"/>
      <c r="K14" s="239" t="str">
        <f t="shared" si="0"/>
        <v/>
      </c>
      <c r="L14" s="237"/>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0E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41"/>
  <sheetViews>
    <sheetView topLeftCell="A9" zoomScaleNormal="100" workbookViewId="0">
      <selection activeCell="C10" sqref="C10"/>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88</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1"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 &gt;:&lt; Metropolitan and district planning institutions</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functional MPC/DPC? &gt;:&lt; Does the law provide for the constitution of an MPC/DPC?</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Law/Policy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Part A:  Check whether there is a mandate in the Municipal or T&amp;CP Act for the constitution of MPC/DPC. If yes, score 2.5                                                                                                                                                                   Part B: Check whether the State has notified the rules for the MPC/DPC applicable to the city. If yes, score 2.5.
MPC applies to metropolitan cities (46 cities); DPC applies for non-metropolitan cities</v>
      </c>
    </row>
    <row r="10" spans="1:11" ht="54.6"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"Part A: Mandate in Municipal / T&amp;CP Act ("&amp;TEXT($C$7/2,"0.00")&amp;")"</f>
        <v>Part A: Mandate in Municipal / T&amp;CP Act (2.50)</v>
      </c>
      <c r="I12" s="235" t="str">
        <f>"Part B: MPC/DPC rules notified ("&amp;TEXT($C$7/2,"0.00")&amp;")"</f>
        <v>Part B: MPC/DPC rules notified (2.50)</v>
      </c>
      <c r="J12" s="233" t="s">
        <v>791</v>
      </c>
      <c r="K12" s="235" t="s">
        <v>792</v>
      </c>
    </row>
    <row r="13" spans="1:11">
      <c r="A13" s="236" t="s">
        <v>486</v>
      </c>
      <c r="B13" s="237"/>
      <c r="C13" s="237"/>
      <c r="D13" s="237"/>
      <c r="E13" s="237"/>
      <c r="F13" s="237"/>
      <c r="G13" s="237"/>
      <c r="H13" s="238"/>
      <c r="I13" s="238"/>
      <c r="J13" s="239" t="str">
        <f t="shared" ref="J13:J41" si="0">IF(OR(H13="",I13=""),"",COUNTIF(H13:I13,"YES")/2*$C$7)</f>
        <v/>
      </c>
      <c r="K13" s="237"/>
    </row>
    <row r="14" spans="1:11">
      <c r="A14" s="236" t="s">
        <v>487</v>
      </c>
      <c r="B14" s="237"/>
      <c r="C14" s="237"/>
      <c r="D14" s="237"/>
      <c r="E14" s="237"/>
      <c r="F14" s="237"/>
      <c r="G14" s="237"/>
      <c r="H14" s="238"/>
      <c r="I14" s="238"/>
      <c r="J14" s="239" t="str">
        <f t="shared" si="0"/>
        <v/>
      </c>
      <c r="K14" s="237"/>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0F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1"/>
  <sheetViews>
    <sheetView topLeftCell="A9"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95</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ht="43.5">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&gt;:&lt; 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 &gt;:&lt; Metropolitan and district planning institutions</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functional MPC/DPC? &gt;:&lt; Have they met at least once in the past two years?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Sum of the sub-questions &gt;:&lt; Check whether the MPC/DPC has met at least once in the past two years. Score 5 where there is evidence of meeting in the last two years.
Evidence: State UD/Municipal Administration department notifications/constitution orders/website; MPC/DPC meeting minutes, agendas or resolutions; MPC/DPC and metropolitan planning authority/development authority websites and RTIs.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0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41"/>
  <sheetViews>
    <sheetView topLeftCell="A17"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100</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0">
      <c r="A3" s="228" t="s">
        <v>6</v>
      </c>
      <c r="B3" s="84" t="str">
        <f>IF(ISNUMBER(VALUE(RIGHT($B$1,1))),VLOOKUP($B$1,'UPD Questions_290926 '!$E$1:$N$300,MATCH($A3,'UPD Questions_290926 '!$E$1:$N$1,0),0)&amp;"",CONCATENATE(VLOOKUP(LEFT($B$1,(LEN($B$1)-1)),'UPD Questions_290926 '!$E$1:$N$300,MATCH($A3,'UPD Questions_290926 '!$E$1:$N$1,0),0)&amp;""," &gt;:&lt; ",VLOOKUP($B$1,'UPD Questions_290926 '!$E$1:$N$300,MATCH($A3,'UPD Questions_290926 '!$E$1:$N$1,0),0)&amp;""))</f>
        <v xml:space="preserve">Legal and institutional planning architecture
</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(million-plus) have a Metropolitan Authority?</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 xml:space="preserve">Law or Policy </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799</v>
      </c>
    </row>
    <row r="11" spans="1:10" ht="29.1">
      <c r="H11" s="232" t="s">
        <v>800</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IF(H13="NA","NA",IF(H13="YES",$C$7,IF(H13="NO",0,"")))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100-000000000000}">
      <formula1>"YES,NO,NA"</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1"/>
  <sheetViews>
    <sheetView topLeftCell="A7"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26</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Inter-agency participation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participation of all parastatals/ agencies /ULGs in creation of Spatial plans (metro/municipal/ward)?</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2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1"/>
  <sheetViews>
    <sheetView topLeftCell="A14"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112</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public participation in preparation of the municipal plan through Area Sabhas / Ward Sabhas and other means?</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if the T&amp;CP Act mandates public participation in preparation of municipal/city plan through:
Part A: Formal platforms such as ward committees and area sabhas. If yes, score 5.
Part B: Other means* for municipal/city plan. If yes, score 5.
*Even if the provision alludes to 'public participation/consultation or consolidation of suggestions and objections without specifying the mode for the same
</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798</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"Part A: Formal platforms (ward committees / area sabhas) ("&amp;TEXT($C$7/2,"0.00")&amp;")"</f>
        <v>Part A: Formal platforms (ward committees / area sabhas) (5.00)</v>
      </c>
      <c r="I12" s="235" t="str">
        <f>"Part B: Other means ("&amp;TEXT($C$7/2,"0.00")&amp;")"</f>
        <v>Part B: Other means (5.00)</v>
      </c>
      <c r="J12" s="233" t="s">
        <v>791</v>
      </c>
      <c r="K12" s="235" t="s">
        <v>792</v>
      </c>
    </row>
    <row r="13" spans="1:11">
      <c r="A13" s="236" t="s">
        <v>486</v>
      </c>
      <c r="B13" s="237"/>
      <c r="C13" s="237"/>
      <c r="D13" s="237"/>
      <c r="E13" s="237"/>
      <c r="F13" s="237"/>
      <c r="G13" s="237"/>
      <c r="H13" s="238"/>
      <c r="I13" s="238"/>
      <c r="J13" s="239" t="str">
        <f t="shared" ref="J13:J41" si="0">IF(OR(H13="",I13=""),"",COUNTIF(H13:I13,"YES")/2*$C$7)</f>
        <v/>
      </c>
      <c r="K13" s="237"/>
    </row>
    <row r="14" spans="1:11">
      <c r="A14" s="236" t="s">
        <v>487</v>
      </c>
      <c r="B14" s="237"/>
      <c r="C14" s="237"/>
      <c r="D14" s="237"/>
      <c r="E14" s="237"/>
      <c r="F14" s="237"/>
      <c r="G14" s="237"/>
      <c r="H14" s="238"/>
      <c r="I14" s="238"/>
      <c r="J14" s="239" t="str">
        <f t="shared" si="0"/>
        <v/>
      </c>
      <c r="K14" s="237"/>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13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41"/>
  <sheetViews>
    <sheetView topLeftCell="A11"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123</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 &gt;:&lt; Municipal/City Plan preparation, participation and review</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 &gt;:&lt; Public participation and scrutiny</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public scrutiny for (including objections and responses) municipal/city plan? &gt;:&lt; Does the law mandate public scrutiny for (including objections and responses) municipal/city plan through Area Sabhas / Ward Sabhas and other means?</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Law/Policy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if the T&amp;CP Act mandates public scrutiny (including objections and responses) through:
Part A: Formal platforms such as ward committees and area sabhas. If yes, score 2.50.
Part B: Other means* for municipal/city plan. If yes, score 2.50
*Even if the provision alludes to 'public scrutiny/consultation or consolidation of suggestions and objections without specifying the mode for the same</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"Part A: Formal platforms (ward committees / area sabhas) ("&amp;TEXT($C$7/2,"0.00")&amp;")"</f>
        <v>Part A: Formal platforms (ward committees / area sabhas) (2.50)</v>
      </c>
      <c r="I12" s="235" t="str">
        <f>"Part B: Other means ("&amp;TEXT($C$7/2,"0.00")&amp;")"</f>
        <v>Part B: Other means (2.50)</v>
      </c>
      <c r="J12" s="233" t="s">
        <v>791</v>
      </c>
      <c r="K12" s="235" t="s">
        <v>792</v>
      </c>
    </row>
    <row r="13" spans="1:11">
      <c r="A13" s="236" t="s">
        <v>486</v>
      </c>
      <c r="B13" s="237"/>
      <c r="C13" s="237"/>
      <c r="D13" s="237"/>
      <c r="E13" s="237"/>
      <c r="F13" s="237"/>
      <c r="G13" s="237"/>
      <c r="H13" s="238"/>
      <c r="I13" s="238"/>
      <c r="J13" s="239" t="str">
        <f t="shared" ref="J13:J41" si="0">IF(OR(H13="",I13=""),"",COUNTIF(H13:I13,"YES")/2*$C$7)</f>
        <v/>
      </c>
      <c r="K13" s="237"/>
    </row>
    <row r="14" spans="1:11">
      <c r="A14" s="236" t="s">
        <v>487</v>
      </c>
      <c r="B14" s="237"/>
      <c r="C14" s="237"/>
      <c r="D14" s="237"/>
      <c r="E14" s="237"/>
      <c r="F14" s="237"/>
      <c r="G14" s="237"/>
      <c r="H14" s="238"/>
      <c r="I14" s="238"/>
      <c r="J14" s="239" t="str">
        <f t="shared" si="0"/>
        <v/>
      </c>
      <c r="K14" s="237"/>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14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41"/>
  <sheetViews>
    <sheetView topLeftCell="A14"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128</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 &gt;:&lt; Municipal/City Plan preparation, participation and review</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 &gt;:&lt; Public participation and scrutiny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public scrutiny for (including objections and responses) municipal/city plan? &gt;:&lt; Was the public scrutiny undertaken for (including objections and responses) municipal/city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Development Authority/ULG websites (as applicable) for consultation minutes/details/notifcations for inviting suggestions; newspaper reports; and the municipal/city plan for evidence of public scrutiny. If such evidence is found, score 5.</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5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topLeftCell="A12"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1" width="22" customWidth="1"/>
    <col min="12" max="12" width="14" customWidth="1"/>
    <col min="13" max="13" width="45" customWidth="1"/>
  </cols>
  <sheetData>
    <row r="1" spans="1:13">
      <c r="A1" s="228" t="s">
        <v>777</v>
      </c>
      <c r="B1" s="228" t="s">
        <v>132</v>
      </c>
      <c r="C1" s="229" t="s">
        <v>778</v>
      </c>
    </row>
    <row r="2" spans="1:13">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v>
      </c>
      <c r="C2" s="229" t="s">
        <v>779</v>
      </c>
    </row>
    <row r="3" spans="1:13">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spans="1:13">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Plan modification and implementation review</v>
      </c>
    </row>
    <row r="5" spans="1:13">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3">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periodic review and revision of the notified municipal/city plan, including corresponding revisions to the Development Control Regulations (DCRs)?</v>
      </c>
      <c r="C6" s="229" t="s">
        <v>780</v>
      </c>
    </row>
    <row r="7" spans="1:13">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3">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3"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State Town Planning Act.
Score 10: The law mandates periodic review and revision of the municipal/city plan, specifies a review/revision timeline and responsible authority, and requires corresponding review and revision of the DCRs, where necessary, following municipal/city plan revision.
Score 2.5 for each component and enter the sum if there are multiple components - 
1. The law mandates periodic review and revision of the municipal/city plan ((alluding to the revision or creation of a new plan say after ten years) to the municipal/city plans shall not be considered).
2. Specifies a review/revision timeline 
3. Specifies for responsible authority
4. Requires corresponding review and revision of the DCRs following municipal/city plan revision</v>
      </c>
    </row>
    <row r="10" spans="1:13"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798</v>
      </c>
    </row>
    <row r="11" spans="1:13" ht="29.1">
      <c r="H11" s="232" t="s">
        <v>782</v>
      </c>
      <c r="I11" s="232" t="s">
        <v>782</v>
      </c>
      <c r="J11" s="232" t="s">
        <v>782</v>
      </c>
      <c r="K11" s="232" t="s">
        <v>782</v>
      </c>
      <c r="L11" s="233" t="s">
        <v>783</v>
      </c>
    </row>
    <row r="12" spans="1:13" ht="60" customHeight="1">
      <c r="A12" s="234" t="s">
        <v>784</v>
      </c>
      <c r="B12" s="234" t="s">
        <v>785</v>
      </c>
      <c r="C12" s="234" t="s">
        <v>786</v>
      </c>
      <c r="D12" s="234" t="s">
        <v>787</v>
      </c>
      <c r="E12" s="234" t="s">
        <v>788</v>
      </c>
      <c r="F12" s="234" t="s">
        <v>789</v>
      </c>
      <c r="G12" s="234" t="s">
        <v>790</v>
      </c>
      <c r="H12" s="235" t="str">
        <f>"Periodic review &amp; revision mandated ("&amp;TEXT($C$7/4,"0.00")&amp;")"</f>
        <v>Periodic review &amp; revision mandated (2.50)</v>
      </c>
      <c r="I12" s="235" t="str">
        <f>"Review/revision timeline specified ("&amp;TEXT($C$7/4,"0.00")&amp;")"</f>
        <v>Review/revision timeline specified (2.50)</v>
      </c>
      <c r="J12" s="235" t="str">
        <f>"Responsible authority specified ("&amp;TEXT($C$7/4,"0.00")&amp;")"</f>
        <v>Responsible authority specified (2.50)</v>
      </c>
      <c r="K12" s="235" t="str">
        <f>"Corresponding DCR revision required ("&amp;TEXT($C$7/4,"0.00")&amp;")"</f>
        <v>Corresponding DCR revision required (2.50)</v>
      </c>
      <c r="L12" s="233" t="s">
        <v>791</v>
      </c>
      <c r="M12" s="235" t="s">
        <v>792</v>
      </c>
    </row>
    <row r="13" spans="1:13">
      <c r="A13" s="236" t="s">
        <v>486</v>
      </c>
      <c r="B13" s="237"/>
      <c r="C13" s="237"/>
      <c r="D13" s="237"/>
      <c r="E13" s="237"/>
      <c r="F13" s="237"/>
      <c r="G13" s="237"/>
      <c r="H13" s="238"/>
      <c r="I13" s="238"/>
      <c r="J13" s="238"/>
      <c r="K13" s="238"/>
      <c r="L13" s="239" t="str">
        <f t="shared" ref="L13:L41" si="0">IF(OR(H13="",I13="",J13="",K13=""),"",COUNTIF(H13:K13,"YES")/4*$C$7)</f>
        <v/>
      </c>
      <c r="M13" s="237"/>
    </row>
    <row r="14" spans="1:13">
      <c r="A14" s="236" t="s">
        <v>487</v>
      </c>
      <c r="B14" s="237"/>
      <c r="C14" s="237"/>
      <c r="D14" s="237"/>
      <c r="E14" s="237"/>
      <c r="F14" s="237"/>
      <c r="G14" s="237"/>
      <c r="H14" s="238"/>
      <c r="I14" s="238"/>
      <c r="J14" s="238"/>
      <c r="K14" s="238"/>
      <c r="L14" s="239" t="str">
        <f t="shared" si="0"/>
        <v/>
      </c>
      <c r="M14" s="237"/>
    </row>
    <row r="15" spans="1:13">
      <c r="A15" s="236" t="s">
        <v>488</v>
      </c>
      <c r="B15" s="237"/>
      <c r="C15" s="237"/>
      <c r="D15" s="237"/>
      <c r="E15" s="237"/>
      <c r="F15" s="237"/>
      <c r="G15" s="237"/>
      <c r="H15" s="238"/>
      <c r="I15" s="238"/>
      <c r="J15" s="238"/>
      <c r="K15" s="238"/>
      <c r="L15" s="239" t="str">
        <f t="shared" si="0"/>
        <v/>
      </c>
      <c r="M15" s="237"/>
    </row>
    <row r="16" spans="1:13">
      <c r="A16" s="236" t="s">
        <v>489</v>
      </c>
      <c r="B16" s="237"/>
      <c r="C16" s="237"/>
      <c r="D16" s="237"/>
      <c r="E16" s="237"/>
      <c r="F16" s="237"/>
      <c r="G16" s="237"/>
      <c r="H16" s="238"/>
      <c r="I16" s="238"/>
      <c r="J16" s="238"/>
      <c r="K16" s="238"/>
      <c r="L16" s="239" t="str">
        <f t="shared" si="0"/>
        <v/>
      </c>
      <c r="M16" s="237"/>
    </row>
    <row r="17" spans="1:13">
      <c r="A17" s="236" t="s">
        <v>490</v>
      </c>
      <c r="B17" s="237"/>
      <c r="C17" s="237"/>
      <c r="D17" s="237"/>
      <c r="E17" s="237"/>
      <c r="F17" s="237"/>
      <c r="G17" s="237"/>
      <c r="H17" s="238"/>
      <c r="I17" s="238"/>
      <c r="J17" s="238"/>
      <c r="K17" s="238"/>
      <c r="L17" s="239" t="str">
        <f t="shared" si="0"/>
        <v/>
      </c>
      <c r="M17" s="237"/>
    </row>
    <row r="18" spans="1:13">
      <c r="A18" s="236" t="s">
        <v>491</v>
      </c>
      <c r="B18" s="237"/>
      <c r="C18" s="237"/>
      <c r="D18" s="237"/>
      <c r="E18" s="237"/>
      <c r="F18" s="237"/>
      <c r="G18" s="237"/>
      <c r="H18" s="238"/>
      <c r="I18" s="238"/>
      <c r="J18" s="238"/>
      <c r="K18" s="238"/>
      <c r="L18" s="239" t="str">
        <f t="shared" si="0"/>
        <v/>
      </c>
      <c r="M18" s="237"/>
    </row>
    <row r="19" spans="1:13">
      <c r="A19" s="236" t="s">
        <v>492</v>
      </c>
      <c r="B19" s="237"/>
      <c r="C19" s="237"/>
      <c r="D19" s="237"/>
      <c r="E19" s="237"/>
      <c r="F19" s="237"/>
      <c r="G19" s="237"/>
      <c r="H19" s="238"/>
      <c r="I19" s="238"/>
      <c r="J19" s="238"/>
      <c r="K19" s="238"/>
      <c r="L19" s="239" t="str">
        <f t="shared" si="0"/>
        <v/>
      </c>
      <c r="M19" s="237"/>
    </row>
    <row r="20" spans="1:13">
      <c r="A20" s="236" t="s">
        <v>493</v>
      </c>
      <c r="B20" s="237"/>
      <c r="C20" s="237"/>
      <c r="D20" s="237"/>
      <c r="E20" s="237"/>
      <c r="F20" s="237"/>
      <c r="G20" s="237"/>
      <c r="H20" s="238"/>
      <c r="I20" s="238"/>
      <c r="J20" s="238"/>
      <c r="K20" s="238"/>
      <c r="L20" s="239" t="str">
        <f t="shared" si="0"/>
        <v/>
      </c>
      <c r="M20" s="237"/>
    </row>
    <row r="21" spans="1:13">
      <c r="A21" s="236" t="s">
        <v>494</v>
      </c>
      <c r="B21" s="237"/>
      <c r="C21" s="237"/>
      <c r="D21" s="237"/>
      <c r="E21" s="237"/>
      <c r="F21" s="237"/>
      <c r="G21" s="237"/>
      <c r="H21" s="238"/>
      <c r="I21" s="238"/>
      <c r="J21" s="238"/>
      <c r="K21" s="238"/>
      <c r="L21" s="239" t="str">
        <f t="shared" si="0"/>
        <v/>
      </c>
      <c r="M21" s="237"/>
    </row>
    <row r="22" spans="1:13">
      <c r="A22" s="236" t="s">
        <v>495</v>
      </c>
      <c r="B22" s="237"/>
      <c r="C22" s="237"/>
      <c r="D22" s="237"/>
      <c r="E22" s="237"/>
      <c r="F22" s="237"/>
      <c r="G22" s="237"/>
      <c r="H22" s="238"/>
      <c r="I22" s="238"/>
      <c r="J22" s="238"/>
      <c r="K22" s="238"/>
      <c r="L22" s="239" t="str">
        <f t="shared" si="0"/>
        <v/>
      </c>
      <c r="M22" s="237"/>
    </row>
    <row r="23" spans="1:13">
      <c r="A23" s="236" t="s">
        <v>496</v>
      </c>
      <c r="B23" s="237"/>
      <c r="C23" s="237"/>
      <c r="D23" s="237"/>
      <c r="E23" s="237"/>
      <c r="F23" s="237"/>
      <c r="G23" s="237"/>
      <c r="H23" s="238"/>
      <c r="I23" s="238"/>
      <c r="J23" s="238"/>
      <c r="K23" s="238"/>
      <c r="L23" s="239" t="str">
        <f t="shared" si="0"/>
        <v/>
      </c>
      <c r="M23" s="237"/>
    </row>
    <row r="24" spans="1:13">
      <c r="A24" s="236" t="s">
        <v>497</v>
      </c>
      <c r="B24" s="237"/>
      <c r="C24" s="237"/>
      <c r="D24" s="237"/>
      <c r="E24" s="237"/>
      <c r="F24" s="237"/>
      <c r="G24" s="237"/>
      <c r="H24" s="238"/>
      <c r="I24" s="238"/>
      <c r="J24" s="238"/>
      <c r="K24" s="238"/>
      <c r="L24" s="239" t="str">
        <f t="shared" si="0"/>
        <v/>
      </c>
      <c r="M24" s="237"/>
    </row>
    <row r="25" spans="1:13">
      <c r="A25" s="236" t="s">
        <v>498</v>
      </c>
      <c r="B25" s="237"/>
      <c r="C25" s="237"/>
      <c r="D25" s="237"/>
      <c r="E25" s="237"/>
      <c r="F25" s="237"/>
      <c r="G25" s="237"/>
      <c r="H25" s="238"/>
      <c r="I25" s="238"/>
      <c r="J25" s="238"/>
      <c r="K25" s="238"/>
      <c r="L25" s="239" t="str">
        <f t="shared" si="0"/>
        <v/>
      </c>
      <c r="M25" s="237"/>
    </row>
    <row r="26" spans="1:13">
      <c r="A26" s="236" t="s">
        <v>499</v>
      </c>
      <c r="B26" s="237"/>
      <c r="C26" s="237"/>
      <c r="D26" s="237"/>
      <c r="E26" s="237"/>
      <c r="F26" s="237"/>
      <c r="G26" s="237"/>
      <c r="H26" s="238"/>
      <c r="I26" s="238"/>
      <c r="J26" s="238"/>
      <c r="K26" s="238"/>
      <c r="L26" s="239" t="str">
        <f t="shared" si="0"/>
        <v/>
      </c>
      <c r="M26" s="237"/>
    </row>
    <row r="27" spans="1:13">
      <c r="A27" s="236" t="s">
        <v>500</v>
      </c>
      <c r="B27" s="237"/>
      <c r="C27" s="237"/>
      <c r="D27" s="237"/>
      <c r="E27" s="237"/>
      <c r="F27" s="237"/>
      <c r="G27" s="237"/>
      <c r="H27" s="238"/>
      <c r="I27" s="238"/>
      <c r="J27" s="238"/>
      <c r="K27" s="238"/>
      <c r="L27" s="239" t="str">
        <f t="shared" si="0"/>
        <v/>
      </c>
      <c r="M27" s="237"/>
    </row>
    <row r="28" spans="1:13">
      <c r="A28" s="236" t="s">
        <v>501</v>
      </c>
      <c r="B28" s="237"/>
      <c r="C28" s="237"/>
      <c r="D28" s="237"/>
      <c r="E28" s="237"/>
      <c r="F28" s="237"/>
      <c r="G28" s="237"/>
      <c r="H28" s="238"/>
      <c r="I28" s="238"/>
      <c r="J28" s="238"/>
      <c r="K28" s="238"/>
      <c r="L28" s="239" t="str">
        <f t="shared" si="0"/>
        <v/>
      </c>
      <c r="M28" s="237"/>
    </row>
    <row r="29" spans="1:13">
      <c r="A29" s="236" t="s">
        <v>502</v>
      </c>
      <c r="B29" s="237"/>
      <c r="C29" s="237"/>
      <c r="D29" s="237"/>
      <c r="E29" s="237"/>
      <c r="F29" s="237"/>
      <c r="G29" s="237"/>
      <c r="H29" s="238"/>
      <c r="I29" s="238"/>
      <c r="J29" s="238"/>
      <c r="K29" s="238"/>
      <c r="L29" s="239" t="str">
        <f t="shared" si="0"/>
        <v/>
      </c>
      <c r="M29" s="237"/>
    </row>
    <row r="30" spans="1:13">
      <c r="A30" s="236" t="s">
        <v>503</v>
      </c>
      <c r="B30" s="237"/>
      <c r="C30" s="237"/>
      <c r="D30" s="237"/>
      <c r="E30" s="237"/>
      <c r="F30" s="237"/>
      <c r="G30" s="237"/>
      <c r="H30" s="238"/>
      <c r="I30" s="238"/>
      <c r="J30" s="238"/>
      <c r="K30" s="238"/>
      <c r="L30" s="239" t="str">
        <f t="shared" si="0"/>
        <v/>
      </c>
      <c r="M30" s="237"/>
    </row>
    <row r="31" spans="1:13">
      <c r="A31" s="236" t="s">
        <v>504</v>
      </c>
      <c r="B31" s="237"/>
      <c r="C31" s="237"/>
      <c r="D31" s="237"/>
      <c r="E31" s="237"/>
      <c r="F31" s="237"/>
      <c r="G31" s="237"/>
      <c r="H31" s="238"/>
      <c r="I31" s="238"/>
      <c r="J31" s="238"/>
      <c r="K31" s="238"/>
      <c r="L31" s="239" t="str">
        <f t="shared" si="0"/>
        <v/>
      </c>
      <c r="M31" s="237"/>
    </row>
    <row r="32" spans="1:13">
      <c r="A32" s="236" t="s">
        <v>505</v>
      </c>
      <c r="B32" s="237"/>
      <c r="C32" s="237"/>
      <c r="D32" s="237"/>
      <c r="E32" s="237"/>
      <c r="F32" s="237"/>
      <c r="G32" s="237"/>
      <c r="H32" s="238"/>
      <c r="I32" s="238"/>
      <c r="J32" s="238"/>
      <c r="K32" s="238"/>
      <c r="L32" s="239" t="str">
        <f t="shared" si="0"/>
        <v/>
      </c>
      <c r="M32" s="237"/>
    </row>
    <row r="33" spans="1:13">
      <c r="A33" s="236" t="s">
        <v>506</v>
      </c>
      <c r="B33" s="237"/>
      <c r="C33" s="237"/>
      <c r="D33" s="237"/>
      <c r="E33" s="237"/>
      <c r="F33" s="237"/>
      <c r="G33" s="237"/>
      <c r="H33" s="238"/>
      <c r="I33" s="238"/>
      <c r="J33" s="238"/>
      <c r="K33" s="238"/>
      <c r="L33" s="239" t="str">
        <f t="shared" si="0"/>
        <v/>
      </c>
      <c r="M33" s="237"/>
    </row>
    <row r="34" spans="1:13">
      <c r="A34" s="236" t="s">
        <v>507</v>
      </c>
      <c r="B34" s="237"/>
      <c r="C34" s="237"/>
      <c r="D34" s="237"/>
      <c r="E34" s="237"/>
      <c r="F34" s="237"/>
      <c r="G34" s="237"/>
      <c r="H34" s="238"/>
      <c r="I34" s="238"/>
      <c r="J34" s="238"/>
      <c r="K34" s="238"/>
      <c r="L34" s="239" t="str">
        <f t="shared" si="0"/>
        <v/>
      </c>
      <c r="M34" s="237"/>
    </row>
    <row r="35" spans="1:13">
      <c r="A35" s="236" t="s">
        <v>508</v>
      </c>
      <c r="B35" s="237"/>
      <c r="C35" s="237"/>
      <c r="D35" s="237"/>
      <c r="E35" s="237"/>
      <c r="F35" s="237"/>
      <c r="G35" s="237"/>
      <c r="H35" s="238"/>
      <c r="I35" s="238"/>
      <c r="J35" s="238"/>
      <c r="K35" s="238"/>
      <c r="L35" s="239" t="str">
        <f t="shared" si="0"/>
        <v/>
      </c>
      <c r="M35" s="237"/>
    </row>
    <row r="36" spans="1:13">
      <c r="A36" s="236" t="s">
        <v>509</v>
      </c>
      <c r="B36" s="237"/>
      <c r="C36" s="237"/>
      <c r="D36" s="237"/>
      <c r="E36" s="237"/>
      <c r="F36" s="237"/>
      <c r="G36" s="237"/>
      <c r="H36" s="238"/>
      <c r="I36" s="238"/>
      <c r="J36" s="238"/>
      <c r="K36" s="238"/>
      <c r="L36" s="239" t="str">
        <f t="shared" si="0"/>
        <v/>
      </c>
      <c r="M36" s="237"/>
    </row>
    <row r="37" spans="1:13">
      <c r="A37" s="236" t="s">
        <v>510</v>
      </c>
      <c r="B37" s="237"/>
      <c r="C37" s="237"/>
      <c r="D37" s="237"/>
      <c r="E37" s="237"/>
      <c r="F37" s="237"/>
      <c r="G37" s="237"/>
      <c r="H37" s="238"/>
      <c r="I37" s="238"/>
      <c r="J37" s="238"/>
      <c r="K37" s="238"/>
      <c r="L37" s="239" t="str">
        <f t="shared" si="0"/>
        <v/>
      </c>
      <c r="M37" s="237"/>
    </row>
    <row r="38" spans="1:13">
      <c r="A38" s="236" t="s">
        <v>511</v>
      </c>
      <c r="B38" s="237"/>
      <c r="C38" s="237"/>
      <c r="D38" s="237"/>
      <c r="E38" s="237"/>
      <c r="F38" s="237"/>
      <c r="G38" s="237"/>
      <c r="H38" s="238"/>
      <c r="I38" s="238"/>
      <c r="J38" s="238"/>
      <c r="K38" s="238"/>
      <c r="L38" s="239" t="str">
        <f t="shared" si="0"/>
        <v/>
      </c>
      <c r="M38" s="237"/>
    </row>
    <row r="39" spans="1:13">
      <c r="A39" s="236" t="s">
        <v>512</v>
      </c>
      <c r="B39" s="237"/>
      <c r="C39" s="237"/>
      <c r="D39" s="237"/>
      <c r="E39" s="237"/>
      <c r="F39" s="237"/>
      <c r="G39" s="237"/>
      <c r="H39" s="238"/>
      <c r="I39" s="238"/>
      <c r="J39" s="238"/>
      <c r="K39" s="238"/>
      <c r="L39" s="239" t="str">
        <f t="shared" si="0"/>
        <v/>
      </c>
      <c r="M39" s="237"/>
    </row>
    <row r="40" spans="1:13">
      <c r="A40" s="236" t="s">
        <v>513</v>
      </c>
      <c r="B40" s="237"/>
      <c r="C40" s="237"/>
      <c r="D40" s="237"/>
      <c r="E40" s="237"/>
      <c r="F40" s="237"/>
      <c r="G40" s="237"/>
      <c r="H40" s="238"/>
      <c r="I40" s="238"/>
      <c r="J40" s="238"/>
      <c r="K40" s="238"/>
      <c r="L40" s="239" t="str">
        <f t="shared" si="0"/>
        <v/>
      </c>
      <c r="M40" s="237"/>
    </row>
    <row r="41" spans="1:13">
      <c r="A41" s="236" t="s">
        <v>514</v>
      </c>
      <c r="B41" s="237"/>
      <c r="C41" s="237"/>
      <c r="D41" s="237"/>
      <c r="E41" s="237"/>
      <c r="F41" s="237"/>
      <c r="G41" s="237"/>
      <c r="H41" s="238"/>
      <c r="I41" s="238"/>
      <c r="J41" s="238"/>
      <c r="K41" s="238"/>
      <c r="L41" s="239" t="str">
        <f t="shared" si="0"/>
        <v/>
      </c>
      <c r="M41" s="237"/>
    </row>
  </sheetData>
  <dataValidations count="1">
    <dataValidation type="list" allowBlank="1" showErrorMessage="1" errorTitle="Invalid entry" error="Please enter a valid value (see note above the column)." sqref="H13:K41" xr:uid="{00000000-0002-0000-16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41"/>
  <sheetViews>
    <sheetView topLeftCell="A23"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144</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Does the T&amp;CP Act mandate the planning for:   &gt;:&lt; a) Water Supply/ Sewerage, Sanitation and Solid Waste Management </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0">
        <f>VLOOKUP($B$1,'UPD Questions_290926 '!$E$1:$N$300,MATCH($A$7,'UPD Questions_290926 '!$E$1:$N$1,0),0)</f>
        <v>1.67</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the T&amp;CP and other relevant acts as prescribed below: &gt;:&lt; Check the T&amp;CP/Urban Development Authority (UDA)/allied acts for provisions that mandate the planning authority to prepare:                                                                                                                   1.Water Supply/sewerage plan or mandate to have a water supply component as part of the municipal/city plan. Score: 0.55                                                                                                             2. City sanitation plan or mandate to have a sanitation component as part of the municipal/city municipal/city plan. Score: 0.55                                                                                                                                                                                                                                                            3.Solid Waste Management Plan or mandate to have a solid waste management as part of the municipal/city municipal/city plan Score: 0.55
Provisions that make such a plan optional with 'may' provision shall not be considered. </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tr">
        <f>"Water supply / sewerage ("&amp;TEXT($C$7/3,"0.00")&amp;")"</f>
        <v>Water supply / sewerage (0.56)</v>
      </c>
      <c r="I12" s="235" t="str">
        <f>"City sanitation ("&amp;TEXT($C$7/3,"0.00")&amp;")"</f>
        <v>City sanitation (0.56)</v>
      </c>
      <c r="J12" s="235" t="str">
        <f>"Solid waste management ("&amp;TEXT($C$7/3,"0.00")&amp;")"</f>
        <v>Solid waste management (0.56)</v>
      </c>
      <c r="K12" s="233" t="s">
        <v>791</v>
      </c>
      <c r="L12" s="235" t="s">
        <v>792</v>
      </c>
    </row>
    <row r="13" spans="1:12">
      <c r="A13" s="236" t="s">
        <v>486</v>
      </c>
      <c r="B13" s="237"/>
      <c r="C13" s="237"/>
      <c r="D13" s="237"/>
      <c r="E13" s="237"/>
      <c r="F13" s="237"/>
      <c r="G13" s="237"/>
      <c r="H13" s="238"/>
      <c r="I13" s="238"/>
      <c r="J13" s="238"/>
      <c r="K13" s="239" t="str">
        <f t="shared" ref="K13:K41" si="0">IF(OR(H13="",I13="",J13=""),"",COUNTIF(H13:J13,"YES")/3*$C$7)</f>
        <v/>
      </c>
      <c r="L13" s="237"/>
    </row>
    <row r="14" spans="1:12">
      <c r="A14" s="236" t="s">
        <v>487</v>
      </c>
      <c r="B14" s="237"/>
      <c r="C14" s="237"/>
      <c r="D14" s="237"/>
      <c r="E14" s="237"/>
      <c r="F14" s="237"/>
      <c r="G14" s="237"/>
      <c r="H14" s="238"/>
      <c r="I14" s="238"/>
      <c r="J14" s="238"/>
      <c r="K14" s="239" t="str">
        <f t="shared" si="0"/>
        <v/>
      </c>
      <c r="L14" s="237"/>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17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41"/>
  <sheetViews>
    <sheetView topLeftCell="A23"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148</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b) Disaster Resilience</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0">
        <f>VLOOKUP($B$1,'UPD Questions_290926 '!$E$1:$N$300,MATCH($A$7,'UPD Questions_290926 '!$E$1:$N$1,0),0)</f>
        <v>1.67</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the T&amp;CP and other relevant acts as prescribed below: &gt;:&lt; Check the T&amp;CP/Urban Development Authority (UDA)/allied acts for provisions that mandate the planning authority to prepare a disaster management/resilience plan or mandate to have a disaster management/resilience component as a part of the municipal/city plan. Provisions that make such a plan optional with 'may' provision shall not be considered.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8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152</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c) Comprehensive mobility</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0">
        <f>VLOOKUP($B$1,'UPD Questions_290926 '!$E$1:$N$300,MATCH($A$7,'UPD Questions_290926 '!$E$1:$N$1,0),0)</f>
        <v>1.67</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the T&amp;CP and other relevant acts as prescribed below: &gt;:&lt; Check the T&amp;CP/Urban Development Authority (UDA)/allied acts for provisions that mandate the planning authority to prepare a comprehensive mobility plan or mandate to have a mobility component as part of the municipal/city plan. Provisions that make such a plan optional with 'may' provision shall not be considered.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9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156</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d) Sustainability/Climate/Environmental conservation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0">
        <f>VLOOKUP($B$1,'UPD Questions_290926 '!$E$1:$N$300,MATCH($A$7,'UPD Questions_290926 '!$E$1:$N$1,0),0)</f>
        <v>1.67</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sustainability plan or mandate to have a sustainability/climate/environmental conservation component as part of the municipal/city plan. Provisions that make such a plan optional with 'may' provision shall not be considered.</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A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160</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e) Heritage conservation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0">
        <f>VLOOKUP($B$1,'UPD Questions_290926 '!$E$1:$N$300,MATCH($A$7,'UPD Questions_290926 '!$E$1:$N$1,0),0)</f>
        <v>1.67</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heritage conservation plan or mandate to have a heritage conservation component as part of the municipal/city plan. Provisions that make such a plan optional with 'may' provision shall not be considered.</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B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164</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 xml:space="preserve">Planning  &gt;:&lt; Planning </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Does the T&amp;CP Act mandate the planning for:   &gt;:&lt; f) Social Development        </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0">
        <f>VLOOKUP($B$1,'UPD Questions_290926 '!$E$1:$N$300,MATCH($A$7,'UPD Questions_290926 '!$E$1:$N$1,0),0)</f>
        <v>1.67</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social development plan or mandate to have a social development component as part of the municipal/city plan. Provisions that make such a plan optional with 'may' provision shall not be considered. Check if the social development plan includes components on planning for health, education and affordable housing. Score each component in the following manner:
1.Public health. Score: 0.55                                                                                                             
2. Education. Score: 0.55                                                                                                                                                                                                                                                            3. Affordable housing Score: 0.55</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tr">
        <f>"Public health ("&amp;TEXT($C$7/3,"0.00")&amp;")"</f>
        <v>Public health (0.56)</v>
      </c>
      <c r="I12" s="235" t="str">
        <f>"Education ("&amp;TEXT($C$7/3,"0.00")&amp;")"</f>
        <v>Education (0.56)</v>
      </c>
      <c r="J12" s="235" t="str">
        <f>"Affordable housing ("&amp;TEXT($C$7/3,"0.00")&amp;")"</f>
        <v>Affordable housing (0.56)</v>
      </c>
      <c r="K12" s="233" t="s">
        <v>791</v>
      </c>
      <c r="L12" s="235" t="s">
        <v>792</v>
      </c>
    </row>
    <row r="13" spans="1:12">
      <c r="A13" s="236" t="s">
        <v>486</v>
      </c>
      <c r="B13" s="237"/>
      <c r="C13" s="237"/>
      <c r="D13" s="237"/>
      <c r="E13" s="237"/>
      <c r="F13" s="237"/>
      <c r="G13" s="237"/>
      <c r="H13" s="238"/>
      <c r="I13" s="238"/>
      <c r="J13" s="238"/>
      <c r="K13" s="239" t="str">
        <f t="shared" ref="K13:K41" si="0">IF(OR(H13="",I13="",J13=""),"",COUNTIF(H13:J13,"YES")/3*$C$7)</f>
        <v/>
      </c>
      <c r="L13" s="237"/>
    </row>
    <row r="14" spans="1:12">
      <c r="A14" s="236" t="s">
        <v>487</v>
      </c>
      <c r="B14" s="237"/>
      <c r="C14" s="237"/>
      <c r="D14" s="237"/>
      <c r="E14" s="237"/>
      <c r="F14" s="237"/>
      <c r="G14" s="237"/>
      <c r="H14" s="238"/>
      <c r="I14" s="238"/>
      <c r="J14" s="238"/>
      <c r="K14" s="239" t="str">
        <f t="shared" si="0"/>
        <v/>
      </c>
      <c r="L14" s="237"/>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1C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174</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a Metropolitan/Regional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The existence of such a document or map should be notified in respective state gazettes &gt;:&lt; Document should mention the words metropolitan/regional plan or any word that can be safely assumed to be a synonym for a metropolitan region. Check the website of the metro region development authority or urban development authority or ULB website. Score 3.33 if any of these apply, else, 0.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Please ensure an existence of a notified document of the plan. Maps alone will not make the cut</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D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179</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Municipal/City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The existence of such a document or map should be notified in respective state gazettes &gt;:&lt; Document should mention the word municipal/development/city plan or municipal/city plan. Check the website of the urban development authority or ULG website or T&amp;CP Dept. Score 3.33 if any of these apply, else, 0.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Please ensure an existence of a notified document of the plan. Maps alone will not make the cut</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E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183</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a Ward(s) /Local area/ neighbourhood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The existence of such a document or map should be notified in respective state gazettes &gt;:&lt;  Document should mention the word ward development plan/zonal plan/local area plan. This can exist as a standalone document or spatial plans or map.  Score 3.33 if any of these apply, else, 0.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1F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187</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Validity of Municipal/City Plans</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municipal/city plan that is currently in force and within its prescribed validity period?</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Review the applicable municipal/ city plan to identify the valid period, and the gazette notification date of the current and immediately preceding municipal/city plan 
Score 10 — notified within the statutory period
Score 0 — municipal/city plans that have lapsed and have not been replaced by a new municipal/city plan should be  treated as ‘no municipal/city plans/inactive municipal/city plans.
The scorer to capture in the scoring sheet the amount of time (in months) that has been passed since the end of the validity period
</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spans="1:11" ht="29.1">
      <c r="H11" s="232" t="s">
        <v>782</v>
      </c>
      <c r="I11" s="233" t="s">
        <v>783</v>
      </c>
    </row>
    <row r="12" spans="1:11" ht="60" customHeight="1">
      <c r="A12" s="234" t="s">
        <v>784</v>
      </c>
      <c r="B12" s="234" t="s">
        <v>785</v>
      </c>
      <c r="C12" s="234" t="s">
        <v>786</v>
      </c>
      <c r="D12" s="234" t="s">
        <v>787</v>
      </c>
      <c r="E12" s="234" t="s">
        <v>788</v>
      </c>
      <c r="F12" s="234" t="s">
        <v>789</v>
      </c>
      <c r="G12" s="234" t="s">
        <v>790</v>
      </c>
      <c r="H12" s="235" t="s">
        <v>793</v>
      </c>
      <c r="I12" s="233" t="s">
        <v>791</v>
      </c>
      <c r="J12" s="235" t="s">
        <v>792</v>
      </c>
      <c r="K12" s="235" t="s">
        <v>801</v>
      </c>
    </row>
    <row r="13" spans="1:11">
      <c r="A13" s="236" t="s">
        <v>486</v>
      </c>
      <c r="B13" s="237"/>
      <c r="C13" s="237"/>
      <c r="D13" s="237"/>
      <c r="E13" s="237"/>
      <c r="F13" s="237"/>
      <c r="G13" s="237"/>
      <c r="H13" s="238"/>
      <c r="I13" s="239" t="str">
        <f t="shared" ref="I13:I41" si="0">IF(H13="YES",$C$7,IF(H13="NO",0,""))</f>
        <v/>
      </c>
      <c r="J13" s="237"/>
      <c r="K13" s="237"/>
    </row>
    <row r="14" spans="1:11">
      <c r="A14" s="236" t="s">
        <v>487</v>
      </c>
      <c r="B14" s="237"/>
      <c r="C14" s="237"/>
      <c r="D14" s="237"/>
      <c r="E14" s="237"/>
      <c r="F14" s="237"/>
      <c r="G14" s="237"/>
      <c r="H14" s="238"/>
      <c r="I14" s="239" t="str">
        <f t="shared" si="0"/>
        <v/>
      </c>
      <c r="J14" s="237"/>
      <c r="K14" s="237"/>
    </row>
    <row r="15" spans="1:11">
      <c r="A15" s="236" t="s">
        <v>488</v>
      </c>
      <c r="B15" s="237"/>
      <c r="C15" s="237"/>
      <c r="D15" s="237"/>
      <c r="E15" s="237"/>
      <c r="F15" s="237"/>
      <c r="G15" s="237"/>
      <c r="H15" s="238"/>
      <c r="I15" s="239" t="str">
        <f t="shared" si="0"/>
        <v/>
      </c>
      <c r="J15" s="237"/>
      <c r="K15" s="237"/>
    </row>
    <row r="16" spans="1:11">
      <c r="A16" s="236" t="s">
        <v>489</v>
      </c>
      <c r="B16" s="237"/>
      <c r="C16" s="237"/>
      <c r="D16" s="237"/>
      <c r="E16" s="237"/>
      <c r="F16" s="237"/>
      <c r="G16" s="237"/>
      <c r="H16" s="238"/>
      <c r="I16" s="239" t="str">
        <f t="shared" si="0"/>
        <v/>
      </c>
      <c r="J16" s="237"/>
      <c r="K16" s="237"/>
    </row>
    <row r="17" spans="1:11">
      <c r="A17" s="236" t="s">
        <v>490</v>
      </c>
      <c r="B17" s="237"/>
      <c r="C17" s="237"/>
      <c r="D17" s="237"/>
      <c r="E17" s="237"/>
      <c r="F17" s="237"/>
      <c r="G17" s="237"/>
      <c r="H17" s="238"/>
      <c r="I17" s="239" t="str">
        <f t="shared" si="0"/>
        <v/>
      </c>
      <c r="J17" s="237"/>
      <c r="K17" s="237"/>
    </row>
    <row r="18" spans="1:11">
      <c r="A18" s="236" t="s">
        <v>491</v>
      </c>
      <c r="B18" s="237"/>
      <c r="C18" s="237"/>
      <c r="D18" s="237"/>
      <c r="E18" s="237"/>
      <c r="F18" s="237"/>
      <c r="G18" s="237"/>
      <c r="H18" s="238"/>
      <c r="I18" s="239" t="str">
        <f t="shared" si="0"/>
        <v/>
      </c>
      <c r="J18" s="237"/>
      <c r="K18" s="237"/>
    </row>
    <row r="19" spans="1:11">
      <c r="A19" s="236" t="s">
        <v>492</v>
      </c>
      <c r="B19" s="237"/>
      <c r="C19" s="237"/>
      <c r="D19" s="237"/>
      <c r="E19" s="237"/>
      <c r="F19" s="237"/>
      <c r="G19" s="237"/>
      <c r="H19" s="238"/>
      <c r="I19" s="239" t="str">
        <f t="shared" si="0"/>
        <v/>
      </c>
      <c r="J19" s="237"/>
      <c r="K19" s="237"/>
    </row>
    <row r="20" spans="1:11">
      <c r="A20" s="236" t="s">
        <v>493</v>
      </c>
      <c r="B20" s="237"/>
      <c r="C20" s="237"/>
      <c r="D20" s="237"/>
      <c r="E20" s="237"/>
      <c r="F20" s="237"/>
      <c r="G20" s="237"/>
      <c r="H20" s="238"/>
      <c r="I20" s="239" t="str">
        <f t="shared" si="0"/>
        <v/>
      </c>
      <c r="J20" s="237"/>
      <c r="K20" s="237"/>
    </row>
    <row r="21" spans="1:11">
      <c r="A21" s="236" t="s">
        <v>494</v>
      </c>
      <c r="B21" s="237"/>
      <c r="C21" s="237"/>
      <c r="D21" s="237"/>
      <c r="E21" s="237"/>
      <c r="F21" s="237"/>
      <c r="G21" s="237"/>
      <c r="H21" s="238"/>
      <c r="I21" s="239" t="str">
        <f t="shared" si="0"/>
        <v/>
      </c>
      <c r="J21" s="237"/>
      <c r="K21" s="237"/>
    </row>
    <row r="22" spans="1:11">
      <c r="A22" s="236" t="s">
        <v>495</v>
      </c>
      <c r="B22" s="237"/>
      <c r="C22" s="237"/>
      <c r="D22" s="237"/>
      <c r="E22" s="237"/>
      <c r="F22" s="237"/>
      <c r="G22" s="237"/>
      <c r="H22" s="238"/>
      <c r="I22" s="239" t="str">
        <f t="shared" si="0"/>
        <v/>
      </c>
      <c r="J22" s="237"/>
      <c r="K22" s="237"/>
    </row>
    <row r="23" spans="1:11">
      <c r="A23" s="236" t="s">
        <v>496</v>
      </c>
      <c r="B23" s="237"/>
      <c r="C23" s="237"/>
      <c r="D23" s="237"/>
      <c r="E23" s="237"/>
      <c r="F23" s="237"/>
      <c r="G23" s="237"/>
      <c r="H23" s="238"/>
      <c r="I23" s="239" t="str">
        <f t="shared" si="0"/>
        <v/>
      </c>
      <c r="J23" s="237"/>
      <c r="K23" s="237"/>
    </row>
    <row r="24" spans="1:11">
      <c r="A24" s="236" t="s">
        <v>497</v>
      </c>
      <c r="B24" s="237"/>
      <c r="C24" s="237"/>
      <c r="D24" s="237"/>
      <c r="E24" s="237"/>
      <c r="F24" s="237"/>
      <c r="G24" s="237"/>
      <c r="H24" s="238"/>
      <c r="I24" s="239" t="str">
        <f t="shared" si="0"/>
        <v/>
      </c>
      <c r="J24" s="237"/>
      <c r="K24" s="237"/>
    </row>
    <row r="25" spans="1:11">
      <c r="A25" s="236" t="s">
        <v>498</v>
      </c>
      <c r="B25" s="237"/>
      <c r="C25" s="237"/>
      <c r="D25" s="237"/>
      <c r="E25" s="237"/>
      <c r="F25" s="237"/>
      <c r="G25" s="237"/>
      <c r="H25" s="238"/>
      <c r="I25" s="239" t="str">
        <f t="shared" si="0"/>
        <v/>
      </c>
      <c r="J25" s="237"/>
      <c r="K25" s="237"/>
    </row>
    <row r="26" spans="1:11">
      <c r="A26" s="236" t="s">
        <v>499</v>
      </c>
      <c r="B26" s="237"/>
      <c r="C26" s="237"/>
      <c r="D26" s="237"/>
      <c r="E26" s="237"/>
      <c r="F26" s="237"/>
      <c r="G26" s="237"/>
      <c r="H26" s="238"/>
      <c r="I26" s="239" t="str">
        <f t="shared" si="0"/>
        <v/>
      </c>
      <c r="J26" s="237"/>
      <c r="K26" s="237"/>
    </row>
    <row r="27" spans="1:11">
      <c r="A27" s="236" t="s">
        <v>500</v>
      </c>
      <c r="B27" s="237"/>
      <c r="C27" s="237"/>
      <c r="D27" s="237"/>
      <c r="E27" s="237"/>
      <c r="F27" s="237"/>
      <c r="G27" s="237"/>
      <c r="H27" s="238"/>
      <c r="I27" s="239" t="str">
        <f t="shared" si="0"/>
        <v/>
      </c>
      <c r="J27" s="237"/>
      <c r="K27" s="237"/>
    </row>
    <row r="28" spans="1:11">
      <c r="A28" s="236" t="s">
        <v>501</v>
      </c>
      <c r="B28" s="237"/>
      <c r="C28" s="237"/>
      <c r="D28" s="237"/>
      <c r="E28" s="237"/>
      <c r="F28" s="237"/>
      <c r="G28" s="237"/>
      <c r="H28" s="238"/>
      <c r="I28" s="239" t="str">
        <f t="shared" si="0"/>
        <v/>
      </c>
      <c r="J28" s="237"/>
      <c r="K28" s="237"/>
    </row>
    <row r="29" spans="1:11">
      <c r="A29" s="236" t="s">
        <v>502</v>
      </c>
      <c r="B29" s="237"/>
      <c r="C29" s="237"/>
      <c r="D29" s="237"/>
      <c r="E29" s="237"/>
      <c r="F29" s="237"/>
      <c r="G29" s="237"/>
      <c r="H29" s="238"/>
      <c r="I29" s="239" t="str">
        <f t="shared" si="0"/>
        <v/>
      </c>
      <c r="J29" s="237"/>
      <c r="K29" s="237"/>
    </row>
    <row r="30" spans="1:11">
      <c r="A30" s="236" t="s">
        <v>503</v>
      </c>
      <c r="B30" s="237"/>
      <c r="C30" s="237"/>
      <c r="D30" s="237"/>
      <c r="E30" s="237"/>
      <c r="F30" s="237"/>
      <c r="G30" s="237"/>
      <c r="H30" s="238"/>
      <c r="I30" s="239" t="str">
        <f t="shared" si="0"/>
        <v/>
      </c>
      <c r="J30" s="237"/>
      <c r="K30" s="237"/>
    </row>
    <row r="31" spans="1:11">
      <c r="A31" s="236" t="s">
        <v>504</v>
      </c>
      <c r="B31" s="237"/>
      <c r="C31" s="237"/>
      <c r="D31" s="237"/>
      <c r="E31" s="237"/>
      <c r="F31" s="237"/>
      <c r="G31" s="237"/>
      <c r="H31" s="238"/>
      <c r="I31" s="239" t="str">
        <f t="shared" si="0"/>
        <v/>
      </c>
      <c r="J31" s="237"/>
      <c r="K31" s="237"/>
    </row>
    <row r="32" spans="1:11">
      <c r="A32" s="236" t="s">
        <v>505</v>
      </c>
      <c r="B32" s="237"/>
      <c r="C32" s="237"/>
      <c r="D32" s="237"/>
      <c r="E32" s="237"/>
      <c r="F32" s="237"/>
      <c r="G32" s="237"/>
      <c r="H32" s="238"/>
      <c r="I32" s="239" t="str">
        <f t="shared" si="0"/>
        <v/>
      </c>
      <c r="J32" s="237"/>
      <c r="K32" s="237"/>
    </row>
    <row r="33" spans="1:11">
      <c r="A33" s="236" t="s">
        <v>506</v>
      </c>
      <c r="B33" s="237"/>
      <c r="C33" s="237"/>
      <c r="D33" s="237"/>
      <c r="E33" s="237"/>
      <c r="F33" s="237"/>
      <c r="G33" s="237"/>
      <c r="H33" s="238"/>
      <c r="I33" s="239" t="str">
        <f t="shared" si="0"/>
        <v/>
      </c>
      <c r="J33" s="237"/>
      <c r="K33" s="237"/>
    </row>
    <row r="34" spans="1:11">
      <c r="A34" s="236" t="s">
        <v>507</v>
      </c>
      <c r="B34" s="237"/>
      <c r="C34" s="237"/>
      <c r="D34" s="237"/>
      <c r="E34" s="237"/>
      <c r="F34" s="237"/>
      <c r="G34" s="237"/>
      <c r="H34" s="238"/>
      <c r="I34" s="239" t="str">
        <f t="shared" si="0"/>
        <v/>
      </c>
      <c r="J34" s="237"/>
      <c r="K34" s="237"/>
    </row>
    <row r="35" spans="1:11">
      <c r="A35" s="236" t="s">
        <v>508</v>
      </c>
      <c r="B35" s="237"/>
      <c r="C35" s="237"/>
      <c r="D35" s="237"/>
      <c r="E35" s="237"/>
      <c r="F35" s="237"/>
      <c r="G35" s="237"/>
      <c r="H35" s="238"/>
      <c r="I35" s="239" t="str">
        <f t="shared" si="0"/>
        <v/>
      </c>
      <c r="J35" s="237"/>
      <c r="K35" s="237"/>
    </row>
    <row r="36" spans="1:11">
      <c r="A36" s="236" t="s">
        <v>509</v>
      </c>
      <c r="B36" s="237"/>
      <c r="C36" s="237"/>
      <c r="D36" s="237"/>
      <c r="E36" s="237"/>
      <c r="F36" s="237"/>
      <c r="G36" s="237"/>
      <c r="H36" s="238"/>
      <c r="I36" s="239" t="str">
        <f t="shared" si="0"/>
        <v/>
      </c>
      <c r="J36" s="237"/>
      <c r="K36" s="237"/>
    </row>
    <row r="37" spans="1:11">
      <c r="A37" s="236" t="s">
        <v>510</v>
      </c>
      <c r="B37" s="237"/>
      <c r="C37" s="237"/>
      <c r="D37" s="237"/>
      <c r="E37" s="237"/>
      <c r="F37" s="237"/>
      <c r="G37" s="237"/>
      <c r="H37" s="238"/>
      <c r="I37" s="239" t="str">
        <f t="shared" si="0"/>
        <v/>
      </c>
      <c r="J37" s="237"/>
      <c r="K37" s="237"/>
    </row>
    <row r="38" spans="1:11">
      <c r="A38" s="236" t="s">
        <v>511</v>
      </c>
      <c r="B38" s="237"/>
      <c r="C38" s="237"/>
      <c r="D38" s="237"/>
      <c r="E38" s="237"/>
      <c r="F38" s="237"/>
      <c r="G38" s="237"/>
      <c r="H38" s="238"/>
      <c r="I38" s="239" t="str">
        <f t="shared" si="0"/>
        <v/>
      </c>
      <c r="J38" s="237"/>
      <c r="K38" s="237"/>
    </row>
    <row r="39" spans="1:11">
      <c r="A39" s="236" t="s">
        <v>512</v>
      </c>
      <c r="B39" s="237"/>
      <c r="C39" s="237"/>
      <c r="D39" s="237"/>
      <c r="E39" s="237"/>
      <c r="F39" s="237"/>
      <c r="G39" s="237"/>
      <c r="H39" s="238"/>
      <c r="I39" s="239" t="str">
        <f t="shared" si="0"/>
        <v/>
      </c>
      <c r="J39" s="237"/>
      <c r="K39" s="237"/>
    </row>
    <row r="40" spans="1:11">
      <c r="A40" s="236" t="s">
        <v>513</v>
      </c>
      <c r="B40" s="237"/>
      <c r="C40" s="237"/>
      <c r="D40" s="237"/>
      <c r="E40" s="237"/>
      <c r="F40" s="237"/>
      <c r="G40" s="237"/>
      <c r="H40" s="238"/>
      <c r="I40" s="239" t="str">
        <f t="shared" si="0"/>
        <v/>
      </c>
      <c r="J40" s="237"/>
      <c r="K40" s="237"/>
    </row>
    <row r="41" spans="1:11">
      <c r="A41" s="236" t="s">
        <v>514</v>
      </c>
      <c r="B41" s="237"/>
      <c r="C41" s="237"/>
      <c r="D41" s="237"/>
      <c r="E41" s="237"/>
      <c r="F41" s="237"/>
      <c r="G41" s="237"/>
      <c r="H41" s="238"/>
      <c r="I41" s="239" t="str">
        <f t="shared" si="0"/>
        <v/>
      </c>
      <c r="J41" s="237"/>
      <c r="K41" s="237"/>
    </row>
  </sheetData>
  <dataValidations count="1">
    <dataValidation type="list" allowBlank="1" showErrorMessage="1" errorTitle="Invalid entry" error="Please enter a valid value (see note above the column)." sqref="H13:H41" xr:uid="{00000000-0002-0000-20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86</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Alignment across planning levels &gt;:&lt; Alignment across planning levels</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 Are the spatial plans at the Metropolitan/Regional, Municipal and Ward(s) /Local level in a concurrent or nested timeline of validity? &gt;:&lt; Is the Metropolitan/Regional plan in a concurrent or nested timeline of validity with municipal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validity periods of the metropolitan/regional, municipal/city, and ward/zonal/local area/neighbourhood-level spatial plans align, ensuring that lower-level plans do not extend beyond the metropolitan/regional plan's validity. &gt;:&lt; 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plan should not extend beyond 2021.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21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93</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Alignment across planning levels &gt;:&lt; Alignment across planning levels</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 Are the spatial plans at the Metropolitan/Regional, Municipal and Ward(s) /Local level in a concurrent or nested timeline of validity? &gt;:&lt; Is the Municipal municipal/city plan in a concurrent or nested timeline of validity with Ward municipal/city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validity periods of the metropolitan/regional, municipal/city, and ward/zonal/local area/neighbourhood-level spatial plans align, ensuring that lower-level plans do not extend beyond the metropolitan/regional plan's validity. &gt;:&lt; Check whether the validity periods of the municipal/city municipal/city plan and ward/local-level plans overlap and are aligned, such that the validity of the ward/local-level plan does not extend beyond that of the municipal/city municipal/city plan. 
For example: if the municipal/city plan is valid from 2021–2041, the applicable ward/zonal/local-level plan should fall within and not extend beyond 2041.</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802</v>
      </c>
    </row>
    <row r="11" spans="1:10" ht="29.1">
      <c r="H11" s="232" t="s">
        <v>800</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IF(H13="NA","NA",IF(H13="YES",$C$7,IF(H13="NO",0,"")))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2200-000000000000}">
      <formula1>"YES,NO,NA"</formula1>
      <formula2>0</formula2>
    </dataValidation>
  </dataValidation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1"/>
  <sheetViews>
    <sheetView topLeftCell="A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202</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Inter-agency coordination and integration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Do the municipal/city plans at each level, integrate the plans and priorities of various sectoral public departments and agencies? </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if creation of the municipal/city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municipal/city plan, or as MoM / notes on the planning authority's website.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37" t="s">
        <v>803</v>
      </c>
      <c r="H14" s="238" t="s">
        <v>804</v>
      </c>
      <c r="I14" s="239">
        <f t="shared" si="0"/>
        <v>0</v>
      </c>
      <c r="J14" s="237" t="s">
        <v>805</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23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41"/>
  <sheetViews>
    <sheetView topLeftCell="B9" zoomScaleNormal="100" workbookViewId="0">
      <selection activeCell="G10" sqref="G10"/>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111</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jobs and economy?</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key economic development priorities and provides measurable targets/outcomes for them. These may include:
Increase in workforce participation.
Number of jobs to be generated across economic sectors.
Land identified/allocated for economic activities.
Number/area of enterprises, industries or commercial activities to be facilitated.
Provision of designated spaces/facilities for street vendors and other informal livelihoods.
Score based on whether the municipal/city plan contains both:
1. A clearly stated objective or priority in the municipal/city plan relating to the city’s economy, employment or livelihoods. This could include job creation, workforce participation, industrial/commercial development, informal livelihoods, economic clusters, markets, tourism, or allocating land/infrastructure to support economic activity.
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plan does not identify clear economic development priorities and associated interventions. General or aspirational references to economic development, employment, jobs or livelihoods without clearly identified priorities and interventions shall not be considered for scoring.</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"Clear priorities &amp; interventions identified ("&amp;TEXT($C$7/2,"0.00")&amp;")"</f>
        <v>Clear priorities &amp; interventions identified (5.00)</v>
      </c>
      <c r="I12" s="235" t="str">
        <f>"Measurable targets / outcome indicators (counts only if priorities = YES) ("&amp;TEXT($C$7/2,"0.00")&amp;")"</f>
        <v>Measurable targets / outcome indicators (counts only if priorities = YES) (5.00)</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ht="15">
      <c r="A14" s="236" t="s">
        <v>487</v>
      </c>
      <c r="B14" s="237"/>
      <c r="C14" s="237"/>
      <c r="D14" s="237"/>
      <c r="E14" s="237"/>
      <c r="F14" s="237"/>
      <c r="G14" s="244" t="s">
        <v>806</v>
      </c>
      <c r="H14" s="238" t="s">
        <v>804</v>
      </c>
      <c r="I14" s="238" t="s">
        <v>804</v>
      </c>
      <c r="J14" s="239">
        <f t="shared" si="0"/>
        <v>0</v>
      </c>
      <c r="K14" s="237" t="s">
        <v>807</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400-000000000000}">
      <formula1>"YES,NO"</formula1>
      <formula2>0</formula2>
    </dataValidation>
  </dataValidations>
  <hyperlinks>
    <hyperlink ref="G14" r:id="rId1" xr:uid="{C8B9254B-7301-456A-9295-645D58715F8A}"/>
  </hyperlink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41"/>
  <sheetViews>
    <sheetView topLeftCell="C9" zoomScaleNormal="100" workbookViewId="0">
      <selection activeCell="K9" sqref="K9"/>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216</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Does the municipal/city plan include objectives on environment and heritage conservation? &gt;:&lt; a) Environmental Conservation </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  &gt;:&lt; Check whether the municipal/city plan identifies clear priorities, interventions and measurable targets/outcomes across the following two components:
Natural Environment and Climate Resilience
These may include:
Protection, enhancement or increase of recreational and non-recreational green spaces, urban forests and natural habitats.
Conservation, restoration or revival of lakes, wetlands and other water bodies.
Protection of environmentally sensitive areas and natural assets through appropriate zoning, buffers or other development controls.
Increase in green cover, afforestation or reforestation.
Protection/restoration of biodiversity and ecologically significant areas.
Reduction in air, water and soil pollution.
Climate-change mitigation and adaptation, including reduction in greenhouse gas emissions.
Promotion of renewable energy and clean technologies.
Disaster-risk reduction and resilience of natural systems.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targets/outcome indicators.
Score 0: The component is absent, or is referred to only in general/aspirational terms without clearly identified priorities and associated interventions</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"Clear priorities &amp; interventions identified ("&amp;TEXT($C$7/2,"0.00")&amp;")"</f>
        <v>Clear priorities &amp; interventions identified (2.50)</v>
      </c>
      <c r="I12" s="235" t="str">
        <f>"Measurable targets / outcome indicators (counts only if priorities = YES) ("&amp;TEXT($C$7/2,"0.00")&amp;")"</f>
        <v>Measurable targets / outcome indicators (counts only if priorities = YES) (2.50)</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ht="15">
      <c r="A14" s="236" t="s">
        <v>487</v>
      </c>
      <c r="B14" s="237"/>
      <c r="C14" s="237"/>
      <c r="D14" s="237"/>
      <c r="E14" s="237"/>
      <c r="F14" s="237"/>
      <c r="G14" s="244" t="s">
        <v>806</v>
      </c>
      <c r="H14" s="238" t="s">
        <v>804</v>
      </c>
      <c r="I14" s="238" t="s">
        <v>804</v>
      </c>
      <c r="J14" s="239">
        <f t="shared" si="0"/>
        <v>0</v>
      </c>
      <c r="K14" s="237" t="s">
        <v>808</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500-000000000000}">
      <formula1>"YES,NO"</formula1>
      <formula2>0</formula2>
    </dataValidation>
  </dataValidations>
  <hyperlinks>
    <hyperlink ref="G14" r:id="rId1" xr:uid="{6F100767-D9BD-4DDC-8B7A-7BC9DBBE2AC9}"/>
  </hyperlink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41"/>
  <sheetViews>
    <sheetView topLeftCell="B9" zoomScaleNormal="100" workbookViewId="0">
      <selection activeCell="I14" sqref="I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220</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Does the municipal/city plan include objectives on environment and heritage conservation? &gt;:&lt; b) Heritage Conservation </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  &gt;:&lt; Check whether the municipal/city  plan identifies clear priorities, interventions and measurable targets/outcomes across the following two components:                                                                       Heritage Conservation
These may include:
Identification and protection of heritage buildings, precincts, sites and other heritage assets.
Identification and protection of natural heritage and culturally significant landscapes.
Conservation, restoration or adaptive reuse of heritage buildings/sites.
Designation of heritage zones/precincts and appropriate development controls or buffer areas.
Protection of the character and built form of heritage areas.
Integration of heritage conservation with redevelopment and other development proposals.
Measurable targets for conservation, restoration or protection of identified heritage assets/precincts.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targets/outcme indicators.
Score 0: The component is absent, or is referred to only in general/aspirational terms without clearly identified priorities and associated interventions.</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"Clear priorities &amp; interventions identified ("&amp;TEXT($C$7/2,"0.00")&amp;")"</f>
        <v>Clear priorities &amp; interventions identified (2.50)</v>
      </c>
      <c r="I12" s="235" t="str">
        <f>"Measurable targets / outcome indicators (counts only if priorities = YES) ("&amp;TEXT($C$7/2,"0.00")&amp;")"</f>
        <v>Measurable targets / outcome indicators (counts only if priorities = YES) (2.50)</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ht="15">
      <c r="A14" s="236" t="s">
        <v>487</v>
      </c>
      <c r="B14" s="237"/>
      <c r="C14" s="237"/>
      <c r="D14" s="237"/>
      <c r="E14" s="237"/>
      <c r="F14" s="237"/>
      <c r="G14" s="244" t="s">
        <v>806</v>
      </c>
      <c r="H14" s="238" t="s">
        <v>804</v>
      </c>
      <c r="I14" s="238" t="s">
        <v>804</v>
      </c>
      <c r="J14" s="239">
        <f t="shared" si="0"/>
        <v>0</v>
      </c>
      <c r="K14" s="237" t="s">
        <v>809</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600-000000000000}">
      <formula1>"YES,NO"</formula1>
      <formula2>0</formula2>
    </dataValidation>
  </dataValidations>
  <hyperlinks>
    <hyperlink ref="G14" r:id="rId1" xr:uid="{0C5F461D-1621-4586-8B50-A36001E5A289}"/>
  </hyperlink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41"/>
  <sheetViews>
    <sheetView topLeftCell="D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230</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Does the municipal/city plan include objectives on social development (health care, education)? &gt;:&lt; a) Education </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Education
These may include:
Coverage/accessibility of anganwadis and pre-primary facilities.
Availability of schools relative to population/service standards.
Accessibility of educational facilities, including for persons with disabilities.
Other measurable education-related service or accessibility outcomes.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"Clear priorities &amp; interventions identified ("&amp;TEXT($C$7/2,"0.00")&amp;")"</f>
        <v>Clear priorities &amp; interventions identified (1.67)</v>
      </c>
      <c r="I12" s="235" t="str">
        <f>"Measurable targets / outcome indicators (counts only if priorities = YES) ("&amp;TEXT($C$7/2,"0.00")&amp;")"</f>
        <v>Measurable targets / outcome indicators (counts only if priorities = YES) (1.67)</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ht="15">
      <c r="A14" s="236" t="s">
        <v>487</v>
      </c>
      <c r="B14" s="237"/>
      <c r="C14" s="237"/>
      <c r="D14" s="237"/>
      <c r="E14" s="237"/>
      <c r="F14" s="237"/>
      <c r="G14" s="244" t="s">
        <v>806</v>
      </c>
      <c r="H14" s="238" t="s">
        <v>804</v>
      </c>
      <c r="I14" s="238" t="s">
        <v>804</v>
      </c>
      <c r="J14" s="239">
        <f t="shared" si="0"/>
        <v>0</v>
      </c>
      <c r="K14" s="237" t="s">
        <v>810</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700-000000000000}">
      <formula1>"YES,NO"</formula1>
      <formula2>0</formula2>
    </dataValidation>
  </dataValidations>
  <hyperlinks>
    <hyperlink ref="G14" r:id="rId1" xr:uid="{0357269F-A0B9-4B06-AF43-320E01F267FD}"/>
  </hyperlink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41"/>
  <sheetViews>
    <sheetView topLeftCell="C9" zoomScaleNormal="100" workbookViewId="0">
      <selection activeCell="G15" sqref="G15"/>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234</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social development (health care, education)? &gt;:&lt; b) Healthcare</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Healthcare
These may include:
Coverage/accessibility of dispensaries and primary healthcare facilities.
Coverage/accessibility of hospitals, maternity/child welfare centres, rehabilitation or diagnostic facilities.
Improvements in access to healthcare.
Public-health outcomes, including reduction in vector-borne diseases or other locally relevant health risks.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"Clear priorities &amp; interventions identified ("&amp;TEXT($C$7/2,"0.00")&amp;")"</f>
        <v>Clear priorities &amp; interventions identified (1.67)</v>
      </c>
      <c r="I12" s="235" t="str">
        <f>"Measurable targets / outcome indicators (counts only if priorities = YES) ("&amp;TEXT($C$7/2,"0.00")&amp;")"</f>
        <v>Measurable targets / outcome indicators (counts only if priorities = YES) (1.67)</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ht="15">
      <c r="A14" s="236" t="s">
        <v>487</v>
      </c>
      <c r="B14" s="237"/>
      <c r="C14" s="237"/>
      <c r="D14" s="237"/>
      <c r="E14" s="237"/>
      <c r="F14" s="237"/>
      <c r="G14" s="244" t="s">
        <v>806</v>
      </c>
      <c r="H14" s="238" t="s">
        <v>804</v>
      </c>
      <c r="I14" s="238" t="s">
        <v>804</v>
      </c>
      <c r="J14" s="239">
        <f t="shared" si="0"/>
        <v>0</v>
      </c>
      <c r="K14" s="237" t="s">
        <v>810</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800-000000000000}">
      <formula1>"YES,NO"</formula1>
      <formula2>0</formula2>
    </dataValidation>
  </dataValidations>
  <hyperlinks>
    <hyperlink ref="G14" r:id="rId1" xr:uid="{5BB606B4-380A-4E3B-8042-47B40DF8B075}"/>
  </hyperlink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41"/>
  <sheetViews>
    <sheetView topLeftCell="B9" zoomScaleNormal="100" workbookViewId="0">
      <selection activeCell="G17" sqref="G17"/>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238</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 xml:space="preserve">Does the municipal/city plan include objectives on social development (health care, education)? &gt;:&lt; c) Affordable housing </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Affordable housing
These may include:
Assessment of existing and projected affordable housing requirements.
Number/percentage of slums or inadequate settlements proposed for rehabilitation/upgradation.
Provision of affordable housing - Identification of land parcels.
Increase in affordable housing as a proportion of housing stock.
Access to livelihood opportunities, public transport and basic services.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"Clear priorities &amp; interventions identified ("&amp;TEXT($C$7/2,"0.00")&amp;")"</f>
        <v>Clear priorities &amp; interventions identified (1.67)</v>
      </c>
      <c r="I12" s="235" t="str">
        <f>"Measurable targets / outcome indicators (counts only if priorities = YES) ("&amp;TEXT($C$7/2,"0.00")&amp;")"</f>
        <v>Measurable targets / outcome indicators (counts only if priorities = YES) (1.67)</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ht="15">
      <c r="A14" s="236" t="s">
        <v>487</v>
      </c>
      <c r="B14" s="237"/>
      <c r="C14" s="237"/>
      <c r="D14" s="237"/>
      <c r="E14" s="237"/>
      <c r="F14" s="237"/>
      <c r="G14" s="244" t="s">
        <v>806</v>
      </c>
      <c r="H14" s="238" t="s">
        <v>804</v>
      </c>
      <c r="I14" s="238" t="s">
        <v>804</v>
      </c>
      <c r="J14" s="239">
        <f t="shared" si="0"/>
        <v>0</v>
      </c>
      <c r="K14" s="237" t="s">
        <v>810</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900-000000000000}">
      <formula1>"YES,NO"</formula1>
      <formula2>0</formula2>
    </dataValidation>
  </dataValidations>
  <hyperlinks>
    <hyperlink ref="G14" r:id="rId1" xr:uid="{BA493834-5F28-4201-B66C-45B7A8A10709}"/>
  </hyperlink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41"/>
  <sheetViews>
    <sheetView topLeftCell="C9" zoomScaleNormal="100" workbookViewId="0">
      <selection activeCell="G15" sqref="G15"/>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243</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for women?</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relating to women’s inclusion and access to the city.
These may include:
Economic participation and livelihoods: Measures to support women’s participation in formal and informal employment, including access to employment centres, markets, vending spaces and other livelihood opportunities.
Access to infrastructure and basic services: Equitable access to housing, water and sanitation, healthcare, education, childcare and other public services.
Mobility and accessibility: Safe and accessible public transport, walking and cycling infrastructure, and improved connectivity to employment and essential services.
Safety and public spaces: Measures to improve women’s safety and access to streets, public spaces, parks and other public facilities.
Care infrastructure: Provision and accessibility of childcare, care facilities and other infrastructure that supports women’s participation in economic and public life.
Score 10: The municipal/city  plan identifies  atleast two or more clear priorities relating to women’s inclusion and associated interventions/actions and provides measurable/quantifiable targets or outcome indicators.
Score 5: The municipal/city identifies  atleast two or more clear priorities relating to women’s inclusion and associated interventions/actions, but does not provide measurable targets/outcome indicators.
Score 0: The municipal/city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"Clear priorities &amp; interventions identified ("&amp;TEXT($C$7/2,"0.00")&amp;")"</f>
        <v>Clear priorities &amp; interventions identified (5.00)</v>
      </c>
      <c r="I12" s="235" t="str">
        <f>"Measurable targets / outcome indicators (counts only if priorities = YES) ("&amp;TEXT($C$7/2,"0.00")&amp;")"</f>
        <v>Measurable targets / outcome indicators (counts only if priorities = YES) (5.00)</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ht="15">
      <c r="A14" s="236" t="s">
        <v>487</v>
      </c>
      <c r="B14" s="237"/>
      <c r="C14" s="237"/>
      <c r="D14" s="237"/>
      <c r="E14" s="237"/>
      <c r="F14" s="237"/>
      <c r="G14" s="244" t="s">
        <v>806</v>
      </c>
      <c r="H14" s="238" t="s">
        <v>804</v>
      </c>
      <c r="I14" s="238" t="s">
        <v>804</v>
      </c>
      <c r="J14" s="239">
        <f t="shared" si="0"/>
        <v>0</v>
      </c>
      <c r="K14" s="237" t="s">
        <v>810</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A00-000000000000}">
      <formula1>"YES,NO"</formula1>
      <formula2>0</formula2>
    </dataValidation>
  </dataValidations>
  <hyperlinks>
    <hyperlink ref="G14" r:id="rId1" xr:uid="{D7AE7240-6E1F-4B0C-AE4A-5478A26FBD3E}"/>
  </hyperlink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41"/>
  <sheetViews>
    <sheetView topLeftCell="B9" zoomScaleNormal="100" workbookViewId="0">
      <selection activeCell="G16" sqref="G16"/>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247</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Shared spatial information and data coordination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common digital base municipal/city plan Map shared among Planning Authorities, and data updated through GIS with fixed periodicity by the relevent sectoral agencies (transport, network infrastructure, land use changes)</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for the following:                                                                                                                    1) A State Spatial Data Centre with a map available for use by all agencies and parastatals in the state (Example: Karnataka State Remote Sensing Centre). If it is available, score 5                                                                                      2) The centre must provide atleast 2 of the following spatial data files (shape files/KML files) on - Land use, transport (road network, railway lines, metro lines etc.), admin boundaries (ward/corporation boundarie, metropolitan boundaries). If it is available, score 5 , else score 0 . </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798</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"Part 1: State spatial data centre / shared map ("&amp;TEXT($C$7/2,"0.00")&amp;")"</f>
        <v>Part 1: State spatial data centre / shared map (5.00)</v>
      </c>
      <c r="I12" s="235" t="str">
        <f>"Part 2: At least 2 spatial data files available ("&amp;TEXT($C$7/2,"0.00")&amp;")"</f>
        <v>Part 2: At least 2 spatial data files available (5.00)</v>
      </c>
      <c r="J12" s="233" t="s">
        <v>791</v>
      </c>
      <c r="K12" s="235" t="s">
        <v>792</v>
      </c>
    </row>
    <row r="13" spans="1:11">
      <c r="A13" s="236" t="s">
        <v>486</v>
      </c>
      <c r="B13" s="237"/>
      <c r="C13" s="237"/>
      <c r="D13" s="237"/>
      <c r="E13" s="237"/>
      <c r="F13" s="237"/>
      <c r="G13" s="237"/>
      <c r="H13" s="238"/>
      <c r="I13" s="238"/>
      <c r="J13" s="239" t="str">
        <f t="shared" ref="J13:J41" si="0">IF(OR(H13="",I13=""),"",COUNTIF(H13:I13,"YES")/2*$C$7)</f>
        <v/>
      </c>
      <c r="K13" s="237"/>
    </row>
    <row r="14" spans="1:11" ht="15">
      <c r="A14" s="236" t="s">
        <v>487</v>
      </c>
      <c r="B14" s="237"/>
      <c r="C14" s="237"/>
      <c r="D14" s="237"/>
      <c r="E14" s="237"/>
      <c r="F14" s="237"/>
      <c r="G14" s="244" t="s">
        <v>811</v>
      </c>
      <c r="H14" s="238" t="s">
        <v>796</v>
      </c>
      <c r="I14" s="238" t="s">
        <v>796</v>
      </c>
      <c r="J14" s="239">
        <f t="shared" si="0"/>
        <v>10</v>
      </c>
      <c r="K14" s="237" t="s">
        <v>812</v>
      </c>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2B00-000000000000}">
      <formula1>"YES,NO"</formula1>
      <formula2>0</formula2>
    </dataValidation>
  </dataValidations>
  <hyperlinks>
    <hyperlink ref="G14" r:id="rId1" xr:uid="{4BE97427-09A0-4A57-AF7E-F048B592918D}"/>
  </hyperlink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41"/>
  <sheetViews>
    <sheetView topLeftCell="D9" zoomScaleNormal="100" workbookViewId="0">
      <selection activeCell="G10" sqref="G10"/>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258</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 xml:space="preserve">Water supply and sewerage, sanitation, solid waste management  &gt;:&lt; Water supply and sewerage, sanitation, solid waste management </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city have a notified and active Plan?</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ULG website, relevant parastatal/sectoral agency website, master plan and other official government sources for the existence of the relevant plan.
The plan should be currently applicable/active for the city. Do not treat a strategy, guideline, mission document, project report, or brief document prepared solely to satisfy a scheme requirement as a sectoral plan unless it performs the functions of a city-level sectoral plan. For the city sanitation plan, a one-page document prepared for the Swachh Bharat Mission shall not qualify, consistent with your existing methodology.</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tr">
        <f>"UPD23a1: Water Supply &amp; Sewerage Plan ("&amp;TEXT($C$7/3,"0.00")&amp;")"</f>
        <v>UPD23a1: Water Supply &amp; Sewerage Plan (1.11)</v>
      </c>
      <c r="I12" s="235" t="str">
        <f>"UPD23a2: Solid Waste Management Plan ("&amp;TEXT($C$7/3,"0.00")&amp;")"</f>
        <v>UPD23a2: Solid Waste Management Plan (1.11)</v>
      </c>
      <c r="J12" s="235" t="str">
        <f>"UPD23a3: City Sanitation Plan ("&amp;TEXT($C$7/3,"0.00")&amp;")"</f>
        <v>UPD23a3: City Sanitation Plan (1.11)</v>
      </c>
      <c r="K12" s="233" t="s">
        <v>791</v>
      </c>
      <c r="L12" s="235" t="s">
        <v>792</v>
      </c>
    </row>
    <row r="13" spans="1:12">
      <c r="A13" s="236" t="s">
        <v>486</v>
      </c>
      <c r="B13" s="237"/>
      <c r="C13" s="237"/>
      <c r="D13" s="237"/>
      <c r="E13" s="237"/>
      <c r="F13" s="237"/>
      <c r="G13" s="237"/>
      <c r="H13" s="238"/>
      <c r="I13" s="238"/>
      <c r="J13" s="238"/>
      <c r="K13" s="239" t="str">
        <f t="shared" ref="K13:K41" si="0">IF(OR(H13="",I13="",J13=""),"",COUNTIF(H13:J13,"YES")/3*$C$7)</f>
        <v/>
      </c>
      <c r="L13" s="237"/>
    </row>
    <row r="14" spans="1:12" ht="15">
      <c r="A14" s="236" t="s">
        <v>487</v>
      </c>
      <c r="B14" s="237"/>
      <c r="C14" s="237"/>
      <c r="D14" s="237"/>
      <c r="E14" s="237"/>
      <c r="F14" s="237"/>
      <c r="G14" s="244" t="s">
        <v>813</v>
      </c>
      <c r="H14" s="238" t="s">
        <v>796</v>
      </c>
      <c r="I14" s="238" t="s">
        <v>804</v>
      </c>
      <c r="J14" s="238" t="s">
        <v>804</v>
      </c>
      <c r="K14" s="239">
        <f t="shared" si="0"/>
        <v>1.1099999999999999</v>
      </c>
      <c r="L14" s="237" t="s">
        <v>814</v>
      </c>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2C00-000000000000}">
      <formula1>"YES,NO"</formula1>
      <formula2>0</formula2>
    </dataValidation>
  </dataValidations>
  <hyperlinks>
    <hyperlink ref="G14" r:id="rId1" xr:uid="{D5CB8470-1D3A-48D9-9216-1A5E48B64561}"/>
  </hyperlink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41"/>
  <sheetViews>
    <sheetView topLeftCell="D9" zoomScaleNormal="100" workbookViewId="0">
      <selection activeCell="G16" sqref="G16"/>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275</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 xml:space="preserve">Water supply and sewerage, sanitation, solid waste management  &gt;:&lt; Water supply and sewerage, sanitation, solid waste management </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plan have development priorities and measureable objectives?</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General statements of intent, such as improving sanitation, achieving universal water supply or creating a clean city, without identifiable priorities/interventions and measurable objectives or targets, shall not qualify.</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tr">
        <f>"UPD23b1: Water Supply &amp; Sewerage Plan ("&amp;TEXT($C$7/3,"0.00")&amp;")"</f>
        <v>UPD23b1: Water Supply &amp; Sewerage Plan (1.11)</v>
      </c>
      <c r="I12" s="235" t="str">
        <f>"UPD23b2: Solid Waste Management Plan ("&amp;TEXT($C$7/3,"0.00")&amp;")"</f>
        <v>UPD23b2: Solid Waste Management Plan (1.11)</v>
      </c>
      <c r="J12" s="235" t="str">
        <f>"UPD23b3: City Sanitation Plan ("&amp;TEXT($C$7/3,"0.00")&amp;")"</f>
        <v>UPD23b3: City Sanitation Plan (1.11)</v>
      </c>
      <c r="K12" s="233" t="s">
        <v>791</v>
      </c>
      <c r="L12" s="235" t="s">
        <v>792</v>
      </c>
    </row>
    <row r="13" spans="1:12">
      <c r="A13" s="236" t="s">
        <v>486</v>
      </c>
      <c r="B13" s="237"/>
      <c r="C13" s="237"/>
      <c r="D13" s="237"/>
      <c r="E13" s="237"/>
      <c r="F13" s="237"/>
      <c r="G13" s="237"/>
      <c r="H13" s="238"/>
      <c r="I13" s="238"/>
      <c r="J13" s="238"/>
      <c r="K13" s="239" t="str">
        <f t="shared" ref="K13:K41" si="0">IF(OR(H13="",I13="",J13=""),"",COUNTIF(H13:J13,"YES")/3*$C$7)</f>
        <v/>
      </c>
      <c r="L13" s="237"/>
    </row>
    <row r="14" spans="1:12" ht="15">
      <c r="A14" s="236" t="s">
        <v>487</v>
      </c>
      <c r="B14" s="237"/>
      <c r="C14" s="237"/>
      <c r="D14" s="237"/>
      <c r="E14" s="237"/>
      <c r="F14" s="237"/>
      <c r="G14" s="244" t="s">
        <v>813</v>
      </c>
      <c r="H14" s="238" t="s">
        <v>796</v>
      </c>
      <c r="I14" s="238" t="s">
        <v>804</v>
      </c>
      <c r="J14" s="238" t="s">
        <v>804</v>
      </c>
      <c r="K14" s="239">
        <f t="shared" si="0"/>
        <v>1.1099999999999999</v>
      </c>
      <c r="L14" s="237" t="s">
        <v>815</v>
      </c>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2D00-000000000000}">
      <formula1>"YES,NO"</formula1>
      <formula2>0</formula2>
    </dataValidation>
  </dataValidations>
  <hyperlinks>
    <hyperlink ref="G14" r:id="rId1" xr:uid="{3F7807A8-95B4-46DA-BBF5-9BE77DF3D41B}"/>
  </hyperlink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41"/>
  <sheetViews>
    <sheetView topLeftCell="D9" zoomScaleNormal="100" workbookViewId="0">
      <selection activeCell="G19" sqref="G19"/>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285</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 xml:space="preserve">Water supply and sewerage, sanitation, solid waste management  &gt;:&lt; Water supply and sewerage, sanitation, solid waste management </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plan clearly articulate the role of the ULG?</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
A general reference to the ULG as a stakeholder or participating institution, without identifiable responsibilities, shall not qualify.</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tr">
        <f>"UPD23c1: Water Supply &amp; Sewerage Plan ("&amp;TEXT($C$7/3,"0.00")&amp;")"</f>
        <v>UPD23c1: Water Supply &amp; Sewerage Plan (1.11)</v>
      </c>
      <c r="I12" s="235" t="str">
        <f>"UPD23c2: Solid Waste Management Plan ("&amp;TEXT($C$7/3,"0.00")&amp;")"</f>
        <v>UPD23c2: Solid Waste Management Plan (1.11)</v>
      </c>
      <c r="J12" s="235" t="str">
        <f>"UPD23c3: City Sanitation Plan ("&amp;TEXT($C$7/3,"0.00")&amp;")"</f>
        <v>UPD23c3: City Sanitation Plan (1.11)</v>
      </c>
      <c r="K12" s="233" t="s">
        <v>791</v>
      </c>
      <c r="L12" s="235" t="s">
        <v>792</v>
      </c>
    </row>
    <row r="13" spans="1:12">
      <c r="A13" s="236" t="s">
        <v>486</v>
      </c>
      <c r="B13" s="237"/>
      <c r="C13" s="237"/>
      <c r="D13" s="237"/>
      <c r="E13" s="237"/>
      <c r="F13" s="237"/>
      <c r="G13" s="237"/>
      <c r="H13" s="238"/>
      <c r="I13" s="238"/>
      <c r="J13" s="238"/>
      <c r="K13" s="239" t="str">
        <f t="shared" ref="K13:K41" si="0">IF(OR(H13="",I13="",J13=""),"",COUNTIF(H13:J13,"YES")/3*$C$7)</f>
        <v/>
      </c>
      <c r="L13" s="237"/>
    </row>
    <row r="14" spans="1:12" ht="15">
      <c r="A14" s="236" t="s">
        <v>487</v>
      </c>
      <c r="B14" s="237"/>
      <c r="C14" s="237"/>
      <c r="D14" s="237"/>
      <c r="E14" s="237"/>
      <c r="F14" s="237"/>
      <c r="G14" s="244" t="s">
        <v>813</v>
      </c>
      <c r="H14" s="238" t="s">
        <v>804</v>
      </c>
      <c r="I14" s="238" t="s">
        <v>804</v>
      </c>
      <c r="J14" s="238" t="s">
        <v>804</v>
      </c>
      <c r="K14" s="239">
        <f t="shared" si="0"/>
        <v>0</v>
      </c>
      <c r="L14" s="237" t="s">
        <v>816</v>
      </c>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2E00-000000000000}">
      <formula1>"YES,NO"</formula1>
      <formula2>0</formula2>
    </dataValidation>
  </dataValidations>
  <hyperlinks>
    <hyperlink ref="G14" r:id="rId1" xr:uid="{939DC041-42DA-4587-A2DE-7BB7AFE4107E}"/>
  </hyperlink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41"/>
  <sheetViews>
    <sheetView topLeftCell="B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299</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city have a notified and active Sustainability/Resilience Strategy?</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municipal/city plan/DP) to be scored.  A Disaster Management Plan may also be considered as evidence.  If the plan/ strategy does exist  score 3.33, or score 0 otherwise.                                                                                                                                Note: A draft document. Independent consultant's report/academic /NGO reports will not be considered.</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Independent consultant's report/academic reports will not be considered.</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37" t="s">
        <v>817</v>
      </c>
      <c r="H14" s="238" t="s">
        <v>796</v>
      </c>
      <c r="I14" s="239">
        <f t="shared" si="0"/>
        <v>3.33</v>
      </c>
      <c r="J14" s="243" t="s">
        <v>818</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2F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41"/>
  <sheetViews>
    <sheetView topLeftCell="B9" zoomScaleNormal="100" workbookViewId="0">
      <selection activeCell="G11" sqref="G11"/>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304</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plan have development priorities and measurable objectives?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
A general statement of intent, such as becoming climate-resilient, sustainable or reducing emissions, without identifiable priorities and measurable objectives or targets, shall not qualify.
Score 3.33 if the plan identifies atleast two or more clear priorities and includes measurable objectives or targets against those priorities;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37" t="s">
        <v>819</v>
      </c>
      <c r="H14" s="238" t="s">
        <v>796</v>
      </c>
      <c r="I14" s="239">
        <f t="shared" si="0"/>
        <v>3.33</v>
      </c>
      <c r="J14" s="237" t="s">
        <v>820</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0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41"/>
  <sheetViews>
    <sheetView topLeftCell="B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308</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plan clearly articulate the role of the ULG?</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Score 3.33 where the plan clearly articulates the role/responsibilities of the ULG in its preparation/implementation;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37" t="s">
        <v>819</v>
      </c>
      <c r="H14" s="238" t="s">
        <v>796</v>
      </c>
      <c r="I14" s="239">
        <f t="shared" si="0"/>
        <v>3.33</v>
      </c>
      <c r="J14" s="237" t="s">
        <v>821</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1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41"/>
  <sheetViews>
    <sheetView topLeftCell="B9" zoomScaleNormal="100" workbookViewId="0">
      <selection activeCell="H18" sqref="H18"/>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315</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city have a notified and active Comprehensive Mobility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
Check whether the city has a Comprehensive Mobility Plan (CMP) that has been formally adopted or approved by the competent authority, such as the UMTA, the Urban Development Department, Transport Department or the ULG/Council through a resolution. Sources may include the municipal/city plan, the ULB website, parastatal websites, and the UMTA or State Transport Department website.
A draft CMP, a consultant's report, or an unadopted study, without evidence of formal adoption or approval, shall not qualify.
Score 3.33 if the city has a CMP formally adopted or approved by the competent authority;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44" t="s">
        <v>822</v>
      </c>
      <c r="H14" s="238" t="s">
        <v>796</v>
      </c>
      <c r="I14" s="239">
        <f t="shared" si="0"/>
        <v>3.33</v>
      </c>
      <c r="J14" s="237" t="s">
        <v>823</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200-000000000000}">
      <formula1>"YES,NO"</formula1>
      <formula2>0</formula2>
    </dataValidation>
  </dataValidations>
  <hyperlinks>
    <hyperlink ref="G14" r:id="rId1" xr:uid="{3F415FF5-0E44-48FD-B5A6-805ADAD64E1D}"/>
  </hyperlink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41"/>
  <sheetViews>
    <sheetView topLeftCell="B9" zoomScaleNormal="100" workbookViewId="0">
      <selection activeCell="H18" sqref="H18"/>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319</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plan have development priorities and measurable objectives?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CMP identifies clear priorities and specifies measurable objectives or targets against those priorities, including quantitative or qualitative indicators, as appropriate. Examples may include a target mode share for sustainable modes (public transport, walking and cycling); targets for road safety or transport-related emissions; or actionable projects with measurable timelines, budget estimates and a phasing plan.
A general statement of intent, such as improving mobility, promoting public transport or reducing congestion, without identifiable priorities and measurable objectives or targets, shall not qualify.
Score 3.33 if the CMP identifies atleast two or more clear priorities and includes measurable objectives or targets against those priorities;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44" t="s">
        <v>822</v>
      </c>
      <c r="H14" s="238" t="s">
        <v>796</v>
      </c>
      <c r="I14" s="239">
        <f t="shared" si="0"/>
        <v>3.33</v>
      </c>
      <c r="J14" s="237" t="s">
        <v>824</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300-000000000000}">
      <formula1>"YES,NO"</formula1>
      <formula2>0</formula2>
    </dataValidation>
  </dataValidations>
  <hyperlinks>
    <hyperlink ref="G14" r:id="rId1" xr:uid="{EA193537-C331-4DF8-A8C1-CDA9686B7F3A}"/>
  </hyperlink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41"/>
  <sheetViews>
    <sheetView topLeftCell="C9" zoomScaleNormal="100" workbookViewId="0">
      <selection activeCell="G17" sqref="G17"/>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322</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plan clearly articulate the role of the ULG?</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CMP clearly articulates the roles and responsibilities of the Urban Local Government (ULG) in its preparation and/or implementation. Examples may include the ULG's participation in preparing the plan, such as membership of the steering or technical committee or a council resolution endorsing it; the assignment of specific projects, programmes or actions to the ULG; responsibilities for funding, execution, operation or maintenance of identified interventions; or the ULG's role in monitoring and reviewing the plan's progress.
A passing mention of the ULG as a stakeholder, or a general reference to coordination among agencies, without specifying the ULG's role or responsibilities, shall not qualify.
Score 3.3 if the CMP clearly articulates the roles and responsibilities of the ULG in its preparation and/or implementation;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44" t="s">
        <v>822</v>
      </c>
      <c r="H14" s="238" t="s">
        <v>796</v>
      </c>
      <c r="I14" s="239">
        <f t="shared" si="0"/>
        <v>3.33</v>
      </c>
      <c r="J14" s="237" t="s">
        <v>825</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400-000000000000}">
      <formula1>"YES,NO"</formula1>
      <formula2>0</formula2>
    </dataValidation>
  </dataValidations>
  <hyperlinks>
    <hyperlink ref="G14" r:id="rId1" xr:uid="{DE4D9CDC-4BD7-4035-A3D9-8BC2075BC79B}"/>
  </hyperlink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41"/>
  <sheetViews>
    <sheetView topLeftCell="B10" zoomScaleNormal="100" workbookViewId="0">
      <selection activeCell="J14" sqref="J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329</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city have a notified and active Economic Vision Plan?</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 ULG website, relevant parastatal website, or city/district website for the existence of an Economic Vision, Economic Development Plan or equivalent city-level economic strategy. The document must:
Be a final document; draft documents shall not be considered.
Be formally adopted/approved by the competent authority, evidenced through a Municipal Corporation/Council resolution, Government Order, formal approval by the competent authority, or integration into the statutory municipal/city plan/Development Plan.
Be currently active/applicable. Where the document specifies a validity or implementation period, the city must be within that period at the time of assessment. An expired or superseded plan shall not be considered.
Independent consultant reports, academic studies/reports, background studies or other documents that have not been formally adopted/approved by the competent authority shall not be considered.
Score 3.3 if the city has a final, formally adopted/approved and currently active/applicable Economic Vision, Economic Development Plan or equivalent city-level economic strategy that meets all the above conditions;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ht="15">
      <c r="A14" s="236" t="s">
        <v>487</v>
      </c>
      <c r="B14" s="237"/>
      <c r="C14" s="237"/>
      <c r="D14" s="237"/>
      <c r="E14" s="237"/>
      <c r="F14" s="237"/>
      <c r="G14" s="244" t="s">
        <v>826</v>
      </c>
      <c r="H14" s="238" t="s">
        <v>804</v>
      </c>
      <c r="I14" s="239">
        <f t="shared" si="0"/>
        <v>0</v>
      </c>
      <c r="J14" s="237" t="s">
        <v>827</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500-000000000000}">
      <formula1>"YES,NO"</formula1>
      <formula2>0</formula2>
    </dataValidation>
  </dataValidations>
  <hyperlinks>
    <hyperlink ref="G14" r:id="rId1" xr:uid="{53711301-AE31-4F98-909B-73EDCD94E473}"/>
  </hyperlink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41"/>
  <sheetViews>
    <sheetView topLeftCell="B9" zoomScaleNormal="100" workbookViewId="0">
      <selection activeCell="J14" sqref="J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333</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plan have development priorities and measurable objectives?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plan identifies clear economic development priorities and specifies measurable objectives or targets against those priorities, including quantitative or qualitative indicators, as appropriate. Examples may include targets relating to employment/job creation, workforce participation, development of identified economic sectors or clusters, land/infrastructure provision for economic activities, enterprise development, or investment to be mobilised.
A general statement of intent, such as making the city an economic hub, promoting economic growth or generating employment, without identifiable priorities and measurable objectives or targets, shall not qualify.
Score 3.3 if the plan identifies  atleast two or more clear economic development priorities and includes measurable objectives or targets against those priorities;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t="s">
        <v>804</v>
      </c>
      <c r="I14" s="239">
        <f t="shared" si="0"/>
        <v>0</v>
      </c>
      <c r="J14" s="237" t="s">
        <v>828</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6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41"/>
  <sheetViews>
    <sheetView topLeftCell="B9" zoomScaleNormal="100" workbookViewId="0">
      <selection activeCell="J11" sqref="J11"/>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336</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plan clearly articulate the role of the ULG?</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0">
        <f>VLOOKUP($B$1,'UPD Questions_290926 '!$E$1:$N$300,MATCH($A$7,'UPD Questions_290926 '!$E$1:$N$1,0),0)</f>
        <v>3.33</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plan clearly assigns the ULG a defined role and/or specific responsibilities in implementation of the economic vision/strategy. This may include responsibility for facilitating economic development initiatives, providing enabling infrastructure, supporting livelihoods or enterprises, financing, implementing identified projects, monitoring progress against economic targets, or coordinating with relevant government departments, parastatals, and other agencies.
A general reference to the ULG as a stakeholder, partner or participating institution, without identifiable responsibilities, shall not qualify.
Score 3.3 where the plan clearly assigns the ULG defined roles and/or specific responsibilities in implementation;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t="s">
        <v>804</v>
      </c>
      <c r="I14" s="239">
        <f t="shared" si="0"/>
        <v>0</v>
      </c>
      <c r="J14" s="237" t="s">
        <v>828</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7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R41"/>
  <sheetViews>
    <sheetView topLeftCell="A4" zoomScaleNormal="100" workbookViewId="0">
      <selection activeCell="A12" sqref="A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1" width="22" customWidth="1"/>
    <col min="12" max="12" width="14" customWidth="1"/>
    <col min="13" max="13" width="45" customWidth="1"/>
    <col min="14" max="18" width="30" customWidth="1"/>
  </cols>
  <sheetData>
    <row r="1" spans="1:18">
      <c r="A1" s="228" t="s">
        <v>777</v>
      </c>
      <c r="B1" s="228" t="s">
        <v>342</v>
      </c>
      <c r="C1" s="229" t="s">
        <v>778</v>
      </c>
    </row>
    <row r="2" spans="1:18">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8">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spans="1:18">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Specialised institutional capacity</v>
      </c>
    </row>
    <row r="5" spans="1:18">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8">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adequate and representative professional town-planning capacity? &gt;:&lt; Does the city have adequate professional town-planning capacity?</v>
      </c>
      <c r="C6" s="229" t="s">
        <v>780</v>
      </c>
    </row>
    <row r="7" spans="1:18">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8">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8"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number of filled positions (against the sanctioned posts) of town/urban planners in the ULG and, where applicable, the Development/Planning Authority responsible for planning the city.
Town planners per lakh population = (Filled qualified town planners in the ULG + filled qualified town planners attributable to the city in the Development/Planning Authority) ÷ Census 2011 population × 1,00,000
Cities assessed will receive a Score of 5. All other cities will be scored proportionately against this benchmark.
Score = (Town planners per lakh population in the city ÷ Highest town planners per lakh population among cities assessed) × 5
For example, if the highest-performing city has 2 planners/lakh, a city with 1.5 planners/lakh scores 3.75, and one with 1 planner/lakh scores 2.5.</v>
      </c>
    </row>
    <row r="10" spans="1:18"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Scorer comment - 
Record in the score sheet, separately for the ULG and Development/Planning Authority: total sanctioned town-planner positions; total filled positions; vacancies and vacancy rate; women and men among filled positions; and town planners per lakh population.</v>
      </c>
      <c r="H10" s="231" t="s">
        <v>829</v>
      </c>
    </row>
    <row r="11" spans="1:18" ht="29.1">
      <c r="H11" s="232" t="s">
        <v>830</v>
      </c>
      <c r="I11" s="232" t="s">
        <v>830</v>
      </c>
      <c r="J11" s="232" t="s">
        <v>831</v>
      </c>
      <c r="K11" s="232" t="s">
        <v>832</v>
      </c>
      <c r="L11" s="233" t="s">
        <v>783</v>
      </c>
    </row>
    <row r="12" spans="1:18" ht="60" customHeight="1">
      <c r="A12" s="234" t="s">
        <v>784</v>
      </c>
      <c r="B12" s="234" t="s">
        <v>785</v>
      </c>
      <c r="C12" s="234" t="s">
        <v>786</v>
      </c>
      <c r="D12" s="234" t="s">
        <v>787</v>
      </c>
      <c r="E12" s="234" t="s">
        <v>788</v>
      </c>
      <c r="F12" s="234" t="s">
        <v>789</v>
      </c>
      <c r="G12" s="234" t="s">
        <v>790</v>
      </c>
      <c r="H12" s="235" t="s">
        <v>833</v>
      </c>
      <c r="I12" s="235" t="s">
        <v>834</v>
      </c>
      <c r="J12" s="235" t="s">
        <v>835</v>
      </c>
      <c r="K12" s="240" t="s">
        <v>836</v>
      </c>
      <c r="L12" s="233" t="s">
        <v>791</v>
      </c>
      <c r="M12" s="235" t="s">
        <v>792</v>
      </c>
      <c r="N12" s="235" t="s">
        <v>837</v>
      </c>
      <c r="O12" s="235" t="s">
        <v>838</v>
      </c>
      <c r="P12" s="235" t="s">
        <v>839</v>
      </c>
      <c r="Q12" s="235" t="s">
        <v>840</v>
      </c>
      <c r="R12" s="235" t="s">
        <v>841</v>
      </c>
    </row>
    <row r="13" spans="1:18">
      <c r="A13" s="236" t="s">
        <v>486</v>
      </c>
      <c r="B13" s="237"/>
      <c r="C13" s="237"/>
      <c r="D13" s="237"/>
      <c r="E13" s="237"/>
      <c r="F13" s="237"/>
      <c r="G13" s="237"/>
      <c r="H13" s="238"/>
      <c r="I13" s="238"/>
      <c r="J13" s="238"/>
      <c r="K13" s="241" t="str">
        <f t="shared" ref="K13:K41" si="0">IF(OR(H13="",I13="",J13=""),"",(H13+I13)/J13*100000)</f>
        <v/>
      </c>
      <c r="L13" s="239" t="str">
        <f t="shared" ref="L13:L41" si="1">IF(K13="","",IF(MAX($K$13:$K$41)=0,0,K13/MAX($K$13:$K$41)*$C$7))</f>
        <v/>
      </c>
      <c r="M13" s="237"/>
      <c r="N13" s="237"/>
      <c r="O13" s="237"/>
      <c r="P13" s="237"/>
      <c r="Q13" s="237"/>
      <c r="R13" s="237"/>
    </row>
    <row r="14" spans="1:18">
      <c r="A14" s="236" t="s">
        <v>487</v>
      </c>
      <c r="B14" s="237"/>
      <c r="C14" s="237"/>
      <c r="D14" s="237"/>
      <c r="E14" s="237"/>
      <c r="F14" s="237"/>
      <c r="G14" s="237"/>
      <c r="H14" s="238"/>
      <c r="I14" s="238"/>
      <c r="J14" s="238"/>
      <c r="K14" s="241" t="str">
        <f t="shared" si="0"/>
        <v/>
      </c>
      <c r="L14" s="239" t="str">
        <f t="shared" si="1"/>
        <v/>
      </c>
      <c r="M14" s="237"/>
      <c r="N14" s="237"/>
      <c r="O14" s="237"/>
      <c r="P14" s="237"/>
      <c r="Q14" s="237"/>
      <c r="R14" s="237"/>
    </row>
    <row r="15" spans="1:18">
      <c r="A15" s="236" t="s">
        <v>488</v>
      </c>
      <c r="B15" s="237"/>
      <c r="C15" s="237"/>
      <c r="D15" s="237"/>
      <c r="E15" s="237"/>
      <c r="F15" s="237"/>
      <c r="G15" s="237"/>
      <c r="H15" s="238"/>
      <c r="I15" s="238"/>
      <c r="J15" s="238"/>
      <c r="K15" s="241" t="str">
        <f t="shared" si="0"/>
        <v/>
      </c>
      <c r="L15" s="239" t="str">
        <f t="shared" si="1"/>
        <v/>
      </c>
      <c r="M15" s="237"/>
      <c r="N15" s="237"/>
      <c r="O15" s="237"/>
      <c r="P15" s="237"/>
      <c r="Q15" s="237"/>
      <c r="R15" s="237"/>
    </row>
    <row r="16" spans="1:18">
      <c r="A16" s="236" t="s">
        <v>489</v>
      </c>
      <c r="B16" s="237"/>
      <c r="C16" s="237"/>
      <c r="D16" s="237"/>
      <c r="E16" s="237"/>
      <c r="F16" s="237"/>
      <c r="G16" s="237"/>
      <c r="H16" s="238"/>
      <c r="I16" s="238"/>
      <c r="J16" s="238"/>
      <c r="K16" s="241" t="str">
        <f t="shared" si="0"/>
        <v/>
      </c>
      <c r="L16" s="239" t="str">
        <f t="shared" si="1"/>
        <v/>
      </c>
      <c r="M16" s="237"/>
      <c r="N16" s="237"/>
      <c r="O16" s="237"/>
      <c r="P16" s="237"/>
      <c r="Q16" s="237"/>
      <c r="R16" s="237"/>
    </row>
    <row r="17" spans="1:18">
      <c r="A17" s="236" t="s">
        <v>490</v>
      </c>
      <c r="B17" s="237"/>
      <c r="C17" s="237"/>
      <c r="D17" s="237"/>
      <c r="E17" s="237"/>
      <c r="F17" s="237"/>
      <c r="G17" s="237"/>
      <c r="H17" s="238"/>
      <c r="I17" s="238"/>
      <c r="J17" s="238"/>
      <c r="K17" s="241" t="str">
        <f t="shared" si="0"/>
        <v/>
      </c>
      <c r="L17" s="239" t="str">
        <f t="shared" si="1"/>
        <v/>
      </c>
      <c r="M17" s="237"/>
      <c r="N17" s="237"/>
      <c r="O17" s="237"/>
      <c r="P17" s="237"/>
      <c r="Q17" s="237"/>
      <c r="R17" s="237"/>
    </row>
    <row r="18" spans="1:18">
      <c r="A18" s="236" t="s">
        <v>491</v>
      </c>
      <c r="B18" s="237"/>
      <c r="C18" s="237"/>
      <c r="D18" s="237"/>
      <c r="E18" s="237"/>
      <c r="F18" s="237"/>
      <c r="G18" s="237"/>
      <c r="H18" s="238"/>
      <c r="I18" s="238"/>
      <c r="J18" s="238"/>
      <c r="K18" s="241" t="str">
        <f t="shared" si="0"/>
        <v/>
      </c>
      <c r="L18" s="239" t="str">
        <f t="shared" si="1"/>
        <v/>
      </c>
      <c r="M18" s="237"/>
      <c r="N18" s="237"/>
      <c r="O18" s="237"/>
      <c r="P18" s="237"/>
      <c r="Q18" s="237"/>
      <c r="R18" s="237"/>
    </row>
    <row r="19" spans="1:18">
      <c r="A19" s="236" t="s">
        <v>492</v>
      </c>
      <c r="B19" s="237"/>
      <c r="C19" s="237"/>
      <c r="D19" s="237"/>
      <c r="E19" s="237"/>
      <c r="F19" s="237"/>
      <c r="G19" s="237"/>
      <c r="H19" s="238"/>
      <c r="I19" s="238"/>
      <c r="J19" s="238"/>
      <c r="K19" s="241" t="str">
        <f t="shared" si="0"/>
        <v/>
      </c>
      <c r="L19" s="239" t="str">
        <f t="shared" si="1"/>
        <v/>
      </c>
      <c r="M19" s="237"/>
      <c r="N19" s="237"/>
      <c r="O19" s="237"/>
      <c r="P19" s="237"/>
      <c r="Q19" s="237"/>
      <c r="R19" s="237"/>
    </row>
    <row r="20" spans="1:18">
      <c r="A20" s="236" t="s">
        <v>493</v>
      </c>
      <c r="B20" s="237"/>
      <c r="C20" s="237"/>
      <c r="D20" s="237"/>
      <c r="E20" s="237"/>
      <c r="F20" s="237"/>
      <c r="G20" s="237"/>
      <c r="H20" s="238"/>
      <c r="I20" s="238"/>
      <c r="J20" s="238"/>
      <c r="K20" s="241" t="str">
        <f t="shared" si="0"/>
        <v/>
      </c>
      <c r="L20" s="239" t="str">
        <f t="shared" si="1"/>
        <v/>
      </c>
      <c r="M20" s="237"/>
      <c r="N20" s="237"/>
      <c r="O20" s="237"/>
      <c r="P20" s="237"/>
      <c r="Q20" s="237"/>
      <c r="R20" s="237"/>
    </row>
    <row r="21" spans="1:18">
      <c r="A21" s="236" t="s">
        <v>494</v>
      </c>
      <c r="B21" s="237"/>
      <c r="C21" s="237"/>
      <c r="D21" s="237"/>
      <c r="E21" s="237"/>
      <c r="F21" s="237"/>
      <c r="G21" s="237"/>
      <c r="H21" s="238"/>
      <c r="I21" s="238"/>
      <c r="J21" s="238"/>
      <c r="K21" s="241" t="str">
        <f t="shared" si="0"/>
        <v/>
      </c>
      <c r="L21" s="239" t="str">
        <f t="shared" si="1"/>
        <v/>
      </c>
      <c r="M21" s="237"/>
      <c r="N21" s="237"/>
      <c r="O21" s="237"/>
      <c r="P21" s="237"/>
      <c r="Q21" s="237"/>
      <c r="R21" s="237"/>
    </row>
    <row r="22" spans="1:18">
      <c r="A22" s="236" t="s">
        <v>495</v>
      </c>
      <c r="B22" s="237"/>
      <c r="C22" s="237"/>
      <c r="D22" s="237"/>
      <c r="E22" s="237"/>
      <c r="F22" s="237"/>
      <c r="G22" s="237"/>
      <c r="H22" s="238"/>
      <c r="I22" s="238"/>
      <c r="J22" s="238"/>
      <c r="K22" s="241" t="str">
        <f t="shared" si="0"/>
        <v/>
      </c>
      <c r="L22" s="239" t="str">
        <f t="shared" si="1"/>
        <v/>
      </c>
      <c r="M22" s="237"/>
      <c r="N22" s="237"/>
      <c r="O22" s="237"/>
      <c r="P22" s="237"/>
      <c r="Q22" s="237"/>
      <c r="R22" s="237"/>
    </row>
    <row r="23" spans="1:18">
      <c r="A23" s="236" t="s">
        <v>496</v>
      </c>
      <c r="B23" s="237"/>
      <c r="C23" s="237"/>
      <c r="D23" s="237"/>
      <c r="E23" s="237"/>
      <c r="F23" s="237"/>
      <c r="G23" s="237"/>
      <c r="H23" s="238"/>
      <c r="I23" s="238"/>
      <c r="J23" s="238"/>
      <c r="K23" s="241" t="str">
        <f t="shared" si="0"/>
        <v/>
      </c>
      <c r="L23" s="239" t="str">
        <f t="shared" si="1"/>
        <v/>
      </c>
      <c r="M23" s="237"/>
      <c r="N23" s="237"/>
      <c r="O23" s="237"/>
      <c r="P23" s="237"/>
      <c r="Q23" s="237"/>
      <c r="R23" s="237"/>
    </row>
    <row r="24" spans="1:18">
      <c r="A24" s="236" t="s">
        <v>497</v>
      </c>
      <c r="B24" s="237"/>
      <c r="C24" s="237"/>
      <c r="D24" s="237"/>
      <c r="E24" s="237"/>
      <c r="F24" s="237"/>
      <c r="G24" s="237"/>
      <c r="H24" s="238"/>
      <c r="I24" s="238"/>
      <c r="J24" s="238"/>
      <c r="K24" s="241" t="str">
        <f t="shared" si="0"/>
        <v/>
      </c>
      <c r="L24" s="239" t="str">
        <f t="shared" si="1"/>
        <v/>
      </c>
      <c r="M24" s="237"/>
      <c r="N24" s="237"/>
      <c r="O24" s="237"/>
      <c r="P24" s="237"/>
      <c r="Q24" s="237"/>
      <c r="R24" s="237"/>
    </row>
    <row r="25" spans="1:18">
      <c r="A25" s="236" t="s">
        <v>498</v>
      </c>
      <c r="B25" s="237"/>
      <c r="C25" s="237"/>
      <c r="D25" s="237"/>
      <c r="E25" s="237"/>
      <c r="F25" s="237"/>
      <c r="G25" s="237"/>
      <c r="H25" s="238"/>
      <c r="I25" s="238"/>
      <c r="J25" s="238"/>
      <c r="K25" s="241" t="str">
        <f t="shared" si="0"/>
        <v/>
      </c>
      <c r="L25" s="239" t="str">
        <f t="shared" si="1"/>
        <v/>
      </c>
      <c r="M25" s="237"/>
      <c r="N25" s="237"/>
      <c r="O25" s="237"/>
      <c r="P25" s="237"/>
      <c r="Q25" s="237"/>
      <c r="R25" s="237"/>
    </row>
    <row r="26" spans="1:18">
      <c r="A26" s="236" t="s">
        <v>499</v>
      </c>
      <c r="B26" s="237"/>
      <c r="C26" s="237"/>
      <c r="D26" s="237"/>
      <c r="E26" s="237"/>
      <c r="F26" s="237"/>
      <c r="G26" s="237"/>
      <c r="H26" s="238"/>
      <c r="I26" s="238"/>
      <c r="J26" s="238"/>
      <c r="K26" s="241" t="str">
        <f t="shared" si="0"/>
        <v/>
      </c>
      <c r="L26" s="239" t="str">
        <f t="shared" si="1"/>
        <v/>
      </c>
      <c r="M26" s="237"/>
      <c r="N26" s="237"/>
      <c r="O26" s="237"/>
      <c r="P26" s="237"/>
      <c r="Q26" s="237"/>
      <c r="R26" s="237"/>
    </row>
    <row r="27" spans="1:18">
      <c r="A27" s="236" t="s">
        <v>500</v>
      </c>
      <c r="B27" s="237"/>
      <c r="C27" s="237"/>
      <c r="D27" s="237"/>
      <c r="E27" s="237"/>
      <c r="F27" s="237"/>
      <c r="G27" s="237"/>
      <c r="H27" s="238"/>
      <c r="I27" s="238"/>
      <c r="J27" s="238"/>
      <c r="K27" s="241" t="str">
        <f t="shared" si="0"/>
        <v/>
      </c>
      <c r="L27" s="239" t="str">
        <f t="shared" si="1"/>
        <v/>
      </c>
      <c r="M27" s="237"/>
      <c r="N27" s="237"/>
      <c r="O27" s="237"/>
      <c r="P27" s="237"/>
      <c r="Q27" s="237"/>
      <c r="R27" s="237"/>
    </row>
    <row r="28" spans="1:18">
      <c r="A28" s="236" t="s">
        <v>501</v>
      </c>
      <c r="B28" s="237"/>
      <c r="C28" s="237"/>
      <c r="D28" s="237"/>
      <c r="E28" s="237"/>
      <c r="F28" s="237"/>
      <c r="G28" s="237"/>
      <c r="H28" s="238"/>
      <c r="I28" s="238"/>
      <c r="J28" s="238"/>
      <c r="K28" s="241" t="str">
        <f t="shared" si="0"/>
        <v/>
      </c>
      <c r="L28" s="239" t="str">
        <f t="shared" si="1"/>
        <v/>
      </c>
      <c r="M28" s="237"/>
      <c r="N28" s="237"/>
      <c r="O28" s="237"/>
      <c r="P28" s="237"/>
      <c r="Q28" s="237"/>
      <c r="R28" s="237"/>
    </row>
    <row r="29" spans="1:18">
      <c r="A29" s="236" t="s">
        <v>502</v>
      </c>
      <c r="B29" s="237"/>
      <c r="C29" s="237"/>
      <c r="D29" s="237"/>
      <c r="E29" s="237"/>
      <c r="F29" s="237"/>
      <c r="G29" s="237"/>
      <c r="H29" s="238"/>
      <c r="I29" s="238"/>
      <c r="J29" s="238"/>
      <c r="K29" s="241" t="str">
        <f t="shared" si="0"/>
        <v/>
      </c>
      <c r="L29" s="239" t="str">
        <f t="shared" si="1"/>
        <v/>
      </c>
      <c r="M29" s="237"/>
      <c r="N29" s="237"/>
      <c r="O29" s="237"/>
      <c r="P29" s="237"/>
      <c r="Q29" s="237"/>
      <c r="R29" s="237"/>
    </row>
    <row r="30" spans="1:18">
      <c r="A30" s="236" t="s">
        <v>503</v>
      </c>
      <c r="B30" s="237"/>
      <c r="C30" s="237"/>
      <c r="D30" s="237"/>
      <c r="E30" s="237"/>
      <c r="F30" s="237"/>
      <c r="G30" s="237"/>
      <c r="H30" s="238"/>
      <c r="I30" s="238"/>
      <c r="J30" s="238"/>
      <c r="K30" s="241" t="str">
        <f t="shared" si="0"/>
        <v/>
      </c>
      <c r="L30" s="239" t="str">
        <f t="shared" si="1"/>
        <v/>
      </c>
      <c r="M30" s="237"/>
      <c r="N30" s="237"/>
      <c r="O30" s="237"/>
      <c r="P30" s="237"/>
      <c r="Q30" s="237"/>
      <c r="R30" s="237"/>
    </row>
    <row r="31" spans="1:18">
      <c r="A31" s="236" t="s">
        <v>504</v>
      </c>
      <c r="B31" s="237"/>
      <c r="C31" s="237"/>
      <c r="D31" s="237"/>
      <c r="E31" s="237"/>
      <c r="F31" s="237"/>
      <c r="G31" s="237"/>
      <c r="H31" s="238"/>
      <c r="I31" s="238"/>
      <c r="J31" s="238"/>
      <c r="K31" s="241" t="str">
        <f t="shared" si="0"/>
        <v/>
      </c>
      <c r="L31" s="239" t="str">
        <f t="shared" si="1"/>
        <v/>
      </c>
      <c r="M31" s="237"/>
      <c r="N31" s="237"/>
      <c r="O31" s="237"/>
      <c r="P31" s="237"/>
      <c r="Q31" s="237"/>
      <c r="R31" s="237"/>
    </row>
    <row r="32" spans="1:18">
      <c r="A32" s="236" t="s">
        <v>505</v>
      </c>
      <c r="B32" s="237"/>
      <c r="C32" s="237"/>
      <c r="D32" s="237"/>
      <c r="E32" s="237"/>
      <c r="F32" s="237"/>
      <c r="G32" s="237"/>
      <c r="H32" s="238"/>
      <c r="I32" s="238"/>
      <c r="J32" s="238"/>
      <c r="K32" s="241" t="str">
        <f t="shared" si="0"/>
        <v/>
      </c>
      <c r="L32" s="239" t="str">
        <f t="shared" si="1"/>
        <v/>
      </c>
      <c r="M32" s="237"/>
      <c r="N32" s="237"/>
      <c r="O32" s="237"/>
      <c r="P32" s="237"/>
      <c r="Q32" s="237"/>
      <c r="R32" s="237"/>
    </row>
    <row r="33" spans="1:18">
      <c r="A33" s="236" t="s">
        <v>506</v>
      </c>
      <c r="B33" s="237"/>
      <c r="C33" s="237"/>
      <c r="D33" s="237"/>
      <c r="E33" s="237"/>
      <c r="F33" s="237"/>
      <c r="G33" s="237"/>
      <c r="H33" s="238"/>
      <c r="I33" s="238"/>
      <c r="J33" s="238"/>
      <c r="K33" s="241" t="str">
        <f t="shared" si="0"/>
        <v/>
      </c>
      <c r="L33" s="239" t="str">
        <f t="shared" si="1"/>
        <v/>
      </c>
      <c r="M33" s="237"/>
      <c r="N33" s="237"/>
      <c r="O33" s="237"/>
      <c r="P33" s="237"/>
      <c r="Q33" s="237"/>
      <c r="R33" s="237"/>
    </row>
    <row r="34" spans="1:18">
      <c r="A34" s="236" t="s">
        <v>507</v>
      </c>
      <c r="B34" s="237"/>
      <c r="C34" s="237"/>
      <c r="D34" s="237"/>
      <c r="E34" s="237"/>
      <c r="F34" s="237"/>
      <c r="G34" s="237"/>
      <c r="H34" s="238"/>
      <c r="I34" s="238"/>
      <c r="J34" s="238"/>
      <c r="K34" s="241" t="str">
        <f t="shared" si="0"/>
        <v/>
      </c>
      <c r="L34" s="239" t="str">
        <f t="shared" si="1"/>
        <v/>
      </c>
      <c r="M34" s="237"/>
      <c r="N34" s="237"/>
      <c r="O34" s="237"/>
      <c r="P34" s="237"/>
      <c r="Q34" s="237"/>
      <c r="R34" s="237"/>
    </row>
    <row r="35" spans="1:18">
      <c r="A35" s="236" t="s">
        <v>508</v>
      </c>
      <c r="B35" s="237"/>
      <c r="C35" s="237"/>
      <c r="D35" s="237"/>
      <c r="E35" s="237"/>
      <c r="F35" s="237"/>
      <c r="G35" s="237"/>
      <c r="H35" s="238"/>
      <c r="I35" s="238"/>
      <c r="J35" s="238"/>
      <c r="K35" s="241" t="str">
        <f t="shared" si="0"/>
        <v/>
      </c>
      <c r="L35" s="239" t="str">
        <f t="shared" si="1"/>
        <v/>
      </c>
      <c r="M35" s="237"/>
      <c r="N35" s="237"/>
      <c r="O35" s="237"/>
      <c r="P35" s="237"/>
      <c r="Q35" s="237"/>
      <c r="R35" s="237"/>
    </row>
    <row r="36" spans="1:18">
      <c r="A36" s="236" t="s">
        <v>509</v>
      </c>
      <c r="B36" s="237"/>
      <c r="C36" s="237"/>
      <c r="D36" s="237"/>
      <c r="E36" s="237"/>
      <c r="F36" s="237"/>
      <c r="G36" s="237"/>
      <c r="H36" s="238"/>
      <c r="I36" s="238"/>
      <c r="J36" s="238"/>
      <c r="K36" s="241" t="str">
        <f t="shared" si="0"/>
        <v/>
      </c>
      <c r="L36" s="239" t="str">
        <f t="shared" si="1"/>
        <v/>
      </c>
      <c r="M36" s="237"/>
      <c r="N36" s="237"/>
      <c r="O36" s="237"/>
      <c r="P36" s="237"/>
      <c r="Q36" s="237"/>
      <c r="R36" s="237"/>
    </row>
    <row r="37" spans="1:18">
      <c r="A37" s="236" t="s">
        <v>510</v>
      </c>
      <c r="B37" s="237"/>
      <c r="C37" s="237"/>
      <c r="D37" s="237"/>
      <c r="E37" s="237"/>
      <c r="F37" s="237"/>
      <c r="G37" s="237"/>
      <c r="H37" s="238"/>
      <c r="I37" s="238"/>
      <c r="J37" s="238"/>
      <c r="K37" s="241" t="str">
        <f t="shared" si="0"/>
        <v/>
      </c>
      <c r="L37" s="239" t="str">
        <f t="shared" si="1"/>
        <v/>
      </c>
      <c r="M37" s="237"/>
      <c r="N37" s="237"/>
      <c r="O37" s="237"/>
      <c r="P37" s="237"/>
      <c r="Q37" s="237"/>
      <c r="R37" s="237"/>
    </row>
    <row r="38" spans="1:18">
      <c r="A38" s="236" t="s">
        <v>511</v>
      </c>
      <c r="B38" s="237"/>
      <c r="C38" s="237"/>
      <c r="D38" s="237"/>
      <c r="E38" s="237"/>
      <c r="F38" s="237"/>
      <c r="G38" s="237"/>
      <c r="H38" s="238"/>
      <c r="I38" s="238"/>
      <c r="J38" s="238"/>
      <c r="K38" s="241" t="str">
        <f t="shared" si="0"/>
        <v/>
      </c>
      <c r="L38" s="239" t="str">
        <f t="shared" si="1"/>
        <v/>
      </c>
      <c r="M38" s="237"/>
      <c r="N38" s="237"/>
      <c r="O38" s="237"/>
      <c r="P38" s="237"/>
      <c r="Q38" s="237"/>
      <c r="R38" s="237"/>
    </row>
    <row r="39" spans="1:18">
      <c r="A39" s="236" t="s">
        <v>512</v>
      </c>
      <c r="B39" s="237"/>
      <c r="C39" s="237"/>
      <c r="D39" s="237"/>
      <c r="E39" s="237"/>
      <c r="F39" s="237"/>
      <c r="G39" s="237"/>
      <c r="H39" s="238"/>
      <c r="I39" s="238"/>
      <c r="J39" s="238"/>
      <c r="K39" s="241" t="str">
        <f t="shared" si="0"/>
        <v/>
      </c>
      <c r="L39" s="239" t="str">
        <f t="shared" si="1"/>
        <v/>
      </c>
      <c r="M39" s="237"/>
      <c r="N39" s="237"/>
      <c r="O39" s="237"/>
      <c r="P39" s="237"/>
      <c r="Q39" s="237"/>
      <c r="R39" s="237"/>
    </row>
    <row r="40" spans="1:18">
      <c r="A40" s="236" t="s">
        <v>513</v>
      </c>
      <c r="B40" s="237"/>
      <c r="C40" s="237"/>
      <c r="D40" s="237"/>
      <c r="E40" s="237"/>
      <c r="F40" s="237"/>
      <c r="G40" s="237"/>
      <c r="H40" s="238"/>
      <c r="I40" s="238"/>
      <c r="J40" s="238"/>
      <c r="K40" s="241" t="str">
        <f t="shared" si="0"/>
        <v/>
      </c>
      <c r="L40" s="239" t="str">
        <f t="shared" si="1"/>
        <v/>
      </c>
      <c r="M40" s="237"/>
      <c r="N40" s="237"/>
      <c r="O40" s="237"/>
      <c r="P40" s="237"/>
      <c r="Q40" s="237"/>
      <c r="R40" s="237"/>
    </row>
    <row r="41" spans="1:18">
      <c r="A41" s="236" t="s">
        <v>514</v>
      </c>
      <c r="B41" s="237"/>
      <c r="C41" s="237"/>
      <c r="D41" s="237"/>
      <c r="E41" s="237"/>
      <c r="F41" s="237"/>
      <c r="G41" s="237"/>
      <c r="H41" s="238"/>
      <c r="I41" s="238"/>
      <c r="J41" s="238"/>
      <c r="K41" s="241" t="str">
        <f t="shared" si="0"/>
        <v/>
      </c>
      <c r="L41" s="239" t="str">
        <f t="shared" si="1"/>
        <v/>
      </c>
      <c r="M41" s="237"/>
      <c r="N41" s="237"/>
      <c r="O41" s="237"/>
      <c r="P41" s="237"/>
      <c r="Q41" s="237"/>
      <c r="R41" s="237"/>
    </row>
  </sheetData>
  <dataValidations count="2">
    <dataValidation type="whole" operator="greaterThanOrEqual" allowBlank="1" showErrorMessage="1" errorTitle="Invalid entry" error="Please enter a valid value (see note above the column)." sqref="H13:I41" xr:uid="{00000000-0002-0000-3800-000000000000}">
      <formula1>0</formula1>
      <formula2>0</formula2>
    </dataValidation>
    <dataValidation type="whole" operator="greaterThanOrEqual" allowBlank="1" showErrorMessage="1" errorTitle="Invalid entry" error="Please enter a valid value (see note above the column)." sqref="J13:J41" xr:uid="{00000000-0002-0000-3800-000001000000}">
      <formula1>1</formula1>
      <formula2>0</formula2>
    </dataValidation>
  </dataValidation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K41"/>
  <sheetViews>
    <sheetView topLeftCell="A9" zoomScaleNormal="100" workbookViewId="0">
      <selection activeCell="A12" sqref="A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347</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Specialised institutional capacity</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adequate and representative professional town-planning capacity? &gt;:&lt; What proportion of the city's professional town-planning workforce is women?</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Compute women town planners as a proportion of the total filled qualified town-planner positions across the ULG and, where applicable, the Development/Planning Authority staff attributable to the city, using the latest available staffing data.
% women town planners = (Number of women town planners ÷ Total filled qualified town-planner positions) × 100
Scoring bands:
Score 5 — women constitute ≥33% of the professional town-planning workforce
Score 2.5 — women constitute 15–32%
Score 0 — women constitute &lt;15%</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Record, wherever available, the proportion of women among senior/decision-making town-planning positions.</v>
      </c>
      <c r="H10" s="231" t="s">
        <v>842</v>
      </c>
    </row>
    <row r="11" spans="1:11" ht="29.1">
      <c r="H11" s="232" t="s">
        <v>843</v>
      </c>
      <c r="I11" s="233" t="s">
        <v>783</v>
      </c>
    </row>
    <row r="12" spans="1:11" ht="60" customHeight="1">
      <c r="A12" s="234" t="s">
        <v>784</v>
      </c>
      <c r="B12" s="234" t="s">
        <v>785</v>
      </c>
      <c r="C12" s="234" t="s">
        <v>786</v>
      </c>
      <c r="D12" s="234" t="s">
        <v>787</v>
      </c>
      <c r="E12" s="234" t="s">
        <v>788</v>
      </c>
      <c r="F12" s="234" t="s">
        <v>789</v>
      </c>
      <c r="G12" s="234" t="s">
        <v>790</v>
      </c>
      <c r="H12" s="235" t="s">
        <v>844</v>
      </c>
      <c r="I12" s="233" t="s">
        <v>791</v>
      </c>
      <c r="J12" s="235" t="s">
        <v>792</v>
      </c>
      <c r="K12" s="235" t="s">
        <v>845</v>
      </c>
    </row>
    <row r="13" spans="1:11">
      <c r="A13" s="236" t="s">
        <v>486</v>
      </c>
      <c r="B13" s="237"/>
      <c r="C13" s="237"/>
      <c r="D13" s="237"/>
      <c r="E13" s="237"/>
      <c r="F13" s="237"/>
      <c r="G13" s="237"/>
      <c r="H13" s="242"/>
      <c r="I13" s="239" t="str">
        <f t="shared" ref="I13:I41" si="0">IF(H13="","",IF(H13&gt;=0.33,$C$7,IF(H13&gt;=0.15,$C$7/2,0)))</f>
        <v/>
      </c>
      <c r="J13" s="237"/>
      <c r="K13" s="237"/>
    </row>
    <row r="14" spans="1:11">
      <c r="A14" s="236" t="s">
        <v>487</v>
      </c>
      <c r="B14" s="237"/>
      <c r="C14" s="237"/>
      <c r="D14" s="237"/>
      <c r="E14" s="237"/>
      <c r="F14" s="237"/>
      <c r="G14" s="237"/>
      <c r="H14" s="242"/>
      <c r="I14" s="239" t="str">
        <f t="shared" si="0"/>
        <v/>
      </c>
      <c r="J14" s="237"/>
      <c r="K14" s="237"/>
    </row>
    <row r="15" spans="1:11">
      <c r="A15" s="236" t="s">
        <v>488</v>
      </c>
      <c r="B15" s="237"/>
      <c r="C15" s="237"/>
      <c r="D15" s="237"/>
      <c r="E15" s="237"/>
      <c r="F15" s="237"/>
      <c r="G15" s="237"/>
      <c r="H15" s="242"/>
      <c r="I15" s="239" t="str">
        <f t="shared" si="0"/>
        <v/>
      </c>
      <c r="J15" s="237"/>
      <c r="K15" s="237"/>
    </row>
    <row r="16" spans="1:11">
      <c r="A16" s="236" t="s">
        <v>489</v>
      </c>
      <c r="B16" s="237"/>
      <c r="C16" s="237"/>
      <c r="D16" s="237"/>
      <c r="E16" s="237"/>
      <c r="F16" s="237"/>
      <c r="G16" s="237"/>
      <c r="H16" s="242"/>
      <c r="I16" s="239" t="str">
        <f t="shared" si="0"/>
        <v/>
      </c>
      <c r="J16" s="237"/>
      <c r="K16" s="237"/>
    </row>
    <row r="17" spans="1:11">
      <c r="A17" s="236" t="s">
        <v>490</v>
      </c>
      <c r="B17" s="237"/>
      <c r="C17" s="237"/>
      <c r="D17" s="237"/>
      <c r="E17" s="237"/>
      <c r="F17" s="237"/>
      <c r="G17" s="237"/>
      <c r="H17" s="242"/>
      <c r="I17" s="239" t="str">
        <f t="shared" si="0"/>
        <v/>
      </c>
      <c r="J17" s="237"/>
      <c r="K17" s="237"/>
    </row>
    <row r="18" spans="1:11">
      <c r="A18" s="236" t="s">
        <v>491</v>
      </c>
      <c r="B18" s="237"/>
      <c r="C18" s="237"/>
      <c r="D18" s="237"/>
      <c r="E18" s="237"/>
      <c r="F18" s="237"/>
      <c r="G18" s="237"/>
      <c r="H18" s="242"/>
      <c r="I18" s="239" t="str">
        <f t="shared" si="0"/>
        <v/>
      </c>
      <c r="J18" s="237"/>
      <c r="K18" s="237"/>
    </row>
    <row r="19" spans="1:11">
      <c r="A19" s="236" t="s">
        <v>492</v>
      </c>
      <c r="B19" s="237"/>
      <c r="C19" s="237"/>
      <c r="D19" s="237"/>
      <c r="E19" s="237"/>
      <c r="F19" s="237"/>
      <c r="G19" s="237"/>
      <c r="H19" s="242"/>
      <c r="I19" s="239" t="str">
        <f t="shared" si="0"/>
        <v/>
      </c>
      <c r="J19" s="237"/>
      <c r="K19" s="237"/>
    </row>
    <row r="20" spans="1:11">
      <c r="A20" s="236" t="s">
        <v>493</v>
      </c>
      <c r="B20" s="237"/>
      <c r="C20" s="237"/>
      <c r="D20" s="237"/>
      <c r="E20" s="237"/>
      <c r="F20" s="237"/>
      <c r="G20" s="237"/>
      <c r="H20" s="242"/>
      <c r="I20" s="239" t="str">
        <f t="shared" si="0"/>
        <v/>
      </c>
      <c r="J20" s="237"/>
      <c r="K20" s="237"/>
    </row>
    <row r="21" spans="1:11">
      <c r="A21" s="236" t="s">
        <v>494</v>
      </c>
      <c r="B21" s="237"/>
      <c r="C21" s="237"/>
      <c r="D21" s="237"/>
      <c r="E21" s="237"/>
      <c r="F21" s="237"/>
      <c r="G21" s="237"/>
      <c r="H21" s="242"/>
      <c r="I21" s="239" t="str">
        <f t="shared" si="0"/>
        <v/>
      </c>
      <c r="J21" s="237"/>
      <c r="K21" s="237"/>
    </row>
    <row r="22" spans="1:11">
      <c r="A22" s="236" t="s">
        <v>495</v>
      </c>
      <c r="B22" s="237"/>
      <c r="C22" s="237"/>
      <c r="D22" s="237"/>
      <c r="E22" s="237"/>
      <c r="F22" s="237"/>
      <c r="G22" s="237"/>
      <c r="H22" s="242"/>
      <c r="I22" s="239" t="str">
        <f t="shared" si="0"/>
        <v/>
      </c>
      <c r="J22" s="237"/>
      <c r="K22" s="237"/>
    </row>
    <row r="23" spans="1:11">
      <c r="A23" s="236" t="s">
        <v>496</v>
      </c>
      <c r="B23" s="237"/>
      <c r="C23" s="237"/>
      <c r="D23" s="237"/>
      <c r="E23" s="237"/>
      <c r="F23" s="237"/>
      <c r="G23" s="237"/>
      <c r="H23" s="242"/>
      <c r="I23" s="239" t="str">
        <f t="shared" si="0"/>
        <v/>
      </c>
      <c r="J23" s="237"/>
      <c r="K23" s="237"/>
    </row>
    <row r="24" spans="1:11">
      <c r="A24" s="236" t="s">
        <v>497</v>
      </c>
      <c r="B24" s="237"/>
      <c r="C24" s="237"/>
      <c r="D24" s="237"/>
      <c r="E24" s="237"/>
      <c r="F24" s="237"/>
      <c r="G24" s="237"/>
      <c r="H24" s="242"/>
      <c r="I24" s="239" t="str">
        <f t="shared" si="0"/>
        <v/>
      </c>
      <c r="J24" s="237"/>
      <c r="K24" s="237"/>
    </row>
    <row r="25" spans="1:11">
      <c r="A25" s="236" t="s">
        <v>498</v>
      </c>
      <c r="B25" s="237"/>
      <c r="C25" s="237"/>
      <c r="D25" s="237"/>
      <c r="E25" s="237"/>
      <c r="F25" s="237"/>
      <c r="G25" s="237"/>
      <c r="H25" s="242"/>
      <c r="I25" s="239" t="str">
        <f t="shared" si="0"/>
        <v/>
      </c>
      <c r="J25" s="237"/>
      <c r="K25" s="237"/>
    </row>
    <row r="26" spans="1:11">
      <c r="A26" s="236" t="s">
        <v>499</v>
      </c>
      <c r="B26" s="237"/>
      <c r="C26" s="237"/>
      <c r="D26" s="237"/>
      <c r="E26" s="237"/>
      <c r="F26" s="237"/>
      <c r="G26" s="237"/>
      <c r="H26" s="242"/>
      <c r="I26" s="239" t="str">
        <f t="shared" si="0"/>
        <v/>
      </c>
      <c r="J26" s="237"/>
      <c r="K26" s="237"/>
    </row>
    <row r="27" spans="1:11">
      <c r="A27" s="236" t="s">
        <v>500</v>
      </c>
      <c r="B27" s="237"/>
      <c r="C27" s="237"/>
      <c r="D27" s="237"/>
      <c r="E27" s="237"/>
      <c r="F27" s="237"/>
      <c r="G27" s="237"/>
      <c r="H27" s="242"/>
      <c r="I27" s="239" t="str">
        <f t="shared" si="0"/>
        <v/>
      </c>
      <c r="J27" s="237"/>
      <c r="K27" s="237"/>
    </row>
    <row r="28" spans="1:11">
      <c r="A28" s="236" t="s">
        <v>501</v>
      </c>
      <c r="B28" s="237"/>
      <c r="C28" s="237"/>
      <c r="D28" s="237"/>
      <c r="E28" s="237"/>
      <c r="F28" s="237"/>
      <c r="G28" s="237"/>
      <c r="H28" s="242"/>
      <c r="I28" s="239" t="str">
        <f t="shared" si="0"/>
        <v/>
      </c>
      <c r="J28" s="237"/>
      <c r="K28" s="237"/>
    </row>
    <row r="29" spans="1:11">
      <c r="A29" s="236" t="s">
        <v>502</v>
      </c>
      <c r="B29" s="237"/>
      <c r="C29" s="237"/>
      <c r="D29" s="237"/>
      <c r="E29" s="237"/>
      <c r="F29" s="237"/>
      <c r="G29" s="237"/>
      <c r="H29" s="242"/>
      <c r="I29" s="239" t="str">
        <f t="shared" si="0"/>
        <v/>
      </c>
      <c r="J29" s="237"/>
      <c r="K29" s="237"/>
    </row>
    <row r="30" spans="1:11">
      <c r="A30" s="236" t="s">
        <v>503</v>
      </c>
      <c r="B30" s="237"/>
      <c r="C30" s="237"/>
      <c r="D30" s="237"/>
      <c r="E30" s="237"/>
      <c r="F30" s="237"/>
      <c r="G30" s="237"/>
      <c r="H30" s="242"/>
      <c r="I30" s="239" t="str">
        <f t="shared" si="0"/>
        <v/>
      </c>
      <c r="J30" s="237"/>
      <c r="K30" s="237"/>
    </row>
    <row r="31" spans="1:11">
      <c r="A31" s="236" t="s">
        <v>504</v>
      </c>
      <c r="B31" s="237"/>
      <c r="C31" s="237"/>
      <c r="D31" s="237"/>
      <c r="E31" s="237"/>
      <c r="F31" s="237"/>
      <c r="G31" s="237"/>
      <c r="H31" s="242"/>
      <c r="I31" s="239" t="str">
        <f t="shared" si="0"/>
        <v/>
      </c>
      <c r="J31" s="237"/>
      <c r="K31" s="237"/>
    </row>
    <row r="32" spans="1:11">
      <c r="A32" s="236" t="s">
        <v>505</v>
      </c>
      <c r="B32" s="237"/>
      <c r="C32" s="237"/>
      <c r="D32" s="237"/>
      <c r="E32" s="237"/>
      <c r="F32" s="237"/>
      <c r="G32" s="237"/>
      <c r="H32" s="242"/>
      <c r="I32" s="239" t="str">
        <f t="shared" si="0"/>
        <v/>
      </c>
      <c r="J32" s="237"/>
      <c r="K32" s="237"/>
    </row>
    <row r="33" spans="1:11">
      <c r="A33" s="236" t="s">
        <v>506</v>
      </c>
      <c r="B33" s="237"/>
      <c r="C33" s="237"/>
      <c r="D33" s="237"/>
      <c r="E33" s="237"/>
      <c r="F33" s="237"/>
      <c r="G33" s="237"/>
      <c r="H33" s="242"/>
      <c r="I33" s="239" t="str">
        <f t="shared" si="0"/>
        <v/>
      </c>
      <c r="J33" s="237"/>
      <c r="K33" s="237"/>
    </row>
    <row r="34" spans="1:11">
      <c r="A34" s="236" t="s">
        <v>507</v>
      </c>
      <c r="B34" s="237"/>
      <c r="C34" s="237"/>
      <c r="D34" s="237"/>
      <c r="E34" s="237"/>
      <c r="F34" s="237"/>
      <c r="G34" s="237"/>
      <c r="H34" s="242"/>
      <c r="I34" s="239" t="str">
        <f t="shared" si="0"/>
        <v/>
      </c>
      <c r="J34" s="237"/>
      <c r="K34" s="237"/>
    </row>
    <row r="35" spans="1:11">
      <c r="A35" s="236" t="s">
        <v>508</v>
      </c>
      <c r="B35" s="237"/>
      <c r="C35" s="237"/>
      <c r="D35" s="237"/>
      <c r="E35" s="237"/>
      <c r="F35" s="237"/>
      <c r="G35" s="237"/>
      <c r="H35" s="242"/>
      <c r="I35" s="239" t="str">
        <f t="shared" si="0"/>
        <v/>
      </c>
      <c r="J35" s="237"/>
      <c r="K35" s="237"/>
    </row>
    <row r="36" spans="1:11">
      <c r="A36" s="236" t="s">
        <v>509</v>
      </c>
      <c r="B36" s="237"/>
      <c r="C36" s="237"/>
      <c r="D36" s="237"/>
      <c r="E36" s="237"/>
      <c r="F36" s="237"/>
      <c r="G36" s="237"/>
      <c r="H36" s="242"/>
      <c r="I36" s="239" t="str">
        <f t="shared" si="0"/>
        <v/>
      </c>
      <c r="J36" s="237"/>
      <c r="K36" s="237"/>
    </row>
    <row r="37" spans="1:11">
      <c r="A37" s="236" t="s">
        <v>510</v>
      </c>
      <c r="B37" s="237"/>
      <c r="C37" s="237"/>
      <c r="D37" s="237"/>
      <c r="E37" s="237"/>
      <c r="F37" s="237"/>
      <c r="G37" s="237"/>
      <c r="H37" s="242"/>
      <c r="I37" s="239" t="str">
        <f t="shared" si="0"/>
        <v/>
      </c>
      <c r="J37" s="237"/>
      <c r="K37" s="237"/>
    </row>
    <row r="38" spans="1:11">
      <c r="A38" s="236" t="s">
        <v>511</v>
      </c>
      <c r="B38" s="237"/>
      <c r="C38" s="237"/>
      <c r="D38" s="237"/>
      <c r="E38" s="237"/>
      <c r="F38" s="237"/>
      <c r="G38" s="237"/>
      <c r="H38" s="242"/>
      <c r="I38" s="239" t="str">
        <f t="shared" si="0"/>
        <v/>
      </c>
      <c r="J38" s="237"/>
      <c r="K38" s="237"/>
    </row>
    <row r="39" spans="1:11">
      <c r="A39" s="236" t="s">
        <v>512</v>
      </c>
      <c r="B39" s="237"/>
      <c r="C39" s="237"/>
      <c r="D39" s="237"/>
      <c r="E39" s="237"/>
      <c r="F39" s="237"/>
      <c r="G39" s="237"/>
      <c r="H39" s="242"/>
      <c r="I39" s="239" t="str">
        <f t="shared" si="0"/>
        <v/>
      </c>
      <c r="J39" s="237"/>
      <c r="K39" s="237"/>
    </row>
    <row r="40" spans="1:11">
      <c r="A40" s="236" t="s">
        <v>513</v>
      </c>
      <c r="B40" s="237"/>
      <c r="C40" s="237"/>
      <c r="D40" s="237"/>
      <c r="E40" s="237"/>
      <c r="F40" s="237"/>
      <c r="G40" s="237"/>
      <c r="H40" s="242"/>
      <c r="I40" s="239" t="str">
        <f t="shared" si="0"/>
        <v/>
      </c>
      <c r="J40" s="237"/>
      <c r="K40" s="237"/>
    </row>
    <row r="41" spans="1:11">
      <c r="A41" s="236" t="s">
        <v>514</v>
      </c>
      <c r="B41" s="237"/>
      <c r="C41" s="237"/>
      <c r="D41" s="237"/>
      <c r="E41" s="237"/>
      <c r="F41" s="237"/>
      <c r="G41" s="237"/>
      <c r="H41" s="242"/>
      <c r="I41" s="239" t="str">
        <f t="shared" si="0"/>
        <v/>
      </c>
      <c r="J41" s="237"/>
      <c r="K41" s="237"/>
    </row>
  </sheetData>
  <dataValidations count="1">
    <dataValidation type="decimal" allowBlank="1" showErrorMessage="1" errorTitle="Invalid entry" error="Please enter a valid value (see note above the column)." sqref="H13:H41" xr:uid="{00000000-0002-0000-3900-000000000000}">
      <formula1>0</formula1>
      <formula2>1</formula2>
    </dataValidation>
  </dataValidation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355</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Urban design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an Urban Design Cell?</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0">
        <f>VLOOKUP($B$1,'UPD Questions_290926 '!$E$1:$N$300,MATCH($A$7,'UPD Questions_290926 '!$E$1:$N$1,0),0)</f>
        <v>2.5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Score 10, assessed through 4 sub-questions of 2.5 each: an Urban Design Cell; a Climate Action/Sustainability/Disaster Management Cell; an Economic Development Cell; and a dedicated Women's Welfare/Development Cell &gt;:&lt; 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2.5 if there is evidence that an Urban Design Cell/Unit/Vertical exists, including a qualifying shared State/district-level resource for towns below five lakh; score 0 otherwise.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A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360</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Climate</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 Climate Action/Sustainability/Disaster Management Cell?</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0">
        <f>VLOOKUP($B$1,'UPD Questions_290926 '!$E$1:$N$300,MATCH($A$7,'UPD Questions_290926 '!$E$1:$N$1,0),0)</f>
        <v>2.5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2.5 if there is evidence that such a cell/unit/vertical exists and is functional for the city, including a qualifying shared state/district-level resource for towns below five lakh;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B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366</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Economic development</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an Economic Develepment Cell ?</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0">
        <f>VLOOKUP($B$1,'UPD Questions_290926 '!$E$1:$N$300,MATCH($A$7,'UPD Questions_290926 '!$E$1:$N$1,0),0)</f>
        <v>2.5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Score 10, assessed through 4 sub-questions of 2.5 each: an Urban Design Cell; a Climate Action/Sustainability/Disaster Management Cell; an Economic Development Cell; and a dedicated Women's Welfare/Development Cell &gt;:&lt; 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an economic development cell/unit/vertical exists and is functional for the city; score 0 otherwise.
Applicability: this indicator is applicable only to million-plus cities (population of 10 lakh or more). For all other cities, score NA.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846</v>
      </c>
    </row>
    <row r="11" spans="1:10" ht="29.1">
      <c r="H11" s="232" t="s">
        <v>800</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IF(H13="NA","NA",IF(H13="YES",$C$7,IF(H13="NO",0,"")))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C00-000000000000}">
      <formula1>"YES,NO,NA"</formula1>
      <formula2>0</formula2>
    </dataValidation>
  </dataValidation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371</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Women's welfare or development</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 dedicated Women's Welfare/Development Cell?</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0">
        <f>VLOOKUP($B$1,'UPD Questions_290926 '!$E$1:$N$300,MATCH($A$7,'UPD Questions_290926 '!$E$1:$N$1,0),0)</f>
        <v>2.5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 dedicated women’s welfare/development cell/unit/vertical exists and is functional for the city; score 0 otherwise.
Applicability: This indicator is applicable only to million-plus cities. For all non-million-plus cities, score NA.</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846</v>
      </c>
    </row>
    <row r="11" spans="1:10" ht="29.1">
      <c r="H11" s="232" t="s">
        <v>800</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IF(H13="NA","NA",IF(H13="YES",$C$7,IF(H13="NO",0,"")))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3D00-000000000000}">
      <formula1>"YES,NO,NA"</formula1>
      <formula2>0</formula2>
    </dataValidation>
  </dataValidations>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N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2" width="22" customWidth="1"/>
    <col min="13" max="13" width="14" customWidth="1"/>
    <col min="14" max="14" width="45" customWidth="1"/>
  </cols>
  <sheetData>
    <row r="1" spans="1:14">
      <c r="A1" s="228" t="s">
        <v>777</v>
      </c>
      <c r="B1" s="228" t="s">
        <v>380</v>
      </c>
      <c r="C1" s="229" t="s">
        <v>778</v>
      </c>
    </row>
    <row r="2" spans="1:14">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4">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spans="1:14">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Urban design standards and universal accessibility &gt;:&lt; Urban design standards and universal accessibility</v>
      </c>
    </row>
    <row r="5" spans="1:14">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4">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prescribed urban design standards to guide the execution of urban projects, including standards for universal accessibility? &gt;:&lt; Does the law mandate comprehensive urban design standards and universal accessibility?</v>
      </c>
      <c r="C6" s="229" t="s">
        <v>780</v>
      </c>
    </row>
    <row r="7" spans="1:14">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4">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4"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applicable T&amp;CP Act or Municipal Act provides for urban design standards/guidelines for the planning, design or execution of urban development across the following four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For each of the five categories, check whether the applicable law mandates or enables urban design standards/guidelines for the planning, design or execution of urban development.
For each category, score as follows:
Score 1: Where the law uses mandatory language (e.g., “shall”) requiring the preparation, prescription, adoption or application of urban design standards/guidelines.
Score 0.5: Where the law uses enabling/discretionary language (e.g., “may”) permitting the preparation, prescription, adoption or application of such standards/guidelines.
Score 0: Where there is no such provision.
Maximum score: 5 points (5 categories × 1 point).
A general power to regulate development, without a specific provision for relevant design standards/guidelines, shall not qualify.</v>
      </c>
    </row>
    <row r="10" spans="1:14"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847</v>
      </c>
    </row>
    <row r="11" spans="1:14" ht="29.1">
      <c r="H11" s="232" t="s">
        <v>848</v>
      </c>
      <c r="I11" s="232" t="s">
        <v>848</v>
      </c>
      <c r="J11" s="232" t="s">
        <v>848</v>
      </c>
      <c r="K11" s="232" t="s">
        <v>848</v>
      </c>
      <c r="L11" s="232" t="s">
        <v>848</v>
      </c>
      <c r="M11" s="233" t="s">
        <v>783</v>
      </c>
    </row>
    <row r="12" spans="1:14" ht="60" customHeight="1">
      <c r="A12" s="234" t="s">
        <v>784</v>
      </c>
      <c r="B12" s="234" t="s">
        <v>785</v>
      </c>
      <c r="C12" s="234" t="s">
        <v>786</v>
      </c>
      <c r="D12" s="234" t="s">
        <v>787</v>
      </c>
      <c r="E12" s="234" t="s">
        <v>788</v>
      </c>
      <c r="F12" s="234" t="s">
        <v>789</v>
      </c>
      <c r="G12" s="234" t="s">
        <v>790</v>
      </c>
      <c r="H12" s="235" t="str">
        <f>"Roads &amp; streetscapes ("&amp;TEXT($C$7/5,"0.00")&amp;")"</f>
        <v>Roads &amp; streetscapes (1.00)</v>
      </c>
      <c r="I12" s="235" t="str">
        <f>"Footpaths / pedestrian infrastructure ("&amp;TEXT($C$7/5,"0.00")&amp;")"</f>
        <v>Footpaths / pedestrian infrastructure (1.00)</v>
      </c>
      <c r="J12" s="235" t="str">
        <f>"Underground public utilities ("&amp;TEXT($C$7/5,"0.00")&amp;")"</f>
        <v>Underground public utilities (1.00)</v>
      </c>
      <c r="K12" s="235" t="str">
        <f>"Built-form based codes ("&amp;TEXT($C$7/5,"0.00")&amp;")"</f>
        <v>Built-form based codes (1.00)</v>
      </c>
      <c r="L12" s="235" t="str">
        <f>"Universal accessibility ("&amp;TEXT($C$7/5,"0.00")&amp;")"</f>
        <v>Universal accessibility (1.00)</v>
      </c>
      <c r="M12" s="233" t="s">
        <v>791</v>
      </c>
      <c r="N12" s="235" t="s">
        <v>792</v>
      </c>
    </row>
    <row r="13" spans="1:14">
      <c r="A13" s="236" t="s">
        <v>486</v>
      </c>
      <c r="B13" s="237"/>
      <c r="C13" s="237"/>
      <c r="D13" s="237"/>
      <c r="E13" s="237"/>
      <c r="F13" s="237"/>
      <c r="G13" s="237"/>
      <c r="H13" s="238"/>
      <c r="I13" s="238"/>
      <c r="J13" s="238"/>
      <c r="K13" s="238"/>
      <c r="L13" s="238"/>
      <c r="M13" s="239" t="str">
        <f t="shared" ref="M13:M41" si="0">IF(OR(H13="",I13="",J13="",K13="",L13=""),"",(COUNTIF(H13:L13,"SHALL")+0.5*COUNTIF(H13:L13,"MAY"))/5*$C$7)</f>
        <v/>
      </c>
      <c r="N13" s="237"/>
    </row>
    <row r="14" spans="1:14">
      <c r="A14" s="236" t="s">
        <v>487</v>
      </c>
      <c r="B14" s="237"/>
      <c r="C14" s="237"/>
      <c r="D14" s="237"/>
      <c r="E14" s="237"/>
      <c r="F14" s="237"/>
      <c r="G14" s="237"/>
      <c r="H14" s="238"/>
      <c r="I14" s="238"/>
      <c r="J14" s="238"/>
      <c r="K14" s="238"/>
      <c r="L14" s="238"/>
      <c r="M14" s="239" t="str">
        <f t="shared" si="0"/>
        <v/>
      </c>
      <c r="N14" s="237"/>
    </row>
    <row r="15" spans="1:14">
      <c r="A15" s="236" t="s">
        <v>488</v>
      </c>
      <c r="B15" s="237"/>
      <c r="C15" s="237"/>
      <c r="D15" s="237"/>
      <c r="E15" s="237"/>
      <c r="F15" s="237"/>
      <c r="G15" s="237"/>
      <c r="H15" s="238"/>
      <c r="I15" s="238"/>
      <c r="J15" s="238"/>
      <c r="K15" s="238"/>
      <c r="L15" s="238"/>
      <c r="M15" s="239" t="str">
        <f t="shared" si="0"/>
        <v/>
      </c>
      <c r="N15" s="237"/>
    </row>
    <row r="16" spans="1:14">
      <c r="A16" s="236" t="s">
        <v>489</v>
      </c>
      <c r="B16" s="237"/>
      <c r="C16" s="237"/>
      <c r="D16" s="237"/>
      <c r="E16" s="237"/>
      <c r="F16" s="237"/>
      <c r="G16" s="237"/>
      <c r="H16" s="238"/>
      <c r="I16" s="238"/>
      <c r="J16" s="238"/>
      <c r="K16" s="238"/>
      <c r="L16" s="238"/>
      <c r="M16" s="239" t="str">
        <f t="shared" si="0"/>
        <v/>
      </c>
      <c r="N16" s="237"/>
    </row>
    <row r="17" spans="1:14">
      <c r="A17" s="236" t="s">
        <v>490</v>
      </c>
      <c r="B17" s="237"/>
      <c r="C17" s="237"/>
      <c r="D17" s="237"/>
      <c r="E17" s="237"/>
      <c r="F17" s="237"/>
      <c r="G17" s="237"/>
      <c r="H17" s="238"/>
      <c r="I17" s="238"/>
      <c r="J17" s="238"/>
      <c r="K17" s="238"/>
      <c r="L17" s="238"/>
      <c r="M17" s="239" t="str">
        <f t="shared" si="0"/>
        <v/>
      </c>
      <c r="N17" s="237"/>
    </row>
    <row r="18" spans="1:14">
      <c r="A18" s="236" t="s">
        <v>491</v>
      </c>
      <c r="B18" s="237"/>
      <c r="C18" s="237"/>
      <c r="D18" s="237"/>
      <c r="E18" s="237"/>
      <c r="F18" s="237"/>
      <c r="G18" s="237"/>
      <c r="H18" s="238"/>
      <c r="I18" s="238"/>
      <c r="J18" s="238"/>
      <c r="K18" s="238"/>
      <c r="L18" s="238"/>
      <c r="M18" s="239" t="str">
        <f t="shared" si="0"/>
        <v/>
      </c>
      <c r="N18" s="237"/>
    </row>
    <row r="19" spans="1:14">
      <c r="A19" s="236" t="s">
        <v>492</v>
      </c>
      <c r="B19" s="237"/>
      <c r="C19" s="237"/>
      <c r="D19" s="237"/>
      <c r="E19" s="237"/>
      <c r="F19" s="237"/>
      <c r="G19" s="237"/>
      <c r="H19" s="238"/>
      <c r="I19" s="238"/>
      <c r="J19" s="238"/>
      <c r="K19" s="238"/>
      <c r="L19" s="238"/>
      <c r="M19" s="239" t="str">
        <f t="shared" si="0"/>
        <v/>
      </c>
      <c r="N19" s="237"/>
    </row>
    <row r="20" spans="1:14">
      <c r="A20" s="236" t="s">
        <v>493</v>
      </c>
      <c r="B20" s="237"/>
      <c r="C20" s="237"/>
      <c r="D20" s="237"/>
      <c r="E20" s="237"/>
      <c r="F20" s="237"/>
      <c r="G20" s="237"/>
      <c r="H20" s="238"/>
      <c r="I20" s="238"/>
      <c r="J20" s="238"/>
      <c r="K20" s="238"/>
      <c r="L20" s="238"/>
      <c r="M20" s="239" t="str">
        <f t="shared" si="0"/>
        <v/>
      </c>
      <c r="N20" s="237"/>
    </row>
    <row r="21" spans="1:14">
      <c r="A21" s="236" t="s">
        <v>494</v>
      </c>
      <c r="B21" s="237"/>
      <c r="C21" s="237"/>
      <c r="D21" s="237"/>
      <c r="E21" s="237"/>
      <c r="F21" s="237"/>
      <c r="G21" s="237"/>
      <c r="H21" s="238"/>
      <c r="I21" s="238"/>
      <c r="J21" s="238"/>
      <c r="K21" s="238"/>
      <c r="L21" s="238"/>
      <c r="M21" s="239" t="str">
        <f t="shared" si="0"/>
        <v/>
      </c>
      <c r="N21" s="237"/>
    </row>
    <row r="22" spans="1:14">
      <c r="A22" s="236" t="s">
        <v>495</v>
      </c>
      <c r="B22" s="237"/>
      <c r="C22" s="237"/>
      <c r="D22" s="237"/>
      <c r="E22" s="237"/>
      <c r="F22" s="237"/>
      <c r="G22" s="237"/>
      <c r="H22" s="238"/>
      <c r="I22" s="238"/>
      <c r="J22" s="238"/>
      <c r="K22" s="238"/>
      <c r="L22" s="238"/>
      <c r="M22" s="239" t="str">
        <f t="shared" si="0"/>
        <v/>
      </c>
      <c r="N22" s="237"/>
    </row>
    <row r="23" spans="1:14">
      <c r="A23" s="236" t="s">
        <v>496</v>
      </c>
      <c r="B23" s="237"/>
      <c r="C23" s="237"/>
      <c r="D23" s="237"/>
      <c r="E23" s="237"/>
      <c r="F23" s="237"/>
      <c r="G23" s="237"/>
      <c r="H23" s="238"/>
      <c r="I23" s="238"/>
      <c r="J23" s="238"/>
      <c r="K23" s="238"/>
      <c r="L23" s="238"/>
      <c r="M23" s="239" t="str">
        <f t="shared" si="0"/>
        <v/>
      </c>
      <c r="N23" s="237"/>
    </row>
    <row r="24" spans="1:14">
      <c r="A24" s="236" t="s">
        <v>497</v>
      </c>
      <c r="B24" s="237"/>
      <c r="C24" s="237"/>
      <c r="D24" s="237"/>
      <c r="E24" s="237"/>
      <c r="F24" s="237"/>
      <c r="G24" s="237"/>
      <c r="H24" s="238"/>
      <c r="I24" s="238"/>
      <c r="J24" s="238"/>
      <c r="K24" s="238"/>
      <c r="L24" s="238"/>
      <c r="M24" s="239" t="str">
        <f t="shared" si="0"/>
        <v/>
      </c>
      <c r="N24" s="237"/>
    </row>
    <row r="25" spans="1:14">
      <c r="A25" s="236" t="s">
        <v>498</v>
      </c>
      <c r="B25" s="237"/>
      <c r="C25" s="237"/>
      <c r="D25" s="237"/>
      <c r="E25" s="237"/>
      <c r="F25" s="237"/>
      <c r="G25" s="237"/>
      <c r="H25" s="238"/>
      <c r="I25" s="238"/>
      <c r="J25" s="238"/>
      <c r="K25" s="238"/>
      <c r="L25" s="238"/>
      <c r="M25" s="239" t="str">
        <f t="shared" si="0"/>
        <v/>
      </c>
      <c r="N25" s="237"/>
    </row>
    <row r="26" spans="1:14">
      <c r="A26" s="236" t="s">
        <v>499</v>
      </c>
      <c r="B26" s="237"/>
      <c r="C26" s="237"/>
      <c r="D26" s="237"/>
      <c r="E26" s="237"/>
      <c r="F26" s="237"/>
      <c r="G26" s="237"/>
      <c r="H26" s="238"/>
      <c r="I26" s="238"/>
      <c r="J26" s="238"/>
      <c r="K26" s="238"/>
      <c r="L26" s="238"/>
      <c r="M26" s="239" t="str">
        <f t="shared" si="0"/>
        <v/>
      </c>
      <c r="N26" s="237"/>
    </row>
    <row r="27" spans="1:14">
      <c r="A27" s="236" t="s">
        <v>500</v>
      </c>
      <c r="B27" s="237"/>
      <c r="C27" s="237"/>
      <c r="D27" s="237"/>
      <c r="E27" s="237"/>
      <c r="F27" s="237"/>
      <c r="G27" s="237"/>
      <c r="H27" s="238"/>
      <c r="I27" s="238"/>
      <c r="J27" s="238"/>
      <c r="K27" s="238"/>
      <c r="L27" s="238"/>
      <c r="M27" s="239" t="str">
        <f t="shared" si="0"/>
        <v/>
      </c>
      <c r="N27" s="237"/>
    </row>
    <row r="28" spans="1:14">
      <c r="A28" s="236" t="s">
        <v>501</v>
      </c>
      <c r="B28" s="237"/>
      <c r="C28" s="237"/>
      <c r="D28" s="237"/>
      <c r="E28" s="237"/>
      <c r="F28" s="237"/>
      <c r="G28" s="237"/>
      <c r="H28" s="238"/>
      <c r="I28" s="238"/>
      <c r="J28" s="238"/>
      <c r="K28" s="238"/>
      <c r="L28" s="238"/>
      <c r="M28" s="239" t="str">
        <f t="shared" si="0"/>
        <v/>
      </c>
      <c r="N28" s="237"/>
    </row>
    <row r="29" spans="1:14">
      <c r="A29" s="236" t="s">
        <v>502</v>
      </c>
      <c r="B29" s="237"/>
      <c r="C29" s="237"/>
      <c r="D29" s="237"/>
      <c r="E29" s="237"/>
      <c r="F29" s="237"/>
      <c r="G29" s="237"/>
      <c r="H29" s="238"/>
      <c r="I29" s="238"/>
      <c r="J29" s="238"/>
      <c r="K29" s="238"/>
      <c r="L29" s="238"/>
      <c r="M29" s="239" t="str">
        <f t="shared" si="0"/>
        <v/>
      </c>
      <c r="N29" s="237"/>
    </row>
    <row r="30" spans="1:14">
      <c r="A30" s="236" t="s">
        <v>503</v>
      </c>
      <c r="B30" s="237"/>
      <c r="C30" s="237"/>
      <c r="D30" s="237"/>
      <c r="E30" s="237"/>
      <c r="F30" s="237"/>
      <c r="G30" s="237"/>
      <c r="H30" s="238"/>
      <c r="I30" s="238"/>
      <c r="J30" s="238"/>
      <c r="K30" s="238"/>
      <c r="L30" s="238"/>
      <c r="M30" s="239" t="str">
        <f t="shared" si="0"/>
        <v/>
      </c>
      <c r="N30" s="237"/>
    </row>
    <row r="31" spans="1:14">
      <c r="A31" s="236" t="s">
        <v>504</v>
      </c>
      <c r="B31" s="237"/>
      <c r="C31" s="237"/>
      <c r="D31" s="237"/>
      <c r="E31" s="237"/>
      <c r="F31" s="237"/>
      <c r="G31" s="237"/>
      <c r="H31" s="238"/>
      <c r="I31" s="238"/>
      <c r="J31" s="238"/>
      <c r="K31" s="238"/>
      <c r="L31" s="238"/>
      <c r="M31" s="239" t="str">
        <f t="shared" si="0"/>
        <v/>
      </c>
      <c r="N31" s="237"/>
    </row>
    <row r="32" spans="1:14">
      <c r="A32" s="236" t="s">
        <v>505</v>
      </c>
      <c r="B32" s="237"/>
      <c r="C32" s="237"/>
      <c r="D32" s="237"/>
      <c r="E32" s="237"/>
      <c r="F32" s="237"/>
      <c r="G32" s="237"/>
      <c r="H32" s="238"/>
      <c r="I32" s="238"/>
      <c r="J32" s="238"/>
      <c r="K32" s="238"/>
      <c r="L32" s="238"/>
      <c r="M32" s="239" t="str">
        <f t="shared" si="0"/>
        <v/>
      </c>
      <c r="N32" s="237"/>
    </row>
    <row r="33" spans="1:14">
      <c r="A33" s="236" t="s">
        <v>506</v>
      </c>
      <c r="B33" s="237"/>
      <c r="C33" s="237"/>
      <c r="D33" s="237"/>
      <c r="E33" s="237"/>
      <c r="F33" s="237"/>
      <c r="G33" s="237"/>
      <c r="H33" s="238"/>
      <c r="I33" s="238"/>
      <c r="J33" s="238"/>
      <c r="K33" s="238"/>
      <c r="L33" s="238"/>
      <c r="M33" s="239" t="str">
        <f t="shared" si="0"/>
        <v/>
      </c>
      <c r="N33" s="237"/>
    </row>
    <row r="34" spans="1:14">
      <c r="A34" s="236" t="s">
        <v>507</v>
      </c>
      <c r="B34" s="237"/>
      <c r="C34" s="237"/>
      <c r="D34" s="237"/>
      <c r="E34" s="237"/>
      <c r="F34" s="237"/>
      <c r="G34" s="237"/>
      <c r="H34" s="238"/>
      <c r="I34" s="238"/>
      <c r="J34" s="238"/>
      <c r="K34" s="238"/>
      <c r="L34" s="238"/>
      <c r="M34" s="239" t="str">
        <f t="shared" si="0"/>
        <v/>
      </c>
      <c r="N34" s="237"/>
    </row>
    <row r="35" spans="1:14">
      <c r="A35" s="236" t="s">
        <v>508</v>
      </c>
      <c r="B35" s="237"/>
      <c r="C35" s="237"/>
      <c r="D35" s="237"/>
      <c r="E35" s="237"/>
      <c r="F35" s="237"/>
      <c r="G35" s="237"/>
      <c r="H35" s="238"/>
      <c r="I35" s="238"/>
      <c r="J35" s="238"/>
      <c r="K35" s="238"/>
      <c r="L35" s="238"/>
      <c r="M35" s="239" t="str">
        <f t="shared" si="0"/>
        <v/>
      </c>
      <c r="N35" s="237"/>
    </row>
    <row r="36" spans="1:14">
      <c r="A36" s="236" t="s">
        <v>509</v>
      </c>
      <c r="B36" s="237"/>
      <c r="C36" s="237"/>
      <c r="D36" s="237"/>
      <c r="E36" s="237"/>
      <c r="F36" s="237"/>
      <c r="G36" s="237"/>
      <c r="H36" s="238"/>
      <c r="I36" s="238"/>
      <c r="J36" s="238"/>
      <c r="K36" s="238"/>
      <c r="L36" s="238"/>
      <c r="M36" s="239" t="str">
        <f t="shared" si="0"/>
        <v/>
      </c>
      <c r="N36" s="237"/>
    </row>
    <row r="37" spans="1:14">
      <c r="A37" s="236" t="s">
        <v>510</v>
      </c>
      <c r="B37" s="237"/>
      <c r="C37" s="237"/>
      <c r="D37" s="237"/>
      <c r="E37" s="237"/>
      <c r="F37" s="237"/>
      <c r="G37" s="237"/>
      <c r="H37" s="238"/>
      <c r="I37" s="238"/>
      <c r="J37" s="238"/>
      <c r="K37" s="238"/>
      <c r="L37" s="238"/>
      <c r="M37" s="239" t="str">
        <f t="shared" si="0"/>
        <v/>
      </c>
      <c r="N37" s="237"/>
    </row>
    <row r="38" spans="1:14">
      <c r="A38" s="236" t="s">
        <v>511</v>
      </c>
      <c r="B38" s="237"/>
      <c r="C38" s="237"/>
      <c r="D38" s="237"/>
      <c r="E38" s="237"/>
      <c r="F38" s="237"/>
      <c r="G38" s="237"/>
      <c r="H38" s="238"/>
      <c r="I38" s="238"/>
      <c r="J38" s="238"/>
      <c r="K38" s="238"/>
      <c r="L38" s="238"/>
      <c r="M38" s="239" t="str">
        <f t="shared" si="0"/>
        <v/>
      </c>
      <c r="N38" s="237"/>
    </row>
    <row r="39" spans="1:14">
      <c r="A39" s="236" t="s">
        <v>512</v>
      </c>
      <c r="B39" s="237"/>
      <c r="C39" s="237"/>
      <c r="D39" s="237"/>
      <c r="E39" s="237"/>
      <c r="F39" s="237"/>
      <c r="G39" s="237"/>
      <c r="H39" s="238"/>
      <c r="I39" s="238"/>
      <c r="J39" s="238"/>
      <c r="K39" s="238"/>
      <c r="L39" s="238"/>
      <c r="M39" s="239" t="str">
        <f t="shared" si="0"/>
        <v/>
      </c>
      <c r="N39" s="237"/>
    </row>
    <row r="40" spans="1:14">
      <c r="A40" s="236" t="s">
        <v>513</v>
      </c>
      <c r="B40" s="237"/>
      <c r="C40" s="237"/>
      <c r="D40" s="237"/>
      <c r="E40" s="237"/>
      <c r="F40" s="237"/>
      <c r="G40" s="237"/>
      <c r="H40" s="238"/>
      <c r="I40" s="238"/>
      <c r="J40" s="238"/>
      <c r="K40" s="238"/>
      <c r="L40" s="238"/>
      <c r="M40" s="239" t="str">
        <f t="shared" si="0"/>
        <v/>
      </c>
      <c r="N40" s="237"/>
    </row>
    <row r="41" spans="1:14">
      <c r="A41" s="236" t="s">
        <v>514</v>
      </c>
      <c r="B41" s="237"/>
      <c r="C41" s="237"/>
      <c r="D41" s="237"/>
      <c r="E41" s="237"/>
      <c r="F41" s="237"/>
      <c r="G41" s="237"/>
      <c r="H41" s="238"/>
      <c r="I41" s="238"/>
      <c r="J41" s="238"/>
      <c r="K41" s="238"/>
      <c r="L41" s="238"/>
      <c r="M41" s="239" t="str">
        <f t="shared" si="0"/>
        <v/>
      </c>
      <c r="N41" s="237"/>
    </row>
  </sheetData>
  <dataValidations count="1">
    <dataValidation type="list" allowBlank="1" showErrorMessage="1" errorTitle="Invalid entry" error="Please enter a valid value (see note above the column)." sqref="H13:L41" xr:uid="{00000000-0002-0000-3E00-000000000000}">
      <formula1>"SHALL,MAY,NONE"</formula1>
      <formula2>0</formula2>
    </dataValidation>
  </dataValidations>
  <pageMargins left="0.75" right="0.75" top="1" bottom="1"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2" width="22" customWidth="1"/>
    <col min="13" max="13" width="14" customWidth="1"/>
    <col min="14" max="14" width="45" customWidth="1"/>
  </cols>
  <sheetData>
    <row r="1" spans="1:14">
      <c r="A1" s="228" t="s">
        <v>777</v>
      </c>
      <c r="B1" s="228" t="s">
        <v>384</v>
      </c>
      <c r="C1" s="229" t="s">
        <v>778</v>
      </c>
    </row>
    <row r="2" spans="1:14">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4">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spans="1:14">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Urban design standards and universal accessibility &gt;:&lt; Urban design standards and universal accessibility</v>
      </c>
    </row>
    <row r="5" spans="1:14">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4">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prescribed urban design standards to guide the execution of urban projects, including standards for universal accessibility? &gt;:&lt; Does the city have urban design standards to guide the execution of urban projects?</v>
      </c>
      <c r="C6" s="229" t="s">
        <v>780</v>
      </c>
    </row>
    <row r="7" spans="1:14">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4">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Implementation</v>
      </c>
    </row>
    <row r="9" spans="1:14"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city has adopted/notified urban design standards or guidelines for the planning, design or execution of urban development across the following five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Check the ULG website, Development Authority website, Urban Development Department website, Department of Urban Land Transport / Unified Metropolitan Transport Authority or equivalent specialised agency website for evidence of such standards/guidelines.
For categories (a)–(c), the standards may be contained in a standalone urban/street design guideline or other formally adopted/notified city-level document. Evidence on an official website that the city has formally adopted an identified set of standards/guidelines may also be considered.
For residential and commercial buildings (categories (d) and (e)), standards contained in the applicable DCRs/building bye-laws or equivalent regulations may also be considered. These may include urban design requirements relating to building frontage/interface with the street, signage, façade treatment, building materials, or other design controls applicable to residential or commercial development.
For each category, there must be evidence that the standards/guidelines are applicable to or adopted for the city. Mere reference to national/model guidelines or standards, without evidence of their adoption or application by the city, shall not qualify.
Scoring: Award 1 point for each category for which applicable urban design standards/guidelines have been adopted/notified (5 categories × 1 = 5); score 0 for a category where no such standards/guidelines</v>
      </c>
    </row>
    <row r="10" spans="1:14"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798</v>
      </c>
    </row>
    <row r="11" spans="1:14" ht="29.1">
      <c r="H11" s="232" t="s">
        <v>782</v>
      </c>
      <c r="I11" s="232" t="s">
        <v>782</v>
      </c>
      <c r="J11" s="232" t="s">
        <v>782</v>
      </c>
      <c r="K11" s="232" t="s">
        <v>782</v>
      </c>
      <c r="L11" s="232" t="s">
        <v>782</v>
      </c>
      <c r="M11" s="233" t="s">
        <v>783</v>
      </c>
    </row>
    <row r="12" spans="1:14" ht="60" customHeight="1">
      <c r="A12" s="234" t="s">
        <v>784</v>
      </c>
      <c r="B12" s="234" t="s">
        <v>785</v>
      </c>
      <c r="C12" s="234" t="s">
        <v>786</v>
      </c>
      <c r="D12" s="234" t="s">
        <v>787</v>
      </c>
      <c r="E12" s="234" t="s">
        <v>788</v>
      </c>
      <c r="F12" s="234" t="s">
        <v>789</v>
      </c>
      <c r="G12" s="234" t="s">
        <v>790</v>
      </c>
      <c r="H12" s="235" t="str">
        <f>"Roads &amp; streetscapes ("&amp;TEXT($C$7/5,"0.00")&amp;")"</f>
        <v>Roads &amp; streetscapes (1.00)</v>
      </c>
      <c r="I12" s="235" t="str">
        <f>"Footpaths / pedestrian infrastructure ("&amp;TEXT($C$7/5,"0.00")&amp;")"</f>
        <v>Footpaths / pedestrian infrastructure (1.00)</v>
      </c>
      <c r="J12" s="235" t="str">
        <f>"Underground public utilities ("&amp;TEXT($C$7/5,"0.00")&amp;")"</f>
        <v>Underground public utilities (1.00)</v>
      </c>
      <c r="K12" s="235" t="str">
        <f>"Built-form based codes ("&amp;TEXT($C$7/5,"0.00")&amp;")"</f>
        <v>Built-form based codes (1.00)</v>
      </c>
      <c r="L12" s="235" t="str">
        <f>"Universal accessibility ("&amp;TEXT($C$7/5,"0.00")&amp;")"</f>
        <v>Universal accessibility (1.00)</v>
      </c>
      <c r="M12" s="233" t="s">
        <v>791</v>
      </c>
      <c r="N12" s="235" t="s">
        <v>792</v>
      </c>
    </row>
    <row r="13" spans="1:14">
      <c r="A13" s="236" t="s">
        <v>486</v>
      </c>
      <c r="B13" s="237"/>
      <c r="C13" s="237"/>
      <c r="D13" s="237"/>
      <c r="E13" s="237"/>
      <c r="F13" s="237"/>
      <c r="G13" s="237"/>
      <c r="H13" s="238"/>
      <c r="I13" s="238"/>
      <c r="J13" s="238"/>
      <c r="K13" s="238"/>
      <c r="L13" s="238"/>
      <c r="M13" s="239" t="str">
        <f t="shared" ref="M13:M41" si="0">IF(OR(H13="",I13="",J13="",K13="",L13=""),"",COUNTIF(H13:L13,"YES")/5*$C$7)</f>
        <v/>
      </c>
      <c r="N13" s="237"/>
    </row>
    <row r="14" spans="1:14">
      <c r="A14" s="236" t="s">
        <v>487</v>
      </c>
      <c r="B14" s="237"/>
      <c r="C14" s="237"/>
      <c r="D14" s="237"/>
      <c r="E14" s="237"/>
      <c r="F14" s="237"/>
      <c r="G14" s="237"/>
      <c r="H14" s="238"/>
      <c r="I14" s="238"/>
      <c r="J14" s="238"/>
      <c r="K14" s="238"/>
      <c r="L14" s="238"/>
      <c r="M14" s="239" t="str">
        <f t="shared" si="0"/>
        <v/>
      </c>
      <c r="N14" s="237"/>
    </row>
    <row r="15" spans="1:14">
      <c r="A15" s="236" t="s">
        <v>488</v>
      </c>
      <c r="B15" s="237"/>
      <c r="C15" s="237"/>
      <c r="D15" s="237"/>
      <c r="E15" s="237"/>
      <c r="F15" s="237"/>
      <c r="G15" s="237"/>
      <c r="H15" s="238"/>
      <c r="I15" s="238"/>
      <c r="J15" s="238"/>
      <c r="K15" s="238"/>
      <c r="L15" s="238"/>
      <c r="M15" s="239" t="str">
        <f t="shared" si="0"/>
        <v/>
      </c>
      <c r="N15" s="237"/>
    </row>
    <row r="16" spans="1:14">
      <c r="A16" s="236" t="s">
        <v>489</v>
      </c>
      <c r="B16" s="237"/>
      <c r="C16" s="237"/>
      <c r="D16" s="237"/>
      <c r="E16" s="237"/>
      <c r="F16" s="237"/>
      <c r="G16" s="237"/>
      <c r="H16" s="238"/>
      <c r="I16" s="238"/>
      <c r="J16" s="238"/>
      <c r="K16" s="238"/>
      <c r="L16" s="238"/>
      <c r="M16" s="239" t="str">
        <f t="shared" si="0"/>
        <v/>
      </c>
      <c r="N16" s="237"/>
    </row>
    <row r="17" spans="1:14">
      <c r="A17" s="236" t="s">
        <v>490</v>
      </c>
      <c r="B17" s="237"/>
      <c r="C17" s="237"/>
      <c r="D17" s="237"/>
      <c r="E17" s="237"/>
      <c r="F17" s="237"/>
      <c r="G17" s="237"/>
      <c r="H17" s="238"/>
      <c r="I17" s="238"/>
      <c r="J17" s="238"/>
      <c r="K17" s="238"/>
      <c r="L17" s="238"/>
      <c r="M17" s="239" t="str">
        <f t="shared" si="0"/>
        <v/>
      </c>
      <c r="N17" s="237"/>
    </row>
    <row r="18" spans="1:14">
      <c r="A18" s="236" t="s">
        <v>491</v>
      </c>
      <c r="B18" s="237"/>
      <c r="C18" s="237"/>
      <c r="D18" s="237"/>
      <c r="E18" s="237"/>
      <c r="F18" s="237"/>
      <c r="G18" s="237"/>
      <c r="H18" s="238"/>
      <c r="I18" s="238"/>
      <c r="J18" s="238"/>
      <c r="K18" s="238"/>
      <c r="L18" s="238"/>
      <c r="M18" s="239" t="str">
        <f t="shared" si="0"/>
        <v/>
      </c>
      <c r="N18" s="237"/>
    </row>
    <row r="19" spans="1:14">
      <c r="A19" s="236" t="s">
        <v>492</v>
      </c>
      <c r="B19" s="237"/>
      <c r="C19" s="237"/>
      <c r="D19" s="237"/>
      <c r="E19" s="237"/>
      <c r="F19" s="237"/>
      <c r="G19" s="237"/>
      <c r="H19" s="238"/>
      <c r="I19" s="238"/>
      <c r="J19" s="238"/>
      <c r="K19" s="238"/>
      <c r="L19" s="238"/>
      <c r="M19" s="239" t="str">
        <f t="shared" si="0"/>
        <v/>
      </c>
      <c r="N19" s="237"/>
    </row>
    <row r="20" spans="1:14">
      <c r="A20" s="236" t="s">
        <v>493</v>
      </c>
      <c r="B20" s="237"/>
      <c r="C20" s="237"/>
      <c r="D20" s="237"/>
      <c r="E20" s="237"/>
      <c r="F20" s="237"/>
      <c r="G20" s="237"/>
      <c r="H20" s="238"/>
      <c r="I20" s="238"/>
      <c r="J20" s="238"/>
      <c r="K20" s="238"/>
      <c r="L20" s="238"/>
      <c r="M20" s="239" t="str">
        <f t="shared" si="0"/>
        <v/>
      </c>
      <c r="N20" s="237"/>
    </row>
    <row r="21" spans="1:14">
      <c r="A21" s="236" t="s">
        <v>494</v>
      </c>
      <c r="B21" s="237"/>
      <c r="C21" s="237"/>
      <c r="D21" s="237"/>
      <c r="E21" s="237"/>
      <c r="F21" s="237"/>
      <c r="G21" s="237"/>
      <c r="H21" s="238"/>
      <c r="I21" s="238"/>
      <c r="J21" s="238"/>
      <c r="K21" s="238"/>
      <c r="L21" s="238"/>
      <c r="M21" s="239" t="str">
        <f t="shared" si="0"/>
        <v/>
      </c>
      <c r="N21" s="237"/>
    </row>
    <row r="22" spans="1:14">
      <c r="A22" s="236" t="s">
        <v>495</v>
      </c>
      <c r="B22" s="237"/>
      <c r="C22" s="237"/>
      <c r="D22" s="237"/>
      <c r="E22" s="237"/>
      <c r="F22" s="237"/>
      <c r="G22" s="237"/>
      <c r="H22" s="238"/>
      <c r="I22" s="238"/>
      <c r="J22" s="238"/>
      <c r="K22" s="238"/>
      <c r="L22" s="238"/>
      <c r="M22" s="239" t="str">
        <f t="shared" si="0"/>
        <v/>
      </c>
      <c r="N22" s="237"/>
    </row>
    <row r="23" spans="1:14">
      <c r="A23" s="236" t="s">
        <v>496</v>
      </c>
      <c r="B23" s="237"/>
      <c r="C23" s="237"/>
      <c r="D23" s="237"/>
      <c r="E23" s="237"/>
      <c r="F23" s="237"/>
      <c r="G23" s="237"/>
      <c r="H23" s="238"/>
      <c r="I23" s="238"/>
      <c r="J23" s="238"/>
      <c r="K23" s="238"/>
      <c r="L23" s="238"/>
      <c r="M23" s="239" t="str">
        <f t="shared" si="0"/>
        <v/>
      </c>
      <c r="N23" s="237"/>
    </row>
    <row r="24" spans="1:14">
      <c r="A24" s="236" t="s">
        <v>497</v>
      </c>
      <c r="B24" s="237"/>
      <c r="C24" s="237"/>
      <c r="D24" s="237"/>
      <c r="E24" s="237"/>
      <c r="F24" s="237"/>
      <c r="G24" s="237"/>
      <c r="H24" s="238"/>
      <c r="I24" s="238"/>
      <c r="J24" s="238"/>
      <c r="K24" s="238"/>
      <c r="L24" s="238"/>
      <c r="M24" s="239" t="str">
        <f t="shared" si="0"/>
        <v/>
      </c>
      <c r="N24" s="237"/>
    </row>
    <row r="25" spans="1:14">
      <c r="A25" s="236" t="s">
        <v>498</v>
      </c>
      <c r="B25" s="237"/>
      <c r="C25" s="237"/>
      <c r="D25" s="237"/>
      <c r="E25" s="237"/>
      <c r="F25" s="237"/>
      <c r="G25" s="237"/>
      <c r="H25" s="238"/>
      <c r="I25" s="238"/>
      <c r="J25" s="238"/>
      <c r="K25" s="238"/>
      <c r="L25" s="238"/>
      <c r="M25" s="239" t="str">
        <f t="shared" si="0"/>
        <v/>
      </c>
      <c r="N25" s="237"/>
    </row>
    <row r="26" spans="1:14">
      <c r="A26" s="236" t="s">
        <v>499</v>
      </c>
      <c r="B26" s="237"/>
      <c r="C26" s="237"/>
      <c r="D26" s="237"/>
      <c r="E26" s="237"/>
      <c r="F26" s="237"/>
      <c r="G26" s="237"/>
      <c r="H26" s="238"/>
      <c r="I26" s="238"/>
      <c r="J26" s="238"/>
      <c r="K26" s="238"/>
      <c r="L26" s="238"/>
      <c r="M26" s="239" t="str">
        <f t="shared" si="0"/>
        <v/>
      </c>
      <c r="N26" s="237"/>
    </row>
    <row r="27" spans="1:14">
      <c r="A27" s="236" t="s">
        <v>500</v>
      </c>
      <c r="B27" s="237"/>
      <c r="C27" s="237"/>
      <c r="D27" s="237"/>
      <c r="E27" s="237"/>
      <c r="F27" s="237"/>
      <c r="G27" s="237"/>
      <c r="H27" s="238"/>
      <c r="I27" s="238"/>
      <c r="J27" s="238"/>
      <c r="K27" s="238"/>
      <c r="L27" s="238"/>
      <c r="M27" s="239" t="str">
        <f t="shared" si="0"/>
        <v/>
      </c>
      <c r="N27" s="237"/>
    </row>
    <row r="28" spans="1:14">
      <c r="A28" s="236" t="s">
        <v>501</v>
      </c>
      <c r="B28" s="237"/>
      <c r="C28" s="237"/>
      <c r="D28" s="237"/>
      <c r="E28" s="237"/>
      <c r="F28" s="237"/>
      <c r="G28" s="237"/>
      <c r="H28" s="238"/>
      <c r="I28" s="238"/>
      <c r="J28" s="238"/>
      <c r="K28" s="238"/>
      <c r="L28" s="238"/>
      <c r="M28" s="239" t="str">
        <f t="shared" si="0"/>
        <v/>
      </c>
      <c r="N28" s="237"/>
    </row>
    <row r="29" spans="1:14">
      <c r="A29" s="236" t="s">
        <v>502</v>
      </c>
      <c r="B29" s="237"/>
      <c r="C29" s="237"/>
      <c r="D29" s="237"/>
      <c r="E29" s="237"/>
      <c r="F29" s="237"/>
      <c r="G29" s="237"/>
      <c r="H29" s="238"/>
      <c r="I29" s="238"/>
      <c r="J29" s="238"/>
      <c r="K29" s="238"/>
      <c r="L29" s="238"/>
      <c r="M29" s="239" t="str">
        <f t="shared" si="0"/>
        <v/>
      </c>
      <c r="N29" s="237"/>
    </row>
    <row r="30" spans="1:14">
      <c r="A30" s="236" t="s">
        <v>503</v>
      </c>
      <c r="B30" s="237"/>
      <c r="C30" s="237"/>
      <c r="D30" s="237"/>
      <c r="E30" s="237"/>
      <c r="F30" s="237"/>
      <c r="G30" s="237"/>
      <c r="H30" s="238"/>
      <c r="I30" s="238"/>
      <c r="J30" s="238"/>
      <c r="K30" s="238"/>
      <c r="L30" s="238"/>
      <c r="M30" s="239" t="str">
        <f t="shared" si="0"/>
        <v/>
      </c>
      <c r="N30" s="237"/>
    </row>
    <row r="31" spans="1:14">
      <c r="A31" s="236" t="s">
        <v>504</v>
      </c>
      <c r="B31" s="237"/>
      <c r="C31" s="237"/>
      <c r="D31" s="237"/>
      <c r="E31" s="237"/>
      <c r="F31" s="237"/>
      <c r="G31" s="237"/>
      <c r="H31" s="238"/>
      <c r="I31" s="238"/>
      <c r="J31" s="238"/>
      <c r="K31" s="238"/>
      <c r="L31" s="238"/>
      <c r="M31" s="239" t="str">
        <f t="shared" si="0"/>
        <v/>
      </c>
      <c r="N31" s="237"/>
    </row>
    <row r="32" spans="1:14">
      <c r="A32" s="236" t="s">
        <v>505</v>
      </c>
      <c r="B32" s="237"/>
      <c r="C32" s="237"/>
      <c r="D32" s="237"/>
      <c r="E32" s="237"/>
      <c r="F32" s="237"/>
      <c r="G32" s="237"/>
      <c r="H32" s="238"/>
      <c r="I32" s="238"/>
      <c r="J32" s="238"/>
      <c r="K32" s="238"/>
      <c r="L32" s="238"/>
      <c r="M32" s="239" t="str">
        <f t="shared" si="0"/>
        <v/>
      </c>
      <c r="N32" s="237"/>
    </row>
    <row r="33" spans="1:14">
      <c r="A33" s="236" t="s">
        <v>506</v>
      </c>
      <c r="B33" s="237"/>
      <c r="C33" s="237"/>
      <c r="D33" s="237"/>
      <c r="E33" s="237"/>
      <c r="F33" s="237"/>
      <c r="G33" s="237"/>
      <c r="H33" s="238"/>
      <c r="I33" s="238"/>
      <c r="J33" s="238"/>
      <c r="K33" s="238"/>
      <c r="L33" s="238"/>
      <c r="M33" s="239" t="str">
        <f t="shared" si="0"/>
        <v/>
      </c>
      <c r="N33" s="237"/>
    </row>
    <row r="34" spans="1:14">
      <c r="A34" s="236" t="s">
        <v>507</v>
      </c>
      <c r="B34" s="237"/>
      <c r="C34" s="237"/>
      <c r="D34" s="237"/>
      <c r="E34" s="237"/>
      <c r="F34" s="237"/>
      <c r="G34" s="237"/>
      <c r="H34" s="238"/>
      <c r="I34" s="238"/>
      <c r="J34" s="238"/>
      <c r="K34" s="238"/>
      <c r="L34" s="238"/>
      <c r="M34" s="239" t="str">
        <f t="shared" si="0"/>
        <v/>
      </c>
      <c r="N34" s="237"/>
    </row>
    <row r="35" spans="1:14">
      <c r="A35" s="236" t="s">
        <v>508</v>
      </c>
      <c r="B35" s="237"/>
      <c r="C35" s="237"/>
      <c r="D35" s="237"/>
      <c r="E35" s="237"/>
      <c r="F35" s="237"/>
      <c r="G35" s="237"/>
      <c r="H35" s="238"/>
      <c r="I35" s="238"/>
      <c r="J35" s="238"/>
      <c r="K35" s="238"/>
      <c r="L35" s="238"/>
      <c r="M35" s="239" t="str">
        <f t="shared" si="0"/>
        <v/>
      </c>
      <c r="N35" s="237"/>
    </row>
    <row r="36" spans="1:14">
      <c r="A36" s="236" t="s">
        <v>509</v>
      </c>
      <c r="B36" s="237"/>
      <c r="C36" s="237"/>
      <c r="D36" s="237"/>
      <c r="E36" s="237"/>
      <c r="F36" s="237"/>
      <c r="G36" s="237"/>
      <c r="H36" s="238"/>
      <c r="I36" s="238"/>
      <c r="J36" s="238"/>
      <c r="K36" s="238"/>
      <c r="L36" s="238"/>
      <c r="M36" s="239" t="str">
        <f t="shared" si="0"/>
        <v/>
      </c>
      <c r="N36" s="237"/>
    </row>
    <row r="37" spans="1:14">
      <c r="A37" s="236" t="s">
        <v>510</v>
      </c>
      <c r="B37" s="237"/>
      <c r="C37" s="237"/>
      <c r="D37" s="237"/>
      <c r="E37" s="237"/>
      <c r="F37" s="237"/>
      <c r="G37" s="237"/>
      <c r="H37" s="238"/>
      <c r="I37" s="238"/>
      <c r="J37" s="238"/>
      <c r="K37" s="238"/>
      <c r="L37" s="238"/>
      <c r="M37" s="239" t="str">
        <f t="shared" si="0"/>
        <v/>
      </c>
      <c r="N37" s="237"/>
    </row>
    <row r="38" spans="1:14">
      <c r="A38" s="236" t="s">
        <v>511</v>
      </c>
      <c r="B38" s="237"/>
      <c r="C38" s="237"/>
      <c r="D38" s="237"/>
      <c r="E38" s="237"/>
      <c r="F38" s="237"/>
      <c r="G38" s="237"/>
      <c r="H38" s="238"/>
      <c r="I38" s="238"/>
      <c r="J38" s="238"/>
      <c r="K38" s="238"/>
      <c r="L38" s="238"/>
      <c r="M38" s="239" t="str">
        <f t="shared" si="0"/>
        <v/>
      </c>
      <c r="N38" s="237"/>
    </row>
    <row r="39" spans="1:14">
      <c r="A39" s="236" t="s">
        <v>512</v>
      </c>
      <c r="B39" s="237"/>
      <c r="C39" s="237"/>
      <c r="D39" s="237"/>
      <c r="E39" s="237"/>
      <c r="F39" s="237"/>
      <c r="G39" s="237"/>
      <c r="H39" s="238"/>
      <c r="I39" s="238"/>
      <c r="J39" s="238"/>
      <c r="K39" s="238"/>
      <c r="L39" s="238"/>
      <c r="M39" s="239" t="str">
        <f t="shared" si="0"/>
        <v/>
      </c>
      <c r="N39" s="237"/>
    </row>
    <row r="40" spans="1:14">
      <c r="A40" s="236" t="s">
        <v>513</v>
      </c>
      <c r="B40" s="237"/>
      <c r="C40" s="237"/>
      <c r="D40" s="237"/>
      <c r="E40" s="237"/>
      <c r="F40" s="237"/>
      <c r="G40" s="237"/>
      <c r="H40" s="238"/>
      <c r="I40" s="238"/>
      <c r="J40" s="238"/>
      <c r="K40" s="238"/>
      <c r="L40" s="238"/>
      <c r="M40" s="239" t="str">
        <f t="shared" si="0"/>
        <v/>
      </c>
      <c r="N40" s="237"/>
    </row>
    <row r="41" spans="1:14">
      <c r="A41" s="236" t="s">
        <v>514</v>
      </c>
      <c r="B41" s="237"/>
      <c r="C41" s="237"/>
      <c r="D41" s="237"/>
      <c r="E41" s="237"/>
      <c r="F41" s="237"/>
      <c r="G41" s="237"/>
      <c r="H41" s="238"/>
      <c r="I41" s="238"/>
      <c r="J41" s="238"/>
      <c r="K41" s="238"/>
      <c r="L41" s="238"/>
      <c r="M41" s="239" t="str">
        <f t="shared" si="0"/>
        <v/>
      </c>
      <c r="N41" s="237"/>
    </row>
  </sheetData>
  <dataValidations count="1">
    <dataValidation type="list" allowBlank="1" showErrorMessage="1" errorTitle="Invalid entry" error="Please enter a valid value (see note above the column)." sqref="H13:L41" xr:uid="{00000000-0002-0000-3F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392</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Parking policy &gt;:&lt; Parking policy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parking policy?  &gt;:&lt; Is there a clear mandate in the law for a parking policy?</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applicable T&amp;CP Act or Municipal Act mandates the ULG to prepare and/or adopt a standalone parking policy or parking management policy.
A general provision prescribing parking standards for individual buildings/developments, or empowering the ULG to regulate parking, shall not qualify. The law must specifically provide for the preparation/adoption of a city-level parking policy.
Distinguish between mandatory and enabling provisions:
Score 5 where the law uses mandatory language (e.g., “shall”) requiring the ULG/city to prepare or adopt a standalone Parking Policy/Parking Management Policy.
Score 2.5 where the law uses enabling/discretionary language (e.g., “may”) permitting the ULG/city to prepare or adopt such a policy.
Score 0 where there is no such statutory provision.</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849</v>
      </c>
    </row>
    <row r="11" spans="1:10" ht="29.1">
      <c r="H11" s="232" t="s">
        <v>848</v>
      </c>
      <c r="I11" s="233" t="s">
        <v>783</v>
      </c>
    </row>
    <row r="12" spans="1:10" ht="60" customHeight="1">
      <c r="A12" s="234" t="s">
        <v>784</v>
      </c>
      <c r="B12" s="234" t="s">
        <v>785</v>
      </c>
      <c r="C12" s="234" t="s">
        <v>786</v>
      </c>
      <c r="D12" s="234" t="s">
        <v>787</v>
      </c>
      <c r="E12" s="234" t="s">
        <v>788</v>
      </c>
      <c r="F12" s="234" t="s">
        <v>789</v>
      </c>
      <c r="G12" s="234" t="s">
        <v>790</v>
      </c>
      <c r="H12" s="235" t="s">
        <v>850</v>
      </c>
      <c r="I12" s="233" t="s">
        <v>791</v>
      </c>
      <c r="J12" s="235" t="s">
        <v>792</v>
      </c>
    </row>
    <row r="13" spans="1:10">
      <c r="A13" s="236" t="s">
        <v>486</v>
      </c>
      <c r="B13" s="237"/>
      <c r="C13" s="237"/>
      <c r="D13" s="237"/>
      <c r="E13" s="237"/>
      <c r="F13" s="237"/>
      <c r="G13" s="237"/>
      <c r="H13" s="238"/>
      <c r="I13" s="239" t="str">
        <f t="shared" ref="I13:I41" si="0">IF(H13="","",IF(H13="SHALL",$C$7,IF(H13="MAY",$C$7/2,0)))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4000-000000000000}">
      <formula1>"SHALL,MAY,NONE"</formula1>
      <formula2>0</formula2>
    </dataValidation>
  </dataValidations>
  <pageMargins left="0.75" right="0.75" top="1" bottom="1"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396</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Parking policy &gt;:&lt; Parking policy</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parking policy?  &gt;:&lt; Has the parking policy been implemented?</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Sum of the sub-questions below  &gt;:&lt; 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
Score 5 if a city-level parking policy exists or its formal adoption can be established through reliable evidence. Score 0 otherwise.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Score this question independently of the legal mandate. A city may score 5 on this question even where there is no legal mandate for a parking policy.</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41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K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401</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Applicability and currency of DCRs</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city-specific Development Control Regulation (DCR)?</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applicable DCR to determine whether a city-specific DCR applies. Evidence can be present on the websites of the ULG/Development Authority/T&amp;CP/UDD Department.
Score 10 — A city-specific DCR is applicable to the city.
Score 0 — The city relies on a generic/state-wide DCR and does not have a city-specific DCR.
NA — City has a population below one million.
Note to scorer: For cities with a population below one million, mark this question as NA. However, record in the scorer comments the DCR applicable to the city and its status, including whether the city is governed by a city-specific DCR or a generic/state-wide DCR.</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851</v>
      </c>
    </row>
    <row r="11" spans="1:11" ht="29.1">
      <c r="H11" s="232" t="s">
        <v>800</v>
      </c>
      <c r="I11" s="233" t="s">
        <v>783</v>
      </c>
    </row>
    <row r="12" spans="1:11" ht="60" customHeight="1">
      <c r="A12" s="234" t="s">
        <v>784</v>
      </c>
      <c r="B12" s="234" t="s">
        <v>785</v>
      </c>
      <c r="C12" s="234" t="s">
        <v>786</v>
      </c>
      <c r="D12" s="234" t="s">
        <v>787</v>
      </c>
      <c r="E12" s="234" t="s">
        <v>788</v>
      </c>
      <c r="F12" s="234" t="s">
        <v>789</v>
      </c>
      <c r="G12" s="234" t="s">
        <v>790</v>
      </c>
      <c r="H12" s="235" t="s">
        <v>793</v>
      </c>
      <c r="I12" s="233" t="s">
        <v>791</v>
      </c>
      <c r="J12" s="235" t="s">
        <v>792</v>
      </c>
      <c r="K12" s="235" t="s">
        <v>852</v>
      </c>
    </row>
    <row r="13" spans="1:11">
      <c r="A13" s="236" t="s">
        <v>486</v>
      </c>
      <c r="B13" s="237"/>
      <c r="C13" s="237"/>
      <c r="D13" s="237"/>
      <c r="E13" s="237"/>
      <c r="F13" s="237"/>
      <c r="G13" s="237"/>
      <c r="H13" s="238"/>
      <c r="I13" s="239" t="str">
        <f t="shared" ref="I13:I41" si="0">IF(H13="NA","NA",IF(H13="YES",$C$7,IF(H13="NO",0,"")))</f>
        <v/>
      </c>
      <c r="J13" s="237"/>
      <c r="K13" s="237"/>
    </row>
    <row r="14" spans="1:11">
      <c r="A14" s="236" t="s">
        <v>487</v>
      </c>
      <c r="B14" s="237"/>
      <c r="C14" s="237"/>
      <c r="D14" s="237"/>
      <c r="E14" s="237"/>
      <c r="F14" s="237"/>
      <c r="G14" s="237"/>
      <c r="H14" s="238"/>
      <c r="I14" s="239" t="str">
        <f t="shared" si="0"/>
        <v/>
      </c>
      <c r="J14" s="237"/>
      <c r="K14" s="237"/>
    </row>
    <row r="15" spans="1:11">
      <c r="A15" s="236" t="s">
        <v>488</v>
      </c>
      <c r="B15" s="237"/>
      <c r="C15" s="237"/>
      <c r="D15" s="237"/>
      <c r="E15" s="237"/>
      <c r="F15" s="237"/>
      <c r="G15" s="237"/>
      <c r="H15" s="238"/>
      <c r="I15" s="239" t="str">
        <f t="shared" si="0"/>
        <v/>
      </c>
      <c r="J15" s="237"/>
      <c r="K15" s="237"/>
    </row>
    <row r="16" spans="1:11">
      <c r="A16" s="236" t="s">
        <v>489</v>
      </c>
      <c r="B16" s="237"/>
      <c r="C16" s="237"/>
      <c r="D16" s="237"/>
      <c r="E16" s="237"/>
      <c r="F16" s="237"/>
      <c r="G16" s="237"/>
      <c r="H16" s="238"/>
      <c r="I16" s="239" t="str">
        <f t="shared" si="0"/>
        <v/>
      </c>
      <c r="J16" s="237"/>
      <c r="K16" s="237"/>
    </row>
    <row r="17" spans="1:11">
      <c r="A17" s="236" t="s">
        <v>490</v>
      </c>
      <c r="B17" s="237"/>
      <c r="C17" s="237"/>
      <c r="D17" s="237"/>
      <c r="E17" s="237"/>
      <c r="F17" s="237"/>
      <c r="G17" s="237"/>
      <c r="H17" s="238"/>
      <c r="I17" s="239" t="str">
        <f t="shared" si="0"/>
        <v/>
      </c>
      <c r="J17" s="237"/>
      <c r="K17" s="237"/>
    </row>
    <row r="18" spans="1:11">
      <c r="A18" s="236" t="s">
        <v>491</v>
      </c>
      <c r="B18" s="237"/>
      <c r="C18" s="237"/>
      <c r="D18" s="237"/>
      <c r="E18" s="237"/>
      <c r="F18" s="237"/>
      <c r="G18" s="237"/>
      <c r="H18" s="238"/>
      <c r="I18" s="239" t="str">
        <f t="shared" si="0"/>
        <v/>
      </c>
      <c r="J18" s="237"/>
      <c r="K18" s="237"/>
    </row>
    <row r="19" spans="1:11">
      <c r="A19" s="236" t="s">
        <v>492</v>
      </c>
      <c r="B19" s="237"/>
      <c r="C19" s="237"/>
      <c r="D19" s="237"/>
      <c r="E19" s="237"/>
      <c r="F19" s="237"/>
      <c r="G19" s="237"/>
      <c r="H19" s="238"/>
      <c r="I19" s="239" t="str">
        <f t="shared" si="0"/>
        <v/>
      </c>
      <c r="J19" s="237"/>
      <c r="K19" s="237"/>
    </row>
    <row r="20" spans="1:11">
      <c r="A20" s="236" t="s">
        <v>493</v>
      </c>
      <c r="B20" s="237"/>
      <c r="C20" s="237"/>
      <c r="D20" s="237"/>
      <c r="E20" s="237"/>
      <c r="F20" s="237"/>
      <c r="G20" s="237"/>
      <c r="H20" s="238"/>
      <c r="I20" s="239" t="str">
        <f t="shared" si="0"/>
        <v/>
      </c>
      <c r="J20" s="237"/>
      <c r="K20" s="237"/>
    </row>
    <row r="21" spans="1:11">
      <c r="A21" s="236" t="s">
        <v>494</v>
      </c>
      <c r="B21" s="237"/>
      <c r="C21" s="237"/>
      <c r="D21" s="237"/>
      <c r="E21" s="237"/>
      <c r="F21" s="237"/>
      <c r="G21" s="237"/>
      <c r="H21" s="238"/>
      <c r="I21" s="239" t="str">
        <f t="shared" si="0"/>
        <v/>
      </c>
      <c r="J21" s="237"/>
      <c r="K21" s="237"/>
    </row>
    <row r="22" spans="1:11">
      <c r="A22" s="236" t="s">
        <v>495</v>
      </c>
      <c r="B22" s="237"/>
      <c r="C22" s="237"/>
      <c r="D22" s="237"/>
      <c r="E22" s="237"/>
      <c r="F22" s="237"/>
      <c r="G22" s="237"/>
      <c r="H22" s="238"/>
      <c r="I22" s="239" t="str">
        <f t="shared" si="0"/>
        <v/>
      </c>
      <c r="J22" s="237"/>
      <c r="K22" s="237"/>
    </row>
    <row r="23" spans="1:11">
      <c r="A23" s="236" t="s">
        <v>496</v>
      </c>
      <c r="B23" s="237"/>
      <c r="C23" s="237"/>
      <c r="D23" s="237"/>
      <c r="E23" s="237"/>
      <c r="F23" s="237"/>
      <c r="G23" s="237"/>
      <c r="H23" s="238"/>
      <c r="I23" s="239" t="str">
        <f t="shared" si="0"/>
        <v/>
      </c>
      <c r="J23" s="237"/>
      <c r="K23" s="237"/>
    </row>
    <row r="24" spans="1:11">
      <c r="A24" s="236" t="s">
        <v>497</v>
      </c>
      <c r="B24" s="237"/>
      <c r="C24" s="237"/>
      <c r="D24" s="237"/>
      <c r="E24" s="237"/>
      <c r="F24" s="237"/>
      <c r="G24" s="237"/>
      <c r="H24" s="238"/>
      <c r="I24" s="239" t="str">
        <f t="shared" si="0"/>
        <v/>
      </c>
      <c r="J24" s="237"/>
      <c r="K24" s="237"/>
    </row>
    <row r="25" spans="1:11">
      <c r="A25" s="236" t="s">
        <v>498</v>
      </c>
      <c r="B25" s="237"/>
      <c r="C25" s="237"/>
      <c r="D25" s="237"/>
      <c r="E25" s="237"/>
      <c r="F25" s="237"/>
      <c r="G25" s="237"/>
      <c r="H25" s="238"/>
      <c r="I25" s="239" t="str">
        <f t="shared" si="0"/>
        <v/>
      </c>
      <c r="J25" s="237"/>
      <c r="K25" s="237"/>
    </row>
    <row r="26" spans="1:11">
      <c r="A26" s="236" t="s">
        <v>499</v>
      </c>
      <c r="B26" s="237"/>
      <c r="C26" s="237"/>
      <c r="D26" s="237"/>
      <c r="E26" s="237"/>
      <c r="F26" s="237"/>
      <c r="G26" s="237"/>
      <c r="H26" s="238"/>
      <c r="I26" s="239" t="str">
        <f t="shared" si="0"/>
        <v/>
      </c>
      <c r="J26" s="237"/>
      <c r="K26" s="237"/>
    </row>
    <row r="27" spans="1:11">
      <c r="A27" s="236" t="s">
        <v>500</v>
      </c>
      <c r="B27" s="237"/>
      <c r="C27" s="237"/>
      <c r="D27" s="237"/>
      <c r="E27" s="237"/>
      <c r="F27" s="237"/>
      <c r="G27" s="237"/>
      <c r="H27" s="238"/>
      <c r="I27" s="239" t="str">
        <f t="shared" si="0"/>
        <v/>
      </c>
      <c r="J27" s="237"/>
      <c r="K27" s="237"/>
    </row>
    <row r="28" spans="1:11">
      <c r="A28" s="236" t="s">
        <v>501</v>
      </c>
      <c r="B28" s="237"/>
      <c r="C28" s="237"/>
      <c r="D28" s="237"/>
      <c r="E28" s="237"/>
      <c r="F28" s="237"/>
      <c r="G28" s="237"/>
      <c r="H28" s="238"/>
      <c r="I28" s="239" t="str">
        <f t="shared" si="0"/>
        <v/>
      </c>
      <c r="J28" s="237"/>
      <c r="K28" s="237"/>
    </row>
    <row r="29" spans="1:11">
      <c r="A29" s="236" t="s">
        <v>502</v>
      </c>
      <c r="B29" s="237"/>
      <c r="C29" s="237"/>
      <c r="D29" s="237"/>
      <c r="E29" s="237"/>
      <c r="F29" s="237"/>
      <c r="G29" s="237"/>
      <c r="H29" s="238"/>
      <c r="I29" s="239" t="str">
        <f t="shared" si="0"/>
        <v/>
      </c>
      <c r="J29" s="237"/>
      <c r="K29" s="237"/>
    </row>
    <row r="30" spans="1:11">
      <c r="A30" s="236" t="s">
        <v>503</v>
      </c>
      <c r="B30" s="237"/>
      <c r="C30" s="237"/>
      <c r="D30" s="237"/>
      <c r="E30" s="237"/>
      <c r="F30" s="237"/>
      <c r="G30" s="237"/>
      <c r="H30" s="238"/>
      <c r="I30" s="239" t="str">
        <f t="shared" si="0"/>
        <v/>
      </c>
      <c r="J30" s="237"/>
      <c r="K30" s="237"/>
    </row>
    <row r="31" spans="1:11">
      <c r="A31" s="236" t="s">
        <v>504</v>
      </c>
      <c r="B31" s="237"/>
      <c r="C31" s="237"/>
      <c r="D31" s="237"/>
      <c r="E31" s="237"/>
      <c r="F31" s="237"/>
      <c r="G31" s="237"/>
      <c r="H31" s="238"/>
      <c r="I31" s="239" t="str">
        <f t="shared" si="0"/>
        <v/>
      </c>
      <c r="J31" s="237"/>
      <c r="K31" s="237"/>
    </row>
    <row r="32" spans="1:11">
      <c r="A32" s="236" t="s">
        <v>505</v>
      </c>
      <c r="B32" s="237"/>
      <c r="C32" s="237"/>
      <c r="D32" s="237"/>
      <c r="E32" s="237"/>
      <c r="F32" s="237"/>
      <c r="G32" s="237"/>
      <c r="H32" s="238"/>
      <c r="I32" s="239" t="str">
        <f t="shared" si="0"/>
        <v/>
      </c>
      <c r="J32" s="237"/>
      <c r="K32" s="237"/>
    </row>
    <row r="33" spans="1:11">
      <c r="A33" s="236" t="s">
        <v>506</v>
      </c>
      <c r="B33" s="237"/>
      <c r="C33" s="237"/>
      <c r="D33" s="237"/>
      <c r="E33" s="237"/>
      <c r="F33" s="237"/>
      <c r="G33" s="237"/>
      <c r="H33" s="238"/>
      <c r="I33" s="239" t="str">
        <f t="shared" si="0"/>
        <v/>
      </c>
      <c r="J33" s="237"/>
      <c r="K33" s="237"/>
    </row>
    <row r="34" spans="1:11">
      <c r="A34" s="236" t="s">
        <v>507</v>
      </c>
      <c r="B34" s="237"/>
      <c r="C34" s="237"/>
      <c r="D34" s="237"/>
      <c r="E34" s="237"/>
      <c r="F34" s="237"/>
      <c r="G34" s="237"/>
      <c r="H34" s="238"/>
      <c r="I34" s="239" t="str">
        <f t="shared" si="0"/>
        <v/>
      </c>
      <c r="J34" s="237"/>
      <c r="K34" s="237"/>
    </row>
    <row r="35" spans="1:11">
      <c r="A35" s="236" t="s">
        <v>508</v>
      </c>
      <c r="B35" s="237"/>
      <c r="C35" s="237"/>
      <c r="D35" s="237"/>
      <c r="E35" s="237"/>
      <c r="F35" s="237"/>
      <c r="G35" s="237"/>
      <c r="H35" s="238"/>
      <c r="I35" s="239" t="str">
        <f t="shared" si="0"/>
        <v/>
      </c>
      <c r="J35" s="237"/>
      <c r="K35" s="237"/>
    </row>
    <row r="36" spans="1:11">
      <c r="A36" s="236" t="s">
        <v>509</v>
      </c>
      <c r="B36" s="237"/>
      <c r="C36" s="237"/>
      <c r="D36" s="237"/>
      <c r="E36" s="237"/>
      <c r="F36" s="237"/>
      <c r="G36" s="237"/>
      <c r="H36" s="238"/>
      <c r="I36" s="239" t="str">
        <f t="shared" si="0"/>
        <v/>
      </c>
      <c r="J36" s="237"/>
      <c r="K36" s="237"/>
    </row>
    <row r="37" spans="1:11">
      <c r="A37" s="236" t="s">
        <v>510</v>
      </c>
      <c r="B37" s="237"/>
      <c r="C37" s="237"/>
      <c r="D37" s="237"/>
      <c r="E37" s="237"/>
      <c r="F37" s="237"/>
      <c r="G37" s="237"/>
      <c r="H37" s="238"/>
      <c r="I37" s="239" t="str">
        <f t="shared" si="0"/>
        <v/>
      </c>
      <c r="J37" s="237"/>
      <c r="K37" s="237"/>
    </row>
    <row r="38" spans="1:11">
      <c r="A38" s="236" t="s">
        <v>511</v>
      </c>
      <c r="B38" s="237"/>
      <c r="C38" s="237"/>
      <c r="D38" s="237"/>
      <c r="E38" s="237"/>
      <c r="F38" s="237"/>
      <c r="G38" s="237"/>
      <c r="H38" s="238"/>
      <c r="I38" s="239" t="str">
        <f t="shared" si="0"/>
        <v/>
      </c>
      <c r="J38" s="237"/>
      <c r="K38" s="237"/>
    </row>
    <row r="39" spans="1:11">
      <c r="A39" s="236" t="s">
        <v>512</v>
      </c>
      <c r="B39" s="237"/>
      <c r="C39" s="237"/>
      <c r="D39" s="237"/>
      <c r="E39" s="237"/>
      <c r="F39" s="237"/>
      <c r="G39" s="237"/>
      <c r="H39" s="238"/>
      <c r="I39" s="239" t="str">
        <f t="shared" si="0"/>
        <v/>
      </c>
      <c r="J39" s="237"/>
      <c r="K39" s="237"/>
    </row>
    <row r="40" spans="1:11">
      <c r="A40" s="236" t="s">
        <v>513</v>
      </c>
      <c r="B40" s="237"/>
      <c r="C40" s="237"/>
      <c r="D40" s="237"/>
      <c r="E40" s="237"/>
      <c r="F40" s="237"/>
      <c r="G40" s="237"/>
      <c r="H40" s="238"/>
      <c r="I40" s="239" t="str">
        <f t="shared" si="0"/>
        <v/>
      </c>
      <c r="J40" s="237"/>
      <c r="K40" s="237"/>
    </row>
    <row r="41" spans="1:11">
      <c r="A41" s="236" t="s">
        <v>514</v>
      </c>
      <c r="B41" s="237"/>
      <c r="C41" s="237"/>
      <c r="D41" s="237"/>
      <c r="E41" s="237"/>
      <c r="F41" s="237"/>
      <c r="G41" s="237"/>
      <c r="H41" s="238"/>
      <c r="I41" s="239" t="str">
        <f t="shared" si="0"/>
        <v/>
      </c>
      <c r="J41" s="237"/>
      <c r="K41" s="237"/>
    </row>
  </sheetData>
  <dataValidations count="1">
    <dataValidation type="list" allowBlank="1" showErrorMessage="1" errorTitle="Invalid entry" error="Please enter a valid value (see note above the column)." sqref="H13:H41" xr:uid="{00000000-0002-0000-4200-000000000000}">
      <formula1>"YES,NO,NA"</formula1>
      <formula2>0</formula2>
    </dataValidation>
  </dataValidations>
  <pageMargins left="0.75" right="0.75" top="1" bottom="1" header="0.511811023622047" footer="0.511811023622047"/>
  <pageSetup paperSize="9"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41"/>
  <sheetViews>
    <sheetView topLeftCell="B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413</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enable different types and scales of economic activity?</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0">
        <f>VLOOKUP($B$1,'UPD Questions_290926 '!$E$1:$N$300,MATCH($A$7,'UPD Questions_290926 '!$E$1:$N$1,0),0)</f>
        <v>2</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&gt;:&lt; Review whether the DCR enables economic activities of different types and scales through the regulation of land use, mixed use, permissible activities, development intensity and development standards. Look particularly for provisions that enable MSMEs/small enterprises, home-based economic activities, commercial activity, mixed-use development, markets/street vending, industrial or productive uses, and specialised economic districts, including through relaxed or differentiated requirements relating to plot size, FAR/FSI, setbacks, parking, access or other development standards.
Score 2: Specific provisions enable or incentivise two or more types/scales of economic activity, beyond merely designating land for commercial/industrial use.
Score 1: Two or more Economic activities are provided for through conventional land-use zoning/permissible-use provisions, but no specific enabling or incentivising development provision is found.
Score 0: No relevant provision addressing economic activity is found.
(For example: Just mentioning zoning an area as commercial will get a score of 1, whereas enabling mixed use, home enterprises, MSMEs, flexible use categories, reduced parking/plot requirements, or other provisions specifically facilitating economic activity)
Keywords for scorer: mixed use; mixed-use; commercial; commerce; shop; retail; market; vendor; street vending; hawker; home occupation; home-based; cottage industry; household industry; MSME; small enterprise; micro enterprise; industrial; productive use; work-live; special economic; business district; FAR; FSI; parking relaxation; permissible use.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853</v>
      </c>
      <c r="I11" s="233" t="s">
        <v>783</v>
      </c>
    </row>
    <row r="12" spans="1:10" ht="60" customHeight="1">
      <c r="A12" s="234" t="s">
        <v>784</v>
      </c>
      <c r="B12" s="234" t="s">
        <v>785</v>
      </c>
      <c r="C12" s="234" t="s">
        <v>786</v>
      </c>
      <c r="D12" s="234" t="s">
        <v>787</v>
      </c>
      <c r="E12" s="234" t="s">
        <v>788</v>
      </c>
      <c r="F12" s="234" t="s">
        <v>789</v>
      </c>
      <c r="G12" s="234" t="s">
        <v>790</v>
      </c>
      <c r="H12" s="235" t="s">
        <v>854</v>
      </c>
      <c r="I12" s="233" t="s">
        <v>791</v>
      </c>
      <c r="J12" s="235" t="s">
        <v>792</v>
      </c>
    </row>
    <row r="13" spans="1:10">
      <c r="A13" s="236" t="s">
        <v>486</v>
      </c>
      <c r="B13" s="237"/>
      <c r="C13" s="237"/>
      <c r="D13" s="237"/>
      <c r="E13" s="237"/>
      <c r="F13" s="237"/>
      <c r="G13" s="237"/>
      <c r="H13" s="238"/>
      <c r="I13" s="239" t="str">
        <f t="shared" ref="I13:I41" si="0">IF(H13="","",MIN(--H13,$C$7))</f>
        <v/>
      </c>
      <c r="J13" s="237"/>
    </row>
    <row r="14" spans="1:10" ht="15">
      <c r="A14" s="236" t="s">
        <v>487</v>
      </c>
      <c r="B14" s="237"/>
      <c r="C14" s="237"/>
      <c r="D14" s="237"/>
      <c r="E14" s="237"/>
      <c r="F14" s="237"/>
      <c r="G14" s="244" t="s">
        <v>806</v>
      </c>
      <c r="H14" s="238">
        <v>0</v>
      </c>
      <c r="I14" s="239">
        <f t="shared" si="0"/>
        <v>0</v>
      </c>
      <c r="J14" s="237" t="s">
        <v>855</v>
      </c>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4300-000000000000}">
      <formula1>"2,1,0"</formula1>
      <formula2>0</formula2>
    </dataValidation>
  </dataValidations>
  <hyperlinks>
    <hyperlink ref="G14" r:id="rId1" xr:uid="{FF3F9C88-0873-44D9-A5AF-CAC37EB98EA8}"/>
  </hyperlinks>
  <pageMargins left="0.75" right="0.75" top="1" bottom="1" header="0.511811023622047" footer="0.511811023622047"/>
  <pageSetup paperSize="9"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K41"/>
  <sheetViews>
    <sheetView topLeftCell="B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417</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improve access, safety, affordability and development outcomes for women and the urban poor?</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0">
        <f>VLOOKUP($B$1,'UPD Questions_290926 '!$E$1:$N$300,MATCH($A$7,'UPD Questions_290926 '!$E$1:$N$1,0),0)</f>
        <v>2</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&gt;:&lt; Check whether development regulation contains specific controls, standards, relaxations or incentives addressing the needs of women and the urban poor.
For the urban poor, check for provisions enabling or incentivising EWS/LIG or affordable housing, inclusionary housing, slum redevelopment/upgradation, in-situ redevelopment, incremental housing or other affordable housing options through measures such as additional FAR/FSI, density incentives, reduced plot-size/setback/parking requirements, reservation of dwelling units or built-up area, cross-subsidy, TDR or other regulatory flexibility.
For women, check for development/design provisions specifically addressing women's safety, accessibility and use of buildings and public spaces, such as gender-responsive design standards, requirements relating to safe access, lighting/visibility, sanitation/facilities for women, childcare facilities, or other provisions explicitly addressing women's needs.
Score 2: Atleast two or more specific development controls, standards, relaxations or incentives addressing both women and the urban poor are provided.
Score 1: Specific development controls, standards, relaxations or incentives addressing either women or the urban poor, but not both, are mentioned in atleast two or more provisions. Score 0: No specific development provision addressing either women or the urban poor is found.
Note: General provisions applicable to all developments or users should not be counted unless they specifically address the needs of women or the urban poor. Similarly, merely referring to EWS/LIG housing or women's safety without prescribing a corresponding development control, standard, requirement, relaxation or incentive should not qualify.
For example: Additional FAR/FSI or relaxed development standards for EWS/affordable housing would qualify as a provision for the urban poor. Specific design requirements addressing women's safety or access would qualify as a provision for women.
Keywords for scorer:
Urban poor: EWS; LIG; economically weaker section; low income; affordable housing; inclusionary housing; inclusive housing; social housing; slum; slum rehabilitation; slum redevelopment; in-situ; incremental housing; small dwelling; small plot; density bonus; FAR; FSI; TDR; cross subsidy; development standards; relaxation.
Women: women; woman; female; gender; gender responsive; gender sensitive; women safety; safety; safe access; lighting; visibility; toilet for women; female toilet; sanitary facility; childcare; crèche; public space; public realm.</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Please capture the text that mentions the broad provisions related to the theme and the incentives it offers clearly </v>
      </c>
    </row>
    <row r="11" spans="1:11" ht="29.1">
      <c r="H11" s="232" t="s">
        <v>853</v>
      </c>
      <c r="I11" s="233" t="s">
        <v>783</v>
      </c>
    </row>
    <row r="12" spans="1:11" ht="60" customHeight="1">
      <c r="A12" s="234" t="s">
        <v>784</v>
      </c>
      <c r="B12" s="234" t="s">
        <v>785</v>
      </c>
      <c r="C12" s="234" t="s">
        <v>786</v>
      </c>
      <c r="D12" s="234" t="s">
        <v>787</v>
      </c>
      <c r="E12" s="234" t="s">
        <v>788</v>
      </c>
      <c r="F12" s="234" t="s">
        <v>789</v>
      </c>
      <c r="G12" s="234" t="s">
        <v>790</v>
      </c>
      <c r="H12" s="235" t="s">
        <v>854</v>
      </c>
      <c r="I12" s="233" t="s">
        <v>791</v>
      </c>
      <c r="J12" s="235" t="s">
        <v>792</v>
      </c>
      <c r="K12" s="235" t="s">
        <v>856</v>
      </c>
    </row>
    <row r="13" spans="1:11">
      <c r="A13" s="236" t="s">
        <v>486</v>
      </c>
      <c r="B13" s="237"/>
      <c r="C13" s="237"/>
      <c r="D13" s="237"/>
      <c r="E13" s="237"/>
      <c r="F13" s="237"/>
      <c r="G13" s="237"/>
      <c r="H13" s="238"/>
      <c r="I13" s="239" t="str">
        <f t="shared" ref="I13:I41" si="0">IF(H13="","",MIN(--H13,$C$7))</f>
        <v/>
      </c>
      <c r="J13" s="237"/>
      <c r="K13" s="237"/>
    </row>
    <row r="14" spans="1:11" ht="15">
      <c r="A14" s="236" t="s">
        <v>487</v>
      </c>
      <c r="B14" s="237"/>
      <c r="C14" s="237"/>
      <c r="D14" s="237"/>
      <c r="E14" s="237"/>
      <c r="F14" s="237"/>
      <c r="G14" s="244" t="s">
        <v>806</v>
      </c>
      <c r="H14" s="238">
        <v>0</v>
      </c>
      <c r="I14" s="239">
        <f t="shared" si="0"/>
        <v>0</v>
      </c>
      <c r="J14" s="237" t="s">
        <v>857</v>
      </c>
      <c r="K14" s="237"/>
    </row>
    <row r="15" spans="1:11">
      <c r="A15" s="236" t="s">
        <v>488</v>
      </c>
      <c r="B15" s="237"/>
      <c r="C15" s="237"/>
      <c r="D15" s="237"/>
      <c r="E15" s="237"/>
      <c r="F15" s="237"/>
      <c r="G15" s="237"/>
      <c r="H15" s="238"/>
      <c r="I15" s="239" t="str">
        <f t="shared" si="0"/>
        <v/>
      </c>
      <c r="J15" s="237"/>
      <c r="K15" s="237"/>
    </row>
    <row r="16" spans="1:11">
      <c r="A16" s="236" t="s">
        <v>489</v>
      </c>
      <c r="B16" s="237"/>
      <c r="C16" s="237"/>
      <c r="D16" s="237"/>
      <c r="E16" s="237"/>
      <c r="F16" s="237"/>
      <c r="G16" s="237"/>
      <c r="H16" s="238"/>
      <c r="I16" s="239" t="str">
        <f t="shared" si="0"/>
        <v/>
      </c>
      <c r="J16" s="237"/>
      <c r="K16" s="237"/>
    </row>
    <row r="17" spans="1:11">
      <c r="A17" s="236" t="s">
        <v>490</v>
      </c>
      <c r="B17" s="237"/>
      <c r="C17" s="237"/>
      <c r="D17" s="237"/>
      <c r="E17" s="237"/>
      <c r="F17" s="237"/>
      <c r="G17" s="237"/>
      <c r="H17" s="238"/>
      <c r="I17" s="239" t="str">
        <f t="shared" si="0"/>
        <v/>
      </c>
      <c r="J17" s="237"/>
      <c r="K17" s="237"/>
    </row>
    <row r="18" spans="1:11">
      <c r="A18" s="236" t="s">
        <v>491</v>
      </c>
      <c r="B18" s="237"/>
      <c r="C18" s="237"/>
      <c r="D18" s="237"/>
      <c r="E18" s="237"/>
      <c r="F18" s="237"/>
      <c r="G18" s="237"/>
      <c r="H18" s="238"/>
      <c r="I18" s="239" t="str">
        <f t="shared" si="0"/>
        <v/>
      </c>
      <c r="J18" s="237"/>
      <c r="K18" s="237"/>
    </row>
    <row r="19" spans="1:11">
      <c r="A19" s="236" t="s">
        <v>492</v>
      </c>
      <c r="B19" s="237"/>
      <c r="C19" s="237"/>
      <c r="D19" s="237"/>
      <c r="E19" s="237"/>
      <c r="F19" s="237"/>
      <c r="G19" s="237"/>
      <c r="H19" s="238"/>
      <c r="I19" s="239" t="str">
        <f t="shared" si="0"/>
        <v/>
      </c>
      <c r="J19" s="237"/>
      <c r="K19" s="237"/>
    </row>
    <row r="20" spans="1:11">
      <c r="A20" s="236" t="s">
        <v>493</v>
      </c>
      <c r="B20" s="237"/>
      <c r="C20" s="237"/>
      <c r="D20" s="237"/>
      <c r="E20" s="237"/>
      <c r="F20" s="237"/>
      <c r="G20" s="237"/>
      <c r="H20" s="238"/>
      <c r="I20" s="239" t="str">
        <f t="shared" si="0"/>
        <v/>
      </c>
      <c r="J20" s="237"/>
      <c r="K20" s="237"/>
    </row>
    <row r="21" spans="1:11">
      <c r="A21" s="236" t="s">
        <v>494</v>
      </c>
      <c r="B21" s="237"/>
      <c r="C21" s="237"/>
      <c r="D21" s="237"/>
      <c r="E21" s="237"/>
      <c r="F21" s="237"/>
      <c r="G21" s="237"/>
      <c r="H21" s="238"/>
      <c r="I21" s="239" t="str">
        <f t="shared" si="0"/>
        <v/>
      </c>
      <c r="J21" s="237"/>
      <c r="K21" s="237"/>
    </row>
    <row r="22" spans="1:11">
      <c r="A22" s="236" t="s">
        <v>495</v>
      </c>
      <c r="B22" s="237"/>
      <c r="C22" s="237"/>
      <c r="D22" s="237"/>
      <c r="E22" s="237"/>
      <c r="F22" s="237"/>
      <c r="G22" s="237"/>
      <c r="H22" s="238"/>
      <c r="I22" s="239" t="str">
        <f t="shared" si="0"/>
        <v/>
      </c>
      <c r="J22" s="237"/>
      <c r="K22" s="237"/>
    </row>
    <row r="23" spans="1:11">
      <c r="A23" s="236" t="s">
        <v>496</v>
      </c>
      <c r="B23" s="237"/>
      <c r="C23" s="237"/>
      <c r="D23" s="237"/>
      <c r="E23" s="237"/>
      <c r="F23" s="237"/>
      <c r="G23" s="237"/>
      <c r="H23" s="238"/>
      <c r="I23" s="239" t="str">
        <f t="shared" si="0"/>
        <v/>
      </c>
      <c r="J23" s="237"/>
      <c r="K23" s="237"/>
    </row>
    <row r="24" spans="1:11">
      <c r="A24" s="236" t="s">
        <v>497</v>
      </c>
      <c r="B24" s="237"/>
      <c r="C24" s="237"/>
      <c r="D24" s="237"/>
      <c r="E24" s="237"/>
      <c r="F24" s="237"/>
      <c r="G24" s="237"/>
      <c r="H24" s="238"/>
      <c r="I24" s="239" t="str">
        <f t="shared" si="0"/>
        <v/>
      </c>
      <c r="J24" s="237"/>
      <c r="K24" s="237"/>
    </row>
    <row r="25" spans="1:11">
      <c r="A25" s="236" t="s">
        <v>498</v>
      </c>
      <c r="B25" s="237"/>
      <c r="C25" s="237"/>
      <c r="D25" s="237"/>
      <c r="E25" s="237"/>
      <c r="F25" s="237"/>
      <c r="G25" s="237"/>
      <c r="H25" s="238"/>
      <c r="I25" s="239" t="str">
        <f t="shared" si="0"/>
        <v/>
      </c>
      <c r="J25" s="237"/>
      <c r="K25" s="237"/>
    </row>
    <row r="26" spans="1:11">
      <c r="A26" s="236" t="s">
        <v>499</v>
      </c>
      <c r="B26" s="237"/>
      <c r="C26" s="237"/>
      <c r="D26" s="237"/>
      <c r="E26" s="237"/>
      <c r="F26" s="237"/>
      <c r="G26" s="237"/>
      <c r="H26" s="238"/>
      <c r="I26" s="239" t="str">
        <f t="shared" si="0"/>
        <v/>
      </c>
      <c r="J26" s="237"/>
      <c r="K26" s="237"/>
    </row>
    <row r="27" spans="1:11">
      <c r="A27" s="236" t="s">
        <v>500</v>
      </c>
      <c r="B27" s="237"/>
      <c r="C27" s="237"/>
      <c r="D27" s="237"/>
      <c r="E27" s="237"/>
      <c r="F27" s="237"/>
      <c r="G27" s="237"/>
      <c r="H27" s="238"/>
      <c r="I27" s="239" t="str">
        <f t="shared" si="0"/>
        <v/>
      </c>
      <c r="J27" s="237"/>
      <c r="K27" s="237"/>
    </row>
    <row r="28" spans="1:11">
      <c r="A28" s="236" t="s">
        <v>501</v>
      </c>
      <c r="B28" s="237"/>
      <c r="C28" s="237"/>
      <c r="D28" s="237"/>
      <c r="E28" s="237"/>
      <c r="F28" s="237"/>
      <c r="G28" s="237"/>
      <c r="H28" s="238"/>
      <c r="I28" s="239" t="str">
        <f t="shared" si="0"/>
        <v/>
      </c>
      <c r="J28" s="237"/>
      <c r="K28" s="237"/>
    </row>
    <row r="29" spans="1:11">
      <c r="A29" s="236" t="s">
        <v>502</v>
      </c>
      <c r="B29" s="237"/>
      <c r="C29" s="237"/>
      <c r="D29" s="237"/>
      <c r="E29" s="237"/>
      <c r="F29" s="237"/>
      <c r="G29" s="237"/>
      <c r="H29" s="238"/>
      <c r="I29" s="239" t="str">
        <f t="shared" si="0"/>
        <v/>
      </c>
      <c r="J29" s="237"/>
      <c r="K29" s="237"/>
    </row>
    <row r="30" spans="1:11">
      <c r="A30" s="236" t="s">
        <v>503</v>
      </c>
      <c r="B30" s="237"/>
      <c r="C30" s="237"/>
      <c r="D30" s="237"/>
      <c r="E30" s="237"/>
      <c r="F30" s="237"/>
      <c r="G30" s="237"/>
      <c r="H30" s="238"/>
      <c r="I30" s="239" t="str">
        <f t="shared" si="0"/>
        <v/>
      </c>
      <c r="J30" s="237"/>
      <c r="K30" s="237"/>
    </row>
    <row r="31" spans="1:11">
      <c r="A31" s="236" t="s">
        <v>504</v>
      </c>
      <c r="B31" s="237"/>
      <c r="C31" s="237"/>
      <c r="D31" s="237"/>
      <c r="E31" s="237"/>
      <c r="F31" s="237"/>
      <c r="G31" s="237"/>
      <c r="H31" s="238"/>
      <c r="I31" s="239" t="str">
        <f t="shared" si="0"/>
        <v/>
      </c>
      <c r="J31" s="237"/>
      <c r="K31" s="237"/>
    </row>
    <row r="32" spans="1:11">
      <c r="A32" s="236" t="s">
        <v>505</v>
      </c>
      <c r="B32" s="237"/>
      <c r="C32" s="237"/>
      <c r="D32" s="237"/>
      <c r="E32" s="237"/>
      <c r="F32" s="237"/>
      <c r="G32" s="237"/>
      <c r="H32" s="238"/>
      <c r="I32" s="239" t="str">
        <f t="shared" si="0"/>
        <v/>
      </c>
      <c r="J32" s="237"/>
      <c r="K32" s="237"/>
    </row>
    <row r="33" spans="1:11">
      <c r="A33" s="236" t="s">
        <v>506</v>
      </c>
      <c r="B33" s="237"/>
      <c r="C33" s="237"/>
      <c r="D33" s="237"/>
      <c r="E33" s="237"/>
      <c r="F33" s="237"/>
      <c r="G33" s="237"/>
      <c r="H33" s="238"/>
      <c r="I33" s="239" t="str">
        <f t="shared" si="0"/>
        <v/>
      </c>
      <c r="J33" s="237"/>
      <c r="K33" s="237"/>
    </row>
    <row r="34" spans="1:11">
      <c r="A34" s="236" t="s">
        <v>507</v>
      </c>
      <c r="B34" s="237"/>
      <c r="C34" s="237"/>
      <c r="D34" s="237"/>
      <c r="E34" s="237"/>
      <c r="F34" s="237"/>
      <c r="G34" s="237"/>
      <c r="H34" s="238"/>
      <c r="I34" s="239" t="str">
        <f t="shared" si="0"/>
        <v/>
      </c>
      <c r="J34" s="237"/>
      <c r="K34" s="237"/>
    </row>
    <row r="35" spans="1:11">
      <c r="A35" s="236" t="s">
        <v>508</v>
      </c>
      <c r="B35" s="237"/>
      <c r="C35" s="237"/>
      <c r="D35" s="237"/>
      <c r="E35" s="237"/>
      <c r="F35" s="237"/>
      <c r="G35" s="237"/>
      <c r="H35" s="238"/>
      <c r="I35" s="239" t="str">
        <f t="shared" si="0"/>
        <v/>
      </c>
      <c r="J35" s="237"/>
      <c r="K35" s="237"/>
    </row>
    <row r="36" spans="1:11">
      <c r="A36" s="236" t="s">
        <v>509</v>
      </c>
      <c r="B36" s="237"/>
      <c r="C36" s="237"/>
      <c r="D36" s="237"/>
      <c r="E36" s="237"/>
      <c r="F36" s="237"/>
      <c r="G36" s="237"/>
      <c r="H36" s="238"/>
      <c r="I36" s="239" t="str">
        <f t="shared" si="0"/>
        <v/>
      </c>
      <c r="J36" s="237"/>
      <c r="K36" s="237"/>
    </row>
    <row r="37" spans="1:11">
      <c r="A37" s="236" t="s">
        <v>510</v>
      </c>
      <c r="B37" s="237"/>
      <c r="C37" s="237"/>
      <c r="D37" s="237"/>
      <c r="E37" s="237"/>
      <c r="F37" s="237"/>
      <c r="G37" s="237"/>
      <c r="H37" s="238"/>
      <c r="I37" s="239" t="str">
        <f t="shared" si="0"/>
        <v/>
      </c>
      <c r="J37" s="237"/>
      <c r="K37" s="237"/>
    </row>
    <row r="38" spans="1:11">
      <c r="A38" s="236" t="s">
        <v>511</v>
      </c>
      <c r="B38" s="237"/>
      <c r="C38" s="237"/>
      <c r="D38" s="237"/>
      <c r="E38" s="237"/>
      <c r="F38" s="237"/>
      <c r="G38" s="237"/>
      <c r="H38" s="238"/>
      <c r="I38" s="239" t="str">
        <f t="shared" si="0"/>
        <v/>
      </c>
      <c r="J38" s="237"/>
      <c r="K38" s="237"/>
    </row>
    <row r="39" spans="1:11">
      <c r="A39" s="236" t="s">
        <v>512</v>
      </c>
      <c r="B39" s="237"/>
      <c r="C39" s="237"/>
      <c r="D39" s="237"/>
      <c r="E39" s="237"/>
      <c r="F39" s="237"/>
      <c r="G39" s="237"/>
      <c r="H39" s="238"/>
      <c r="I39" s="239" t="str">
        <f t="shared" si="0"/>
        <v/>
      </c>
      <c r="J39" s="237"/>
      <c r="K39" s="237"/>
    </row>
    <row r="40" spans="1:11">
      <c r="A40" s="236" t="s">
        <v>513</v>
      </c>
      <c r="B40" s="237"/>
      <c r="C40" s="237"/>
      <c r="D40" s="237"/>
      <c r="E40" s="237"/>
      <c r="F40" s="237"/>
      <c r="G40" s="237"/>
      <c r="H40" s="238"/>
      <c r="I40" s="239" t="str">
        <f t="shared" si="0"/>
        <v/>
      </c>
      <c r="J40" s="237"/>
      <c r="K40" s="237"/>
    </row>
    <row r="41" spans="1:11">
      <c r="A41" s="236" t="s">
        <v>514</v>
      </c>
      <c r="B41" s="237"/>
      <c r="C41" s="237"/>
      <c r="D41" s="237"/>
      <c r="E41" s="237"/>
      <c r="F41" s="237"/>
      <c r="G41" s="237"/>
      <c r="H41" s="238"/>
      <c r="I41" s="239" t="str">
        <f t="shared" si="0"/>
        <v/>
      </c>
      <c r="J41" s="237"/>
      <c r="K41" s="237"/>
    </row>
  </sheetData>
  <dataValidations count="1">
    <dataValidation type="list" allowBlank="1" showErrorMessage="1" errorTitle="Invalid entry" error="Please enter a valid value (see note above the column)." sqref="H13:H41" xr:uid="{00000000-0002-0000-4400-000000000000}">
      <formula1>"2,1,0"</formula1>
      <formula2>0</formula2>
    </dataValidation>
  </dataValidations>
  <hyperlinks>
    <hyperlink ref="G14" r:id="rId1" xr:uid="{4304AC4E-ADEB-4204-BE80-77E44A17F252}"/>
  </hyperlinks>
  <pageMargins left="0.75" right="0.75" top="1" bottom="1" header="0.511811023622047" footer="0.511811023622047"/>
  <pageSetup paperSize="9"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K41"/>
  <sheetViews>
    <sheetView topLeftCell="B11"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422</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promote environmental sustainability and climate resilience?</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0">
        <f>VLOOKUP($B$1,'UPD Questions_290926 '!$E$1:$N$300,MATCH($A$7,'UPD Questions_290926 '!$E$1:$N$1,0),0)</f>
        <v>2</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&gt;:&lt; Check whether development regulation promotes environmentally sustainable or climate-resilient development, including through standards, incentives, or enabling provisions relating to green buildings, energy efficiency, water conservation, permeability, green cover, rainwater management, heat mitigation, flood resilience, or development appropriate to environmentally sensitive areas.
Score 2:  Specific controls, standards or incentives actively promote environmental sustainability or climate resilience.
Score 1: The DCR protects environmentally sensitive/climate-vulnerable areas or imposes environmental restrictions, but does not contain a clear enabling/incentive provision.
Score 0 — No relevant environmental or climate-related development provision is found.
Note: A generic requirement to obtain environmental clearance based on project size does not, by itself, qualify as an enabling environmental/climate provision.
For example: Prohibiting construction within a lake buffer will score 1, whereas permeability/green-cover standards, incentives for green buildings, resilience-oriented development standards, and additional benefits for achieving specified environmental outcomes will score 2
Keywords for scorer: environment; climate; resilience; green building; green rating; GRIHA; IGBC; LEED; energy efficiency; solar; renewable energy; rainwater harvesting; stormwater; flood; floodplain; wetland; water body; lake; buffer; coastal; CRZ; groundwater; recharge; permeability; pervious; green cover; tree cover; open space; heat; cool roof; sustainable; FAR incentive; FSI incentive.</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Capture the text that mentions the broad provisions related to the theme and the incentives it offers</v>
      </c>
    </row>
    <row r="11" spans="1:11" ht="29.1">
      <c r="H11" s="232" t="s">
        <v>853</v>
      </c>
      <c r="I11" s="233" t="s">
        <v>783</v>
      </c>
    </row>
    <row r="12" spans="1:11" ht="60" customHeight="1">
      <c r="A12" s="234" t="s">
        <v>784</v>
      </c>
      <c r="B12" s="234" t="s">
        <v>785</v>
      </c>
      <c r="C12" s="234" t="s">
        <v>786</v>
      </c>
      <c r="D12" s="234" t="s">
        <v>787</v>
      </c>
      <c r="E12" s="234" t="s">
        <v>788</v>
      </c>
      <c r="F12" s="234" t="s">
        <v>789</v>
      </c>
      <c r="G12" s="234" t="s">
        <v>790</v>
      </c>
      <c r="H12" s="235" t="s">
        <v>854</v>
      </c>
      <c r="I12" s="233" t="s">
        <v>791</v>
      </c>
      <c r="J12" s="235" t="s">
        <v>792</v>
      </c>
      <c r="K12" s="235" t="s">
        <v>856</v>
      </c>
    </row>
    <row r="13" spans="1:11">
      <c r="A13" s="236" t="s">
        <v>486</v>
      </c>
      <c r="B13" s="237"/>
      <c r="C13" s="237"/>
      <c r="D13" s="237"/>
      <c r="E13" s="237"/>
      <c r="F13" s="237"/>
      <c r="G13" s="237"/>
      <c r="H13" s="238"/>
      <c r="I13" s="239" t="str">
        <f t="shared" ref="I13:I41" si="0">IF(H13="","",MIN(--H13,$C$7))</f>
        <v/>
      </c>
      <c r="J13" s="237"/>
      <c r="K13" s="237"/>
    </row>
    <row r="14" spans="1:11" ht="15">
      <c r="A14" s="236" t="s">
        <v>487</v>
      </c>
      <c r="B14" s="237"/>
      <c r="C14" s="237"/>
      <c r="D14" s="237"/>
      <c r="E14" s="237"/>
      <c r="F14" s="237"/>
      <c r="G14" s="244" t="s">
        <v>806</v>
      </c>
      <c r="H14" s="238">
        <v>0</v>
      </c>
      <c r="I14" s="239">
        <f t="shared" si="0"/>
        <v>0</v>
      </c>
      <c r="J14" s="237" t="s">
        <v>858</v>
      </c>
      <c r="K14" s="237"/>
    </row>
    <row r="15" spans="1:11">
      <c r="A15" s="236" t="s">
        <v>488</v>
      </c>
      <c r="B15" s="237"/>
      <c r="C15" s="237"/>
      <c r="D15" s="237"/>
      <c r="E15" s="237"/>
      <c r="F15" s="237"/>
      <c r="G15" s="237"/>
      <c r="H15" s="238"/>
      <c r="I15" s="239" t="str">
        <f t="shared" si="0"/>
        <v/>
      </c>
      <c r="J15" s="237"/>
      <c r="K15" s="237"/>
    </row>
    <row r="16" spans="1:11">
      <c r="A16" s="236" t="s">
        <v>489</v>
      </c>
      <c r="B16" s="237"/>
      <c r="C16" s="237"/>
      <c r="D16" s="237"/>
      <c r="E16" s="237"/>
      <c r="F16" s="237"/>
      <c r="G16" s="237"/>
      <c r="H16" s="238"/>
      <c r="I16" s="239" t="str">
        <f t="shared" si="0"/>
        <v/>
      </c>
      <c r="J16" s="237"/>
      <c r="K16" s="237"/>
    </row>
    <row r="17" spans="1:11">
      <c r="A17" s="236" t="s">
        <v>490</v>
      </c>
      <c r="B17" s="237"/>
      <c r="C17" s="237"/>
      <c r="D17" s="237"/>
      <c r="E17" s="237"/>
      <c r="F17" s="237"/>
      <c r="G17" s="237"/>
      <c r="H17" s="238"/>
      <c r="I17" s="239" t="str">
        <f t="shared" si="0"/>
        <v/>
      </c>
      <c r="J17" s="237"/>
      <c r="K17" s="237"/>
    </row>
    <row r="18" spans="1:11">
      <c r="A18" s="236" t="s">
        <v>491</v>
      </c>
      <c r="B18" s="237"/>
      <c r="C18" s="237"/>
      <c r="D18" s="237"/>
      <c r="E18" s="237"/>
      <c r="F18" s="237"/>
      <c r="G18" s="237"/>
      <c r="H18" s="238"/>
      <c r="I18" s="239" t="str">
        <f t="shared" si="0"/>
        <v/>
      </c>
      <c r="J18" s="237"/>
      <c r="K18" s="237"/>
    </row>
    <row r="19" spans="1:11">
      <c r="A19" s="236" t="s">
        <v>492</v>
      </c>
      <c r="B19" s="237"/>
      <c r="C19" s="237"/>
      <c r="D19" s="237"/>
      <c r="E19" s="237"/>
      <c r="F19" s="237"/>
      <c r="G19" s="237"/>
      <c r="H19" s="238"/>
      <c r="I19" s="239" t="str">
        <f t="shared" si="0"/>
        <v/>
      </c>
      <c r="J19" s="237"/>
      <c r="K19" s="237"/>
    </row>
    <row r="20" spans="1:11">
      <c r="A20" s="236" t="s">
        <v>493</v>
      </c>
      <c r="B20" s="237"/>
      <c r="C20" s="237"/>
      <c r="D20" s="237"/>
      <c r="E20" s="237"/>
      <c r="F20" s="237"/>
      <c r="G20" s="237"/>
      <c r="H20" s="238"/>
      <c r="I20" s="239" t="str">
        <f t="shared" si="0"/>
        <v/>
      </c>
      <c r="J20" s="237"/>
      <c r="K20" s="237"/>
    </row>
    <row r="21" spans="1:11">
      <c r="A21" s="236" t="s">
        <v>494</v>
      </c>
      <c r="B21" s="237"/>
      <c r="C21" s="237"/>
      <c r="D21" s="237"/>
      <c r="E21" s="237"/>
      <c r="F21" s="237"/>
      <c r="G21" s="237"/>
      <c r="H21" s="238"/>
      <c r="I21" s="239" t="str">
        <f t="shared" si="0"/>
        <v/>
      </c>
      <c r="J21" s="237"/>
      <c r="K21" s="237"/>
    </row>
    <row r="22" spans="1:11">
      <c r="A22" s="236" t="s">
        <v>495</v>
      </c>
      <c r="B22" s="237"/>
      <c r="C22" s="237"/>
      <c r="D22" s="237"/>
      <c r="E22" s="237"/>
      <c r="F22" s="237"/>
      <c r="G22" s="237"/>
      <c r="H22" s="238"/>
      <c r="I22" s="239" t="str">
        <f t="shared" si="0"/>
        <v/>
      </c>
      <c r="J22" s="237"/>
      <c r="K22" s="237"/>
    </row>
    <row r="23" spans="1:11">
      <c r="A23" s="236" t="s">
        <v>496</v>
      </c>
      <c r="B23" s="237"/>
      <c r="C23" s="237"/>
      <c r="D23" s="237"/>
      <c r="E23" s="237"/>
      <c r="F23" s="237"/>
      <c r="G23" s="237"/>
      <c r="H23" s="238"/>
      <c r="I23" s="239" t="str">
        <f t="shared" si="0"/>
        <v/>
      </c>
      <c r="J23" s="237"/>
      <c r="K23" s="237"/>
    </row>
    <row r="24" spans="1:11">
      <c r="A24" s="236" t="s">
        <v>497</v>
      </c>
      <c r="B24" s="237"/>
      <c r="C24" s="237"/>
      <c r="D24" s="237"/>
      <c r="E24" s="237"/>
      <c r="F24" s="237"/>
      <c r="G24" s="237"/>
      <c r="H24" s="238"/>
      <c r="I24" s="239" t="str">
        <f t="shared" si="0"/>
        <v/>
      </c>
      <c r="J24" s="237"/>
      <c r="K24" s="237"/>
    </row>
    <row r="25" spans="1:11">
      <c r="A25" s="236" t="s">
        <v>498</v>
      </c>
      <c r="B25" s="237"/>
      <c r="C25" s="237"/>
      <c r="D25" s="237"/>
      <c r="E25" s="237"/>
      <c r="F25" s="237"/>
      <c r="G25" s="237"/>
      <c r="H25" s="238"/>
      <c r="I25" s="239" t="str">
        <f t="shared" si="0"/>
        <v/>
      </c>
      <c r="J25" s="237"/>
      <c r="K25" s="237"/>
    </row>
    <row r="26" spans="1:11">
      <c r="A26" s="236" t="s">
        <v>499</v>
      </c>
      <c r="B26" s="237"/>
      <c r="C26" s="237"/>
      <c r="D26" s="237"/>
      <c r="E26" s="237"/>
      <c r="F26" s="237"/>
      <c r="G26" s="237"/>
      <c r="H26" s="238"/>
      <c r="I26" s="239" t="str">
        <f t="shared" si="0"/>
        <v/>
      </c>
      <c r="J26" s="237"/>
      <c r="K26" s="237"/>
    </row>
    <row r="27" spans="1:11">
      <c r="A27" s="236" t="s">
        <v>500</v>
      </c>
      <c r="B27" s="237"/>
      <c r="C27" s="237"/>
      <c r="D27" s="237"/>
      <c r="E27" s="237"/>
      <c r="F27" s="237"/>
      <c r="G27" s="237"/>
      <c r="H27" s="238"/>
      <c r="I27" s="239" t="str">
        <f t="shared" si="0"/>
        <v/>
      </c>
      <c r="J27" s="237"/>
      <c r="K27" s="237"/>
    </row>
    <row r="28" spans="1:11">
      <c r="A28" s="236" t="s">
        <v>501</v>
      </c>
      <c r="B28" s="237"/>
      <c r="C28" s="237"/>
      <c r="D28" s="237"/>
      <c r="E28" s="237"/>
      <c r="F28" s="237"/>
      <c r="G28" s="237"/>
      <c r="H28" s="238"/>
      <c r="I28" s="239" t="str">
        <f t="shared" si="0"/>
        <v/>
      </c>
      <c r="J28" s="237"/>
      <c r="K28" s="237"/>
    </row>
    <row r="29" spans="1:11">
      <c r="A29" s="236" t="s">
        <v>502</v>
      </c>
      <c r="B29" s="237"/>
      <c r="C29" s="237"/>
      <c r="D29" s="237"/>
      <c r="E29" s="237"/>
      <c r="F29" s="237"/>
      <c r="G29" s="237"/>
      <c r="H29" s="238"/>
      <c r="I29" s="239" t="str">
        <f t="shared" si="0"/>
        <v/>
      </c>
      <c r="J29" s="237"/>
      <c r="K29" s="237"/>
    </row>
    <row r="30" spans="1:11">
      <c r="A30" s="236" t="s">
        <v>503</v>
      </c>
      <c r="B30" s="237"/>
      <c r="C30" s="237"/>
      <c r="D30" s="237"/>
      <c r="E30" s="237"/>
      <c r="F30" s="237"/>
      <c r="G30" s="237"/>
      <c r="H30" s="238"/>
      <c r="I30" s="239" t="str">
        <f t="shared" si="0"/>
        <v/>
      </c>
      <c r="J30" s="237"/>
      <c r="K30" s="237"/>
    </row>
    <row r="31" spans="1:11">
      <c r="A31" s="236" t="s">
        <v>504</v>
      </c>
      <c r="B31" s="237"/>
      <c r="C31" s="237"/>
      <c r="D31" s="237"/>
      <c r="E31" s="237"/>
      <c r="F31" s="237"/>
      <c r="G31" s="237"/>
      <c r="H31" s="238"/>
      <c r="I31" s="239" t="str">
        <f t="shared" si="0"/>
        <v/>
      </c>
      <c r="J31" s="237"/>
      <c r="K31" s="237"/>
    </row>
    <row r="32" spans="1:11">
      <c r="A32" s="236" t="s">
        <v>505</v>
      </c>
      <c r="B32" s="237"/>
      <c r="C32" s="237"/>
      <c r="D32" s="237"/>
      <c r="E32" s="237"/>
      <c r="F32" s="237"/>
      <c r="G32" s="237"/>
      <c r="H32" s="238"/>
      <c r="I32" s="239" t="str">
        <f t="shared" si="0"/>
        <v/>
      </c>
      <c r="J32" s="237"/>
      <c r="K32" s="237"/>
    </row>
    <row r="33" spans="1:11">
      <c r="A33" s="236" t="s">
        <v>506</v>
      </c>
      <c r="B33" s="237"/>
      <c r="C33" s="237"/>
      <c r="D33" s="237"/>
      <c r="E33" s="237"/>
      <c r="F33" s="237"/>
      <c r="G33" s="237"/>
      <c r="H33" s="238"/>
      <c r="I33" s="239" t="str">
        <f t="shared" si="0"/>
        <v/>
      </c>
      <c r="J33" s="237"/>
      <c r="K33" s="237"/>
    </row>
    <row r="34" spans="1:11">
      <c r="A34" s="236" t="s">
        <v>507</v>
      </c>
      <c r="B34" s="237"/>
      <c r="C34" s="237"/>
      <c r="D34" s="237"/>
      <c r="E34" s="237"/>
      <c r="F34" s="237"/>
      <c r="G34" s="237"/>
      <c r="H34" s="238"/>
      <c r="I34" s="239" t="str">
        <f t="shared" si="0"/>
        <v/>
      </c>
      <c r="J34" s="237"/>
      <c r="K34" s="237"/>
    </row>
    <row r="35" spans="1:11">
      <c r="A35" s="236" t="s">
        <v>508</v>
      </c>
      <c r="B35" s="237"/>
      <c r="C35" s="237"/>
      <c r="D35" s="237"/>
      <c r="E35" s="237"/>
      <c r="F35" s="237"/>
      <c r="G35" s="237"/>
      <c r="H35" s="238"/>
      <c r="I35" s="239" t="str">
        <f t="shared" si="0"/>
        <v/>
      </c>
      <c r="J35" s="237"/>
      <c r="K35" s="237"/>
    </row>
    <row r="36" spans="1:11">
      <c r="A36" s="236" t="s">
        <v>509</v>
      </c>
      <c r="B36" s="237"/>
      <c r="C36" s="237"/>
      <c r="D36" s="237"/>
      <c r="E36" s="237"/>
      <c r="F36" s="237"/>
      <c r="G36" s="237"/>
      <c r="H36" s="238"/>
      <c r="I36" s="239" t="str">
        <f t="shared" si="0"/>
        <v/>
      </c>
      <c r="J36" s="237"/>
      <c r="K36" s="237"/>
    </row>
    <row r="37" spans="1:11">
      <c r="A37" s="236" t="s">
        <v>510</v>
      </c>
      <c r="B37" s="237"/>
      <c r="C37" s="237"/>
      <c r="D37" s="237"/>
      <c r="E37" s="237"/>
      <c r="F37" s="237"/>
      <c r="G37" s="237"/>
      <c r="H37" s="238"/>
      <c r="I37" s="239" t="str">
        <f t="shared" si="0"/>
        <v/>
      </c>
      <c r="J37" s="237"/>
      <c r="K37" s="237"/>
    </row>
    <row r="38" spans="1:11">
      <c r="A38" s="236" t="s">
        <v>511</v>
      </c>
      <c r="B38" s="237"/>
      <c r="C38" s="237"/>
      <c r="D38" s="237"/>
      <c r="E38" s="237"/>
      <c r="F38" s="237"/>
      <c r="G38" s="237"/>
      <c r="H38" s="238"/>
      <c r="I38" s="239" t="str">
        <f t="shared" si="0"/>
        <v/>
      </c>
      <c r="J38" s="237"/>
      <c r="K38" s="237"/>
    </row>
    <row r="39" spans="1:11">
      <c r="A39" s="236" t="s">
        <v>512</v>
      </c>
      <c r="B39" s="237"/>
      <c r="C39" s="237"/>
      <c r="D39" s="237"/>
      <c r="E39" s="237"/>
      <c r="F39" s="237"/>
      <c r="G39" s="237"/>
      <c r="H39" s="238"/>
      <c r="I39" s="239" t="str">
        <f t="shared" si="0"/>
        <v/>
      </c>
      <c r="J39" s="237"/>
      <c r="K39" s="237"/>
    </row>
    <row r="40" spans="1:11">
      <c r="A40" s="236" t="s">
        <v>513</v>
      </c>
      <c r="B40" s="237"/>
      <c r="C40" s="237"/>
      <c r="D40" s="237"/>
      <c r="E40" s="237"/>
      <c r="F40" s="237"/>
      <c r="G40" s="237"/>
      <c r="H40" s="238"/>
      <c r="I40" s="239" t="str">
        <f t="shared" si="0"/>
        <v/>
      </c>
      <c r="J40" s="237"/>
      <c r="K40" s="237"/>
    </row>
    <row r="41" spans="1:11">
      <c r="A41" s="236" t="s">
        <v>514</v>
      </c>
      <c r="B41" s="237"/>
      <c r="C41" s="237"/>
      <c r="D41" s="237"/>
      <c r="E41" s="237"/>
      <c r="F41" s="237"/>
      <c r="G41" s="237"/>
      <c r="H41" s="238"/>
      <c r="I41" s="239" t="str">
        <f t="shared" si="0"/>
        <v/>
      </c>
      <c r="J41" s="237"/>
      <c r="K41" s="237"/>
    </row>
  </sheetData>
  <dataValidations count="1">
    <dataValidation type="list" allowBlank="1" showErrorMessage="1" errorTitle="Invalid entry" error="Please enter a valid value (see note above the column)." sqref="H13:H41" xr:uid="{00000000-0002-0000-4500-000000000000}">
      <formula1>"2,1,0"</formula1>
      <formula2>0</formula2>
    </dataValidation>
  </dataValidations>
  <hyperlinks>
    <hyperlink ref="G14" r:id="rId1" xr:uid="{40DFB618-42F2-4D61-B683-E1994D686003}"/>
  </hyperlinks>
  <pageMargins left="0.75" right="0.75" top="1" bottom="1" header="0.511811023622047" footer="0.511811023622047"/>
  <pageSetup paperSize="9"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K41"/>
  <sheetViews>
    <sheetView topLeftCell="B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427</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or standards that promote positive public-health outcomes?</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0">
        <f>VLOOKUP($B$1,'UPD Questions_290926 '!$E$1:$N$300,MATCH($A$7,'UPD Questions_290926 '!$E$1:$N$1,0),0)</f>
        <v>2</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&gt;:&lt; Check whether development regulation promotes positive public-health outcomes through controls, standards or enabling provisions relating to ventilation and natural light, sanitation, overcrowding/density, separation of hazardous or incompatible uses, buffers from polluting activities, or other health-related spatial risks.
Score 2: Specific development controls or standards actively promote positive public-health outcomes beyond routine minimum building requirements are mentioned in two or more places.
Score 1: The DCR/building regulations prescribe basic or minimum requirements relating to ventilation/light, sanitation, density, hazardous uses or separation from polluting activities, but do not contain additional provisions aimed at improving public-health outcomes. Identify atleast two or more such provisions.
Score 0: No relevant development control or standard addressing public-health-related spatial risks is found.
Note: Routine building requirements that establish minimum standards for individual buildings should not, by themselves, receive Score 2. Award the full score where development regulation goes beyond these basic requirements to address a broader public-health outcome or spatial risk.
For example: A general requirement prescribing minimum window area or provision of toilets for buildings will score 1, whereas specific controls addressing overcrowding, density in relation to health, buffers/separation distances from hazardous or polluting uses, enhanced ventilation/light standards for identified contexts, or other development standards explicitly addressing health-related spatial risks will score 2.
Keywords for scorer: public health; health; sanitation; ventilation; natural ventilation; light; natural light; lighting; overcrowding; density; occupancy; hazardous use; hazardous industry; noxious; polluting; pollution; buffer; buffer zone; separation distance; setback; incompatible use; industrial use; industrial hazard; waste; solid waste; sewerage; toilet; latrine; open space; health hazard.</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Please capture the text that mentions the broad provisions related to the theme and the incentives it offers clearly </v>
      </c>
    </row>
    <row r="11" spans="1:11" ht="29.1">
      <c r="H11" s="232" t="s">
        <v>853</v>
      </c>
      <c r="I11" s="233" t="s">
        <v>783</v>
      </c>
    </row>
    <row r="12" spans="1:11" ht="60" customHeight="1">
      <c r="A12" s="234" t="s">
        <v>784</v>
      </c>
      <c r="B12" s="234" t="s">
        <v>785</v>
      </c>
      <c r="C12" s="234" t="s">
        <v>786</v>
      </c>
      <c r="D12" s="234" t="s">
        <v>787</v>
      </c>
      <c r="E12" s="234" t="s">
        <v>788</v>
      </c>
      <c r="F12" s="234" t="s">
        <v>789</v>
      </c>
      <c r="G12" s="234" t="s">
        <v>790</v>
      </c>
      <c r="H12" s="235" t="s">
        <v>854</v>
      </c>
      <c r="I12" s="233" t="s">
        <v>791</v>
      </c>
      <c r="J12" s="235" t="s">
        <v>792</v>
      </c>
      <c r="K12" s="235" t="s">
        <v>856</v>
      </c>
    </row>
    <row r="13" spans="1:11">
      <c r="A13" s="236" t="s">
        <v>486</v>
      </c>
      <c r="B13" s="237"/>
      <c r="C13" s="237"/>
      <c r="D13" s="237"/>
      <c r="E13" s="237"/>
      <c r="F13" s="237"/>
      <c r="G13" s="237"/>
      <c r="H13" s="238"/>
      <c r="I13" s="239" t="str">
        <f t="shared" ref="I13:I41" si="0">IF(H13="","",MIN(--H13,$C$7))</f>
        <v/>
      </c>
      <c r="J13" s="237"/>
      <c r="K13" s="237"/>
    </row>
    <row r="14" spans="1:11" ht="15">
      <c r="A14" s="236" t="s">
        <v>487</v>
      </c>
      <c r="B14" s="237"/>
      <c r="C14" s="237"/>
      <c r="D14" s="237"/>
      <c r="E14" s="237"/>
      <c r="F14" s="237"/>
      <c r="G14" s="244" t="s">
        <v>806</v>
      </c>
      <c r="H14" s="238">
        <v>0</v>
      </c>
      <c r="I14" s="239">
        <f t="shared" si="0"/>
        <v>0</v>
      </c>
      <c r="J14" s="237" t="s">
        <v>859</v>
      </c>
      <c r="K14" s="237"/>
    </row>
    <row r="15" spans="1:11">
      <c r="A15" s="236" t="s">
        <v>488</v>
      </c>
      <c r="B15" s="237"/>
      <c r="C15" s="237"/>
      <c r="D15" s="237"/>
      <c r="E15" s="237"/>
      <c r="F15" s="237"/>
      <c r="G15" s="237"/>
      <c r="H15" s="238"/>
      <c r="I15" s="239" t="str">
        <f t="shared" si="0"/>
        <v/>
      </c>
      <c r="J15" s="237"/>
      <c r="K15" s="237"/>
    </row>
    <row r="16" spans="1:11">
      <c r="A16" s="236" t="s">
        <v>489</v>
      </c>
      <c r="B16" s="237"/>
      <c r="C16" s="237"/>
      <c r="D16" s="237"/>
      <c r="E16" s="237"/>
      <c r="F16" s="237"/>
      <c r="G16" s="237"/>
      <c r="H16" s="238"/>
      <c r="I16" s="239" t="str">
        <f t="shared" si="0"/>
        <v/>
      </c>
      <c r="J16" s="237"/>
      <c r="K16" s="237"/>
    </row>
    <row r="17" spans="1:11">
      <c r="A17" s="236" t="s">
        <v>490</v>
      </c>
      <c r="B17" s="237"/>
      <c r="C17" s="237"/>
      <c r="D17" s="237"/>
      <c r="E17" s="237"/>
      <c r="F17" s="237"/>
      <c r="G17" s="237"/>
      <c r="H17" s="238"/>
      <c r="I17" s="239" t="str">
        <f t="shared" si="0"/>
        <v/>
      </c>
      <c r="J17" s="237"/>
      <c r="K17" s="237"/>
    </row>
    <row r="18" spans="1:11">
      <c r="A18" s="236" t="s">
        <v>491</v>
      </c>
      <c r="B18" s="237"/>
      <c r="C18" s="237"/>
      <c r="D18" s="237"/>
      <c r="E18" s="237"/>
      <c r="F18" s="237"/>
      <c r="G18" s="237"/>
      <c r="H18" s="238"/>
      <c r="I18" s="239" t="str">
        <f t="shared" si="0"/>
        <v/>
      </c>
      <c r="J18" s="237"/>
      <c r="K18" s="237"/>
    </row>
    <row r="19" spans="1:11">
      <c r="A19" s="236" t="s">
        <v>492</v>
      </c>
      <c r="B19" s="237"/>
      <c r="C19" s="237"/>
      <c r="D19" s="237"/>
      <c r="E19" s="237"/>
      <c r="F19" s="237"/>
      <c r="G19" s="237"/>
      <c r="H19" s="238"/>
      <c r="I19" s="239" t="str">
        <f t="shared" si="0"/>
        <v/>
      </c>
      <c r="J19" s="237"/>
      <c r="K19" s="237"/>
    </row>
    <row r="20" spans="1:11">
      <c r="A20" s="236" t="s">
        <v>493</v>
      </c>
      <c r="B20" s="237"/>
      <c r="C20" s="237"/>
      <c r="D20" s="237"/>
      <c r="E20" s="237"/>
      <c r="F20" s="237"/>
      <c r="G20" s="237"/>
      <c r="H20" s="238"/>
      <c r="I20" s="239" t="str">
        <f t="shared" si="0"/>
        <v/>
      </c>
      <c r="J20" s="237"/>
      <c r="K20" s="237"/>
    </row>
    <row r="21" spans="1:11">
      <c r="A21" s="236" t="s">
        <v>494</v>
      </c>
      <c r="B21" s="237"/>
      <c r="C21" s="237"/>
      <c r="D21" s="237"/>
      <c r="E21" s="237"/>
      <c r="F21" s="237"/>
      <c r="G21" s="237"/>
      <c r="H21" s="238"/>
      <c r="I21" s="239" t="str">
        <f t="shared" si="0"/>
        <v/>
      </c>
      <c r="J21" s="237"/>
      <c r="K21" s="237"/>
    </row>
    <row r="22" spans="1:11">
      <c r="A22" s="236" t="s">
        <v>495</v>
      </c>
      <c r="B22" s="237"/>
      <c r="C22" s="237"/>
      <c r="D22" s="237"/>
      <c r="E22" s="237"/>
      <c r="F22" s="237"/>
      <c r="G22" s="237"/>
      <c r="H22" s="238"/>
      <c r="I22" s="239" t="str">
        <f t="shared" si="0"/>
        <v/>
      </c>
      <c r="J22" s="237"/>
      <c r="K22" s="237"/>
    </row>
    <row r="23" spans="1:11">
      <c r="A23" s="236" t="s">
        <v>496</v>
      </c>
      <c r="B23" s="237"/>
      <c r="C23" s="237"/>
      <c r="D23" s="237"/>
      <c r="E23" s="237"/>
      <c r="F23" s="237"/>
      <c r="G23" s="237"/>
      <c r="H23" s="238"/>
      <c r="I23" s="239" t="str">
        <f t="shared" si="0"/>
        <v/>
      </c>
      <c r="J23" s="237"/>
      <c r="K23" s="237"/>
    </row>
    <row r="24" spans="1:11">
      <c r="A24" s="236" t="s">
        <v>497</v>
      </c>
      <c r="B24" s="237"/>
      <c r="C24" s="237"/>
      <c r="D24" s="237"/>
      <c r="E24" s="237"/>
      <c r="F24" s="237"/>
      <c r="G24" s="237"/>
      <c r="H24" s="238"/>
      <c r="I24" s="239" t="str">
        <f t="shared" si="0"/>
        <v/>
      </c>
      <c r="J24" s="237"/>
      <c r="K24" s="237"/>
    </row>
    <row r="25" spans="1:11">
      <c r="A25" s="236" t="s">
        <v>498</v>
      </c>
      <c r="B25" s="237"/>
      <c r="C25" s="237"/>
      <c r="D25" s="237"/>
      <c r="E25" s="237"/>
      <c r="F25" s="237"/>
      <c r="G25" s="237"/>
      <c r="H25" s="238"/>
      <c r="I25" s="239" t="str">
        <f t="shared" si="0"/>
        <v/>
      </c>
      <c r="J25" s="237"/>
      <c r="K25" s="237"/>
    </row>
    <row r="26" spans="1:11">
      <c r="A26" s="236" t="s">
        <v>499</v>
      </c>
      <c r="B26" s="237"/>
      <c r="C26" s="237"/>
      <c r="D26" s="237"/>
      <c r="E26" s="237"/>
      <c r="F26" s="237"/>
      <c r="G26" s="237"/>
      <c r="H26" s="238"/>
      <c r="I26" s="239" t="str">
        <f t="shared" si="0"/>
        <v/>
      </c>
      <c r="J26" s="237"/>
      <c r="K26" s="237"/>
    </row>
    <row r="27" spans="1:11">
      <c r="A27" s="236" t="s">
        <v>500</v>
      </c>
      <c r="B27" s="237"/>
      <c r="C27" s="237"/>
      <c r="D27" s="237"/>
      <c r="E27" s="237"/>
      <c r="F27" s="237"/>
      <c r="G27" s="237"/>
      <c r="H27" s="238"/>
      <c r="I27" s="239" t="str">
        <f t="shared" si="0"/>
        <v/>
      </c>
      <c r="J27" s="237"/>
      <c r="K27" s="237"/>
    </row>
    <row r="28" spans="1:11">
      <c r="A28" s="236" t="s">
        <v>501</v>
      </c>
      <c r="B28" s="237"/>
      <c r="C28" s="237"/>
      <c r="D28" s="237"/>
      <c r="E28" s="237"/>
      <c r="F28" s="237"/>
      <c r="G28" s="237"/>
      <c r="H28" s="238"/>
      <c r="I28" s="239" t="str">
        <f t="shared" si="0"/>
        <v/>
      </c>
      <c r="J28" s="237"/>
      <c r="K28" s="237"/>
    </row>
    <row r="29" spans="1:11">
      <c r="A29" s="236" t="s">
        <v>502</v>
      </c>
      <c r="B29" s="237"/>
      <c r="C29" s="237"/>
      <c r="D29" s="237"/>
      <c r="E29" s="237"/>
      <c r="F29" s="237"/>
      <c r="G29" s="237"/>
      <c r="H29" s="238"/>
      <c r="I29" s="239" t="str">
        <f t="shared" si="0"/>
        <v/>
      </c>
      <c r="J29" s="237"/>
      <c r="K29" s="237"/>
    </row>
    <row r="30" spans="1:11">
      <c r="A30" s="236" t="s">
        <v>503</v>
      </c>
      <c r="B30" s="237"/>
      <c r="C30" s="237"/>
      <c r="D30" s="237"/>
      <c r="E30" s="237"/>
      <c r="F30" s="237"/>
      <c r="G30" s="237"/>
      <c r="H30" s="238"/>
      <c r="I30" s="239" t="str">
        <f t="shared" si="0"/>
        <v/>
      </c>
      <c r="J30" s="237"/>
      <c r="K30" s="237"/>
    </row>
    <row r="31" spans="1:11">
      <c r="A31" s="236" t="s">
        <v>504</v>
      </c>
      <c r="B31" s="237"/>
      <c r="C31" s="237"/>
      <c r="D31" s="237"/>
      <c r="E31" s="237"/>
      <c r="F31" s="237"/>
      <c r="G31" s="237"/>
      <c r="H31" s="238"/>
      <c r="I31" s="239" t="str">
        <f t="shared" si="0"/>
        <v/>
      </c>
      <c r="J31" s="237"/>
      <c r="K31" s="237"/>
    </row>
    <row r="32" spans="1:11">
      <c r="A32" s="236" t="s">
        <v>505</v>
      </c>
      <c r="B32" s="237"/>
      <c r="C32" s="237"/>
      <c r="D32" s="237"/>
      <c r="E32" s="237"/>
      <c r="F32" s="237"/>
      <c r="G32" s="237"/>
      <c r="H32" s="238"/>
      <c r="I32" s="239" t="str">
        <f t="shared" si="0"/>
        <v/>
      </c>
      <c r="J32" s="237"/>
      <c r="K32" s="237"/>
    </row>
    <row r="33" spans="1:11">
      <c r="A33" s="236" t="s">
        <v>506</v>
      </c>
      <c r="B33" s="237"/>
      <c r="C33" s="237"/>
      <c r="D33" s="237"/>
      <c r="E33" s="237"/>
      <c r="F33" s="237"/>
      <c r="G33" s="237"/>
      <c r="H33" s="238"/>
      <c r="I33" s="239" t="str">
        <f t="shared" si="0"/>
        <v/>
      </c>
      <c r="J33" s="237"/>
      <c r="K33" s="237"/>
    </row>
    <row r="34" spans="1:11">
      <c r="A34" s="236" t="s">
        <v>507</v>
      </c>
      <c r="B34" s="237"/>
      <c r="C34" s="237"/>
      <c r="D34" s="237"/>
      <c r="E34" s="237"/>
      <c r="F34" s="237"/>
      <c r="G34" s="237"/>
      <c r="H34" s="238"/>
      <c r="I34" s="239" t="str">
        <f t="shared" si="0"/>
        <v/>
      </c>
      <c r="J34" s="237"/>
      <c r="K34" s="237"/>
    </row>
    <row r="35" spans="1:11">
      <c r="A35" s="236" t="s">
        <v>508</v>
      </c>
      <c r="B35" s="237"/>
      <c r="C35" s="237"/>
      <c r="D35" s="237"/>
      <c r="E35" s="237"/>
      <c r="F35" s="237"/>
      <c r="G35" s="237"/>
      <c r="H35" s="238"/>
      <c r="I35" s="239" t="str">
        <f t="shared" si="0"/>
        <v/>
      </c>
      <c r="J35" s="237"/>
      <c r="K35" s="237"/>
    </row>
    <row r="36" spans="1:11">
      <c r="A36" s="236" t="s">
        <v>509</v>
      </c>
      <c r="B36" s="237"/>
      <c r="C36" s="237"/>
      <c r="D36" s="237"/>
      <c r="E36" s="237"/>
      <c r="F36" s="237"/>
      <c r="G36" s="237"/>
      <c r="H36" s="238"/>
      <c r="I36" s="239" t="str">
        <f t="shared" si="0"/>
        <v/>
      </c>
      <c r="J36" s="237"/>
      <c r="K36" s="237"/>
    </row>
    <row r="37" spans="1:11">
      <c r="A37" s="236" t="s">
        <v>510</v>
      </c>
      <c r="B37" s="237"/>
      <c r="C37" s="237"/>
      <c r="D37" s="237"/>
      <c r="E37" s="237"/>
      <c r="F37" s="237"/>
      <c r="G37" s="237"/>
      <c r="H37" s="238"/>
      <c r="I37" s="239" t="str">
        <f t="shared" si="0"/>
        <v/>
      </c>
      <c r="J37" s="237"/>
      <c r="K37" s="237"/>
    </row>
    <row r="38" spans="1:11">
      <c r="A38" s="236" t="s">
        <v>511</v>
      </c>
      <c r="B38" s="237"/>
      <c r="C38" s="237"/>
      <c r="D38" s="237"/>
      <c r="E38" s="237"/>
      <c r="F38" s="237"/>
      <c r="G38" s="237"/>
      <c r="H38" s="238"/>
      <c r="I38" s="239" t="str">
        <f t="shared" si="0"/>
        <v/>
      </c>
      <c r="J38" s="237"/>
      <c r="K38" s="237"/>
    </row>
    <row r="39" spans="1:11">
      <c r="A39" s="236" t="s">
        <v>512</v>
      </c>
      <c r="B39" s="237"/>
      <c r="C39" s="237"/>
      <c r="D39" s="237"/>
      <c r="E39" s="237"/>
      <c r="F39" s="237"/>
      <c r="G39" s="237"/>
      <c r="H39" s="238"/>
      <c r="I39" s="239" t="str">
        <f t="shared" si="0"/>
        <v/>
      </c>
      <c r="J39" s="237"/>
      <c r="K39" s="237"/>
    </row>
    <row r="40" spans="1:11">
      <c r="A40" s="236" t="s">
        <v>513</v>
      </c>
      <c r="B40" s="237"/>
      <c r="C40" s="237"/>
      <c r="D40" s="237"/>
      <c r="E40" s="237"/>
      <c r="F40" s="237"/>
      <c r="G40" s="237"/>
      <c r="H40" s="238"/>
      <c r="I40" s="239" t="str">
        <f t="shared" si="0"/>
        <v/>
      </c>
      <c r="J40" s="237"/>
      <c r="K40" s="237"/>
    </row>
    <row r="41" spans="1:11">
      <c r="A41" s="236" t="s">
        <v>514</v>
      </c>
      <c r="B41" s="237"/>
      <c r="C41" s="237"/>
      <c r="D41" s="237"/>
      <c r="E41" s="237"/>
      <c r="F41" s="237"/>
      <c r="G41" s="237"/>
      <c r="H41" s="238"/>
      <c r="I41" s="239" t="str">
        <f t="shared" si="0"/>
        <v/>
      </c>
      <c r="J41" s="237"/>
      <c r="K41" s="237"/>
    </row>
  </sheetData>
  <dataValidations count="1">
    <dataValidation type="list" allowBlank="1" showErrorMessage="1" errorTitle="Invalid entry" error="Please enter a valid value (see note above the column)." sqref="H13:H41" xr:uid="{00000000-0002-0000-4600-000000000000}">
      <formula1>"2,1,0"</formula1>
      <formula2>0</formula2>
    </dataValidation>
  </dataValidations>
  <hyperlinks>
    <hyperlink ref="G14" r:id="rId1" xr:uid="{C0A3EE6C-4C7E-47AB-8757-05D4EDB36431}"/>
  </hyperlinks>
  <pageMargins left="0.75" right="0.75" top="1" bottom="1" header="0.511811023622047" footer="0.511811023622047"/>
  <pageSetup paperSize="9"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K41"/>
  <sheetViews>
    <sheetView topLeftCell="A9" zoomScaleNormal="100" workbookViewId="0">
      <selection activeCell="G14" sqref="G14"/>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 min="11" max="11" width="30" customWidth="1"/>
  </cols>
  <sheetData>
    <row r="1" spans="1:11">
      <c r="A1" s="228" t="s">
        <v>777</v>
      </c>
      <c r="B1" s="228" t="s">
        <v>431</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enable the conservation and adaptive reuse of heritage buildings, precincts or historic areas?</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0">
        <f>VLOOKUP($B$1,'UPD Questions_290926 '!$E$1:$N$300,MATCH($A$7,'UPD Questions_290926 '!$E$1:$N$1,0),0)</f>
        <v>2</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&gt;:&lt; Check whether development regulation enables or incentivises the conservation, restoration, continued use or adaptive reuse of heritage buildings, precincts or historic areas, including through transferable development rights (TDR), additional/transferable FAR or FSI, relaxation of setbacks or parking requirements, permission for compatible alternative uses, adaptive reuse provisions, financial/development incentives, or other regulatory flexibility linked to heritage conservation.
Score 2: Specific controls, standards, relaxations or incentives actively enable or incentivise conservation, restoration, continued use or adaptive reuse of heritage buildings/areas are mentioned in atleast two or more such provisions. 
Score 1: The DCR protects heritage buildings/areas through restrictions or approval requirements. For example, restrictions on demolition, alteration, height, façade or development within heritage precincts, but does not contain provisions that actively enable or incentivise conservation or adaptive reuse. Identify atleast two or more such provisions. 
Score 0: No heritage-specific development control, standard or incentive is found.
Note: Merely identifying/listing heritage buildings or requiring permission from a heritage conservation committee or other authority does not qualify for score 2 unless the DCR also provides an enabling or incentivising development provision. For example: Requiring heritage committee approval before alteration/demolition will score 1, whereas permitting adaptive reuse, granting TDR/development rights, allowing compatible alternative uses, or relaxing parking/setback requirements to facilitate conservation will score 2.
Keywords for scorer: heritage; heritage building; listed building; heritage precinct; historic; historic core; conservation; preservation; restoration; adaptive reuse; reuse; change of use; alternative use; special character; heritage committee; demolition; alteration; façade; TDR; transferable development rights; FAR; FSI; incentive; parking relaxation; setback relaxation.</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Note: Please capture the text that mentions the broad provisions related to the theme and the incentives it offers clearly </v>
      </c>
    </row>
    <row r="11" spans="1:11" ht="29.1">
      <c r="H11" s="232" t="s">
        <v>853</v>
      </c>
      <c r="I11" s="233" t="s">
        <v>783</v>
      </c>
    </row>
    <row r="12" spans="1:11" ht="60" customHeight="1">
      <c r="A12" s="234" t="s">
        <v>784</v>
      </c>
      <c r="B12" s="234" t="s">
        <v>785</v>
      </c>
      <c r="C12" s="234" t="s">
        <v>786</v>
      </c>
      <c r="D12" s="234" t="s">
        <v>787</v>
      </c>
      <c r="E12" s="234" t="s">
        <v>788</v>
      </c>
      <c r="F12" s="234" t="s">
        <v>789</v>
      </c>
      <c r="G12" s="234" t="s">
        <v>790</v>
      </c>
      <c r="H12" s="235" t="s">
        <v>854</v>
      </c>
      <c r="I12" s="233" t="s">
        <v>791</v>
      </c>
      <c r="J12" s="235" t="s">
        <v>792</v>
      </c>
      <c r="K12" s="235" t="s">
        <v>856</v>
      </c>
    </row>
    <row r="13" spans="1:11">
      <c r="A13" s="236" t="s">
        <v>486</v>
      </c>
      <c r="B13" s="237"/>
      <c r="C13" s="237"/>
      <c r="D13" s="237"/>
      <c r="E13" s="237"/>
      <c r="F13" s="237"/>
      <c r="G13" s="237"/>
      <c r="H13" s="238"/>
      <c r="I13" s="239" t="str">
        <f t="shared" ref="I13:I41" si="0">IF(H13="","",MIN(--H13,$C$7))</f>
        <v/>
      </c>
      <c r="J13" s="237"/>
      <c r="K13" s="237"/>
    </row>
    <row r="14" spans="1:11" ht="15">
      <c r="A14" s="236" t="s">
        <v>487</v>
      </c>
      <c r="B14" s="237"/>
      <c r="C14" s="237"/>
      <c r="D14" s="237"/>
      <c r="E14" s="237"/>
      <c r="F14" s="237"/>
      <c r="G14" s="244" t="s">
        <v>806</v>
      </c>
      <c r="H14" s="238">
        <v>0</v>
      </c>
      <c r="I14" s="239">
        <f t="shared" si="0"/>
        <v>0</v>
      </c>
      <c r="J14" s="237" t="s">
        <v>860</v>
      </c>
      <c r="K14" s="237"/>
    </row>
    <row r="15" spans="1:11">
      <c r="A15" s="236" t="s">
        <v>488</v>
      </c>
      <c r="B15" s="237"/>
      <c r="C15" s="237"/>
      <c r="D15" s="237"/>
      <c r="E15" s="237"/>
      <c r="F15" s="237"/>
      <c r="G15" s="237"/>
      <c r="H15" s="238"/>
      <c r="I15" s="239" t="str">
        <f t="shared" si="0"/>
        <v/>
      </c>
      <c r="J15" s="237"/>
      <c r="K15" s="237"/>
    </row>
    <row r="16" spans="1:11">
      <c r="A16" s="236" t="s">
        <v>489</v>
      </c>
      <c r="B16" s="237"/>
      <c r="C16" s="237"/>
      <c r="D16" s="237"/>
      <c r="E16" s="237"/>
      <c r="F16" s="237"/>
      <c r="G16" s="237"/>
      <c r="H16" s="238"/>
      <c r="I16" s="239" t="str">
        <f t="shared" si="0"/>
        <v/>
      </c>
      <c r="J16" s="237"/>
      <c r="K16" s="237"/>
    </row>
    <row r="17" spans="1:11">
      <c r="A17" s="236" t="s">
        <v>490</v>
      </c>
      <c r="B17" s="237"/>
      <c r="C17" s="237"/>
      <c r="D17" s="237"/>
      <c r="E17" s="237"/>
      <c r="F17" s="237"/>
      <c r="G17" s="237"/>
      <c r="H17" s="238"/>
      <c r="I17" s="239" t="str">
        <f t="shared" si="0"/>
        <v/>
      </c>
      <c r="J17" s="237"/>
      <c r="K17" s="237"/>
    </row>
    <row r="18" spans="1:11">
      <c r="A18" s="236" t="s">
        <v>491</v>
      </c>
      <c r="B18" s="237"/>
      <c r="C18" s="237"/>
      <c r="D18" s="237"/>
      <c r="E18" s="237"/>
      <c r="F18" s="237"/>
      <c r="G18" s="237"/>
      <c r="H18" s="238"/>
      <c r="I18" s="239" t="str">
        <f t="shared" si="0"/>
        <v/>
      </c>
      <c r="J18" s="237"/>
      <c r="K18" s="237"/>
    </row>
    <row r="19" spans="1:11">
      <c r="A19" s="236" t="s">
        <v>492</v>
      </c>
      <c r="B19" s="237"/>
      <c r="C19" s="237"/>
      <c r="D19" s="237"/>
      <c r="E19" s="237"/>
      <c r="F19" s="237"/>
      <c r="G19" s="237"/>
      <c r="H19" s="238"/>
      <c r="I19" s="239" t="str">
        <f t="shared" si="0"/>
        <v/>
      </c>
      <c r="J19" s="237"/>
      <c r="K19" s="237"/>
    </row>
    <row r="20" spans="1:11">
      <c r="A20" s="236" t="s">
        <v>493</v>
      </c>
      <c r="B20" s="237"/>
      <c r="C20" s="237"/>
      <c r="D20" s="237"/>
      <c r="E20" s="237"/>
      <c r="F20" s="237"/>
      <c r="G20" s="237"/>
      <c r="H20" s="238"/>
      <c r="I20" s="239" t="str">
        <f t="shared" si="0"/>
        <v/>
      </c>
      <c r="J20" s="237"/>
      <c r="K20" s="237"/>
    </row>
    <row r="21" spans="1:11">
      <c r="A21" s="236" t="s">
        <v>494</v>
      </c>
      <c r="B21" s="237"/>
      <c r="C21" s="237"/>
      <c r="D21" s="237"/>
      <c r="E21" s="237"/>
      <c r="F21" s="237"/>
      <c r="G21" s="237"/>
      <c r="H21" s="238"/>
      <c r="I21" s="239" t="str">
        <f t="shared" si="0"/>
        <v/>
      </c>
      <c r="J21" s="237"/>
      <c r="K21" s="237"/>
    </row>
    <row r="22" spans="1:11">
      <c r="A22" s="236" t="s">
        <v>495</v>
      </c>
      <c r="B22" s="237"/>
      <c r="C22" s="237"/>
      <c r="D22" s="237"/>
      <c r="E22" s="237"/>
      <c r="F22" s="237"/>
      <c r="G22" s="237"/>
      <c r="H22" s="238"/>
      <c r="I22" s="239" t="str">
        <f t="shared" si="0"/>
        <v/>
      </c>
      <c r="J22" s="237"/>
      <c r="K22" s="237"/>
    </row>
    <row r="23" spans="1:11">
      <c r="A23" s="236" t="s">
        <v>496</v>
      </c>
      <c r="B23" s="237"/>
      <c r="C23" s="237"/>
      <c r="D23" s="237"/>
      <c r="E23" s="237"/>
      <c r="F23" s="237"/>
      <c r="G23" s="237"/>
      <c r="H23" s="238"/>
      <c r="I23" s="239" t="str">
        <f t="shared" si="0"/>
        <v/>
      </c>
      <c r="J23" s="237"/>
      <c r="K23" s="237"/>
    </row>
    <row r="24" spans="1:11">
      <c r="A24" s="236" t="s">
        <v>497</v>
      </c>
      <c r="B24" s="237"/>
      <c r="C24" s="237"/>
      <c r="D24" s="237"/>
      <c r="E24" s="237"/>
      <c r="F24" s="237"/>
      <c r="G24" s="237"/>
      <c r="H24" s="238"/>
      <c r="I24" s="239" t="str">
        <f t="shared" si="0"/>
        <v/>
      </c>
      <c r="J24" s="237"/>
      <c r="K24" s="237"/>
    </row>
    <row r="25" spans="1:11">
      <c r="A25" s="236" t="s">
        <v>498</v>
      </c>
      <c r="B25" s="237"/>
      <c r="C25" s="237"/>
      <c r="D25" s="237"/>
      <c r="E25" s="237"/>
      <c r="F25" s="237"/>
      <c r="G25" s="237"/>
      <c r="H25" s="238"/>
      <c r="I25" s="239" t="str">
        <f t="shared" si="0"/>
        <v/>
      </c>
      <c r="J25" s="237"/>
      <c r="K25" s="237"/>
    </row>
    <row r="26" spans="1:11">
      <c r="A26" s="236" t="s">
        <v>499</v>
      </c>
      <c r="B26" s="237"/>
      <c r="C26" s="237"/>
      <c r="D26" s="237"/>
      <c r="E26" s="237"/>
      <c r="F26" s="237"/>
      <c r="G26" s="237"/>
      <c r="H26" s="238"/>
      <c r="I26" s="239" t="str">
        <f t="shared" si="0"/>
        <v/>
      </c>
      <c r="J26" s="237"/>
      <c r="K26" s="237"/>
    </row>
    <row r="27" spans="1:11">
      <c r="A27" s="236" t="s">
        <v>500</v>
      </c>
      <c r="B27" s="237"/>
      <c r="C27" s="237"/>
      <c r="D27" s="237"/>
      <c r="E27" s="237"/>
      <c r="F27" s="237"/>
      <c r="G27" s="237"/>
      <c r="H27" s="238"/>
      <c r="I27" s="239" t="str">
        <f t="shared" si="0"/>
        <v/>
      </c>
      <c r="J27" s="237"/>
      <c r="K27" s="237"/>
    </row>
    <row r="28" spans="1:11">
      <c r="A28" s="236" t="s">
        <v>501</v>
      </c>
      <c r="B28" s="237"/>
      <c r="C28" s="237"/>
      <c r="D28" s="237"/>
      <c r="E28" s="237"/>
      <c r="F28" s="237"/>
      <c r="G28" s="237"/>
      <c r="H28" s="238"/>
      <c r="I28" s="239" t="str">
        <f t="shared" si="0"/>
        <v/>
      </c>
      <c r="J28" s="237"/>
      <c r="K28" s="237"/>
    </row>
    <row r="29" spans="1:11">
      <c r="A29" s="236" t="s">
        <v>502</v>
      </c>
      <c r="B29" s="237"/>
      <c r="C29" s="237"/>
      <c r="D29" s="237"/>
      <c r="E29" s="237"/>
      <c r="F29" s="237"/>
      <c r="G29" s="237"/>
      <c r="H29" s="238"/>
      <c r="I29" s="239" t="str">
        <f t="shared" si="0"/>
        <v/>
      </c>
      <c r="J29" s="237"/>
      <c r="K29" s="237"/>
    </row>
    <row r="30" spans="1:11">
      <c r="A30" s="236" t="s">
        <v>503</v>
      </c>
      <c r="B30" s="237"/>
      <c r="C30" s="237"/>
      <c r="D30" s="237"/>
      <c r="E30" s="237"/>
      <c r="F30" s="237"/>
      <c r="G30" s="237"/>
      <c r="H30" s="238"/>
      <c r="I30" s="239" t="str">
        <f t="shared" si="0"/>
        <v/>
      </c>
      <c r="J30" s="237"/>
      <c r="K30" s="237"/>
    </row>
    <row r="31" spans="1:11">
      <c r="A31" s="236" t="s">
        <v>504</v>
      </c>
      <c r="B31" s="237"/>
      <c r="C31" s="237"/>
      <c r="D31" s="237"/>
      <c r="E31" s="237"/>
      <c r="F31" s="237"/>
      <c r="G31" s="237"/>
      <c r="H31" s="238"/>
      <c r="I31" s="239" t="str">
        <f t="shared" si="0"/>
        <v/>
      </c>
      <c r="J31" s="237"/>
      <c r="K31" s="237"/>
    </row>
    <row r="32" spans="1:11">
      <c r="A32" s="236" t="s">
        <v>505</v>
      </c>
      <c r="B32" s="237"/>
      <c r="C32" s="237"/>
      <c r="D32" s="237"/>
      <c r="E32" s="237"/>
      <c r="F32" s="237"/>
      <c r="G32" s="237"/>
      <c r="H32" s="238"/>
      <c r="I32" s="239" t="str">
        <f t="shared" si="0"/>
        <v/>
      </c>
      <c r="J32" s="237"/>
      <c r="K32" s="237"/>
    </row>
    <row r="33" spans="1:11">
      <c r="A33" s="236" t="s">
        <v>506</v>
      </c>
      <c r="B33" s="237"/>
      <c r="C33" s="237"/>
      <c r="D33" s="237"/>
      <c r="E33" s="237"/>
      <c r="F33" s="237"/>
      <c r="G33" s="237"/>
      <c r="H33" s="238"/>
      <c r="I33" s="239" t="str">
        <f t="shared" si="0"/>
        <v/>
      </c>
      <c r="J33" s="237"/>
      <c r="K33" s="237"/>
    </row>
    <row r="34" spans="1:11">
      <c r="A34" s="236" t="s">
        <v>507</v>
      </c>
      <c r="B34" s="237"/>
      <c r="C34" s="237"/>
      <c r="D34" s="237"/>
      <c r="E34" s="237"/>
      <c r="F34" s="237"/>
      <c r="G34" s="237"/>
      <c r="H34" s="238"/>
      <c r="I34" s="239" t="str">
        <f t="shared" si="0"/>
        <v/>
      </c>
      <c r="J34" s="237"/>
      <c r="K34" s="237"/>
    </row>
    <row r="35" spans="1:11">
      <c r="A35" s="236" t="s">
        <v>508</v>
      </c>
      <c r="B35" s="237"/>
      <c r="C35" s="237"/>
      <c r="D35" s="237"/>
      <c r="E35" s="237"/>
      <c r="F35" s="237"/>
      <c r="G35" s="237"/>
      <c r="H35" s="238"/>
      <c r="I35" s="239" t="str">
        <f t="shared" si="0"/>
        <v/>
      </c>
      <c r="J35" s="237"/>
      <c r="K35" s="237"/>
    </row>
    <row r="36" spans="1:11">
      <c r="A36" s="236" t="s">
        <v>509</v>
      </c>
      <c r="B36" s="237"/>
      <c r="C36" s="237"/>
      <c r="D36" s="237"/>
      <c r="E36" s="237"/>
      <c r="F36" s="237"/>
      <c r="G36" s="237"/>
      <c r="H36" s="238"/>
      <c r="I36" s="239" t="str">
        <f t="shared" si="0"/>
        <v/>
      </c>
      <c r="J36" s="237"/>
      <c r="K36" s="237"/>
    </row>
    <row r="37" spans="1:11">
      <c r="A37" s="236" t="s">
        <v>510</v>
      </c>
      <c r="B37" s="237"/>
      <c r="C37" s="237"/>
      <c r="D37" s="237"/>
      <c r="E37" s="237"/>
      <c r="F37" s="237"/>
      <c r="G37" s="237"/>
      <c r="H37" s="238"/>
      <c r="I37" s="239" t="str">
        <f t="shared" si="0"/>
        <v/>
      </c>
      <c r="J37" s="237"/>
      <c r="K37" s="237"/>
    </row>
    <row r="38" spans="1:11">
      <c r="A38" s="236" t="s">
        <v>511</v>
      </c>
      <c r="B38" s="237"/>
      <c r="C38" s="237"/>
      <c r="D38" s="237"/>
      <c r="E38" s="237"/>
      <c r="F38" s="237"/>
      <c r="G38" s="237"/>
      <c r="H38" s="238"/>
      <c r="I38" s="239" t="str">
        <f t="shared" si="0"/>
        <v/>
      </c>
      <c r="J38" s="237"/>
      <c r="K38" s="237"/>
    </row>
    <row r="39" spans="1:11">
      <c r="A39" s="236" t="s">
        <v>512</v>
      </c>
      <c r="B39" s="237"/>
      <c r="C39" s="237"/>
      <c r="D39" s="237"/>
      <c r="E39" s="237"/>
      <c r="F39" s="237"/>
      <c r="G39" s="237"/>
      <c r="H39" s="238"/>
      <c r="I39" s="239" t="str">
        <f t="shared" si="0"/>
        <v/>
      </c>
      <c r="J39" s="237"/>
      <c r="K39" s="237"/>
    </row>
    <row r="40" spans="1:11">
      <c r="A40" s="236" t="s">
        <v>513</v>
      </c>
      <c r="B40" s="237"/>
      <c r="C40" s="237"/>
      <c r="D40" s="237"/>
      <c r="E40" s="237"/>
      <c r="F40" s="237"/>
      <c r="G40" s="237"/>
      <c r="H40" s="238"/>
      <c r="I40" s="239" t="str">
        <f t="shared" si="0"/>
        <v/>
      </c>
      <c r="J40" s="237"/>
      <c r="K40" s="237"/>
    </row>
    <row r="41" spans="1:11">
      <c r="A41" s="236" t="s">
        <v>514</v>
      </c>
      <c r="B41" s="237"/>
      <c r="C41" s="237"/>
      <c r="D41" s="237"/>
      <c r="E41" s="237"/>
      <c r="F41" s="237"/>
      <c r="G41" s="237"/>
      <c r="H41" s="238"/>
      <c r="I41" s="239" t="str">
        <f t="shared" si="0"/>
        <v/>
      </c>
      <c r="J41" s="237"/>
      <c r="K41" s="237"/>
    </row>
  </sheetData>
  <dataValidations count="1">
    <dataValidation type="list" allowBlank="1" showErrorMessage="1" errorTitle="Invalid entry" error="Please enter a valid value (see note above the column)." sqref="H13:H41" xr:uid="{00000000-0002-0000-4700-000000000000}">
      <formula1>"2,1,0"</formula1>
      <formula2>0</formula2>
    </dataValidation>
  </dataValidations>
  <hyperlinks>
    <hyperlink ref="G14" r:id="rId1" xr:uid="{ACC3712B-286B-4A2E-98CA-22B6671ED11A}"/>
  </hyperlinks>
  <pageMargins left="0.75" right="0.75" top="1" bottom="1"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439</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Green-building incentives &gt;:&lt; Green-building incentives</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mandate to provide incentives for green buildings, and are these incentives operationalised? &gt;:&lt; Does the law mandate incentives for green buildings ?</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 &gt;:&lt; 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T&amp;CP Act and Municipal Act for a provision mandating or enabling the provision of incentives for green buildings. The Act need not specify the nature or quantum of the incentive; a clear statutory provision requiring or enabling green-building incentives is sufficient. Where specified, incentives may include additional FAR/FSI, property-tax rebates, fee/development-charge concessions, or other fiscal or development-control incentives.
Score 5 if the Act provides a clear mandate or enabling provision for green-building incentives, even if the specific incentives are to be prescribed subsequently through rules, regulations or other instruments. Score 0 otherwise.</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48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443</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Green-building incentives &gt;:&lt; Green-building incentives</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mandate to provide incentives for green buildings, and are these incentives operationalised? &gt;:&lt; Does your city give incentives for green buildings ?</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 &gt;:&lt; 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municipal/city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
Score 5 if at least one green-building incentive is operational in the city, based on an official source or reliable secondary evidence.
Score 0 if no such incentive can be established.</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49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K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s>
  <sheetData>
    <row r="1" spans="1:11">
      <c r="A1" s="228" t="s">
        <v>777</v>
      </c>
      <c r="B1" s="228" t="s">
        <v>117</v>
      </c>
      <c r="C1" s="229" t="s">
        <v>778</v>
      </c>
    </row>
    <row r="2" spans="1:11">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1">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spans="1:11">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Land-management instruments</v>
      </c>
    </row>
    <row r="5" spans="1:11">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1">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enable a guaranteed land titling system ?</v>
      </c>
      <c r="C6" s="229" t="s">
        <v>780</v>
      </c>
    </row>
    <row r="7" spans="1:11">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1">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1"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Legal/Policy Provision
Check whether the State has enacted a land titling law providing for certification/guarantee of land titles; or issued a Government Order/circular/notification establishing a framework for certification of land titles.
A general land-record digitisation, mutation or property-registration framework shall not qualify unless it specifically provides for certification/guarantee of title.
Part B – Operationalisation
Where the framework is provided through an Act, check whether the rules/regulations necessary to operationalise the land titling framework have been notified.
Scoring:
Score 10: Land titling is provided through an Act and the necessary rules/regulations have been notified; OR an applicable Government Order/circular/notification establishes an operational framework that does not require separate rules.
Score 5: A land titling Act has been enacted, but the necessary rules/regulations have not been notified.
Score 0: No land titling law or applicable Government Order/circular/notification exists.</v>
      </c>
    </row>
    <row r="10" spans="1:11"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781</v>
      </c>
    </row>
    <row r="11" spans="1:11" ht="29.1">
      <c r="H11" s="232" t="s">
        <v>782</v>
      </c>
      <c r="I11" s="232" t="s">
        <v>782</v>
      </c>
      <c r="J11" s="233" t="s">
        <v>783</v>
      </c>
    </row>
    <row r="12" spans="1:11" ht="60" customHeight="1">
      <c r="A12" s="234" t="s">
        <v>784</v>
      </c>
      <c r="B12" s="234" t="s">
        <v>785</v>
      </c>
      <c r="C12" s="234" t="s">
        <v>786</v>
      </c>
      <c r="D12" s="234" t="s">
        <v>787</v>
      </c>
      <c r="E12" s="234" t="s">
        <v>788</v>
      </c>
      <c r="F12" s="234" t="s">
        <v>789</v>
      </c>
      <c r="G12" s="234" t="s">
        <v>790</v>
      </c>
      <c r="H12" s="235" t="str">
        <f>"Part A: Land titling Act / Government Order exists ("&amp;TEXT($C$7/2,"0.00")&amp;")"</f>
        <v>Part A: Land titling Act / Government Order exists (5.00)</v>
      </c>
      <c r="I12" s="235" t="str">
        <f>"Part B: Rules notified / framework operational (counts only if Part A = YES) ("&amp;TEXT($C$7/2,"0.00")&amp;")"</f>
        <v>Part B: Rules notified / framework operational (counts only if Part A = YES) (5.00)</v>
      </c>
      <c r="J12" s="233" t="s">
        <v>791</v>
      </c>
      <c r="K12" s="235" t="s">
        <v>792</v>
      </c>
    </row>
    <row r="13" spans="1:11">
      <c r="A13" s="236" t="s">
        <v>486</v>
      </c>
      <c r="B13" s="237"/>
      <c r="C13" s="237"/>
      <c r="D13" s="237"/>
      <c r="E13" s="237"/>
      <c r="F13" s="237"/>
      <c r="G13" s="237"/>
      <c r="H13" s="238"/>
      <c r="I13" s="238"/>
      <c r="J13" s="239" t="str">
        <f t="shared" ref="J13:J41" si="0">IF(H13="","",IF(H13="NO",0,IF(I13="","",IF(I13="YES",$C$7,$C$7/2))))</f>
        <v/>
      </c>
      <c r="K13" s="237"/>
    </row>
    <row r="14" spans="1:11">
      <c r="A14" s="236" t="s">
        <v>487</v>
      </c>
      <c r="B14" s="237"/>
      <c r="C14" s="237"/>
      <c r="D14" s="237"/>
      <c r="E14" s="237"/>
      <c r="F14" s="237"/>
      <c r="G14" s="237"/>
      <c r="H14" s="238"/>
      <c r="I14" s="238"/>
      <c r="J14" s="239" t="str">
        <f t="shared" si="0"/>
        <v/>
      </c>
      <c r="K14" s="237"/>
    </row>
    <row r="15" spans="1:11">
      <c r="A15" s="236" t="s">
        <v>488</v>
      </c>
      <c r="B15" s="237"/>
      <c r="C15" s="237"/>
      <c r="D15" s="237"/>
      <c r="E15" s="237"/>
      <c r="F15" s="237"/>
      <c r="G15" s="237"/>
      <c r="H15" s="238"/>
      <c r="I15" s="238"/>
      <c r="J15" s="239" t="str">
        <f t="shared" si="0"/>
        <v/>
      </c>
      <c r="K15" s="237"/>
    </row>
    <row r="16" spans="1:11">
      <c r="A16" s="236" t="s">
        <v>489</v>
      </c>
      <c r="B16" s="237"/>
      <c r="C16" s="237"/>
      <c r="D16" s="237"/>
      <c r="E16" s="237"/>
      <c r="F16" s="237"/>
      <c r="G16" s="237"/>
      <c r="H16" s="238"/>
      <c r="I16" s="238"/>
      <c r="J16" s="239" t="str">
        <f t="shared" si="0"/>
        <v/>
      </c>
      <c r="K16" s="237"/>
    </row>
    <row r="17" spans="1:11">
      <c r="A17" s="236" t="s">
        <v>490</v>
      </c>
      <c r="B17" s="237"/>
      <c r="C17" s="237"/>
      <c r="D17" s="237"/>
      <c r="E17" s="237"/>
      <c r="F17" s="237"/>
      <c r="G17" s="237"/>
      <c r="H17" s="238"/>
      <c r="I17" s="238"/>
      <c r="J17" s="239" t="str">
        <f t="shared" si="0"/>
        <v/>
      </c>
      <c r="K17" s="237"/>
    </row>
    <row r="18" spans="1:11">
      <c r="A18" s="236" t="s">
        <v>491</v>
      </c>
      <c r="B18" s="237"/>
      <c r="C18" s="237"/>
      <c r="D18" s="237"/>
      <c r="E18" s="237"/>
      <c r="F18" s="237"/>
      <c r="G18" s="237"/>
      <c r="H18" s="238"/>
      <c r="I18" s="238"/>
      <c r="J18" s="239" t="str">
        <f t="shared" si="0"/>
        <v/>
      </c>
      <c r="K18" s="237"/>
    </row>
    <row r="19" spans="1:11">
      <c r="A19" s="236" t="s">
        <v>492</v>
      </c>
      <c r="B19" s="237"/>
      <c r="C19" s="237"/>
      <c r="D19" s="237"/>
      <c r="E19" s="237"/>
      <c r="F19" s="237"/>
      <c r="G19" s="237"/>
      <c r="H19" s="238"/>
      <c r="I19" s="238"/>
      <c r="J19" s="239" t="str">
        <f t="shared" si="0"/>
        <v/>
      </c>
      <c r="K19" s="237"/>
    </row>
    <row r="20" spans="1:11">
      <c r="A20" s="236" t="s">
        <v>493</v>
      </c>
      <c r="B20" s="237"/>
      <c r="C20" s="237"/>
      <c r="D20" s="237"/>
      <c r="E20" s="237"/>
      <c r="F20" s="237"/>
      <c r="G20" s="237"/>
      <c r="H20" s="238"/>
      <c r="I20" s="238"/>
      <c r="J20" s="239" t="str">
        <f t="shared" si="0"/>
        <v/>
      </c>
      <c r="K20" s="237"/>
    </row>
    <row r="21" spans="1:11">
      <c r="A21" s="236" t="s">
        <v>494</v>
      </c>
      <c r="B21" s="237"/>
      <c r="C21" s="237"/>
      <c r="D21" s="237"/>
      <c r="E21" s="237"/>
      <c r="F21" s="237"/>
      <c r="G21" s="237"/>
      <c r="H21" s="238"/>
      <c r="I21" s="238"/>
      <c r="J21" s="239" t="str">
        <f t="shared" si="0"/>
        <v/>
      </c>
      <c r="K21" s="237"/>
    </row>
    <row r="22" spans="1:11">
      <c r="A22" s="236" t="s">
        <v>495</v>
      </c>
      <c r="B22" s="237"/>
      <c r="C22" s="237"/>
      <c r="D22" s="237"/>
      <c r="E22" s="237"/>
      <c r="F22" s="237"/>
      <c r="G22" s="237"/>
      <c r="H22" s="238"/>
      <c r="I22" s="238"/>
      <c r="J22" s="239" t="str">
        <f t="shared" si="0"/>
        <v/>
      </c>
      <c r="K22" s="237"/>
    </row>
    <row r="23" spans="1:11">
      <c r="A23" s="236" t="s">
        <v>496</v>
      </c>
      <c r="B23" s="237"/>
      <c r="C23" s="237"/>
      <c r="D23" s="237"/>
      <c r="E23" s="237"/>
      <c r="F23" s="237"/>
      <c r="G23" s="237"/>
      <c r="H23" s="238"/>
      <c r="I23" s="238"/>
      <c r="J23" s="239" t="str">
        <f t="shared" si="0"/>
        <v/>
      </c>
      <c r="K23" s="237"/>
    </row>
    <row r="24" spans="1:11">
      <c r="A24" s="236" t="s">
        <v>497</v>
      </c>
      <c r="B24" s="237"/>
      <c r="C24" s="237"/>
      <c r="D24" s="237"/>
      <c r="E24" s="237"/>
      <c r="F24" s="237"/>
      <c r="G24" s="237"/>
      <c r="H24" s="238"/>
      <c r="I24" s="238"/>
      <c r="J24" s="239" t="str">
        <f t="shared" si="0"/>
        <v/>
      </c>
      <c r="K24" s="237"/>
    </row>
    <row r="25" spans="1:11">
      <c r="A25" s="236" t="s">
        <v>498</v>
      </c>
      <c r="B25" s="237"/>
      <c r="C25" s="237"/>
      <c r="D25" s="237"/>
      <c r="E25" s="237"/>
      <c r="F25" s="237"/>
      <c r="G25" s="237"/>
      <c r="H25" s="238"/>
      <c r="I25" s="238"/>
      <c r="J25" s="239" t="str">
        <f t="shared" si="0"/>
        <v/>
      </c>
      <c r="K25" s="237"/>
    </row>
    <row r="26" spans="1:11">
      <c r="A26" s="236" t="s">
        <v>499</v>
      </c>
      <c r="B26" s="237"/>
      <c r="C26" s="237"/>
      <c r="D26" s="237"/>
      <c r="E26" s="237"/>
      <c r="F26" s="237"/>
      <c r="G26" s="237"/>
      <c r="H26" s="238"/>
      <c r="I26" s="238"/>
      <c r="J26" s="239" t="str">
        <f t="shared" si="0"/>
        <v/>
      </c>
      <c r="K26" s="237"/>
    </row>
    <row r="27" spans="1:11">
      <c r="A27" s="236" t="s">
        <v>500</v>
      </c>
      <c r="B27" s="237"/>
      <c r="C27" s="237"/>
      <c r="D27" s="237"/>
      <c r="E27" s="237"/>
      <c r="F27" s="237"/>
      <c r="G27" s="237"/>
      <c r="H27" s="238"/>
      <c r="I27" s="238"/>
      <c r="J27" s="239" t="str">
        <f t="shared" si="0"/>
        <v/>
      </c>
      <c r="K27" s="237"/>
    </row>
    <row r="28" spans="1:11">
      <c r="A28" s="236" t="s">
        <v>501</v>
      </c>
      <c r="B28" s="237"/>
      <c r="C28" s="237"/>
      <c r="D28" s="237"/>
      <c r="E28" s="237"/>
      <c r="F28" s="237"/>
      <c r="G28" s="237"/>
      <c r="H28" s="238"/>
      <c r="I28" s="238"/>
      <c r="J28" s="239" t="str">
        <f t="shared" si="0"/>
        <v/>
      </c>
      <c r="K28" s="237"/>
    </row>
    <row r="29" spans="1:11">
      <c r="A29" s="236" t="s">
        <v>502</v>
      </c>
      <c r="B29" s="237"/>
      <c r="C29" s="237"/>
      <c r="D29" s="237"/>
      <c r="E29" s="237"/>
      <c r="F29" s="237"/>
      <c r="G29" s="237"/>
      <c r="H29" s="238"/>
      <c r="I29" s="238"/>
      <c r="J29" s="239" t="str">
        <f t="shared" si="0"/>
        <v/>
      </c>
      <c r="K29" s="237"/>
    </row>
    <row r="30" spans="1:11">
      <c r="A30" s="236" t="s">
        <v>503</v>
      </c>
      <c r="B30" s="237"/>
      <c r="C30" s="237"/>
      <c r="D30" s="237"/>
      <c r="E30" s="237"/>
      <c r="F30" s="237"/>
      <c r="G30" s="237"/>
      <c r="H30" s="238"/>
      <c r="I30" s="238"/>
      <c r="J30" s="239" t="str">
        <f t="shared" si="0"/>
        <v/>
      </c>
      <c r="K30" s="237"/>
    </row>
    <row r="31" spans="1:11">
      <c r="A31" s="236" t="s">
        <v>504</v>
      </c>
      <c r="B31" s="237"/>
      <c r="C31" s="237"/>
      <c r="D31" s="237"/>
      <c r="E31" s="237"/>
      <c r="F31" s="237"/>
      <c r="G31" s="237"/>
      <c r="H31" s="238"/>
      <c r="I31" s="238"/>
      <c r="J31" s="239" t="str">
        <f t="shared" si="0"/>
        <v/>
      </c>
      <c r="K31" s="237"/>
    </row>
    <row r="32" spans="1:11">
      <c r="A32" s="236" t="s">
        <v>505</v>
      </c>
      <c r="B32" s="237"/>
      <c r="C32" s="237"/>
      <c r="D32" s="237"/>
      <c r="E32" s="237"/>
      <c r="F32" s="237"/>
      <c r="G32" s="237"/>
      <c r="H32" s="238"/>
      <c r="I32" s="238"/>
      <c r="J32" s="239" t="str">
        <f t="shared" si="0"/>
        <v/>
      </c>
      <c r="K32" s="237"/>
    </row>
    <row r="33" spans="1:11">
      <c r="A33" s="236" t="s">
        <v>506</v>
      </c>
      <c r="B33" s="237"/>
      <c r="C33" s="237"/>
      <c r="D33" s="237"/>
      <c r="E33" s="237"/>
      <c r="F33" s="237"/>
      <c r="G33" s="237"/>
      <c r="H33" s="238"/>
      <c r="I33" s="238"/>
      <c r="J33" s="239" t="str">
        <f t="shared" si="0"/>
        <v/>
      </c>
      <c r="K33" s="237"/>
    </row>
    <row r="34" spans="1:11">
      <c r="A34" s="236" t="s">
        <v>507</v>
      </c>
      <c r="B34" s="237"/>
      <c r="C34" s="237"/>
      <c r="D34" s="237"/>
      <c r="E34" s="237"/>
      <c r="F34" s="237"/>
      <c r="G34" s="237"/>
      <c r="H34" s="238"/>
      <c r="I34" s="238"/>
      <c r="J34" s="239" t="str">
        <f t="shared" si="0"/>
        <v/>
      </c>
      <c r="K34" s="237"/>
    </row>
    <row r="35" spans="1:11">
      <c r="A35" s="236" t="s">
        <v>508</v>
      </c>
      <c r="B35" s="237"/>
      <c r="C35" s="237"/>
      <c r="D35" s="237"/>
      <c r="E35" s="237"/>
      <c r="F35" s="237"/>
      <c r="G35" s="237"/>
      <c r="H35" s="238"/>
      <c r="I35" s="238"/>
      <c r="J35" s="239" t="str">
        <f t="shared" si="0"/>
        <v/>
      </c>
      <c r="K35" s="237"/>
    </row>
    <row r="36" spans="1:11">
      <c r="A36" s="236" t="s">
        <v>509</v>
      </c>
      <c r="B36" s="237"/>
      <c r="C36" s="237"/>
      <c r="D36" s="237"/>
      <c r="E36" s="237"/>
      <c r="F36" s="237"/>
      <c r="G36" s="237"/>
      <c r="H36" s="238"/>
      <c r="I36" s="238"/>
      <c r="J36" s="239" t="str">
        <f t="shared" si="0"/>
        <v/>
      </c>
      <c r="K36" s="237"/>
    </row>
    <row r="37" spans="1:11">
      <c r="A37" s="236" t="s">
        <v>510</v>
      </c>
      <c r="B37" s="237"/>
      <c r="C37" s="237"/>
      <c r="D37" s="237"/>
      <c r="E37" s="237"/>
      <c r="F37" s="237"/>
      <c r="G37" s="237"/>
      <c r="H37" s="238"/>
      <c r="I37" s="238"/>
      <c r="J37" s="239" t="str">
        <f t="shared" si="0"/>
        <v/>
      </c>
      <c r="K37" s="237"/>
    </row>
    <row r="38" spans="1:11">
      <c r="A38" s="236" t="s">
        <v>511</v>
      </c>
      <c r="B38" s="237"/>
      <c r="C38" s="237"/>
      <c r="D38" s="237"/>
      <c r="E38" s="237"/>
      <c r="F38" s="237"/>
      <c r="G38" s="237"/>
      <c r="H38" s="238"/>
      <c r="I38" s="238"/>
      <c r="J38" s="239" t="str">
        <f t="shared" si="0"/>
        <v/>
      </c>
      <c r="K38" s="237"/>
    </row>
    <row r="39" spans="1:11">
      <c r="A39" s="236" t="s">
        <v>512</v>
      </c>
      <c r="B39" s="237"/>
      <c r="C39" s="237"/>
      <c r="D39" s="237"/>
      <c r="E39" s="237"/>
      <c r="F39" s="237"/>
      <c r="G39" s="237"/>
      <c r="H39" s="238"/>
      <c r="I39" s="238"/>
      <c r="J39" s="239" t="str">
        <f t="shared" si="0"/>
        <v/>
      </c>
      <c r="K39" s="237"/>
    </row>
    <row r="40" spans="1:11">
      <c r="A40" s="236" t="s">
        <v>513</v>
      </c>
      <c r="B40" s="237"/>
      <c r="C40" s="237"/>
      <c r="D40" s="237"/>
      <c r="E40" s="237"/>
      <c r="F40" s="237"/>
      <c r="G40" s="237"/>
      <c r="H40" s="238"/>
      <c r="I40" s="238"/>
      <c r="J40" s="239" t="str">
        <f t="shared" si="0"/>
        <v/>
      </c>
      <c r="K40" s="237"/>
    </row>
    <row r="41" spans="1:11">
      <c r="A41" s="236" t="s">
        <v>514</v>
      </c>
      <c r="B41" s="237"/>
      <c r="C41" s="237"/>
      <c r="D41" s="237"/>
      <c r="E41" s="237"/>
      <c r="F41" s="237"/>
      <c r="G41" s="237"/>
      <c r="H41" s="238"/>
      <c r="I41" s="238"/>
      <c r="J41" s="239" t="str">
        <f t="shared" si="0"/>
        <v/>
      </c>
      <c r="K41" s="237"/>
    </row>
  </sheetData>
  <dataValidations count="1">
    <dataValidation type="list" allowBlank="1" showErrorMessage="1" errorTitle="Invalid entry" error="Please enter a valid value (see note above the column)." sqref="H13:I41" xr:uid="{00000000-0002-0000-4A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L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9" width="22" customWidth="1"/>
    <col min="10" max="10" width="14" customWidth="1"/>
    <col min="11" max="11" width="45" customWidth="1"/>
    <col min="12" max="12" width="30" customWidth="1"/>
  </cols>
  <sheetData>
    <row r="1" spans="1:12">
      <c r="A1" s="228" t="s">
        <v>777</v>
      </c>
      <c r="B1" s="228" t="s">
        <v>451</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Land-management instruments</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enable a guaranteed land pooling system ?</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Legal/Policy Provision
Check whether the State has enacted legislation or issued a Government Order/circular/notification providing for a land assembly/reconstitution mechanism such as:
a. Town Planning Scheme (TPS)/land reconstitution; or
b. Land pooling.
Score 5 if at least one such mechanism is formally provided for through legislation or an applicable Government Order/circular/notification. Score 0 otherwise.
Part B – Operationalisation
Where the mechanism is provided for through an Act, check whether the rules/regulations necessary to operationalise the mechanism have been notified.
Score 5 if the rules/regulations necessary for implementation of the mechanism have been notified and are currently in force. Score 0 if the enabling provision exists but the necessary rules/regulations have not been notified.</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Note: Record separately whether the applicable mechanism is TPS/land reconstitution, land pooling, or both. </v>
      </c>
      <c r="H10" s="231" t="s">
        <v>798</v>
      </c>
    </row>
    <row r="11" spans="1:12" ht="29.1">
      <c r="H11" s="232" t="s">
        <v>782</v>
      </c>
      <c r="I11" s="232" t="s">
        <v>782</v>
      </c>
      <c r="J11" s="233" t="s">
        <v>783</v>
      </c>
    </row>
    <row r="12" spans="1:12" ht="60" customHeight="1">
      <c r="A12" s="234" t="s">
        <v>784</v>
      </c>
      <c r="B12" s="234" t="s">
        <v>785</v>
      </c>
      <c r="C12" s="234" t="s">
        <v>786</v>
      </c>
      <c r="D12" s="234" t="s">
        <v>787</v>
      </c>
      <c r="E12" s="234" t="s">
        <v>788</v>
      </c>
      <c r="F12" s="234" t="s">
        <v>789</v>
      </c>
      <c r="G12" s="234" t="s">
        <v>790</v>
      </c>
      <c r="H12" s="235" t="str">
        <f>"Part A: Mechanism provided (law / GO) ("&amp;TEXT($C$7/2,"0.00")&amp;")"</f>
        <v>Part A: Mechanism provided (law / GO) (5.00)</v>
      </c>
      <c r="I12" s="235" t="str">
        <f>"Part B: Rules notified &amp; in force ("&amp;TEXT($C$7/2,"0.00")&amp;")"</f>
        <v>Part B: Rules notified &amp; in force (5.00)</v>
      </c>
      <c r="J12" s="233" t="s">
        <v>791</v>
      </c>
      <c r="K12" s="235" t="s">
        <v>792</v>
      </c>
      <c r="L12" s="235" t="s">
        <v>861</v>
      </c>
    </row>
    <row r="13" spans="1:12">
      <c r="A13" s="236" t="s">
        <v>486</v>
      </c>
      <c r="B13" s="237"/>
      <c r="C13" s="237"/>
      <c r="D13" s="237"/>
      <c r="E13" s="237"/>
      <c r="F13" s="237"/>
      <c r="G13" s="237"/>
      <c r="H13" s="238"/>
      <c r="I13" s="238"/>
      <c r="J13" s="239" t="str">
        <f t="shared" ref="J13:J41" si="0">IF(OR(H13="",I13=""),"",COUNTIF(H13:I13,"YES")/2*$C$7)</f>
        <v/>
      </c>
      <c r="K13" s="237"/>
      <c r="L13" s="237"/>
    </row>
    <row r="14" spans="1:12">
      <c r="A14" s="236" t="s">
        <v>487</v>
      </c>
      <c r="B14" s="237"/>
      <c r="C14" s="237"/>
      <c r="D14" s="237"/>
      <c r="E14" s="237"/>
      <c r="F14" s="237"/>
      <c r="G14" s="237"/>
      <c r="H14" s="238"/>
      <c r="I14" s="238"/>
      <c r="J14" s="239" t="str">
        <f t="shared" si="0"/>
        <v/>
      </c>
      <c r="K14" s="237"/>
      <c r="L14" s="237"/>
    </row>
    <row r="15" spans="1:12">
      <c r="A15" s="236" t="s">
        <v>488</v>
      </c>
      <c r="B15" s="237"/>
      <c r="C15" s="237"/>
      <c r="D15" s="237"/>
      <c r="E15" s="237"/>
      <c r="F15" s="237"/>
      <c r="G15" s="237"/>
      <c r="H15" s="238"/>
      <c r="I15" s="238"/>
      <c r="J15" s="239" t="str">
        <f t="shared" si="0"/>
        <v/>
      </c>
      <c r="K15" s="237"/>
      <c r="L15" s="237"/>
    </row>
    <row r="16" spans="1:12">
      <c r="A16" s="236" t="s">
        <v>489</v>
      </c>
      <c r="B16" s="237"/>
      <c r="C16" s="237"/>
      <c r="D16" s="237"/>
      <c r="E16" s="237"/>
      <c r="F16" s="237"/>
      <c r="G16" s="237"/>
      <c r="H16" s="238"/>
      <c r="I16" s="238"/>
      <c r="J16" s="239" t="str">
        <f t="shared" si="0"/>
        <v/>
      </c>
      <c r="K16" s="237"/>
      <c r="L16" s="237"/>
    </row>
    <row r="17" spans="1:12">
      <c r="A17" s="236" t="s">
        <v>490</v>
      </c>
      <c r="B17" s="237"/>
      <c r="C17" s="237"/>
      <c r="D17" s="237"/>
      <c r="E17" s="237"/>
      <c r="F17" s="237"/>
      <c r="G17" s="237"/>
      <c r="H17" s="238"/>
      <c r="I17" s="238"/>
      <c r="J17" s="239" t="str">
        <f t="shared" si="0"/>
        <v/>
      </c>
      <c r="K17" s="237"/>
      <c r="L17" s="237"/>
    </row>
    <row r="18" spans="1:12">
      <c r="A18" s="236" t="s">
        <v>491</v>
      </c>
      <c r="B18" s="237"/>
      <c r="C18" s="237"/>
      <c r="D18" s="237"/>
      <c r="E18" s="237"/>
      <c r="F18" s="237"/>
      <c r="G18" s="237"/>
      <c r="H18" s="238"/>
      <c r="I18" s="238"/>
      <c r="J18" s="239" t="str">
        <f t="shared" si="0"/>
        <v/>
      </c>
      <c r="K18" s="237"/>
      <c r="L18" s="237"/>
    </row>
    <row r="19" spans="1:12">
      <c r="A19" s="236" t="s">
        <v>492</v>
      </c>
      <c r="B19" s="237"/>
      <c r="C19" s="237"/>
      <c r="D19" s="237"/>
      <c r="E19" s="237"/>
      <c r="F19" s="237"/>
      <c r="G19" s="237"/>
      <c r="H19" s="238"/>
      <c r="I19" s="238"/>
      <c r="J19" s="239" t="str">
        <f t="shared" si="0"/>
        <v/>
      </c>
      <c r="K19" s="237"/>
      <c r="L19" s="237"/>
    </row>
    <row r="20" spans="1:12">
      <c r="A20" s="236" t="s">
        <v>493</v>
      </c>
      <c r="B20" s="237"/>
      <c r="C20" s="237"/>
      <c r="D20" s="237"/>
      <c r="E20" s="237"/>
      <c r="F20" s="237"/>
      <c r="G20" s="237"/>
      <c r="H20" s="238"/>
      <c r="I20" s="238"/>
      <c r="J20" s="239" t="str">
        <f t="shared" si="0"/>
        <v/>
      </c>
      <c r="K20" s="237"/>
      <c r="L20" s="237"/>
    </row>
    <row r="21" spans="1:12">
      <c r="A21" s="236" t="s">
        <v>494</v>
      </c>
      <c r="B21" s="237"/>
      <c r="C21" s="237"/>
      <c r="D21" s="237"/>
      <c r="E21" s="237"/>
      <c r="F21" s="237"/>
      <c r="G21" s="237"/>
      <c r="H21" s="238"/>
      <c r="I21" s="238"/>
      <c r="J21" s="239" t="str">
        <f t="shared" si="0"/>
        <v/>
      </c>
      <c r="K21" s="237"/>
      <c r="L21" s="237"/>
    </row>
    <row r="22" spans="1:12">
      <c r="A22" s="236" t="s">
        <v>495</v>
      </c>
      <c r="B22" s="237"/>
      <c r="C22" s="237"/>
      <c r="D22" s="237"/>
      <c r="E22" s="237"/>
      <c r="F22" s="237"/>
      <c r="G22" s="237"/>
      <c r="H22" s="238"/>
      <c r="I22" s="238"/>
      <c r="J22" s="239" t="str">
        <f t="shared" si="0"/>
        <v/>
      </c>
      <c r="K22" s="237"/>
      <c r="L22" s="237"/>
    </row>
    <row r="23" spans="1:12">
      <c r="A23" s="236" t="s">
        <v>496</v>
      </c>
      <c r="B23" s="237"/>
      <c r="C23" s="237"/>
      <c r="D23" s="237"/>
      <c r="E23" s="237"/>
      <c r="F23" s="237"/>
      <c r="G23" s="237"/>
      <c r="H23" s="238"/>
      <c r="I23" s="238"/>
      <c r="J23" s="239" t="str">
        <f t="shared" si="0"/>
        <v/>
      </c>
      <c r="K23" s="237"/>
      <c r="L23" s="237"/>
    </row>
    <row r="24" spans="1:12">
      <c r="A24" s="236" t="s">
        <v>497</v>
      </c>
      <c r="B24" s="237"/>
      <c r="C24" s="237"/>
      <c r="D24" s="237"/>
      <c r="E24" s="237"/>
      <c r="F24" s="237"/>
      <c r="G24" s="237"/>
      <c r="H24" s="238"/>
      <c r="I24" s="238"/>
      <c r="J24" s="239" t="str">
        <f t="shared" si="0"/>
        <v/>
      </c>
      <c r="K24" s="237"/>
      <c r="L24" s="237"/>
    </row>
    <row r="25" spans="1:12">
      <c r="A25" s="236" t="s">
        <v>498</v>
      </c>
      <c r="B25" s="237"/>
      <c r="C25" s="237"/>
      <c r="D25" s="237"/>
      <c r="E25" s="237"/>
      <c r="F25" s="237"/>
      <c r="G25" s="237"/>
      <c r="H25" s="238"/>
      <c r="I25" s="238"/>
      <c r="J25" s="239" t="str">
        <f t="shared" si="0"/>
        <v/>
      </c>
      <c r="K25" s="237"/>
      <c r="L25" s="237"/>
    </row>
    <row r="26" spans="1:12">
      <c r="A26" s="236" t="s">
        <v>499</v>
      </c>
      <c r="B26" s="237"/>
      <c r="C26" s="237"/>
      <c r="D26" s="237"/>
      <c r="E26" s="237"/>
      <c r="F26" s="237"/>
      <c r="G26" s="237"/>
      <c r="H26" s="238"/>
      <c r="I26" s="238"/>
      <c r="J26" s="239" t="str">
        <f t="shared" si="0"/>
        <v/>
      </c>
      <c r="K26" s="237"/>
      <c r="L26" s="237"/>
    </row>
    <row r="27" spans="1:12">
      <c r="A27" s="236" t="s">
        <v>500</v>
      </c>
      <c r="B27" s="237"/>
      <c r="C27" s="237"/>
      <c r="D27" s="237"/>
      <c r="E27" s="237"/>
      <c r="F27" s="237"/>
      <c r="G27" s="237"/>
      <c r="H27" s="238"/>
      <c r="I27" s="238"/>
      <c r="J27" s="239" t="str">
        <f t="shared" si="0"/>
        <v/>
      </c>
      <c r="K27" s="237"/>
      <c r="L27" s="237"/>
    </row>
    <row r="28" spans="1:12">
      <c r="A28" s="236" t="s">
        <v>501</v>
      </c>
      <c r="B28" s="237"/>
      <c r="C28" s="237"/>
      <c r="D28" s="237"/>
      <c r="E28" s="237"/>
      <c r="F28" s="237"/>
      <c r="G28" s="237"/>
      <c r="H28" s="238"/>
      <c r="I28" s="238"/>
      <c r="J28" s="239" t="str">
        <f t="shared" si="0"/>
        <v/>
      </c>
      <c r="K28" s="237"/>
      <c r="L28" s="237"/>
    </row>
    <row r="29" spans="1:12">
      <c r="A29" s="236" t="s">
        <v>502</v>
      </c>
      <c r="B29" s="237"/>
      <c r="C29" s="237"/>
      <c r="D29" s="237"/>
      <c r="E29" s="237"/>
      <c r="F29" s="237"/>
      <c r="G29" s="237"/>
      <c r="H29" s="238"/>
      <c r="I29" s="238"/>
      <c r="J29" s="239" t="str">
        <f t="shared" si="0"/>
        <v/>
      </c>
      <c r="K29" s="237"/>
      <c r="L29" s="237"/>
    </row>
    <row r="30" spans="1:12">
      <c r="A30" s="236" t="s">
        <v>503</v>
      </c>
      <c r="B30" s="237"/>
      <c r="C30" s="237"/>
      <c r="D30" s="237"/>
      <c r="E30" s="237"/>
      <c r="F30" s="237"/>
      <c r="G30" s="237"/>
      <c r="H30" s="238"/>
      <c r="I30" s="238"/>
      <c r="J30" s="239" t="str">
        <f t="shared" si="0"/>
        <v/>
      </c>
      <c r="K30" s="237"/>
      <c r="L30" s="237"/>
    </row>
    <row r="31" spans="1:12">
      <c r="A31" s="236" t="s">
        <v>504</v>
      </c>
      <c r="B31" s="237"/>
      <c r="C31" s="237"/>
      <c r="D31" s="237"/>
      <c r="E31" s="237"/>
      <c r="F31" s="237"/>
      <c r="G31" s="237"/>
      <c r="H31" s="238"/>
      <c r="I31" s="238"/>
      <c r="J31" s="239" t="str">
        <f t="shared" si="0"/>
        <v/>
      </c>
      <c r="K31" s="237"/>
      <c r="L31" s="237"/>
    </row>
    <row r="32" spans="1:12">
      <c r="A32" s="236" t="s">
        <v>505</v>
      </c>
      <c r="B32" s="237"/>
      <c r="C32" s="237"/>
      <c r="D32" s="237"/>
      <c r="E32" s="237"/>
      <c r="F32" s="237"/>
      <c r="G32" s="237"/>
      <c r="H32" s="238"/>
      <c r="I32" s="238"/>
      <c r="J32" s="239" t="str">
        <f t="shared" si="0"/>
        <v/>
      </c>
      <c r="K32" s="237"/>
      <c r="L32" s="237"/>
    </row>
    <row r="33" spans="1:12">
      <c r="A33" s="236" t="s">
        <v>506</v>
      </c>
      <c r="B33" s="237"/>
      <c r="C33" s="237"/>
      <c r="D33" s="237"/>
      <c r="E33" s="237"/>
      <c r="F33" s="237"/>
      <c r="G33" s="237"/>
      <c r="H33" s="238"/>
      <c r="I33" s="238"/>
      <c r="J33" s="239" t="str">
        <f t="shared" si="0"/>
        <v/>
      </c>
      <c r="K33" s="237"/>
      <c r="L33" s="237"/>
    </row>
    <row r="34" spans="1:12">
      <c r="A34" s="236" t="s">
        <v>507</v>
      </c>
      <c r="B34" s="237"/>
      <c r="C34" s="237"/>
      <c r="D34" s="237"/>
      <c r="E34" s="237"/>
      <c r="F34" s="237"/>
      <c r="G34" s="237"/>
      <c r="H34" s="238"/>
      <c r="I34" s="238"/>
      <c r="J34" s="239" t="str">
        <f t="shared" si="0"/>
        <v/>
      </c>
      <c r="K34" s="237"/>
      <c r="L34" s="237"/>
    </row>
    <row r="35" spans="1:12">
      <c r="A35" s="236" t="s">
        <v>508</v>
      </c>
      <c r="B35" s="237"/>
      <c r="C35" s="237"/>
      <c r="D35" s="237"/>
      <c r="E35" s="237"/>
      <c r="F35" s="237"/>
      <c r="G35" s="237"/>
      <c r="H35" s="238"/>
      <c r="I35" s="238"/>
      <c r="J35" s="239" t="str">
        <f t="shared" si="0"/>
        <v/>
      </c>
      <c r="K35" s="237"/>
      <c r="L35" s="237"/>
    </row>
    <row r="36" spans="1:12">
      <c r="A36" s="236" t="s">
        <v>509</v>
      </c>
      <c r="B36" s="237"/>
      <c r="C36" s="237"/>
      <c r="D36" s="237"/>
      <c r="E36" s="237"/>
      <c r="F36" s="237"/>
      <c r="G36" s="237"/>
      <c r="H36" s="238"/>
      <c r="I36" s="238"/>
      <c r="J36" s="239" t="str">
        <f t="shared" si="0"/>
        <v/>
      </c>
      <c r="K36" s="237"/>
      <c r="L36" s="237"/>
    </row>
    <row r="37" spans="1:12">
      <c r="A37" s="236" t="s">
        <v>510</v>
      </c>
      <c r="B37" s="237"/>
      <c r="C37" s="237"/>
      <c r="D37" s="237"/>
      <c r="E37" s="237"/>
      <c r="F37" s="237"/>
      <c r="G37" s="237"/>
      <c r="H37" s="238"/>
      <c r="I37" s="238"/>
      <c r="J37" s="239" t="str">
        <f t="shared" si="0"/>
        <v/>
      </c>
      <c r="K37" s="237"/>
      <c r="L37" s="237"/>
    </row>
    <row r="38" spans="1:12">
      <c r="A38" s="236" t="s">
        <v>511</v>
      </c>
      <c r="B38" s="237"/>
      <c r="C38" s="237"/>
      <c r="D38" s="237"/>
      <c r="E38" s="237"/>
      <c r="F38" s="237"/>
      <c r="G38" s="237"/>
      <c r="H38" s="238"/>
      <c r="I38" s="238"/>
      <c r="J38" s="239" t="str">
        <f t="shared" si="0"/>
        <v/>
      </c>
      <c r="K38" s="237"/>
      <c r="L38" s="237"/>
    </row>
    <row r="39" spans="1:12">
      <c r="A39" s="236" t="s">
        <v>512</v>
      </c>
      <c r="B39" s="237"/>
      <c r="C39" s="237"/>
      <c r="D39" s="237"/>
      <c r="E39" s="237"/>
      <c r="F39" s="237"/>
      <c r="G39" s="237"/>
      <c r="H39" s="238"/>
      <c r="I39" s="238"/>
      <c r="J39" s="239" t="str">
        <f t="shared" si="0"/>
        <v/>
      </c>
      <c r="K39" s="237"/>
      <c r="L39" s="237"/>
    </row>
    <row r="40" spans="1:12">
      <c r="A40" s="236" t="s">
        <v>513</v>
      </c>
      <c r="B40" s="237"/>
      <c r="C40" s="237"/>
      <c r="D40" s="237"/>
      <c r="E40" s="237"/>
      <c r="F40" s="237"/>
      <c r="G40" s="237"/>
      <c r="H40" s="238"/>
      <c r="I40" s="238"/>
      <c r="J40" s="239" t="str">
        <f t="shared" si="0"/>
        <v/>
      </c>
      <c r="K40" s="237"/>
      <c r="L40" s="237"/>
    </row>
    <row r="41" spans="1:12">
      <c r="A41" s="236" t="s">
        <v>514</v>
      </c>
      <c r="B41" s="237"/>
      <c r="C41" s="237"/>
      <c r="D41" s="237"/>
      <c r="E41" s="237"/>
      <c r="F41" s="237"/>
      <c r="G41" s="237"/>
      <c r="H41" s="238"/>
      <c r="I41" s="238"/>
      <c r="J41" s="239" t="str">
        <f t="shared" si="0"/>
        <v/>
      </c>
      <c r="K41" s="237"/>
      <c r="L41" s="237"/>
    </row>
  </sheetData>
  <dataValidations count="1">
    <dataValidation type="list" allowBlank="1" showErrorMessage="1" errorTitle="Invalid entry" error="Please enter a valid value (see note above the column)." sqref="H13:I41" xr:uid="{00000000-0002-0000-4B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J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456</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Development approvals</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single window clearance process in place for  development projects that are in conformity with municipal/city plans?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 xml:space="preserve">Check for the existence of an online portal / platform that acts as a one-stop solution for filing complete application for development projects (education, health, affordable housing) and provides option for tracking status of application. Score 10 if  any 2 out of the 3 project types are available on the portal/platform/DA Website </v>
      </c>
    </row>
    <row r="10" spans="1:10"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spans="1:10" ht="29.1">
      <c r="H11" s="232" t="s">
        <v>782</v>
      </c>
      <c r="I11" s="233" t="s">
        <v>783</v>
      </c>
    </row>
    <row r="12" spans="1:10" ht="60" customHeight="1">
      <c r="A12" s="234" t="s">
        <v>784</v>
      </c>
      <c r="B12" s="234" t="s">
        <v>785</v>
      </c>
      <c r="C12" s="234" t="s">
        <v>786</v>
      </c>
      <c r="D12" s="234" t="s">
        <v>787</v>
      </c>
      <c r="E12" s="234" t="s">
        <v>788</v>
      </c>
      <c r="F12" s="234" t="s">
        <v>789</v>
      </c>
      <c r="G12" s="234" t="s">
        <v>790</v>
      </c>
      <c r="H12" s="235" t="s">
        <v>793</v>
      </c>
      <c r="I12" s="233" t="s">
        <v>791</v>
      </c>
      <c r="J12" s="235" t="s">
        <v>792</v>
      </c>
    </row>
    <row r="13" spans="1:10">
      <c r="A13" s="236" t="s">
        <v>486</v>
      </c>
      <c r="B13" s="237"/>
      <c r="C13" s="237"/>
      <c r="D13" s="237"/>
      <c r="E13" s="237"/>
      <c r="F13" s="237"/>
      <c r="G13" s="237"/>
      <c r="H13" s="238"/>
      <c r="I13" s="239" t="str">
        <f t="shared" ref="I13:I41" si="0">IF(H13="YES",$C$7,IF(H13="NO",0,""))</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list" allowBlank="1" showErrorMessage="1" errorTitle="Invalid entry" error="Please enter a valid value (see note above the column)." sqref="H13:H41" xr:uid="{00000000-0002-0000-4C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M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1" width="22" customWidth="1"/>
    <col min="12" max="12" width="14" customWidth="1"/>
    <col min="13" max="13" width="45" customWidth="1"/>
  </cols>
  <sheetData>
    <row r="1" spans="1:13">
      <c r="A1" s="228" t="s">
        <v>777</v>
      </c>
      <c r="B1" s="228" t="s">
        <v>462</v>
      </c>
      <c r="C1" s="229" t="s">
        <v>778</v>
      </c>
    </row>
    <row r="2" spans="1:13">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v>
      </c>
      <c r="C2" s="229" t="s">
        <v>779</v>
      </c>
    </row>
    <row r="3" spans="1:13">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spans="1:13">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Development approvals</v>
      </c>
    </row>
    <row r="5" spans="1:13">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3">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an effective system to prevent approval of plans that are not in conformity with municipal/city plan?</v>
      </c>
      <c r="C6" s="229" t="s">
        <v>780</v>
      </c>
    </row>
    <row r="7" spans="1:13">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3">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Policy/Implementation</v>
      </c>
    </row>
    <row r="9" spans="1:13"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there is a system with all of the following aspects:
1. An approval authority for projects at each level, as defined under the T&amp;CP Act or allied Act and/or the MPC Act
2. A defined process for rejection and/or variance approvals for plans that are not in conformity with the SDP, as provided under the T&amp;CP Act or allied Act and/or the MPC Act
3. A registry of public projects (bus terminals, metro stations, railway stations, protected heritage buildings) and private projects. Evidence can be present on ULG/Development Authority websites
4. Disclosure of all approvals, denials and variance approvals in the public domain. Evidence can be present on ULG/Development Authority websites
Score 10 only if all four of the above aspects are met
Score 0 otherwise.</v>
      </c>
    </row>
    <row r="10" spans="1:13"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1" t="s">
        <v>862</v>
      </c>
    </row>
    <row r="11" spans="1:13" ht="29.1">
      <c r="H11" s="232" t="s">
        <v>782</v>
      </c>
      <c r="I11" s="232" t="s">
        <v>782</v>
      </c>
      <c r="J11" s="232" t="s">
        <v>782</v>
      </c>
      <c r="K11" s="232" t="s">
        <v>782</v>
      </c>
      <c r="L11" s="233" t="s">
        <v>783</v>
      </c>
    </row>
    <row r="12" spans="1:13" ht="60" customHeight="1">
      <c r="A12" s="234" t="s">
        <v>784</v>
      </c>
      <c r="B12" s="234" t="s">
        <v>785</v>
      </c>
      <c r="C12" s="234" t="s">
        <v>786</v>
      </c>
      <c r="D12" s="234" t="s">
        <v>787</v>
      </c>
      <c r="E12" s="234" t="s">
        <v>788</v>
      </c>
      <c r="F12" s="234" t="s">
        <v>789</v>
      </c>
      <c r="G12" s="234" t="s">
        <v>790</v>
      </c>
      <c r="H12" s="235" t="s">
        <v>863</v>
      </c>
      <c r="I12" s="235" t="s">
        <v>864</v>
      </c>
      <c r="J12" s="235" t="s">
        <v>865</v>
      </c>
      <c r="K12" s="235" t="s">
        <v>866</v>
      </c>
      <c r="L12" s="233" t="s">
        <v>791</v>
      </c>
      <c r="M12" s="235" t="s">
        <v>792</v>
      </c>
    </row>
    <row r="13" spans="1:13">
      <c r="A13" s="236" t="s">
        <v>486</v>
      </c>
      <c r="B13" s="237"/>
      <c r="C13" s="237"/>
      <c r="D13" s="237"/>
      <c r="E13" s="237"/>
      <c r="F13" s="237"/>
      <c r="G13" s="237"/>
      <c r="H13" s="238"/>
      <c r="I13" s="238"/>
      <c r="J13" s="238"/>
      <c r="K13" s="238"/>
      <c r="L13" s="239" t="str">
        <f t="shared" ref="L13:L41" si="0">IF(OR(H13="",I13="",J13="",K13=""),"",IF(COUNTIF(H13:K13,"YES")=4,$C$7,0))</f>
        <v/>
      </c>
      <c r="M13" s="237"/>
    </row>
    <row r="14" spans="1:13">
      <c r="A14" s="236" t="s">
        <v>487</v>
      </c>
      <c r="B14" s="237"/>
      <c r="C14" s="237"/>
      <c r="D14" s="237"/>
      <c r="E14" s="237"/>
      <c r="F14" s="237"/>
      <c r="G14" s="237"/>
      <c r="H14" s="238"/>
      <c r="I14" s="238"/>
      <c r="J14" s="238"/>
      <c r="K14" s="238"/>
      <c r="L14" s="239" t="str">
        <f t="shared" si="0"/>
        <v/>
      </c>
      <c r="M14" s="237"/>
    </row>
    <row r="15" spans="1:13">
      <c r="A15" s="236" t="s">
        <v>488</v>
      </c>
      <c r="B15" s="237"/>
      <c r="C15" s="237"/>
      <c r="D15" s="237"/>
      <c r="E15" s="237"/>
      <c r="F15" s="237"/>
      <c r="G15" s="237"/>
      <c r="H15" s="238"/>
      <c r="I15" s="238"/>
      <c r="J15" s="238"/>
      <c r="K15" s="238"/>
      <c r="L15" s="239" t="str">
        <f t="shared" si="0"/>
        <v/>
      </c>
      <c r="M15" s="237"/>
    </row>
    <row r="16" spans="1:13">
      <c r="A16" s="236" t="s">
        <v>489</v>
      </c>
      <c r="B16" s="237"/>
      <c r="C16" s="237"/>
      <c r="D16" s="237"/>
      <c r="E16" s="237"/>
      <c r="F16" s="237"/>
      <c r="G16" s="237"/>
      <c r="H16" s="238"/>
      <c r="I16" s="238"/>
      <c r="J16" s="238"/>
      <c r="K16" s="238"/>
      <c r="L16" s="239" t="str">
        <f t="shared" si="0"/>
        <v/>
      </c>
      <c r="M16" s="237"/>
    </row>
    <row r="17" spans="1:13">
      <c r="A17" s="236" t="s">
        <v>490</v>
      </c>
      <c r="B17" s="237"/>
      <c r="C17" s="237"/>
      <c r="D17" s="237"/>
      <c r="E17" s="237"/>
      <c r="F17" s="237"/>
      <c r="G17" s="237"/>
      <c r="H17" s="238"/>
      <c r="I17" s="238"/>
      <c r="J17" s="238"/>
      <c r="K17" s="238"/>
      <c r="L17" s="239" t="str">
        <f t="shared" si="0"/>
        <v/>
      </c>
      <c r="M17" s="237"/>
    </row>
    <row r="18" spans="1:13">
      <c r="A18" s="236" t="s">
        <v>491</v>
      </c>
      <c r="B18" s="237"/>
      <c r="C18" s="237"/>
      <c r="D18" s="237"/>
      <c r="E18" s="237"/>
      <c r="F18" s="237"/>
      <c r="G18" s="237"/>
      <c r="H18" s="238"/>
      <c r="I18" s="238"/>
      <c r="J18" s="238"/>
      <c r="K18" s="238"/>
      <c r="L18" s="239" t="str">
        <f t="shared" si="0"/>
        <v/>
      </c>
      <c r="M18" s="237"/>
    </row>
    <row r="19" spans="1:13">
      <c r="A19" s="236" t="s">
        <v>492</v>
      </c>
      <c r="B19" s="237"/>
      <c r="C19" s="237"/>
      <c r="D19" s="237"/>
      <c r="E19" s="237"/>
      <c r="F19" s="237"/>
      <c r="G19" s="237"/>
      <c r="H19" s="238"/>
      <c r="I19" s="238"/>
      <c r="J19" s="238"/>
      <c r="K19" s="238"/>
      <c r="L19" s="239" t="str">
        <f t="shared" si="0"/>
        <v/>
      </c>
      <c r="M19" s="237"/>
    </row>
    <row r="20" spans="1:13">
      <c r="A20" s="236" t="s">
        <v>493</v>
      </c>
      <c r="B20" s="237"/>
      <c r="C20" s="237"/>
      <c r="D20" s="237"/>
      <c r="E20" s="237"/>
      <c r="F20" s="237"/>
      <c r="G20" s="237"/>
      <c r="H20" s="238"/>
      <c r="I20" s="238"/>
      <c r="J20" s="238"/>
      <c r="K20" s="238"/>
      <c r="L20" s="239" t="str">
        <f t="shared" si="0"/>
        <v/>
      </c>
      <c r="M20" s="237"/>
    </row>
    <row r="21" spans="1:13">
      <c r="A21" s="236" t="s">
        <v>494</v>
      </c>
      <c r="B21" s="237"/>
      <c r="C21" s="237"/>
      <c r="D21" s="237"/>
      <c r="E21" s="237"/>
      <c r="F21" s="237"/>
      <c r="G21" s="237"/>
      <c r="H21" s="238"/>
      <c r="I21" s="238"/>
      <c r="J21" s="238"/>
      <c r="K21" s="238"/>
      <c r="L21" s="239" t="str">
        <f t="shared" si="0"/>
        <v/>
      </c>
      <c r="M21" s="237"/>
    </row>
    <row r="22" spans="1:13">
      <c r="A22" s="236" t="s">
        <v>495</v>
      </c>
      <c r="B22" s="237"/>
      <c r="C22" s="237"/>
      <c r="D22" s="237"/>
      <c r="E22" s="237"/>
      <c r="F22" s="237"/>
      <c r="G22" s="237"/>
      <c r="H22" s="238"/>
      <c r="I22" s="238"/>
      <c r="J22" s="238"/>
      <c r="K22" s="238"/>
      <c r="L22" s="239" t="str">
        <f t="shared" si="0"/>
        <v/>
      </c>
      <c r="M22" s="237"/>
    </row>
    <row r="23" spans="1:13">
      <c r="A23" s="236" t="s">
        <v>496</v>
      </c>
      <c r="B23" s="237"/>
      <c r="C23" s="237"/>
      <c r="D23" s="237"/>
      <c r="E23" s="237"/>
      <c r="F23" s="237"/>
      <c r="G23" s="237"/>
      <c r="H23" s="238"/>
      <c r="I23" s="238"/>
      <c r="J23" s="238"/>
      <c r="K23" s="238"/>
      <c r="L23" s="239" t="str">
        <f t="shared" si="0"/>
        <v/>
      </c>
      <c r="M23" s="237"/>
    </row>
    <row r="24" spans="1:13">
      <c r="A24" s="236" t="s">
        <v>497</v>
      </c>
      <c r="B24" s="237"/>
      <c r="C24" s="237"/>
      <c r="D24" s="237"/>
      <c r="E24" s="237"/>
      <c r="F24" s="237"/>
      <c r="G24" s="237"/>
      <c r="H24" s="238"/>
      <c r="I24" s="238"/>
      <c r="J24" s="238"/>
      <c r="K24" s="238"/>
      <c r="L24" s="239" t="str">
        <f t="shared" si="0"/>
        <v/>
      </c>
      <c r="M24" s="237"/>
    </row>
    <row r="25" spans="1:13">
      <c r="A25" s="236" t="s">
        <v>498</v>
      </c>
      <c r="B25" s="237"/>
      <c r="C25" s="237"/>
      <c r="D25" s="237"/>
      <c r="E25" s="237"/>
      <c r="F25" s="237"/>
      <c r="G25" s="237"/>
      <c r="H25" s="238"/>
      <c r="I25" s="238"/>
      <c r="J25" s="238"/>
      <c r="K25" s="238"/>
      <c r="L25" s="239" t="str">
        <f t="shared" si="0"/>
        <v/>
      </c>
      <c r="M25" s="237"/>
    </row>
    <row r="26" spans="1:13">
      <c r="A26" s="236" t="s">
        <v>499</v>
      </c>
      <c r="B26" s="237"/>
      <c r="C26" s="237"/>
      <c r="D26" s="237"/>
      <c r="E26" s="237"/>
      <c r="F26" s="237"/>
      <c r="G26" s="237"/>
      <c r="H26" s="238"/>
      <c r="I26" s="238"/>
      <c r="J26" s="238"/>
      <c r="K26" s="238"/>
      <c r="L26" s="239" t="str">
        <f t="shared" si="0"/>
        <v/>
      </c>
      <c r="M26" s="237"/>
    </row>
    <row r="27" spans="1:13">
      <c r="A27" s="236" t="s">
        <v>500</v>
      </c>
      <c r="B27" s="237"/>
      <c r="C27" s="237"/>
      <c r="D27" s="237"/>
      <c r="E27" s="237"/>
      <c r="F27" s="237"/>
      <c r="G27" s="237"/>
      <c r="H27" s="238"/>
      <c r="I27" s="238"/>
      <c r="J27" s="238"/>
      <c r="K27" s="238"/>
      <c r="L27" s="239" t="str">
        <f t="shared" si="0"/>
        <v/>
      </c>
      <c r="M27" s="237"/>
    </row>
    <row r="28" spans="1:13">
      <c r="A28" s="236" t="s">
        <v>501</v>
      </c>
      <c r="B28" s="237"/>
      <c r="C28" s="237"/>
      <c r="D28" s="237"/>
      <c r="E28" s="237"/>
      <c r="F28" s="237"/>
      <c r="G28" s="237"/>
      <c r="H28" s="238"/>
      <c r="I28" s="238"/>
      <c r="J28" s="238"/>
      <c r="K28" s="238"/>
      <c r="L28" s="239" t="str">
        <f t="shared" si="0"/>
        <v/>
      </c>
      <c r="M28" s="237"/>
    </row>
    <row r="29" spans="1:13">
      <c r="A29" s="236" t="s">
        <v>502</v>
      </c>
      <c r="B29" s="237"/>
      <c r="C29" s="237"/>
      <c r="D29" s="237"/>
      <c r="E29" s="237"/>
      <c r="F29" s="237"/>
      <c r="G29" s="237"/>
      <c r="H29" s="238"/>
      <c r="I29" s="238"/>
      <c r="J29" s="238"/>
      <c r="K29" s="238"/>
      <c r="L29" s="239" t="str">
        <f t="shared" si="0"/>
        <v/>
      </c>
      <c r="M29" s="237"/>
    </row>
    <row r="30" spans="1:13">
      <c r="A30" s="236" t="s">
        <v>503</v>
      </c>
      <c r="B30" s="237"/>
      <c r="C30" s="237"/>
      <c r="D30" s="237"/>
      <c r="E30" s="237"/>
      <c r="F30" s="237"/>
      <c r="G30" s="237"/>
      <c r="H30" s="238"/>
      <c r="I30" s="238"/>
      <c r="J30" s="238"/>
      <c r="K30" s="238"/>
      <c r="L30" s="239" t="str">
        <f t="shared" si="0"/>
        <v/>
      </c>
      <c r="M30" s="237"/>
    </row>
    <row r="31" spans="1:13">
      <c r="A31" s="236" t="s">
        <v>504</v>
      </c>
      <c r="B31" s="237"/>
      <c r="C31" s="237"/>
      <c r="D31" s="237"/>
      <c r="E31" s="237"/>
      <c r="F31" s="237"/>
      <c r="G31" s="237"/>
      <c r="H31" s="238"/>
      <c r="I31" s="238"/>
      <c r="J31" s="238"/>
      <c r="K31" s="238"/>
      <c r="L31" s="239" t="str">
        <f t="shared" si="0"/>
        <v/>
      </c>
      <c r="M31" s="237"/>
    </row>
    <row r="32" spans="1:13">
      <c r="A32" s="236" t="s">
        <v>505</v>
      </c>
      <c r="B32" s="237"/>
      <c r="C32" s="237"/>
      <c r="D32" s="237"/>
      <c r="E32" s="237"/>
      <c r="F32" s="237"/>
      <c r="G32" s="237"/>
      <c r="H32" s="238"/>
      <c r="I32" s="238"/>
      <c r="J32" s="238"/>
      <c r="K32" s="238"/>
      <c r="L32" s="239" t="str">
        <f t="shared" si="0"/>
        <v/>
      </c>
      <c r="M32" s="237"/>
    </row>
    <row r="33" spans="1:13">
      <c r="A33" s="236" t="s">
        <v>506</v>
      </c>
      <c r="B33" s="237"/>
      <c r="C33" s="237"/>
      <c r="D33" s="237"/>
      <c r="E33" s="237"/>
      <c r="F33" s="237"/>
      <c r="G33" s="237"/>
      <c r="H33" s="238"/>
      <c r="I33" s="238"/>
      <c r="J33" s="238"/>
      <c r="K33" s="238"/>
      <c r="L33" s="239" t="str">
        <f t="shared" si="0"/>
        <v/>
      </c>
      <c r="M33" s="237"/>
    </row>
    <row r="34" spans="1:13">
      <c r="A34" s="236" t="s">
        <v>507</v>
      </c>
      <c r="B34" s="237"/>
      <c r="C34" s="237"/>
      <c r="D34" s="237"/>
      <c r="E34" s="237"/>
      <c r="F34" s="237"/>
      <c r="G34" s="237"/>
      <c r="H34" s="238"/>
      <c r="I34" s="238"/>
      <c r="J34" s="238"/>
      <c r="K34" s="238"/>
      <c r="L34" s="239" t="str">
        <f t="shared" si="0"/>
        <v/>
      </c>
      <c r="M34" s="237"/>
    </row>
    <row r="35" spans="1:13">
      <c r="A35" s="236" t="s">
        <v>508</v>
      </c>
      <c r="B35" s="237"/>
      <c r="C35" s="237"/>
      <c r="D35" s="237"/>
      <c r="E35" s="237"/>
      <c r="F35" s="237"/>
      <c r="G35" s="237"/>
      <c r="H35" s="238"/>
      <c r="I35" s="238"/>
      <c r="J35" s="238"/>
      <c r="K35" s="238"/>
      <c r="L35" s="239" t="str">
        <f t="shared" si="0"/>
        <v/>
      </c>
      <c r="M35" s="237"/>
    </row>
    <row r="36" spans="1:13">
      <c r="A36" s="236" t="s">
        <v>509</v>
      </c>
      <c r="B36" s="237"/>
      <c r="C36" s="237"/>
      <c r="D36" s="237"/>
      <c r="E36" s="237"/>
      <c r="F36" s="237"/>
      <c r="G36" s="237"/>
      <c r="H36" s="238"/>
      <c r="I36" s="238"/>
      <c r="J36" s="238"/>
      <c r="K36" s="238"/>
      <c r="L36" s="239" t="str">
        <f t="shared" si="0"/>
        <v/>
      </c>
      <c r="M36" s="237"/>
    </row>
    <row r="37" spans="1:13">
      <c r="A37" s="236" t="s">
        <v>510</v>
      </c>
      <c r="B37" s="237"/>
      <c r="C37" s="237"/>
      <c r="D37" s="237"/>
      <c r="E37" s="237"/>
      <c r="F37" s="237"/>
      <c r="G37" s="237"/>
      <c r="H37" s="238"/>
      <c r="I37" s="238"/>
      <c r="J37" s="238"/>
      <c r="K37" s="238"/>
      <c r="L37" s="239" t="str">
        <f t="shared" si="0"/>
        <v/>
      </c>
      <c r="M37" s="237"/>
    </row>
    <row r="38" spans="1:13">
      <c r="A38" s="236" t="s">
        <v>511</v>
      </c>
      <c r="B38" s="237"/>
      <c r="C38" s="237"/>
      <c r="D38" s="237"/>
      <c r="E38" s="237"/>
      <c r="F38" s="237"/>
      <c r="G38" s="237"/>
      <c r="H38" s="238"/>
      <c r="I38" s="238"/>
      <c r="J38" s="238"/>
      <c r="K38" s="238"/>
      <c r="L38" s="239" t="str">
        <f t="shared" si="0"/>
        <v/>
      </c>
      <c r="M38" s="237"/>
    </row>
    <row r="39" spans="1:13">
      <c r="A39" s="236" t="s">
        <v>512</v>
      </c>
      <c r="B39" s="237"/>
      <c r="C39" s="237"/>
      <c r="D39" s="237"/>
      <c r="E39" s="237"/>
      <c r="F39" s="237"/>
      <c r="G39" s="237"/>
      <c r="H39" s="238"/>
      <c r="I39" s="238"/>
      <c r="J39" s="238"/>
      <c r="K39" s="238"/>
      <c r="L39" s="239" t="str">
        <f t="shared" si="0"/>
        <v/>
      </c>
      <c r="M39" s="237"/>
    </row>
    <row r="40" spans="1:13">
      <c r="A40" s="236" t="s">
        <v>513</v>
      </c>
      <c r="B40" s="237"/>
      <c r="C40" s="237"/>
      <c r="D40" s="237"/>
      <c r="E40" s="237"/>
      <c r="F40" s="237"/>
      <c r="G40" s="237"/>
      <c r="H40" s="238"/>
      <c r="I40" s="238"/>
      <c r="J40" s="238"/>
      <c r="K40" s="238"/>
      <c r="L40" s="239" t="str">
        <f t="shared" si="0"/>
        <v/>
      </c>
      <c r="M40" s="237"/>
    </row>
    <row r="41" spans="1:13">
      <c r="A41" s="236" t="s">
        <v>514</v>
      </c>
      <c r="B41" s="237"/>
      <c r="C41" s="237"/>
      <c r="D41" s="237"/>
      <c r="E41" s="237"/>
      <c r="F41" s="237"/>
      <c r="G41" s="237"/>
      <c r="H41" s="238"/>
      <c r="I41" s="238"/>
      <c r="J41" s="238"/>
      <c r="K41" s="238"/>
      <c r="L41" s="239" t="str">
        <f t="shared" si="0"/>
        <v/>
      </c>
      <c r="M41" s="237"/>
    </row>
  </sheetData>
  <dataValidations count="1">
    <dataValidation type="list" allowBlank="1" showErrorMessage="1" errorTitle="Invalid entry" error="Please enter a valid value (see note above the column)." sqref="H13:K41" xr:uid="{00000000-0002-0000-4D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L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472</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 &gt;:&lt; Enforcement</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 &gt;:&lt; Development Compliance</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Construction monitoring &gt;:&lt; Construction monitoring</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mechanisms for monitoring ongoing construction/development projects for compliance with approved plans and permissions?   &gt;:&lt; Does the law mandate a system for monitoring ongoing construction/projects for possible violations?</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T&amp;CP Act or the allied Act, and Municipal Act for provisions for the following:
1. Authority to inspect ongoing construction/projects.
2. Stage-wise inspections or monitoring during construction, including, where applicable, commencement, plinth, intermediate stages and/or completion.
3. Power to issue notices or stop-work directions where unauthorised or non-conforming construction is identified.
Score 5 if all three of the aspects are met. 
Score 0 otherwise.</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862</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
        <v>867</v>
      </c>
      <c r="I12" s="235" t="s">
        <v>868</v>
      </c>
      <c r="J12" s="235" t="s">
        <v>869</v>
      </c>
      <c r="K12" s="233" t="s">
        <v>791</v>
      </c>
      <c r="L12" s="235" t="s">
        <v>792</v>
      </c>
    </row>
    <row r="13" spans="1:12">
      <c r="A13" s="236" t="s">
        <v>486</v>
      </c>
      <c r="B13" s="237"/>
      <c r="C13" s="237"/>
      <c r="D13" s="237"/>
      <c r="E13" s="237"/>
      <c r="F13" s="237"/>
      <c r="G13" s="237"/>
      <c r="H13" s="238"/>
      <c r="I13" s="238"/>
      <c r="J13" s="238"/>
      <c r="K13" s="239" t="str">
        <f t="shared" ref="K13:K41" si="0">IF(OR(H13="",I13="",J13=""),"",IF(COUNTIF(H13:J13,"YES")=3,$C$7,0))</f>
        <v/>
      </c>
      <c r="L13" s="237"/>
    </row>
    <row r="14" spans="1:12">
      <c r="A14" s="236" t="s">
        <v>487</v>
      </c>
      <c r="B14" s="237"/>
      <c r="C14" s="237"/>
      <c r="D14" s="237"/>
      <c r="E14" s="237"/>
      <c r="F14" s="237"/>
      <c r="G14" s="237"/>
      <c r="H14" s="238"/>
      <c r="I14" s="238"/>
      <c r="J14" s="238"/>
      <c r="K14" s="239" t="str">
        <f t="shared" si="0"/>
        <v/>
      </c>
      <c r="L14" s="237"/>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4E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L41"/>
  <sheetViews>
    <sheetView zoomScaleNormal="100" workbookViewId="0">
      <selection activeCell="A12" sqref="A12:XFD12"/>
    </sheetView>
  </sheetViews>
  <sheetFormatPr defaultColWidth="8.5703125" defaultRowHeight="14.45"/>
  <cols>
    <col min="1" max="1" width="18" customWidth="1"/>
    <col min="2" max="2" width="40" customWidth="1"/>
    <col min="3" max="4" width="11" customWidth="1"/>
    <col min="5" max="5" width="9" customWidth="1"/>
    <col min="6" max="6" width="11" customWidth="1"/>
    <col min="7" max="7" width="24" customWidth="1"/>
    <col min="8" max="10" width="22" customWidth="1"/>
    <col min="11" max="11" width="14" customWidth="1"/>
    <col min="12" max="12" width="45" customWidth="1"/>
  </cols>
  <sheetData>
    <row r="1" spans="1:12">
      <c r="A1" s="228" t="s">
        <v>777</v>
      </c>
      <c r="B1" s="228" t="s">
        <v>476</v>
      </c>
      <c r="C1" s="229" t="s">
        <v>778</v>
      </c>
    </row>
    <row r="2" spans="1:12">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 &gt;:&lt; Enforcement</v>
      </c>
      <c r="C2" s="229" t="s">
        <v>779</v>
      </c>
    </row>
    <row r="3" spans="1:12">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 &gt;:&lt; Development Compliance</v>
      </c>
    </row>
    <row r="4" spans="1:12">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Construction monitoring &gt;:&lt; Construction monitoring</v>
      </c>
    </row>
    <row r="5" spans="1:12">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spans="1:12">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mechanisms for monitoring ongoing construction/development projects for compliance with approved plans and permissions?   &gt;:&lt; Has a system for monitoring ongoing construction/projects for possible violations been implemented?</v>
      </c>
      <c r="C6" s="229" t="s">
        <v>780</v>
      </c>
    </row>
    <row r="7" spans="1:12">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0">
        <f>VLOOKUP($B$1,'UPD Questions_290926 '!$E$1:$N$300,MATCH($A$7,'UPD Questions_290926 '!$E$1:$N$1,0),0)</f>
        <v>5</v>
      </c>
    </row>
    <row r="8" spans="1:12">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spans="1:12"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ULG/Development Authority websites whether the monitoring process includes all of the following:
1.Online self-assessment/reporting of construction progress, including uploading photographs and requisite compliance documents
2. Periodic ground surveys/inspections of approved projects, covering either all projects or a defined sample
3. Public disclosure of monitoring information, including compliance numbers/status, violations registered and action taken.
Score 5 if all three elements are operational.
Score 0 otherwise.</v>
      </c>
    </row>
    <row r="10" spans="1:12" ht="30"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 xml:space="preserve"> &gt;:&lt; </v>
      </c>
      <c r="H10" s="231" t="s">
        <v>862</v>
      </c>
    </row>
    <row r="11" spans="1:12" ht="29.1">
      <c r="H11" s="232" t="s">
        <v>782</v>
      </c>
      <c r="I11" s="232" t="s">
        <v>782</v>
      </c>
      <c r="J11" s="232" t="s">
        <v>782</v>
      </c>
      <c r="K11" s="233" t="s">
        <v>783</v>
      </c>
    </row>
    <row r="12" spans="1:12" ht="60" customHeight="1">
      <c r="A12" s="234" t="s">
        <v>784</v>
      </c>
      <c r="B12" s="234" t="s">
        <v>785</v>
      </c>
      <c r="C12" s="234" t="s">
        <v>786</v>
      </c>
      <c r="D12" s="234" t="s">
        <v>787</v>
      </c>
      <c r="E12" s="234" t="s">
        <v>788</v>
      </c>
      <c r="F12" s="234" t="s">
        <v>789</v>
      </c>
      <c r="G12" s="234" t="s">
        <v>790</v>
      </c>
      <c r="H12" s="235" t="s">
        <v>870</v>
      </c>
      <c r="I12" s="235" t="s">
        <v>871</v>
      </c>
      <c r="J12" s="235" t="s">
        <v>872</v>
      </c>
      <c r="K12" s="233" t="s">
        <v>791</v>
      </c>
      <c r="L12" s="235" t="s">
        <v>792</v>
      </c>
    </row>
    <row r="13" spans="1:12">
      <c r="A13" s="236" t="s">
        <v>486</v>
      </c>
      <c r="B13" s="237"/>
      <c r="C13" s="237"/>
      <c r="D13" s="237"/>
      <c r="E13" s="237"/>
      <c r="F13" s="237"/>
      <c r="G13" s="237"/>
      <c r="H13" s="238"/>
      <c r="I13" s="238"/>
      <c r="J13" s="238"/>
      <c r="K13" s="239" t="str">
        <f t="shared" ref="K13:K41" si="0">IF(OR(H13="",I13="",J13=""),"",IF(COUNTIF(H13:J13,"YES")=3,$C$7,0))</f>
        <v/>
      </c>
      <c r="L13" s="237"/>
    </row>
    <row r="14" spans="1:12">
      <c r="A14" s="236" t="s">
        <v>487</v>
      </c>
      <c r="B14" s="237"/>
      <c r="C14" s="237"/>
      <c r="D14" s="237"/>
      <c r="E14" s="237"/>
      <c r="F14" s="237"/>
      <c r="G14" s="237"/>
      <c r="H14" s="238"/>
      <c r="I14" s="238"/>
      <c r="J14" s="238"/>
      <c r="K14" s="239" t="str">
        <f t="shared" si="0"/>
        <v/>
      </c>
      <c r="L14" s="237"/>
    </row>
    <row r="15" spans="1:12">
      <c r="A15" s="236" t="s">
        <v>488</v>
      </c>
      <c r="B15" s="237"/>
      <c r="C15" s="237"/>
      <c r="D15" s="237"/>
      <c r="E15" s="237"/>
      <c r="F15" s="237"/>
      <c r="G15" s="237"/>
      <c r="H15" s="238"/>
      <c r="I15" s="238"/>
      <c r="J15" s="238"/>
      <c r="K15" s="239" t="str">
        <f t="shared" si="0"/>
        <v/>
      </c>
      <c r="L15" s="237"/>
    </row>
    <row r="16" spans="1:12">
      <c r="A16" s="236" t="s">
        <v>489</v>
      </c>
      <c r="B16" s="237"/>
      <c r="C16" s="237"/>
      <c r="D16" s="237"/>
      <c r="E16" s="237"/>
      <c r="F16" s="237"/>
      <c r="G16" s="237"/>
      <c r="H16" s="238"/>
      <c r="I16" s="238"/>
      <c r="J16" s="238"/>
      <c r="K16" s="239" t="str">
        <f t="shared" si="0"/>
        <v/>
      </c>
      <c r="L16" s="237"/>
    </row>
    <row r="17" spans="1:12">
      <c r="A17" s="236" t="s">
        <v>490</v>
      </c>
      <c r="B17" s="237"/>
      <c r="C17" s="237"/>
      <c r="D17" s="237"/>
      <c r="E17" s="237"/>
      <c r="F17" s="237"/>
      <c r="G17" s="237"/>
      <c r="H17" s="238"/>
      <c r="I17" s="238"/>
      <c r="J17" s="238"/>
      <c r="K17" s="239" t="str">
        <f t="shared" si="0"/>
        <v/>
      </c>
      <c r="L17" s="237"/>
    </row>
    <row r="18" spans="1:12">
      <c r="A18" s="236" t="s">
        <v>491</v>
      </c>
      <c r="B18" s="237"/>
      <c r="C18" s="237"/>
      <c r="D18" s="237"/>
      <c r="E18" s="237"/>
      <c r="F18" s="237"/>
      <c r="G18" s="237"/>
      <c r="H18" s="238"/>
      <c r="I18" s="238"/>
      <c r="J18" s="238"/>
      <c r="K18" s="239" t="str">
        <f t="shared" si="0"/>
        <v/>
      </c>
      <c r="L18" s="237"/>
    </row>
    <row r="19" spans="1:12">
      <c r="A19" s="236" t="s">
        <v>492</v>
      </c>
      <c r="B19" s="237"/>
      <c r="C19" s="237"/>
      <c r="D19" s="237"/>
      <c r="E19" s="237"/>
      <c r="F19" s="237"/>
      <c r="G19" s="237"/>
      <c r="H19" s="238"/>
      <c r="I19" s="238"/>
      <c r="J19" s="238"/>
      <c r="K19" s="239" t="str">
        <f t="shared" si="0"/>
        <v/>
      </c>
      <c r="L19" s="237"/>
    </row>
    <row r="20" spans="1:12">
      <c r="A20" s="236" t="s">
        <v>493</v>
      </c>
      <c r="B20" s="237"/>
      <c r="C20" s="237"/>
      <c r="D20" s="237"/>
      <c r="E20" s="237"/>
      <c r="F20" s="237"/>
      <c r="G20" s="237"/>
      <c r="H20" s="238"/>
      <c r="I20" s="238"/>
      <c r="J20" s="238"/>
      <c r="K20" s="239" t="str">
        <f t="shared" si="0"/>
        <v/>
      </c>
      <c r="L20" s="237"/>
    </row>
    <row r="21" spans="1:12">
      <c r="A21" s="236" t="s">
        <v>494</v>
      </c>
      <c r="B21" s="237"/>
      <c r="C21" s="237"/>
      <c r="D21" s="237"/>
      <c r="E21" s="237"/>
      <c r="F21" s="237"/>
      <c r="G21" s="237"/>
      <c r="H21" s="238"/>
      <c r="I21" s="238"/>
      <c r="J21" s="238"/>
      <c r="K21" s="239" t="str">
        <f t="shared" si="0"/>
        <v/>
      </c>
      <c r="L21" s="237"/>
    </row>
    <row r="22" spans="1:12">
      <c r="A22" s="236" t="s">
        <v>495</v>
      </c>
      <c r="B22" s="237"/>
      <c r="C22" s="237"/>
      <c r="D22" s="237"/>
      <c r="E22" s="237"/>
      <c r="F22" s="237"/>
      <c r="G22" s="237"/>
      <c r="H22" s="238"/>
      <c r="I22" s="238"/>
      <c r="J22" s="238"/>
      <c r="K22" s="239" t="str">
        <f t="shared" si="0"/>
        <v/>
      </c>
      <c r="L22" s="237"/>
    </row>
    <row r="23" spans="1:12">
      <c r="A23" s="236" t="s">
        <v>496</v>
      </c>
      <c r="B23" s="237"/>
      <c r="C23" s="237"/>
      <c r="D23" s="237"/>
      <c r="E23" s="237"/>
      <c r="F23" s="237"/>
      <c r="G23" s="237"/>
      <c r="H23" s="238"/>
      <c r="I23" s="238"/>
      <c r="J23" s="238"/>
      <c r="K23" s="239" t="str">
        <f t="shared" si="0"/>
        <v/>
      </c>
      <c r="L23" s="237"/>
    </row>
    <row r="24" spans="1:12">
      <c r="A24" s="236" t="s">
        <v>497</v>
      </c>
      <c r="B24" s="237"/>
      <c r="C24" s="237"/>
      <c r="D24" s="237"/>
      <c r="E24" s="237"/>
      <c r="F24" s="237"/>
      <c r="G24" s="237"/>
      <c r="H24" s="238"/>
      <c r="I24" s="238"/>
      <c r="J24" s="238"/>
      <c r="K24" s="239" t="str">
        <f t="shared" si="0"/>
        <v/>
      </c>
      <c r="L24" s="237"/>
    </row>
    <row r="25" spans="1:12">
      <c r="A25" s="236" t="s">
        <v>498</v>
      </c>
      <c r="B25" s="237"/>
      <c r="C25" s="237"/>
      <c r="D25" s="237"/>
      <c r="E25" s="237"/>
      <c r="F25" s="237"/>
      <c r="G25" s="237"/>
      <c r="H25" s="238"/>
      <c r="I25" s="238"/>
      <c r="J25" s="238"/>
      <c r="K25" s="239" t="str">
        <f t="shared" si="0"/>
        <v/>
      </c>
      <c r="L25" s="237"/>
    </row>
    <row r="26" spans="1:12">
      <c r="A26" s="236" t="s">
        <v>499</v>
      </c>
      <c r="B26" s="237"/>
      <c r="C26" s="237"/>
      <c r="D26" s="237"/>
      <c r="E26" s="237"/>
      <c r="F26" s="237"/>
      <c r="G26" s="237"/>
      <c r="H26" s="238"/>
      <c r="I26" s="238"/>
      <c r="J26" s="238"/>
      <c r="K26" s="239" t="str">
        <f t="shared" si="0"/>
        <v/>
      </c>
      <c r="L26" s="237"/>
    </row>
    <row r="27" spans="1:12">
      <c r="A27" s="236" t="s">
        <v>500</v>
      </c>
      <c r="B27" s="237"/>
      <c r="C27" s="237"/>
      <c r="D27" s="237"/>
      <c r="E27" s="237"/>
      <c r="F27" s="237"/>
      <c r="G27" s="237"/>
      <c r="H27" s="238"/>
      <c r="I27" s="238"/>
      <c r="J27" s="238"/>
      <c r="K27" s="239" t="str">
        <f t="shared" si="0"/>
        <v/>
      </c>
      <c r="L27" s="237"/>
    </row>
    <row r="28" spans="1:12">
      <c r="A28" s="236" t="s">
        <v>501</v>
      </c>
      <c r="B28" s="237"/>
      <c r="C28" s="237"/>
      <c r="D28" s="237"/>
      <c r="E28" s="237"/>
      <c r="F28" s="237"/>
      <c r="G28" s="237"/>
      <c r="H28" s="238"/>
      <c r="I28" s="238"/>
      <c r="J28" s="238"/>
      <c r="K28" s="239" t="str">
        <f t="shared" si="0"/>
        <v/>
      </c>
      <c r="L28" s="237"/>
    </row>
    <row r="29" spans="1:12">
      <c r="A29" s="236" t="s">
        <v>502</v>
      </c>
      <c r="B29" s="237"/>
      <c r="C29" s="237"/>
      <c r="D29" s="237"/>
      <c r="E29" s="237"/>
      <c r="F29" s="237"/>
      <c r="G29" s="237"/>
      <c r="H29" s="238"/>
      <c r="I29" s="238"/>
      <c r="J29" s="238"/>
      <c r="K29" s="239" t="str">
        <f t="shared" si="0"/>
        <v/>
      </c>
      <c r="L29" s="237"/>
    </row>
    <row r="30" spans="1:12">
      <c r="A30" s="236" t="s">
        <v>503</v>
      </c>
      <c r="B30" s="237"/>
      <c r="C30" s="237"/>
      <c r="D30" s="237"/>
      <c r="E30" s="237"/>
      <c r="F30" s="237"/>
      <c r="G30" s="237"/>
      <c r="H30" s="238"/>
      <c r="I30" s="238"/>
      <c r="J30" s="238"/>
      <c r="K30" s="239" t="str">
        <f t="shared" si="0"/>
        <v/>
      </c>
      <c r="L30" s="237"/>
    </row>
    <row r="31" spans="1:12">
      <c r="A31" s="236" t="s">
        <v>504</v>
      </c>
      <c r="B31" s="237"/>
      <c r="C31" s="237"/>
      <c r="D31" s="237"/>
      <c r="E31" s="237"/>
      <c r="F31" s="237"/>
      <c r="G31" s="237"/>
      <c r="H31" s="238"/>
      <c r="I31" s="238"/>
      <c r="J31" s="238"/>
      <c r="K31" s="239" t="str">
        <f t="shared" si="0"/>
        <v/>
      </c>
      <c r="L31" s="237"/>
    </row>
    <row r="32" spans="1:12">
      <c r="A32" s="236" t="s">
        <v>505</v>
      </c>
      <c r="B32" s="237"/>
      <c r="C32" s="237"/>
      <c r="D32" s="237"/>
      <c r="E32" s="237"/>
      <c r="F32" s="237"/>
      <c r="G32" s="237"/>
      <c r="H32" s="238"/>
      <c r="I32" s="238"/>
      <c r="J32" s="238"/>
      <c r="K32" s="239" t="str">
        <f t="shared" si="0"/>
        <v/>
      </c>
      <c r="L32" s="237"/>
    </row>
    <row r="33" spans="1:12">
      <c r="A33" s="236" t="s">
        <v>506</v>
      </c>
      <c r="B33" s="237"/>
      <c r="C33" s="237"/>
      <c r="D33" s="237"/>
      <c r="E33" s="237"/>
      <c r="F33" s="237"/>
      <c r="G33" s="237"/>
      <c r="H33" s="238"/>
      <c r="I33" s="238"/>
      <c r="J33" s="238"/>
      <c r="K33" s="239" t="str">
        <f t="shared" si="0"/>
        <v/>
      </c>
      <c r="L33" s="237"/>
    </row>
    <row r="34" spans="1:12">
      <c r="A34" s="236" t="s">
        <v>507</v>
      </c>
      <c r="B34" s="237"/>
      <c r="C34" s="237"/>
      <c r="D34" s="237"/>
      <c r="E34" s="237"/>
      <c r="F34" s="237"/>
      <c r="G34" s="237"/>
      <c r="H34" s="238"/>
      <c r="I34" s="238"/>
      <c r="J34" s="238"/>
      <c r="K34" s="239" t="str">
        <f t="shared" si="0"/>
        <v/>
      </c>
      <c r="L34" s="237"/>
    </row>
    <row r="35" spans="1:12">
      <c r="A35" s="236" t="s">
        <v>508</v>
      </c>
      <c r="B35" s="237"/>
      <c r="C35" s="237"/>
      <c r="D35" s="237"/>
      <c r="E35" s="237"/>
      <c r="F35" s="237"/>
      <c r="G35" s="237"/>
      <c r="H35" s="238"/>
      <c r="I35" s="238"/>
      <c r="J35" s="238"/>
      <c r="K35" s="239" t="str">
        <f t="shared" si="0"/>
        <v/>
      </c>
      <c r="L35" s="237"/>
    </row>
    <row r="36" spans="1:12">
      <c r="A36" s="236" t="s">
        <v>509</v>
      </c>
      <c r="B36" s="237"/>
      <c r="C36" s="237"/>
      <c r="D36" s="237"/>
      <c r="E36" s="237"/>
      <c r="F36" s="237"/>
      <c r="G36" s="237"/>
      <c r="H36" s="238"/>
      <c r="I36" s="238"/>
      <c r="J36" s="238"/>
      <c r="K36" s="239" t="str">
        <f t="shared" si="0"/>
        <v/>
      </c>
      <c r="L36" s="237"/>
    </row>
    <row r="37" spans="1:12">
      <c r="A37" s="236" t="s">
        <v>510</v>
      </c>
      <c r="B37" s="237"/>
      <c r="C37" s="237"/>
      <c r="D37" s="237"/>
      <c r="E37" s="237"/>
      <c r="F37" s="237"/>
      <c r="G37" s="237"/>
      <c r="H37" s="238"/>
      <c r="I37" s="238"/>
      <c r="J37" s="238"/>
      <c r="K37" s="239" t="str">
        <f t="shared" si="0"/>
        <v/>
      </c>
      <c r="L37" s="237"/>
    </row>
    <row r="38" spans="1:12">
      <c r="A38" s="236" t="s">
        <v>511</v>
      </c>
      <c r="B38" s="237"/>
      <c r="C38" s="237"/>
      <c r="D38" s="237"/>
      <c r="E38" s="237"/>
      <c r="F38" s="237"/>
      <c r="G38" s="237"/>
      <c r="H38" s="238"/>
      <c r="I38" s="238"/>
      <c r="J38" s="238"/>
      <c r="K38" s="239" t="str">
        <f t="shared" si="0"/>
        <v/>
      </c>
      <c r="L38" s="237"/>
    </row>
    <row r="39" spans="1:12">
      <c r="A39" s="236" t="s">
        <v>512</v>
      </c>
      <c r="B39" s="237"/>
      <c r="C39" s="237"/>
      <c r="D39" s="237"/>
      <c r="E39" s="237"/>
      <c r="F39" s="237"/>
      <c r="G39" s="237"/>
      <c r="H39" s="238"/>
      <c r="I39" s="238"/>
      <c r="J39" s="238"/>
      <c r="K39" s="239" t="str">
        <f t="shared" si="0"/>
        <v/>
      </c>
      <c r="L39" s="237"/>
    </row>
    <row r="40" spans="1:12">
      <c r="A40" s="236" t="s">
        <v>513</v>
      </c>
      <c r="B40" s="237"/>
      <c r="C40" s="237"/>
      <c r="D40" s="237"/>
      <c r="E40" s="237"/>
      <c r="F40" s="237"/>
      <c r="G40" s="237"/>
      <c r="H40" s="238"/>
      <c r="I40" s="238"/>
      <c r="J40" s="238"/>
      <c r="K40" s="239" t="str">
        <f t="shared" si="0"/>
        <v/>
      </c>
      <c r="L40" s="237"/>
    </row>
    <row r="41" spans="1:12">
      <c r="A41" s="236" t="s">
        <v>514</v>
      </c>
      <c r="B41" s="237"/>
      <c r="C41" s="237"/>
      <c r="D41" s="237"/>
      <c r="E41" s="237"/>
      <c r="F41" s="237"/>
      <c r="G41" s="237"/>
      <c r="H41" s="238"/>
      <c r="I41" s="238"/>
      <c r="J41" s="238"/>
      <c r="K41" s="239" t="str">
        <f t="shared" si="0"/>
        <v/>
      </c>
      <c r="L41" s="237"/>
    </row>
  </sheetData>
  <dataValidations count="1">
    <dataValidation type="list" allowBlank="1" showErrorMessage="1" errorTitle="Invalid entry" error="Please enter a valid value (see note above the column)." sqref="H13:J41" xr:uid="{00000000-0002-0000-4F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J41"/>
  <sheetViews>
    <sheetView topLeftCell="A19" zoomScaleNormal="100" workbookViewId="0">
      <selection activeCell="B15" sqref="B15"/>
    </sheetView>
  </sheetViews>
  <sheetFormatPr defaultColWidth="8.5703125" defaultRowHeight="14.45"/>
  <cols>
    <col min="1" max="1" width="21" customWidth="1"/>
    <col min="2" max="2" width="40" customWidth="1"/>
    <col min="3" max="4" width="11" customWidth="1"/>
    <col min="5" max="5" width="9" customWidth="1"/>
    <col min="6" max="6" width="11" customWidth="1"/>
    <col min="7" max="7" width="24" customWidth="1"/>
    <col min="8" max="8" width="16" customWidth="1"/>
    <col min="9" max="9" width="14" customWidth="1"/>
    <col min="10" max="10" width="45" customWidth="1"/>
  </cols>
  <sheetData>
    <row r="1" spans="1:10">
      <c r="A1" s="228" t="s">
        <v>777</v>
      </c>
      <c r="B1" s="228" t="s">
        <v>480</v>
      </c>
      <c r="C1" s="229" t="s">
        <v>778</v>
      </c>
    </row>
    <row r="2" spans="1:10">
      <c r="A2" s="228" t="s">
        <v>5</v>
      </c>
      <c r="B2" s="228" t="str">
        <f>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v>
      </c>
      <c r="C2" s="229" t="s">
        <v>779</v>
      </c>
    </row>
    <row r="3" spans="1:10">
      <c r="A3" s="228" t="s">
        <v>6</v>
      </c>
      <c r="B3" s="228" t="str">
        <f>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spans="1:10">
      <c r="A4" s="228" t="s">
        <v>7</v>
      </c>
      <c r="B4" s="228" t="str">
        <f>IF(ISNUMBER(VALUE(RIGHT($B$1,1))),VLOOKUP($B$1,'UPD Questions_290926 '!$E$1:$N$300,MATCH($A4,'UPD Questions_290926 '!$E$1:$N$1,0),0)&amp;"",CONCATENATE(VLOOKUP(LEFT($B$1,(LEN($B$1)-1)),'UPD Questions_290926 '!$E$1:$N$300,MATCH($A4,'UPD Questions_290926 '!$E$1:$N$1,0),0)&amp;""," &gt;:&lt; ",VLOOKUP($B$1,'UPD Questions_290926 '!$E$1:$N$300,MATCH($A4,'UPD Questions_290926 '!$E$1:$N$1,0),0)&amp;""))</f>
        <v>Corrective action</v>
      </c>
    </row>
    <row r="5" spans="1:10">
      <c r="A5" s="228" t="s">
        <v>9</v>
      </c>
      <c r="B5" s="228" t="str">
        <f>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spans="1:10">
      <c r="A6" s="228" t="s">
        <v>8</v>
      </c>
      <c r="B6" s="228" t="str">
        <f>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provisions to penalise violating plans?</v>
      </c>
      <c r="C6" s="229" t="s">
        <v>780</v>
      </c>
    </row>
    <row r="7" spans="1:10">
      <c r="A7" s="228" t="s">
        <v>10</v>
      </c>
      <c r="B7" s="228" t="str">
        <f>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0">
        <f>VLOOKUP($B$1,'UPD Questions_290926 '!$E$1:$N$300,MATCH($A$7,'UPD Questions_290926 '!$E$1:$N$1,0),0)</f>
        <v>10</v>
      </c>
    </row>
    <row r="8" spans="1:10">
      <c r="A8" s="228" t="s">
        <v>11</v>
      </c>
      <c r="B8" s="228" t="str">
        <f>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spans="1:10" ht="90.75" customHeight="1">
      <c r="A9" s="228" t="s">
        <v>12</v>
      </c>
      <c r="B9" s="84" t="str">
        <f>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T&amp;CP Act mentions the penal provisions under the following heads (at least five of the below to mark as 'Yes'):
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v>
      </c>
    </row>
    <row r="10" spans="1:10" ht="89.45" customHeight="1">
      <c r="A10" s="228" t="s">
        <v>13</v>
      </c>
      <c r="B10" s="84" t="str">
        <f>IF(ISNUMBER(VALUE(RIGHT($B$1,1))),VLOOKUP($B$1,'UPD Questions_290926 '!$E$1:$N$300,MATCH($A10,'UPD Questions_290926 '!$E$1:$N$1,0),0)&amp;"",CONCATENATE(VLOOKUP(LEFT($B$1,(LEN($B$1)-1)),'UPD Questions_290926 '!$E$1:$N$300,MATCH($A10,'UPD Questions_290926 '!$E$1:$N$1,0),0)&amp;""," &gt;:&lt; ",VLOOKUP($B$1,'UPD Questions_290926 '!$E$1:$N$300,MATCH($A10,'UPD Questions_290926 '!$E$1:$N$1,0),0)&amp;""))</f>
        <v>Please give the text of the provisions in the scorer comment's column in the scoresheet</v>
      </c>
      <c r="H10" s="231" t="s">
        <v>873</v>
      </c>
    </row>
    <row r="11" spans="1:10" ht="65.099999999999994" customHeight="1">
      <c r="H11" s="232" t="s">
        <v>830</v>
      </c>
      <c r="I11" s="233" t="s">
        <v>783</v>
      </c>
    </row>
    <row r="12" spans="1:10" ht="60" customHeight="1">
      <c r="A12" s="234" t="s">
        <v>784</v>
      </c>
      <c r="B12" s="234" t="s">
        <v>785</v>
      </c>
      <c r="C12" s="234" t="s">
        <v>786</v>
      </c>
      <c r="D12" s="234" t="s">
        <v>787</v>
      </c>
      <c r="E12" s="234" t="s">
        <v>788</v>
      </c>
      <c r="F12" s="234" t="s">
        <v>789</v>
      </c>
      <c r="G12" s="234" t="s">
        <v>790</v>
      </c>
      <c r="H12" s="235" t="s">
        <v>874</v>
      </c>
      <c r="I12" s="233" t="s">
        <v>791</v>
      </c>
      <c r="J12" s="235" t="s">
        <v>792</v>
      </c>
    </row>
    <row r="13" spans="1:10">
      <c r="A13" s="236" t="s">
        <v>486</v>
      </c>
      <c r="B13" s="237"/>
      <c r="C13" s="237"/>
      <c r="D13" s="237"/>
      <c r="E13" s="237"/>
      <c r="F13" s="237"/>
      <c r="G13" s="237"/>
      <c r="H13" s="238"/>
      <c r="I13" s="239" t="str">
        <f t="shared" ref="I13:I41" si="0">IF(H13="","",MIN(H13*$C$7/5,$C$7))</f>
        <v/>
      </c>
      <c r="J13" s="237"/>
    </row>
    <row r="14" spans="1:10">
      <c r="A14" s="236" t="s">
        <v>487</v>
      </c>
      <c r="B14" s="237"/>
      <c r="C14" s="237"/>
      <c r="D14" s="237"/>
      <c r="E14" s="237"/>
      <c r="F14" s="237"/>
      <c r="G14" s="237"/>
      <c r="H14" s="238"/>
      <c r="I14" s="239" t="str">
        <f t="shared" si="0"/>
        <v/>
      </c>
      <c r="J14" s="237"/>
    </row>
    <row r="15" spans="1:10">
      <c r="A15" s="236" t="s">
        <v>488</v>
      </c>
      <c r="B15" s="237"/>
      <c r="C15" s="237"/>
      <c r="D15" s="237"/>
      <c r="E15" s="237"/>
      <c r="F15" s="237"/>
      <c r="G15" s="237"/>
      <c r="H15" s="238"/>
      <c r="I15" s="239" t="str">
        <f t="shared" si="0"/>
        <v/>
      </c>
      <c r="J15" s="237"/>
    </row>
    <row r="16" spans="1:10">
      <c r="A16" s="236" t="s">
        <v>489</v>
      </c>
      <c r="B16" s="237"/>
      <c r="C16" s="237"/>
      <c r="D16" s="237"/>
      <c r="E16" s="237"/>
      <c r="F16" s="237"/>
      <c r="G16" s="237"/>
      <c r="H16" s="238"/>
      <c r="I16" s="239" t="str">
        <f t="shared" si="0"/>
        <v/>
      </c>
      <c r="J16" s="237"/>
    </row>
    <row r="17" spans="1:10">
      <c r="A17" s="236" t="s">
        <v>490</v>
      </c>
      <c r="B17" s="237"/>
      <c r="C17" s="237"/>
      <c r="D17" s="237"/>
      <c r="E17" s="237"/>
      <c r="F17" s="237"/>
      <c r="G17" s="237"/>
      <c r="H17" s="238"/>
      <c r="I17" s="239" t="str">
        <f t="shared" si="0"/>
        <v/>
      </c>
      <c r="J17" s="237"/>
    </row>
    <row r="18" spans="1:10">
      <c r="A18" s="236" t="s">
        <v>491</v>
      </c>
      <c r="B18" s="237"/>
      <c r="C18" s="237"/>
      <c r="D18" s="237"/>
      <c r="E18" s="237"/>
      <c r="F18" s="237"/>
      <c r="G18" s="237"/>
      <c r="H18" s="238"/>
      <c r="I18" s="239" t="str">
        <f t="shared" si="0"/>
        <v/>
      </c>
      <c r="J18" s="237"/>
    </row>
    <row r="19" spans="1:10">
      <c r="A19" s="236" t="s">
        <v>492</v>
      </c>
      <c r="B19" s="237"/>
      <c r="C19" s="237"/>
      <c r="D19" s="237"/>
      <c r="E19" s="237"/>
      <c r="F19" s="237"/>
      <c r="G19" s="237"/>
      <c r="H19" s="238"/>
      <c r="I19" s="239" t="str">
        <f t="shared" si="0"/>
        <v/>
      </c>
      <c r="J19" s="237"/>
    </row>
    <row r="20" spans="1:10">
      <c r="A20" s="236" t="s">
        <v>493</v>
      </c>
      <c r="B20" s="237"/>
      <c r="C20" s="237"/>
      <c r="D20" s="237"/>
      <c r="E20" s="237"/>
      <c r="F20" s="237"/>
      <c r="G20" s="237"/>
      <c r="H20" s="238"/>
      <c r="I20" s="239" t="str">
        <f t="shared" si="0"/>
        <v/>
      </c>
      <c r="J20" s="237"/>
    </row>
    <row r="21" spans="1:10">
      <c r="A21" s="236" t="s">
        <v>494</v>
      </c>
      <c r="B21" s="237"/>
      <c r="C21" s="237"/>
      <c r="D21" s="237"/>
      <c r="E21" s="237"/>
      <c r="F21" s="237"/>
      <c r="G21" s="237"/>
      <c r="H21" s="238"/>
      <c r="I21" s="239" t="str">
        <f t="shared" si="0"/>
        <v/>
      </c>
      <c r="J21" s="237"/>
    </row>
    <row r="22" spans="1:10">
      <c r="A22" s="236" t="s">
        <v>495</v>
      </c>
      <c r="B22" s="237"/>
      <c r="C22" s="237"/>
      <c r="D22" s="237"/>
      <c r="E22" s="237"/>
      <c r="F22" s="237"/>
      <c r="G22" s="237"/>
      <c r="H22" s="238"/>
      <c r="I22" s="239" t="str">
        <f t="shared" si="0"/>
        <v/>
      </c>
      <c r="J22" s="237"/>
    </row>
    <row r="23" spans="1:10">
      <c r="A23" s="236" t="s">
        <v>496</v>
      </c>
      <c r="B23" s="237"/>
      <c r="C23" s="237"/>
      <c r="D23" s="237"/>
      <c r="E23" s="237"/>
      <c r="F23" s="237"/>
      <c r="G23" s="237"/>
      <c r="H23" s="238"/>
      <c r="I23" s="239" t="str">
        <f t="shared" si="0"/>
        <v/>
      </c>
      <c r="J23" s="237"/>
    </row>
    <row r="24" spans="1:10">
      <c r="A24" s="236" t="s">
        <v>497</v>
      </c>
      <c r="B24" s="237"/>
      <c r="C24" s="237"/>
      <c r="D24" s="237"/>
      <c r="E24" s="237"/>
      <c r="F24" s="237"/>
      <c r="G24" s="237"/>
      <c r="H24" s="238"/>
      <c r="I24" s="239" t="str">
        <f t="shared" si="0"/>
        <v/>
      </c>
      <c r="J24" s="237"/>
    </row>
    <row r="25" spans="1:10">
      <c r="A25" s="236" t="s">
        <v>498</v>
      </c>
      <c r="B25" s="237"/>
      <c r="C25" s="237"/>
      <c r="D25" s="237"/>
      <c r="E25" s="237"/>
      <c r="F25" s="237"/>
      <c r="G25" s="237"/>
      <c r="H25" s="238"/>
      <c r="I25" s="239" t="str">
        <f t="shared" si="0"/>
        <v/>
      </c>
      <c r="J25" s="237"/>
    </row>
    <row r="26" spans="1:10">
      <c r="A26" s="236" t="s">
        <v>499</v>
      </c>
      <c r="B26" s="237"/>
      <c r="C26" s="237"/>
      <c r="D26" s="237"/>
      <c r="E26" s="237"/>
      <c r="F26" s="237"/>
      <c r="G26" s="237"/>
      <c r="H26" s="238"/>
      <c r="I26" s="239" t="str">
        <f t="shared" si="0"/>
        <v/>
      </c>
      <c r="J26" s="237"/>
    </row>
    <row r="27" spans="1:10">
      <c r="A27" s="236" t="s">
        <v>500</v>
      </c>
      <c r="B27" s="237"/>
      <c r="C27" s="237"/>
      <c r="D27" s="237"/>
      <c r="E27" s="237"/>
      <c r="F27" s="237"/>
      <c r="G27" s="237"/>
      <c r="H27" s="238"/>
      <c r="I27" s="239" t="str">
        <f t="shared" si="0"/>
        <v/>
      </c>
      <c r="J27" s="237"/>
    </row>
    <row r="28" spans="1:10">
      <c r="A28" s="236" t="s">
        <v>501</v>
      </c>
      <c r="B28" s="237"/>
      <c r="C28" s="237"/>
      <c r="D28" s="237"/>
      <c r="E28" s="237"/>
      <c r="F28" s="237"/>
      <c r="G28" s="237"/>
      <c r="H28" s="238"/>
      <c r="I28" s="239" t="str">
        <f t="shared" si="0"/>
        <v/>
      </c>
      <c r="J28" s="237"/>
    </row>
    <row r="29" spans="1:10">
      <c r="A29" s="236" t="s">
        <v>502</v>
      </c>
      <c r="B29" s="237"/>
      <c r="C29" s="237"/>
      <c r="D29" s="237"/>
      <c r="E29" s="237"/>
      <c r="F29" s="237"/>
      <c r="G29" s="237"/>
      <c r="H29" s="238"/>
      <c r="I29" s="239" t="str">
        <f t="shared" si="0"/>
        <v/>
      </c>
      <c r="J29" s="237"/>
    </row>
    <row r="30" spans="1:10">
      <c r="A30" s="236" t="s">
        <v>503</v>
      </c>
      <c r="B30" s="237"/>
      <c r="C30" s="237"/>
      <c r="D30" s="237"/>
      <c r="E30" s="237"/>
      <c r="F30" s="237"/>
      <c r="G30" s="237"/>
      <c r="H30" s="238"/>
      <c r="I30" s="239" t="str">
        <f t="shared" si="0"/>
        <v/>
      </c>
      <c r="J30" s="237"/>
    </row>
    <row r="31" spans="1:10">
      <c r="A31" s="236" t="s">
        <v>504</v>
      </c>
      <c r="B31" s="237"/>
      <c r="C31" s="237"/>
      <c r="D31" s="237"/>
      <c r="E31" s="237"/>
      <c r="F31" s="237"/>
      <c r="G31" s="237"/>
      <c r="H31" s="238"/>
      <c r="I31" s="239" t="str">
        <f t="shared" si="0"/>
        <v/>
      </c>
      <c r="J31" s="237"/>
    </row>
    <row r="32" spans="1:10">
      <c r="A32" s="236" t="s">
        <v>505</v>
      </c>
      <c r="B32" s="237"/>
      <c r="C32" s="237"/>
      <c r="D32" s="237"/>
      <c r="E32" s="237"/>
      <c r="F32" s="237"/>
      <c r="G32" s="237"/>
      <c r="H32" s="238"/>
      <c r="I32" s="239" t="str">
        <f t="shared" si="0"/>
        <v/>
      </c>
      <c r="J32" s="237"/>
    </row>
    <row r="33" spans="1:10">
      <c r="A33" s="236" t="s">
        <v>506</v>
      </c>
      <c r="B33" s="237"/>
      <c r="C33" s="237"/>
      <c r="D33" s="237"/>
      <c r="E33" s="237"/>
      <c r="F33" s="237"/>
      <c r="G33" s="237"/>
      <c r="H33" s="238"/>
      <c r="I33" s="239" t="str">
        <f t="shared" si="0"/>
        <v/>
      </c>
      <c r="J33" s="237"/>
    </row>
    <row r="34" spans="1:10">
      <c r="A34" s="236" t="s">
        <v>507</v>
      </c>
      <c r="B34" s="237"/>
      <c r="C34" s="237"/>
      <c r="D34" s="237"/>
      <c r="E34" s="237"/>
      <c r="F34" s="237"/>
      <c r="G34" s="237"/>
      <c r="H34" s="238"/>
      <c r="I34" s="239" t="str">
        <f t="shared" si="0"/>
        <v/>
      </c>
      <c r="J34" s="237"/>
    </row>
    <row r="35" spans="1:10">
      <c r="A35" s="236" t="s">
        <v>508</v>
      </c>
      <c r="B35" s="237"/>
      <c r="C35" s="237"/>
      <c r="D35" s="237"/>
      <c r="E35" s="237"/>
      <c r="F35" s="237"/>
      <c r="G35" s="237"/>
      <c r="H35" s="238"/>
      <c r="I35" s="239" t="str">
        <f t="shared" si="0"/>
        <v/>
      </c>
      <c r="J35" s="237"/>
    </row>
    <row r="36" spans="1:10">
      <c r="A36" s="236" t="s">
        <v>509</v>
      </c>
      <c r="B36" s="237"/>
      <c r="C36" s="237"/>
      <c r="D36" s="237"/>
      <c r="E36" s="237"/>
      <c r="F36" s="237"/>
      <c r="G36" s="237"/>
      <c r="H36" s="238"/>
      <c r="I36" s="239" t="str">
        <f t="shared" si="0"/>
        <v/>
      </c>
      <c r="J36" s="237"/>
    </row>
    <row r="37" spans="1:10">
      <c r="A37" s="236" t="s">
        <v>510</v>
      </c>
      <c r="B37" s="237"/>
      <c r="C37" s="237"/>
      <c r="D37" s="237"/>
      <c r="E37" s="237"/>
      <c r="F37" s="237"/>
      <c r="G37" s="237"/>
      <c r="H37" s="238"/>
      <c r="I37" s="239" t="str">
        <f t="shared" si="0"/>
        <v/>
      </c>
      <c r="J37" s="237"/>
    </row>
    <row r="38" spans="1:10">
      <c r="A38" s="236" t="s">
        <v>511</v>
      </c>
      <c r="B38" s="237"/>
      <c r="C38" s="237"/>
      <c r="D38" s="237"/>
      <c r="E38" s="237"/>
      <c r="F38" s="237"/>
      <c r="G38" s="237"/>
      <c r="H38" s="238"/>
      <c r="I38" s="239" t="str">
        <f t="shared" si="0"/>
        <v/>
      </c>
      <c r="J38" s="237"/>
    </row>
    <row r="39" spans="1:10">
      <c r="A39" s="236" t="s">
        <v>512</v>
      </c>
      <c r="B39" s="237"/>
      <c r="C39" s="237"/>
      <c r="D39" s="237"/>
      <c r="E39" s="237"/>
      <c r="F39" s="237"/>
      <c r="G39" s="237"/>
      <c r="H39" s="238"/>
      <c r="I39" s="239" t="str">
        <f t="shared" si="0"/>
        <v/>
      </c>
      <c r="J39" s="237"/>
    </row>
    <row r="40" spans="1:10">
      <c r="A40" s="236" t="s">
        <v>513</v>
      </c>
      <c r="B40" s="237"/>
      <c r="C40" s="237"/>
      <c r="D40" s="237"/>
      <c r="E40" s="237"/>
      <c r="F40" s="237"/>
      <c r="G40" s="237"/>
      <c r="H40" s="238"/>
      <c r="I40" s="239" t="str">
        <f t="shared" si="0"/>
        <v/>
      </c>
      <c r="J40" s="237"/>
    </row>
    <row r="41" spans="1:10">
      <c r="A41" s="236" t="s">
        <v>514</v>
      </c>
      <c r="B41" s="237"/>
      <c r="C41" s="237"/>
      <c r="D41" s="237"/>
      <c r="E41" s="237"/>
      <c r="F41" s="237"/>
      <c r="G41" s="237"/>
      <c r="H41" s="238"/>
      <c r="I41" s="239" t="str">
        <f t="shared" si="0"/>
        <v/>
      </c>
      <c r="J41" s="237"/>
    </row>
  </sheetData>
  <dataValidations count="1">
    <dataValidation type="whole" operator="greaterThanOrEqual" allowBlank="1" showErrorMessage="1" errorTitle="Invalid entry" error="Please enter a valid value (see note above the column)." sqref="H13:H41" xr:uid="{00000000-0002-0000-5000-000000000000}">
      <formula1>0</formula1>
      <formula2>0</formula2>
    </dataValidation>
  </dataValidation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eab365-84d2-4835-b909-cc74a2b60864">
      <Value>167</Value>
    </TaxCatchAll>
    <i38ea444526a4a6ba1f42477b158801c xmlns="8f4fbb62-44cd-4e02-9161-7fdc70683c32">
      <Terms xmlns="http://schemas.microsoft.com/office/infopath/2007/PartnerControls"/>
    </i38ea444526a4a6ba1f42477b158801c>
    <ac2b754c5d2442d2bed5e1cc680ef77e xmlns="8f4fbb62-44cd-4e02-9161-7fdc70683c32">
      <Terms xmlns="http://schemas.microsoft.com/office/infopath/2007/PartnerControls">
        <TermInfo xmlns="http://schemas.microsoft.com/office/infopath/2007/PartnerControls">
          <TermName xmlns="http://schemas.microsoft.com/office/infopath/2007/PartnerControls">Advocacy_Research</TermName>
          <TermId xmlns="http://schemas.microsoft.com/office/infopath/2007/PartnerControls">085511b0-7144-4788-869f-9a4533588176</TermId>
        </TermInfo>
      </Terms>
    </ac2b754c5d2442d2bed5e1cc680ef77e>
    <f4e9ef042eed4b14baa99aa2d78a4417 xmlns="8f4fbb62-44cd-4e02-9161-7fdc70683c32">
      <Terms xmlns="http://schemas.microsoft.com/office/infopath/2007/PartnerControls"/>
    </f4e9ef042eed4b14baa99aa2d78a4417>
    <lcf76f155ced4ddcb4097134ff3c332f xmlns="3c8e047a-b5c1-41b9-ab5f-5a44b3183c45">
      <Terms xmlns="http://schemas.microsoft.com/office/infopath/2007/PartnerControls"/>
    </lcf76f155ced4ddcb4097134ff3c332f>
    <IconOverlay xmlns="http://schemas.microsoft.com/sharepoint/v4" xsi:nil="true"/>
    <Test xmlns="8f4fbb62-44cd-4e02-9161-7fdc70683c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5FC0E5BB0F4546AE12BE9A8815662A" ma:contentTypeVersion="41" ma:contentTypeDescription="Create a new document." ma:contentTypeScope="" ma:versionID="1c70ec9ea75221d23814cbece49cf11b">
  <xsd:schema xmlns:xsd="http://www.w3.org/2001/XMLSchema" xmlns:xs="http://www.w3.org/2001/XMLSchema" xmlns:p="http://schemas.microsoft.com/office/2006/metadata/properties" xmlns:ns2="8f4fbb62-44cd-4e02-9161-7fdc70683c32" xmlns:ns3="66eab365-84d2-4835-b909-cc74a2b60864" xmlns:ns4="00bcc19a-5b78-4efe-bbab-ad01c4df9286" xmlns:ns5="http://schemas.microsoft.com/sharepoint/v4" xmlns:ns6="3c8e047a-b5c1-41b9-ab5f-5a44b3183c45" targetNamespace="http://schemas.microsoft.com/office/2006/metadata/properties" ma:root="true" ma:fieldsID="02cd6d37261c9cacc073f22b4183e5e3" ns2:_="" ns3:_="" ns4:_="" ns5:_="" ns6:_="">
    <xsd:import namespace="8f4fbb62-44cd-4e02-9161-7fdc70683c32"/>
    <xsd:import namespace="66eab365-84d2-4835-b909-cc74a2b60864"/>
    <xsd:import namespace="00bcc19a-5b78-4efe-bbab-ad01c4df9286"/>
    <xsd:import namespace="http://schemas.microsoft.com/sharepoint/v4"/>
    <xsd:import namespace="3c8e047a-b5c1-41b9-ab5f-5a44b3183c45"/>
    <xsd:element name="properties">
      <xsd:complexType>
        <xsd:sequence>
          <xsd:element name="documentManagement">
            <xsd:complexType>
              <xsd:all>
                <xsd:element ref="ns2:f4e9ef042eed4b14baa99aa2d78a4417" minOccurs="0"/>
                <xsd:element ref="ns3:TaxCatchAll" minOccurs="0"/>
                <xsd:element ref="ns2:ac2b754c5d2442d2bed5e1cc680ef77e" minOccurs="0"/>
                <xsd:element ref="ns2:i38ea444526a4a6ba1f42477b158801c" minOccurs="0"/>
                <xsd:element ref="ns4:SharedWithUsers" minOccurs="0"/>
                <xsd:element ref="ns4:SharingHintHash" minOccurs="0"/>
                <xsd:element ref="ns4:SharedWithDetails" minOccurs="0"/>
                <xsd:element ref="ns2:Test" minOccurs="0"/>
                <xsd:element ref="ns5:IconOverlay" minOccurs="0"/>
                <xsd:element ref="ns6:MediaServiceMetadata" minOccurs="0"/>
                <xsd:element ref="ns6:MediaServiceFastMetadata" minOccurs="0"/>
                <xsd:element ref="ns6:MediaServiceDateTaken" minOccurs="0"/>
                <xsd:element ref="ns6:MediaServiceAutoTags" minOccurs="0"/>
                <xsd:element ref="ns6:MediaServiceOCR" minOccurs="0"/>
                <xsd:element ref="ns6:MediaServiceGenerationTime" minOccurs="0"/>
                <xsd:element ref="ns6:MediaServiceEventHashCode" minOccurs="0"/>
                <xsd:element ref="ns6:MediaServiceAutoKeyPoints" minOccurs="0"/>
                <xsd:element ref="ns6:MediaServiceKeyPoints" minOccurs="0"/>
                <xsd:element ref="ns6:MediaLengthInSeconds" minOccurs="0"/>
                <xsd:element ref="ns6:lcf76f155ced4ddcb4097134ff3c332f" minOccurs="0"/>
                <xsd:element ref="ns6:MediaServiceLocation" minOccurs="0"/>
                <xsd:element ref="ns6:MediaServiceObjectDetectorVersions" minOccurs="0"/>
                <xsd:element ref="ns6:MediaServiceSearchProperties" minOccurs="0"/>
                <xsd:element ref="ns6: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4fbb62-44cd-4e02-9161-7fdc70683c32" elementFormDefault="qualified">
    <xsd:import namespace="http://schemas.microsoft.com/office/2006/documentManagement/types"/>
    <xsd:import namespace="http://schemas.microsoft.com/office/infopath/2007/PartnerControls"/>
    <xsd:element name="f4e9ef042eed4b14baa99aa2d78a4417" ma:index="9" ma:taxonomy="true" ma:internalName="f4e9ef042eed4b14baa99aa2d78a4417" ma:taxonomyFieldName="Program" ma:displayName="Program" ma:indexed="true" ma:default="" ma:fieldId="{f4e9ef04-2eed-4b14-baa9-9aa2d78a4417}" ma:sspId="8648e0e9-bd7b-40d5-848b-91c61f6093b5" ma:termSetId="42a250bb-2675-4580-848b-c026fb8ebdb3" ma:anchorId="e0650e14-3994-4540-aeb5-fdb0a11597d4" ma:open="false" ma:isKeyword="false">
      <xsd:complexType>
        <xsd:sequence>
          <xsd:element ref="pc:Terms" minOccurs="0" maxOccurs="1"/>
        </xsd:sequence>
      </xsd:complexType>
    </xsd:element>
    <xsd:element name="ac2b754c5d2442d2bed5e1cc680ef77e" ma:index="12" ma:taxonomy="true" ma:internalName="ac2b754c5d2442d2bed5e1cc680ef77e" ma:taxonomyFieldName="Department" ma:displayName="Department" ma:indexed="true" ma:default="167;#Advocacy_Research|085511b0-7144-4788-869f-9a4533588176" ma:fieldId="{ac2b754c-5d24-42d2-bed5-e1cc680ef77e}" ma:sspId="8648e0e9-bd7b-40d5-848b-91c61f6093b5" ma:termSetId="2abd7d2a-0490-4e45-9eff-103b72701fcb" ma:anchorId="00000000-0000-0000-0000-000000000000" ma:open="false" ma:isKeyword="false">
      <xsd:complexType>
        <xsd:sequence>
          <xsd:element ref="pc:Terms" minOccurs="0" maxOccurs="1"/>
        </xsd:sequence>
      </xsd:complexType>
    </xsd:element>
    <xsd:element name="i38ea444526a4a6ba1f42477b158801c" ma:index="14" ma:taxonomy="true" ma:internalName="i38ea444526a4a6ba1f42477b158801c" ma:taxonomyFieldName="Document_x0020_Type" ma:displayName="Document Type" ma:indexed="true" ma:default="" ma:fieldId="{238ea444-526a-4a6b-a1f4-2477b158801c}" ma:sspId="8648e0e9-bd7b-40d5-848b-91c61f6093b5" ma:termSetId="d8969001-c2ff-45f0-a6e5-f570a2e30134" ma:anchorId="937197f2-aa22-43b4-b8f0-5109041ca8d4" ma:open="false" ma:isKeyword="false">
      <xsd:complexType>
        <xsd:sequence>
          <xsd:element ref="pc:Terms" minOccurs="0" maxOccurs="1"/>
        </xsd:sequence>
      </xsd:complexType>
    </xsd:element>
    <xsd:element name="Test" ma:index="18" nillable="true" ma:displayName="Descriptio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6eab365-84d2-4835-b909-cc74a2b60864" elementFormDefault="qualified">
    <xsd:import namespace="http://schemas.microsoft.com/office/2006/documentManagement/types"/>
    <xsd:import namespace="http://schemas.microsoft.com/office/infopath/2007/PartnerControls"/>
    <xsd:element name="TaxCatchAll" ma:index="10" nillable="true" ma:displayName="Taxonomy Catch All Column" ma:description="" ma:hidden="true" ma:list="{7c71fcf9-2bd3-4c9d-ba8d-8096096a9c3a}" ma:internalName="TaxCatchAll" ma:showField="CatchAllData" ma:web="66eab365-84d2-4835-b909-cc74a2b6086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0bcc19a-5b78-4efe-bbab-ad01c4df9286" elementFormDefault="qualified">
    <xsd:import namespace="http://schemas.microsoft.com/office/2006/documentManagement/types"/>
    <xsd:import namespace="http://schemas.microsoft.com/office/infopath/2007/PartnerControls"/>
    <xsd:element name="SharedWithUsers" ma:index="15"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6" nillable="true" ma:displayName="Sharing Hint Hash" ma:description="" ma:internalName="SharingHintHash" ma:readOnly="true">
      <xsd:simpleType>
        <xsd:restriction base="dms:Text"/>
      </xsd:simpleType>
    </xsd:element>
    <xsd:element name="SharedWithDetails" ma:index="17"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8e047a-b5c1-41b9-ab5f-5a44b3183c45" elementFormDefault="qualified">
    <xsd:import namespace="http://schemas.microsoft.com/office/2006/documentManagement/types"/>
    <xsd:import namespace="http://schemas.microsoft.com/office/infopath/2007/PartnerControls"/>
    <xsd:element name="MediaServiceMetadata" ma:index="20" nillable="true" ma:displayName="MediaServiceMetadata" ma:description="" ma:hidden="true" ma:internalName="MediaServiceMetadata" ma:readOnly="true">
      <xsd:simpleType>
        <xsd:restriction base="dms:Note"/>
      </xsd:simpleType>
    </xsd:element>
    <xsd:element name="MediaServiceFastMetadata" ma:index="21" nillable="true" ma:displayName="MediaServiceFastMetadata" ma:description="" ma:hidden="true" ma:internalName="MediaServiceFastMetadata" ma:readOnly="true">
      <xsd:simpleType>
        <xsd:restriction base="dms:Note"/>
      </xsd:simpleType>
    </xsd:element>
    <xsd:element name="MediaServiceDateTaken" ma:index="22" nillable="true" ma:displayName="MediaServiceDateTaken" ma:hidden="true" ma:internalName="MediaServiceDateTaken" ma:readOnly="true">
      <xsd:simpleType>
        <xsd:restriction base="dms:Text"/>
      </xsd:simpleType>
    </xsd:element>
    <xsd:element name="MediaServiceAutoTags" ma:index="23" nillable="true" ma:displayName="MediaServiceAutoTags" ma:internalName="MediaServiceAutoTags" ma:readOnly="true">
      <xsd:simpleType>
        <xsd:restriction base="dms:Text"/>
      </xsd:simpleType>
    </xsd:element>
    <xsd:element name="MediaServiceOCR" ma:index="24" nillable="true" ma:displayName="MediaServiceOCR"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LengthInSeconds" ma:index="29" nillable="true" ma:displayName="MediaLengthInSeconds" ma:hidden="true"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8648e0e9-bd7b-40d5-848b-91c61f6093b5" ma:termSetId="09814cd3-568e-fe90-9814-8d621ff8fb84" ma:anchorId="fba54fb3-c3e1-fe81-a776-ca4b69148c4d" ma:open="true" ma:isKeyword="false">
      <xsd:complexType>
        <xsd:sequence>
          <xsd:element ref="pc:Terms" minOccurs="0" maxOccurs="1"/>
        </xsd:sequence>
      </xsd:complexType>
    </xsd:element>
    <xsd:element name="MediaServiceLocation" ma:index="32" nillable="true" ma:displayName="Location" ma:indexed="true" ma:internalName="MediaServiceLocation" ma:readOnly="true">
      <xsd:simpleType>
        <xsd:restriction base="dms:Text"/>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D1C9CB-6A82-4F6D-B561-D85869A3D384}"/>
</file>

<file path=customXml/itemProps2.xml><?xml version="1.0" encoding="utf-8"?>
<ds:datastoreItem xmlns:ds="http://schemas.openxmlformats.org/officeDocument/2006/customXml" ds:itemID="{59BCCBC1-494A-4B62-A0FC-BB0081A33064}"/>
</file>

<file path=customXml/itemProps3.xml><?xml version="1.0" encoding="utf-8"?>
<ds:datastoreItem xmlns:ds="http://schemas.openxmlformats.org/officeDocument/2006/customXml" ds:itemID="{1AD75093-4751-496F-982A-EC6AE7DBDC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2026-09-22T20:15:05Z</dcterms:created>
  <dcterms:modified xsi:type="dcterms:W3CDTF">2026-10-07T08:21:55Z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0x010100D65FC0E5BB0F4546AE12BE9A8815662A</vt:lpwstr>
  </property>
  <property fmtid="{D5CDD505-2E9C-101B-9397-08002B2CF9AE}" pid="3" name="Document_x0020_Type">
    <vt:lpwstr/>
  </property>
  <property fmtid="{D5CDD505-2E9C-101B-9397-08002B2CF9AE}" pid="4" name="MediaServiceImageTags">
    <vt:lpwstr/>
  </property>
  <property fmtid="{D5CDD505-2E9C-101B-9397-08002B2CF9AE}" pid="5" name="Department">
    <vt:lpwstr>167;#Advocacy_Research|085511b0-7144-4788-869f-9a4533588176</vt:lpwstr>
  </property>
  <property fmtid="{D5CDD505-2E9C-101B-9397-08002B2CF9AE}" pid="6" name="Program">
    <vt:lpwstr/>
  </property>
  <property fmtid="{D5CDD505-2E9C-101B-9397-08002B2CF9AE}" pid="7" name="Document Type">
    <vt:lpwstr/>
  </property>
</Properties>
</file>