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6.xml" ContentType="application/vnd.openxmlformats-officedocument.spreadsheetml.worksheet+xml"/>
  <Override PartName="/xl/worksheets/sheet29.xml" ContentType="application/vnd.openxmlformats-officedocument.spreadsheetml.worksheet+xml"/>
  <Override PartName="/xl/worksheets/sheet5.xml" ContentType="application/vnd.openxmlformats-officedocument.spreadsheetml.worksheet+xml"/>
  <Override PartName="/xl/worksheets/sheet19.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18.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5.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2.xml" ContentType="application/vnd.openxmlformats-officedocument.spreadsheetml.worksheet+xml"/>
  <Override PartName="/xl/worksheets/sheet45.xml" ContentType="application/vnd.openxmlformats-officedocument.spreadsheetml.worksheet+xml"/>
  <Override PartName="/xl/worksheets/sheet3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27.xml" ContentType="application/vnd.openxmlformats-officedocument.spreadsheetml.worksheet+xml"/>
  <Override PartName="/xl/worksheets/sheet38.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4.xml" ContentType="application/vnd.openxmlformats-officedocument.spreadsheetml.worksheet+xml"/>
  <Override PartName="/xl/worksheets/sheet23.xml" ContentType="application/vnd.openxmlformats-officedocument.spreadsheetml.worksheet+xml"/>
  <Override PartName="/xl/worksheets/sheet42.xml" ContentType="application/vnd.openxmlformats-officedocument.spreadsheetml.worksheet+xml"/>
  <Override PartName="/xl/worksheets/sheet28.xml" ContentType="application/vnd.openxmlformats-officedocument.spreadsheetml.worksheet+xml"/>
  <Override PartName="/xl/worksheets/sheet22.xml" ContentType="application/vnd.openxmlformats-officedocument.spreadsheetml.worksheet+xml"/>
  <Override PartName="/xl/worksheets/sheet10.xml" ContentType="application/vnd.openxmlformats-officedocument.spreadsheetml.worksheet+xml"/>
  <Override PartName="/xl/worksheets/sheet43.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heck before use" sheetId="1" state="visible" r:id="rId3"/>
    <sheet name="PARASTATAL_SUMMARY_RAW" sheetId="2" state="visible" r:id="rId4"/>
    <sheet name="PARASTATAL_CITY_SCORES" sheetId="3" state="visible" r:id="rId5"/>
    <sheet name="PARASTATAL Questions" sheetId="4" state="visible" r:id="rId6"/>
    <sheet name="UPD1a" sheetId="5" state="visible" r:id="rId7"/>
    <sheet name="UPD1b" sheetId="6" state="visible" r:id="rId8"/>
    <sheet name="UPD2a" sheetId="7" state="visible" r:id="rId9"/>
    <sheet name="UPD2b" sheetId="8" state="visible" r:id="rId10"/>
    <sheet name="UPD2c" sheetId="9" state="visible" r:id="rId11"/>
    <sheet name="UPD2d" sheetId="10" state="visible" r:id="rId12"/>
    <sheet name="UPD3a" sheetId="11" state="visible" r:id="rId13"/>
    <sheet name="UPD3b" sheetId="12" state="visible" r:id="rId14"/>
    <sheet name="UPD4a" sheetId="13" state="visible" r:id="rId15"/>
    <sheet name="UPD4b" sheetId="14" state="visible" r:id="rId16"/>
    <sheet name="UPD5a" sheetId="15" state="visible" r:id="rId17"/>
    <sheet name="UPD5b" sheetId="16" state="visible" r:id="rId18"/>
    <sheet name="UPD6a" sheetId="17" state="visible" r:id="rId19"/>
    <sheet name="UPD6b" sheetId="18" state="visible" r:id="rId20"/>
    <sheet name="DPG1a" sheetId="19" state="visible" r:id="rId21"/>
    <sheet name="DPG1b" sheetId="20" state="visible" r:id="rId22"/>
    <sheet name="DPG2a" sheetId="21" state="visible" r:id="rId23"/>
    <sheet name="DPG2b" sheetId="22" state="visible" r:id="rId24"/>
    <sheet name="DPG3" sheetId="23" state="visible" r:id="rId25"/>
    <sheet name="DPG5a" sheetId="24" state="visible" r:id="rId26"/>
    <sheet name="DPG5b" sheetId="25" state="visible" r:id="rId27"/>
    <sheet name="DPG5c" sheetId="26" state="visible" r:id="rId28"/>
    <sheet name="DPG5d" sheetId="27" state="visible" r:id="rId29"/>
    <sheet name="DPG5e" sheetId="28" state="visible" r:id="rId30"/>
    <sheet name="DPG5f" sheetId="29" state="visible" r:id="rId31"/>
    <sheet name="DPG5g" sheetId="30" state="visible" r:id="rId32"/>
    <sheet name="DPG5h" sheetId="31" state="visible" r:id="rId33"/>
    <sheet name="DPG5i" sheetId="32" state="visible" r:id="rId34"/>
    <sheet name="DPG5j" sheetId="33" state="visible" r:id="rId35"/>
    <sheet name="DPG6a" sheetId="34" state="visible" r:id="rId36"/>
    <sheet name="DPG6b" sheetId="35" state="visible" r:id="rId37"/>
    <sheet name="DPG7a" sheetId="36" state="visible" r:id="rId38"/>
    <sheet name="DPG7b" sheetId="37" state="visible" r:id="rId39"/>
    <sheet name="SC1" sheetId="38" state="visible" r:id="rId40"/>
    <sheet name="SC2" sheetId="39" state="visible" r:id="rId41"/>
    <sheet name="SC3" sheetId="40" state="visible" r:id="rId42"/>
    <sheet name="SC4a" sheetId="41" state="visible" r:id="rId43"/>
    <sheet name="SC4b" sheetId="42" state="visible" r:id="rId44"/>
    <sheet name="SC5" sheetId="43" state="visible" r:id="rId45"/>
    <sheet name="SC6" sheetId="44" state="visible" r:id="rId46"/>
    <sheet name="SC7a" sheetId="45" state="visible" r:id="rId47"/>
    <sheet name="SC7b" sheetId="46" state="visible" r:id="rId4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<sst xmlns="http://schemas.openxmlformats.org/spreadsheetml/2006/main" count="2603" uniqueCount="518">
  <si>
    <t xml:space="preserve">DRAFT PARASTATAL scoring workbook - generated from the methodology sheet</t>
  </si>
  <si>
    <t xml:space="preserve">This draft follows the same layout as the UPD scoring workbook, so the app can fill, merge and read it. The scoring experts should:</t>
  </si>
  <si>
    <t xml:space="preserve">  1. Replace each question sheet's simple inputs (yellow) and Points formula with the real ones, keeping the row-11 instructions (e.g. SELECT YES / NO) and the column names 'Points (Auto-generate)' and 'SCORER COMMENTS'.</t>
  </si>
  <si>
    <t xml:space="preserve">  2. Check 'Applies?' (filled in from each agency's type and the question's Applicability). To change it, fix the agency in the city register or Sources workbook and generate again.</t>
  </si>
  <si>
    <t xml:space="preserve">  3. Fix the points below in the methodology sheet and generate again.</t>
  </si>
  <si>
    <t xml:space="preserve">Points to check:</t>
  </si>
  <si>
    <t xml:space="preserve">  • Section 'Decentralised Participatory Governance' has no (CODE); using DPG</t>
  </si>
  <si>
    <t xml:space="preserve">  • Section 'State Capacities' has no (CODE); using SC</t>
  </si>
  <si>
    <t xml:space="preserve">  • Question Bank row 57: the ID "SC-5" is used twice. Each question needs its own ID; the second one was skipped.</t>
  </si>
  <si>
    <t xml:space="preserve">  • UPD 1a: the methodology gives scores up to 10, but the Max Score is 5. Say how the score should be scaled.</t>
  </si>
  <si>
    <t xml:space="preserve">  • DPG 4 has no Tag or Max Score, so it is left out of the scores. Add them if it should be scored.</t>
  </si>
  <si>
    <t xml:space="preserve">ASICS 2027_Report_Q No</t>
  </si>
  <si>
    <t xml:space="preserve">Group</t>
  </si>
  <si>
    <t xml:space="preserve">MQ_SQ</t>
  </si>
  <si>
    <t xml:space="preserve">Question</t>
  </si>
  <si>
    <t xml:space="preserve">Assessment level</t>
  </si>
  <si>
    <t xml:space="preserve">Max Score</t>
  </si>
  <si>
    <t xml:space="preserve">Bengaluru – BWSSB</t>
  </si>
  <si>
    <t xml:space="preserve">Bengaluru – BMTC</t>
  </si>
  <si>
    <t xml:space="preserve">Bengaluru – BDA</t>
  </si>
  <si>
    <t xml:space="preserve">Bengaluru – BMRCL</t>
  </si>
  <si>
    <t xml:space="preserve">Bengaluru – BMRDA</t>
  </si>
  <si>
    <t xml:space="preserve">Surat – SUDA</t>
  </si>
  <si>
    <t xml:space="preserve">Surat – GMRC</t>
  </si>
  <si>
    <t xml:space="preserve">ENTER</t>
  </si>
  <si>
    <t xml:space="preserve">Derived</t>
  </si>
  <si>
    <t xml:space="preserve">UPD1</t>
  </si>
  <si>
    <t xml:space="preserve">UPD1a</t>
  </si>
  <si>
    <t xml:space="preserve">UPD1b</t>
  </si>
  <si>
    <t xml:space="preserve">UPD2</t>
  </si>
  <si>
    <t xml:space="preserve">UPD2a</t>
  </si>
  <si>
    <t xml:space="preserve">UPD2b</t>
  </si>
  <si>
    <t xml:space="preserve">UPD2c</t>
  </si>
  <si>
    <t xml:space="preserve">UPD2d</t>
  </si>
  <si>
    <t xml:space="preserve">UPD3</t>
  </si>
  <si>
    <t xml:space="preserve">UPD3a</t>
  </si>
  <si>
    <t xml:space="preserve">UPD3b</t>
  </si>
  <si>
    <t xml:space="preserve">UPD4</t>
  </si>
  <si>
    <t xml:space="preserve">UPD4a</t>
  </si>
  <si>
    <t xml:space="preserve">UPD4b</t>
  </si>
  <si>
    <t xml:space="preserve">UPD5</t>
  </si>
  <si>
    <t xml:space="preserve">UPD5a</t>
  </si>
  <si>
    <t xml:space="preserve">UPD5b</t>
  </si>
  <si>
    <t xml:space="preserve">UPD6</t>
  </si>
  <si>
    <t xml:space="preserve">UPD6a</t>
  </si>
  <si>
    <t xml:space="preserve">UPD6b</t>
  </si>
  <si>
    <t xml:space="preserve">DPG1</t>
  </si>
  <si>
    <t xml:space="preserve">DPG1a</t>
  </si>
  <si>
    <t xml:space="preserve">DPG1b</t>
  </si>
  <si>
    <t xml:space="preserve">DPG2</t>
  </si>
  <si>
    <t xml:space="preserve">DPG2a</t>
  </si>
  <si>
    <t xml:space="preserve">DPG2b</t>
  </si>
  <si>
    <t xml:space="preserve">DPG3</t>
  </si>
  <si>
    <t xml:space="preserve">DPG5</t>
  </si>
  <si>
    <t xml:space="preserve">DPG5a</t>
  </si>
  <si>
    <t xml:space="preserve">DPG5b</t>
  </si>
  <si>
    <t xml:space="preserve">DPG5c</t>
  </si>
  <si>
    <t xml:space="preserve">DPG5d</t>
  </si>
  <si>
    <t xml:space="preserve">DPG5e</t>
  </si>
  <si>
    <t xml:space="preserve">DPG5f</t>
  </si>
  <si>
    <t xml:space="preserve">DPG5g</t>
  </si>
  <si>
    <t xml:space="preserve">DPG5h</t>
  </si>
  <si>
    <t xml:space="preserve">DPG5i</t>
  </si>
  <si>
    <t xml:space="preserve">DPG5j</t>
  </si>
  <si>
    <t xml:space="preserve">DPG6</t>
  </si>
  <si>
    <t xml:space="preserve">DPG6a</t>
  </si>
  <si>
    <t xml:space="preserve">DPG6b</t>
  </si>
  <si>
    <t xml:space="preserve">DPG7</t>
  </si>
  <si>
    <t xml:space="preserve">DPG7a</t>
  </si>
  <si>
    <t xml:space="preserve">DPG7b</t>
  </si>
  <si>
    <t xml:space="preserve">SC1</t>
  </si>
  <si>
    <t xml:space="preserve">SC2</t>
  </si>
  <si>
    <t xml:space="preserve">SC3</t>
  </si>
  <si>
    <t xml:space="preserve">SC4</t>
  </si>
  <si>
    <t xml:space="preserve">SC4a</t>
  </si>
  <si>
    <t xml:space="preserve">SC4b</t>
  </si>
  <si>
    <t xml:space="preserve">SC5</t>
  </si>
  <si>
    <t xml:space="preserve">SC6</t>
  </si>
  <si>
    <t xml:space="preserve">SC7</t>
  </si>
  <si>
    <t xml:space="preserve">SC7a</t>
  </si>
  <si>
    <t xml:space="preserve">SC7b</t>
  </si>
  <si>
    <t xml:space="preserve">PARASTATAL_Scores</t>
  </si>
  <si>
    <t xml:space="preserve">PARASTATAL_OVERALL_SCORE</t>
  </si>
  <si>
    <t xml:space="preserve">No. of MQs not yet scored ("?") - overall score is provisional while &gt; 0</t>
  </si>
  <si>
    <t xml:space="preserve">No. of MQs marked NA (excluded from overall score)</t>
  </si>
  <si>
    <t xml:space="preserve">City</t>
  </si>
  <si>
    <t xml:space="preserve">Agencies</t>
  </si>
  <si>
    <t xml:space="preserve">PARASTATAL score</t>
  </si>
  <si>
    <t xml:space="preserve">Agencies with a score</t>
  </si>
  <si>
    <t xml:space="preserve">Bengaluru</t>
  </si>
  <si>
    <t xml:space="preserve">BWSSB, BMTC, BDA, BMRCL, BMRDA</t>
  </si>
  <si>
    <t xml:space="preserve">Surat</t>
  </si>
  <si>
    <t xml:space="preserve">SUDA, GMRC</t>
  </si>
  <si>
    <t xml:space="preserve">A city's score is the average of its agencies' overall scores. Agencies with no applicable questions (NA) are left out.</t>
  </si>
  <si>
    <t xml:space="preserve">Q No</t>
  </si>
  <si>
    <t xml:space="preserve">Original ID</t>
  </si>
  <si>
    <t xml:space="preserve">Applicability</t>
  </si>
  <si>
    <t xml:space="preserve">Detailed Methodology</t>
  </si>
  <si>
    <t xml:space="preserve">Notes for scorers</t>
  </si>
  <si>
    <t xml:space="preserve">UPD 1</t>
  </si>
  <si>
    <t xml:space="preserve">Urban Planning &amp; Design (UPD)</t>
  </si>
  <si>
    <t xml:space="preserve">MQ</t>
  </si>
  <si>
    <t xml:space="preserve">Does the parastatal coordinate with the ULG(s) in preparing its sectoral plans?</t>
  </si>
  <si>
    <t xml:space="preserve">Law/Policy + Implementation</t>
  </si>
  <si>
    <t xml:space="preserve">All parastatals excluding Development Authorities</t>
  </si>
  <si>
    <t xml:space="preserve">Sum total of the sub-indicators below -</t>
  </si>
  <si>
    <t xml:space="preserve">See sub-indicators</t>
  </si>
  <si>
    <t xml:space="preserve">UPD 1a</t>
  </si>
  <si>
    <t xml:space="preserve">SQ</t>
  </si>
  <si>
    <t xml:space="preserve">Is the parastatal mandated to prepare its sectoral plans in coordination with the ULG(s) within its jurisdiction?</t>
  </si>
  <si>
    <t xml:space="preserve">Law/Policy</t>
  </si>
  <si>
    <t xml:space="preserve">Check the relevant Parastatal Act/Rules and the State Town and Country Planning Act to determine whether the parastatal is required to coordinate with the ULG(s) while preparing its sectoral plans.
Identify the nature of the ULG’s formal role in the plan-making process and score as follows:
10 — ULG approval/concurrence is mandatory with terms such as 'shall consult' 
2.5 — Consultation with the ULG is discretionary with terms such as “may consult”.
0 — No formal role for the ULG in preparation of the parastatal’s plan can be established.
Where different provisions apply to different plans prepared by the parastatal, assess the principal sectoral plan relevant to the service being evaluated.</t>
  </si>
  <si>
    <t xml:space="preserve">Relevant Parastatal Act; applicable Town and Country Planning (T&amp;CP) Act.</t>
  </si>
  <si>
    <t xml:space="preserve">UPD 1b</t>
  </si>
  <si>
    <t xml:space="preserve">Has the ULG participated in the parastatal’s plan-making process?</t>
  </si>
  <si>
    <t xml:space="preserve">Implementation</t>
  </si>
  <si>
    <t xml:space="preserve">Check the latest available plan-making cycle for evidence of ULG participation in the parastatal’s plan-making process, irrespective of whether such participation is legally mandated.
Score 10 where there is evidence of ULG participation. Such evidence may include plan documents, consultation records, meeting minutes, ULG resolutions/comments, responses to ULG inputs, or information published on the parastatal/ULG website.
Score 0 where there is no such evidence.
Where different provisions apply to different plans prepared by the parastatal, assess the principal sectoral plan relevant to the service being evaluated.</t>
  </si>
  <si>
    <t xml:space="preserve">Evidence may include plan documents, consultation records, meeting minutes, ULG resolutions/comments, responses to ULG inputs, or information published on the parastatal/ULG website.</t>
  </si>
  <si>
    <t xml:space="preserve">UPD 2</t>
  </si>
  <si>
    <t xml:space="preserve">Where multiple statutory or sectoral plans apply to the same territory, does the water supply board and transport corporation ensure consistency with the municipal/city plan for the city?</t>
  </si>
  <si>
    <t xml:space="preserve">Sum of the sub-questions below -</t>
  </si>
  <si>
    <t xml:space="preserve">UPD 2a</t>
  </si>
  <si>
    <t xml:space="preserve">Where multiple statutory or sectoral plans apply to the same territory, is the water board mandated to ensure consistency with the applicable city /municipal plan for the city?</t>
  </si>
  <si>
    <t xml:space="preserve">Water supply board</t>
  </si>
  <si>
    <t xml:space="preserve">Check the relevant Parastatal Act and Town and Country Planning Act.
Score 2.50 if the parastatal 'shall/is required to' ensure that its sectoral plan is consistent with the applicable city or municipal plan.
Score 1.25 if the law provides that such alignment is discretionary. ('May' provision)
Score 0 if no such provision exists.
For example, a provision stating that a water supply plan shall conform to the applicable city/municipal plan would score 2.5, while a provision stating that the authority may have regard to such a plan would score 1.25.</t>
  </si>
  <si>
    <t xml:space="preserve">UPD 2b</t>
  </si>
  <si>
    <t xml:space="preserve">Where multiple statutory or sectoral plans apply to the same territory, does the water supply board ensure consistency with the applicable municipal/city plan for the city?</t>
  </si>
  <si>
    <t xml:space="preserve">Check the Board’s current water supply/sewerage master plan, or equivalent sectoral planning document, together with the applicable Master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
Score 1.25 if there is partial alignment: the water plan refers to the master plan and/or uses its population, density or land-use projections, but does not clearly demonstrate that these inputs determine the spatial location of network expansion, service areas or major infrastructure.
Score 0 if there is no identifiable evidence that the Master Plan or its spatial/population framework informs water planning.</t>
  </si>
  <si>
    <t xml:space="preserve">Water Supply Board's current water supply/sewerage master plan or equivalent sectoral planning document; applicable Master Plan/Development Plan/Metropolitan or Regional Plan; land-use conversion/regularisation records for major treatment plants or trunk infrastructure, where available.</t>
  </si>
  <si>
    <t xml:space="preserve">UPD 2c</t>
  </si>
  <si>
    <t xml:space="preserve">Where multiple statutory or sectoral plans apply to the same territory, is the transport corporation mandated to ensure consistency with the applicable municipal/city plan for the city?</t>
  </si>
  <si>
    <t xml:space="preserve">Transport Corporation</t>
  </si>
  <si>
    <t xml:space="preserve">Review the relevant Parastatal Act and Town and Country Planning Act.
Score 2.5 if the parastatal 'shall/is required to' ensure that its sectoral plan is consistent with the applicable municipal/city plan.
Score 1.25 if the law provides that such alignment is discretionary. ('May' provision)
Score 0 if no such provision exists.
For example, a provision stating that a transport plan shall conform to the applicable city/municipal plan would score 2.5, while a provision stating that the authority may have regard to such a plan would score 1.25.</t>
  </si>
  <si>
    <t xml:space="preserve">UPD 2d</t>
  </si>
  <si>
    <t xml:space="preserve">Where multiple statutory or sectoral plans apply to the same territory, does the transport corporation ensure consistency with the applicable municipal/city plan for the city?</t>
  </si>
  <si>
    <t xml:space="preserve">Check the transport corporation's current transport/mobility master plan, network expansion plan, or equivalent sectoral planning document, together with the applicable city/municipal Master Plan.
Score 2.5 if the transport plan demonstrates substantive spatial alignment with the city/municipal's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
Score 1.25 if there is partial alignment: the transport plan refers to the master plan and/or uses its population, density or land-use projections, but does not clearly demonstrate that these inputs determine the spatial location of routes, stations or major infrastructure.
Score 0 if there is no identifiable evidence that the Master Plan or its spatial/population framework informs transport planning.</t>
  </si>
  <si>
    <t xml:space="preserve">Transport corporation's current mobility/network plan; applicable Master Plan/Development Plan/Metropolitan or Regional Plan; land-use conversion/regularisation records for major transport infrastructure, where available.</t>
  </si>
  <si>
    <t xml:space="preserve">UPD 3</t>
  </si>
  <si>
    <t xml:space="preserve">Are the needs of women and the urban poor explicitly considered in the water board’s planning, service delivery or major investment decisions?</t>
  </si>
  <si>
    <t xml:space="preserve">Check the relevant Act of the parastatal and applicable sectoral legislation, rules, regulations and other binding policy instruments. Do not award credit solely for broad references such as “public interest”, “public welfare” or “welfare of inhabitants”; there must be an identifiable requirement relating to women, the urban poor, EWS/slum residents, persons with disabilities, informal workers, disadvantaged/vulnerable groups, affordability, equitable/universal access, safety, or rehabilitation/resettlement protections.</t>
  </si>
  <si>
    <t xml:space="preserve">Relevant Act of the parastatal and applicable sectoral legislation, rules, regulations and other binding policy instruments</t>
  </si>
  <si>
    <t xml:space="preserve">UPD 3a</t>
  </si>
  <si>
    <t xml:space="preserve">Is the water supply board mandated to consider the needs of women and the urban poor in decisions relating to access, affordability and delivery of water and sanitation services?</t>
  </si>
  <si>
    <t xml:space="preserve">Check the Water Supply Board/utility Act, rules, tariff regulations and other binding legal instruments. Assess whether the legal framework requires the Board to address the needs of economically vulnerable groups and women in decisions relating to access, affordability and service delivery.
Do not award credit for generic obligations such as “public interest”, “universal supply”, “adequate service” or “service to all” unless these are translated into a specific legal requirement relating to affordability, service access, coverage or the needs of women.
Part A – Urban Poor: Affordability and access – 2.5 marks
Look for identifiable legal requirements such as:
concessional, lifeline or differentiated tariffs for EWS/BPL/low-income households;
concessions relating to connection charges, deposits or other service-access costs;
requirements to provide services to slums, informal settlements, low-income or underserved areas;
tenure-neutral or other provisions enabling access irrespective of land tenure/status;
minimum/lifeline supply or alternative service arrangements for underserved populations.
Score 2.5: There is a clear mandatory requirement (“shall”, “must” or equivalent) addressing affordability or access for economically vulnerable groups.
Score 1.25: The legal framework permits or encourages such measures (“may” or equivalent), but does not make them mandatory.
Score 0: No specific legal provision addressing affordability or access for economically vulnerable groups is found.
Part B – Women: Gender-responsive access and service delivery – 2.5 marks
Look for identifiable legal requirements such as:
consideration of women’s needs in water and sanitation planning or service provision;
requirements relating to location, accessibility or safety of shared/public water infrastructure;
gender-sensitive planning, assessment or consultation requirements;
service or design requirements intended to reduce barriers faced by women in accessing water and sanitation services.
Score 2.5: There is a clear mandatory requirement (“shall”, “must” or equivalent) addressing women’s access or service-delivery needs.
Score 1.25: The legal framework permits or encourages consideration of women’s needs (“may” or equivalent), but does not make it mandatory.
Score 0: No specific legal provision addressing women’s access or service-delivery needs is found.</t>
  </si>
  <si>
    <t xml:space="preserve">Water Supply Board/utility Act, water and sanitation legislation, tariff regulations, service rules, State policies and other applicable binding instruments</t>
  </si>
  <si>
    <t xml:space="preserve">UPD 3b</t>
  </si>
  <si>
    <t xml:space="preserve">Does the water supply board actually consider the needs of women and the urban poor in decisions relating to access, affordability and delivery of water and sanitation services?</t>
  </si>
  <si>
    <t xml:space="preserve">Check the Board’s current water supply/sanitation plan, applicable policy documents, active schemes, tariff/connection-concession orders and service or design standards. Assess whether the needs of economically vulnerable groups and women are recognised and translated into specific policies, schemes, targets, projects or service-delivery measures. 
Check for implementation, whether or not such measures are legally mandated.
Do not award full credit for generic language such as “public interest”, “all consumers”, “universal service” or “inclusive development”. Credit should depend on how well identified needs translate into specific, operational measures.
Part A – Urban Poor: Affordability and inclusion in service coverage – 2.5 marks
Look for measures such as:
concessional/lifeline tariffs or reductions in connection charges, deposits or other service costs;
policies or schemes targeting EWS/BPL, slum, informal-settlement or low-income households;
explicit inclusion of slums/informal or underserved settlements in service-area, demand or network planning;
targeted network extension or service-coverage commitments;
alternative service-delivery arrangements where household connections are not feasible;
defined coverage, connection, tariff or service targets/projects for economically vulnerable groups.
Score 2.5: The needs of economically vulnerable groups are addressed through a comprehensive policy or scheme and translated into specific operational measures, targets, projects or service commitments relating to affordability and/or access.
Score 1.25: Economically vulnerable groups are explicitly recognised, but the response is limited to broad policy intent, isolated provisions or measures without clearly defined operational targets/projects.
Score 0 — No identifiable consideration of affordability or service access for economically vulnerable groups is found.
Part B – Women: Gender-responsive planning and service delivery – 2.5 marks
Look for measures such as:
policies or schemes specifically addressing women’s water and sanitation access;
gender/GESI analysis or screening in water-supply or sanitation planning;
siting of shared infrastructure to address women’s time, distance or physical burden;
safety or accessibility measures at community/public water or sanitation facilities;
gender-responsive design or service standards;
defined targets, projects or investments addressing identified barriers faced by women.
Scoring
Score 2.5: Women’s needs are addressed through a comprehensive policy or scheme and translated into specific operational/design measures, targets or projects.
Score 1.25: Women are explicitly identified and their needs recognised, but this is limited to broad policy intent or isolated provisions without clearly defined operational/design measures, targets or projects.
Score 0: No identifiable consideration of women’s access or service-delivery needs is found.</t>
  </si>
  <si>
    <t xml:space="preserve">Water Supply Board's current water supply/sanitation plan; scheme/coverage documents; tariff or connection-concession orders; design/service standards.</t>
  </si>
  <si>
    <t xml:space="preserve">UPD 4</t>
  </si>
  <si>
    <t xml:space="preserve">Are the needs of women and the urban poor explicitly considered in the transport Corporation’s planning, service delivery or major investment decisions?</t>
  </si>
  <si>
    <t xml:space="preserve">UPD 4a</t>
  </si>
  <si>
    <t xml:space="preserve">Is the transport corporation mandated to consider the mobility needs of women and the urban poor  in planning and delivering public transport services?</t>
  </si>
  <si>
    <t xml:space="preserve">Check the transport authority/corporation Act, other Acts (Companies Act/Road Transport Corporation Act/Motor Vehicles Act), rules, fare policies and other binding policy instruments.
Part A – Urban Poor: Affordability and inclusion in service coverage – Score 2.5
Check the transport authority/corporation Act, applicable transport legislation, rules, regulations and other binding legal instruments. Assess whether the legal framework requires the parastatal to address the mobility needs of economically vulnerable groups.
Do not award credit for generic obligations such as “public interest”, “adequate transport”, “efficient service” or “service to all” unless these are translated into a specific requirement relating to affordability, service coverage or access.
Look for identifiable legal requirements such as (non-exhaustive):
concessional, subsidised or differentiated fares for EWS/BPL/low-income users;
consideration of affordability in fare determination;
provision or maintenance of services to underserved, peripheral or low-income areas;
minimum service coverage or socially necessary routes;
feeder, last-mile or other access provisions aimed at underserved populations.
Score 2.5: There is a clear mandatory requirement (“shall” or “must”) addressing affordability, service coverage or access for economically vulnerable groups.
Score 1.25: The legal framework permits or encourages such measures (“may”), but does not make them mandatory.
Score 0: No specific legal provision addresses the mobility needs of economically vulnerable groups.
Part B – Women: Safety and mobility – Score 2.5
Check the transport authority/corporation Act, applicable transport legislation, rules, regulations and other binding legal instruments. Assess whether the legal framework requires the parastatal to address women’s safety and mobility needs.
Do not award credit for generic obligations relating to passenger safety, public convenience or service to all unless women are specifically identified or the provision clearly addresses gender-specific mobility or safety needs.
Look for identifiable legal requirements such as:
consideration of women’s safety or mobility in transport planning or service provision;
safety requirements relating to vehicles, stops, terminals or other passenger facilities that specifically address women;
provision of women-specific facilities, reserved spaces or other service-design measures;
requirements relating to safe first- and last-mile access for women;
gender-sensitive planning, assessment, consultation or service-design requirements.
Score 2.5: There is a clear mandatory requirement (“shall” or “must”) addressing women’s safety or mobility needs.
Score 1.25: The legal framework permits or encourages such measures (“may” ), but does not make them mandatory.
Score 0:  No specific legal provision addressing women’s safety or mobility needs is found.</t>
  </si>
  <si>
    <t xml:space="preserve">Transport authority/corporation Act, applicable transport legislation, rules, service regulations, fare policies and other binding policy instruments</t>
  </si>
  <si>
    <t xml:space="preserve">UPD 4b</t>
  </si>
  <si>
    <t xml:space="preserve">Does the Transport Corporation actually consider the needs of women and the urban poor in decisions relating to access, affordability and delivery of public transport services?</t>
  </si>
  <si>
    <t xml:space="preserve">Check the Corporation’s current transport/mobility plan, service-delivery framework, applicable policy documents and active schemes. Assess whether the mobility needs of identified vulnerable groups are recognised and translated into specific policies, schemes, targets, projects or service-delivery measures. 
Check for implementation, whether or not such measures are legally mandated.
Do not award full credit for generic language such as “public interest”, “all commuters”, “universal service” or “inclusive development”. Credit should be based on the extent to which identified needs are translated into specific and operational measures.
Part A – Urban Poor: Affordability and inclusion in service coverage – 2.5 marks
Look for measures such as:
concessional, subsidised or differentiated fares for EWS/BPL/low-income users;
policies or schemes addressing affordability of public transport;
specific commitments to serve low-income, informal, peripheral or underserved settlements;
inclusion of such areas within route/network planning;
last-mile or feeder-connectivity measures for underserved settlements;
defined targets, routes, projects or service-expansion commitments addressing these needs.
Score 2.5: The needs of economically vulnerable groups are addressed through a comprehensive policy or scheme and are translated into specific operational measures, targets, routes, projects or service commitments.
Score 1.25: The needs of economically vulnerable groups are explicitly recognised, but the response is limited to broad policy intent, isolated measures or provisions without clearly defined operational targets/projects.
Score 0:  No identifiable consideration of affordability or service access for economically vulnerable groups is found.
Part B  – Women: Gender, safety and mobility – 2.5 marks
Look for measures such as:
policies or schemes specifically addressing women’s safety and mobility;
gender/GESI assessment or screening in transport planning;
women-focused safety measures in vehicles, stops, terminals or public-transport infrastructure;
first- and last-mile measures addressing women’s mobility constraints;
service-design measures responding to identified mobility patterns or safety concerns;
defined targets, projects, service standards or investments addressing women’s mobility and safety.
Score 2.5: Women’s mobility and safety needs are addressed through a comprehensive policy or scheme and are translated into specific operational measures, targets, projects or service standards.
Score 1.25: Women’s mobility or safety needs are explicitly recognised, but are addressed only through broad policy intent, isolated measures or provisions without clearly defined operational targets/projects.
Score 0: No identifiable consideration of women’s mobility or safety needs is found.</t>
  </si>
  <si>
    <t xml:space="preserve">Transport Corporation's current transport/mobility plan; fare policy/concession orders; service design standards or specifications; annual report.</t>
  </si>
  <si>
    <t xml:space="preserve">UPD 5</t>
  </si>
  <si>
    <t xml:space="preserve">Are environmental considerations explicitly required to be integrated into the water supply board’s planning, service-delivery or major investment decisions?</t>
  </si>
  <si>
    <t xml:space="preserve">Assess through the relevant parastatal-specific question below. Review the enabling Act of the parastatal, applicable sectoral legislation, T&amp;CP/planning legislation where relevant, environmental rules/regulations, and other binding policy instruments governing the parastatal’s functions. Do not award credit solely for general references to “environment”, “public interest” or compliance with project-level environmental clearances. The legal/policy framework should require environmental considerations to inform the parastatal’s own planning, investment or service-delivery decisions.</t>
  </si>
  <si>
    <t xml:space="preserve">Enabling Act of the parastatal, applicable sectoral legislation, T&amp;CP/planning legislation, relevant environmental rules/regulations, and other binding policy instruments</t>
  </si>
  <si>
    <t xml:space="preserve">UPD 5a</t>
  </si>
  <si>
    <t xml:space="preserve">Is the water supply board mandated to consider environmental sustainability in planning and delivering water and sanitation services?</t>
  </si>
  <si>
    <t xml:space="preserve">Check the Water Supply Board/utility Act, rules, service regulations, and other binding legal instruments. Assess whether the legal framework requires the Board to integrate environmental sustainability into planning and delivery of water and sanitation services.
Do not award credit for generic references to the “environment”, “public interest” or compliance with project-specific environmental clearances unless environmental considerations are required to inform the Board’s own planning, investment or service-delivery decisions.
Look for identifiable legal requirements relating to areas such as: (non-exhaustive) sustainable water-source management and protection, groundwater protection, conservation and demand management, reduction of water losses, wastewater treatment/reuse, pollution prevention, climate resilience, environmental flows or environmentally sustainable service delivery.
Score 5: There is a clear mandatory requirement (“shall”, “must” ) requiring environmental sustainability considerations to inform the Board’s planning and/or service-delivery functions.
Score 2.5: The legal framework permits or encourages consideration of environmental sustainability (“may”), but does not make it mandatory.
Score 0: No specific legal requirement is found.</t>
  </si>
  <si>
    <t xml:space="preserve">Water Supply Board/utility Act, water and sanitation legislation, service rules, State water policies, groundwater/source-protection provisions and other binding instruments</t>
  </si>
  <si>
    <t xml:space="preserve">UPD 5b</t>
  </si>
  <si>
    <t xml:space="preserve">Does the water supply board actually consider environmental sustainability in planning and delivering water and sanitation services?</t>
  </si>
  <si>
    <t xml:space="preserve">Check the Board’s current water supply/sanitation plan, applicable policy documents, active programmes/schemes and operational frameworks. Assess whether environmental sustainability considerations are translated into specific policies, programmes, targets, projects or operational measures.
Check for implementation, whether or not such measures are legally mandated.
Do not award full credit for generic references such as “sustainable development”, “efficient service”, “environment friendly” or “public interest” unless these are translated into specific operational measures.
Look for identifiable measures such as (non-exhaustive):
source-sustainability measures, including diversification of water sources, reduction of dependence on stressed sources, source-protection plans or groundwater-recharge measures;
water-conservation and demand-management measures, including universal/targeted metering, leak detection, pressure management or conservation-oriented service standards;
defined non-revenue water (NRW) or transmission/distribution loss-reduction targets, programmes or projects;
wastewater treatment, recycling or reuse measures, including defined reuse targets or projects for non-potable uses;
pollution-prevention or catchment/source-protection measures linked to the Board’s own planning or operations;
climate-resilience measures for water and wastewater infrastructure, including drought preparedness, flood-proofing, source-risk assessment or contingency planning;
energy-efficiency or renewable-energy measures in pumping, treatment or wastewater operations;
defined targets, projects, budgets or investments relating to environmental sustainability;
monitoring indicators or service standards that track source sustainability, water losses, reuse, energy use, resilience or other environmental outcomes.
Score 5: Environmental sustainability is addressed through a comprehensive policy, programme or planning framework and translated into specific targets, projects or operational measures across the Board’s water and/or sanitation functions.
Score 2.5: Environmental sustainability is explicitly recognised, but is limited to broad policy intent, isolated measures or provisions without clearly defined targets/projects.
Score 0:  No identifiable environmental sustainability consideration is found.</t>
  </si>
  <si>
    <t xml:space="preserve">Water Supply Board's current water supply/sanitation plan; source-protection or conservation programme documents; wastewater treatment/reuse scheme documents; annual report.</t>
  </si>
  <si>
    <t xml:space="preserve">UPD 6</t>
  </si>
  <si>
    <t xml:space="preserve">Are environmental considerations explicitly required to be integrated into the transport corporation’s planning, service-delivery or major investment decisions?</t>
  </si>
  <si>
    <t xml:space="preserve">UPD 6a</t>
  </si>
  <si>
    <t xml:space="preserve">Is the transport corporation mandated to consider environmental sustainability in planning and delivering urban transport services and investments?</t>
  </si>
  <si>
    <t xml:space="preserve">Check the transport authority/corporation Act (Road Transport Corporation Act/Motor Vehicles Act/Companies Act), rules, and other binding legal instruments. Assess whether the legal framework requires the Corporation to integrate environmental sustainability into its planning, investment and service-delivery decisions.
Do not award credit for generic references to “sustainable transport”, “public interest”, “environment protection” or compliance with project-specific environmental clearance requirements unless the provision requires environmental considerations to inform the Corporation’s own planning, investment or service-delivery decisions.
Look for identifiable legal requirements relating to (non-exhaustive):
transition to cleaner or lower-emission vehicles and fuels;
reduction of transport-related emissions or energy consumption;
prioritisation or strengthening of public transport;
integration of public transport with walking, cycling or other non-motorised transport;
multimodal integration or measures to reduce dependence on private motor vehicles;
integration of land-use and transport planning;
climate-resilient transport infrastructure or operations;
environmental considerations in major transport investments or service planning.
Score 5: There is a clear mandatory requirement (“shall” or “must”) requiring environmental sustainability considerations to inform the Corporation’s planning, investment and/or service-delivery functions.
Score 2.5: The legal framework permits or encourages consideration of environmental sustainability (“may”), but does not make it mandatory.
Score 0: No specific legal requirement requiring the Corporation to consider environmental sustainability in its planning, investment or service-delivery functions is found.</t>
  </si>
  <si>
    <t xml:space="preserve">Transport authority/corporation Act, applicable transport legislation, rules, mobility/transport policies and other binding instruments</t>
  </si>
  <si>
    <t xml:space="preserve">UPD 6b</t>
  </si>
  <si>
    <t xml:space="preserve">Does the transport corporation actually considers environmental sustainability in planning and delivering urban transport services and investments?</t>
  </si>
  <si>
    <t xml:space="preserve">Check the Corporation’s current fleet plan, route/network plan, mobility or service-delivery plan, environmental/sustainability policy, active programmes/schemes and annual reports. Assess whether environmental sustainability considerations are translated into specific policies, programmes, targets, projects or operational measures, irrespective of whether such measures are legally mandated.
Check for implementation, whether or not such measures are legally mandated.
Do not award full credit for generic references such as “sustainable transport”, “green mobility” or “environment-friendly”. Credit should depend on whether these commitments translate into specific, operational measures.
Look for identifiable measures such as (non-exhaustive):
defined targets or programmes for transition to electric, CNG, hybrid or other cleaner/lower-emission vehicles;
fleet-retirement or replacement plans targeting older or high-emission vehicles;
emissions-reduction, fuel-efficiency or energy-consumption targets;
renewable-energy or energy-efficiency measures in depots, terminals, charging infrastructure or operations;
route or network-planning measures intended to increase public-transport use or reduce unnecessary vehicle kilometres;
integration with walking and cycling infrastructure at stops, terminals or interchanges;
multimodal integration measures, such as coordinated interchanges, feeder connectivity or integrated ticketing;
measures to improve service coverage or frequency with the objective of shifting trips from private vehicles to public transport;
climate-resilience measures for fleet, depots, terminals or transport operations;
defined targets, projects, budgets or investments relating to emissions reduction, cleaner mobility, energy efficiency or modal integration;
monitoring indicators that track fleet emissions, fuel/energy consumption, clean-fleet share, ridership, mode shift or other environmental outcomes.
Score 5:  Environmental sustainability is addressed through a comprehensive policy, programme or planning framework and translated into specific targets, projects or operational measures across the Corporation’s transport functions.
Score 2.5: Environmental sustainability is explicitly recognised, but is limited to broad policy intent, isolated measures or provisions without clearly defined targets/projects.
Score 0: No identifiable environmental sustainability measure is found.</t>
  </si>
  <si>
    <t xml:space="preserve">Transport Corporation's fleet plan; route/network plan; environmental/sustainability policy; annual report.</t>
  </si>
  <si>
    <t xml:space="preserve">DPG 1</t>
  </si>
  <si>
    <t xml:space="preserve">Decentralised Participatory Governance</t>
  </si>
  <si>
    <t xml:space="preserve">Are the functions and geographical jurisdiction of the parastatal clearly defined vis-à-vis the ULG and other relevant agencies?</t>
  </si>
  <si>
    <t xml:space="preserve">Common — all parastatal types.</t>
  </si>
  <si>
    <t xml:space="preserve">Parastatal, 12th Schedule mapping exercise</t>
  </si>
  <si>
    <t xml:space="preserve">DPG 1a</t>
  </si>
  <si>
    <t xml:space="preserve">Does the law clearly demarcate the functions/responsibilities of the parastatal vis-à-vis the ULG?</t>
  </si>
  <si>
    <t xml:space="preserve">Law/policy</t>
  </si>
  <si>
    <t xml:space="preserve">Step 1 — Check devolution status under the Municipal Act.
Review the Municipal Act to determine whether the specific function/service is:
A — Not devolved: the function is not assigned to the ULG at all.
B — Fully devolved: the function is assigned to the ULG in full, and the parastatal also delivers it (i.e. a potential overlap exists).
C — Partially devolved: only specific sub-functions are assigned to the ULG (e.g. domestic water supply to the ULG, bulk supply/production to the parastatal).
Step 2 — Score based on which scenario applies.
If A (not devolved): Score 5. There is no ULG claim to the function, so there is nothing to demarcate against — the parastatal Act's assignment stands on its own.
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
Score 5 if such a distinction is explicit in the Parastatal Act.
Score 0 if both Acts assign the same function with no distinction between them.
If C (partially devolved): Check whether the aspect assigned to the parastatal is explicit and does not overlap with the aspect assigned to the ULG (e.g. Municipal Act assigns domestic water supply to the ULG; Parastatal Act assigns bulk supply/production to the parastatal — no overlap).
Score 5 if the two Acts' assignments are explicit and non-overlapping.
Score 0 if the assigned aspects overlap, or if the parastatal's aspect is not clearly specified in its Act.</t>
  </si>
  <si>
    <t xml:space="preserve">Relevant Parastatal Act; State Municipal Act — record the specific provisions establishing devolution status and (where applicable) the functional carve-out.</t>
  </si>
  <si>
    <t xml:space="preserve">DPG 1b</t>
  </si>
  <si>
    <t xml:space="preserve">Is the parastatal's territorial/geographic jurisdiction specifically defined in it's enabling law?</t>
  </si>
  <si>
    <t xml:space="preserve">Check the relevant Parastatal Act and Municipal Act as the primary sources to determine the parastatal’s territorial/geographic jurisdiction.
If the applicable legislation does not clearly define the jurisdiction, or provides for jurisdiction to be specified or altered through subsequent notification, check relevant government notifications/gazette publications and, where necessary, the parastatal’s official website for the current jurisdictional boundary.
Score 5 — The parastatal’s jurisdiction is clearly defined through a specific boundary description, schedule, map reference, notified area or other legally identifiable territorial definition.
Score 0 — The parastatal’s jurisdiction cannot be clearly established from the applicable legislation or subsequent legally valid notifications/orders.</t>
  </si>
  <si>
    <t xml:space="preserve">Enabling Act, 12th Schedule mapping exercise</t>
  </si>
  <si>
    <t xml:space="preserve">DPG 2</t>
  </si>
  <si>
    <t xml:space="preserve">Is the parastatal accountable to the ULG?</t>
  </si>
  <si>
    <t xml:space="preserve">DPG 2a</t>
  </si>
  <si>
    <t xml:space="preserve">Does the ULG have representation on the parastatal's governing board?</t>
  </si>
  <si>
    <t xml:space="preserve">Check the relevant Parastatal Act and Municipal Act as primary sources to determine the composition of the parastatal’s governing board and whether the legislation provides for ULG representatives. Where the composition, status or voting rights of members are not clear from the applicable legislation, check the parastatal’s official website or current board-member list.
Score 5: ULG-elected representatives are members of the governing board with voting rights.
Score 2.5: The ULG is represented on the governing board, but without voting rights or only as invitees.
Score 0: No ULG representation on the governing board is provided for or found.</t>
  </si>
  <si>
    <t xml:space="preserve">Composition clause of enabling Act; current board member list; Also check as per the parastatal website.</t>
  </si>
  <si>
    <t xml:space="preserve">DPG-2b</t>
  </si>
  <si>
    <t xml:space="preserve">Is the parastatal mandated to submit its plans, budgets or reports to the ULG/council?</t>
  </si>
  <si>
    <t xml:space="preserve">Check the relevant Parastatal Act and Municipal Act for provisions requiring the parastatal to submit or table its plans, budgets and reports before the ULG/council.
The requirement may arise either:
through a specific provision applicable to the parastatal (The requirement may be provided through a general provision covering these documents or through specific provisions for each); or
through a general/blanket provision in the Municipal Act requiring public authorities, boards, corporations or other agencies operating within the municipal area to submit specified plans, budgets, reports or related documents to the ULG/council.
Score 1.67 points each where:
plans are required to be submitted/tabled;
budgets are required to be submitted/tabled; and
annual/performance reports are required to be submitted/tabled.
Score 0 for each component where no such requirement exists.
Where all three are provided for, award the full score of 5.
Submission only to the State Government or another authority should not be counted as submission to the ULG/council.</t>
  </si>
  <si>
    <t xml:space="preserve">Plan/Budget preparation/Annual report preparation clause of the enabling Act of the relevant parastatal</t>
  </si>
  <si>
    <t xml:space="preserve">DPG 3</t>
  </si>
  <si>
    <t xml:space="preserve">Does the parastatal maintain an active and functional website?</t>
  </si>
  <si>
    <t xml:space="preserve">Common.</t>
  </si>
  <si>
    <t xml:space="preserve">Check the official website of the relevant parastatal.
Score 10 if an official website of the relevant parastatal exists, opens without error, and shows content updated within the last 12 months (verifiable "last updated" date or dated content such as a recent notice/circular). 
Score 0 if no official website is found.</t>
  </si>
  <si>
    <t xml:space="preserve">Live URL, screenshot/web-archive capture, date of check of the website of the relevant parastatal</t>
  </si>
  <si>
    <t xml:space="preserve">DPG4</t>
  </si>
  <si>
    <t xml:space="preserve">DPG 4</t>
  </si>
  <si>
    <t xml:space="preserve">Is the parastatal mandated to publish key financial, operational, and civic data/information in accessible, open-data formats?</t>
  </si>
  <si>
    <t xml:space="preserve">[Note: The scoring of this question has not been undertaken in the manual exercise as he universe of legislation and subordinate legislation governing the parastatals are not fully clear. Awaiting support from the state teams before manually scoring this question.]</t>
  </si>
  <si>
    <t xml:space="preserve">DPG 5</t>
  </si>
  <si>
    <t xml:space="preserve">Are the parastatal's key financial, operational, and civic data/information available on the website and published in accessible, open-data formats?</t>
  </si>
  <si>
    <t xml:space="preserve">Check the parastatal website. Assess each of the ten components below independently. Each component carries 1 point: 0.5 for online availability and 0.5 for publication in an open, machine-readable/reusable format, as appropriate to the information type. 
Aggregate the scores across all ten components to arrive at the total score out of 10.</t>
  </si>
  <si>
    <t xml:space="preserve">Website screenshots/archived URLs with date of access, for each document type</t>
  </si>
  <si>
    <t xml:space="preserve">Annual budget</t>
  </si>
  <si>
    <t xml:space="preserve">Part A: Availability and currency — 0.5
Score 0.5: Budget for the current FY or either of the immediately preceding two FYs is publicly available online.
Score 0: Budget cannot be found/accessed online, or the latest available budget is older than the permitted period.
Part B: Open-data format — 0.5
Score 0.5:  Budget information is available in an open, structured and reusable data format, such as:
1. CSV;
2. XLS/XLSX;
3. ODS;
4. structured HTML table; or
5. another downloadable structured dataset.
Score 0 — Budget information is available only in a non-open or non-reusable format, including:
1. PDF, whether searchable or scanned;
2. image files;
3. unstructured webpages;
4. documents containing tables that are not provided as structured downloadable data.
The open-data format should allow budget figures to be readily extracted, analysed and reused without manual transcription.</t>
  </si>
  <si>
    <t xml:space="preserve">DPG 5b</t>
  </si>
  <si>
    <t xml:space="preserve">Audited annual account</t>
  </si>
  <si>
    <t xml:space="preserve">Part A: Availability and currency — 0.5
Score 0.5 — Audited annual accounts are publicly available online, and the latest available accounts are not older than two years.
Score 0 — Audited annual accounts cannot be found/accessed online, or the latest available accounts are older than the permitted period.
Part B: Open-data format — 0.5
Score 0.5 — Audited financial information is available in an open, structured and reusable data format, such as:
1. CSV;
2. XLS/XLSX;
3. ODS;
4. structured HTML table; or
5. another downloadable structured dataset.
Score 0 — Audited financial information is available only in a non-open or non-reusable format, including:
1. PDF, whether searchable or scanned;
2. image files;
3. unstructured webpages; or
4. documents containing financial tables that are not provided as structured reusable data.
The open-data format should allow audited financial figures to be readily extracted, analysed and reused without manual transcription.</t>
  </si>
  <si>
    <t xml:space="preserve">DPG 5c</t>
  </si>
  <si>
    <t xml:space="preserve">Annual report</t>
  </si>
  <si>
    <t xml:space="preserve">Part A: Availability and currency — 0.5
Score 0.5: The annual report is publicly available online, and the latest available report is not older than two years.
Score 0: The annual report cannot be found/accessed online, or the latest available report is older than the permitted period.
Part B: Open-data format — 0.5
Score 0.5: Key information contained in the annual report is also available in an open, structured and reusable format, such as:
1. CSV;
2. XLS/XLSX;
3. ODS;
4. structured HTML tables; or
Score 0: The annual report is available only as a document or other non-structured format, including:
1. PDF, whether searchable or scanned;
2. DOC/DOCX;
3. image files;
4. e-publications; or
5. webpages containing narrative information without structured reusable data.
The open-data format should allow key annual-report information to be extracted, analysed and reused without manual transcription.</t>
  </si>
  <si>
    <t xml:space="preserve">Annual Audit Report</t>
  </si>
  <si>
    <t xml:space="preserve">Part A: Availability and currency — 0.5
Score 0.5: Annual audit report is publicly available online, and the latest available information is not older than two years.
Score 0: Annual audit report  cannot be found/accessed online, or the latest available information is older than two years.
Part B: Open-data format — 0.5
Score 0.5: Key information contained in the annual audit report is also available in an open, structured and reusable format, such as:
1. CSV;
2. XLS/XLSX;
3. ODS;
4. structured HTML tables; or
Score 0: The annual audit report is available only as a document or other non-structured format, including:
1. PDF, whether searchable or scanned;
2. DOC/DOCX;
3. image files;
4. e-publications; or
5. webpages containing narrative information without structured reusable data.
The open-data format should allow key annual audit report information to be extracted, analysed and reused without manual transcription.</t>
  </si>
  <si>
    <t xml:space="preserve">Major plans / projects</t>
  </si>
  <si>
    <t xml:space="preserve">Part A: Availability and currency — 0.5
Score 0.5: Major plans and/or information on ongoing projects is publicly available online, and the latest available information is not older than two years.
Score 0: Major plans and/or information on ongoing projects cannot be found/accessed online, or the latest available information is older than two years.
Part B: Open-data format — 0.5
Score 0.5 — Information on major plans and/or ongoing projects is available in an open, structured and reusable format, such as:
1. structured HTML webpage/table or project dashboard;
2. CSV;
3. XLS/XLSX;
4. ODS;
 5. Other downloadable structured dataset containing identifiable plan/project information.
Score 0 — Information is available only in a non-structured or non-reusable format, such as:
1. PDF, including searchable PDF;
2. scanned document;
3. image-only plan/project information;
4. individual project pages or notices that do not provide structured, reusable data;
5. project information presented only through images or unstructured text.</t>
  </si>
  <si>
    <t xml:space="preserve">Service-level benchmarks and performance reports</t>
  </si>
  <si>
    <t xml:space="preserve">Part A: Availability and currency — 0.5
Score 0.5: Service-level benchmark/performance information is publicly available online, and the latest available information is not older than two years.
Score 0 — Performance information cannot be found/accessed online, or the latest available information is older than the permitted period.
Part B: Open-data format — 0.5
Score 0.5 — Performance information is available in an open, structured and reusable format, such as:
1. CSV;
2. XLS/XLSX;
3. ODS;
4. structured HTML table/dashboard; or
5. another downloadable structured dataset containing service-level or performance information.
Score 0: Performance information is available only in a non-open or non-reusable format, including:
1. PDF, whether searchable or scanned;
2. image/chart without the underlying data;
3. narrative webpage without structured data; or
4. other formats that do not allow the information to be readily extracted, analysed and reused.
The open-data format should allow service-level or performance information to be analysed and reused without manual transcription.
Note: For Development Authorities whose functions are limited to planning and preparation of spatial/development plans, mark this indicator ‘NA’.
Where a Development Authority also performs operational or service-delivery functions — such as building/development permissions, land allotment/development, infrastructure provision, housing, estate management or other citizen-facing services — assess this indicator against the performance information relevant to those functions.</t>
  </si>
  <si>
    <t xml:space="preserve">Organisation and staffing information</t>
  </si>
  <si>
    <t xml:space="preserve">Part A: Check availability — 0.5
Score 0.5: Both of the following are publicly available online:
the parastatal’s organisational structure/organogram; and
details of key officers, including name/designation and at least one official contact detail (phone number and/or email address).
Score 0: Either the organisational structure/organogram or the required officer details/contact information is not publicly available online.
Part B: Minimum format/accessibility — 0.5
Score 0.5 — Both the organisational structure and officer/contact information are available in a searchable and readable format, such as:
a searchable webpage;
searchable/downloadable PDF or document;
structured table or directory.
Score 0 — Either item is available only in a non-searchable/non-readable format, such as an image-only organogram, scanned list or image-based directory.</t>
  </si>
  <si>
    <t xml:space="preserve">Meeting minutes of governing board</t>
  </si>
  <si>
    <t xml:space="preserve">Part A: Check availability and currency — 0.5
Score 0.5: At least one set of minutes from the current FY or immediately preceding FY is publicly available online.
Score 0: Meeting Minutes cannot be found/accessed online or is older than the permitted period.
Record the FY/year/date of the latest information found in a separate evidence field even where the score is 0.
Part B: Minimum format/accessibility — 0.5
Score 0.5: Meeting Minutes available in a searchable/text-readable and downloadable document (Searchable PDF, HTML, DOC/DOCX)
Score 0: Meeting Minutes is available but does not meet that standard (Scanned/image-only minutes; image gallery)</t>
  </si>
  <si>
    <t xml:space="preserve">Citizen / Service Charter</t>
  </si>
  <si>
    <t xml:space="preserve">Part A: Check availability and currency — 0.5
Score 0.5: A currently applicable Charter is publicly available. Do not treat it as outdated solely because it predates the preceding FY if it remains in force. There may be no annual publication requirement;
Score 0: Charter cannot be found/accessed online.
Part B: Check Minimum format/accessibility — 0.5
Score 0.5: Charter available in a searchable/text-readable webpage or downloadable document (Searchable PDF, HTML, DOC/DOCX)
Score 0: Charter is available but does not meet that standard (Scanned/image-only Charter)</t>
  </si>
  <si>
    <t xml:space="preserve">RTI details and designated Public Information Officer contact/procedure</t>
  </si>
  <si>
    <t xml:space="preserve">Part A: Check availability and currency — 0.5
Score 0.5: Current PIO/APIO details and RTI procedure are publicly available; information should be treated as current where the named office-holder/contact details remain valid.
Score 0: Information cannot be found/accessed online or the named office-holder/contact details are invalid.
Part B: Check minimum format/accessibility — 0.5
Score 0.5: Information available in a searchable webpage or searchable/downloadable document (HTML RTI page; searchable PDF/DOC containing PIO/contact details)
Score 0: Information is available but does not meet that standard (Image-only notice; scanned PDF)</t>
  </si>
  <si>
    <t xml:space="preserve">DPG 6</t>
  </si>
  <si>
    <t xml:space="preserve">Does the parastatal provide for and maintain an accessible grievance-redressal mechanism?</t>
  </si>
  <si>
    <t xml:space="preserve">DPG 6a</t>
  </si>
  <si>
    <t xml:space="preserve">Is the parastatal mandated to provide a grievance-redressal mechanism?</t>
  </si>
  <si>
    <t xml:space="preserve">Check the Parastatal Act, applicable subordinate legislation, and citizen/service charter for a requirement to provide a grievance-redressal mechanism.
This assessment tests whether citizens have access to a remedial mechanism when a service failure, delay, denial, deficiency or other grievance occurs. Do not award credit merely because the framework specifies service standards, service timelines or a Right to Service entitlement, unless it also provides a mechanism through which an aggrieved person can seek redress, escalation or resolution.
Score 5: The applicable legal or binding policy framework requires the parastatal to provide a grievance-redressal mechanism (“shall”, “must”).
Score 2.5: The applicable framework permits or enables the parastatal to provide a grievance-redressal mechanism (“may” ), but does not make it mandatory.
Score 0: No specific provision for a grievance-redressal mechanism is found.</t>
  </si>
  <si>
    <t xml:space="preserve">Parastatal Act/ corresponding subordinate legislation/ citizen or service charter</t>
  </si>
  <si>
    <t xml:space="preserve">DPG 6b</t>
  </si>
  <si>
    <t xml:space="preserve">Are accessible grievance-redressal channels available and functional in practice?</t>
  </si>
  <si>
    <t xml:space="preserve">Check the parastatal’s official website and other officially notified grievance channels. Score out of 5 based on the following four components:
1. Web-based grievance channel — 1.25 marks
Score 1.25 if an official website/portal provides a functioning mechanism through which a grievance can be lodged online. A dedicated grievance form, integrated government grievance portal or equivalent mechanism qualifies.
2. Mobile/electronic grievance channel — 1.25 marks
Score 1.25 if a currently operational mobile app, designated grievance email, WhatsApp number or other officially notified electronic channel is available for lodging grievances.
3. Telephone grievance channel — 1.25 marks
Score 1.25 if a dedicated or clearly designated helpline, call centre or telephone number is provided for complaints or grievances.
A generic office switchboard should not qualify unless it is explicitly identified as a channel for lodging grievances.
4. Grievance acknowledgement and tracking — 1.25 marks
Score 1.25 if the grievance mechanism provides for acknowledgement and subsequent tracking of a registered grievance through a complaint/reference number, status-tracking facility or equivalent mechanism.
Where all four components are available, award the full score of 5.</t>
  </si>
  <si>
    <t xml:space="preserve">Relevant parastatal's official website 
Detailed evidence information provided in the methodology column (I 33)</t>
  </si>
  <si>
    <t xml:space="preserve">DPG 7</t>
  </si>
  <si>
    <t xml:space="preserve">Does the law mandate citizen participation in the preparation of plans for which the parastatal is responsible, and does the parastatal provide for such participation in practice?</t>
  </si>
  <si>
    <t xml:space="preserve">Law/Policy and Implementation</t>
  </si>
  <si>
    <t xml:space="preserve">Sum of sub-questions below -</t>
  </si>
  <si>
    <t xml:space="preserve">Provisions on plan approval procedure in enabling act of the relevant parastatal/T&amp;CP Act</t>
  </si>
  <si>
    <t xml:space="preserve">DPG 7a</t>
  </si>
  <si>
    <t xml:space="preserve">Is citizen participation in the preparation of the parastatal's plans mandated?</t>
  </si>
  <si>
    <t xml:space="preserve">Check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(may), or applies only to specified plan types/stages. If the mandate provides for a citizen participation forum with a shall provision. 
Score 1.25 if the citizen participation forum is discretionary.
Score 0 if no applicable requirement is found. Record the legal provision, plan type, form of participation prescribed, and whether the provision uses mandatory or discretionary language.</t>
  </si>
  <si>
    <t xml:space="preserve">Parastatal Act and rules; applicable T&amp;CP Act; State Municipal Act.</t>
  </si>
  <si>
    <t xml:space="preserve">DPG 7b</t>
  </si>
  <si>
    <t xml:space="preserve">Are citizens consulted in practice in the preparation of plans by the parastatal?</t>
  </si>
  <si>
    <t xml:space="preserve">Check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t>
  </si>
  <si>
    <t xml:space="preserve">Plan document; consultation reports; public notices; minutes/proceedings of consultations or hearings on the parastatal's official website; media reports.</t>
  </si>
  <si>
    <t xml:space="preserve">SC-1</t>
  </si>
  <si>
    <t xml:space="preserve">State Capacities</t>
  </si>
  <si>
    <t xml:space="preserve">What proportion of the parastatal's total expenditure is financed through its own revenues?</t>
  </si>
  <si>
    <t xml:space="preserve">Implementation (Numeric)</t>
  </si>
  <si>
    <t xml:space="preserve">Revenue-raising parastatals only</t>
  </si>
  <si>
    <t xml:space="preserve">Check the budget of the parastatal for the last three years. Compute Own Revenue (Tax and Non-Tax revenue, excluding any government grants) and use a 3-year average wherever available.
If not 3 budgets, refer to at least 2 years but none older than 5 years.
Score is own revenue percentage as a proportion of 10 marks i.e. 50% gets 5 out of 10.</t>
  </si>
  <si>
    <t xml:space="preserve">Annual budget of the last three financial years of the relevant parastatal.</t>
  </si>
  <si>
    <t xml:space="preserve">SC-2</t>
  </si>
  <si>
    <t xml:space="preserve">What is the parastatal's per-capita capital expenditure?</t>
  </si>
  <si>
    <t xml:space="preserve">Parastatals with an infrastructure-delivery/capital-expenditure mandate.</t>
  </si>
  <si>
    <t xml:space="preserve">Check the budget (and/or financial statements, as applicable) of the parastatal for the last three years. 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t>
  </si>
  <si>
    <t xml:space="preserve">Latest annual budget and capital-expenditure accounts of the relevant parastatal; population figure with source.</t>
  </si>
  <si>
    <t xml:space="preserve">SC-3</t>
  </si>
  <si>
    <t xml:space="preserve">How realistic is the parastatal's annual budget?</t>
  </si>
  <si>
    <t xml:space="preserve">Common — all parastatal types with an annual budget.</t>
  </si>
  <si>
    <t xml:space="preserve">Check the budget of the parastatal for the last three years. The 3-year average of budget variance, wherever available (at least 2 years but not more than 5 years); 
If not 3 budgets, refer to at least 2 years but none older than 5 years.
If variance is within 15%, the score will be 10, but anything over 15% will score 0 out of 10.</t>
  </si>
  <si>
    <t xml:space="preserve">Budget documents and audited accounts for the same financial year, compared side by side</t>
  </si>
  <si>
    <t xml:space="preserve">SC-4</t>
  </si>
  <si>
    <t xml:space="preserve">Is the parastatal mandated to prepare a medium-term and/or long-term fiscal plan, and has it prepared a current plan in accordance with that mandate?</t>
  </si>
  <si>
    <t xml:space="preserve">SC-4a</t>
  </si>
  <si>
    <t xml:space="preserve">Is a medium-term (3-5 year) and/or long-term (&gt;5 year) fiscal plan legally mandated?</t>
  </si>
  <si>
    <t xml:space="preserve">Check the relevant Parastatal Act and rules to determine whether preparation of a medium-term (3–5 year) and/or long-term (&gt;5 year) fiscal plan is legally mandated.
Score 5 if the applicable framework requires the parastatal to prepare such a fiscal plan using mandatory language such as “shall” or “must”.
Score 2.5 if the applicable framework permits or enables preparation of such a fiscal plan using discretionary language such as “may”, but does not make it mandatory.
Score 0 if no provision for preparation of a medium-term or long-term fiscal plan is found.</t>
  </si>
  <si>
    <t xml:space="preserve">Enabling act of the relevant parastatal</t>
  </si>
  <si>
    <t xml:space="preserve">SC-4b</t>
  </si>
  <si>
    <t xml:space="preserve">Is the medium/long-term fiscal plan publicly available?</t>
  </si>
  <si>
    <t xml:space="preserve">Check the relevant parastatal’s website to determine whether a medium-term (3–5-year) and/or long-term (&gt; 5-year) fiscal plan has been prepared and is publicly available, irrespective of whether such a plan is legally mandated.
Score 5 if a current medium-term and/or long-term fiscal plan is publicly available online. It should not be older than two years. 
Score 0 if no medium-term or long-term fiscal plan is publicly available online.</t>
  </si>
  <si>
    <t xml:space="preserve">Website of the relevant parastatal</t>
  </si>
  <si>
    <t xml:space="preserve">SC-5</t>
  </si>
  <si>
    <t xml:space="preserve">Does the parastatal follow a double-entry accounting system?</t>
  </si>
  <si>
    <t xml:space="preserve">Check the parastatal website for the latest available audited annual financial statements to determine whether it follows a double-entry accounting system in practice.
Score 10: if the financial statements demonstrate use of double-entry accounting, which is indicated by the preparation of a Balance Sheet together with the relevant income/expenditure or equivalent financial statements.
Score 0: if only a Receipts and Payments Statement or other cash-based statement is available; the applicable accounting framework refers to or requires double-entry accounting, but the published financial statements do not demonstrate its use in practice; or
financial statements sufficient to establish the accounting system cannot be located.
Do not score solely on the basis of a provision in an Act, accounting manual, guideline or other document stating that double-entry accounting should be followed. The assessment should be based on the evidence for the accounting system indicated in the financial statements actually prepared by the ULG/parastatal.</t>
  </si>
  <si>
    <t xml:space="preserve">Parastatal website; latest available audited annual financial statements</t>
  </si>
  <si>
    <t xml:space="preserve">SC-6</t>
  </si>
  <si>
    <t xml:space="preserve">What is the average tenure of the chief executive/executive authority of the parastatal?</t>
  </si>
  <si>
    <t xml:space="preserve">Common — all parastatal types with a designated chief executive/executive authority post.</t>
  </si>
  <si>
    <t xml:space="preserve">Check appointments and transfers of the chief executive/executive authority over the last five years. Use the parastatal’s official website as the primary source. If these do not provide a complete appointment history, supplement the assessment with reliable secondary sources, such as the SUPREMO portal for the executive record sheet of IAS officers (where relevant), RTI requests with the parastatals, and credible media reports. Score 10 if one chief executive has served during the five-year period.
Score 5 if 2–3 chief executives have served during the five-year period.
Score 0 if more than 3 chief executives have served during the five-year period.</t>
  </si>
  <si>
    <t xml:space="preserve">Newspaper reports, Gazette notifications of appointment/transfer and website of relevant parastatal</t>
  </si>
  <si>
    <t xml:space="preserve">SC-7</t>
  </si>
  <si>
    <t xml:space="preserve">Does the parastatal have adequate and representative staffing capacity to discharge its mandate?</t>
  </si>
  <si>
    <t xml:space="preserve">Sum of the sub-indicators below.</t>
  </si>
  <si>
    <t xml:space="preserve">RTI / Formal data request with the parastatal and Website of the relevant parastatal</t>
  </si>
  <si>
    <t xml:space="preserve">SC-7a</t>
  </si>
  <si>
    <t xml:space="preserve">Does the parastatal have adequate staffing capacity to discharge its mandate?</t>
  </si>
  <si>
    <t xml:space="preserve">Collect the parastatal’s sanctioned and filled positions. Calculate the proportion of sanctioned positions that are filled.
Score 5 – 90% or more of sanctioned positions filled
Score 4 – 75%–89%
Score 3 – 60%–74%
Score 2 – 40%–59%
Score 1 – below 40%
Score 0 – no staffing data available / no evidence of sanctioned staffing structure</t>
  </si>
  <si>
    <t xml:space="preserve">Staffing records on the website/ RTI  and/or formal data request with the parastatal/ annual report</t>
  </si>
  <si>
    <t xml:space="preserve">SC-7b</t>
  </si>
  <si>
    <t xml:space="preserve">What proportion of the parastatal's workforce is women?</t>
  </si>
  <si>
    <t xml:space="preserve">Compute women employees as a proportion of total filled posts using the latest available staffing data. 
% women in workforce = (Number of women employees ÷ Total filled posts) × 100, using the latest available staffing data.
Score 5: women constitute ≥33% of the workforce
Score 2.5: women constitute 15–32% of the workforce
Score 0 — women constitute &lt;15% of the workforce</t>
  </si>
  <si>
    <t xml:space="preserve">Question Code</t>
  </si>
  <si>
    <t xml:space="preserve">&lt;Sheet name and this code must match&gt;</t>
  </si>
  <si>
    <t xml:space="preserve">PRE-FILLED - DO NOT ALTER</t>
  </si>
  <si>
    <t xml:space="preserve">ENTER A NUMBER 0 TO 5</t>
  </si>
  <si>
    <t xml:space="preserve">DO NOT ALTER FORMULA</t>
  </si>
  <si>
    <t xml:space="preserve">Applies?</t>
  </si>
  <si>
    <t xml:space="preserve">Act Name/Web name/Doc name</t>
  </si>
  <si>
    <t xml:space="preserve">Chapter</t>
  </si>
  <si>
    <t xml:space="preserve">Provision</t>
  </si>
  <si>
    <t xml:space="preserve">Clause</t>
  </si>
  <si>
    <t xml:space="preserve">Page Number</t>
  </si>
  <si>
    <t xml:space="preserve">Link</t>
  </si>
  <si>
    <t xml:space="preserve">Score</t>
  </si>
  <si>
    <t xml:space="preserve">Points (Auto-generate)</t>
  </si>
  <si>
    <t xml:space="preserve">SCORER COMMENTS</t>
  </si>
  <si>
    <t xml:space="preserve">YES</t>
  </si>
  <si>
    <t xml:space="preserve">THE BANGALORE WATER SUPPLY AND SEWERAGE ACT, 1964 (FAOLEX PDF) [BWSSB-04]</t>
  </si>
  <si>
    <t xml:space="preserve">Chapter II (Board, its powers and duties)</t>
  </si>
  <si>
    <t xml:space="preserve">Section 15(2)(b)-(c) and proviso (General duties of the Board); also Section 14 (Consultative Committee)</t>
  </si>
  <si>
    <t xml:space="preserve">s.15(2)(b), s.15(2)(c), proviso inserted by Act 6 of 1966; s.14(1), s.14(4)(i)</t>
  </si>
  <si>
    <t xml:space="preserve">13</t>
  </si>
  <si>
    <t xml:space="preserve">https://faolex.fao.org/docs/pdf/ind201320.pdf</t>
  </si>
  <si>
    <t xml:space="preserve">AI (medium confidence), from Step 2 answer (Partially Answered) and BWSSB-04: Score: 0. No source gives the city corporation (the ULG) a formal role in preparing BWSSB's plans.
**What the Act says about plans**
- BWSSB's main plans are its water supply and sewerage 'schemes'. Section 15(2)(b) and (c) of the BWSSB Act, 1964 make preparing and carrying out these schemes the Board's own duty.
- The only outside sign-off on these plans is in the proviso inserted by Act 6 of 1966: "no scheme under clause (b) or (c) estimated to cost more than a crore of rupees shall be carried out by the Board except with the approval of the State Government." That approval comes from the State Government, not the city corporation.
- No provision in the Act text I could read says the Board shall consult the Corporation, get its concurrence, or prepare plans with it.
**Why Section 14 doesn't change the score**
- Section 14 (Consultative Committee) only allows indirect representation. The State Government appoints 3 to 9 members "after consultation with such representatives or bodies representative of the following interests as the State Government thinks fit". The Municipal Corporation is one of those interests.
- The committee's role is advisory: "to advise the Board on major questions of policy and major schemes". This is not a duty on BWSSB to consult the ULG when preparing plans. At most, any city corporation link depends on the State Government's choice and is not specific to plans.
- Section 38(2) (consulting the Corporation Commissioner before closing a public hydrant) is about day-to-day operations, not planning.
**How this compares with Step 2**
I agree with Step 2's reading. I went further and checked Section 15 itself, which confirms that the only approval role on schemes belongs to the State Government.
**Scale**
The methodology uses 10 / 2.5 / 0, but the maximum score is 5. A score of 0 is the same under any rescaling, so the mismatch doesn't affect this result.
**Things a reviewer should check**
1. The Karnataka Town and Country Planning Act is not in the Citation Sheet, so I couldn't check whether it requires utility plans to be coordinated with ULGs. If it does, the score could change.
2. Some sections of the Act were cut from the excerpts, including Section 3 (who sits on the Board). The current amended text should be confirmed. The copy is a FAOLEX reproduction, not an official Karnataka source.
3. The Act still refers to the 'Municipal Corporation of the City of Bangalore'. Whether it has been changed for the Greater Bengaluru Authority and the city corporations isn't shown in the sheet.
Quote: "(b) for preparing and carrying out schemes 1[x x x] 1 for the supply of wholesome water for domestic purposes within the Bangalore Metropolitan Area;"</t>
  </si>
  <si>
    <t xml:space="preserve">AI: left for a person. Step 2 found no evidence (Insufficient Evidence). Source needed: Three sources are needed. (1) The full text of the Road Transport Corporations Act, 1950, which constitutes and governs BMTC, to check for any duty to prepare plans with, consult, or obtain the concurrence of municipal bodies. (2) The full text of Sections 24 onward of the BMLTA Act, 2022, and any regulations under it, to confirm whether BMTC is an 'Urban Transport Agency' and whether preparing its Sectoral Mobility Investment Program involves ULG consultation or concurrence. (3) The Greater Bengaluru Governance Act / GBA legislation, or any government order setting coordination duties between BMTC and the city corporations.</t>
  </si>
  <si>
    <t xml:space="preserve">NO</t>
  </si>
  <si>
    <t xml:space="preserve">The Bengaluru Metropolitan Land Transport Authority Act, 2022 (Karnataka Act 6 of 2023) [BMRCL-35]</t>
  </si>
  <si>
    <t xml:space="preserve">Chapter VI – Sectoral and City Mobility Investment Program and Annual Implementation Plan</t>
  </si>
  <si>
    <t xml:space="preserve">Section 24</t>
  </si>
  <si>
    <t xml:space="preserve">Section 24(b); see also Section 21(2), first proviso</t>
  </si>
  <si>
    <t xml:space="preserve">19</t>
  </si>
  <si>
    <t xml:space="preserve">https://prsindia.org/files/bills_acts/acts_states/karnataka/2023/Act6of2023Karnataka.pdf</t>
  </si>
  <si>
    <t xml:space="preserve">AI (medium confidence), from Step 2 answer (Partially Answered) and BMRCL-35: Score 0: none of the sources on the Citation Sheet gives the ULG (the Greater Bengaluru Authority or its city corporations) a formal role in preparing BMRCL's sectoral plans.
**What the sources say**
- BMRCL is a Government company, not a body created by its own Act (BMRCL-01). So no parastatal Act sets out how it must plan.
- Its sectoral plan is the Sectoral Mobility Investment Program under the BMLTA Act, defined in Section 2(v) as the investment program prepared by the respective Urban Transport Agency. Section 24(b) says it "shall be prepared in consultation with the Authority." Here "the Authority" means BMLTA, a state transport authority, not the ULG.
- The Annual Implementation Plan under Section 25(2) is reviewed and approved by BMLTA.
- Under Section 21(2), first proviso, other authorities that plan urban mobility "shall necessarily consult" BMLTA. That duty also runs to BMLTA, not the ULG.
- Section 15(5) of the Greater Bengaluru Governance Act (BMRCL-34) only binds agencies to assist the GBA if it chooses ("may") to assign them planning work. That does not make BMRCL coordinate its own plans with the ULG.
- The Metro Rail Policy 2017 (BMRCL-18) gives non-binding advice only.
**Check of the Step 2 answer**
The sources support Step 2's score of 0. I added Section 24(b) because it is the provision most directly about BMRCL's own sectoral plan.
**Gaps for a person to check**
1. Whether BMLTA's board includes the ULG commissioner. If it does, the ULG takes part only indirectly through BMLTA, which does not meet the 'ULG approval/consultation' test.
2. Whether any BMLTA regulations, the full Karnataka Town and Country Planning Act text (BMRCL-31 was not reviewed in full), or any government order gives the GBA or city corporations a role in BMRCL's plans.
**Scale note:** the rubric uses a 10-point scale but the question's maximum is 5. A score of 0 is the same either way.
Quote: "(b) The Sectoral Mobility Investment Program shall be prepared in consultation with the Authority;"</t>
  </si>
  <si>
    <t xml:space="preserve">JICA – Bengaluru Water Supply and Sewerage Project (Phase 3), Final Report (Main Report), November 2017 [BWSSB-22]</t>
  </si>
  <si>
    <t xml:space="preserve">Chapter 5 (Population projection / water balance study), Section 5.1.5 Projection of Population in the BBMP for the Water Balance Study</t>
  </si>
  <si>
    <t xml:space="preserve">Section 5.1.5, item 2) 110 Villages (pp. 5-7 to 5-8, PDF pages 227-228)</t>
  </si>
  <si>
    <t xml:space="preserve">Item 2) 110 Villages (Main Report, page 5-7 / PDF page 227)</t>
  </si>
  <si>
    <t xml:space="preserve">227</t>
  </si>
  <si>
    <t xml:space="preserve">https://openjicareport.jica.go.jp/pdf/12300356_01.pdf</t>
  </si>
  <si>
    <t xml:space="preserve">AI (medium confidence), from Step 2 answer (Partially Answered) and BWSSB-22: I am proposing 5, the maximum. Step 2 proposed 2.5, and I am not following it.
1) How the methodology scores: there are only two outcomes. It gives full marks ('Score 10') where there is any evidence of ULG participation in the plan-making process, whether or not the law requires it. It gives 0 where there is none. It has no band for 'limited or informal engagement', so the 2.5 from Step 2 has no basis. The question's maximum is 5, so I read the 'Score 10' band as full marks, which is 5. A human should confirm that reading of the scale.
2) What the evidence shows: I reread the sheet and found a passage Step 2 did not use. BWSSB-22 (JICA Preparatory Survey Final Report, Main Report, Nov 2017), Section 5.1.5, says the planning population for the 110 Villages was authorised at a tripartite meeting of BDA, BBMP and BWSSB. That population is the basis of the 110 Villages water supply and sewerage plan and DPR. This shows BBMP (the ULG) helped set a core planning input, so it is more than a briefing. It is backed by BWSSB-23, Section 14.12: BBMP took part in BWSSB's stakeholders' meeting on 22 August 2017 for the planned 110 Villages water supply and sewerage project. Taken together, these meet the methodology's test that 'evidence of ULG participation' exists, and the methodology lists meeting records among acceptable evidence.
3) Caveats a reviewer should check:
(a) The evidence comes from a 2017 JICA consultant report, not from a BWSSB or BBMP publication. The minutes are in a Supporting Report that is not in the Citation Sheet.
(b) The plan in question is the 110 Villages project plan/DPR. It is not clearly the 'principal sectoral plan'. BWSSB-22 says the BWSSB Master Plan begun in 2015 was still a draft and had not been approved. No source shows ULG participation in that Master Plan, or in the Cauvery Water Supply Scheme Stage VI DPR that BWSSB-12 says is under preparation.
(c) The 'latest available plan-making cycle' may come after 2017, and BBMP has since been succeeded by the Greater Bengaluru Authority and its corporations. If a reviewer decides the latest cycle is the Master Plan or the Stage VI DPR, the score should be 0 unless further evidence turns up, because the sheet has none for those plans.
(d) BWSSB-04, Section 14 (the Consultative Committee, which includes the Municipal Corporation) is a legal provision only, so I have not credited it at Implementation level.
Quote: "The population for the next three decades were authorized through a tripartite meeting by BDA, BBMP and BWSSB."</t>
  </si>
  <si>
    <t xml:space="preserve">AI: left for a person. Step 2 found no evidence (Insufficient Evidence). Source needed: Any of the following, from BMTC's latest plan-making cycle: (a) BMTC's latest plan document (e.g. a fleet augmentation, route rationalisation or bus priority/network plan, or BMTC's Sectoral Mobility Investment Program / Annual Implementation Plan under the BMLTA Act) showing consultation with, inputs from, or concurrence of BBMP/GBA; (b) BMTC Board meeting minutes or consultation records listing the ULG as a participant; (c) GBA/BBMP council or standing committee resolutions or letters commenting on BMTC plans; (d) BMLTA or DULT records of a recent CMP or bus plan prepared jointly with BMTC and the ULG.</t>
  </si>
  <si>
    <t xml:space="preserve">AI: left for a person. Step 2 found no evidence (Insufficient Evidence). Source needed: Any of the following, from the latest plan-making cycle, would answer the question:
- BMRCL's latest Detailed Project Report (e.g., Phase 2A/2B/3), or its consultation chapter or appendix, listing stakeholder agencies consulted, including the GBA or city corporations / BBMP, and their comments.
- Minutes of BMRCL Board meetings, or of inter-agency coordination meetings, showing municipal commissioner participation in plan or alignment decisions.
- ULG council resolutions or letters commenting on or concurring with BMRCL metro plans.
- Appendix 4 of the Line 6 EIA (participant lists and queries), to check whether municipal officials attended.
- The Comprehensive Mobility Plan preparation record showing joint metro planning with the ULG.</t>
  </si>
  <si>
    <t xml:space="preserve">ENTER A NUMBER 0 TO 2.5</t>
  </si>
  <si>
    <t xml:space="preserve">AI: left for a person. Step 2 found no evidence (Insufficient Evidence). Source needed: Two sources are needed: (1) the complete, current consolidated text of the Bangalore Water Supply and Sewerage Act, 1964, with all amendments, to check for any provision requiring or permitting BWSSB schemes to conform to the Master Plan, CDP or regional plan; and (2) the full text of the Karnataka Town and Country Planning Act, 1961, with amendments, especially its provisions on the Master Plan / Comprehensive Development Plan and on the binding effect of the plan on authorities and public agencies. The Bangalore Metropolitan Region Development Authority Act, 1985 and any Greater Bengaluru Authority legislation on plan coordination would also be relevant.</t>
  </si>
  <si>
    <t xml:space="preserve">AI: left for a person. Step 2 found no evidence (Human Verification Required). Source needed: Four kinds of document are needed. (1) BWSSB's current approved Water Supply and Sewerage Master Plan, or an equivalent current sectoral plan, showing how service zones, network expansion phasing and STP/WTP/GLR siting are derived from the master plan's growth areas and land-use zoning. (2) The applicable statutory plan, i.e. BDA's Revised Master Plan 2015 or any newer Revised Master Plan, or the Greater Bengaluru/BMRDA regional plan, to confirm the alignment. (3) Current, dated evidence of practice, such as recent DPRs (e.g. CWSS Stage VI) citing master-plan projections and zoning. (4) Land-use conversion or regularisation records for major treatment plants or trunk infrastructure.</t>
  </si>
  <si>
    <t xml:space="preserve">The Bengaluru Metropolitan Land Transport Authority Act, 2022 (Karnataka Act No. 6 of 2023), full text (PRS Legislative Research copy of the official Act) [BMTC-23]</t>
  </si>
  <si>
    <t xml:space="preserve">Chapter VI – Sectoral and City Mobility Investment Program and Annual Implementation Plan (also Chapter V, ss. 21–22)</t>
  </si>
  <si>
    <t xml:space="preserve">Section 24(a), Bengaluru Metropolitan Land Transport Authority (BMLTA) Act, 2022 (Karnataka Act 6 of 2023); read with ss. 2(ff), 2(v), 21, 22, 25(1)(c) and 60(2)</t>
  </si>
  <si>
    <t xml:space="preserve">s. 24(a)</t>
  </si>
  <si>
    <t xml:space="preserve">AI (medium confidence), from Step 2 answer (Partially Answered) and BMTC-23: Proposed score: 0. None of the laws on the Citation Sheet requires BMTC to make its plans consistent with the Master Plan or the municipal/city plan.
(1) BMLTA Act. Section 2(ff) defines an Urban Transport Agency as "both the private and public agencies engaged in providing of Urban Mobility", and the Schedule lists bus systems as urban mobility. So BMTC very likely falls under the Act, which settles one gap Step 2 raised. Under s.24(a) and s.25(1)(c), BMTC's Sectoral Mobility Investment Program and any extra Annual Implementation Plan projects 'shall' align with the Comprehensive Mobility Plan (CMP). But the CMP is a mobility plan prepared by the Authority, not the city/municipal plan.
(2) The only link to the land-use plan does not run through BMTC. Under s.21 the Authority prepares the CMP 'in conjunction with' the land use plan. Under s.22(1) the Planning Authority takes the CMP into consideration when preparing the Master Plan. Both duties fall on other bodies. Section 60(2) goes further the other way: development carried out under the Act is not illegal even without the permissions a master plan would otherwise require.
(3) Karnataka Town and Country Planning Act (BMTC-25). Section 14(1) says 'every land use, every change in land use and every development' in the plan area 'shall conform' to the Master Plan. This is a general control on land development. It is not a duty on a transport corporation to make its sectoral plan consistent, so I have not credited it.
The methodology's example of a 2.5 is a transport plan that 'shall conform' to the city plan. A 1.25 needs at least a 'may have regard to' provision. Neither exists here. Crediting 2.5 through the chain CMP → land use plan would rest on an inference, which the methodology does not allow.
What a reviewer should check: BMTC's parent statute, the Road Transport Corporations Act, 1950, is not on the Citation Sheet. It is mentioned only in the BMLTA definition of 'Regulatory authority' and in the non-official Janaagraha briefs. Please confirm that it has no provision requiring BMTC's plans to conform to a city plan before finalising the 0. Also note that BMTC-23 is the PRS copy (amendment 10 of 2026 appended), not the gazette text.
Quote: "The Sectoral Mobility Investment Program shall be aligned with the goals of the Comprehensive Mobility Plan;"</t>
  </si>
  <si>
    <t xml:space="preserve">AI: left for a person. Step 2 found no evidence (Insufficient Evidence). Source needed: Needed, with year and issuing body:
- BMTC's current sectoral planning document (bus network or route rationalisation plan, fleet and depot expansion plan, business or corporate plan, or BMTC's Sectoral Mobility Investment Program or Annual Implementation Plan under the BMLTA Act).
- Text in that document that explicitly refers to the applicable statutory Master Plan (BDA's Revised Master Plan or its successor) and uses its growth corridors, land-use zoning or population and density projections to plan routes, depots or terminals.
- The final, approved Comprehensive Mobility Plan for Bengaluru, if BMTC's planning is shown to rely on it and it in turn uses the master plan's projections.
- The applicable Master Plan's transport chapter or circulation plan.
- For the contextual check: records of land-use change or regularisation for major BMTC depots, TTMCs or terminals (for example, BDA or Urban Development Department orders under the Karnataka Town and Country Planning Act).</t>
  </si>
  <si>
    <t xml:space="preserve">AI: left for a person. Step 2 found no evidence (Insufficient Evidence). Source needed: The following documents would answer the question:
- The full current text of the BWSSB Act, 1964, with all amendments, from the Karnataka law department, gazette or BWSSB website. Only a partial excerpt is in the sheet.
- BWSSB's Water Supply and Sewerage Regulations and the current tariff notification or Government of Karnataka tariff order. These would show any lifeline or minimum free supply, concessional slum or EWS tariffs, or concessional connection charges.
- Any Government of Karnataka order or BWSSB circular on water and sewerage connections for slums or informal settlements, including tenure-neutral connections.
- The official text of the Karnataka Urban Drinking Water and Sanitation Policy, or of any current State water policy with explicit pro-poor, gender or disability provisions.</t>
  </si>
  <si>
    <t xml:space="preserve">JICA – Bengaluru Water Supply and Sewerage Project (Phase 3) Final Report (sewerage / O&amp;M volume) [BWSSB-23]</t>
  </si>
  <si>
    <t xml:space="preserve">Chapter 16 – Financial / O&amp;M analysis (16.3.1 Study on Present Water and Sewerage Tariff)</t>
  </si>
  <si>
    <t xml:space="preserve">Table 16.3.2 Tariff for Domestic Water Charges and accompanying text</t>
  </si>
  <si>
    <t xml:space="preserve">Final Report p. 16-13 (PDF page 192)</t>
  </si>
  <si>
    <t xml:space="preserve">192</t>
  </si>
  <si>
    <t xml:space="preserve">https://openjicareport.jica.go.jp/pdf/12300364_04.pdf</t>
  </si>
  <si>
    <t xml:space="preserve">AI (medium confidence), from Step 2 answer (Partially Answered) and BWSSB-23: I propose 1.25 out of 5: Part A (urban poor) gets 1.25 and Part B (women) gets 0. Step 2 proposed 2.5, so I have lowered it.
Part A, urban poor:
- The sources do show a specific affordability measure for named groups. BWSSB-23 (JICA Phase 3 Final Report, Nov 2017, Table 16.3.2) describes BWSSB's domestic tariff: the 'Slum group' is free of charge and uses public taps, and the 'Poor group' pays a flat 70 INR a month (56 INR water plus 14 INR sewerage) without a meter.
- BWSSB-22 (p. 5-11/5-12, Table 5.2.1) shows slums are counted in demand planning: 68,658 slum connections and 23 MLD of consumption.
- So this is more than generic language. I still did not award 2.5, for three reasons:
  1. Implementation is assessed on a document that is not current. The evidence is a 2017 JICA consultant report describing BWSSB's tariff, not BWSSB's own current tariff order or plan. Under the methodology, an old document is at most partial evidence of current practice.
  2. There is no coverage target, connection target or project aimed at the poor. The demand projection plans slums only at 30 lpcd (point-source, 'Level I' supply) and simply assumes the slum population falls 50% by 2034 and to zero by 2044/2049. That is an assumption, not a commitment to extend the network to slums.
  3. BWSSB-12 counts free public taps but does not link them to any group. BWSSB-04, Section 38, says the Board 'may' supply water free; that is discretionary law, not evidence of practice.
- If a reviewer finds the current BWSSB tariff order still has slum/poor concessions, or a current slum-connection scheme, Part A could rise to 2.5 (total 2.5).
Part B, women: I searched the whole Citation Sheet for 'women' and 'gender'. The only hits are:
- a generic mention of 'gender' in the JICA environmental and social checklist (BWSSB-23, p. 75);
- women's self-help groups doing BBMP solid-waste collection (BWSSB-22, p. 131), which is not BWSSB and not water or sanitation.
There is no GESI analysis, no siting or safety measure for women at shared water or sanitation facilities, no gender-responsive design standard and no target for women. Part B = 0.
A reviewer should check BWSSB's current tariff notification, any Jala Mitra/slum-connection or Sanchari Cauvery-type schemes, and any BWSSB gender or GESI documents. None of these are in the Citation Sheet.
Quote: "Among them, slum and poor groups don’t have individual water meter. Under this condition, people in the slum group, who belong to the lowest income group, use free water from public taps."</t>
  </si>
  <si>
    <t xml:space="preserve">BMTC Services (monthly and concessional passes) – KarnatakaOne portal, Government of Karnataka [BMTC-13]</t>
  </si>
  <si>
    <t xml:space="preserve">Issue of Monthly Pass.</t>
  </si>
  <si>
    <t xml:space="preserve">BMTC Services – Issue of Monthly Pass (KarnatakaOne service-information page)</t>
  </si>
  <si>
    <t xml:space="preserve">https://www.karnatakaone.gov.in/Info/Public/BMTC</t>
  </si>
  <si>
    <t xml:space="preserve">AI (medium confidence), from Step 2 answer (Partially Answered) and BMTC-13: Proposed score: 0 out of 5. The Citation Sheet has no binding provision requiring BMTC to address the mobility needs of the urban poor (Part A) or of women (Part B).
Part A, urban poor (0 of 2.5):
- BMTC-13 is a Government of Karnataka KarnatakaOne page. It lists bus pass prices, including discounted senior citizen passes, and mentions student passes. It is a service-information page, not a binding fare notification, and it says rates 'are subjected to change in future'.
- Senior citizens and students are not groups defined by low income. The page says nothing about BPL, EWS or affordability.
- BMTC-22 and BMTC-28 (Janaagraha briefs) mention state fare subsidies and a general 'social responsibility' to offer affordable fares. These are non-official analyses, and the methodology bars credit for generic affordability statements.
Part B, women (0 of 2.5):
- Searches across all the sources found no provision on women's safety, women's mobility or gender at all.
Other sources checked:
- BMLTA Act, 2022 (BMTC-23), as amended in 2026. Section 14 sets out the CEO's functions and does not mention women or the urban poor. The section on the Comprehensive Mobility Plan says the plan 'shall include' accessible mobility for persons with disabilities (clause (h)). That is mandatory, but it covers disability only, not women or the urban poor. The Act also governs the BMLTA, not BMTC directly.
- Karnataka Town and Country Planning Act (BMTC-25): not relevant to transport service delivery.
- RMI report (BMTC-34): contains recommendations only, not a binding instrument.
I agree with the Step 2 finding that no binding mandate is shown. The Step 2 answer gave no score. On this evidence I propose 0 rather than leaving the input blank, because every source on the sheet was searched and none has the required provision.
What a reviewer should check: the evidence the sheet is missing probably exists outside it. This includes the Government of Karnataka orders on the Shakti free-travel scheme for women (2023), BMTC/KSRTC concession orders (for example passes for BPL users, students or differently-abled people), the Karnataka Motor Vehicles Rules, and BMTC's founding instrument under the Road Transport Corporations Act, 1950. If an official GO is produced that mandates free or concessional travel for women, Part B would likely score 2.5. A mandatory concession for low-income groups would justify 2.5 for Part A. The score should be revisited if these documents are added to the sheet.
Quote: "Sr. Citizen Black Board Pass Rs 650/-"</t>
  </si>
  <si>
    <t xml:space="preserve">BMTC Services available with KarnatakaOne Centres</t>
  </si>
  <si>
    <t xml:space="preserve">Issue of Monthly Pass</t>
  </si>
  <si>
    <t xml:space="preserve">Pass rate list</t>
  </si>
  <si>
    <t xml:space="preserve">AI (low confidence), from Step 2 answer (Partially Answered) and BMTC-13: I left the Score blank because the Citation Sheet doesn't have the sources this question needs. A person should score it.
The Step 2 answer proposed 1.25, but it doesn't hold up against the methodology. It scored Part A on a concession for senior citizens and Part B on accessibility for people with disabilities. This question asks about different groups:
- Part A is about the urban poor: fares for EWS, BPL or low-income users, and service for low-income, informal, peripheral or underserved areas.
- Part B is about women: safety, mobility, gender screening, and women-focused service measures.
Part A (urban poor): BMTC-13 shows cheaper senior-citizen passes (Rs 650 against Rs 725, and Rs 830 against Rs 925). That discount is based on age, not income, so it isn't evidence of affordability measures for the poor. BMTC-13 also mentions 'student passes', but gives no detail. I searched the whole sheet for low-income, urban-poor and concession terms. BMTC-22 and BMTC-28 (Janaagraha briefs from 2018, using FY 2016-17 data) mention only general 'annual fare subsidies' from the state, and name no group. BMTC-34 (RMI, 2020) has nothing specific. On this evidence Part A would get 0.
Part B (women): I searched the sheet for women, safety, gender and free-travel terms and found nothing in any source. BMTC-23 (the BMLTA Act) is a law for a different body, so it can't count as evidence of what BMTC actually does. On this evidence Part B would also get 0.
So applying the methodology strictly would give 0 out of 5. But that 0 would come from gaps in the research, not from proof that BMTC does nothing. The sheet has none of the sources the scorer notes ask for: BMTC's own website, its fare-concession orders, its annual report, or its mobility plan. It also has no source on any free-travel scheme for women or any safety measures. A 0 for implementation would be a real claim about BMTC's practice, and the sheet can't support it.
Before scoring, the reviewer should add official evidence on:
(a) any free or concessional travel schemes for women, and safety measures such as CCTV, panic buttons, reserved seats or marshals;
(b) any income-based fares or passes, and any feeder or peripheral routes serving low-income areas.
The BMTC-13 page itself warns that rates 'are subjected to change'. Its footer says it was last reviewed on 14 July 2026, but the pass rates may still be out of date.
Quote: "Black Board Pass Rs 725/-
 Sr. Citizen Black Board Pass Rs 650/-"
"Score" left blank: the Citation Sheet doesn't decide it.</t>
  </si>
  <si>
    <t xml:space="preserve">Chapter V – Sewers and Sewerage (with Chapter II s.15 and Chapter IV ss.49–53)</t>
  </si>
  <si>
    <t xml:space="preserve">Section 74 (Appointment of places for the emptying of sewers and disposal of sewage), second proviso</t>
  </si>
  <si>
    <t xml:space="preserve">Second proviso to s.74; also s.15(1)-(3), s.49(2), s.50, s.51, s.52, s.53(1)(g)</t>
  </si>
  <si>
    <t xml:space="preserve">32</t>
  </si>
  <si>
    <t xml:space="preserve">AI (medium confidence), from Step 2 answer (Partially Answered) and BWSSB-04: Score: 2.5. The Act lets the Board protect the environment but does not require it to, which matches the 2.5 rule ('permits or encourages... but does not make it mandatory').
1. The Board's general duties (Section 15) do not mention sustainability. Section 15 tells the Board to supply and improve the water supply, ensure the water is sufficient and wholesome, prepare water and sewerage schemes, and provide for sewage disposal. It says nothing about protecting water sources, conserving water, reusing wastewater, climate resilience or sustainability.
2. The environmental provisions that do exist are mostly optional powers:
- s.49(2): the Board 'may require' repairs to stop water being wasted or contaminated.
- s.50: officers 'may' enter premises to detect waste or misuse.
- s.51: the Board 'may test' water fittings.
- s.53(1): 'The Board may cut off the supply'. Clause (g) covers fittings that cause waste or contamination. Step 2 said the opening verb was cut off, but the full text shows it is 'may', so this is optional.
- s.49(1) and s.52 are bans on consumers and on where pipes, latrines and cesspools can be placed. They are not duties on the Board's own planning.
3. Section 74 is the strongest provision but still falls short. It says untreated sewage 'shall' not be discharged into a watercourse. This is a pollution-prevention and wastewater-treatment rule. However, it only applies 'on and after such date as may be appointed by the Board', and the treatment standard is left to bye-laws. So the Board decides whether and when it applies. I counted it as permissive, not a clear mandate.
4. The State policy evidence is too weak for credit. The Karnataka Urban Drinking Water and Sanitation Policy aim of preserving 'the sustainability of the precious water resources' appears only as a summary in the JICA report (BWSSB-22). The policy text itself is not on the Citation Sheet, and it is not shown to be binding.
5. BWSSB-12 does not count as law. It is a presentation saying BWSSB 'has made mandatory to adopt Rain Water Harvesting'. That describes practice, not the legal instrument.
Checks for a reviewer:
(a) The FAOLEX copy (BWSSB-04) is an aggregator copy, not an official site. It is marked 'As amended by Karnataka Acts 6 of 1966, 10 of 1966 and 18 of 1984', so any later amendments are not shown. If an official current text includes a mandatory rainwater-harvesting or other sustainability duty on the Board, the score could rise to 5.
(b) The bye-laws under s.74/84A, and whether the Board has appointed the date in the s.74 proviso, could make treatment mandatory in force. That would support a higher score.
(c) The State policy text itself is needed.
Quote: "Provided further that on and after such date as may be appointed by the Board in this behalf no sewage shall be discharged into any water-course until it has been"</t>
  </si>
  <si>
    <t xml:space="preserve">Presentation by Chief Engineer, BWSSB – Water Sensitivity (AMDA) [BWSSB-12]</t>
  </si>
  <si>
    <t xml:space="preserve">Presentation by Chief Engineer, BWSSB – Water Sensitivity (hosted on AMDA website)</t>
  </si>
  <si>
    <t xml:space="preserve">Slide 14 'BWSSB's ACTIONS TO MITIGATE WATER DEMAND'; Slides 15, 19 'Reuse of Treated Waste Water'/'Recycle &amp; Reuse of Water'; Slide 24 'Rainwater Harvesting'; Slides 26-31 TG Halli rejuvenation and Jakkur AWTP; Slides 34-38 KMSRDP objectives and treated sewage parameters</t>
  </si>
  <si>
    <t xml:space="preserve">Page 15, first bullet</t>
  </si>
  <si>
    <t xml:space="preserve">15</t>
  </si>
  <si>
    <t xml:space="preserve">https://amdaindia.org/wp-content/uploads/Presentation-by-Chief-Engineer-Bangalore-Water-Supply-and-Sewerage-Board-WATER-SENSITIVITY-MS-3rd-PPT-Part-II.pdf</t>
  </si>
  <si>
    <t xml:space="preserve">AI (medium confidence), from Step 2 answer (Answered — Verified Source) and BWSSB-12: I scored this 5/5. The 2.5/2.5 split in the Step 2 answer doesn't match this question's methodology, which has a single 0/2.5/5 scale, so I scored against that scale directly. Score 5 needs a programme or planning framework that is turned into specific projects or operational measures across both water and sanitation, and BWSSB-12 meets that bar.
**The framework:** Slide 14 sets out a list of Board actions headed 'BWSSB's ACTIONS TO MITIGATE WATER DEMAND'. It covers reuse of treated wastewater, rainwater harvesting at mega scale, cutting non-revenue water (NRW) in distribution, circular supply using treated lake water, rejuvenating the Arkavathi river so TG Halli can be a source again, Cauvery Stage V and Stage VI.
**Specific measures in operation:**
- **Reuse:** 850 of 1,300 MLD of treated wastewater is reused. Named tertiary-treatment plants supply KIADB, KIAL, IAF, BEL, Raj Bhavan, Lal Bagh and the KPCL power plant. About 380 MLD and 150 MLD of secondary-treated water go to fill tanks in Kolar and Chikkaballapur districts, and the slides show groundwater levels before and after at Narasapura. Recycled water has set prices (slide 19).
- **Rainwater harvesting:** It is mandatory for prescribed buildings by 31 July 2023, and 1.88 lakh buildings have it installed.
- **Source sustainability:** The TG Halli 110 MLD advanced water treatment plant (AWTP) is part of reviving that source. The 6 MLD Jakkur AWTP is planned to treat lake water and blend it with Cauvery water, 'reducing the dependency on fresh water'.
- **Climate resilience (Karnataka Multi-Sectoral Resilience Development Project):** Objectives include filling lakes with treated wastewater during drought, pumping surplus treated water to drought-prone areas, and separating sewage from stormwater to prevent flash floods.
- **Sewage treatment:** Design standards for treated sewage are stricter than the CPHEEO manual. There is a gap analysis of treatment capacity to 2025 for the 110 villages (474 MLD generated, 326 MLD under construction, a 148 MLD gap).
- **Energy:** The 60 MLD K&amp;C Valley sewage treatment plant generates power.
**Correction to Step 2:** Step 2 said pages 16–21 were missing from the extracted text. They are present: slides 16–18 cover tank filling and groundwater, and slide 19 covers recycled-water pricing.
**Caveats a reviewer should check:**
1. The source is an undated Chief Engineer presentation hosted on the AMDA site, not BWSSB's own site. Internal references (the 31 July 2023 rainwater deadline, Stage V commissioning in 'June 2024') suggest it dates from about 2023. It is not a formal plan or annual report.
2. There is no explicit NRW-reduction target. NRW is reported only as 28%, and NRW reduction is listed only as an action, with no programme details.
3. Some items are proposed or under construction rather than running, notably the Jakkur AWTP and the treatment plants in the 110 villages.
If a reviewer decides that a conference presentation without numeric NRW or reuse targets is not a 'comprehensive framework', 2.5 would be the fallback. However, the number of quantified, operating reuse and rainwater-harvesting measures supports 5. I found no current BWSSB plan or annual report in the Citation Sheet to confirm these measures.
Quote: "850 MLD out of 1300 MLD treated waste water is being reused."</t>
  </si>
  <si>
    <t xml:space="preserve">Chapter VI – Sectoral and City Mobility Investment Program and Annual Implementation Plan (read with Chapter I definitions)</t>
  </si>
  <si>
    <t xml:space="preserve">Section 25(1)(c); also Section 24(a), Section 26, Section 2(aa), 2(h) and 2(ff), Bengaluru Metropolitan Land Transport Authority Act, 2022 (Karnataka Act 6 of 2023), as amended by Karnataka Act 10 of 2026</t>
  </si>
  <si>
    <t xml:space="preserve">S.25(1)(c): additional projects in an Urban Transport Agency's Annual Implementation Plan 'shall align with the Comprehensive Mobility Plan goals and promote sustainable urban transport'. S.24(a): 'The Sectoral Mobility Investment Program shall be aligned with the goals of the Comprehensive Mobility Plan'.</t>
  </si>
  <si>
    <t xml:space="preserve">AI (medium confidence), from Step 2 answer (Partially Answered) and BMTC-23: I propose 5. Step 2 proposed 2.5, but the full text of BMTC-23 supports a higher score.
Why 5:
(1) BMTC is covered by the Act. S.2(ff) defines 'Urban Transport Agency' as 'both the private and public agencies engaged in providing of Urban Mobility in Urban Mobility Region'. The Schedule lists 'Bus systems' under public transport, and the Preamble names BMTC as one of the agencies responsible for urban mobility. The Act does not name BMTC in S.2(ff) itself, but it fits the definition.
(2) The 'shall' duties fall on the agencies themselves, not only on the BMLTA:
- S.25(1): Urban Transport Agencies 'shall prepare the Annual Implementation Plan'. Any additional projects in it 'shall align with the Comprehensive Mobility Plan goals and promote sustainable urban transport'.
- S.24(a): each agency's Sectoral Mobility Investment Program 'shall be aligned with the goals of the Comprehensive Mobility Plan'.
- S.26: revisions to the City Mobility Investment Program are 'binding on the Urban Transport Agencies'.
- S.14(1)(e): agencies 'shall be bound by such standards issued by the Authority'.
(3) These terms are specific, not generic:
- S.2(aa) defines 'Sustainable Urban Transport' as projects meant to 'reduce the use of private vehicles and increase the use of public transport and non-motorised modes like walking and cycling'. That matches the methodology's examples of putting public transport first, linking to non-motorised transport and reducing reliance on private vehicles.
- S.2(h) defines the CMP as providing 'safe, clean and efficient urban transport' through 'an integrated land use and transport planning process'.
Together these are a clear mandatory requirement on BMTC's investment planning and project choices, which meets the Score 5 rule.
Caveats for a reviewer:
- The PRS copy has a disclaimer. Check it against the Karnataka Gazette (Extraordinary No. 20, 12.01.2023). The 2026 amendment shown only changes membership and definitions tied to the Greater Bengaluru Authority, not these sections.
- The Citation Sheet does not include the Road Transport Corporations Act, 1950, which is BMTC's own statute. It also has no binding EV or clean-fuel rule for BMTC. BMTC-34 (RMI) is not binding.
- The S.25(1)(c) duty to 'promote sustainable urban transport' applies in terms only to additional projects. For the core investment program, the duty is alignment with CMP goals under S.24(a).
- A stricter reading, that the duties apply only indirectly through the CMP, could support 2.5. I chose 5 because the 'shall' falls directly on the Urban Transport Agencies.
Quote: "These additional projects shall align with the Comprehensive Mobility Plan goals and promote sustainable urban transport."</t>
  </si>
  <si>
    <t xml:space="preserve">AI: left for a person. Step 2 found no evidence (Insufficient Evidence). Source needed: Any of the following would answer the question:
- BMTC's current fleet plan or procurement plan with electric/CNG transition targets, emissions or fuel-efficiency targets, or a scrapping schedule for older diesel buses (e.g. contracts under the FAME II or PM e-Bus schemes, with numbers and timelines).
- BMTC's latest Annual Administration Report or annual report showing electric fleet share, fuel efficiency or emissions targets, and depot energy-efficiency measures.
- A BMTC route rationalisation or network plan showing metro feeder services, multimodal interchange, common ticketing with BMRCL, or NMT integration at stops and TTMCs.
- A BMTC environmental or sustainability policy document.</t>
  </si>
  <si>
    <t xml:space="preserve">Chapter II (Establishment of the Board); Chapter VI (s.127, s.128)</t>
  </si>
  <si>
    <t xml:space="preserve">Section 15(1); also Sections 36, 38, 127 and 128</t>
  </si>
  <si>
    <t xml:space="preserve">s.15(1); s.128(1)-(2), which amend the City of Bangalore Municipal Corporation Act, 1949</t>
  </si>
  <si>
    <t xml:space="preserve">AI (low confidence), from Step 2 answer (Partially Answered) and BWSSB-04: I've left the score blank. The question can't be scored because the Citation Sheet doesn't include the current Municipal Act. That means Step 1 of the method (checking whether the function is devolved to the city government under the Municipal Act) can't be done, so I can't tell which scenario applies: A (not devolved), B (fully devolved) or C (partly devolved). I agree with the Step 2 answer on this. I searched the sheet for municipal law: BWSSB-04 is the only legal source, and the other sources (two JICA reports, a presentation by a BWSSB official, and a government services portal) are not legal evidence.
What BWSSB-04 does show:
- Section 15(1) gives the Board, in mandatory 'shall' language, the general duty of water supply and sewerage across the Bangalore Metropolitan Area.
- Section 128 amended the 1949 Corporation Act. It removed the Corporation's water-supply sections (ss.171-182) and the word 'water-supply' in s.199. It also changed 'public drains, pipes and drainage works' to 'public surface drains and drainage works', leaving the Corporation with surface drains only, while sewers vest in the Board (ss.63-64).
- Section 127 transfers the Corporation's water supply and sewerage undertakings to the Board.
Together these show a clear legislative split as of 1964-66, which would support 5 if it still held. But the 1949 Act has since been replaced, by the KMC Act 1976, the BBMP Act 2020 and the Greater Bengaluru Governance Act 2024. Whether the current Act assigns water supply or sewerage to the city corporations, and whether it repeats the Board's role or carves it out, can't be checked.
There are also signs of some overlap even within the BWSSB Act:
- The proviso to s.31 provides for water supply under an arrangement with the Corporation (under s.149-A of the 1949 Act).
- Under s.36, the Board 'may' supply water to the Corporation.
- Under s.38, the Board may provide free public water supply in the City if the Corporation pays the charges the Board sets.
The BWSSB-04 text on FAOLEX shows amendments only up to 1966 (with one omission made by Act 18 of 1984), so it may not be the current version.
Before scoring, add the current Municipal Act (the GBG Act 2024, or the BBMP Act 2020, and its functions schedule) to the Citation Sheet. Then compare it with BWSSB Act ss.15, 63-64 and 128. If water supply and sewerage aren't assigned to the city government, or the split matches s.128 with no overlap, the score would be 5. If both Acts assign the same function with no distinction, it would be 0.
Quote: "The Board shall be charged with the general duty of providing a supply and improving the existing supply of water in the Bangalore Metropolitan Area and of making adequate provision for the sewerage and the disposal of the sewage in the Bangalore Metropolitan Area"
"Score" left blank: the Citation Sheet doesn't decide it.</t>
  </si>
  <si>
    <t xml:space="preserve">AI: left for a person. Step 2 found no evidence (Insufficient Evidence). Source needed: Three documents are needed: (1) the full text of the current Municipal Act for Bengaluru (Greater Bengaluru Governance Act, 2024 and/or BBMP Act, 2020), specifically the sections and schedules listing obligatory and discretionary functions, to check whether public or urban bus transport is assigned to the ULG; (2) the Road Transport Corporations Act, 1950, together with the Government of Karnataka notification establishing BMTC and defining its area and functions; (3) if relevant, the full functions provisions (Section 14 and Schedule) of the BMLTA Act, 2022.</t>
  </si>
  <si>
    <t xml:space="preserve">The Greater Bengaluru Governance Act, 2024 (Karnataka Act No. 36 of 2025) – PRS Legislative Research copy of the Act text [BDA-11]</t>
  </si>
  <si>
    <t xml:space="preserve">GBG Act 2024: Chapter IX (Powers, Functions and Procedures of the City Corporation) and Schedule I. BDA Act 1976: Chapters II–IV</t>
  </si>
  <si>
    <t xml:space="preserve">GBG Act s.111(1) with Schedule I, Part (1) Core Functions (i), (ii), (iv), and Part (3)(i)(a). BDA Act ss.14, 28A, 30, 32(1)</t>
  </si>
  <si>
    <t xml:space="preserve">Schedule I(1)(i)-(ii), (iv); Schedule I(3)(i)(a) 'Planned development of new areas for human settlement'; BDA Act s.32(1) first and second provisos</t>
  </si>
  <si>
    <t xml:space="preserve">134</t>
  </si>
  <si>
    <t xml:space="preserve">https://prsindia.org/files/bills_acts/acts_states/karnataka/2025/Act36of2025KA.pdf</t>
  </si>
  <si>
    <t xml:space="preserve">AI (medium confidence), from Step 2 answer (Partially Answered) and BDA-11: Proposed score: 0 out of 5. The source text overlaps with what BDA does, which is why I score 0. A reviewer should check this, and should confirm Gazette texts because both sources are PRS copies marked as not authoritative.
**Why I differed from the Step 2 answer:** Step 2 said the scenario (A, B or C) could not be decided because the Municipal Act's function list was missing. It is in the Citation Sheet. BDA-11 (Greater Bengaluru Governance Act, 2024) does contain it:
- Section 111(1) gives the City Corporation 'the power and responsibility to prepare and implement schemes for urban development' for the matters in the First Schedule.
- Section 111(1) proviso makes it the Corporation's duty to deliver the core functions.
- Schedule I, Part (1) lists as core functions: (i) urban planning including town planning, (ii) regulation of land-use and construction of buildings, and (iv) roads.
- Schedule I, Part (3)(i)(a) adds 'Planned development of new areas for human settlement'.
**Step 1: Scenario B.** These functions are given to the City Corporation in full, and BDA also performs them. Under the BDA Act, BDA has:
- s.14: the object of 'promote and secure the development of the Bangalore Metropolitan Area';
- Chapter III: development schemes and the streets and layouts it forms;
- s.32(1): power to sanction new extensions and layouts.
**Step 2: no clear carve-out in the BDA Act.** I looked for a clause separating BDA's role from the Corporation's and did not find a substantive one:
- s.14 is a general development mandate. It is not limited to a particular aspect, area or scale.
- s.32(1) first proviso: inside Corporation limits, BDA 'shall not sanction the formation of such extension or layout without the concurrence of the Corporation'. The second proviso sends disagreements to the Government. Both bodies act on the same layout, so this shares the function rather than dividing it.
- s.28A(a) and s.30 only hand over upkeep of streets and parks BDA has formed once they vest in the Corporation. That is a handover rule for upkeep after completion, not a split of planning or development.
- s.28 proviso only protects the Corporation's rights over drains and water works.
- s.28B lets BDA levy property tax at Corporation rates within its own jurisdiction. That adds a parallel function.
**Other relevant points:**
- GBG Act s.223 makes the Corporation's land-use powers follow the Master Plan or the Planning Authority under the Karnataka Town and Country Planning (KTCP) Act. That is a coordination rule in the Municipal Act, not a carve-out in the parastatal Act.
- The BDA Act still refers to the 1949 and 1976 Corporation Acts and 'the Corporation'. The excerpts do not show it being updated for the GBG Act's City Corporations, which adds to the lack of clarity.
**What a reviewer should check:**
- The full text of BDA Act s.14 (cut off in the excerpt) and ss.15–16, in case they limit BDA's scope.
- KTCP s.81B (BDA as Planning Authority), whose text is not in the excerpts.
- The BDA (Amendment) Act 42 of 2026, which is listed as appended to BDA-02 but whose text I could not see, in case it adapts BDA's role to the GBG Act.
- Whether a reviewer would treat the street and park handover rules (ss.28A, 30) as enough of a carve-out to give 5.
Quote: "(i) Urban planning including town planning; (ii) Regulation of land-use including protection of public land from encroachment and construction of buildings;"</t>
  </si>
  <si>
    <t xml:space="preserve">AI: left for a person. Step 2 found no evidence (Insufficient Evidence). Source needed: Three sources would answer this question:
(1) The full text of the functions provisions of the Greater Bengaluru Governance Act, 2024: the sections and schedules listing the obligatory and discretionary functions of the City Corporations and the functions of the Greater Bengaluru Authority. This would establish whether metro rail or mass transit is devolved to the ULG (Scenario A, B or C).
(2) The operative provisions of the Metro Railways (Construction of Works) Act, 1978 and the definitional and functional sections of the Metro Railways (Operation and Maintenance) Act, 2002, including definitions of 'metro railway' and 'metro railway administration' and the powers to construct and operate. Alternatively, BMRCL's Memorandum of Association, which sets out its objects.
(3) If the ULG has a related transport role, the provisions in either Act that carve out BMRCL's specific role.</t>
  </si>
  <si>
    <t xml:space="preserve">AI: left for a person. Step 2 found no evidence (Insufficient Evidence). Source needed: Two statutory texts are needed:
(1) The full text of the Bangalore Metropolitan Region Development Authority Act, 1985, as amended. In particular, the section setting out the Authority's functions and powers, and the section on prior permission for development in the Region (Section 10, as referenced in the draft RSP). This would come from the BMRDA 'Acts and Rules' page or the Karnataka law department or gazette, in a readable English version.
(2) The current municipal law for the ULG, with its schedule or sections of obligatory and discretionary functions, in particular urban and town planning, regulation of land use and building, and planning for economic and social development. This is the Greater Bengaluru Governance Act governing the GBA and its city corporations, and/or the Karnataka Municipal Corporations Act, 1976.
These texts would establish whether regional planning and development coordination is devolved to the ULG (scenario A, B or C) and whether the BMRDA Act distinguishes its regional-level role from the ULG's planning functions.</t>
  </si>
  <si>
    <t xml:space="preserve">Chapter I – Preliminary</t>
  </si>
  <si>
    <t xml:space="preserve">Section 2 (Definitions), read with Section 15(1) (General duties of the Board)</t>
  </si>
  <si>
    <t xml:space="preserve">Section 2(1)</t>
  </si>
  <si>
    <t xml:space="preserve">7</t>
  </si>
  <si>
    <t xml:space="preserve">AI (medium confidence), from Step 2 answer (Partially Answered) and BWSSB-04: I propose a score of 5, not the 2.5 proposed in Step 2. The Detailed Methodology allows only two scores. A score of 5 applies where jurisdiction is 'clearly defined through a specific boundary description, schedule, map reference, notified area or other legally identifiable territorial definition'. A score of 0 applies where jurisdiction 'cannot be clearly established'. The 'defined only in general terms' level that Step 2 relied on does not exist in this methodology.
Why 5: Section 2(1) of the BWSSB Act, 1964 defines the 'Bangalore Metropolitan Area' as the area of the Bangalore District urban. That is a legally identifiable territorial unit (a revenue district). The definition also covers adjacent areas that the State Government specifies by notification. Section 15(1) says the Board 'shall be charged with the general duty' of water supply and sewerage 'in the Bangalore Metropolitan Area'. Section 64(2) uses the same area for sewerage. So the enabling law ties the Board's jurisdiction to a named, legally identifiable territory, plus a notified-area mechanism. Both of those are listed under Score 5.
Things a reviewer should check:
(1) BWSSB-04 is an unofficial FAOLEX copy of the Act, amended only up to about 1984. A reviewer should confirm Section 2(1) against the current official text (Karnataka e-Gazette or the DPAL Acts portal), in case it was later amended, for example under the Greater Bengaluru Governance Act framework.
(2) No notification adding adjacent areas is in the Citation Sheet.
(3) The JICA 2017 report (BWSSB-22) describes BWSSB's operational area as the roughly 800 km² BBMP area. Bengaluru Urban district is larger than that. This gap between the statutory and operational areas does not change the Law/Policy score, but a reviewer may want to note it.
If reviewers decide that naming a district is not specific enough without a schedule or map, the only other score allowed is 0. I don't think 0 is justified, because the jurisdiction can be clearly established from the Act.
Quote: "(1) ‘Bangalore Metropolitan Area’ means the area of the Bangalore District urban and includes such other areas adjacent thereto as the State Government may by notification from time to time specify;"</t>
  </si>
  <si>
    <t xml:space="preserve">AI: left for a person. Step 2 found no evidence (Insufficient Evidence). Source needed: Three sources would answer this: (1) the full text of the Road Transport Corporations Act, 1950, from an official legislation source showing the actual text rather than India Code metadata, identifying how a corporation's area of operation is specified; (2) the Government of Karnataka notification or gazette order of 1997 establishing BMTC, which would show whether its area is described with a specific boundary, schedule or map or only in general terms; (3) any later notifications extending or altering BMTC's area of operation, or a jurisdiction statement on BMTC's official website that cites such notifications.</t>
  </si>
  <si>
    <t xml:space="preserve">The Bangalore Development Authority Act, 1976 (Karnataka Act 12 of 1976) – consolidated text with amendments, PRS Legislative Research [BDA-02]</t>
  </si>
  <si>
    <t xml:space="preserve">Section 2 (Definitions)</t>
  </si>
  <si>
    <t xml:space="preserve">Section 2(c), read with Sections 14, 15(1), 25(1) and 68</t>
  </si>
  <si>
    <t xml:space="preserve">16</t>
  </si>
  <si>
    <t xml:space="preserve">https://prsindia.org/files/bills_acts/acts_states/karnataka/1976/1976Karnataka12.pdf</t>
  </si>
  <si>
    <t xml:space="preserve">AI (medium confidence), from Step 2 answer (Partially Answered) and BDA-02: I propose a score of 5. The Step 2 answer gave no score because it had not found where the BDA Act defines 'Bangalore Metropolitan Area'. I read further into BDA-02 and found the definition at Section 2(c).
The Act sets BDA's area in three parts:
(1) the City of Bangalore as defined in the City of Bangalore Municipal Corporation Act, 1949;
(2) the areas where the City of Bangalore Improvement Act, 1945 was in force just before the BDA Act began;
(3) nearby areas the Government may add 'from time to time by notification'.
Other sections tie BDA's powers to this area. Section 14 says the objects of the Authority 'shall be to promote and secure the development of the Bangalore Metropolitan Area'. Section 15(1) and Section 25(1) cover schemes and works in that area. Section 68 stops the Housing Board from running housing schemes there except in line with BDA layout plans. Section 67, which inserts Section 81-B into the Karnataka Town and Country Planning Act, makes BDA the Local Planning Authority for the City of Bangalore area.
Why 5: The methodology gives full marks when jurisdiction is set by a 'notified area or other legally identifiable territorial definition'. Section 2(c) meets that test. It names areas whose limits are fixed by other laws, and adds areas notified by the Government. The methodology only offers 0 or 5. The 2.5 that Step 2 mentions is not one of its options, so a score of 0 does not fit here.
What a person should check:
(a) The notifications made under Section 2(c) that add nearby areas, which set BDA's current boundary, are not in the Citation Sheet. So the present outer boundary cannot be confirmed from the Sheet. The methodology says to check notifications when the area can be changed by notification.
(b) The 1949 Act that defines the City of Bangalore has since been replaced: first by the Karnataka Municipal Corporations Act, then by the Greater Bengaluru Governance Act, 2024 (BDA-11). That Act's Section 2(30) covers the Greater Bengaluru Area for the Greater Bengaluru Authority and the city corporations, not for BDA. A person may want to check whether a newer law or notification has changed BDA's area. The 2026 amendment attached to BDA-02 (Act 42 of 2026) changes only Sections 10 and 38D, not Section 2(c).
(c) BDA-02 is a copy published by PRS Legislative Research, not an official government text. An official copy (gazette or state law department) would be better.
Quote: "(c) ‘Bangalore Metropolitan Area’ means the area comprising the City of Bangalore as defined in the City of Bangalore Municipal Corporation Act, 1949 (Mysore Act 69 of 1949), the areas where the City of Bangalore Improvement Act, 1945 (Mysore Act 5 of 1945) was immediately before the commencement  of this Act in force and such other areas adjacent to the aforesaid as the Government may from time to time by notification specify;"</t>
  </si>
  <si>
    <t xml:space="preserve">AI: left for a person. Step 2 found no evidence (Insufficient Evidence). Source needed: Any one of the following would answer the question: (1) the full text of Section 1 (short title, extent and application) and Section 2 (including the definition of 'metropolitan area') of the Metro Railways (Operation and Maintenance) Act, 2002 as amended by Act 34 of 2009; (2) the Government of India gazette notification extending or applying that Act, and the Metro Railways (Construction of Works) Act, 1978, to the Bengaluru metropolitan area, with any area description or schedule; (3) BMRCL's Memorandum of Association (objects and area of operation) from the official BMRCL website or the Registrar of Companies; (4) the Government of India / Government of Karnataka sanction orders or gazette notifications for Phase 1, 2, 2A/2B and 3 that specify alignments or areas; (5) any notification on the BMRCL website describing its current operational jurisdiction.</t>
  </si>
  <si>
    <t xml:space="preserve">AI: left for a person. Step 2 found no evidence (Insufficient Evidence). Source needed: The following are needed:
(1) The full text of the Bangalore Metropolitan Region Development Authority Act, 1985 (Karnataka Act 39 of 1985), as amended. In particular, the definition clause defining the 'Bangalore Metropolitan Region' and any Schedule listing the areas (taluks, districts, local bodies) included.
(2) The Government of Karnataka jurisdiction notification or gazette order, with the accompanying jurisdiction map, specifying BMRDA's current boundary. This should include any later notifications that extended or altered the region.
Both appear to be hosted on the BMRDA official website ('Acts and Rules' and 'Jurisdiction' pages), but their contents must be added to the Citation Sheet.</t>
  </si>
  <si>
    <t xml:space="preserve">Chapter II – Establishment of the Board</t>
  </si>
  <si>
    <t xml:space="preserve">Section 3 (Constitution and composition of the Bangalore Water Supply and Sewerage Board); also Section 6(1)(d)</t>
  </si>
  <si>
    <t xml:space="preserve">Section 3(2), 3(3), 3(4), 3(5)</t>
  </si>
  <si>
    <t xml:space="preserve">10</t>
  </si>
  <si>
    <t xml:space="preserve">AI (medium confidence), from Step 2 answer (Partially Answered) and BWSSB-04: I propose a score of 0. Elected ULG representatives are barred by law from the Board, and the Act provides no ULG seat at all.
I did not simply follow the Step 2 answer. It said the Act's composition clause was not visible. I read further into BWSSB-04, the Bangalore Water Supply and Sewerage Act, 1964, on FAOLEX, and Section 3 is there:
- **Section 3(2):** 'The Board shall consist of not less than three and not more than seven members appointed by the State Government.'
- **Section 3(3):** the members include people with commercial, administrative, civil or public-health engineering, and accounting experience.
- **Section 3(4):** the State Government appoints one of them as Chairman.
- **Section 3(5):** anyone who is, or in the last 12 months was, a member of 'any local authority' cannot be appointed to or remain on the Board.
- **Section 6(1)(d):** the State Government may remove a member who 'becomes or seeks to become' a member of a legislature or local authority.
No provision reserves a seat for the Corporation, its Mayor or its councillors. Elected local-authority members are actively excluded, so the 5-point condition ('ULG-elected representatives are members… with voting rights') is ruled out.
Section 14 sets up a Consultative Committee, formed after consulting the Municipal Corporation among others. It is only an advisory body and is not the governing board, so I did not credit it.
Caveat on the 2.5 vs 0 choice: BWSSB-23, a JICA/NJS report from about 2017 and a secondary source, says the Board 'at present constitutes of 7 members including representatives from BBMP'. It does not name them. They cannot be elected councillors under Section 3(5), so they are probably BBMP officials, such as the Commissioner, appointed by the State at its discretion. That is not a representation the Act provides for. At this Law/Policy level I scored 0, because:
- the law bars elected ULG members;
- no ULG representation is provided for;
- the 2.5 tier describes non-voting or invitee representation, not a state-appointed official sitting at discretion.
A reviewer should check three things:
1. Whether the FAOLEX text includes all amendments. A later Karnataka amendment may have added an ex-officio BBMP Commissioner or Mayor, or a Greater Bengaluru Authority (GBA) or corporation seat.
2. The current official BWSSB Board member list, which is not in the Citation Sheet.
3. Whether ASICS practice credits a state-appointed municipal official as 'ULG representation'. If it does, 2.5 could be argued.
The Citation Sheet has no evidence on Greater Bengaluru Authority or city-corporation representation.
Quote: "(5) A person shall be disqualified from being appointed or being a member of the Board if he is, or within the twelve months last preceding was, a member of Parliament or of any State Legislature or any local authority."</t>
  </si>
  <si>
    <t xml:space="preserve">AI: left for a person. Step 2 found no evidence (Insufficient Evidence). Source needed: Two sources are needed. (1) The composition clause of BMTC's enabling law: Section 5 of the Road Transport Corporations Act, 1950, read with the Government of Karnataka notification establishing BMTC (1997) and any order constituting its board. (2) A current list of BMTC Board members, from BMTC's official website, its latest annual administration report, or a recent Government of Karnataka order. The list should name each director and their designation, show whether any elected ULG representative (e.g., the Mayor or a corporator) sits on the board, and show whether they hold voting rights.</t>
  </si>
  <si>
    <t xml:space="preserve">Chapter II – Constitution of the Authority</t>
  </si>
  <si>
    <t xml:space="preserve">Section 3(3)(l), read with Sections 4(1)(f), 5(1) proviso and 8(4)</t>
  </si>
  <si>
    <t xml:space="preserve">Section 3(3)(l)</t>
  </si>
  <si>
    <t xml:space="preserve">AI (medium confidence), from Step 2 answer (Partially Answered) and BDA-02: Score: 5. The Act gives elected city councillors voting seats on the BDA board. This rests on the Act's text only; no current board list was available.
What the Act says (consolidated BDA Act, 1976, BDA-02):
- Section 3(3)(l) makes two councillors of the Bangalore City Corporation members of the Authority. The councillors elect them from among themselves.
- Section 4(1)(f) disqualifies an elected member who 'ceases to be a councillor'. The proviso to Section 5(1) ends the Corporation representative's term when he stops being a councillor or the Corporation is superseded. Both confirm these are elected city representatives, not officials.
- Section 8(4) says all questions 'shall be decided by a majority of the votes of the members present and voting'. Nothing in the Act limits the councillor-members to observer or invitee status. That meets the methodology's rule for 5: city-elected representatives who are board members with voting rights.
- Section 3(3)(f) also makes the Corporation's Commissioner an ex-officio member, but he is an official, not an elected representative.
I checked the Step 2 answer against the source and it holds.
Points a person should check:
1. **Supersession proviso.** Under the proviso to Section 3(3)(l), while the Corporation is superseded or run by an Administrator, the two seats go to Corporation officers nominated by the Administrator. In that case no elected representatives would sit on the board. Whether this applies now cannot be confirmed from the Citation Sheet.
2. **Unclear post-reform position.** The Act still says 'Bangalore City Corporation'. The consolidated text lists amending Acts up to '42 of 2026', but the Section 3(3)(l) wording shown has not been updated. The GBA Act 2024 (BDA-11), including its 2026 Second Amendment, does not amend the BDA board in the parts I reviewed. How the seats work after the new City Corporations were created is not addressed.
3. **No current board list.** The Citation Sheet has no current BDA board list or BDA website page. These would be needed to confirm who actually holds the seats.
Quote: "(l) two persons elected by the councillors of  the Bangalore  City Corporation from among themselves in the prescribed manner :"</t>
  </si>
  <si>
    <t xml:space="preserve">AI: left for a person. Step 2 found no evidence (Insufficient Evidence). Source needed: Two kinds of document would answer this:
- BMRCL's Articles of Association, the board composition clause or the relevant Government of India / Government of Karnataka order setting out who nominates directors.
- A current list of BMRCL's Board of Directors with each director's designation and nominating body, such as the 'Board of Directors' page on the BMRCL website or the Corporate Governance Report in the latest annual report (e.g. FY 2023-24 or 2024-25).
These would show whether any GBA or city corporation elected representative (for example the Mayor or a councillor) sits on the board, and whether with voting rights or as an invitee. Where ex-officio officials such as the GBA Chief Commissioner sit on the board, the source would also need to show whether they are elected or appointed.</t>
  </si>
  <si>
    <t xml:space="preserve">AI: left for a person. Step 2 found no evidence (Insufficient Evidence). Source needed: Three documents are needed:
(1) The full text of the composition clause of the Bangalore Metropolitan Region Development Authority Act, 1985 (Karnataka Act No. 39 of 1985), as currently amended. This is expected to be the section constituting the Authority. It should show whether the Mayor or other elected representatives of the city corporation are members and whether they have voting rights.
(2) BMRDA's 'Constitution of the Authority' page on its official website, or a current Government of Karnataka notification listing the present members of the Authority. This should reflect any changes following the creation of the Greater Bengaluru Authority and its city corporations.
(3) The relevant provisions of the Greater Bengaluru Governance Act or municipal law, if these alter ULG representation on BMRDA.</t>
  </si>
  <si>
    <t xml:space="preserve">AI: left for a person. Step 2 has no answer for this question and agency (was the agency added after Step 2?).</t>
  </si>
  <si>
    <t xml:space="preserve">ENTER A NUMBER 0 TO 10</t>
  </si>
  <si>
    <t xml:space="preserve">SELECT 0.5 / 0</t>
  </si>
  <si>
    <t xml:space="preserve">Part A: Availability and currency</t>
  </si>
  <si>
    <t xml:space="preserve">Part B: Open-data format</t>
  </si>
  <si>
    <t xml:space="preserve">AI: left for a person. Step 2 found no evidence (Insufficient Evidence). Source needed: The BWSSB annual budget (budget estimates / annual financial statement) for FY2025-26 or FY2024-25, as published on BWSSB's official website. Alternatively, the budget as laid before the Karnataka Legislature and posted on an official Government of Karnataka site (e.g. the Urban Development Department or Finance Department). The date of access and the file format must be recorded: XLS/CSV/structured HTML table versus scanned or text PDF. An archived copy or screenshot of the page listing the budget is also needed.</t>
  </si>
  <si>
    <t xml:space="preserve">AI: left for a person. Step 2 found no evidence (Insufficient Evidence). Source needed: Two things are needed. First, current, dated evidence from BMTC's official website (or an official Government of Karnataka site, such as the Transport Department or Finance Department budget documents) showing whether BMTC's annual budget for FY 2025-26 or FY 2024-25 is published. Second, if a budget is published, its format: XLS/CSV/structured HTML versus scanned or non-extractable PDF. This should be supported by a screenshot or archived URL with the date of access. Alternatively, a documented search of BMTC's website (e.g. finance, RTI Section 4(1)(b) or publications pages) showing that no budget is available would support a score of 0.</t>
  </si>
  <si>
    <t xml:space="preserve">AI: left for a person. Step 2 found no evidence (Insufficient Evidence). Source needed: Two things are needed. First, the BDA official website page, such as a budget, finance or RTI Section 4(1)(b) disclosure page, that hosts BDA's annual budget for FY 2025-26 or FY 2024-25, with the date of access recorded. Second, the budget file itself, to check whether it is machine-readable (XLS/XLSX/CSV/structured HTML table) or a scanned or non-extractable PDF. If BDA does not publish its budget, a dated record of the website search showing no budget available, plus the latest budget year found (if any), would support a score of 0 on both components.</t>
  </si>
  <si>
    <t xml:space="preserve">AI: left for a person. Step 2 found no evidence (Insufficient Evidence). Source needed: Two things are needed. First, BMRCL's annual budget or budget estimates for the current or immediately preceding FY, published on BMRCL's official website or an official Government of Karnataka site. Examples are a budget page, a budget section in the latest annual report, or Karnataka state budget documents listing BMRCL's budget. Second, a record of its file format (XLS/CSV/structured HTML versus scanned or table-only PDF), with the date of access.</t>
  </si>
  <si>
    <t xml:space="preserve">AI: left for a person. Step 2 found no evidence (Insufficient Evidence). Source needed: The content of BMRDA's official 'Budget' page under 'Budget and Annual Reports' on the official website, or the budget document itself. It must show the FY covered (FY 2025-26 or 2024-25 would be needed for currency) and the file format (XLS/CSV/structured HTML table vs. PDF/scanned image), with the date of access.</t>
  </si>
  <si>
    <t xml:space="preserve">AI: left for a person. Step 2 found no evidence (Insufficient Evidence). Source needed: Needed: a dated page on BWSSB's official website (e.g. a 'Finance', 'Accounts', 'Annual Report' or RTI Section 4(1)(b) disclosure page) that publishes the audited annual accounts. This could be the balance sheet, income and expenditure statement and auditor's report. It should cover the immediately preceding FY, or the latest FY due, with a one-FY lag allowed. Alternatively, a Government of Karnataka or Karnataka Legislature page publishing the BWSSB accounts and audit report laid under Section 25(5) of the BWSSB Act. The format of the document should be recorded: XLS/CSV/structured HTML versus PDF or scanned PDF.</t>
  </si>
  <si>
    <t xml:space="preserve">AI: left for a person. Step 2 found no evidence (Insufficient Evidence). Source needed: Needed: the page on BMTC's official website (or a Government of Karnataka / Accountant General page) where BMTC's audited annual accounts or annual report with audited financial statements are published. It should cover FY 2024-25, or FY 2023-24 under the one-year lag, and show the file format (XLS/CSV/structured HTML versus scanned or text PDF). Screenshots with access dates are also required. Alternatively, the latest Annual Administration Report containing audited accounts, with its publication date.</t>
  </si>
  <si>
    <t xml:space="preserve">AI: left for a person. Step 2 found no evidence (Insufficient Evidence). Source needed: Two things are needed. (1) For availability and currency: the page on BDA's official website (e.g. an accounts, finance, RTI proactive-disclosure or annual report section) where audited annual accounts are published, showing the latest financial year covered. Ideally this is FY 2024-25, or FY 2023-24 if the one-year lag applies. The accounts would come with the auditor's (State Audit and Accounts Department) report. (2) For format: the file itself (XLS/XLSX/CSV/ODS, a structured HTML table, or a PDF), so it can be checked whether the statements are machine-readable or scanned/image-based. An alternative is BDA audited accounts or audit reports laid before the Karnataka Legislature and published on an official government website. A dated screenshot or archived URL is also required.</t>
  </si>
  <si>
    <t xml:space="preserve">AI: left for a person. Step 2 found no evidence (Insufficient Evidence). Source needed: BMRCL's official website page (e.g. Annual Reports / Financial Statements / Investor section) publishing audited accounts for FY 2024-25, or FY 2023-24 under the permitted lag. Evidence of whether those statements are offered in a machine-readable format (XLS/CSV or structured HTML tables), with date of access.</t>
  </si>
  <si>
    <t xml:space="preserve">AI: left for a person. Step 2 found no evidence (Insufficient Evidence). Source needed: The content of BMRDA's 2023-24 Annual Report PDF and of its 'Budget and Annual Reports' and 'Budget' pages. This should establish whether the report includes audited financial statements (balance sheet, income and expenditure account, auditor's/CAG or State Accounts Department audit certificate), which FY they cover, and whether they are scanned or text-based. Alternatively, a BMRDA web page or download offering audited accounts for FY 2023-24 or FY 2024-25 in a structured format (XLS/XLSX, CSV or HTML table). Date-of-access screenshots are also required.</t>
  </si>
  <si>
    <t xml:space="preserve">AI: left for a person. Step 2 found no evidence (Insufficient Evidence). Source needed: Two things are needed:
(1) The annual-report or publications page of BWSSB's official website (or a Government of Karnataka / Urban Development Department or Legislature page), showing BWSSB's latest annual report for FY 2024-25 or the latest report due, with its FY and date of access.
(2) The report document itself, to check whether it is a searchable, text-readable, downloadable PDF, HTML or DOC rather than a scanned image-only PDF.
If no annual report can be found after a documented search of the BWSSB website, that search record, with screenshots and date of access, would support a score of 0.</t>
  </si>
  <si>
    <t xml:space="preserve">AI: left for a person. Step 2 found no evidence (Insufficient Evidence). Source needed: The annual report (or annual administration report) page on BMTC's official website, showing the report for the immediately preceding FY (e.g., 2024-25) or the latest report due, with the date of access. A direct link to the report document is needed so its format can be checked (searchable/text PDF vs scanned image). Alternatively, a Government of Karnataka (Transport Department) or legislature page hosting BMTC's annual report.</t>
  </si>
  <si>
    <t xml:space="preserve">AI: left for a person. Step 2 found no evidence (Insufficient Evidence). Source needed: Needed: the BDA official website page (e.g. Reports / Publications / RTI Section 4(1)(b) proactive disclosure) where the annual report is published, with the report itself. This should be the report for FY 2024-25 or the latest due, or the most recent available, with its year recorded. Archived or dated access evidence is also needed, showing whether the document is a searchable/text-readable, downloadable PDF/HTML/DOC or only a scanned/image PDF. If no annual report exists, a dated search of the BDA website showing its absence would support a score of 0, with the latest year found noted.</t>
  </si>
  <si>
    <t xml:space="preserve">AI: left for a person. Step 2 found no evidence (Insufficient Evidence). Source needed: BMRCL's official website page (for example an 'Annual Reports' or investor/disclosure page) that publishes the Annual Report for FY 2024-25, or at the latest FY 2023-24. It should be a downloadable, text-searchable PDF and recorded with the date of access. A dated archived capture of that page would also serve. Alternatively, a recent Karnataka Legislature or government page hosting the latest BMRCL annual report.</t>
  </si>
  <si>
    <t xml:space="preserve">Home - Bangalore Metropolitan Region Development Authority (BMRDA) (English home page) [BMRDA-02]</t>
  </si>
  <si>
    <t xml:space="preserve">Home page – Department Documents menu</t>
  </si>
  <si>
    <t xml:space="preserve">Budget and Annual Reports &gt; Annual Report</t>
  </si>
  <si>
    <t xml:space="preserve">Link to '2023-24 Anual Report.pdf'</t>
  </si>
  <si>
    <t xml:space="preserve">https://bmrda.karnataka.gov.in/english</t>
  </si>
  <si>
    <t xml:space="preserve">AI (medium confidence), from Step 2 answer (Partially Answered) and BMRDA-02: Both parts score 0, for a total of 0.
Part A (availability and currency) = 0. The only annual report on BMRDA's official home page is the FY 2023-24 one. The English page (BMRDA-02) and the Kannada page (BMRDA-04) both link only to the file '2023-24 Anual Report.pdf'. The same page carries much later material:
- the 'Rules, 2026'
- CA site notification files dated 29/30-07-2026
- '© 2026'
- Mobility Plan files uploaded after July 2026
So the assessment date is in late 2026. FY 2023-24 ended in March 2024, more than two years before that. No report for FY 2024-25 or FY 2025-26 is linked. On the two-year rule, the latest report is outdated. Caveats:
- The Citation Sheet does not include the PDF itself or the 'Budget and Annual Reports' page (/40/budget-and-annual-reports/en). We have not confirmed that the PDF opens, what year it covers, or when it was published.
- That page may also list newer reports that don't appear in the home-page menu.
A person should open both, record the access date and take screenshots, as the scorer notes require.
Part B (open-data format) = 0. The only format found is a PDF, and the methodology scores PDF at 0 'whether searchable or scanned'. That corrects the Step 2 answer, which wrongly made this part depend on whether the PDF is searchable. None of the cited sources show the annual report's key information as CSV, XLS/XLSX, ODS or structured HTML tables. A reviewer should check the Budget and Annual Reports page for any structured files before final scoring.
BMRDA-05 (a 2031 Structure Plan draft hosted by OpenCity) and BMRDA-01 are not relevant here.
Quote: "[https://bmrda.karnataka.gov.in/40/budget-and-annual-reports/en] Budget and Annual Reports [https://bmrda.karnataka.gov.in/storage/pdf-files/2023-24 Anual Report.pdf] Annual Report"</t>
  </si>
  <si>
    <t xml:space="preserve">Part A: Check availability</t>
  </si>
  <si>
    <t xml:space="preserve">Part B: Minimum format/accessibility</t>
  </si>
  <si>
    <t xml:space="preserve">AI: left for a person. Step 2 found no evidence (Insufficient Evidence). Source needed: A page on BWSSB's official website, dated and accessed during the current or preceding FY, showing either of the following:
(a) A major plan, such as a water supply or sewerage master plan, CWSS Stage VI DPR, or business or corporate plan, as a text-searchable downloadable PDF.
(b) Information on ongoing projects, such as an HTML project list or dashboard, or an XLS/CSV list with project status, cost and timelines.
Screenshots or archived URLs with date of access are needed for each document type.</t>
  </si>
  <si>
    <t xml:space="preserve">AI: left for a person. Step 2 found no evidence (Insufficient Evidence). Source needed: Two things would answer the question, each with a date of access:
- A page on BMTC's official website that publishes its major plans as searchable/text PDFs (e.g. a fleet augmentation plan, the Annual Implementation Plan or Sectoral Mobility Investment Program under the BMLTA Act, or a corporate or business plan).
- A BMTC webpage, dashboard or downloadable XLS/CSV listing ongoing projects (e.g. e-bus induction, depot or TTMC projects, ITS projects) for FY 2025-26 or FY 2024-25.
Archived or screenshot evidence of the exact pages would also be needed.</t>
  </si>
  <si>
    <t xml:space="preserve">AI: left for a person. Step 2 found no evidence (Insufficient Evidence). Source needed: Two kinds of source would answer this. (1) BDA's official website pages, captured with date of access, that publish its major plans: for example the Revised Master Plan or Comprehensive Development Plan, or layout and scheme plans, as searchable, text-readable PDFs. (2) BDA pages giving information on ongoing projects for FY 2024-25 or 2025-26: for example a projects or works-in-progress page, a project dashboard, or a downloadable XLS/CSV project list. A recent BDA annual report or project status document on its website listing ongoing projects would also give partial evidence.</t>
  </si>
  <si>
    <t xml:space="preserve">AI: left for a person. Step 2 found no evidence (Insufficient Evidence). Source needed: A page on BMRCL's official website, dated within the current or immediately preceding FY, that publishes major plans or ongoing project information. Examples:
- a 'Projects' or 'Ongoing Projects' HTML page or table showing Phase 2/2A/2B/3 corridors with status, cost and timelines;
- a downloadable, text-searchable plan document, such as a recent Annual Report, Annual Implementation Plan or DPR;
- structured project data (XLS/CSV).
Website screenshots or archived URLs with date of access would be needed for each document type.</t>
  </si>
  <si>
    <t xml:space="preserve">Bangalore Metropolitan Region Development Authority — official website [BMRDA-01]</t>
  </si>
  <si>
    <t xml:space="preserve">BMRDA official website</t>
  </si>
  <si>
    <t xml:space="preserve">Contact Us page (https://bmrda.karnataka.gov.in/page/Contact+Us/en)</t>
  </si>
  <si>
    <t xml:space="preserve">Table of officers: Name, Designation, Office Number; address, phone, fax and e-mail block</t>
  </si>
  <si>
    <t xml:space="preserve">https://bmrda.karnataka.gov.in/page/Contact+Us/en</t>
  </si>
  <si>
    <t xml:space="preserve">AI (medium confidence), from Step 2 answer (Partially Answered) and BMRDA-01: Neither input can be scored yet. The officer details are confirmed, but the content and format of the organogram are not in the Citation Sheet. (1) The Step 2 answer does not match this question. It scores plan and ongoing-project information, not organisation and staffing, so I have not used it. I scored only from the Citation Sheet. (2) Officer details: confirmed. BMRDA-01, the official BMRDA Contact Us page, has a text table with names, designations and office phone numbers. Examples: Sri. Rajendra P Cholan, Metropolitan Commissioner, 080-22255493; Smt. Suma J, Metropolitan Planner and Director, 080-22267214; Sri. Maruthi Prasanna B V, Additional Metropolitan Commissioner, 080-22340979; Anusha Y K, Accounts Officer. Many posts are listed as 'Vacant'. The page also gives the office phone 080-22090200 and the e-mail mc.bmrda@ka.gov.in. It is a searchable webpage, so the officer part of both Part A and Part B is met. (3) Organogram: not confirmed. The English home page (BMRDA-02), under 'Introduction', links to 'Organisation chart' at https://bmrda.karnataka.gov.in/storage/pdf-files/ORGNenglish.pdf. That PDF's contents are not in the Citation Sheet. I cannot confirm that it opens, that it actually shows BMRDA's structure, or whether it is text-searchable or only a scanned image. Under the evidence rules, a navigation label alone is not enough. Part A depends on that PDF being a real organogram: if it is, Part A = 0.5. Part B depends on its format: 0.5 if the PDF has selectable or searchable text, 0 if it is image-only or scanned. A reviewer should open ORGNenglish.pdf, check it is a current BMRDA organogram, and test whether its text can be searched. The RTI 4(1)(a) PDFs linked from the site might also contain organisation details, but they were not reviewed either. Per the scorer notes, record a screenshot or archived URL with the date of access for both the Contact Us page and the organogram PDF.
Quote: "E-mail : mc.bmrda@ka.gov.in"
"Part A: Check availability" left blank: the Citation Sheet doesn't decide it.
"Part B: Minimum format/accessibility" left blank: the Citation Sheet doesn't decide it.</t>
  </si>
  <si>
    <t xml:space="preserve">Part A: Check availability and currency</t>
  </si>
  <si>
    <t xml:space="preserve">Part B: Check Minimum format/accessibility</t>
  </si>
  <si>
    <t xml:space="preserve">AI: left for a person. Step 2 found no evidence (Insufficient Evidence). Source needed: Two things would answer this question:
- The BWSSB Citizen Charter or Service Charter itself, published on BWSSB's official website (or on a Government of Karnataka site such as a Sakala or department page). It should state its date or year of adoption or revision, show that it is still in force, and be in HTML or a searchable PDF/DOC so its format can be assessed.
- Dated website screenshots or archived URLs of the Charter page, with date of access, as the methodology requires.</t>
  </si>
  <si>
    <t xml:space="preserve">AI: left for a person. Step 2 found no evidence (Insufficient Evidence). Source needed: BMTC's Citizen Charter or Service Charter as published on BMTC's official website. This could be an HTML page or a downloadable PDF/DOC, showing its date or year of issue or revision and confirming it remains in force. A dated screenshot or archived copy is also needed to check availability (0.5) and whether it is searchable text rather than a scanned image (0.5).</t>
  </si>
  <si>
    <t xml:space="preserve">AI: left for a person. Step 2 found no evidence (Insufficient Evidence). Source needed: A Citizen Charter or Service Charter published by BDA, for example a page or downloadable document on BDA's official website, or a Karnataka government portal hosting BDA's charter. It should list services, timelines and grievance channels and show its date, version or year. An access-dated screenshot or archived copy is also needed for each format (HTML or searchable PDF versus scanned image). If no charter exists, a documented search of BDA's official website with access dates would support a score of 0.</t>
  </si>
  <si>
    <t xml:space="preserve">AI: left for a person. Step 2 found no evidence (Insufficient Evidence). Source needed: Needed: BMRCL's Citizen Charter or Service Charter as published on BMRCL's official website. The evidence should show: (a) the exact page or document where it is hosted; (b) its date or year, and whether it is currently in force; and (c) its format, i.e. an HTML page or a searchable PDF/DOC rather than a scanned image. A dated website screenshot or archived URL with the date of access is also required.</t>
  </si>
  <si>
    <t xml:space="preserve">BMRDA official English home page, 'INTRODUCTION' menu</t>
  </si>
  <si>
    <t xml:space="preserve">Hyperlink labelled 'Citizen Charter'</t>
  </si>
  <si>
    <t xml:space="preserve">AI (low confidence), from Step 2 answer (Partially Answered) and BMRDA-02: Both inputs are blank because the Citation Sheet doesn't contain the Charter. A person needs to open it and score.
What the evidence shows:
- BMRDA's official English home page (BMRDA-02) has a 'Citizen Charter' link in its INTRODUCTION menu. The link points to the PDF 'CITIZEN CHARTER-2020-21 eng.pdf'.
- The Kannada home page (BMRDA-04) links to a Kannada version. Searching the whole Citation Sheet found no copy of the Charter text in any source.
Part A (is a current Charter publicly available?):
- The link shows BMRDA intends to publish a Charter. It doesn't show that the PDF opens for a normal user, or that it is still in force.
- The methodology says a 2020-21 Charter is not outdated just because of its date, as long as it is still in force. Nothing in the sheet shows whether it has been replaced.
- I can't award 0.5 from a link label alone, and I can't award 0 because there is evidence of a link.
Part B (is it searchable text?):
- This depends on whether the PDF is text-readable or a scanned image. That can only be checked by opening the file, so the sheet can't decide it.
What the reviewer should do:
- Open the PDF linked from the home page as 'CITIZEN CHARTER-2020-21 eng.pdf' and record the access date and a screenshot, as the Notes for scorers require. Also check the Kannada version.
- Confirm the content is a citizen or service charter.
- Check whether a newer charter has replaced it.
- Try selecting or searching the text.
Likely scores: if it opens, is still current and is searchable, Part A = 0.5 and Part B = 0.5 (total 1). If it is only a scanned image, Part A = 0.5 and Part B = 0. If it won't open or has been replaced, Part A = 0.
I agree with the Step 2 answer. It correctly declined to propose a score.
Quote: "[https://bmrda.karnataka.gov.in/storage/pdf-files/CITIZEN CHARTER-2020-21 eng.pdf] Citizen Charter"
"Part A: Check availability and currency" left blank: the Citation Sheet doesn't decide it.
"Part B: Check Minimum format/accessibility" left blank: the Citation Sheet doesn't decide it.</t>
  </si>
  <si>
    <t xml:space="preserve">Part B: Check minimum format/accessibility</t>
  </si>
  <si>
    <t xml:space="preserve">AI: left for a person. Step 2 found no evidence (Insufficient Evidence). Source needed: The RTI page on BWSSB's official website, or a searchable PDF there, listing the current Section 4(1)(b) proactive disclosure, the designated PIOs, APIOs and First Appellate Authority (names or designations, offices, phone numbers, emails), and the procedure and fee for filing RTI applications. The page should be dated or have a verifiable access date. Alternatively, a Government of Karnataka RTI portal page listing BWSSB's PIOs.</t>
  </si>
  <si>
    <t xml:space="preserve">AI: left for a person. Step 2 found no evidence (Insufficient Evidence). Source needed: BMTC's official RTI or Section 4(1)(b) proactive disclosure page, or a searchable PDF on the BMTC website, listing the current PIOs, APIOs and First Appellate Authority with designations and contact details, plus the RTI procedure (fees, mode of application). Each should have a date of access or last update, so that both currency and format (HTML or searchable PDF versus scanned or image-only) can be scored.</t>
  </si>
  <si>
    <t xml:space="preserve">AI: left for a person. Step 2 found no evidence (Insufficient Evidence). Source needed: Two things are needed. First, BDA's official RTI or Section 4(1)(b) proactive disclosure page, or a downloadable document from it, that names the current PIOs, Assistant PIOs and First Appellate Authority, with designations, office addresses, phone numbers or emails, the RTI fee and the filing procedure. Second, a dated record of when it was accessed or last updated, such as a screenshot or archived copy. This would also show whether the page is searchable HTML or a searchable PDF, or only an image or scanned notice.</t>
  </si>
  <si>
    <t xml:space="preserve">AI: left for a person. Step 2 found no evidence (Insufficient Evidence). Source needed: BMRCL's official RTI page or RTI Section 4(1)(b) proactive disclosure document. It should name the current PIO, APIOs and First Appellate Authority with contact details, and set out the procedure, fee and mode of application, with a date of access. It must be confirmed as a searchable HTML page or searchable PDF, not an image or scanned notice.</t>
  </si>
  <si>
    <t xml:space="preserve">BMRDA official English home page: RTI menu and News and Events</t>
  </si>
  <si>
    <t xml:space="preserve">Menu links 'Right To Information', 'Online R T I', 'RTI 4(1) A', 'RTI 4(1) B', 'RTI 26 (3) (B)'; news item 'RTI ONLINE SERVICES ARE AVAILABLE FOR BMRDA' (dated 'One year ago')</t>
  </si>
  <si>
    <t xml:space="preserve">AI (low confidence), from Step 2 answer (Partially Answered) and BMRDA-02: I left both parts blank because the Citation Sheet does not give enough evidence to score either one. This matches the Step 2 result, which also could not score them.
What the sources show:
- **BMRDA-02 (English home page):** links to a 'Right To Information' page, the Karnataka Online RTI portal (rtionline.karnataka.gov.in), several Section 4(1)(a) documents, an 'RTI 2019-20 4(1)(B)' PDF and an RTI 26(3)(B) PDF. It also has a news item saying online RTI services are available, dated only 'One year ago'. This signposts an RTI filing route, but none of the linked pages or PDFs was captured, so their content is unknown.
- **BMRDA-01 (Contact Us page):** lists officers and phone numbers (for example, Metropolitan Commissioner Sri Rajendra P Cholan, 080-22255493), the office address, and a general email (mc.bmrda@ka.gov.in). It does not name any Public Information Officer (PIO), Assistant PIO (APIO) or First Appellate Authority.
- **BMRDA-04 (Kannada home page):** repeats the English home page.
- **BMRDA-05 (2031 structure plan draft):** not relevant.
- A search of the whole Citation Sheet for 'Public Information Officer' / 'PIO' found nothing relevant.
Part A: To give 0.5, I would need to see named, current PIO/APIO details and the RTI procedure. A menu link and a portal link are not that. I also cannot give 0, because the 'Right To Information' page and the 4(1)(b) PDF exist on the site but their content was never recorded. I can't say the information 'cannot be found'.
Part B: The format (searchable HTML or PDF, versus a scanned or image-only file) of whatever document holds the PIO details is unknown.
What a reviewer needs to do:
1. Open the BMRDA 'Right To Information' page and the 'RTI 2019-20 4(1)(B)' PDF (both linked from BMRDA-02).
2. Check whether they name a PIO/APIO with contact details and describe the RTI procedure.
3. Check that the named people are still current. Compare them with the current office-holders on BMRDA-01. A list dated 2019-20 may be out of date.
4. Check whether the page or PDF is searchable text or only a scanned image.
5. Record screenshots and the date of access, as the scoring notes require.
Quote: "RTI ONLINE SERVICES ARE AVAILABLE FOR BMRDA"
"Part A: Check availability and currency" left blank: the Citation Sheet doesn't decide it.
"Part B: Check minimum format/accessibility" left blank: the Citation Sheet doesn't decide it.</t>
  </si>
  <si>
    <t xml:space="preserve">AI: left for a person. Step 2 found no evidence (Insufficient Evidence). Source needed: Any one of the following, published officially, would answer the question:
- the full current text of the BWSSB Act, 1964, as amended, from the Karnataka law department or the BWSSB website, checked for any section on consumer complaints or grievances;
- BWSSB regulations or bye-laws (for example, Water Supply and Sewerage Regulations), or a Government of Karnataka order requiring a complaint or grievance redressal system;
- BWSSB's Citizen Charter or Service Charter, if it states a grievance or complaint redressal channel with timelines.</t>
  </si>
  <si>
    <t xml:space="preserve">AI: left for a person. Step 2 found no evidence (Insufficient Evidence). Source needed: Any one of these would answer the question: (1) the full text of BMTC's governing statute, the Road Transport Corporations Act, 1950, with any rules or regulations under it applicable to BMTC, checked for a grievance or complaints provision; (2) BMTC's official Citizen's Charter or Service Charter, from BMTC's official website, listing complaint and grievance channels and timelines; (3) any Government of Karnataka notification or order that brings BMTC services under a statutory grievance or service-guarantee framework, for example a citizen-services guarantee law, and names the grievance or appellate officers.</t>
  </si>
  <si>
    <t xml:space="preserve">AI: left for a person. Step 2 found no evidence (Insufficient Evidence). Source needed: One of the following would answer the question:
- BDA's Citizen Charter or Service Charter, if it commits to a complaint or grievance channel.
- A Karnataka government notification bringing BDA services under a statutory service-delivery or grievance framework, such as a Sakala Services notification listing BDA services with appeal or grievance provisions.
- BDA regulations or rules made under Sections 69 or 70 of the BDA Act that set up a grievance-redressal mechanism.
- A government order directing BDA to designate grievance or public relations officers.</t>
  </si>
  <si>
    <t xml:space="preserve">AI: left for a person. Step 2 found no evidence (Insufficient Evidence). Source needed: Any one of the following would answer the question: (a) the full, current text of the Metro Railways (Operation and Maintenance) Act, 2002, or rules made under it (for example, Metro Railways general or passenger rules applicable to Bengaluru), showing any provision requiring a complaint or grievance mechanism; (b) a BMRCL Citizen's Charter or Passenger/Service Charter published on BMRCL's official website that commits to a grievance-redressal channel; or (c) a Government of Karnataka or Government of India order or notification requiring BMRCL to run a public grievance mechanism.</t>
  </si>
  <si>
    <t xml:space="preserve">AI: left for a person. Step 2 found no evidence (Insufficient Evidence). Source needed: Any of the following would answer the question:
- The full text of the BMRDA Citizen Charter (2020-21 or later), showing whether it requires a grievance or complaint channel (officer, timelines, escalation).
- The full text of the BMRDA Act, 1985 (as amended) or the BMRDA Regulations, if they contain a grievance-redressal provision.
- A binding Government of Karnataka order or rules requiring BMRDA to run a grievance-redressal mechanism.</t>
  </si>
  <si>
    <t xml:space="preserve">AI: left for a person. Step 2 found no evidence (Insufficient Evidence). Source needed: Pages from BWSSB's official website showing:
(a) the online complaint or grievance submission form or portal;
(b) the designated grievance helpline or call-centre number;
(c) any official mobile app, grievance email or WhatsApp channel, with app-store listing;
(d) a Citizen/Service Charter or office notice naming where in-person grievances can be lodged (e.g. sub-division or service-station offices, designated grievance officers);
(e) a working complaint-acknowledgement or status-tracking facility (docket or reference number).
Each should come with a current dated screenshot showing it works.</t>
  </si>
  <si>
    <t xml:space="preserve">AI: left for a person. Step 2 found no evidence (Insufficient Evidence). Source needed: Pages on BMTC's own website, current and dated, showing:
(a) an online complaint or grievance form, or a link from BMTC to a state grievance portal, together with the portal page itself;
(b) a designated grievance email, WhatsApp number or official BMTC app with a complaint feature (official app store listing or website listing);
(c) a BMTC helpline or call-centre number explicitly identified for passenger complaints;
(d) a Citizen's Charter, office order or website notice naming where grievances can be lodged in person (e.g. depot, division or TTMC helpdesk, or a designated grievance officer);
(e) evidence that registered complaints receive a reference number and can be tracked, such as a portal or app screenshot showing a complaint ID and status-tracking facility.</t>
  </si>
  <si>
    <t xml:space="preserve">AI: left for a person. Step 2 found no evidence (Insufficient Evidence). Source needed: Evidence from BDA's official website (or a State grievance portal that BDA's site links to) showing each of the following:
(1) a working online grievance form or portal integration;
(2) a designated grievance email, mobile app, WhatsApp number or other notified electronic channel;
(3) a helpline or telephone number explicitly identified for complaints or grievances;
(4) an in-person channel, such as a grievance counter, helpdesk or designated grievance or Public Grievance officer, ideally named in BDA's Citizen Charter or an office order;
(5) acknowledgement or tracking functionality, such as a complaint reference number or status-tracking page.
Dated screenshots of these pages are also needed, as the methodology requires.</t>
  </si>
  <si>
    <t xml:space="preserve">AI: left for a person. Step 2 found no evidence (Insufficient Evidence). Source needed: Pages from BMRCL's official website (Namma Metro) showing current grievance channels:
(1) an online grievance or feedback form, or a link to a state or central grievance portal (e.g. CPGRAMS or Karnataka's public grievance system), with submission functionality;
(2) an official app store listing or website notice of a mobile app, designated grievance email or WhatsApp number that accepts complaints;
(3) a designated commuter helpline or customer-care number explicitly for complaints;
(4) a citizen charter, station customer-care desk notice or designated public grievance officer page showing where grievances can be lodged in person;
(5) evidence of a complaint or reference number and a status-tracking facility.
Each should be current and dated, ideally with screenshots.</t>
  </si>
  <si>
    <t xml:space="preserve">AI: left for a person. Step 2 found no evidence (Insufficient Evidence). Source needed: To score this, the following would be needed: (a) the BMRDA Feedback page, or any grievance page, showing an online submission form, or BMRDA's link to a state grievance portal; (b) the BMRDA Citizen Charter (the 2020-21 version is linked from the home page) or an office order naming a grievance officer, helpdesk, helpline number or grievance email; (c) any official app or WhatsApp listing; (d) a screenshot of a portal showing acknowledgement or complaint-number tracking for BMRDA grievances.</t>
  </si>
  <si>
    <t xml:space="preserve">AI: left for a person. Step 2 found no evidence (Human Verification Required). Source needed: 1. The full, current (amended) text of the Bangalore Water Supply and Sewerage Act, 1964, and its Rules and Regulations, confirming whether any section requires publishing draft schemes or plans, inviting objections or suggestions, or holding public consultation.
2. The full text of the Karnataka Town and Country Planning Act, 1961, especially its provisions on publishing draft development plans and inviting objections.
3. The applicable Municipal Act (Karnataka Municipal Corporations Act / Greater Bengaluru Governance Act), including any ward committee or area sabha participation in plan preparation that could extend to water and sewerage plans.
4. Any Government of Karnataka order or policy requiring public consultation on water supply or sewerage master plans or DPRs.</t>
  </si>
  <si>
    <t xml:space="preserve">Chapter V (Preparation of policies and Comprehensive Mobility Plan); Chapter VI (Sectoral and City Mobility Investment Program and Annual Implementation Plan)</t>
  </si>
  <si>
    <t xml:space="preserve">Section 21(3), read with Section 21(2)(l), Section 23, Section 24(c) and (e), and Section 25</t>
  </si>
  <si>
    <t xml:space="preserve">Section 21(3): publish the draft plan, invite objections and suggestions, then finalise</t>
  </si>
  <si>
    <t xml:space="preserve">18</t>
  </si>
  <si>
    <t xml:space="preserve">AI (medium confidence), from Step 2 answer (Partially Answered) and BMTC-23: I scored 2.5 because the Citation Sheet shows a mandatory citizen-participation process that reaches BMTC's plans only at one stage and for one plan type. A person should confirm this score.
**Correction to the Step 2 answer.** Step 2 said Section 21(3) of the BMLTA Act 2022 was cut off. It is not. The complete text is in BMTC-23. Before finalising "any plan as under this Act", the Authority "shall":
- publish a draft plan for inspection;
- publish a notice "inviting objections and suggestions from any person with respect to the draft plan", open for at most two months;
- consider those objections and suggestions before finalising the plan.
This is mandatory ('shall') and is a full process: draft published, objections invited, objections considered. Section 23 applies the same procedure to each five-yearly revision of the Comprehensive Mobility Plan.
**How this reaches BMTC.**
- BMTC is an Urban Transport Agency, because bus systems are listed in the Schedule. It prepares a Sectoral Mobility Investment Program (Section 24) and an Annual Implementation Plan (Section 25).
- Under Section 24(c) and (e) and Section 21(2)(l), the sectoral programs are folded into the City Mobility Investment Program, which forms part of the Comprehensive Mobility Plan. BMTC's investment plans are therefore open to public objection only at the stage where the BMLTA prepares the Comprehensive Mobility Plan.
- Sections 24 and 25 set no citizen-participation step for BMTC's own sectoral program or annual plan. The only requirements are consultation with the Authority and approval by it.
This matches the methodology's 2.5 band: participation that "applies only to specified plan types/stages". It is not a direct mandate on the parastatal, which would score 5.
**Other sources.** BMTC-25 (Karnataka Town and Country Planning Act, Section 10) requires public suggestions on Master Plans, but those are prepared by Planning Authorities, not BMTC, so I did not credit it.
**Gaps a person should check:**
- BMTC's parent Act (the Road Transport Corporations Act, 1950) and any rules under it are not in the Citation Sheet.
- No State Municipal Act is in the Citation Sheet.
- BMTC-23 is a PRS copy, which PRS says is not the authoritative text. It notes an appended 2026 amendment (Act 10 of 2026) whose content I could not see.
If a reviewer decides the methodology covers only plans BMTC prepares itself, the score would be 0.
Quote: "The Authority shall after adequate opportunity, as deemed appropriate, to the concerned person and after considering such suggestions, objections, and representations, if any, finalize the draft plan."</t>
  </si>
  <si>
    <t xml:space="preserve">Chapter V (Comprehensive Mobility Plan) and Chapter VI (Sectoral and City Mobility Investment Program and Annual Implementation Plan)</t>
  </si>
  <si>
    <t xml:space="preserve">Bengaluru Metropolitan Land Transport Authority Act, 2022 (Karnataka Act 6 of 2023): Section 21(2)-(4), Section 23, Section 24(a)-(e), Section 25</t>
  </si>
  <si>
    <t xml:space="preserve">s.21(3): 'the Authority shall cause to publish a draft plan... inviting objections and suggestions from any person', with up to two months for responses; s.21(2)(d) and (l); s.24(e): 'The City Mobility Investment Program shall be part of the Comprehensive Mobility Plan'</t>
  </si>
  <si>
    <t xml:space="preserve">17</t>
  </si>
  <si>
    <t xml:space="preserve">AI (low confidence), from Step 2 answer (Partially Answered) and BMRCL-35: I propose 2.5 rather than the Step 2 answer's 0. This is a judgement call and a reviewer should look at it.
**What the Citation Sheet shows**
1. **BMRCL's status.** BMRCL is a Government company under the Companies Act (BMRCL-01), not a body created by its own Act. Neither the Metro Railways (O&amp;M) Act, 2002 excerpts (BMRCL-15) nor the Metro Rail Policy 2017 (BMRCL-18) contains a citizen-participation duty for preparing plans.
2. **The binding provision.** Under the BMLTA Act, BMRCL is an 'Urban Transport Agency'; the Schedule lists Metro Railway as public transport.
   - s.24 requires BMRCL to prepare its Sectoral Mobility Investment Program 'in consultation with the Authority'. That is consultation between agencies, not with citizens.
   - s.24(e) makes the City Mobility Investment Program, which includes BMRCL's Sectoral Mobility Investment Program, part of the Comprehensive Mobility Plan (CMP).
   - The CMP must also cover 'existing and proposed route plans of public transport' (s.21(2)(d)).
   - s.21(3) uses mandatory language: before finalising 'any plan as under this Act', the Authority 'shall' publish a draft for inspection and invite objections and suggestions from any person within a maximum of two months. It must then consider them before finalising (s.21(3)–(4)). s.23 applies the same process to the five-yearly CMP revisions.
   - So BMRCL's investment programme and metro route planning do go through a mandatory public-objections process, but only at one stage: when BMLTA finalises the CMP.
   - BMRCL's own Annual Implementation Plan (s.25) has no citizen-participation step in the text available. It is reviewed and approved by the Authority only.
3. **Why 2.5 and not 5 or 0.**
   - Not 5: there is no defined participation process that binds BMRCL directly before it finalises its own plans.
   - Not 0: a mandatory requirement does reach BMRCL's plans, but only for one plan type and stage (the CMP/CMIP). The methodology's 2.5 band covers participation that 'applies only to specified plan types/stages'.
4. **Provisions that do not apply.** KTCP Act s.10 (BMRCL-31) covers only Planning Authority Master Plans. The Greater Bengaluru Governance Act (BMRCL-34) makes GBA, not BMRCL, the Planning Authority. Neither covers BMRCL's plans.
**What a reviewer should check**
- Whether ASICS counts participation that happens only through a third party's plan (BMLTA's CMP) as participation in 'the parastatal's plans'. If it does not, the score should be 0, as Step 2 proposed.
- The provisions are cited from a PRS copy of the Act (with Act 10 of 2026 appended), not the official Gazette text. The section number for the CMP provision is inferred from the Act's arrangement of sections (s.21).
Quote: "inviting objections and suggestions from any person with respect to the draft plan"</t>
  </si>
  <si>
    <t xml:space="preserve">AI: left for a person. Step 2 found no evidence (Insufficient Evidence). Source needed: Any of the following, preferably on BWSSB's official website:
- The latest BWSSB plan (e.g. the Water Supply and Sewerage Master Plan, or a DPR such as Cauvery Stage V/VI), together with records that citizens were invited to comment before it was finalised. Such records could be public notices inviting objections or suggestions, consultation reports, or minutes/proceedings of public hearings or stakeholder consultations.
- Dated minutes of the Section 14 Consultative Committee showing that consumer representatives reviewed draft plans.
- Credible media reports of public consultations held by BWSSB on a draft plan.</t>
  </si>
  <si>
    <t xml:space="preserve">AI: left for a person. Step 2 found no evidence (Insufficient Evidence). Source needed: Any of the following, from BMTC's official website or another official source, about a recent BMTC plan or planning exercise (for example a business plan, fleet or route rationalisation plan, or bus priority plan):
- the plan document, or a draft published for comment;
- a public notice inviting objections or suggestions before the plan was finalised;
- reports, minutes or proceedings of public consultations or hearings;
- media reports of BMTC-led citizen consultations on a specific plan.
Any of these could support 2.5 or 5 marks under the methodology.</t>
  </si>
  <si>
    <t xml:space="preserve">Environmental Impact Assessment – Gottigere–Nagavara Corridor (Line 6), Bangalore Metro Rail Project Phase II (EIB register) [BMRCL-21]</t>
  </si>
  <si>
    <t xml:space="preserve">G. Consultations, Participation and Information Disclosure</t>
  </si>
  <si>
    <t xml:space="preserve">Section 1.2 Public Consultation, para 223 (with Table 28 and paras 224-225)</t>
  </si>
  <si>
    <t xml:space="preserve">Para 223, page 61 of the EIA (PDF page 66)</t>
  </si>
  <si>
    <t xml:space="preserve">66</t>
  </si>
  <si>
    <t xml:space="preserve">https://www.eib.org/attachments/registers/143756287.pdf</t>
  </si>
  <si>
    <t xml:space="preserve">AI (medium confidence), from Step 2 answer (Partially Answered) and BMRCL-21: I recommend 2.5 out of 5. There is credible evidence that BMRCL held a consultation, but official records don't let us fully verify it.
What the source shows (BMRCL-21, the Line 6 Gottigere–Nagavara EIA):
- Consultations with Project Affected People (PAPs) were held while the EIA was being prepared (para 223).
- A formal public consultation session was held at the BMRCL Byappanahalli Training Institute.
- Informal sessions and focus group discussions also took place.
- Para 224 lists the concerns people raised: dust, noise and vibration, traffic, and resettling the Jeddimara slum before any demolition.
- Para 225 says BMRCL addressed these concerns in the design.
- Para 22 says the draft EIA was to be published on BMRCL's website. That is a stated plan, not proof that it happened.
Why this is not enough for 5:
- **Records are missing.** The public notice, list of participants and question-and-answer record are said to be in Appendix 4, which is not in the Citation Sheet text. I searched for it and it did not come up.
- **Not on BMRCL's site.** The document comes from the European Investment Bank (EIB, the lender) register, not BMRCL's own website.
- **The date is inconsistent.** Para 223 gives 18 May 2017. Table 28 gives 15 May 2017 with 70 PAPs attending, and is mislabelled 'en-route the proposed transmission lines'. This suggests copy-paste errors.
- **Narrow scope.** The consultation was mostly with affected people about one corridor's environmental and resettlement issues, not with citizens generally on a BMRCL plan.
- **Out of date.** It is from 2017, so it is not the latest planning exercise.
Other sources:
- BMRCL-35 (the BMLTA Act) requires objections and suggestions to be invited on draft plans. That duty applies to the transport authority (BMLTA), not BMRCL, and it is law rather than evidence of practice.
- The Annual Report 2020-21 (BMRCL-01) and the other laws and policies on the sheet show no citizen consultation by BMRCL.
The Step 2 answer agrees with the source and I support its 2.5.
A reviewer should:
- check BMRCL's website for consultation notices or minutes on current Phase 2A, 2B or 3 planning;
- check whether Appendix 4 is publicly available. If so, it could strengthen the evidence, though it would still be old and limited to one project. If it shows no real consultation, the score could fall to 0.
Quote: "Consultations were held with PAPs during preparation of this EIA as well as in the process of land acquisition. A formal public consultation session was held on 18 May 2017 at BMRCL Byappanahalli Training Institute, Bangalore to inform the people about project and discuss the resettlement policy framework."</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</si>
</sst>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i val="true"/>
      <sz val="11"/>
      <name val="Cambria"/>
      <family val="0"/>
      <charset val="1"/>
    </font>
    <font>
      <b val="true"/>
      <sz val="9"/>
      <name val="Cambria"/>
      <family val="0"/>
      <charset val="1"/>
    </font>
  </fonts>
  <fills count="5">
    <fill>
      <patternFill patternType="none"/>
    </fill>
    <fill>
      <patternFill patternType="gray125"/>
    </fill>
    <fill>
      <patternFill patternType="solid">
        <fgColor rgb="FFDDE7F0"/>
        <bgColor rgb="FFE7E6E6"/>
      </patternFill>
    </fill>
    <fill>
      <patternFill patternType="solid">
        <fgColor rgb="FFFFF6D5"/>
        <bgColor rgb="FFE7E6E6"/>
      </patternFill>
    </fill>
    <fill>
      <patternFill patternType="solid">
        <fgColor rgb="FFE7E6E6"/>
        <bgColor rgb="FFDDE7F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5"/>
      <rgbColor rgb="FFDDE7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row>
    <row r="3" customFormat="false" ht="15" hidden="false" customHeight="true" outlineLevel="0" collapsed="false">
      <c r="A3" s="3" t="s">
        <v>1</v>
      </c>
    </row>
    <row r="4" customFormat="false" ht="23.25" hidden="false" customHeight="true" outlineLevel="0" collapsed="false">
      <c r="A4" s="3" t="s">
        <v>2</v>
      </c>
    </row>
    <row r="5" customFormat="false" ht="23.2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row>
    <row r="8" customFormat="false" ht="15" hidden="false" customHeight="true" outlineLevel="0" collapsed="false">
      <c r="A8" s="3" t="s">
        <v>5</v>
      </c>
    </row>
    <row r="9" customFormat="false" ht="15" hidden="false" customHeight="true" outlineLevel="0" collapsed="false">
      <c r="A9" s="3" t="s">
        <v>6</v>
      </c>
    </row>
    <row r="10" customFormat="false" ht="15" hidden="false" customHeight="true" outlineLevel="0" collapsed="false">
      <c r="A10" s="3"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2" topLeftCell="G3" activePane="bottomRight" state="frozen"/>
      <selection pane="topLeft" activeCell="A1" activeCellId="0" sqref="A1"/>
      <selection pane="topRight" activeCell="G1" activeCellId="0" sqref="G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4" min="4" style="1" width="50"/>
    <col collapsed="false" customWidth="true" hidden="false" outlineLevel="0" max="5" min="5" style="1" width="18"/>
  </cols>
  <sheetData>
    <row r="1" customFormat="false" ht="39" hidden="false" customHeight="true" outlineLevel="0" collapsed="false">
      <c r="A1" s="4" t="s">
        <v>11</v>
      </c>
      <c r="B1" s="4" t="s">
        <v>12</v>
      </c>
      <c r="C1" s="4" t="s">
        <v>13</v>
      </c>
      <c r="D1" s="4" t="s">
        <v>14</v>
      </c>
      <c r="E1" s="4" t="s">
        <v>15</v>
      </c>
      <c r="F1" s="4" t="s">
        <v>16</v>
      </c>
      <c r="G1" s="4" t="s">
        <v>17</v>
      </c>
      <c r="H1" s="4" t="s">
        <v>18</v>
      </c>
      <c r="I1" s="4" t="s">
        <v>19</v>
      </c>
      <c r="J1" s="4" t="s">
        <v>20</v>
      </c>
      <c r="K1" s="4" t="s">
        <v>21</v>
      </c>
      <c r="L1" s="4" t="s">
        <v>22</v>
      </c>
      <c r="M1" s="4" t="s">
        <v>23</v>
      </c>
    </row>
    <row r="2" customFormat="false" ht="15" hidden="false" customHeight="true" outlineLevel="0" collapsed="false">
      <c r="A2" s="1" t="s">
        <v>24</v>
      </c>
      <c r="B2" s="1" t="s">
        <v>25</v>
      </c>
      <c r="C2" s="1" t="s">
        <v>25</v>
      </c>
      <c r="D2" s="1" t="s">
        <v>25</v>
      </c>
      <c r="E2" s="1" t="s">
        <v>25</v>
      </c>
      <c r="F2" s="1" t="s">
        <v>25</v>
      </c>
      <c r="G2" s="1" t="s">
        <v>25</v>
      </c>
      <c r="H2" s="1" t="s">
        <v>25</v>
      </c>
      <c r="I2" s="1" t="s">
        <v>25</v>
      </c>
      <c r="J2" s="1" t="s">
        <v>25</v>
      </c>
      <c r="K2" s="1" t="s">
        <v>25</v>
      </c>
      <c r="L2" s="1" t="s">
        <v>25</v>
      </c>
      <c r="M2" s="1" t="s">
        <v>25</v>
      </c>
    </row>
    <row r="3" customFormat="false" ht="15" hidden="false" customHeight="true" outlineLevel="0" collapsed="false">
      <c r="A3" s="5" t="s">
        <v>26</v>
      </c>
      <c r="B3" s="5" t="str">
        <f aca="false">VLOOKUP($A3,'PARASTATAL Questions'!$A:$J,3,0)&amp;""</f>
        <v>Urban Planning &amp; Design (UPD)</v>
      </c>
      <c r="C3" s="5" t="str">
        <f aca="false">VLOOKUP($A3,'PARASTATAL Questions'!$A:$J,4,0)&amp;""</f>
        <v>MQ</v>
      </c>
      <c r="D3" s="5" t="str">
        <f aca="false">VLOOKUP($A3,'PARASTATAL Questions'!$A:$J,5,0)&amp;""</f>
        <v>Does the parastatal coordinate with the ULG(s) in preparing its sectoral plans?</v>
      </c>
      <c r="E3" s="5" t="str">
        <f aca="false">VLOOKUP($A3,'PARASTATAL Questions'!$A:$J,7,0)&amp;""</f>
        <v>Law/Policy + Implementation</v>
      </c>
      <c r="F3" s="5" t="n">
        <f aca="false">VLOOKUP($A3,'PARASTATAL Questions'!$A:$J,6,0)</f>
        <v>10</v>
      </c>
      <c r="G3" s="5" t="n">
        <f aca="false">IF(OR(G4="ER",G5="ER"),"ER",IF(OR(G4="?",G5="?"),"?",IF(AND(G4="NA",G5="NA"),"NA",SUM(G4,G5)/((G4&lt;&gt;"NA")*$F$4+(G5&lt;&gt;"NA")*$F$5)*$F3)))</f>
        <v>5</v>
      </c>
      <c r="H3" s="5" t="str">
        <f aca="false">IF(OR(H4="ER",H5="ER"),"ER",IF(OR(H4="?",H5="?"),"?",IF(AND(H4="NA",H5="NA"),"NA",SUM(H4,H5)/((H4&lt;&gt;"NA")*$F$4+(H5&lt;&gt;"NA")*$F$5)*$F3)))</f>
        <v>?</v>
      </c>
      <c r="I3" s="5" t="str">
        <f aca="false">IF(OR(I4="ER",I5="ER"),"ER",IF(OR(I4="?",I5="?"),"?",IF(AND(I4="NA",I5="NA"),"NA",SUM(I4,I5)/((I4&lt;&gt;"NA")*$F$4+(I5&lt;&gt;"NA")*$F$5)*$F3)))</f>
        <v>NA</v>
      </c>
      <c r="J3" s="5" t="str">
        <f aca="false">IF(OR(J4="ER",J5="ER"),"ER",IF(OR(J4="?",J5="?"),"?",IF(AND(J4="NA",J5="NA"),"NA",SUM(J4,J5)/((J4&lt;&gt;"NA")*$F$4+(J5&lt;&gt;"NA")*$F$5)*$F3)))</f>
        <v>?</v>
      </c>
      <c r="K3" s="5" t="str">
        <f aca="false">IF(OR(K4="ER",K5="ER"),"ER",IF(OR(K4="?",K5="?"),"?",IF(AND(K4="NA",K5="NA"),"NA",SUM(K4,K5)/((K4&lt;&gt;"NA")*$F$4+(K5&lt;&gt;"NA")*$F$5)*$F3)))</f>
        <v>NA</v>
      </c>
      <c r="L3" s="5" t="str">
        <f aca="false">IF(OR(L4="ER",L5="ER"),"ER",IF(OR(L4="?",L5="?"),"?",IF(AND(L4="NA",L5="NA"),"NA",SUM(L4,L5)/((L4&lt;&gt;"NA")*$F$4+(L5&lt;&gt;"NA")*$F$5)*$F3)))</f>
        <v>NA</v>
      </c>
      <c r="M3" s="5" t="str">
        <f aca="false">IF(OR(M4="ER",M5="ER"),"ER",IF(OR(M4="?",M5="?"),"?",IF(AND(M4="NA",M5="NA"),"NA",SUM(M4,M5)/((M4&lt;&gt;"NA")*$F$4+(M5&lt;&gt;"NA")*$F$5)*$F3)))</f>
        <v>?</v>
      </c>
    </row>
    <row r="4" customFormat="false" ht="15" hidden="false" customHeight="true" outlineLevel="0" collapsed="false">
      <c r="A4" s="1" t="s">
        <v>27</v>
      </c>
      <c r="B4" s="1" t="str">
        <f aca="false">VLOOKUP($A4,'PARASTATAL Questions'!$A:$J,3,0)&amp;""</f>
        <v>Urban Planning &amp; Design (UPD)</v>
      </c>
      <c r="C4" s="1" t="str">
        <f aca="false">VLOOKUP($A4,'PARASTATAL Questions'!$A:$J,4,0)&amp;""</f>
        <v>SQ</v>
      </c>
      <c r="D4" s="1" t="str">
        <f aca="false">VLOOKUP($A4,'PARASTATAL Questions'!$A:$J,5,0)&amp;""</f>
        <v>Is the parastatal mandated to prepare its sectoral plans in coordination with the ULG(s) within its jurisdiction?</v>
      </c>
      <c r="E4" s="1" t="str">
        <f aca="false">VLOOKUP($A4,'PARASTATAL Questions'!$A:$J,7,0)&amp;""</f>
        <v>Law/Policy</v>
      </c>
      <c r="F4" s="1" t="n">
        <f aca="false">VLOOKUP($A4,'PARASTATAL Questions'!$A:$J,6,0)</f>
        <v>5</v>
      </c>
      <c r="G4" s="1" t="n">
        <f aca="true">IF($F4=0,"NA",IF($A4=INDIRECT("'"&amp;$A4&amp;"'!$B$1"),IF(VLOOKUP(G$1,INDIRECT("'"&amp;$A4&amp;"'!$A$12:$Z$19"),MATCH("Points (Auto-generate)",INDIRECT("'"&amp;$A4&amp;"'!$A$12:$Z$12"),0),0)="","?",VLOOKUP(G$1,INDIRECT("'"&amp;$A4&amp;"'!$A$12:$Z$19"),MATCH("Points (Auto-generate)",INDIRECT("'"&amp;$A4&amp;"'!$A$12:$Z$12"),0),0)),"ER"))</f>
        <v>0</v>
      </c>
      <c r="H4" s="1" t="str">
        <f aca="true">IF($F4=0,"NA",IF($A4=INDIRECT("'"&amp;$A4&amp;"'!$B$1"),IF(VLOOKUP(H$1,INDIRECT("'"&amp;$A4&amp;"'!$A$12:$Z$19"),MATCH("Points (Auto-generate)",INDIRECT("'"&amp;$A4&amp;"'!$A$12:$Z$12"),0),0)="","?",VLOOKUP(H$1,INDIRECT("'"&amp;$A4&amp;"'!$A$12:$Z$19"),MATCH("Points (Auto-generate)",INDIRECT("'"&amp;$A4&amp;"'!$A$12:$Z$12"),0),0)),"ER"))</f>
        <v>?</v>
      </c>
      <c r="I4" s="1" t="str">
        <f aca="true">IF($F4=0,"NA",IF($A4=INDIRECT("'"&amp;$A4&amp;"'!$B$1"),IF(VLOOKUP(I$1,INDIRECT("'"&amp;$A4&amp;"'!$A$12:$Z$19"),MATCH("Points (Auto-generate)",INDIRECT("'"&amp;$A4&amp;"'!$A$12:$Z$12"),0),0)="","?",VLOOKUP(I$1,INDIRECT("'"&amp;$A4&amp;"'!$A$12:$Z$19"),MATCH("Points (Auto-generate)",INDIRECT("'"&amp;$A4&amp;"'!$A$12:$Z$12"),0),0)),"ER"))</f>
        <v>NA</v>
      </c>
      <c r="J4" s="1" t="n">
        <f aca="true">IF($F4=0,"NA",IF($A4=INDIRECT("'"&amp;$A4&amp;"'!$B$1"),IF(VLOOKUP(J$1,INDIRECT("'"&amp;$A4&amp;"'!$A$12:$Z$19"),MATCH("Points (Auto-generate)",INDIRECT("'"&amp;$A4&amp;"'!$A$12:$Z$12"),0),0)="","?",VLOOKUP(J$1,INDIRECT("'"&amp;$A4&amp;"'!$A$12:$Z$19"),MATCH("Points (Auto-generate)",INDIRECT("'"&amp;$A4&amp;"'!$A$12:$Z$12"),0),0)),"ER"))</f>
        <v>0</v>
      </c>
      <c r="K4" s="1" t="str">
        <f aca="true">IF($F4=0,"NA",IF($A4=INDIRECT("'"&amp;$A4&amp;"'!$B$1"),IF(VLOOKUP(K$1,INDIRECT("'"&amp;$A4&amp;"'!$A$12:$Z$19"),MATCH("Points (Auto-generate)",INDIRECT("'"&amp;$A4&amp;"'!$A$12:$Z$12"),0),0)="","?",VLOOKUP(K$1,INDIRECT("'"&amp;$A4&amp;"'!$A$12:$Z$19"),MATCH("Points (Auto-generate)",INDIRECT("'"&amp;$A4&amp;"'!$A$12:$Z$12"),0),0)),"ER"))</f>
        <v>NA</v>
      </c>
      <c r="L4" s="1" t="str">
        <f aca="true">IF($F4=0,"NA",IF($A4=INDIRECT("'"&amp;$A4&amp;"'!$B$1"),IF(VLOOKUP(L$1,INDIRECT("'"&amp;$A4&amp;"'!$A$12:$Z$19"),MATCH("Points (Auto-generate)",INDIRECT("'"&amp;$A4&amp;"'!$A$12:$Z$12"),0),0)="","?",VLOOKUP(L$1,INDIRECT("'"&amp;$A4&amp;"'!$A$12:$Z$19"),MATCH("Points (Auto-generate)",INDIRECT("'"&amp;$A4&amp;"'!$A$12:$Z$12"),0),0)),"ER"))</f>
        <v>NA</v>
      </c>
      <c r="M4" s="1" t="str">
        <f aca="true">IF($F4=0,"NA",IF($A4=INDIRECT("'"&amp;$A4&amp;"'!$B$1"),IF(VLOOKUP(M$1,INDIRECT("'"&amp;$A4&amp;"'!$A$12:$Z$19"),MATCH("Points (Auto-generate)",INDIRECT("'"&amp;$A4&amp;"'!$A$12:$Z$12"),0),0)="","?",VLOOKUP(M$1,INDIRECT("'"&amp;$A4&amp;"'!$A$12:$Z$19"),MATCH("Points (Auto-generate)",INDIRECT("'"&amp;$A4&amp;"'!$A$12:$Z$12"),0),0)),"ER"))</f>
        <v>?</v>
      </c>
    </row>
    <row r="5" customFormat="false" ht="15" hidden="false" customHeight="true" outlineLevel="0" collapsed="false">
      <c r="A5" s="1" t="s">
        <v>28</v>
      </c>
      <c r="B5" s="1" t="str">
        <f aca="false">VLOOKUP($A5,'PARASTATAL Questions'!$A:$J,3,0)&amp;""</f>
        <v>Urban Planning &amp; Design (UPD)</v>
      </c>
      <c r="C5" s="1" t="str">
        <f aca="false">VLOOKUP($A5,'PARASTATAL Questions'!$A:$J,4,0)&amp;""</f>
        <v>SQ</v>
      </c>
      <c r="D5" s="1" t="str">
        <f aca="false">VLOOKUP($A5,'PARASTATAL Questions'!$A:$J,5,0)&amp;""</f>
        <v>Has the ULG participated in the parastatal’s plan-making process?</v>
      </c>
      <c r="E5" s="1" t="str">
        <f aca="false">VLOOKUP($A5,'PARASTATAL Questions'!$A:$J,7,0)&amp;""</f>
        <v>Implementation</v>
      </c>
      <c r="F5" s="1" t="n">
        <f aca="false">VLOOKUP($A5,'PARASTATAL Questions'!$A:$J,6,0)</f>
        <v>5</v>
      </c>
      <c r="G5" s="1" t="n">
        <f aca="true">IF($F5=0,"NA",IF($A5=INDIRECT("'"&amp;$A5&amp;"'!$B$1"),IF(VLOOKUP(G$1,INDIRECT("'"&amp;$A5&amp;"'!$A$12:$Z$19"),MATCH("Points (Auto-generate)",INDIRECT("'"&amp;$A5&amp;"'!$A$12:$Z$12"),0),0)="","?",VLOOKUP(G$1,INDIRECT("'"&amp;$A5&amp;"'!$A$12:$Z$19"),MATCH("Points (Auto-generate)",INDIRECT("'"&amp;$A5&amp;"'!$A$12:$Z$12"),0),0)),"ER"))</f>
        <v>5</v>
      </c>
      <c r="H5" s="1" t="str">
        <f aca="true">IF($F5=0,"NA",IF($A5=INDIRECT("'"&amp;$A5&amp;"'!$B$1"),IF(VLOOKUP(H$1,INDIRECT("'"&amp;$A5&amp;"'!$A$12:$Z$19"),MATCH("Points (Auto-generate)",INDIRECT("'"&amp;$A5&amp;"'!$A$12:$Z$12"),0),0)="","?",VLOOKUP(H$1,INDIRECT("'"&amp;$A5&amp;"'!$A$12:$Z$19"),MATCH("Points (Auto-generate)",INDIRECT("'"&amp;$A5&amp;"'!$A$12:$Z$12"),0),0)),"ER"))</f>
        <v>?</v>
      </c>
      <c r="I5" s="1" t="str">
        <f aca="true">IF($F5=0,"NA",IF($A5=INDIRECT("'"&amp;$A5&amp;"'!$B$1"),IF(VLOOKUP(I$1,INDIRECT("'"&amp;$A5&amp;"'!$A$12:$Z$19"),MATCH("Points (Auto-generate)",INDIRECT("'"&amp;$A5&amp;"'!$A$12:$Z$12"),0),0)="","?",VLOOKUP(I$1,INDIRECT("'"&amp;$A5&amp;"'!$A$12:$Z$19"),MATCH("Points (Auto-generate)",INDIRECT("'"&amp;$A5&amp;"'!$A$12:$Z$12"),0),0)),"ER"))</f>
        <v>NA</v>
      </c>
      <c r="J5" s="1" t="str">
        <f aca="true">IF($F5=0,"NA",IF($A5=INDIRECT("'"&amp;$A5&amp;"'!$B$1"),IF(VLOOKUP(J$1,INDIRECT("'"&amp;$A5&amp;"'!$A$12:$Z$19"),MATCH("Points (Auto-generate)",INDIRECT("'"&amp;$A5&amp;"'!$A$12:$Z$12"),0),0)="","?",VLOOKUP(J$1,INDIRECT("'"&amp;$A5&amp;"'!$A$12:$Z$19"),MATCH("Points (Auto-generate)",INDIRECT("'"&amp;$A5&amp;"'!$A$12:$Z$12"),0),0)),"ER"))</f>
        <v>?</v>
      </c>
      <c r="K5" s="1" t="str">
        <f aca="true">IF($F5=0,"NA",IF($A5=INDIRECT("'"&amp;$A5&amp;"'!$B$1"),IF(VLOOKUP(K$1,INDIRECT("'"&amp;$A5&amp;"'!$A$12:$Z$19"),MATCH("Points (Auto-generate)",INDIRECT("'"&amp;$A5&amp;"'!$A$12:$Z$12"),0),0)="","?",VLOOKUP(K$1,INDIRECT("'"&amp;$A5&amp;"'!$A$12:$Z$19"),MATCH("Points (Auto-generate)",INDIRECT("'"&amp;$A5&amp;"'!$A$12:$Z$12"),0),0)),"ER"))</f>
        <v>NA</v>
      </c>
      <c r="L5" s="1" t="str">
        <f aca="true">IF($F5=0,"NA",IF($A5=INDIRECT("'"&amp;$A5&amp;"'!$B$1"),IF(VLOOKUP(L$1,INDIRECT("'"&amp;$A5&amp;"'!$A$12:$Z$19"),MATCH("Points (Auto-generate)",INDIRECT("'"&amp;$A5&amp;"'!$A$12:$Z$12"),0),0)="","?",VLOOKUP(L$1,INDIRECT("'"&amp;$A5&amp;"'!$A$12:$Z$19"),MATCH("Points (Auto-generate)",INDIRECT("'"&amp;$A5&amp;"'!$A$12:$Z$12"),0),0)),"ER"))</f>
        <v>NA</v>
      </c>
      <c r="M5" s="1" t="str">
        <f aca="true">IF($F5=0,"NA",IF($A5=INDIRECT("'"&amp;$A5&amp;"'!$B$1"),IF(VLOOKUP(M$1,INDIRECT("'"&amp;$A5&amp;"'!$A$12:$Z$19"),MATCH("Points (Auto-generate)",INDIRECT("'"&amp;$A5&amp;"'!$A$12:$Z$12"),0),0)="","?",VLOOKUP(M$1,INDIRECT("'"&amp;$A5&amp;"'!$A$12:$Z$19"),MATCH("Points (Auto-generate)",INDIRECT("'"&amp;$A5&amp;"'!$A$12:$Z$12"),0),0)),"ER"))</f>
        <v>?</v>
      </c>
    </row>
    <row r="6" customFormat="false" ht="15" hidden="false" customHeight="true" outlineLevel="0" collapsed="false">
      <c r="A6" s="5" t="s">
        <v>29</v>
      </c>
      <c r="B6" s="5" t="str">
        <f aca="false">VLOOKUP($A6,'PARASTATAL Questions'!$A:$J,3,0)&amp;""</f>
        <v>Urban Planning &amp; Design (UPD)</v>
      </c>
      <c r="C6" s="5" t="str">
        <f aca="false">VLOOKUP($A6,'PARASTATAL Questions'!$A:$J,4,0)&amp;""</f>
        <v>MQ</v>
      </c>
      <c r="D6" s="5" t="str">
        <f aca="false">VLOOKUP($A6,'PARASTATAL Questions'!$A:$J,5,0)&amp;""</f>
        <v>Where multiple statutory or sectoral plans apply to the same territory, does the water supply board and transport corporation ensure consistency with the municipal/city plan for the city?</v>
      </c>
      <c r="E6" s="5" t="str">
        <f aca="false">VLOOKUP($A6,'PARASTATAL Questions'!$A:$J,7,0)&amp;""</f>
        <v>Law/Policy + Implementation</v>
      </c>
      <c r="F6" s="5" t="n">
        <f aca="false">VLOOKUP($A6,'PARASTATAL Questions'!$A:$J,6,0)</f>
        <v>10</v>
      </c>
      <c r="G6" s="5" t="str">
        <f aca="false">IF(OR(G7="ER",G8="ER",G9="ER",G10="ER"),"ER",IF(OR(G7="?",G8="?",G9="?",G10="?"),"?",IF(AND(G7="NA",G8="NA",G9="NA",G10="NA"),"NA",SUM(G7,G8,G9,G10)/((G7&lt;&gt;"NA")*$F$7+(G8&lt;&gt;"NA")*$F$8+(G9&lt;&gt;"NA")*$F$9+(G10&lt;&gt;"NA")*$F$10)*$F6)))</f>
        <v>?</v>
      </c>
      <c r="H6" s="5" t="str">
        <f aca="false">IF(OR(H7="ER",H8="ER",H9="ER",H10="ER"),"ER",IF(OR(H7="?",H8="?",H9="?",H10="?"),"?",IF(AND(H7="NA",H8="NA",H9="NA",H10="NA"),"NA",SUM(H7,H8,H9,H10)/((H7&lt;&gt;"NA")*$F$7+(H8&lt;&gt;"NA")*$F$8+(H9&lt;&gt;"NA")*$F$9+(H10&lt;&gt;"NA")*$F$10)*$F6)))</f>
        <v>?</v>
      </c>
      <c r="I6" s="5" t="str">
        <f aca="false">IF(OR(I7="ER",I8="ER",I9="ER",I10="ER"),"ER",IF(OR(I7="?",I8="?",I9="?",I10="?"),"?",IF(AND(I7="NA",I8="NA",I9="NA",I10="NA"),"NA",SUM(I7,I8,I9,I10)/((I7&lt;&gt;"NA")*$F$7+(I8&lt;&gt;"NA")*$F$8+(I9&lt;&gt;"NA")*$F$9+(I10&lt;&gt;"NA")*$F$10)*$F6)))</f>
        <v>NA</v>
      </c>
      <c r="J6" s="5" t="str">
        <f aca="false">IF(OR(J7="ER",J8="ER",J9="ER",J10="ER"),"ER",IF(OR(J7="?",J8="?",J9="?",J10="?"),"?",IF(AND(J7="NA",J8="NA",J9="NA",J10="NA"),"NA",SUM(J7,J8,J9,J10)/((J7&lt;&gt;"NA")*$F$7+(J8&lt;&gt;"NA")*$F$8+(J9&lt;&gt;"NA")*$F$9+(J10&lt;&gt;"NA")*$F$10)*$F6)))</f>
        <v>NA</v>
      </c>
      <c r="K6" s="5" t="str">
        <f aca="false">IF(OR(K7="ER",K8="ER",K9="ER",K10="ER"),"ER",IF(OR(K7="?",K8="?",K9="?",K10="?"),"?",IF(AND(K7="NA",K8="NA",K9="NA",K10="NA"),"NA",SUM(K7,K8,K9,K10)/((K7&lt;&gt;"NA")*$F$7+(K8&lt;&gt;"NA")*$F$8+(K9&lt;&gt;"NA")*$F$9+(K10&lt;&gt;"NA")*$F$10)*$F6)))</f>
        <v>NA</v>
      </c>
      <c r="L6" s="5" t="str">
        <f aca="false">IF(OR(L7="ER",L8="ER",L9="ER",L10="ER"),"ER",IF(OR(L7="?",L8="?",L9="?",L10="?"),"?",IF(AND(L7="NA",L8="NA",L9="NA",L10="NA"),"NA",SUM(L7,L8,L9,L10)/((L7&lt;&gt;"NA")*$F$7+(L8&lt;&gt;"NA")*$F$8+(L9&lt;&gt;"NA")*$F$9+(L10&lt;&gt;"NA")*$F$10)*$F6)))</f>
        <v>NA</v>
      </c>
      <c r="M6" s="5" t="str">
        <f aca="false">IF(OR(M7="ER",M8="ER",M9="ER",M10="ER"),"ER",IF(OR(M7="?",M8="?",M9="?",M10="?"),"?",IF(AND(M7="NA",M8="NA",M9="NA",M10="NA"),"NA",SUM(M7,M8,M9,M10)/((M7&lt;&gt;"NA")*$F$7+(M8&lt;&gt;"NA")*$F$8+(M9&lt;&gt;"NA")*$F$9+(M10&lt;&gt;"NA")*$F$10)*$F6)))</f>
        <v>NA</v>
      </c>
    </row>
    <row r="7" customFormat="false" ht="15" hidden="false" customHeight="true" outlineLevel="0" collapsed="false">
      <c r="A7" s="1" t="s">
        <v>30</v>
      </c>
      <c r="B7" s="1" t="str">
        <f aca="false">VLOOKUP($A7,'PARASTATAL Questions'!$A:$J,3,0)&amp;""</f>
        <v>Urban Planning &amp; Design (UPD)</v>
      </c>
      <c r="C7" s="1" t="str">
        <f aca="false">VLOOKUP($A7,'PARASTATAL Questions'!$A:$J,4,0)&amp;""</f>
        <v>SQ</v>
      </c>
      <c r="D7" s="1" t="str">
        <f aca="false">VLOOKUP($A7,'PARASTATAL Questions'!$A:$J,5,0)&amp;""</f>
        <v>Where multiple statutory or sectoral plans apply to the same territory, is the water board mandated to ensure consistency with the applicable city /municipal plan for the city?</v>
      </c>
      <c r="E7" s="1" t="str">
        <f aca="false">VLOOKUP($A7,'PARASTATAL Questions'!$A:$J,7,0)&amp;""</f>
        <v>Law/Policy</v>
      </c>
      <c r="F7" s="1" t="n">
        <f aca="false">VLOOKUP($A7,'PARASTATAL Questions'!$A:$J,6,0)</f>
        <v>2.5</v>
      </c>
      <c r="G7" s="1" t="str">
        <f aca="true">IF($F7=0,"NA",IF($A7=INDIRECT("'"&amp;$A7&amp;"'!$B$1"),IF(VLOOKUP(G$1,INDIRECT("'"&amp;$A7&amp;"'!$A$12:$Z$19"),MATCH("Points (Auto-generate)",INDIRECT("'"&amp;$A7&amp;"'!$A$12:$Z$12"),0),0)="","?",VLOOKUP(G$1,INDIRECT("'"&amp;$A7&amp;"'!$A$12:$Z$19"),MATCH("Points (Auto-generate)",INDIRECT("'"&amp;$A7&amp;"'!$A$12:$Z$12"),0),0)),"ER"))</f>
        <v>?</v>
      </c>
      <c r="H7" s="1" t="str">
        <f aca="true">IF($F7=0,"NA",IF($A7=INDIRECT("'"&amp;$A7&amp;"'!$B$1"),IF(VLOOKUP(H$1,INDIRECT("'"&amp;$A7&amp;"'!$A$12:$Z$19"),MATCH("Points (Auto-generate)",INDIRECT("'"&amp;$A7&amp;"'!$A$12:$Z$12"),0),0)="","?",VLOOKUP(H$1,INDIRECT("'"&amp;$A7&amp;"'!$A$12:$Z$19"),MATCH("Points (Auto-generate)",INDIRECT("'"&amp;$A7&amp;"'!$A$12:$Z$12"),0),0)),"ER"))</f>
        <v>NA</v>
      </c>
      <c r="I7" s="1" t="str">
        <f aca="true">IF($F7=0,"NA",IF($A7=INDIRECT("'"&amp;$A7&amp;"'!$B$1"),IF(VLOOKUP(I$1,INDIRECT("'"&amp;$A7&amp;"'!$A$12:$Z$19"),MATCH("Points (Auto-generate)",INDIRECT("'"&amp;$A7&amp;"'!$A$12:$Z$12"),0),0)="","?",VLOOKUP(I$1,INDIRECT("'"&amp;$A7&amp;"'!$A$12:$Z$19"),MATCH("Points (Auto-generate)",INDIRECT("'"&amp;$A7&amp;"'!$A$12:$Z$12"),0),0)),"ER"))</f>
        <v>NA</v>
      </c>
      <c r="J7" s="1" t="str">
        <f aca="true">IF($F7=0,"NA",IF($A7=INDIRECT("'"&amp;$A7&amp;"'!$B$1"),IF(VLOOKUP(J$1,INDIRECT("'"&amp;$A7&amp;"'!$A$12:$Z$19"),MATCH("Points (Auto-generate)",INDIRECT("'"&amp;$A7&amp;"'!$A$12:$Z$12"),0),0)="","?",VLOOKUP(J$1,INDIRECT("'"&amp;$A7&amp;"'!$A$12:$Z$19"),MATCH("Points (Auto-generate)",INDIRECT("'"&amp;$A7&amp;"'!$A$12:$Z$12"),0),0)),"ER"))</f>
        <v>NA</v>
      </c>
      <c r="K7" s="1" t="str">
        <f aca="true">IF($F7=0,"NA",IF($A7=INDIRECT("'"&amp;$A7&amp;"'!$B$1"),IF(VLOOKUP(K$1,INDIRECT("'"&amp;$A7&amp;"'!$A$12:$Z$19"),MATCH("Points (Auto-generate)",INDIRECT("'"&amp;$A7&amp;"'!$A$12:$Z$12"),0),0)="","?",VLOOKUP(K$1,INDIRECT("'"&amp;$A7&amp;"'!$A$12:$Z$19"),MATCH("Points (Auto-generate)",INDIRECT("'"&amp;$A7&amp;"'!$A$12:$Z$12"),0),0)),"ER"))</f>
        <v>NA</v>
      </c>
      <c r="L7" s="1" t="str">
        <f aca="true">IF($F7=0,"NA",IF($A7=INDIRECT("'"&amp;$A7&amp;"'!$B$1"),IF(VLOOKUP(L$1,INDIRECT("'"&amp;$A7&amp;"'!$A$12:$Z$19"),MATCH("Points (Auto-generate)",INDIRECT("'"&amp;$A7&amp;"'!$A$12:$Z$12"),0),0)="","?",VLOOKUP(L$1,INDIRECT("'"&amp;$A7&amp;"'!$A$12:$Z$19"),MATCH("Points (Auto-generate)",INDIRECT("'"&amp;$A7&amp;"'!$A$12:$Z$12"),0),0)),"ER"))</f>
        <v>NA</v>
      </c>
      <c r="M7" s="1" t="str">
        <f aca="true">IF($F7=0,"NA",IF($A7=INDIRECT("'"&amp;$A7&amp;"'!$B$1"),IF(VLOOKUP(M$1,INDIRECT("'"&amp;$A7&amp;"'!$A$12:$Z$19"),MATCH("Points (Auto-generate)",INDIRECT("'"&amp;$A7&amp;"'!$A$12:$Z$12"),0),0)="","?",VLOOKUP(M$1,INDIRECT("'"&amp;$A7&amp;"'!$A$12:$Z$19"),MATCH("Points (Auto-generate)",INDIRECT("'"&amp;$A7&amp;"'!$A$12:$Z$12"),0),0)),"ER"))</f>
        <v>NA</v>
      </c>
    </row>
    <row r="8" customFormat="false" ht="15" hidden="false" customHeight="true" outlineLevel="0" collapsed="false">
      <c r="A8" s="1" t="s">
        <v>31</v>
      </c>
      <c r="B8" s="1" t="str">
        <f aca="false">VLOOKUP($A8,'PARASTATAL Questions'!$A:$J,3,0)&amp;""</f>
        <v>Urban Planning &amp; Design (UPD)</v>
      </c>
      <c r="C8" s="1" t="str">
        <f aca="false">VLOOKUP($A8,'PARASTATAL Questions'!$A:$J,4,0)&amp;""</f>
        <v>SQ</v>
      </c>
      <c r="D8" s="1" t="str">
        <f aca="false">VLOOKUP($A8,'PARASTATAL Questions'!$A:$J,5,0)&amp;""</f>
        <v>Where multiple statutory or sectoral plans apply to the same territory, does the water supply board ensure consistency with the applicable municipal/city plan for the city?</v>
      </c>
      <c r="E8" s="1" t="str">
        <f aca="false">VLOOKUP($A8,'PARASTATAL Questions'!$A:$J,7,0)&amp;""</f>
        <v>Implementation</v>
      </c>
      <c r="F8" s="1" t="n">
        <f aca="false">VLOOKUP($A8,'PARASTATAL Questions'!$A:$J,6,0)</f>
        <v>2.5</v>
      </c>
      <c r="G8" s="1" t="str">
        <f aca="true">IF($F8=0,"NA",IF($A8=INDIRECT("'"&amp;$A8&amp;"'!$B$1"),IF(VLOOKUP(G$1,INDIRECT("'"&amp;$A8&amp;"'!$A$12:$Z$19"),MATCH("Points (Auto-generate)",INDIRECT("'"&amp;$A8&amp;"'!$A$12:$Z$12"),0),0)="","?",VLOOKUP(G$1,INDIRECT("'"&amp;$A8&amp;"'!$A$12:$Z$19"),MATCH("Points (Auto-generate)",INDIRECT("'"&amp;$A8&amp;"'!$A$12:$Z$12"),0),0)),"ER"))</f>
        <v>?</v>
      </c>
      <c r="H8" s="1" t="str">
        <f aca="true">IF($F8=0,"NA",IF($A8=INDIRECT("'"&amp;$A8&amp;"'!$B$1"),IF(VLOOKUP(H$1,INDIRECT("'"&amp;$A8&amp;"'!$A$12:$Z$19"),MATCH("Points (Auto-generate)",INDIRECT("'"&amp;$A8&amp;"'!$A$12:$Z$12"),0),0)="","?",VLOOKUP(H$1,INDIRECT("'"&amp;$A8&amp;"'!$A$12:$Z$19"),MATCH("Points (Auto-generate)",INDIRECT("'"&amp;$A8&amp;"'!$A$12:$Z$12"),0),0)),"ER"))</f>
        <v>NA</v>
      </c>
      <c r="I8" s="1" t="str">
        <f aca="true">IF($F8=0,"NA",IF($A8=INDIRECT("'"&amp;$A8&amp;"'!$B$1"),IF(VLOOKUP(I$1,INDIRECT("'"&amp;$A8&amp;"'!$A$12:$Z$19"),MATCH("Points (Auto-generate)",INDIRECT("'"&amp;$A8&amp;"'!$A$12:$Z$12"),0),0)="","?",VLOOKUP(I$1,INDIRECT("'"&amp;$A8&amp;"'!$A$12:$Z$19"),MATCH("Points (Auto-generate)",INDIRECT("'"&amp;$A8&amp;"'!$A$12:$Z$12"),0),0)),"ER"))</f>
        <v>NA</v>
      </c>
      <c r="J8" s="1" t="str">
        <f aca="true">IF($F8=0,"NA",IF($A8=INDIRECT("'"&amp;$A8&amp;"'!$B$1"),IF(VLOOKUP(J$1,INDIRECT("'"&amp;$A8&amp;"'!$A$12:$Z$19"),MATCH("Points (Auto-generate)",INDIRECT("'"&amp;$A8&amp;"'!$A$12:$Z$12"),0),0)="","?",VLOOKUP(J$1,INDIRECT("'"&amp;$A8&amp;"'!$A$12:$Z$19"),MATCH("Points (Auto-generate)",INDIRECT("'"&amp;$A8&amp;"'!$A$12:$Z$12"),0),0)),"ER"))</f>
        <v>NA</v>
      </c>
      <c r="K8" s="1" t="str">
        <f aca="true">IF($F8=0,"NA",IF($A8=INDIRECT("'"&amp;$A8&amp;"'!$B$1"),IF(VLOOKUP(K$1,INDIRECT("'"&amp;$A8&amp;"'!$A$12:$Z$19"),MATCH("Points (Auto-generate)",INDIRECT("'"&amp;$A8&amp;"'!$A$12:$Z$12"),0),0)="","?",VLOOKUP(K$1,INDIRECT("'"&amp;$A8&amp;"'!$A$12:$Z$19"),MATCH("Points (Auto-generate)",INDIRECT("'"&amp;$A8&amp;"'!$A$12:$Z$12"),0),0)),"ER"))</f>
        <v>NA</v>
      </c>
      <c r="L8" s="1" t="str">
        <f aca="true">IF($F8=0,"NA",IF($A8=INDIRECT("'"&amp;$A8&amp;"'!$B$1"),IF(VLOOKUP(L$1,INDIRECT("'"&amp;$A8&amp;"'!$A$12:$Z$19"),MATCH("Points (Auto-generate)",INDIRECT("'"&amp;$A8&amp;"'!$A$12:$Z$12"),0),0)="","?",VLOOKUP(L$1,INDIRECT("'"&amp;$A8&amp;"'!$A$12:$Z$19"),MATCH("Points (Auto-generate)",INDIRECT("'"&amp;$A8&amp;"'!$A$12:$Z$12"),0),0)),"ER"))</f>
        <v>NA</v>
      </c>
      <c r="M8" s="1" t="str">
        <f aca="true">IF($F8=0,"NA",IF($A8=INDIRECT("'"&amp;$A8&amp;"'!$B$1"),IF(VLOOKUP(M$1,INDIRECT("'"&amp;$A8&amp;"'!$A$12:$Z$19"),MATCH("Points (Auto-generate)",INDIRECT("'"&amp;$A8&amp;"'!$A$12:$Z$12"),0),0)="","?",VLOOKUP(M$1,INDIRECT("'"&amp;$A8&amp;"'!$A$12:$Z$19"),MATCH("Points (Auto-generate)",INDIRECT("'"&amp;$A8&amp;"'!$A$12:$Z$12"),0),0)),"ER"))</f>
        <v>NA</v>
      </c>
    </row>
    <row r="9" customFormat="false" ht="15" hidden="false" customHeight="true" outlineLevel="0" collapsed="false">
      <c r="A9" s="1" t="s">
        <v>32</v>
      </c>
      <c r="B9" s="1" t="str">
        <f aca="false">VLOOKUP($A9,'PARASTATAL Questions'!$A:$J,3,0)&amp;""</f>
        <v>Urban Planning &amp; Design (UPD)</v>
      </c>
      <c r="C9" s="1" t="str">
        <f aca="false">VLOOKUP($A9,'PARASTATAL Questions'!$A:$J,4,0)&amp;""</f>
        <v>SQ</v>
      </c>
      <c r="D9" s="1" t="str">
        <f aca="false">VLOOKUP($A9,'PARASTATAL Questions'!$A:$J,5,0)&amp;""</f>
        <v>Where multiple statutory or sectoral plans apply to the same territory, is the transport corporation mandated to ensure consistency with the applicable municipal/city plan for the city?</v>
      </c>
      <c r="E9" s="1" t="str">
        <f aca="false">VLOOKUP($A9,'PARASTATAL Questions'!$A:$J,7,0)&amp;""</f>
        <v>Law/Policy</v>
      </c>
      <c r="F9" s="1" t="n">
        <f aca="false">VLOOKUP($A9,'PARASTATAL Questions'!$A:$J,6,0)</f>
        <v>2.5</v>
      </c>
      <c r="G9" s="1" t="str">
        <f aca="true">IF($F9=0,"NA",IF($A9=INDIRECT("'"&amp;$A9&amp;"'!$B$1"),IF(VLOOKUP(G$1,INDIRECT("'"&amp;$A9&amp;"'!$A$12:$Z$19"),MATCH("Points (Auto-generate)",INDIRECT("'"&amp;$A9&amp;"'!$A$12:$Z$12"),0),0)="","?",VLOOKUP(G$1,INDIRECT("'"&amp;$A9&amp;"'!$A$12:$Z$19"),MATCH("Points (Auto-generate)",INDIRECT("'"&amp;$A9&amp;"'!$A$12:$Z$12"),0),0)),"ER"))</f>
        <v>NA</v>
      </c>
      <c r="H9" s="1" t="n">
        <f aca="true">IF($F9=0,"NA",IF($A9=INDIRECT("'"&amp;$A9&amp;"'!$B$1"),IF(VLOOKUP(H$1,INDIRECT("'"&amp;$A9&amp;"'!$A$12:$Z$19"),MATCH("Points (Auto-generate)",INDIRECT("'"&amp;$A9&amp;"'!$A$12:$Z$12"),0),0)="","?",VLOOKUP(H$1,INDIRECT("'"&amp;$A9&amp;"'!$A$12:$Z$19"),MATCH("Points (Auto-generate)",INDIRECT("'"&amp;$A9&amp;"'!$A$12:$Z$12"),0),0)),"ER"))</f>
        <v>0</v>
      </c>
      <c r="I9" s="1" t="str">
        <f aca="true">IF($F9=0,"NA",IF($A9=INDIRECT("'"&amp;$A9&amp;"'!$B$1"),IF(VLOOKUP(I$1,INDIRECT("'"&amp;$A9&amp;"'!$A$12:$Z$19"),MATCH("Points (Auto-generate)",INDIRECT("'"&amp;$A9&amp;"'!$A$12:$Z$12"),0),0)="","?",VLOOKUP(I$1,INDIRECT("'"&amp;$A9&amp;"'!$A$12:$Z$19"),MATCH("Points (Auto-generate)",INDIRECT("'"&amp;$A9&amp;"'!$A$12:$Z$12"),0),0)),"ER"))</f>
        <v>NA</v>
      </c>
      <c r="J9" s="1" t="str">
        <f aca="true">IF($F9=0,"NA",IF($A9=INDIRECT("'"&amp;$A9&amp;"'!$B$1"),IF(VLOOKUP(J$1,INDIRECT("'"&amp;$A9&amp;"'!$A$12:$Z$19"),MATCH("Points (Auto-generate)",INDIRECT("'"&amp;$A9&amp;"'!$A$12:$Z$12"),0),0)="","?",VLOOKUP(J$1,INDIRECT("'"&amp;$A9&amp;"'!$A$12:$Z$19"),MATCH("Points (Auto-generate)",INDIRECT("'"&amp;$A9&amp;"'!$A$12:$Z$12"),0),0)),"ER"))</f>
        <v>NA</v>
      </c>
      <c r="K9" s="1" t="str">
        <f aca="true">IF($F9=0,"NA",IF($A9=INDIRECT("'"&amp;$A9&amp;"'!$B$1"),IF(VLOOKUP(K$1,INDIRECT("'"&amp;$A9&amp;"'!$A$12:$Z$19"),MATCH("Points (Auto-generate)",INDIRECT("'"&amp;$A9&amp;"'!$A$12:$Z$12"),0),0)="","?",VLOOKUP(K$1,INDIRECT("'"&amp;$A9&amp;"'!$A$12:$Z$19"),MATCH("Points (Auto-generate)",INDIRECT("'"&amp;$A9&amp;"'!$A$12:$Z$12"),0),0)),"ER"))</f>
        <v>NA</v>
      </c>
      <c r="L9" s="1" t="str">
        <f aca="true">IF($F9=0,"NA",IF($A9=INDIRECT("'"&amp;$A9&amp;"'!$B$1"),IF(VLOOKUP(L$1,INDIRECT("'"&amp;$A9&amp;"'!$A$12:$Z$19"),MATCH("Points (Auto-generate)",INDIRECT("'"&amp;$A9&amp;"'!$A$12:$Z$12"),0),0)="","?",VLOOKUP(L$1,INDIRECT("'"&amp;$A9&amp;"'!$A$12:$Z$19"),MATCH("Points (Auto-generate)",INDIRECT("'"&amp;$A9&amp;"'!$A$12:$Z$12"),0),0)),"ER"))</f>
        <v>NA</v>
      </c>
      <c r="M9" s="1" t="str">
        <f aca="true">IF($F9=0,"NA",IF($A9=INDIRECT("'"&amp;$A9&amp;"'!$B$1"),IF(VLOOKUP(M$1,INDIRECT("'"&amp;$A9&amp;"'!$A$12:$Z$19"),MATCH("Points (Auto-generate)",INDIRECT("'"&amp;$A9&amp;"'!$A$12:$Z$12"),0),0)="","?",VLOOKUP(M$1,INDIRECT("'"&amp;$A9&amp;"'!$A$12:$Z$19"),MATCH("Points (Auto-generate)",INDIRECT("'"&amp;$A9&amp;"'!$A$12:$Z$12"),0),0)),"ER"))</f>
        <v>NA</v>
      </c>
    </row>
    <row r="10" customFormat="false" ht="15" hidden="false" customHeight="true" outlineLevel="0" collapsed="false">
      <c r="A10" s="1" t="s">
        <v>33</v>
      </c>
      <c r="B10" s="1" t="str">
        <f aca="false">VLOOKUP($A10,'PARASTATAL Questions'!$A:$J,3,0)&amp;""</f>
        <v>Urban Planning &amp; Design (UPD)</v>
      </c>
      <c r="C10" s="1" t="str">
        <f aca="false">VLOOKUP($A10,'PARASTATAL Questions'!$A:$J,4,0)&amp;""</f>
        <v>SQ</v>
      </c>
      <c r="D10" s="1" t="str">
        <f aca="false">VLOOKUP($A10,'PARASTATAL Questions'!$A:$J,5,0)&amp;""</f>
        <v>Where multiple statutory or sectoral plans apply to the same territory, does the transport corporation ensure consistency with the applicable municipal/city plan for the city?</v>
      </c>
      <c r="E10" s="1" t="str">
        <f aca="false">VLOOKUP($A10,'PARASTATAL Questions'!$A:$J,7,0)&amp;""</f>
        <v>Implementation</v>
      </c>
      <c r="F10" s="1" t="n">
        <f aca="false">VLOOKUP($A10,'PARASTATAL Questions'!$A:$J,6,0)</f>
        <v>2.5</v>
      </c>
      <c r="G10" s="1" t="str">
        <f aca="true">IF($F10=0,"NA",IF($A10=INDIRECT("'"&amp;$A10&amp;"'!$B$1"),IF(VLOOKUP(G$1,INDIRECT("'"&amp;$A10&amp;"'!$A$12:$Z$19"),MATCH("Points (Auto-generate)",INDIRECT("'"&amp;$A10&amp;"'!$A$12:$Z$12"),0),0)="","?",VLOOKUP(G$1,INDIRECT("'"&amp;$A10&amp;"'!$A$12:$Z$19"),MATCH("Points (Auto-generate)",INDIRECT("'"&amp;$A10&amp;"'!$A$12:$Z$12"),0),0)),"ER"))</f>
        <v>NA</v>
      </c>
      <c r="H10" s="1" t="str">
        <f aca="true">IF($F10=0,"NA",IF($A10=INDIRECT("'"&amp;$A10&amp;"'!$B$1"),IF(VLOOKUP(H$1,INDIRECT("'"&amp;$A10&amp;"'!$A$12:$Z$19"),MATCH("Points (Auto-generate)",INDIRECT("'"&amp;$A10&amp;"'!$A$12:$Z$12"),0),0)="","?",VLOOKUP(H$1,INDIRECT("'"&amp;$A10&amp;"'!$A$12:$Z$19"),MATCH("Points (Auto-generate)",INDIRECT("'"&amp;$A10&amp;"'!$A$12:$Z$12"),0),0)),"ER"))</f>
        <v>?</v>
      </c>
      <c r="I10" s="1" t="str">
        <f aca="true">IF($F10=0,"NA",IF($A10=INDIRECT("'"&amp;$A10&amp;"'!$B$1"),IF(VLOOKUP(I$1,INDIRECT("'"&amp;$A10&amp;"'!$A$12:$Z$19"),MATCH("Points (Auto-generate)",INDIRECT("'"&amp;$A10&amp;"'!$A$12:$Z$12"),0),0)="","?",VLOOKUP(I$1,INDIRECT("'"&amp;$A10&amp;"'!$A$12:$Z$19"),MATCH("Points (Auto-generate)",INDIRECT("'"&amp;$A10&amp;"'!$A$12:$Z$12"),0),0)),"ER"))</f>
        <v>NA</v>
      </c>
      <c r="J10" s="1" t="str">
        <f aca="true">IF($F10=0,"NA",IF($A10=INDIRECT("'"&amp;$A10&amp;"'!$B$1"),IF(VLOOKUP(J$1,INDIRECT("'"&amp;$A10&amp;"'!$A$12:$Z$19"),MATCH("Points (Auto-generate)",INDIRECT("'"&amp;$A10&amp;"'!$A$12:$Z$12"),0),0)="","?",VLOOKUP(J$1,INDIRECT("'"&amp;$A10&amp;"'!$A$12:$Z$19"),MATCH("Points (Auto-generate)",INDIRECT("'"&amp;$A10&amp;"'!$A$12:$Z$12"),0),0)),"ER"))</f>
        <v>NA</v>
      </c>
      <c r="K10" s="1" t="str">
        <f aca="true">IF($F10=0,"NA",IF($A10=INDIRECT("'"&amp;$A10&amp;"'!$B$1"),IF(VLOOKUP(K$1,INDIRECT("'"&amp;$A10&amp;"'!$A$12:$Z$19"),MATCH("Points (Auto-generate)",INDIRECT("'"&amp;$A10&amp;"'!$A$12:$Z$12"),0),0)="","?",VLOOKUP(K$1,INDIRECT("'"&amp;$A10&amp;"'!$A$12:$Z$19"),MATCH("Points (Auto-generate)",INDIRECT("'"&amp;$A10&amp;"'!$A$12:$Z$12"),0),0)),"ER"))</f>
        <v>NA</v>
      </c>
      <c r="L10" s="1" t="str">
        <f aca="true">IF($F10=0,"NA",IF($A10=INDIRECT("'"&amp;$A10&amp;"'!$B$1"),IF(VLOOKUP(L$1,INDIRECT("'"&amp;$A10&amp;"'!$A$12:$Z$19"),MATCH("Points (Auto-generate)",INDIRECT("'"&amp;$A10&amp;"'!$A$12:$Z$12"),0),0)="","?",VLOOKUP(L$1,INDIRECT("'"&amp;$A10&amp;"'!$A$12:$Z$19"),MATCH("Points (Auto-generate)",INDIRECT("'"&amp;$A10&amp;"'!$A$12:$Z$12"),0),0)),"ER"))</f>
        <v>NA</v>
      </c>
      <c r="M10" s="1" t="str">
        <f aca="true">IF($F10=0,"NA",IF($A10=INDIRECT("'"&amp;$A10&amp;"'!$B$1"),IF(VLOOKUP(M$1,INDIRECT("'"&amp;$A10&amp;"'!$A$12:$Z$19"),MATCH("Points (Auto-generate)",INDIRECT("'"&amp;$A10&amp;"'!$A$12:$Z$12"),0),0)="","?",VLOOKUP(M$1,INDIRECT("'"&amp;$A10&amp;"'!$A$12:$Z$19"),MATCH("Points (Auto-generate)",INDIRECT("'"&amp;$A10&amp;"'!$A$12:$Z$12"),0),0)),"ER"))</f>
        <v>NA</v>
      </c>
    </row>
    <row r="11" customFormat="false" ht="15" hidden="false" customHeight="true" outlineLevel="0" collapsed="false">
      <c r="A11" s="5" t="s">
        <v>34</v>
      </c>
      <c r="B11" s="5" t="str">
        <f aca="false">VLOOKUP($A11,'PARASTATAL Questions'!$A:$J,3,0)&amp;""</f>
        <v>Urban Planning &amp; Design (UPD)</v>
      </c>
      <c r="C11" s="5" t="str">
        <f aca="false">VLOOKUP($A11,'PARASTATAL Questions'!$A:$J,4,0)&amp;""</f>
        <v>MQ</v>
      </c>
      <c r="D11" s="5" t="str">
        <f aca="false">VLOOKUP($A11,'PARASTATAL Questions'!$A:$J,5,0)&amp;""</f>
        <v>Are the needs of women and the urban poor explicitly considered in the water board’s planning, service delivery or major investment decisions?</v>
      </c>
      <c r="E11" s="5" t="str">
        <f aca="false">VLOOKUP($A11,'PARASTATAL Questions'!$A:$J,7,0)&amp;""</f>
        <v>Law/Policy + Implementation</v>
      </c>
      <c r="F11" s="5" t="n">
        <f aca="false">VLOOKUP($A11,'PARASTATAL Questions'!$A:$J,6,0)</f>
        <v>10</v>
      </c>
      <c r="G11" s="5" t="str">
        <f aca="false">IF(OR(G12="ER",G13="ER"),"ER",IF(OR(G12="?",G13="?"),"?",IF(AND(G12="NA",G13="NA"),"NA",SUM(G12,G13)/((G12&lt;&gt;"NA")*$F$12+(G13&lt;&gt;"NA")*$F$13)*$F11)))</f>
        <v>?</v>
      </c>
      <c r="H11" s="5" t="str">
        <f aca="false">IF(OR(H12="ER",H13="ER"),"ER",IF(OR(H12="?",H13="?"),"?",IF(AND(H12="NA",H13="NA"),"NA",SUM(H12,H13)/((H12&lt;&gt;"NA")*$F$12+(H13&lt;&gt;"NA")*$F$13)*$F11)))</f>
        <v>NA</v>
      </c>
      <c r="I11" s="5" t="str">
        <f aca="false">IF(OR(I12="ER",I13="ER"),"ER",IF(OR(I12="?",I13="?"),"?",IF(AND(I12="NA",I13="NA"),"NA",SUM(I12,I13)/((I12&lt;&gt;"NA")*$F$12+(I13&lt;&gt;"NA")*$F$13)*$F11)))</f>
        <v>NA</v>
      </c>
      <c r="J11" s="5" t="str">
        <f aca="false">IF(OR(J12="ER",J13="ER"),"ER",IF(OR(J12="?",J13="?"),"?",IF(AND(J12="NA",J13="NA"),"NA",SUM(J12,J13)/((J12&lt;&gt;"NA")*$F$12+(J13&lt;&gt;"NA")*$F$13)*$F11)))</f>
        <v>NA</v>
      </c>
      <c r="K11" s="5" t="str">
        <f aca="false">IF(OR(K12="ER",K13="ER"),"ER",IF(OR(K12="?",K13="?"),"?",IF(AND(K12="NA",K13="NA"),"NA",SUM(K12,K13)/((K12&lt;&gt;"NA")*$F$12+(K13&lt;&gt;"NA")*$F$13)*$F11)))</f>
        <v>NA</v>
      </c>
      <c r="L11" s="5" t="str">
        <f aca="false">IF(OR(L12="ER",L13="ER"),"ER",IF(OR(L12="?",L13="?"),"?",IF(AND(L12="NA",L13="NA"),"NA",SUM(L12,L13)/((L12&lt;&gt;"NA")*$F$12+(L13&lt;&gt;"NA")*$F$13)*$F11)))</f>
        <v>NA</v>
      </c>
      <c r="M11" s="5" t="str">
        <f aca="false">IF(OR(M12="ER",M13="ER"),"ER",IF(OR(M12="?",M13="?"),"?",IF(AND(M12="NA",M13="NA"),"NA",SUM(M12,M13)/((M12&lt;&gt;"NA")*$F$12+(M13&lt;&gt;"NA")*$F$13)*$F11)))</f>
        <v>NA</v>
      </c>
    </row>
    <row r="12" customFormat="false" ht="15" hidden="false" customHeight="true" outlineLevel="0" collapsed="false">
      <c r="A12" s="1" t="s">
        <v>35</v>
      </c>
      <c r="B12" s="1" t="str">
        <f aca="false">VLOOKUP($A12,'PARASTATAL Questions'!$A:$J,3,0)&amp;""</f>
        <v>Urban Planning &amp; Design (UPD)</v>
      </c>
      <c r="C12" s="1" t="str">
        <f aca="false">VLOOKUP($A12,'PARASTATAL Questions'!$A:$J,4,0)&amp;""</f>
        <v>SQ</v>
      </c>
      <c r="D12" s="1" t="str">
        <f aca="false">VLOOKUP($A12,'PARASTATAL Questions'!$A:$J,5,0)&amp;""</f>
        <v>Is the water supply board mandated to consider the needs of women and the urban poor in decisions relating to access, affordability and delivery of water and sanitation services?</v>
      </c>
      <c r="E12" s="1" t="str">
        <f aca="false">VLOOKUP($A12,'PARASTATAL Questions'!$A:$J,7,0)&amp;""</f>
        <v>Law/Policy</v>
      </c>
      <c r="F12" s="1" t="n">
        <f aca="false">VLOOKUP($A12,'PARASTATAL Questions'!$A:$J,6,0)</f>
        <v>5</v>
      </c>
      <c r="G12" s="1" t="str">
        <f aca="true">IF($F12=0,"NA",IF($A12=INDIRECT("'"&amp;$A12&amp;"'!$B$1"),IF(VLOOKUP(G$1,INDIRECT("'"&amp;$A12&amp;"'!$A$12:$Z$19"),MATCH("Points (Auto-generate)",INDIRECT("'"&amp;$A12&amp;"'!$A$12:$Z$12"),0),0)="","?",VLOOKUP(G$1,INDIRECT("'"&amp;$A12&amp;"'!$A$12:$Z$19"),MATCH("Points (Auto-generate)",INDIRECT("'"&amp;$A12&amp;"'!$A$12:$Z$12"),0),0)),"ER"))</f>
        <v>?</v>
      </c>
      <c r="H12" s="1" t="str">
        <f aca="true">IF($F12=0,"NA",IF($A12=INDIRECT("'"&amp;$A12&amp;"'!$B$1"),IF(VLOOKUP(H$1,INDIRECT("'"&amp;$A12&amp;"'!$A$12:$Z$19"),MATCH("Points (Auto-generate)",INDIRECT("'"&amp;$A12&amp;"'!$A$12:$Z$12"),0),0)="","?",VLOOKUP(H$1,INDIRECT("'"&amp;$A12&amp;"'!$A$12:$Z$19"),MATCH("Points (Auto-generate)",INDIRECT("'"&amp;$A12&amp;"'!$A$12:$Z$12"),0),0)),"ER"))</f>
        <v>NA</v>
      </c>
      <c r="I12" s="1" t="str">
        <f aca="true">IF($F12=0,"NA",IF($A12=INDIRECT("'"&amp;$A12&amp;"'!$B$1"),IF(VLOOKUP(I$1,INDIRECT("'"&amp;$A12&amp;"'!$A$12:$Z$19"),MATCH("Points (Auto-generate)",INDIRECT("'"&amp;$A12&amp;"'!$A$12:$Z$12"),0),0)="","?",VLOOKUP(I$1,INDIRECT("'"&amp;$A12&amp;"'!$A$12:$Z$19"),MATCH("Points (Auto-generate)",INDIRECT("'"&amp;$A12&amp;"'!$A$12:$Z$12"),0),0)),"ER"))</f>
        <v>NA</v>
      </c>
      <c r="J12" s="1" t="str">
        <f aca="true">IF($F12=0,"NA",IF($A12=INDIRECT("'"&amp;$A12&amp;"'!$B$1"),IF(VLOOKUP(J$1,INDIRECT("'"&amp;$A12&amp;"'!$A$12:$Z$19"),MATCH("Points (Auto-generate)",INDIRECT("'"&amp;$A12&amp;"'!$A$12:$Z$12"),0),0)="","?",VLOOKUP(J$1,INDIRECT("'"&amp;$A12&amp;"'!$A$12:$Z$19"),MATCH("Points (Auto-generate)",INDIRECT("'"&amp;$A12&amp;"'!$A$12:$Z$12"),0),0)),"ER"))</f>
        <v>NA</v>
      </c>
      <c r="K12" s="1" t="str">
        <f aca="true">IF($F12=0,"NA",IF($A12=INDIRECT("'"&amp;$A12&amp;"'!$B$1"),IF(VLOOKUP(K$1,INDIRECT("'"&amp;$A12&amp;"'!$A$12:$Z$19"),MATCH("Points (Auto-generate)",INDIRECT("'"&amp;$A12&amp;"'!$A$12:$Z$12"),0),0)="","?",VLOOKUP(K$1,INDIRECT("'"&amp;$A12&amp;"'!$A$12:$Z$19"),MATCH("Points (Auto-generate)",INDIRECT("'"&amp;$A12&amp;"'!$A$12:$Z$12"),0),0)),"ER"))</f>
        <v>NA</v>
      </c>
      <c r="L12" s="1" t="str">
        <f aca="true">IF($F12=0,"NA",IF($A12=INDIRECT("'"&amp;$A12&amp;"'!$B$1"),IF(VLOOKUP(L$1,INDIRECT("'"&amp;$A12&amp;"'!$A$12:$Z$19"),MATCH("Points (Auto-generate)",INDIRECT("'"&amp;$A12&amp;"'!$A$12:$Z$12"),0),0)="","?",VLOOKUP(L$1,INDIRECT("'"&amp;$A12&amp;"'!$A$12:$Z$19"),MATCH("Points (Auto-generate)",INDIRECT("'"&amp;$A12&amp;"'!$A$12:$Z$12"),0),0)),"ER"))</f>
        <v>NA</v>
      </c>
      <c r="M12" s="1" t="str">
        <f aca="true">IF($F12=0,"NA",IF($A12=INDIRECT("'"&amp;$A12&amp;"'!$B$1"),IF(VLOOKUP(M$1,INDIRECT("'"&amp;$A12&amp;"'!$A$12:$Z$19"),MATCH("Points (Auto-generate)",INDIRECT("'"&amp;$A12&amp;"'!$A$12:$Z$12"),0),0)="","?",VLOOKUP(M$1,INDIRECT("'"&amp;$A12&amp;"'!$A$12:$Z$19"),MATCH("Points (Auto-generate)",INDIRECT("'"&amp;$A12&amp;"'!$A$12:$Z$12"),0),0)),"ER"))</f>
        <v>NA</v>
      </c>
    </row>
    <row r="13" customFormat="false" ht="15" hidden="false" customHeight="true" outlineLevel="0" collapsed="false">
      <c r="A13" s="1" t="s">
        <v>36</v>
      </c>
      <c r="B13" s="1" t="str">
        <f aca="false">VLOOKUP($A13,'PARASTATAL Questions'!$A:$J,3,0)&amp;""</f>
        <v>Urban Planning &amp; Design (UPD)</v>
      </c>
      <c r="C13" s="1" t="str">
        <f aca="false">VLOOKUP($A13,'PARASTATAL Questions'!$A:$J,4,0)&amp;""</f>
        <v>SQ</v>
      </c>
      <c r="D13" s="1" t="str">
        <f aca="false">VLOOKUP($A13,'PARASTATAL Questions'!$A:$J,5,0)&amp;""</f>
        <v>Does the water supply board actually consider the needs of women and the urban poor in decisions relating to access, affordability and delivery of water and sanitation services?</v>
      </c>
      <c r="E13" s="1" t="str">
        <f aca="false">VLOOKUP($A13,'PARASTATAL Questions'!$A:$J,7,0)&amp;""</f>
        <v>Implementation</v>
      </c>
      <c r="F13" s="1" t="n">
        <f aca="false">VLOOKUP($A13,'PARASTATAL Questions'!$A:$J,6,0)</f>
        <v>5</v>
      </c>
      <c r="G13" s="1" t="n">
        <f aca="true">IF($F13=0,"NA",IF($A13=INDIRECT("'"&amp;$A13&amp;"'!$B$1"),IF(VLOOKUP(G$1,INDIRECT("'"&amp;$A13&amp;"'!$A$12:$Z$19"),MATCH("Points (Auto-generate)",INDIRECT("'"&amp;$A13&amp;"'!$A$12:$Z$12"),0),0)="","?",VLOOKUP(G$1,INDIRECT("'"&amp;$A13&amp;"'!$A$12:$Z$19"),MATCH("Points (Auto-generate)",INDIRECT("'"&amp;$A13&amp;"'!$A$12:$Z$12"),0),0)),"ER"))</f>
        <v>1.25</v>
      </c>
      <c r="H13" s="1" t="str">
        <f aca="true">IF($F13=0,"NA",IF($A13=INDIRECT("'"&amp;$A13&amp;"'!$B$1"),IF(VLOOKUP(H$1,INDIRECT("'"&amp;$A13&amp;"'!$A$12:$Z$19"),MATCH("Points (Auto-generate)",INDIRECT("'"&amp;$A13&amp;"'!$A$12:$Z$12"),0),0)="","?",VLOOKUP(H$1,INDIRECT("'"&amp;$A13&amp;"'!$A$12:$Z$19"),MATCH("Points (Auto-generate)",INDIRECT("'"&amp;$A13&amp;"'!$A$12:$Z$12"),0),0)),"ER"))</f>
        <v>NA</v>
      </c>
      <c r="I13" s="1" t="str">
        <f aca="true">IF($F13=0,"NA",IF($A13=INDIRECT("'"&amp;$A13&amp;"'!$B$1"),IF(VLOOKUP(I$1,INDIRECT("'"&amp;$A13&amp;"'!$A$12:$Z$19"),MATCH("Points (Auto-generate)",INDIRECT("'"&amp;$A13&amp;"'!$A$12:$Z$12"),0),0)="","?",VLOOKUP(I$1,INDIRECT("'"&amp;$A13&amp;"'!$A$12:$Z$19"),MATCH("Points (Auto-generate)",INDIRECT("'"&amp;$A13&amp;"'!$A$12:$Z$12"),0),0)),"ER"))</f>
        <v>NA</v>
      </c>
      <c r="J13" s="1" t="str">
        <f aca="true">IF($F13=0,"NA",IF($A13=INDIRECT("'"&amp;$A13&amp;"'!$B$1"),IF(VLOOKUP(J$1,INDIRECT("'"&amp;$A13&amp;"'!$A$12:$Z$19"),MATCH("Points (Auto-generate)",INDIRECT("'"&amp;$A13&amp;"'!$A$12:$Z$12"),0),0)="","?",VLOOKUP(J$1,INDIRECT("'"&amp;$A13&amp;"'!$A$12:$Z$19"),MATCH("Points (Auto-generate)",INDIRECT("'"&amp;$A13&amp;"'!$A$12:$Z$12"),0),0)),"ER"))</f>
        <v>NA</v>
      </c>
      <c r="K13" s="1" t="str">
        <f aca="true">IF($F13=0,"NA",IF($A13=INDIRECT("'"&amp;$A13&amp;"'!$B$1"),IF(VLOOKUP(K$1,INDIRECT("'"&amp;$A13&amp;"'!$A$12:$Z$19"),MATCH("Points (Auto-generate)",INDIRECT("'"&amp;$A13&amp;"'!$A$12:$Z$12"),0),0)="","?",VLOOKUP(K$1,INDIRECT("'"&amp;$A13&amp;"'!$A$12:$Z$19"),MATCH("Points (Auto-generate)",INDIRECT("'"&amp;$A13&amp;"'!$A$12:$Z$12"),0),0)),"ER"))</f>
        <v>NA</v>
      </c>
      <c r="L13" s="1" t="str">
        <f aca="true">IF($F13=0,"NA",IF($A13=INDIRECT("'"&amp;$A13&amp;"'!$B$1"),IF(VLOOKUP(L$1,INDIRECT("'"&amp;$A13&amp;"'!$A$12:$Z$19"),MATCH("Points (Auto-generate)",INDIRECT("'"&amp;$A13&amp;"'!$A$12:$Z$12"),0),0)="","?",VLOOKUP(L$1,INDIRECT("'"&amp;$A13&amp;"'!$A$12:$Z$19"),MATCH("Points (Auto-generate)",INDIRECT("'"&amp;$A13&amp;"'!$A$12:$Z$12"),0),0)),"ER"))</f>
        <v>NA</v>
      </c>
      <c r="M13" s="1" t="str">
        <f aca="true">IF($F13=0,"NA",IF($A13=INDIRECT("'"&amp;$A13&amp;"'!$B$1"),IF(VLOOKUP(M$1,INDIRECT("'"&amp;$A13&amp;"'!$A$12:$Z$19"),MATCH("Points (Auto-generate)",INDIRECT("'"&amp;$A13&amp;"'!$A$12:$Z$12"),0),0)="","?",VLOOKUP(M$1,INDIRECT("'"&amp;$A13&amp;"'!$A$12:$Z$19"),MATCH("Points (Auto-generate)",INDIRECT("'"&amp;$A13&amp;"'!$A$12:$Z$12"),0),0)),"ER"))</f>
        <v>NA</v>
      </c>
    </row>
    <row r="14" customFormat="false" ht="15" hidden="false" customHeight="true" outlineLevel="0" collapsed="false">
      <c r="A14" s="5" t="s">
        <v>37</v>
      </c>
      <c r="B14" s="5" t="str">
        <f aca="false">VLOOKUP($A14,'PARASTATAL Questions'!$A:$J,3,0)&amp;""</f>
        <v>Urban Planning &amp; Design (UPD)</v>
      </c>
      <c r="C14" s="5" t="str">
        <f aca="false">VLOOKUP($A14,'PARASTATAL Questions'!$A:$J,4,0)&amp;""</f>
        <v>MQ</v>
      </c>
      <c r="D14" s="5" t="str">
        <f aca="false">VLOOKUP($A14,'PARASTATAL Questions'!$A:$J,5,0)&amp;""</f>
        <v>Are the needs of women and the urban poor explicitly considered in the transport Corporation’s planning, service delivery or major investment decisions?</v>
      </c>
      <c r="E14" s="5" t="str">
        <f aca="false">VLOOKUP($A14,'PARASTATAL Questions'!$A:$J,7,0)&amp;""</f>
        <v>Law/Policy + Implementation</v>
      </c>
      <c r="F14" s="5" t="n">
        <f aca="false">VLOOKUP($A14,'PARASTATAL Questions'!$A:$J,6,0)</f>
        <v>10</v>
      </c>
      <c r="G14" s="5" t="str">
        <f aca="false">IF(OR(G15="ER",G16="ER"),"ER",IF(OR(G15="?",G16="?"),"?",IF(AND(G15="NA",G16="NA"),"NA",SUM(G15,G16)/((G15&lt;&gt;"NA")*$F$15+(G16&lt;&gt;"NA")*$F$16)*$F14)))</f>
        <v>NA</v>
      </c>
      <c r="H14" s="5" t="str">
        <f aca="false">IF(OR(H15="ER",H16="ER"),"ER",IF(OR(H15="?",H16="?"),"?",IF(AND(H15="NA",H16="NA"),"NA",SUM(H15,H16)/((H15&lt;&gt;"NA")*$F$15+(H16&lt;&gt;"NA")*$F$16)*$F14)))</f>
        <v>?</v>
      </c>
      <c r="I14" s="5" t="str">
        <f aca="false">IF(OR(I15="ER",I16="ER"),"ER",IF(OR(I15="?",I16="?"),"?",IF(AND(I15="NA",I16="NA"),"NA",SUM(I15,I16)/((I15&lt;&gt;"NA")*$F$15+(I16&lt;&gt;"NA")*$F$16)*$F14)))</f>
        <v>NA</v>
      </c>
      <c r="J14" s="5" t="str">
        <f aca="false">IF(OR(J15="ER",J16="ER"),"ER",IF(OR(J15="?",J16="?"),"?",IF(AND(J15="NA",J16="NA"),"NA",SUM(J15,J16)/((J15&lt;&gt;"NA")*$F$15+(J16&lt;&gt;"NA")*$F$16)*$F14)))</f>
        <v>NA</v>
      </c>
      <c r="K14" s="5" t="str">
        <f aca="false">IF(OR(K15="ER",K16="ER"),"ER",IF(OR(K15="?",K16="?"),"?",IF(AND(K15="NA",K16="NA"),"NA",SUM(K15,K16)/((K15&lt;&gt;"NA")*$F$15+(K16&lt;&gt;"NA")*$F$16)*$F14)))</f>
        <v>NA</v>
      </c>
      <c r="L14" s="5" t="str">
        <f aca="false">IF(OR(L15="ER",L16="ER"),"ER",IF(OR(L15="?",L16="?"),"?",IF(AND(L15="NA",L16="NA"),"NA",SUM(L15,L16)/((L15&lt;&gt;"NA")*$F$15+(L16&lt;&gt;"NA")*$F$16)*$F14)))</f>
        <v>NA</v>
      </c>
      <c r="M14" s="5" t="str">
        <f aca="false">IF(OR(M15="ER",M16="ER"),"ER",IF(OR(M15="?",M16="?"),"?",IF(AND(M15="NA",M16="NA"),"NA",SUM(M15,M16)/((M15&lt;&gt;"NA")*$F$15+(M16&lt;&gt;"NA")*$F$16)*$F14)))</f>
        <v>NA</v>
      </c>
    </row>
    <row r="15" customFormat="false" ht="15" hidden="false" customHeight="true" outlineLevel="0" collapsed="false">
      <c r="A15" s="1" t="s">
        <v>38</v>
      </c>
      <c r="B15" s="1" t="str">
        <f aca="false">VLOOKUP($A15,'PARASTATAL Questions'!$A:$J,3,0)&amp;""</f>
        <v>Urban Planning &amp; Design (UPD)</v>
      </c>
      <c r="C15" s="1" t="str">
        <f aca="false">VLOOKUP($A15,'PARASTATAL Questions'!$A:$J,4,0)&amp;""</f>
        <v>SQ</v>
      </c>
      <c r="D15" s="1" t="str">
        <f aca="false">VLOOKUP($A15,'PARASTATAL Questions'!$A:$J,5,0)&amp;""</f>
        <v>Is the transport corporation mandated to consider the mobility needs of women and the urban poor  in planning and delivering public transport services?</v>
      </c>
      <c r="E15" s="1" t="str">
        <f aca="false">VLOOKUP($A15,'PARASTATAL Questions'!$A:$J,7,0)&amp;""</f>
        <v>Law/Policy</v>
      </c>
      <c r="F15" s="1" t="n">
        <f aca="false">VLOOKUP($A15,'PARASTATAL Questions'!$A:$J,6,0)</f>
        <v>5</v>
      </c>
      <c r="G15" s="1" t="str">
        <f aca="true">IF($F15=0,"NA",IF($A15=INDIRECT("'"&amp;$A15&amp;"'!$B$1"),IF(VLOOKUP(G$1,INDIRECT("'"&amp;$A15&amp;"'!$A$12:$Z$19"),MATCH("Points (Auto-generate)",INDIRECT("'"&amp;$A15&amp;"'!$A$12:$Z$12"),0),0)="","?",VLOOKUP(G$1,INDIRECT("'"&amp;$A15&amp;"'!$A$12:$Z$19"),MATCH("Points (Auto-generate)",INDIRECT("'"&amp;$A15&amp;"'!$A$12:$Z$12"),0),0)),"ER"))</f>
        <v>NA</v>
      </c>
      <c r="H15" s="1" t="n">
        <f aca="true">IF($F15=0,"NA",IF($A15=INDIRECT("'"&amp;$A15&amp;"'!$B$1"),IF(VLOOKUP(H$1,INDIRECT("'"&amp;$A15&amp;"'!$A$12:$Z$19"),MATCH("Points (Auto-generate)",INDIRECT("'"&amp;$A15&amp;"'!$A$12:$Z$12"),0),0)="","?",VLOOKUP(H$1,INDIRECT("'"&amp;$A15&amp;"'!$A$12:$Z$19"),MATCH("Points (Auto-generate)",INDIRECT("'"&amp;$A15&amp;"'!$A$12:$Z$12"),0),0)),"ER"))</f>
        <v>0</v>
      </c>
      <c r="I15" s="1" t="str">
        <f aca="true">IF($F15=0,"NA",IF($A15=INDIRECT("'"&amp;$A15&amp;"'!$B$1"),IF(VLOOKUP(I$1,INDIRECT("'"&amp;$A15&amp;"'!$A$12:$Z$19"),MATCH("Points (Auto-generate)",INDIRECT("'"&amp;$A15&amp;"'!$A$12:$Z$12"),0),0)="","?",VLOOKUP(I$1,INDIRECT("'"&amp;$A15&amp;"'!$A$12:$Z$19"),MATCH("Points (Auto-generate)",INDIRECT("'"&amp;$A15&amp;"'!$A$12:$Z$12"),0),0)),"ER"))</f>
        <v>NA</v>
      </c>
      <c r="J15" s="1" t="str">
        <f aca="true">IF($F15=0,"NA",IF($A15=INDIRECT("'"&amp;$A15&amp;"'!$B$1"),IF(VLOOKUP(J$1,INDIRECT("'"&amp;$A15&amp;"'!$A$12:$Z$19"),MATCH("Points (Auto-generate)",INDIRECT("'"&amp;$A15&amp;"'!$A$12:$Z$12"),0),0)="","?",VLOOKUP(J$1,INDIRECT("'"&amp;$A15&amp;"'!$A$12:$Z$19"),MATCH("Points (Auto-generate)",INDIRECT("'"&amp;$A15&amp;"'!$A$12:$Z$12"),0),0)),"ER"))</f>
        <v>NA</v>
      </c>
      <c r="K15" s="1" t="str">
        <f aca="true">IF($F15=0,"NA",IF($A15=INDIRECT("'"&amp;$A15&amp;"'!$B$1"),IF(VLOOKUP(K$1,INDIRECT("'"&amp;$A15&amp;"'!$A$12:$Z$19"),MATCH("Points (Auto-generate)",INDIRECT("'"&amp;$A15&amp;"'!$A$12:$Z$12"),0),0)="","?",VLOOKUP(K$1,INDIRECT("'"&amp;$A15&amp;"'!$A$12:$Z$19"),MATCH("Points (Auto-generate)",INDIRECT("'"&amp;$A15&amp;"'!$A$12:$Z$12"),0),0)),"ER"))</f>
        <v>NA</v>
      </c>
      <c r="L15" s="1" t="str">
        <f aca="true">IF($F15=0,"NA",IF($A15=INDIRECT("'"&amp;$A15&amp;"'!$B$1"),IF(VLOOKUP(L$1,INDIRECT("'"&amp;$A15&amp;"'!$A$12:$Z$19"),MATCH("Points (Auto-generate)",INDIRECT("'"&amp;$A15&amp;"'!$A$12:$Z$12"),0),0)="","?",VLOOKUP(L$1,INDIRECT("'"&amp;$A15&amp;"'!$A$12:$Z$19"),MATCH("Points (Auto-generate)",INDIRECT("'"&amp;$A15&amp;"'!$A$12:$Z$12"),0),0)),"ER"))</f>
        <v>NA</v>
      </c>
      <c r="M15" s="1" t="str">
        <f aca="true">IF($F15=0,"NA",IF($A15=INDIRECT("'"&amp;$A15&amp;"'!$B$1"),IF(VLOOKUP(M$1,INDIRECT("'"&amp;$A15&amp;"'!$A$12:$Z$19"),MATCH("Points (Auto-generate)",INDIRECT("'"&amp;$A15&amp;"'!$A$12:$Z$12"),0),0)="","?",VLOOKUP(M$1,INDIRECT("'"&amp;$A15&amp;"'!$A$12:$Z$19"),MATCH("Points (Auto-generate)",INDIRECT("'"&amp;$A15&amp;"'!$A$12:$Z$12"),0),0)),"ER"))</f>
        <v>NA</v>
      </c>
    </row>
    <row r="16" customFormat="false" ht="15" hidden="false" customHeight="true" outlineLevel="0" collapsed="false">
      <c r="A16" s="1" t="s">
        <v>39</v>
      </c>
      <c r="B16" s="1" t="str">
        <f aca="false">VLOOKUP($A16,'PARASTATAL Questions'!$A:$J,3,0)&amp;""</f>
        <v>Urban Planning &amp; Design (UPD)</v>
      </c>
      <c r="C16" s="1" t="str">
        <f aca="false">VLOOKUP($A16,'PARASTATAL Questions'!$A:$J,4,0)&amp;""</f>
        <v>SQ</v>
      </c>
      <c r="D16" s="1" t="str">
        <f aca="false">VLOOKUP($A16,'PARASTATAL Questions'!$A:$J,5,0)&amp;""</f>
        <v>Does the Transport Corporation actually consider the needs of women and the urban poor in decisions relating to access, affordability and delivery of public transport services?</v>
      </c>
      <c r="E16" s="1" t="str">
        <f aca="false">VLOOKUP($A16,'PARASTATAL Questions'!$A:$J,7,0)&amp;""</f>
        <v>Implementation</v>
      </c>
      <c r="F16" s="1" t="n">
        <f aca="false">VLOOKUP($A16,'PARASTATAL Questions'!$A:$J,6,0)</f>
        <v>5</v>
      </c>
      <c r="G16" s="1" t="str">
        <f aca="true">IF($F16=0,"NA",IF($A16=INDIRECT("'"&amp;$A16&amp;"'!$B$1"),IF(VLOOKUP(G$1,INDIRECT("'"&amp;$A16&amp;"'!$A$12:$Z$19"),MATCH("Points (Auto-generate)",INDIRECT("'"&amp;$A16&amp;"'!$A$12:$Z$12"),0),0)="","?",VLOOKUP(G$1,INDIRECT("'"&amp;$A16&amp;"'!$A$12:$Z$19"),MATCH("Points (Auto-generate)",INDIRECT("'"&amp;$A16&amp;"'!$A$12:$Z$12"),0),0)),"ER"))</f>
        <v>NA</v>
      </c>
      <c r="H16" s="1" t="str">
        <f aca="true">IF($F16=0,"NA",IF($A16=INDIRECT("'"&amp;$A16&amp;"'!$B$1"),IF(VLOOKUP(H$1,INDIRECT("'"&amp;$A16&amp;"'!$A$12:$Z$19"),MATCH("Points (Auto-generate)",INDIRECT("'"&amp;$A16&amp;"'!$A$12:$Z$12"),0),0)="","?",VLOOKUP(H$1,INDIRECT("'"&amp;$A16&amp;"'!$A$12:$Z$19"),MATCH("Points (Auto-generate)",INDIRECT("'"&amp;$A16&amp;"'!$A$12:$Z$12"),0),0)),"ER"))</f>
        <v>?</v>
      </c>
      <c r="I16" s="1" t="str">
        <f aca="true">IF($F16=0,"NA",IF($A16=INDIRECT("'"&amp;$A16&amp;"'!$B$1"),IF(VLOOKUP(I$1,INDIRECT("'"&amp;$A16&amp;"'!$A$12:$Z$19"),MATCH("Points (Auto-generate)",INDIRECT("'"&amp;$A16&amp;"'!$A$12:$Z$12"),0),0)="","?",VLOOKUP(I$1,INDIRECT("'"&amp;$A16&amp;"'!$A$12:$Z$19"),MATCH("Points (Auto-generate)",INDIRECT("'"&amp;$A16&amp;"'!$A$12:$Z$12"),0),0)),"ER"))</f>
        <v>NA</v>
      </c>
      <c r="J16" s="1" t="str">
        <f aca="true">IF($F16=0,"NA",IF($A16=INDIRECT("'"&amp;$A16&amp;"'!$B$1"),IF(VLOOKUP(J$1,INDIRECT("'"&amp;$A16&amp;"'!$A$12:$Z$19"),MATCH("Points (Auto-generate)",INDIRECT("'"&amp;$A16&amp;"'!$A$12:$Z$12"),0),0)="","?",VLOOKUP(J$1,INDIRECT("'"&amp;$A16&amp;"'!$A$12:$Z$19"),MATCH("Points (Auto-generate)",INDIRECT("'"&amp;$A16&amp;"'!$A$12:$Z$12"),0),0)),"ER"))</f>
        <v>NA</v>
      </c>
      <c r="K16" s="1" t="str">
        <f aca="true">IF($F16=0,"NA",IF($A16=INDIRECT("'"&amp;$A16&amp;"'!$B$1"),IF(VLOOKUP(K$1,INDIRECT("'"&amp;$A16&amp;"'!$A$12:$Z$19"),MATCH("Points (Auto-generate)",INDIRECT("'"&amp;$A16&amp;"'!$A$12:$Z$12"),0),0)="","?",VLOOKUP(K$1,INDIRECT("'"&amp;$A16&amp;"'!$A$12:$Z$19"),MATCH("Points (Auto-generate)",INDIRECT("'"&amp;$A16&amp;"'!$A$12:$Z$12"),0),0)),"ER"))</f>
        <v>NA</v>
      </c>
      <c r="L16" s="1" t="str">
        <f aca="true">IF($F16=0,"NA",IF($A16=INDIRECT("'"&amp;$A16&amp;"'!$B$1"),IF(VLOOKUP(L$1,INDIRECT("'"&amp;$A16&amp;"'!$A$12:$Z$19"),MATCH("Points (Auto-generate)",INDIRECT("'"&amp;$A16&amp;"'!$A$12:$Z$12"),0),0)="","?",VLOOKUP(L$1,INDIRECT("'"&amp;$A16&amp;"'!$A$12:$Z$19"),MATCH("Points (Auto-generate)",INDIRECT("'"&amp;$A16&amp;"'!$A$12:$Z$12"),0),0)),"ER"))</f>
        <v>NA</v>
      </c>
      <c r="M16" s="1" t="str">
        <f aca="true">IF($F16=0,"NA",IF($A16=INDIRECT("'"&amp;$A16&amp;"'!$B$1"),IF(VLOOKUP(M$1,INDIRECT("'"&amp;$A16&amp;"'!$A$12:$Z$19"),MATCH("Points (Auto-generate)",INDIRECT("'"&amp;$A16&amp;"'!$A$12:$Z$12"),0),0)="","?",VLOOKUP(M$1,INDIRECT("'"&amp;$A16&amp;"'!$A$12:$Z$19"),MATCH("Points (Auto-generate)",INDIRECT("'"&amp;$A16&amp;"'!$A$12:$Z$12"),0),0)),"ER"))</f>
        <v>NA</v>
      </c>
    </row>
    <row r="17" customFormat="false" ht="15" hidden="false" customHeight="true" outlineLevel="0" collapsed="false">
      <c r="A17" s="5" t="s">
        <v>40</v>
      </c>
      <c r="B17" s="5" t="str">
        <f aca="false">VLOOKUP($A17,'PARASTATAL Questions'!$A:$J,3,0)&amp;""</f>
        <v>Urban Planning &amp; Design (UPD)</v>
      </c>
      <c r="C17" s="5" t="str">
        <f aca="false">VLOOKUP($A17,'PARASTATAL Questions'!$A:$J,4,0)&amp;""</f>
        <v>MQ</v>
      </c>
      <c r="D17" s="5" t="str">
        <f aca="false">VLOOKUP($A17,'PARASTATAL Questions'!$A:$J,5,0)&amp;""</f>
        <v>Are environmental considerations explicitly required to be integrated into the water supply board’s planning, service-delivery or major investment decisions?</v>
      </c>
      <c r="E17" s="5" t="str">
        <f aca="false">VLOOKUP($A17,'PARASTATAL Questions'!$A:$J,7,0)&amp;""</f>
        <v>Law/Policy + Implementation</v>
      </c>
      <c r="F17" s="5" t="n">
        <f aca="false">VLOOKUP($A17,'PARASTATAL Questions'!$A:$J,6,0)</f>
        <v>10</v>
      </c>
      <c r="G17" s="5" t="n">
        <f aca="false">IF(OR(G18="ER",G19="ER"),"ER",IF(OR(G18="?",G19="?"),"?",IF(AND(G18="NA",G19="NA"),"NA",SUM(G18,G19)/((G18&lt;&gt;"NA")*$F$18+(G19&lt;&gt;"NA")*$F$19)*$F17)))</f>
        <v>7.5</v>
      </c>
      <c r="H17" s="5" t="str">
        <f aca="false">IF(OR(H18="ER",H19="ER"),"ER",IF(OR(H18="?",H19="?"),"?",IF(AND(H18="NA",H19="NA"),"NA",SUM(H18,H19)/((H18&lt;&gt;"NA")*$F$18+(H19&lt;&gt;"NA")*$F$19)*$F17)))</f>
        <v>NA</v>
      </c>
      <c r="I17" s="5" t="str">
        <f aca="false">IF(OR(I18="ER",I19="ER"),"ER",IF(OR(I18="?",I19="?"),"?",IF(AND(I18="NA",I19="NA"),"NA",SUM(I18,I19)/((I18&lt;&gt;"NA")*$F$18+(I19&lt;&gt;"NA")*$F$19)*$F17)))</f>
        <v>NA</v>
      </c>
      <c r="J17" s="5" t="str">
        <f aca="false">IF(OR(J18="ER",J19="ER"),"ER",IF(OR(J18="?",J19="?"),"?",IF(AND(J18="NA",J19="NA"),"NA",SUM(J18,J19)/((J18&lt;&gt;"NA")*$F$18+(J19&lt;&gt;"NA")*$F$19)*$F17)))</f>
        <v>NA</v>
      </c>
      <c r="K17" s="5" t="str">
        <f aca="false">IF(OR(K18="ER",K19="ER"),"ER",IF(OR(K18="?",K19="?"),"?",IF(AND(K18="NA",K19="NA"),"NA",SUM(K18,K19)/((K18&lt;&gt;"NA")*$F$18+(K19&lt;&gt;"NA")*$F$19)*$F17)))</f>
        <v>NA</v>
      </c>
      <c r="L17" s="5" t="str">
        <f aca="false">IF(OR(L18="ER",L19="ER"),"ER",IF(OR(L18="?",L19="?"),"?",IF(AND(L18="NA",L19="NA"),"NA",SUM(L18,L19)/((L18&lt;&gt;"NA")*$F$18+(L19&lt;&gt;"NA")*$F$19)*$F17)))</f>
        <v>NA</v>
      </c>
      <c r="M17" s="5" t="str">
        <f aca="false">IF(OR(M18="ER",M19="ER"),"ER",IF(OR(M18="?",M19="?"),"?",IF(AND(M18="NA",M19="NA"),"NA",SUM(M18,M19)/((M18&lt;&gt;"NA")*$F$18+(M19&lt;&gt;"NA")*$F$19)*$F17)))</f>
        <v>NA</v>
      </c>
    </row>
    <row r="18" customFormat="false" ht="15" hidden="false" customHeight="true" outlineLevel="0" collapsed="false">
      <c r="A18" s="1" t="s">
        <v>41</v>
      </c>
      <c r="B18" s="1" t="str">
        <f aca="false">VLOOKUP($A18,'PARASTATAL Questions'!$A:$J,3,0)&amp;""</f>
        <v>Urban Planning &amp; Design (UPD)</v>
      </c>
      <c r="C18" s="1" t="str">
        <f aca="false">VLOOKUP($A18,'PARASTATAL Questions'!$A:$J,4,0)&amp;""</f>
        <v>SQ</v>
      </c>
      <c r="D18" s="1" t="str">
        <f aca="false">VLOOKUP($A18,'PARASTATAL Questions'!$A:$J,5,0)&amp;""</f>
        <v>Is the water supply board mandated to consider environmental sustainability in planning and delivering water and sanitation services?</v>
      </c>
      <c r="E18" s="1" t="str">
        <f aca="false">VLOOKUP($A18,'PARASTATAL Questions'!$A:$J,7,0)&amp;""</f>
        <v>Law/Policy</v>
      </c>
      <c r="F18" s="1" t="n">
        <f aca="false">VLOOKUP($A18,'PARASTATAL Questions'!$A:$J,6,0)</f>
        <v>5</v>
      </c>
      <c r="G18" s="1" t="n">
        <f aca="true">IF($F18=0,"NA",IF($A18=INDIRECT("'"&amp;$A18&amp;"'!$B$1"),IF(VLOOKUP(G$1,INDIRECT("'"&amp;$A18&amp;"'!$A$12:$Z$19"),MATCH("Points (Auto-generate)",INDIRECT("'"&amp;$A18&amp;"'!$A$12:$Z$12"),0),0)="","?",VLOOKUP(G$1,INDIRECT("'"&amp;$A18&amp;"'!$A$12:$Z$19"),MATCH("Points (Auto-generate)",INDIRECT("'"&amp;$A18&amp;"'!$A$12:$Z$12"),0),0)),"ER"))</f>
        <v>2.5</v>
      </c>
      <c r="H18" s="1" t="str">
        <f aca="true">IF($F18=0,"NA",IF($A18=INDIRECT("'"&amp;$A18&amp;"'!$B$1"),IF(VLOOKUP(H$1,INDIRECT("'"&amp;$A18&amp;"'!$A$12:$Z$19"),MATCH("Points (Auto-generate)",INDIRECT("'"&amp;$A18&amp;"'!$A$12:$Z$12"),0),0)="","?",VLOOKUP(H$1,INDIRECT("'"&amp;$A18&amp;"'!$A$12:$Z$19"),MATCH("Points (Auto-generate)",INDIRECT("'"&amp;$A18&amp;"'!$A$12:$Z$12"),0),0)),"ER"))</f>
        <v>NA</v>
      </c>
      <c r="I18" s="1" t="str">
        <f aca="true">IF($F18=0,"NA",IF($A18=INDIRECT("'"&amp;$A18&amp;"'!$B$1"),IF(VLOOKUP(I$1,INDIRECT("'"&amp;$A18&amp;"'!$A$12:$Z$19"),MATCH("Points (Auto-generate)",INDIRECT("'"&amp;$A18&amp;"'!$A$12:$Z$12"),0),0)="","?",VLOOKUP(I$1,INDIRECT("'"&amp;$A18&amp;"'!$A$12:$Z$19"),MATCH("Points (Auto-generate)",INDIRECT("'"&amp;$A18&amp;"'!$A$12:$Z$12"),0),0)),"ER"))</f>
        <v>NA</v>
      </c>
      <c r="J18" s="1" t="str">
        <f aca="true">IF($F18=0,"NA",IF($A18=INDIRECT("'"&amp;$A18&amp;"'!$B$1"),IF(VLOOKUP(J$1,INDIRECT("'"&amp;$A18&amp;"'!$A$12:$Z$19"),MATCH("Points (Auto-generate)",INDIRECT("'"&amp;$A18&amp;"'!$A$12:$Z$12"),0),0)="","?",VLOOKUP(J$1,INDIRECT("'"&amp;$A18&amp;"'!$A$12:$Z$19"),MATCH("Points (Auto-generate)",INDIRECT("'"&amp;$A18&amp;"'!$A$12:$Z$12"),0),0)),"ER"))</f>
        <v>NA</v>
      </c>
      <c r="K18" s="1" t="str">
        <f aca="true">IF($F18=0,"NA",IF($A18=INDIRECT("'"&amp;$A18&amp;"'!$B$1"),IF(VLOOKUP(K$1,INDIRECT("'"&amp;$A18&amp;"'!$A$12:$Z$19"),MATCH("Points (Auto-generate)",INDIRECT("'"&amp;$A18&amp;"'!$A$12:$Z$12"),0),0)="","?",VLOOKUP(K$1,INDIRECT("'"&amp;$A18&amp;"'!$A$12:$Z$19"),MATCH("Points (Auto-generate)",INDIRECT("'"&amp;$A18&amp;"'!$A$12:$Z$12"),0),0)),"ER"))</f>
        <v>NA</v>
      </c>
      <c r="L18" s="1" t="str">
        <f aca="true">IF($F18=0,"NA",IF($A18=INDIRECT("'"&amp;$A18&amp;"'!$B$1"),IF(VLOOKUP(L$1,INDIRECT("'"&amp;$A18&amp;"'!$A$12:$Z$19"),MATCH("Points (Auto-generate)",INDIRECT("'"&amp;$A18&amp;"'!$A$12:$Z$12"),0),0)="","?",VLOOKUP(L$1,INDIRECT("'"&amp;$A18&amp;"'!$A$12:$Z$19"),MATCH("Points (Auto-generate)",INDIRECT("'"&amp;$A18&amp;"'!$A$12:$Z$12"),0),0)),"ER"))</f>
        <v>NA</v>
      </c>
      <c r="M18" s="1" t="str">
        <f aca="true">IF($F18=0,"NA",IF($A18=INDIRECT("'"&amp;$A18&amp;"'!$B$1"),IF(VLOOKUP(M$1,INDIRECT("'"&amp;$A18&amp;"'!$A$12:$Z$19"),MATCH("Points (Auto-generate)",INDIRECT("'"&amp;$A18&amp;"'!$A$12:$Z$12"),0),0)="","?",VLOOKUP(M$1,INDIRECT("'"&amp;$A18&amp;"'!$A$12:$Z$19"),MATCH("Points (Auto-generate)",INDIRECT("'"&amp;$A18&amp;"'!$A$12:$Z$12"),0),0)),"ER"))</f>
        <v>NA</v>
      </c>
    </row>
    <row r="19" customFormat="false" ht="15" hidden="false" customHeight="true" outlineLevel="0" collapsed="false">
      <c r="A19" s="1" t="s">
        <v>42</v>
      </c>
      <c r="B19" s="1" t="str">
        <f aca="false">VLOOKUP($A19,'PARASTATAL Questions'!$A:$J,3,0)&amp;""</f>
        <v>Urban Planning &amp; Design (UPD)</v>
      </c>
      <c r="C19" s="1" t="str">
        <f aca="false">VLOOKUP($A19,'PARASTATAL Questions'!$A:$J,4,0)&amp;""</f>
        <v>SQ</v>
      </c>
      <c r="D19" s="1" t="str">
        <f aca="false">VLOOKUP($A19,'PARASTATAL Questions'!$A:$J,5,0)&amp;""</f>
        <v>Does the water supply board actually consider environmental sustainability in planning and delivering water and sanitation services?</v>
      </c>
      <c r="E19" s="1" t="str">
        <f aca="false">VLOOKUP($A19,'PARASTATAL Questions'!$A:$J,7,0)&amp;""</f>
        <v>Implementation</v>
      </c>
      <c r="F19" s="1" t="n">
        <f aca="false">VLOOKUP($A19,'PARASTATAL Questions'!$A:$J,6,0)</f>
        <v>5</v>
      </c>
      <c r="G19" s="1" t="n">
        <f aca="true">IF($F19=0,"NA",IF($A19=INDIRECT("'"&amp;$A19&amp;"'!$B$1"),IF(VLOOKUP(G$1,INDIRECT("'"&amp;$A19&amp;"'!$A$12:$Z$19"),MATCH("Points (Auto-generate)",INDIRECT("'"&amp;$A19&amp;"'!$A$12:$Z$12"),0),0)="","?",VLOOKUP(G$1,INDIRECT("'"&amp;$A19&amp;"'!$A$12:$Z$19"),MATCH("Points (Auto-generate)",INDIRECT("'"&amp;$A19&amp;"'!$A$12:$Z$12"),0),0)),"ER"))</f>
        <v>5</v>
      </c>
      <c r="H19" s="1" t="str">
        <f aca="true">IF($F19=0,"NA",IF($A19=INDIRECT("'"&amp;$A19&amp;"'!$B$1"),IF(VLOOKUP(H$1,INDIRECT("'"&amp;$A19&amp;"'!$A$12:$Z$19"),MATCH("Points (Auto-generate)",INDIRECT("'"&amp;$A19&amp;"'!$A$12:$Z$12"),0),0)="","?",VLOOKUP(H$1,INDIRECT("'"&amp;$A19&amp;"'!$A$12:$Z$19"),MATCH("Points (Auto-generate)",INDIRECT("'"&amp;$A19&amp;"'!$A$12:$Z$12"),0),0)),"ER"))</f>
        <v>NA</v>
      </c>
      <c r="I19" s="1" t="str">
        <f aca="true">IF($F19=0,"NA",IF($A19=INDIRECT("'"&amp;$A19&amp;"'!$B$1"),IF(VLOOKUP(I$1,INDIRECT("'"&amp;$A19&amp;"'!$A$12:$Z$19"),MATCH("Points (Auto-generate)",INDIRECT("'"&amp;$A19&amp;"'!$A$12:$Z$12"),0),0)="","?",VLOOKUP(I$1,INDIRECT("'"&amp;$A19&amp;"'!$A$12:$Z$19"),MATCH("Points (Auto-generate)",INDIRECT("'"&amp;$A19&amp;"'!$A$12:$Z$12"),0),0)),"ER"))</f>
        <v>NA</v>
      </c>
      <c r="J19" s="1" t="str">
        <f aca="true">IF($F19=0,"NA",IF($A19=INDIRECT("'"&amp;$A19&amp;"'!$B$1"),IF(VLOOKUP(J$1,INDIRECT("'"&amp;$A19&amp;"'!$A$12:$Z$19"),MATCH("Points (Auto-generate)",INDIRECT("'"&amp;$A19&amp;"'!$A$12:$Z$12"),0),0)="","?",VLOOKUP(J$1,INDIRECT("'"&amp;$A19&amp;"'!$A$12:$Z$19"),MATCH("Points (Auto-generate)",INDIRECT("'"&amp;$A19&amp;"'!$A$12:$Z$12"),0),0)),"ER"))</f>
        <v>NA</v>
      </c>
      <c r="K19" s="1" t="str">
        <f aca="true">IF($F19=0,"NA",IF($A19=INDIRECT("'"&amp;$A19&amp;"'!$B$1"),IF(VLOOKUP(K$1,INDIRECT("'"&amp;$A19&amp;"'!$A$12:$Z$19"),MATCH("Points (Auto-generate)",INDIRECT("'"&amp;$A19&amp;"'!$A$12:$Z$12"),0),0)="","?",VLOOKUP(K$1,INDIRECT("'"&amp;$A19&amp;"'!$A$12:$Z$19"),MATCH("Points (Auto-generate)",INDIRECT("'"&amp;$A19&amp;"'!$A$12:$Z$12"),0),0)),"ER"))</f>
        <v>NA</v>
      </c>
      <c r="L19" s="1" t="str">
        <f aca="true">IF($F19=0,"NA",IF($A19=INDIRECT("'"&amp;$A19&amp;"'!$B$1"),IF(VLOOKUP(L$1,INDIRECT("'"&amp;$A19&amp;"'!$A$12:$Z$19"),MATCH("Points (Auto-generate)",INDIRECT("'"&amp;$A19&amp;"'!$A$12:$Z$12"),0),0)="","?",VLOOKUP(L$1,INDIRECT("'"&amp;$A19&amp;"'!$A$12:$Z$19"),MATCH("Points (Auto-generate)",INDIRECT("'"&amp;$A19&amp;"'!$A$12:$Z$12"),0),0)),"ER"))</f>
        <v>NA</v>
      </c>
      <c r="M19" s="1" t="str">
        <f aca="true">IF($F19=0,"NA",IF($A19=INDIRECT("'"&amp;$A19&amp;"'!$B$1"),IF(VLOOKUP(M$1,INDIRECT("'"&amp;$A19&amp;"'!$A$12:$Z$19"),MATCH("Points (Auto-generate)",INDIRECT("'"&amp;$A19&amp;"'!$A$12:$Z$12"),0),0)="","?",VLOOKUP(M$1,INDIRECT("'"&amp;$A19&amp;"'!$A$12:$Z$19"),MATCH("Points (Auto-generate)",INDIRECT("'"&amp;$A19&amp;"'!$A$12:$Z$12"),0),0)),"ER"))</f>
        <v>NA</v>
      </c>
    </row>
    <row r="20" customFormat="false" ht="15" hidden="false" customHeight="true" outlineLevel="0" collapsed="false">
      <c r="A20" s="5" t="s">
        <v>43</v>
      </c>
      <c r="B20" s="5" t="str">
        <f aca="false">VLOOKUP($A20,'PARASTATAL Questions'!$A:$J,3,0)&amp;""</f>
        <v>Urban Planning &amp; Design (UPD)</v>
      </c>
      <c r="C20" s="5" t="str">
        <f aca="false">VLOOKUP($A20,'PARASTATAL Questions'!$A:$J,4,0)&amp;""</f>
        <v>MQ</v>
      </c>
      <c r="D20" s="5" t="str">
        <f aca="false">VLOOKUP($A20,'PARASTATAL Questions'!$A:$J,5,0)&amp;""</f>
        <v>Are environmental considerations explicitly required to be integrated into the transport corporation’s planning, service-delivery or major investment decisions?</v>
      </c>
      <c r="E20" s="5" t="str">
        <f aca="false">VLOOKUP($A20,'PARASTATAL Questions'!$A:$J,7,0)&amp;""</f>
        <v>Law/Policy + Implementation</v>
      </c>
      <c r="F20" s="5" t="n">
        <f aca="false">VLOOKUP($A20,'PARASTATAL Questions'!$A:$J,6,0)</f>
        <v>10</v>
      </c>
      <c r="G20" s="5" t="str">
        <f aca="false">IF(OR(G21="ER",G22="ER"),"ER",IF(OR(G21="?",G22="?"),"?",IF(AND(G21="NA",G22="NA"),"NA",SUM(G21,G22)/((G21&lt;&gt;"NA")*$F$21+(G22&lt;&gt;"NA")*$F$22)*$F20)))</f>
        <v>NA</v>
      </c>
      <c r="H20" s="5" t="str">
        <f aca="false">IF(OR(H21="ER",H22="ER"),"ER",IF(OR(H21="?",H22="?"),"?",IF(AND(H21="NA",H22="NA"),"NA",SUM(H21,H22)/((H21&lt;&gt;"NA")*$F$21+(H22&lt;&gt;"NA")*$F$22)*$F20)))</f>
        <v>?</v>
      </c>
      <c r="I20" s="5" t="str">
        <f aca="false">IF(OR(I21="ER",I22="ER"),"ER",IF(OR(I21="?",I22="?"),"?",IF(AND(I21="NA",I22="NA"),"NA",SUM(I21,I22)/((I21&lt;&gt;"NA")*$F$21+(I22&lt;&gt;"NA")*$F$22)*$F20)))</f>
        <v>NA</v>
      </c>
      <c r="J20" s="5" t="str">
        <f aca="false">IF(OR(J21="ER",J22="ER"),"ER",IF(OR(J21="?",J22="?"),"?",IF(AND(J21="NA",J22="NA"),"NA",SUM(J21,J22)/((J21&lt;&gt;"NA")*$F$21+(J22&lt;&gt;"NA")*$F$22)*$F20)))</f>
        <v>NA</v>
      </c>
      <c r="K20" s="5" t="str">
        <f aca="false">IF(OR(K21="ER",K22="ER"),"ER",IF(OR(K21="?",K22="?"),"?",IF(AND(K21="NA",K22="NA"),"NA",SUM(K21,K22)/((K21&lt;&gt;"NA")*$F$21+(K22&lt;&gt;"NA")*$F$22)*$F20)))</f>
        <v>NA</v>
      </c>
      <c r="L20" s="5" t="str">
        <f aca="false">IF(OR(L21="ER",L22="ER"),"ER",IF(OR(L21="?",L22="?"),"?",IF(AND(L21="NA",L22="NA"),"NA",SUM(L21,L22)/((L21&lt;&gt;"NA")*$F$21+(L22&lt;&gt;"NA")*$F$22)*$F20)))</f>
        <v>NA</v>
      </c>
      <c r="M20" s="5" t="str">
        <f aca="false">IF(OR(M21="ER",M22="ER"),"ER",IF(OR(M21="?",M22="?"),"?",IF(AND(M21="NA",M22="NA"),"NA",SUM(M21,M22)/((M21&lt;&gt;"NA")*$F$21+(M22&lt;&gt;"NA")*$F$22)*$F20)))</f>
        <v>NA</v>
      </c>
    </row>
    <row r="21" customFormat="false" ht="15" hidden="false" customHeight="true" outlineLevel="0" collapsed="false">
      <c r="A21" s="1" t="s">
        <v>44</v>
      </c>
      <c r="B21" s="1" t="str">
        <f aca="false">VLOOKUP($A21,'PARASTATAL Questions'!$A:$J,3,0)&amp;""</f>
        <v>Urban Planning &amp; Design (UPD)</v>
      </c>
      <c r="C21" s="1" t="str">
        <f aca="false">VLOOKUP($A21,'PARASTATAL Questions'!$A:$J,4,0)&amp;""</f>
        <v>SQ</v>
      </c>
      <c r="D21" s="1" t="str">
        <f aca="false">VLOOKUP($A21,'PARASTATAL Questions'!$A:$J,5,0)&amp;""</f>
        <v>Is the transport corporation mandated to consider environmental sustainability in planning and delivering urban transport services and investments?</v>
      </c>
      <c r="E21" s="1" t="str">
        <f aca="false">VLOOKUP($A21,'PARASTATAL Questions'!$A:$J,7,0)&amp;""</f>
        <v>Law/Policy</v>
      </c>
      <c r="F21" s="1" t="n">
        <f aca="false">VLOOKUP($A21,'PARASTATAL Questions'!$A:$J,6,0)</f>
        <v>5</v>
      </c>
      <c r="G21" s="1" t="str">
        <f aca="true">IF($F21=0,"NA",IF($A21=INDIRECT("'"&amp;$A21&amp;"'!$B$1"),IF(VLOOKUP(G$1,INDIRECT("'"&amp;$A21&amp;"'!$A$12:$Z$19"),MATCH("Points (Auto-generate)",INDIRECT("'"&amp;$A21&amp;"'!$A$12:$Z$12"),0),0)="","?",VLOOKUP(G$1,INDIRECT("'"&amp;$A21&amp;"'!$A$12:$Z$19"),MATCH("Points (Auto-generate)",INDIRECT("'"&amp;$A21&amp;"'!$A$12:$Z$12"),0),0)),"ER"))</f>
        <v>NA</v>
      </c>
      <c r="H21" s="1" t="n">
        <f aca="true">IF($F21=0,"NA",IF($A21=INDIRECT("'"&amp;$A21&amp;"'!$B$1"),IF(VLOOKUP(H$1,INDIRECT("'"&amp;$A21&amp;"'!$A$12:$Z$19"),MATCH("Points (Auto-generate)",INDIRECT("'"&amp;$A21&amp;"'!$A$12:$Z$12"),0),0)="","?",VLOOKUP(H$1,INDIRECT("'"&amp;$A21&amp;"'!$A$12:$Z$19"),MATCH("Points (Auto-generate)",INDIRECT("'"&amp;$A21&amp;"'!$A$12:$Z$12"),0),0)),"ER"))</f>
        <v>5</v>
      </c>
      <c r="I21" s="1" t="str">
        <f aca="true">IF($F21=0,"NA",IF($A21=INDIRECT("'"&amp;$A21&amp;"'!$B$1"),IF(VLOOKUP(I$1,INDIRECT("'"&amp;$A21&amp;"'!$A$12:$Z$19"),MATCH("Points (Auto-generate)",INDIRECT("'"&amp;$A21&amp;"'!$A$12:$Z$12"),0),0)="","?",VLOOKUP(I$1,INDIRECT("'"&amp;$A21&amp;"'!$A$12:$Z$19"),MATCH("Points (Auto-generate)",INDIRECT("'"&amp;$A21&amp;"'!$A$12:$Z$12"),0),0)),"ER"))</f>
        <v>NA</v>
      </c>
      <c r="J21" s="1" t="str">
        <f aca="true">IF($F21=0,"NA",IF($A21=INDIRECT("'"&amp;$A21&amp;"'!$B$1"),IF(VLOOKUP(J$1,INDIRECT("'"&amp;$A21&amp;"'!$A$12:$Z$19"),MATCH("Points (Auto-generate)",INDIRECT("'"&amp;$A21&amp;"'!$A$12:$Z$12"),0),0)="","?",VLOOKUP(J$1,INDIRECT("'"&amp;$A21&amp;"'!$A$12:$Z$19"),MATCH("Points (Auto-generate)",INDIRECT("'"&amp;$A21&amp;"'!$A$12:$Z$12"),0),0)),"ER"))</f>
        <v>NA</v>
      </c>
      <c r="K21" s="1" t="str">
        <f aca="true">IF($F21=0,"NA",IF($A21=INDIRECT("'"&amp;$A21&amp;"'!$B$1"),IF(VLOOKUP(K$1,INDIRECT("'"&amp;$A21&amp;"'!$A$12:$Z$19"),MATCH("Points (Auto-generate)",INDIRECT("'"&amp;$A21&amp;"'!$A$12:$Z$12"),0),0)="","?",VLOOKUP(K$1,INDIRECT("'"&amp;$A21&amp;"'!$A$12:$Z$19"),MATCH("Points (Auto-generate)",INDIRECT("'"&amp;$A21&amp;"'!$A$12:$Z$12"),0),0)),"ER"))</f>
        <v>NA</v>
      </c>
      <c r="L21" s="1" t="str">
        <f aca="true">IF($F21=0,"NA",IF($A21=INDIRECT("'"&amp;$A21&amp;"'!$B$1"),IF(VLOOKUP(L$1,INDIRECT("'"&amp;$A21&amp;"'!$A$12:$Z$19"),MATCH("Points (Auto-generate)",INDIRECT("'"&amp;$A21&amp;"'!$A$12:$Z$12"),0),0)="","?",VLOOKUP(L$1,INDIRECT("'"&amp;$A21&amp;"'!$A$12:$Z$19"),MATCH("Points (Auto-generate)",INDIRECT("'"&amp;$A21&amp;"'!$A$12:$Z$12"),0),0)),"ER"))</f>
        <v>NA</v>
      </c>
      <c r="M21" s="1" t="str">
        <f aca="true">IF($F21=0,"NA",IF($A21=INDIRECT("'"&amp;$A21&amp;"'!$B$1"),IF(VLOOKUP(M$1,INDIRECT("'"&amp;$A21&amp;"'!$A$12:$Z$19"),MATCH("Points (Auto-generate)",INDIRECT("'"&amp;$A21&amp;"'!$A$12:$Z$12"),0),0)="","?",VLOOKUP(M$1,INDIRECT("'"&amp;$A21&amp;"'!$A$12:$Z$19"),MATCH("Points (Auto-generate)",INDIRECT("'"&amp;$A21&amp;"'!$A$12:$Z$12"),0),0)),"ER"))</f>
        <v>NA</v>
      </c>
    </row>
    <row r="22" customFormat="false" ht="15" hidden="false" customHeight="true" outlineLevel="0" collapsed="false">
      <c r="A22" s="1" t="s">
        <v>45</v>
      </c>
      <c r="B22" s="1" t="str">
        <f aca="false">VLOOKUP($A22,'PARASTATAL Questions'!$A:$J,3,0)&amp;""</f>
        <v>Urban Planning &amp; Design (UPD)</v>
      </c>
      <c r="C22" s="1" t="str">
        <f aca="false">VLOOKUP($A22,'PARASTATAL Questions'!$A:$J,4,0)&amp;""</f>
        <v>SQ</v>
      </c>
      <c r="D22" s="1" t="str">
        <f aca="false">VLOOKUP($A22,'PARASTATAL Questions'!$A:$J,5,0)&amp;""</f>
        <v>Does the transport corporation actually considers environmental sustainability in planning and delivering urban transport services and investments?</v>
      </c>
      <c r="E22" s="1" t="str">
        <f aca="false">VLOOKUP($A22,'PARASTATAL Questions'!$A:$J,7,0)&amp;""</f>
        <v>Implementation</v>
      </c>
      <c r="F22" s="1" t="n">
        <f aca="false">VLOOKUP($A22,'PARASTATAL Questions'!$A:$J,6,0)</f>
        <v>5</v>
      </c>
      <c r="G22" s="1" t="str">
        <f aca="true">IF($F22=0,"NA",IF($A22=INDIRECT("'"&amp;$A22&amp;"'!$B$1"),IF(VLOOKUP(G$1,INDIRECT("'"&amp;$A22&amp;"'!$A$12:$Z$19"),MATCH("Points (Auto-generate)",INDIRECT("'"&amp;$A22&amp;"'!$A$12:$Z$12"),0),0)="","?",VLOOKUP(G$1,INDIRECT("'"&amp;$A22&amp;"'!$A$12:$Z$19"),MATCH("Points (Auto-generate)",INDIRECT("'"&amp;$A22&amp;"'!$A$12:$Z$12"),0),0)),"ER"))</f>
        <v>NA</v>
      </c>
      <c r="H22" s="1" t="str">
        <f aca="true">IF($F22=0,"NA",IF($A22=INDIRECT("'"&amp;$A22&amp;"'!$B$1"),IF(VLOOKUP(H$1,INDIRECT("'"&amp;$A22&amp;"'!$A$12:$Z$19"),MATCH("Points (Auto-generate)",INDIRECT("'"&amp;$A22&amp;"'!$A$12:$Z$12"),0),0)="","?",VLOOKUP(H$1,INDIRECT("'"&amp;$A22&amp;"'!$A$12:$Z$19"),MATCH("Points (Auto-generate)",INDIRECT("'"&amp;$A22&amp;"'!$A$12:$Z$12"),0),0)),"ER"))</f>
        <v>?</v>
      </c>
      <c r="I22" s="1" t="str">
        <f aca="true">IF($F22=0,"NA",IF($A22=INDIRECT("'"&amp;$A22&amp;"'!$B$1"),IF(VLOOKUP(I$1,INDIRECT("'"&amp;$A22&amp;"'!$A$12:$Z$19"),MATCH("Points (Auto-generate)",INDIRECT("'"&amp;$A22&amp;"'!$A$12:$Z$12"),0),0)="","?",VLOOKUP(I$1,INDIRECT("'"&amp;$A22&amp;"'!$A$12:$Z$19"),MATCH("Points (Auto-generate)",INDIRECT("'"&amp;$A22&amp;"'!$A$12:$Z$12"),0),0)),"ER"))</f>
        <v>NA</v>
      </c>
      <c r="J22" s="1" t="str">
        <f aca="true">IF($F22=0,"NA",IF($A22=INDIRECT("'"&amp;$A22&amp;"'!$B$1"),IF(VLOOKUP(J$1,INDIRECT("'"&amp;$A22&amp;"'!$A$12:$Z$19"),MATCH("Points (Auto-generate)",INDIRECT("'"&amp;$A22&amp;"'!$A$12:$Z$12"),0),0)="","?",VLOOKUP(J$1,INDIRECT("'"&amp;$A22&amp;"'!$A$12:$Z$19"),MATCH("Points (Auto-generate)",INDIRECT("'"&amp;$A22&amp;"'!$A$12:$Z$12"),0),0)),"ER"))</f>
        <v>NA</v>
      </c>
      <c r="K22" s="1" t="str">
        <f aca="true">IF($F22=0,"NA",IF($A22=INDIRECT("'"&amp;$A22&amp;"'!$B$1"),IF(VLOOKUP(K$1,INDIRECT("'"&amp;$A22&amp;"'!$A$12:$Z$19"),MATCH("Points (Auto-generate)",INDIRECT("'"&amp;$A22&amp;"'!$A$12:$Z$12"),0),0)="","?",VLOOKUP(K$1,INDIRECT("'"&amp;$A22&amp;"'!$A$12:$Z$19"),MATCH("Points (Auto-generate)",INDIRECT("'"&amp;$A22&amp;"'!$A$12:$Z$12"),0),0)),"ER"))</f>
        <v>NA</v>
      </c>
      <c r="L22" s="1" t="str">
        <f aca="true">IF($F22=0,"NA",IF($A22=INDIRECT("'"&amp;$A22&amp;"'!$B$1"),IF(VLOOKUP(L$1,INDIRECT("'"&amp;$A22&amp;"'!$A$12:$Z$19"),MATCH("Points (Auto-generate)",INDIRECT("'"&amp;$A22&amp;"'!$A$12:$Z$12"),0),0)="","?",VLOOKUP(L$1,INDIRECT("'"&amp;$A22&amp;"'!$A$12:$Z$19"),MATCH("Points (Auto-generate)",INDIRECT("'"&amp;$A22&amp;"'!$A$12:$Z$12"),0),0)),"ER"))</f>
        <v>NA</v>
      </c>
      <c r="M22" s="1" t="str">
        <f aca="true">IF($F22=0,"NA",IF($A22=INDIRECT("'"&amp;$A22&amp;"'!$B$1"),IF(VLOOKUP(M$1,INDIRECT("'"&amp;$A22&amp;"'!$A$12:$Z$19"),MATCH("Points (Auto-generate)",INDIRECT("'"&amp;$A22&amp;"'!$A$12:$Z$12"),0),0)="","?",VLOOKUP(M$1,INDIRECT("'"&amp;$A22&amp;"'!$A$12:$Z$19"),MATCH("Points (Auto-generate)",INDIRECT("'"&amp;$A22&amp;"'!$A$12:$Z$12"),0),0)),"ER"))</f>
        <v>NA</v>
      </c>
    </row>
    <row r="23" customFormat="false" ht="15" hidden="false" customHeight="true" outlineLevel="0" collapsed="false">
      <c r="A23" s="5" t="s">
        <v>46</v>
      </c>
      <c r="B23" s="5" t="str">
        <f aca="false">VLOOKUP($A23,'PARASTATAL Questions'!$A:$J,3,0)&amp;""</f>
        <v>Decentralised Participatory Governance</v>
      </c>
      <c r="C23" s="5" t="str">
        <f aca="false">VLOOKUP($A23,'PARASTATAL Questions'!$A:$J,4,0)&amp;""</f>
        <v>MQ</v>
      </c>
      <c r="D23" s="5" t="str">
        <f aca="false">VLOOKUP($A23,'PARASTATAL Questions'!$A:$J,5,0)&amp;""</f>
        <v>Are the functions and geographical jurisdiction of the parastatal clearly defined vis-à-vis the ULG and other relevant agencies?</v>
      </c>
      <c r="E23" s="5" t="str">
        <f aca="false">VLOOKUP($A23,'PARASTATAL Questions'!$A:$J,7,0)&amp;""</f>
        <v>Law/Policy + Implementation</v>
      </c>
      <c r="F23" s="5" t="n">
        <f aca="false">VLOOKUP($A23,'PARASTATAL Questions'!$A:$J,6,0)</f>
        <v>10</v>
      </c>
      <c r="G23" s="5" t="str">
        <f aca="false">IF(OR(G24="ER",G25="ER"),"ER",IF(OR(G24="?",G25="?"),"?",IF(AND(G24="NA",G25="NA"),"NA",SUM(G24,G25)/((G24&lt;&gt;"NA")*$F$24+(G25&lt;&gt;"NA")*$F$25)*$F23)))</f>
        <v>?</v>
      </c>
      <c r="H23" s="5" t="str">
        <f aca="false">IF(OR(H24="ER",H25="ER"),"ER",IF(OR(H24="?",H25="?"),"?",IF(AND(H24="NA",H25="NA"),"NA",SUM(H24,H25)/((H24&lt;&gt;"NA")*$F$24+(H25&lt;&gt;"NA")*$F$25)*$F23)))</f>
        <v>?</v>
      </c>
      <c r="I23" s="5" t="n">
        <f aca="false">IF(OR(I24="ER",I25="ER"),"ER",IF(OR(I24="?",I25="?"),"?",IF(AND(I24="NA",I25="NA"),"NA",SUM(I24,I25)/((I24&lt;&gt;"NA")*$F$24+(I25&lt;&gt;"NA")*$F$25)*$F23)))</f>
        <v>5</v>
      </c>
      <c r="J23" s="5" t="str">
        <f aca="false">IF(OR(J24="ER",J25="ER"),"ER",IF(OR(J24="?",J25="?"),"?",IF(AND(J24="NA",J25="NA"),"NA",SUM(J24,J25)/((J24&lt;&gt;"NA")*$F$24+(J25&lt;&gt;"NA")*$F$25)*$F23)))</f>
        <v>?</v>
      </c>
      <c r="K23" s="5" t="str">
        <f aca="false">IF(OR(K24="ER",K25="ER"),"ER",IF(OR(K24="?",K25="?"),"?",IF(AND(K24="NA",K25="NA"),"NA",SUM(K24,K25)/((K24&lt;&gt;"NA")*$F$24+(K25&lt;&gt;"NA")*$F$25)*$F23)))</f>
        <v>?</v>
      </c>
      <c r="L23" s="5" t="str">
        <f aca="false">IF(OR(L24="ER",L25="ER"),"ER",IF(OR(L24="?",L25="?"),"?",IF(AND(L24="NA",L25="NA"),"NA",SUM(L24,L25)/((L24&lt;&gt;"NA")*$F$24+(L25&lt;&gt;"NA")*$F$25)*$F23)))</f>
        <v>?</v>
      </c>
      <c r="M23" s="5" t="str">
        <f aca="false">IF(OR(M24="ER",M25="ER"),"ER",IF(OR(M24="?",M25="?"),"?",IF(AND(M24="NA",M25="NA"),"NA",SUM(M24,M25)/((M24&lt;&gt;"NA")*$F$24+(M25&lt;&gt;"NA")*$F$25)*$F23)))</f>
        <v>?</v>
      </c>
    </row>
    <row r="24" customFormat="false" ht="15" hidden="false" customHeight="true" outlineLevel="0" collapsed="false">
      <c r="A24" s="1" t="s">
        <v>47</v>
      </c>
      <c r="B24" s="1" t="str">
        <f aca="false">VLOOKUP($A24,'PARASTATAL Questions'!$A:$J,3,0)&amp;""</f>
        <v>Decentralised Participatory Governance</v>
      </c>
      <c r="C24" s="1" t="str">
        <f aca="false">VLOOKUP($A24,'PARASTATAL Questions'!$A:$J,4,0)&amp;""</f>
        <v>SQ</v>
      </c>
      <c r="D24" s="1" t="str">
        <f aca="false">VLOOKUP($A24,'PARASTATAL Questions'!$A:$J,5,0)&amp;""</f>
        <v>Does the law clearly demarcate the functions/responsibilities of the parastatal vis-à-vis the ULG?</v>
      </c>
      <c r="E24" s="1" t="str">
        <f aca="false">VLOOKUP($A24,'PARASTATAL Questions'!$A:$J,7,0)&amp;""</f>
        <v>Law/policy</v>
      </c>
      <c r="F24" s="1" t="n">
        <f aca="false">VLOOKUP($A24,'PARASTATAL Questions'!$A:$J,6,0)</f>
        <v>5</v>
      </c>
      <c r="G24" s="1" t="str">
        <f aca="true">IF($F24=0,"NA",IF($A24=INDIRECT("'"&amp;$A24&amp;"'!$B$1"),IF(VLOOKUP(G$1,INDIRECT("'"&amp;$A24&amp;"'!$A$12:$Z$19"),MATCH("Points (Auto-generate)",INDIRECT("'"&amp;$A24&amp;"'!$A$12:$Z$12"),0),0)="","?",VLOOKUP(G$1,INDIRECT("'"&amp;$A24&amp;"'!$A$12:$Z$19"),MATCH("Points (Auto-generate)",INDIRECT("'"&amp;$A24&amp;"'!$A$12:$Z$12"),0),0)),"ER"))</f>
        <v>?</v>
      </c>
      <c r="H24" s="1" t="str">
        <f aca="true">IF($F24=0,"NA",IF($A24=INDIRECT("'"&amp;$A24&amp;"'!$B$1"),IF(VLOOKUP(H$1,INDIRECT("'"&amp;$A24&amp;"'!$A$12:$Z$19"),MATCH("Points (Auto-generate)",INDIRECT("'"&amp;$A24&amp;"'!$A$12:$Z$12"),0),0)="","?",VLOOKUP(H$1,INDIRECT("'"&amp;$A24&amp;"'!$A$12:$Z$19"),MATCH("Points (Auto-generate)",INDIRECT("'"&amp;$A24&amp;"'!$A$12:$Z$12"),0),0)),"ER"))</f>
        <v>?</v>
      </c>
      <c r="I24" s="1" t="n">
        <f aca="true">IF($F24=0,"NA",IF($A24=INDIRECT("'"&amp;$A24&amp;"'!$B$1"),IF(VLOOKUP(I$1,INDIRECT("'"&amp;$A24&amp;"'!$A$12:$Z$19"),MATCH("Points (Auto-generate)",INDIRECT("'"&amp;$A24&amp;"'!$A$12:$Z$12"),0),0)="","?",VLOOKUP(I$1,INDIRECT("'"&amp;$A24&amp;"'!$A$12:$Z$19"),MATCH("Points (Auto-generate)",INDIRECT("'"&amp;$A24&amp;"'!$A$12:$Z$12"),0),0)),"ER"))</f>
        <v>0</v>
      </c>
      <c r="J24" s="1" t="str">
        <f aca="true">IF($F24=0,"NA",IF($A24=INDIRECT("'"&amp;$A24&amp;"'!$B$1"),IF(VLOOKUP(J$1,INDIRECT("'"&amp;$A24&amp;"'!$A$12:$Z$19"),MATCH("Points (Auto-generate)",INDIRECT("'"&amp;$A24&amp;"'!$A$12:$Z$12"),0),0)="","?",VLOOKUP(J$1,INDIRECT("'"&amp;$A24&amp;"'!$A$12:$Z$19"),MATCH("Points (Auto-generate)",INDIRECT("'"&amp;$A24&amp;"'!$A$12:$Z$12"),0),0)),"ER"))</f>
        <v>?</v>
      </c>
      <c r="K24" s="1" t="str">
        <f aca="true">IF($F24=0,"NA",IF($A24=INDIRECT("'"&amp;$A24&amp;"'!$B$1"),IF(VLOOKUP(K$1,INDIRECT("'"&amp;$A24&amp;"'!$A$12:$Z$19"),MATCH("Points (Auto-generate)",INDIRECT("'"&amp;$A24&amp;"'!$A$12:$Z$12"),0),0)="","?",VLOOKUP(K$1,INDIRECT("'"&amp;$A24&amp;"'!$A$12:$Z$19"),MATCH("Points (Auto-generate)",INDIRECT("'"&amp;$A24&amp;"'!$A$12:$Z$12"),0),0)),"ER"))</f>
        <v>?</v>
      </c>
      <c r="L24" s="1" t="str">
        <f aca="true">IF($F24=0,"NA",IF($A24=INDIRECT("'"&amp;$A24&amp;"'!$B$1"),IF(VLOOKUP(L$1,INDIRECT("'"&amp;$A24&amp;"'!$A$12:$Z$19"),MATCH("Points (Auto-generate)",INDIRECT("'"&amp;$A24&amp;"'!$A$12:$Z$12"),0),0)="","?",VLOOKUP(L$1,INDIRECT("'"&amp;$A24&amp;"'!$A$12:$Z$19"),MATCH("Points (Auto-generate)",INDIRECT("'"&amp;$A24&amp;"'!$A$12:$Z$12"),0),0)),"ER"))</f>
        <v>?</v>
      </c>
      <c r="M24" s="1" t="str">
        <f aca="true">IF($F24=0,"NA",IF($A24=INDIRECT("'"&amp;$A24&amp;"'!$B$1"),IF(VLOOKUP(M$1,INDIRECT("'"&amp;$A24&amp;"'!$A$12:$Z$19"),MATCH("Points (Auto-generate)",INDIRECT("'"&amp;$A24&amp;"'!$A$12:$Z$12"),0),0)="","?",VLOOKUP(M$1,INDIRECT("'"&amp;$A24&amp;"'!$A$12:$Z$19"),MATCH("Points (Auto-generate)",INDIRECT("'"&amp;$A24&amp;"'!$A$12:$Z$12"),0),0)),"ER"))</f>
        <v>?</v>
      </c>
    </row>
    <row r="25" customFormat="false" ht="15" hidden="false" customHeight="true" outlineLevel="0" collapsed="false">
      <c r="A25" s="1" t="s">
        <v>48</v>
      </c>
      <c r="B25" s="1" t="str">
        <f aca="false">VLOOKUP($A25,'PARASTATAL Questions'!$A:$J,3,0)&amp;""</f>
        <v>Decentralised Participatory Governance</v>
      </c>
      <c r="C25" s="1" t="str">
        <f aca="false">VLOOKUP($A25,'PARASTATAL Questions'!$A:$J,4,0)&amp;""</f>
        <v>SQ</v>
      </c>
      <c r="D25" s="1" t="str">
        <f aca="false">VLOOKUP($A25,'PARASTATAL Questions'!$A:$J,5,0)&amp;""</f>
        <v>Is the parastatal's territorial/geographic jurisdiction specifically defined in it's enabling law?</v>
      </c>
      <c r="E25" s="1" t="str">
        <f aca="false">VLOOKUP($A25,'PARASTATAL Questions'!$A:$J,7,0)&amp;""</f>
        <v>Law/Policy</v>
      </c>
      <c r="F25" s="1" t="n">
        <f aca="false">VLOOKUP($A25,'PARASTATAL Questions'!$A:$J,6,0)</f>
        <v>5</v>
      </c>
      <c r="G25" s="1" t="n">
        <f aca="true">IF($F25=0,"NA",IF($A25=INDIRECT("'"&amp;$A25&amp;"'!$B$1"),IF(VLOOKUP(G$1,INDIRECT("'"&amp;$A25&amp;"'!$A$12:$Z$19"),MATCH("Points (Auto-generate)",INDIRECT("'"&amp;$A25&amp;"'!$A$12:$Z$12"),0),0)="","?",VLOOKUP(G$1,INDIRECT("'"&amp;$A25&amp;"'!$A$12:$Z$19"),MATCH("Points (Auto-generate)",INDIRECT("'"&amp;$A25&amp;"'!$A$12:$Z$12"),0),0)),"ER"))</f>
        <v>5</v>
      </c>
      <c r="H25" s="1" t="str">
        <f aca="true">IF($F25=0,"NA",IF($A25=INDIRECT("'"&amp;$A25&amp;"'!$B$1"),IF(VLOOKUP(H$1,INDIRECT("'"&amp;$A25&amp;"'!$A$12:$Z$19"),MATCH("Points (Auto-generate)",INDIRECT("'"&amp;$A25&amp;"'!$A$12:$Z$12"),0),0)="","?",VLOOKUP(H$1,INDIRECT("'"&amp;$A25&amp;"'!$A$12:$Z$19"),MATCH("Points (Auto-generate)",INDIRECT("'"&amp;$A25&amp;"'!$A$12:$Z$12"),0),0)),"ER"))</f>
        <v>?</v>
      </c>
      <c r="I25" s="1" t="n">
        <f aca="true">IF($F25=0,"NA",IF($A25=INDIRECT("'"&amp;$A25&amp;"'!$B$1"),IF(VLOOKUP(I$1,INDIRECT("'"&amp;$A25&amp;"'!$A$12:$Z$19"),MATCH("Points (Auto-generate)",INDIRECT("'"&amp;$A25&amp;"'!$A$12:$Z$12"),0),0)="","?",VLOOKUP(I$1,INDIRECT("'"&amp;$A25&amp;"'!$A$12:$Z$19"),MATCH("Points (Auto-generate)",INDIRECT("'"&amp;$A25&amp;"'!$A$12:$Z$12"),0),0)),"ER"))</f>
        <v>5</v>
      </c>
      <c r="J25" s="1" t="str">
        <f aca="true">IF($F25=0,"NA",IF($A25=INDIRECT("'"&amp;$A25&amp;"'!$B$1"),IF(VLOOKUP(J$1,INDIRECT("'"&amp;$A25&amp;"'!$A$12:$Z$19"),MATCH("Points (Auto-generate)",INDIRECT("'"&amp;$A25&amp;"'!$A$12:$Z$12"),0),0)="","?",VLOOKUP(J$1,INDIRECT("'"&amp;$A25&amp;"'!$A$12:$Z$19"),MATCH("Points (Auto-generate)",INDIRECT("'"&amp;$A25&amp;"'!$A$12:$Z$12"),0),0)),"ER"))</f>
        <v>?</v>
      </c>
      <c r="K25" s="1" t="str">
        <f aca="true">IF($F25=0,"NA",IF($A25=INDIRECT("'"&amp;$A25&amp;"'!$B$1"),IF(VLOOKUP(K$1,INDIRECT("'"&amp;$A25&amp;"'!$A$12:$Z$19"),MATCH("Points (Auto-generate)",INDIRECT("'"&amp;$A25&amp;"'!$A$12:$Z$12"),0),0)="","?",VLOOKUP(K$1,INDIRECT("'"&amp;$A25&amp;"'!$A$12:$Z$19"),MATCH("Points (Auto-generate)",INDIRECT("'"&amp;$A25&amp;"'!$A$12:$Z$12"),0),0)),"ER"))</f>
        <v>?</v>
      </c>
      <c r="L25" s="1" t="str">
        <f aca="true">IF($F25=0,"NA",IF($A25=INDIRECT("'"&amp;$A25&amp;"'!$B$1"),IF(VLOOKUP(L$1,INDIRECT("'"&amp;$A25&amp;"'!$A$12:$Z$19"),MATCH("Points (Auto-generate)",INDIRECT("'"&amp;$A25&amp;"'!$A$12:$Z$12"),0),0)="","?",VLOOKUP(L$1,INDIRECT("'"&amp;$A25&amp;"'!$A$12:$Z$19"),MATCH("Points (Auto-generate)",INDIRECT("'"&amp;$A25&amp;"'!$A$12:$Z$12"),0),0)),"ER"))</f>
        <v>?</v>
      </c>
      <c r="M25" s="1" t="str">
        <f aca="true">IF($F25=0,"NA",IF($A25=INDIRECT("'"&amp;$A25&amp;"'!$B$1"),IF(VLOOKUP(M$1,INDIRECT("'"&amp;$A25&amp;"'!$A$12:$Z$19"),MATCH("Points (Auto-generate)",INDIRECT("'"&amp;$A25&amp;"'!$A$12:$Z$12"),0),0)="","?",VLOOKUP(M$1,INDIRECT("'"&amp;$A25&amp;"'!$A$12:$Z$19"),MATCH("Points (Auto-generate)",INDIRECT("'"&amp;$A25&amp;"'!$A$12:$Z$12"),0),0)),"ER"))</f>
        <v>?</v>
      </c>
    </row>
    <row r="26" customFormat="false" ht="15" hidden="false" customHeight="true" outlineLevel="0" collapsed="false">
      <c r="A26" s="5" t="s">
        <v>49</v>
      </c>
      <c r="B26" s="5" t="str">
        <f aca="false">VLOOKUP($A26,'PARASTATAL Questions'!$A:$J,3,0)&amp;""</f>
        <v>Decentralised Participatory Governance</v>
      </c>
      <c r="C26" s="5" t="str">
        <f aca="false">VLOOKUP($A26,'PARASTATAL Questions'!$A:$J,4,0)&amp;""</f>
        <v>MQ</v>
      </c>
      <c r="D26" s="5" t="str">
        <f aca="false">VLOOKUP($A26,'PARASTATAL Questions'!$A:$J,5,0)&amp;""</f>
        <v>Is the parastatal accountable to the ULG?</v>
      </c>
      <c r="E26" s="5" t="str">
        <f aca="false">VLOOKUP($A26,'PARASTATAL Questions'!$A:$J,7,0)&amp;""</f>
        <v>Law/Policy</v>
      </c>
      <c r="F26" s="5" t="n">
        <f aca="false">VLOOKUP($A26,'PARASTATAL Questions'!$A:$J,6,0)</f>
        <v>10</v>
      </c>
      <c r="G26" s="5" t="str">
        <f aca="false">IF(OR(G27="ER",G28="ER"),"ER",IF(OR(G27="?",G28="?"),"?",IF(AND(G27="NA",G28="NA"),"NA",SUM(G27,G28)/((G27&lt;&gt;"NA")*$F$27+(G28&lt;&gt;"NA")*$F$28)*$F26)))</f>
        <v>?</v>
      </c>
      <c r="H26" s="5" t="str">
        <f aca="false">IF(OR(H27="ER",H28="ER"),"ER",IF(OR(H27="?",H28="?"),"?",IF(AND(H27="NA",H28="NA"),"NA",SUM(H27,H28)/((H27&lt;&gt;"NA")*$F$27+(H28&lt;&gt;"NA")*$F$28)*$F26)))</f>
        <v>?</v>
      </c>
      <c r="I26" s="5" t="str">
        <f aca="false">IF(OR(I27="ER",I28="ER"),"ER",IF(OR(I27="?",I28="?"),"?",IF(AND(I27="NA",I28="NA"),"NA",SUM(I27,I28)/((I27&lt;&gt;"NA")*$F$27+(I28&lt;&gt;"NA")*$F$28)*$F26)))</f>
        <v>?</v>
      </c>
      <c r="J26" s="5" t="str">
        <f aca="false">IF(OR(J27="ER",J28="ER"),"ER",IF(OR(J27="?",J28="?"),"?",IF(AND(J27="NA",J28="NA"),"NA",SUM(J27,J28)/((J27&lt;&gt;"NA")*$F$27+(J28&lt;&gt;"NA")*$F$28)*$F26)))</f>
        <v>?</v>
      </c>
      <c r="K26" s="5" t="str">
        <f aca="false">IF(OR(K27="ER",K28="ER"),"ER",IF(OR(K27="?",K28="?"),"?",IF(AND(K27="NA",K28="NA"),"NA",SUM(K27,K28)/((K27&lt;&gt;"NA")*$F$27+(K28&lt;&gt;"NA")*$F$28)*$F26)))</f>
        <v>?</v>
      </c>
      <c r="L26" s="5" t="str">
        <f aca="false">IF(OR(L27="ER",L28="ER"),"ER",IF(OR(L27="?",L28="?"),"?",IF(AND(L27="NA",L28="NA"),"NA",SUM(L27,L28)/((L27&lt;&gt;"NA")*$F$27+(L28&lt;&gt;"NA")*$F$28)*$F26)))</f>
        <v>?</v>
      </c>
      <c r="M26" s="5" t="str">
        <f aca="false">IF(OR(M27="ER",M28="ER"),"ER",IF(OR(M27="?",M28="?"),"?",IF(AND(M27="NA",M28="NA"),"NA",SUM(M27,M28)/((M27&lt;&gt;"NA")*$F$27+(M28&lt;&gt;"NA")*$F$28)*$F26)))</f>
        <v>?</v>
      </c>
    </row>
    <row r="27" customFormat="false" ht="15" hidden="false" customHeight="true" outlineLevel="0" collapsed="false">
      <c r="A27" s="1" t="s">
        <v>50</v>
      </c>
      <c r="B27" s="1" t="str">
        <f aca="false">VLOOKUP($A27,'PARASTATAL Questions'!$A:$J,3,0)&amp;""</f>
        <v>Decentralised Participatory Governance</v>
      </c>
      <c r="C27" s="1" t="str">
        <f aca="false">VLOOKUP($A27,'PARASTATAL Questions'!$A:$J,4,0)&amp;""</f>
        <v>SQ</v>
      </c>
      <c r="D27" s="1" t="str">
        <f aca="false">VLOOKUP($A27,'PARASTATAL Questions'!$A:$J,5,0)&amp;""</f>
        <v>Does the ULG have representation on the parastatal's governing board?</v>
      </c>
      <c r="E27" s="1" t="str">
        <f aca="false">VLOOKUP($A27,'PARASTATAL Questions'!$A:$J,7,0)&amp;""</f>
        <v>Law/Policy</v>
      </c>
      <c r="F27" s="1" t="n">
        <f aca="false">VLOOKUP($A27,'PARASTATAL Questions'!$A:$J,6,0)</f>
        <v>5</v>
      </c>
      <c r="G27" s="1" t="n">
        <f aca="true">IF($F27=0,"NA",IF($A27=INDIRECT("'"&amp;$A27&amp;"'!$B$1"),IF(VLOOKUP(G$1,INDIRECT("'"&amp;$A27&amp;"'!$A$12:$Z$19"),MATCH("Points (Auto-generate)",INDIRECT("'"&amp;$A27&amp;"'!$A$12:$Z$12"),0),0)="","?",VLOOKUP(G$1,INDIRECT("'"&amp;$A27&amp;"'!$A$12:$Z$19"),MATCH("Points (Auto-generate)",INDIRECT("'"&amp;$A27&amp;"'!$A$12:$Z$12"),0),0)),"ER"))</f>
        <v>0</v>
      </c>
      <c r="H27" s="1" t="str">
        <f aca="true">IF($F27=0,"NA",IF($A27=INDIRECT("'"&amp;$A27&amp;"'!$B$1"),IF(VLOOKUP(H$1,INDIRECT("'"&amp;$A27&amp;"'!$A$12:$Z$19"),MATCH("Points (Auto-generate)",INDIRECT("'"&amp;$A27&amp;"'!$A$12:$Z$12"),0),0)="","?",VLOOKUP(H$1,INDIRECT("'"&amp;$A27&amp;"'!$A$12:$Z$19"),MATCH("Points (Auto-generate)",INDIRECT("'"&amp;$A27&amp;"'!$A$12:$Z$12"),0),0)),"ER"))</f>
        <v>?</v>
      </c>
      <c r="I27" s="1" t="n">
        <f aca="true">IF($F27=0,"NA",IF($A27=INDIRECT("'"&amp;$A27&amp;"'!$B$1"),IF(VLOOKUP(I$1,INDIRECT("'"&amp;$A27&amp;"'!$A$12:$Z$19"),MATCH("Points (Auto-generate)",INDIRECT("'"&amp;$A27&amp;"'!$A$12:$Z$12"),0),0)="","?",VLOOKUP(I$1,INDIRECT("'"&amp;$A27&amp;"'!$A$12:$Z$19"),MATCH("Points (Auto-generate)",INDIRECT("'"&amp;$A27&amp;"'!$A$12:$Z$12"),0),0)),"ER"))</f>
        <v>5</v>
      </c>
      <c r="J27" s="1" t="str">
        <f aca="true">IF($F27=0,"NA",IF($A27=INDIRECT("'"&amp;$A27&amp;"'!$B$1"),IF(VLOOKUP(J$1,INDIRECT("'"&amp;$A27&amp;"'!$A$12:$Z$19"),MATCH("Points (Auto-generate)",INDIRECT("'"&amp;$A27&amp;"'!$A$12:$Z$12"),0),0)="","?",VLOOKUP(J$1,INDIRECT("'"&amp;$A27&amp;"'!$A$12:$Z$19"),MATCH("Points (Auto-generate)",INDIRECT("'"&amp;$A27&amp;"'!$A$12:$Z$12"),0),0)),"ER"))</f>
        <v>?</v>
      </c>
      <c r="K27" s="1" t="str">
        <f aca="true">IF($F27=0,"NA",IF($A27=INDIRECT("'"&amp;$A27&amp;"'!$B$1"),IF(VLOOKUP(K$1,INDIRECT("'"&amp;$A27&amp;"'!$A$12:$Z$19"),MATCH("Points (Auto-generate)",INDIRECT("'"&amp;$A27&amp;"'!$A$12:$Z$12"),0),0)="","?",VLOOKUP(K$1,INDIRECT("'"&amp;$A27&amp;"'!$A$12:$Z$19"),MATCH("Points (Auto-generate)",INDIRECT("'"&amp;$A27&amp;"'!$A$12:$Z$12"),0),0)),"ER"))</f>
        <v>?</v>
      </c>
      <c r="L27" s="1" t="str">
        <f aca="true">IF($F27=0,"NA",IF($A27=INDIRECT("'"&amp;$A27&amp;"'!$B$1"),IF(VLOOKUP(L$1,INDIRECT("'"&amp;$A27&amp;"'!$A$12:$Z$19"),MATCH("Points (Auto-generate)",INDIRECT("'"&amp;$A27&amp;"'!$A$12:$Z$12"),0),0)="","?",VLOOKUP(L$1,INDIRECT("'"&amp;$A27&amp;"'!$A$12:$Z$19"),MATCH("Points (Auto-generate)",INDIRECT("'"&amp;$A27&amp;"'!$A$12:$Z$12"),0),0)),"ER"))</f>
        <v>?</v>
      </c>
      <c r="M27" s="1" t="str">
        <f aca="true">IF($F27=0,"NA",IF($A27=INDIRECT("'"&amp;$A27&amp;"'!$B$1"),IF(VLOOKUP(M$1,INDIRECT("'"&amp;$A27&amp;"'!$A$12:$Z$19"),MATCH("Points (Auto-generate)",INDIRECT("'"&amp;$A27&amp;"'!$A$12:$Z$12"),0),0)="","?",VLOOKUP(M$1,INDIRECT("'"&amp;$A27&amp;"'!$A$12:$Z$19"),MATCH("Points (Auto-generate)",INDIRECT("'"&amp;$A27&amp;"'!$A$12:$Z$12"),0),0)),"ER"))</f>
        <v>?</v>
      </c>
    </row>
    <row r="28" customFormat="false" ht="15" hidden="false" customHeight="true" outlineLevel="0" collapsed="false">
      <c r="A28" s="1" t="s">
        <v>51</v>
      </c>
      <c r="B28" s="1" t="str">
        <f aca="false">VLOOKUP($A28,'PARASTATAL Questions'!$A:$J,3,0)&amp;""</f>
        <v>Decentralised Participatory Governance</v>
      </c>
      <c r="C28" s="1" t="str">
        <f aca="false">VLOOKUP($A28,'PARASTATAL Questions'!$A:$J,4,0)&amp;""</f>
        <v>SQ</v>
      </c>
      <c r="D28" s="1" t="str">
        <f aca="false">VLOOKUP($A28,'PARASTATAL Questions'!$A:$J,5,0)&amp;""</f>
        <v>Is the parastatal mandated to submit its plans, budgets or reports to the ULG/council?</v>
      </c>
      <c r="E28" s="1" t="str">
        <f aca="false">VLOOKUP($A28,'PARASTATAL Questions'!$A:$J,7,0)&amp;""</f>
        <v>Law/Policy</v>
      </c>
      <c r="F28" s="1" t="n">
        <f aca="false">VLOOKUP($A28,'PARASTATAL Questions'!$A:$J,6,0)</f>
        <v>5</v>
      </c>
      <c r="G28" s="1" t="str">
        <f aca="true">IF($F28=0,"NA",IF($A28=INDIRECT("'"&amp;$A28&amp;"'!$B$1"),IF(VLOOKUP(G$1,INDIRECT("'"&amp;$A28&amp;"'!$A$12:$Z$19"),MATCH("Points (Auto-generate)",INDIRECT("'"&amp;$A28&amp;"'!$A$12:$Z$12"),0),0)="","?",VLOOKUP(G$1,INDIRECT("'"&amp;$A28&amp;"'!$A$12:$Z$19"),MATCH("Points (Auto-generate)",INDIRECT("'"&amp;$A28&amp;"'!$A$12:$Z$12"),0),0)),"ER"))</f>
        <v>?</v>
      </c>
      <c r="H28" s="1" t="str">
        <f aca="true">IF($F28=0,"NA",IF($A28=INDIRECT("'"&amp;$A28&amp;"'!$B$1"),IF(VLOOKUP(H$1,INDIRECT("'"&amp;$A28&amp;"'!$A$12:$Z$19"),MATCH("Points (Auto-generate)",INDIRECT("'"&amp;$A28&amp;"'!$A$12:$Z$12"),0),0)="","?",VLOOKUP(H$1,INDIRECT("'"&amp;$A28&amp;"'!$A$12:$Z$19"),MATCH("Points (Auto-generate)",INDIRECT("'"&amp;$A28&amp;"'!$A$12:$Z$12"),0),0)),"ER"))</f>
        <v>?</v>
      </c>
      <c r="I28" s="1" t="str">
        <f aca="true">IF($F28=0,"NA",IF($A28=INDIRECT("'"&amp;$A28&amp;"'!$B$1"),IF(VLOOKUP(I$1,INDIRECT("'"&amp;$A28&amp;"'!$A$12:$Z$19"),MATCH("Points (Auto-generate)",INDIRECT("'"&amp;$A28&amp;"'!$A$12:$Z$12"),0),0)="","?",VLOOKUP(I$1,INDIRECT("'"&amp;$A28&amp;"'!$A$12:$Z$19"),MATCH("Points (Auto-generate)",INDIRECT("'"&amp;$A28&amp;"'!$A$12:$Z$12"),0),0)),"ER"))</f>
        <v>?</v>
      </c>
      <c r="J28" s="1" t="str">
        <f aca="true">IF($F28=0,"NA",IF($A28=INDIRECT("'"&amp;$A28&amp;"'!$B$1"),IF(VLOOKUP(J$1,INDIRECT("'"&amp;$A28&amp;"'!$A$12:$Z$19"),MATCH("Points (Auto-generate)",INDIRECT("'"&amp;$A28&amp;"'!$A$12:$Z$12"),0),0)="","?",VLOOKUP(J$1,INDIRECT("'"&amp;$A28&amp;"'!$A$12:$Z$19"),MATCH("Points (Auto-generate)",INDIRECT("'"&amp;$A28&amp;"'!$A$12:$Z$12"),0),0)),"ER"))</f>
        <v>?</v>
      </c>
      <c r="K28" s="1" t="str">
        <f aca="true">IF($F28=0,"NA",IF($A28=INDIRECT("'"&amp;$A28&amp;"'!$B$1"),IF(VLOOKUP(K$1,INDIRECT("'"&amp;$A28&amp;"'!$A$12:$Z$19"),MATCH("Points (Auto-generate)",INDIRECT("'"&amp;$A28&amp;"'!$A$12:$Z$12"),0),0)="","?",VLOOKUP(K$1,INDIRECT("'"&amp;$A28&amp;"'!$A$12:$Z$19"),MATCH("Points (Auto-generate)",INDIRECT("'"&amp;$A28&amp;"'!$A$12:$Z$12"),0),0)),"ER"))</f>
        <v>?</v>
      </c>
      <c r="L28" s="1" t="str">
        <f aca="true">IF($F28=0,"NA",IF($A28=INDIRECT("'"&amp;$A28&amp;"'!$B$1"),IF(VLOOKUP(L$1,INDIRECT("'"&amp;$A28&amp;"'!$A$12:$Z$19"),MATCH("Points (Auto-generate)",INDIRECT("'"&amp;$A28&amp;"'!$A$12:$Z$12"),0),0)="","?",VLOOKUP(L$1,INDIRECT("'"&amp;$A28&amp;"'!$A$12:$Z$19"),MATCH("Points (Auto-generate)",INDIRECT("'"&amp;$A28&amp;"'!$A$12:$Z$12"),0),0)),"ER"))</f>
        <v>?</v>
      </c>
      <c r="M28" s="1" t="str">
        <f aca="true">IF($F28=0,"NA",IF($A28=INDIRECT("'"&amp;$A28&amp;"'!$B$1"),IF(VLOOKUP(M$1,INDIRECT("'"&amp;$A28&amp;"'!$A$12:$Z$19"),MATCH("Points (Auto-generate)",INDIRECT("'"&amp;$A28&amp;"'!$A$12:$Z$12"),0),0)="","?",VLOOKUP(M$1,INDIRECT("'"&amp;$A28&amp;"'!$A$12:$Z$19"),MATCH("Points (Auto-generate)",INDIRECT("'"&amp;$A28&amp;"'!$A$12:$Z$12"),0),0)),"ER"))</f>
        <v>?</v>
      </c>
    </row>
    <row r="29" customFormat="false" ht="15" hidden="false" customHeight="true" outlineLevel="0" collapsed="false">
      <c r="A29" s="5" t="s">
        <v>52</v>
      </c>
      <c r="B29" s="5" t="str">
        <f aca="false">VLOOKUP($A29,'PARASTATAL Questions'!$A:$J,3,0)&amp;""</f>
        <v>Decentralised Participatory Governance</v>
      </c>
      <c r="C29" s="5" t="str">
        <f aca="false">VLOOKUP($A29,'PARASTATAL Questions'!$A:$J,4,0)&amp;""</f>
        <v>MQ</v>
      </c>
      <c r="D29" s="5" t="str">
        <f aca="false">VLOOKUP($A29,'PARASTATAL Questions'!$A:$J,5,0)&amp;""</f>
        <v>Does the parastatal maintain an active and functional website?</v>
      </c>
      <c r="E29" s="5" t="str">
        <f aca="false">VLOOKUP($A29,'PARASTATAL Questions'!$A:$J,7,0)&amp;""</f>
        <v>Implementation</v>
      </c>
      <c r="F29" s="5" t="n">
        <f aca="false">VLOOKUP($A29,'PARASTATAL Questions'!$A:$J,6,0)</f>
        <v>10</v>
      </c>
      <c r="G29" s="5" t="str">
        <f aca="true">IF($F29=0,"NA",IF($A29=INDIRECT("'"&amp;$A29&amp;"'!$B$1"),IF(VLOOKUP(G$1,INDIRECT("'"&amp;$A29&amp;"'!$A$12:$Z$19"),MATCH("Points (Auto-generate)",INDIRECT("'"&amp;$A29&amp;"'!$A$12:$Z$12"),0),0)="","?",VLOOKUP(G$1,INDIRECT("'"&amp;$A29&amp;"'!$A$12:$Z$19"),MATCH("Points (Auto-generate)",INDIRECT("'"&amp;$A29&amp;"'!$A$12:$Z$12"),0),0)),"ER"))</f>
        <v>?</v>
      </c>
      <c r="H29" s="5" t="str">
        <f aca="true">IF($F29=0,"NA",IF($A29=INDIRECT("'"&amp;$A29&amp;"'!$B$1"),IF(VLOOKUP(H$1,INDIRECT("'"&amp;$A29&amp;"'!$A$12:$Z$19"),MATCH("Points (Auto-generate)",INDIRECT("'"&amp;$A29&amp;"'!$A$12:$Z$12"),0),0)="","?",VLOOKUP(H$1,INDIRECT("'"&amp;$A29&amp;"'!$A$12:$Z$19"),MATCH("Points (Auto-generate)",INDIRECT("'"&amp;$A29&amp;"'!$A$12:$Z$12"),0),0)),"ER"))</f>
        <v>?</v>
      </c>
      <c r="I29" s="5" t="str">
        <f aca="true">IF($F29=0,"NA",IF($A29=INDIRECT("'"&amp;$A29&amp;"'!$B$1"),IF(VLOOKUP(I$1,INDIRECT("'"&amp;$A29&amp;"'!$A$12:$Z$19"),MATCH("Points (Auto-generate)",INDIRECT("'"&amp;$A29&amp;"'!$A$12:$Z$12"),0),0)="","?",VLOOKUP(I$1,INDIRECT("'"&amp;$A29&amp;"'!$A$12:$Z$19"),MATCH("Points (Auto-generate)",INDIRECT("'"&amp;$A29&amp;"'!$A$12:$Z$12"),0),0)),"ER"))</f>
        <v>?</v>
      </c>
      <c r="J29" s="5" t="str">
        <f aca="true">IF($F29=0,"NA",IF($A29=INDIRECT("'"&amp;$A29&amp;"'!$B$1"),IF(VLOOKUP(J$1,INDIRECT("'"&amp;$A29&amp;"'!$A$12:$Z$19"),MATCH("Points (Auto-generate)",INDIRECT("'"&amp;$A29&amp;"'!$A$12:$Z$12"),0),0)="","?",VLOOKUP(J$1,INDIRECT("'"&amp;$A29&amp;"'!$A$12:$Z$19"),MATCH("Points (Auto-generate)",INDIRECT("'"&amp;$A29&amp;"'!$A$12:$Z$12"),0),0)),"ER"))</f>
        <v>?</v>
      </c>
      <c r="K29" s="5" t="str">
        <f aca="true">IF($F29=0,"NA",IF($A29=INDIRECT("'"&amp;$A29&amp;"'!$B$1"),IF(VLOOKUP(K$1,INDIRECT("'"&amp;$A29&amp;"'!$A$12:$Z$19"),MATCH("Points (Auto-generate)",INDIRECT("'"&amp;$A29&amp;"'!$A$12:$Z$12"),0),0)="","?",VLOOKUP(K$1,INDIRECT("'"&amp;$A29&amp;"'!$A$12:$Z$19"),MATCH("Points (Auto-generate)",INDIRECT("'"&amp;$A29&amp;"'!$A$12:$Z$12"),0),0)),"ER"))</f>
        <v>?</v>
      </c>
      <c r="L29" s="5" t="str">
        <f aca="true">IF($F29=0,"NA",IF($A29=INDIRECT("'"&amp;$A29&amp;"'!$B$1"),IF(VLOOKUP(L$1,INDIRECT("'"&amp;$A29&amp;"'!$A$12:$Z$19"),MATCH("Points (Auto-generate)",INDIRECT("'"&amp;$A29&amp;"'!$A$12:$Z$12"),0),0)="","?",VLOOKUP(L$1,INDIRECT("'"&amp;$A29&amp;"'!$A$12:$Z$19"),MATCH("Points (Auto-generate)",INDIRECT("'"&amp;$A29&amp;"'!$A$12:$Z$12"),0),0)),"ER"))</f>
        <v>?</v>
      </c>
      <c r="M29" s="5" t="str">
        <f aca="true">IF($F29=0,"NA",IF($A29=INDIRECT("'"&amp;$A29&amp;"'!$B$1"),IF(VLOOKUP(M$1,INDIRECT("'"&amp;$A29&amp;"'!$A$12:$Z$19"),MATCH("Points (Auto-generate)",INDIRECT("'"&amp;$A29&amp;"'!$A$12:$Z$12"),0),0)="","?",VLOOKUP(M$1,INDIRECT("'"&amp;$A29&amp;"'!$A$12:$Z$19"),MATCH("Points (Auto-generate)",INDIRECT("'"&amp;$A29&amp;"'!$A$12:$Z$12"),0),0)),"ER"))</f>
        <v>?</v>
      </c>
    </row>
    <row r="30" customFormat="false" ht="15" hidden="false" customHeight="true" outlineLevel="0" collapsed="false">
      <c r="A30" s="5" t="s">
        <v>53</v>
      </c>
      <c r="B30" s="5" t="str">
        <f aca="false">VLOOKUP($A30,'PARASTATAL Questions'!$A:$J,3,0)&amp;""</f>
        <v>Decentralised Participatory Governance</v>
      </c>
      <c r="C30" s="5" t="str">
        <f aca="false">VLOOKUP($A30,'PARASTATAL Questions'!$A:$J,4,0)&amp;""</f>
        <v>MQ</v>
      </c>
      <c r="D30" s="5" t="str">
        <f aca="false">VLOOKUP($A30,'PARASTATAL Questions'!$A:$J,5,0)&amp;""</f>
        <v>Are the parastatal's key financial, operational, and civic data/information available on the website and published in accessible, open-data formats?</v>
      </c>
      <c r="E30" s="5" t="str">
        <f aca="false">VLOOKUP($A30,'PARASTATAL Questions'!$A:$J,7,0)&amp;""</f>
        <v>Implementation</v>
      </c>
      <c r="F30" s="5" t="n">
        <f aca="false">VLOOKUP($A30,'PARASTATAL Questions'!$A:$J,6,0)</f>
        <v>10</v>
      </c>
      <c r="G30" s="5" t="str">
        <f aca="false">IF(OR(G31="ER",G32="ER",G33="ER",G34="ER",G35="ER",G36="ER",G37="ER",G38="ER",G39="ER",G40="ER"),"ER",IF(OR(G31="?",G32="?",G33="?",G34="?",G35="?",G36="?",G37="?",G38="?",G39="?",G40="?"),"?",IF(AND(G31="NA",G32="NA",G33="NA",G34="NA",G35="NA",G36="NA",G37="NA",G38="NA",G39="NA",G40="NA"),"NA",SUM(G31,G32,G33,G34,G35,G36,G37,G38,G39,G40)/((G31&lt;&gt;"NA")*$F$31+(G32&lt;&gt;"NA")*$F$32+(G33&lt;&gt;"NA")*$F$33+(G34&lt;&gt;"NA")*$F$34+(G35&lt;&gt;"NA")*$F$35+(G36&lt;&gt;"NA")*$F$36+(G37&lt;&gt;"NA")*$F$37+(G38&lt;&gt;"NA")*$F$38+(G39&lt;&gt;"NA")*$F$39+(G40&lt;&gt;"NA")*$F$40)*$F30)))</f>
        <v>?</v>
      </c>
      <c r="H30" s="5" t="str">
        <f aca="false">IF(OR(H31="ER",H32="ER",H33="ER",H34="ER",H35="ER",H36="ER",H37="ER",H38="ER",H39="ER",H40="ER"),"ER",IF(OR(H31="?",H32="?",H33="?",H34="?",H35="?",H36="?",H37="?",H38="?",H39="?",H40="?"),"?",IF(AND(H31="NA",H32="NA",H33="NA",H34="NA",H35="NA",H36="NA",H37="NA",H38="NA",H39="NA",H40="NA"),"NA",SUM(H31,H32,H33,H34,H35,H36,H37,H38,H39,H40)/((H31&lt;&gt;"NA")*$F$31+(H32&lt;&gt;"NA")*$F$32+(H33&lt;&gt;"NA")*$F$33+(H34&lt;&gt;"NA")*$F$34+(H35&lt;&gt;"NA")*$F$35+(H36&lt;&gt;"NA")*$F$36+(H37&lt;&gt;"NA")*$F$37+(H38&lt;&gt;"NA")*$F$38+(H39&lt;&gt;"NA")*$F$39+(H40&lt;&gt;"NA")*$F$40)*$F30)))</f>
        <v>?</v>
      </c>
      <c r="I30" s="5" t="str">
        <f aca="false">IF(OR(I31="ER",I32="ER",I33="ER",I34="ER",I35="ER",I36="ER",I37="ER",I38="ER",I39="ER",I40="ER"),"ER",IF(OR(I31="?",I32="?",I33="?",I34="?",I35="?",I36="?",I37="?",I38="?",I39="?",I40="?"),"?",IF(AND(I31="NA",I32="NA",I33="NA",I34="NA",I35="NA",I36="NA",I37="NA",I38="NA",I39="NA",I40="NA"),"NA",SUM(I31,I32,I33,I34,I35,I36,I37,I38,I39,I40)/((I31&lt;&gt;"NA")*$F$31+(I32&lt;&gt;"NA")*$F$32+(I33&lt;&gt;"NA")*$F$33+(I34&lt;&gt;"NA")*$F$34+(I35&lt;&gt;"NA")*$F$35+(I36&lt;&gt;"NA")*$F$36+(I37&lt;&gt;"NA")*$F$37+(I38&lt;&gt;"NA")*$F$38+(I39&lt;&gt;"NA")*$F$39+(I40&lt;&gt;"NA")*$F$40)*$F30)))</f>
        <v>?</v>
      </c>
      <c r="J30" s="5" t="str">
        <f aca="false">IF(OR(J31="ER",J32="ER",J33="ER",J34="ER",J35="ER",J36="ER",J37="ER",J38="ER",J39="ER",J40="ER"),"ER",IF(OR(J31="?",J32="?",J33="?",J34="?",J35="?",J36="?",J37="?",J38="?",J39="?",J40="?"),"?",IF(AND(J31="NA",J32="NA",J33="NA",J34="NA",J35="NA",J36="NA",J37="NA",J38="NA",J39="NA",J40="NA"),"NA",SUM(J31,J32,J33,J34,J35,J36,J37,J38,J39,J40)/((J31&lt;&gt;"NA")*$F$31+(J32&lt;&gt;"NA")*$F$32+(J33&lt;&gt;"NA")*$F$33+(J34&lt;&gt;"NA")*$F$34+(J35&lt;&gt;"NA")*$F$35+(J36&lt;&gt;"NA")*$F$36+(J37&lt;&gt;"NA")*$F$37+(J38&lt;&gt;"NA")*$F$38+(J39&lt;&gt;"NA")*$F$39+(J40&lt;&gt;"NA")*$F$40)*$F30)))</f>
        <v>?</v>
      </c>
      <c r="K30" s="5" t="str">
        <f aca="false">IF(OR(K31="ER",K32="ER",K33="ER",K34="ER",K35="ER",K36="ER",K37="ER",K38="ER",K39="ER",K40="ER"),"ER",IF(OR(K31="?",K32="?",K33="?",K34="?",K35="?",K36="?",K37="?",K38="?",K39="?",K40="?"),"?",IF(AND(K31="NA",K32="NA",K33="NA",K34="NA",K35="NA",K36="NA",K37="NA",K38="NA",K39="NA",K40="NA"),"NA",SUM(K31,K32,K33,K34,K35,K36,K37,K38,K39,K40)/((K31&lt;&gt;"NA")*$F$31+(K32&lt;&gt;"NA")*$F$32+(K33&lt;&gt;"NA")*$F$33+(K34&lt;&gt;"NA")*$F$34+(K35&lt;&gt;"NA")*$F$35+(K36&lt;&gt;"NA")*$F$36+(K37&lt;&gt;"NA")*$F$37+(K38&lt;&gt;"NA")*$F$38+(K39&lt;&gt;"NA")*$F$39+(K40&lt;&gt;"NA")*$F$40)*$F30)))</f>
        <v>?</v>
      </c>
      <c r="L30" s="5" t="str">
        <f aca="false">IF(OR(L31="ER",L32="ER",L33="ER",L34="ER",L35="ER",L36="ER",L37="ER",L38="ER",L39="ER",L40="ER"),"ER",IF(OR(L31="?",L32="?",L33="?",L34="?",L35="?",L36="?",L37="?",L38="?",L39="?",L40="?"),"?",IF(AND(L31="NA",L32="NA",L33="NA",L34="NA",L35="NA",L36="NA",L37="NA",L38="NA",L39="NA",L40="NA"),"NA",SUM(L31,L32,L33,L34,L35,L36,L37,L38,L39,L40)/((L31&lt;&gt;"NA")*$F$31+(L32&lt;&gt;"NA")*$F$32+(L33&lt;&gt;"NA")*$F$33+(L34&lt;&gt;"NA")*$F$34+(L35&lt;&gt;"NA")*$F$35+(L36&lt;&gt;"NA")*$F$36+(L37&lt;&gt;"NA")*$F$37+(L38&lt;&gt;"NA")*$F$38+(L39&lt;&gt;"NA")*$F$39+(L40&lt;&gt;"NA")*$F$40)*$F30)))</f>
        <v>?</v>
      </c>
      <c r="M30" s="5" t="str">
        <f aca="false">IF(OR(M31="ER",M32="ER",M33="ER",M34="ER",M35="ER",M36="ER",M37="ER",M38="ER",M39="ER",M40="ER"),"ER",IF(OR(M31="?",M32="?",M33="?",M34="?",M35="?",M36="?",M37="?",M38="?",M39="?",M40="?"),"?",IF(AND(M31="NA",M32="NA",M33="NA",M34="NA",M35="NA",M36="NA",M37="NA",M38="NA",M39="NA",M40="NA"),"NA",SUM(M31,M32,M33,M34,M35,M36,M37,M38,M39,M40)/((M31&lt;&gt;"NA")*$F$31+(M32&lt;&gt;"NA")*$F$32+(M33&lt;&gt;"NA")*$F$33+(M34&lt;&gt;"NA")*$F$34+(M35&lt;&gt;"NA")*$F$35+(M36&lt;&gt;"NA")*$F$36+(M37&lt;&gt;"NA")*$F$37+(M38&lt;&gt;"NA")*$F$38+(M39&lt;&gt;"NA")*$F$39+(M40&lt;&gt;"NA")*$F$40)*$F30)))</f>
        <v>?</v>
      </c>
    </row>
    <row r="31" customFormat="false" ht="15" hidden="false" customHeight="true" outlineLevel="0" collapsed="false">
      <c r="A31" s="1" t="s">
        <v>54</v>
      </c>
      <c r="B31" s="1" t="str">
        <f aca="false">VLOOKUP($A31,'PARASTATAL Questions'!$A:$J,3,0)&amp;""</f>
        <v>Decentralised Participatory Governance</v>
      </c>
      <c r="C31" s="1" t="str">
        <f aca="false">VLOOKUP($A31,'PARASTATAL Questions'!$A:$J,4,0)&amp;""</f>
        <v>SQ</v>
      </c>
      <c r="D31" s="1" t="str">
        <f aca="false">VLOOKUP($A31,'PARASTATAL Questions'!$A:$J,5,0)&amp;""</f>
        <v>Annual budget</v>
      </c>
      <c r="E31" s="1" t="str">
        <f aca="false">VLOOKUP($A31,'PARASTATAL Questions'!$A:$J,7,0)&amp;""</f>
        <v>Implementation</v>
      </c>
      <c r="F31" s="1" t="n">
        <f aca="false">VLOOKUP($A31,'PARASTATAL Questions'!$A:$J,6,0)</f>
        <v>1</v>
      </c>
      <c r="G31" s="1" t="str">
        <f aca="true">IF($F31=0,"NA",IF($A31=INDIRECT("'"&amp;$A31&amp;"'!$B$1"),IF(VLOOKUP(G$1,INDIRECT("'"&amp;$A31&amp;"'!$A$12:$Z$19"),MATCH("Points (Auto-generate)",INDIRECT("'"&amp;$A31&amp;"'!$A$12:$Z$12"),0),0)="","?",VLOOKUP(G$1,INDIRECT("'"&amp;$A31&amp;"'!$A$12:$Z$19"),MATCH("Points (Auto-generate)",INDIRECT("'"&amp;$A31&amp;"'!$A$12:$Z$12"),0),0)),"ER"))</f>
        <v>?</v>
      </c>
      <c r="H31" s="1" t="str">
        <f aca="true">IF($F31=0,"NA",IF($A31=INDIRECT("'"&amp;$A31&amp;"'!$B$1"),IF(VLOOKUP(H$1,INDIRECT("'"&amp;$A31&amp;"'!$A$12:$Z$19"),MATCH("Points (Auto-generate)",INDIRECT("'"&amp;$A31&amp;"'!$A$12:$Z$12"),0),0)="","?",VLOOKUP(H$1,INDIRECT("'"&amp;$A31&amp;"'!$A$12:$Z$19"),MATCH("Points (Auto-generate)",INDIRECT("'"&amp;$A31&amp;"'!$A$12:$Z$12"),0),0)),"ER"))</f>
        <v>?</v>
      </c>
      <c r="I31" s="1" t="str">
        <f aca="true">IF($F31=0,"NA",IF($A31=INDIRECT("'"&amp;$A31&amp;"'!$B$1"),IF(VLOOKUP(I$1,INDIRECT("'"&amp;$A31&amp;"'!$A$12:$Z$19"),MATCH("Points (Auto-generate)",INDIRECT("'"&amp;$A31&amp;"'!$A$12:$Z$12"),0),0)="","?",VLOOKUP(I$1,INDIRECT("'"&amp;$A31&amp;"'!$A$12:$Z$19"),MATCH("Points (Auto-generate)",INDIRECT("'"&amp;$A31&amp;"'!$A$12:$Z$12"),0),0)),"ER"))</f>
        <v>?</v>
      </c>
      <c r="J31" s="1" t="str">
        <f aca="true">IF($F31=0,"NA",IF($A31=INDIRECT("'"&amp;$A31&amp;"'!$B$1"),IF(VLOOKUP(J$1,INDIRECT("'"&amp;$A31&amp;"'!$A$12:$Z$19"),MATCH("Points (Auto-generate)",INDIRECT("'"&amp;$A31&amp;"'!$A$12:$Z$12"),0),0)="","?",VLOOKUP(J$1,INDIRECT("'"&amp;$A31&amp;"'!$A$12:$Z$19"),MATCH("Points (Auto-generate)",INDIRECT("'"&amp;$A31&amp;"'!$A$12:$Z$12"),0),0)),"ER"))</f>
        <v>?</v>
      </c>
      <c r="K31" s="1" t="str">
        <f aca="true">IF($F31=0,"NA",IF($A31=INDIRECT("'"&amp;$A31&amp;"'!$B$1"),IF(VLOOKUP(K$1,INDIRECT("'"&amp;$A31&amp;"'!$A$12:$Z$19"),MATCH("Points (Auto-generate)",INDIRECT("'"&amp;$A31&amp;"'!$A$12:$Z$12"),0),0)="","?",VLOOKUP(K$1,INDIRECT("'"&amp;$A31&amp;"'!$A$12:$Z$19"),MATCH("Points (Auto-generate)",INDIRECT("'"&amp;$A31&amp;"'!$A$12:$Z$12"),0),0)),"ER"))</f>
        <v>?</v>
      </c>
      <c r="L31" s="1" t="str">
        <f aca="true">IF($F31=0,"NA",IF($A31=INDIRECT("'"&amp;$A31&amp;"'!$B$1"),IF(VLOOKUP(L$1,INDIRECT("'"&amp;$A31&amp;"'!$A$12:$Z$19"),MATCH("Points (Auto-generate)",INDIRECT("'"&amp;$A31&amp;"'!$A$12:$Z$12"),0),0)="","?",VLOOKUP(L$1,INDIRECT("'"&amp;$A31&amp;"'!$A$12:$Z$19"),MATCH("Points (Auto-generate)",INDIRECT("'"&amp;$A31&amp;"'!$A$12:$Z$12"),0),0)),"ER"))</f>
        <v>?</v>
      </c>
      <c r="M31" s="1" t="str">
        <f aca="true">IF($F31=0,"NA",IF($A31=INDIRECT("'"&amp;$A31&amp;"'!$B$1"),IF(VLOOKUP(M$1,INDIRECT("'"&amp;$A31&amp;"'!$A$12:$Z$19"),MATCH("Points (Auto-generate)",INDIRECT("'"&amp;$A31&amp;"'!$A$12:$Z$12"),0),0)="","?",VLOOKUP(M$1,INDIRECT("'"&amp;$A31&amp;"'!$A$12:$Z$19"),MATCH("Points (Auto-generate)",INDIRECT("'"&amp;$A31&amp;"'!$A$12:$Z$12"),0),0)),"ER"))</f>
        <v>?</v>
      </c>
    </row>
    <row r="32" customFormat="false" ht="15" hidden="false" customHeight="true" outlineLevel="0" collapsed="false">
      <c r="A32" s="1" t="s">
        <v>55</v>
      </c>
      <c r="B32" s="1" t="str">
        <f aca="false">VLOOKUP($A32,'PARASTATAL Questions'!$A:$J,3,0)&amp;""</f>
        <v>Decentralised Participatory Governance</v>
      </c>
      <c r="C32" s="1" t="str">
        <f aca="false">VLOOKUP($A32,'PARASTATAL Questions'!$A:$J,4,0)&amp;""</f>
        <v>SQ</v>
      </c>
      <c r="D32" s="1" t="str">
        <f aca="false">VLOOKUP($A32,'PARASTATAL Questions'!$A:$J,5,0)&amp;""</f>
        <v>Audited annual account</v>
      </c>
      <c r="E32" s="1" t="str">
        <f aca="false">VLOOKUP($A32,'PARASTATAL Questions'!$A:$J,7,0)&amp;""</f>
        <v>Implementation</v>
      </c>
      <c r="F32" s="1" t="n">
        <f aca="false">VLOOKUP($A32,'PARASTATAL Questions'!$A:$J,6,0)</f>
        <v>1</v>
      </c>
      <c r="G32" s="1" t="str">
        <f aca="true">IF($F32=0,"NA",IF($A32=INDIRECT("'"&amp;$A32&amp;"'!$B$1"),IF(VLOOKUP(G$1,INDIRECT("'"&amp;$A32&amp;"'!$A$12:$Z$19"),MATCH("Points (Auto-generate)",INDIRECT("'"&amp;$A32&amp;"'!$A$12:$Z$12"),0),0)="","?",VLOOKUP(G$1,INDIRECT("'"&amp;$A32&amp;"'!$A$12:$Z$19"),MATCH("Points (Auto-generate)",INDIRECT("'"&amp;$A32&amp;"'!$A$12:$Z$12"),0),0)),"ER"))</f>
        <v>?</v>
      </c>
      <c r="H32" s="1" t="str">
        <f aca="true">IF($F32=0,"NA",IF($A32=INDIRECT("'"&amp;$A32&amp;"'!$B$1"),IF(VLOOKUP(H$1,INDIRECT("'"&amp;$A32&amp;"'!$A$12:$Z$19"),MATCH("Points (Auto-generate)",INDIRECT("'"&amp;$A32&amp;"'!$A$12:$Z$12"),0),0)="","?",VLOOKUP(H$1,INDIRECT("'"&amp;$A32&amp;"'!$A$12:$Z$19"),MATCH("Points (Auto-generate)",INDIRECT("'"&amp;$A32&amp;"'!$A$12:$Z$12"),0),0)),"ER"))</f>
        <v>?</v>
      </c>
      <c r="I32" s="1" t="str">
        <f aca="true">IF($F32=0,"NA",IF($A32=INDIRECT("'"&amp;$A32&amp;"'!$B$1"),IF(VLOOKUP(I$1,INDIRECT("'"&amp;$A32&amp;"'!$A$12:$Z$19"),MATCH("Points (Auto-generate)",INDIRECT("'"&amp;$A32&amp;"'!$A$12:$Z$12"),0),0)="","?",VLOOKUP(I$1,INDIRECT("'"&amp;$A32&amp;"'!$A$12:$Z$19"),MATCH("Points (Auto-generate)",INDIRECT("'"&amp;$A32&amp;"'!$A$12:$Z$12"),0),0)),"ER"))</f>
        <v>?</v>
      </c>
      <c r="J32" s="1" t="str">
        <f aca="true">IF($F32=0,"NA",IF($A32=INDIRECT("'"&amp;$A32&amp;"'!$B$1"),IF(VLOOKUP(J$1,INDIRECT("'"&amp;$A32&amp;"'!$A$12:$Z$19"),MATCH("Points (Auto-generate)",INDIRECT("'"&amp;$A32&amp;"'!$A$12:$Z$12"),0),0)="","?",VLOOKUP(J$1,INDIRECT("'"&amp;$A32&amp;"'!$A$12:$Z$19"),MATCH("Points (Auto-generate)",INDIRECT("'"&amp;$A32&amp;"'!$A$12:$Z$12"),0),0)),"ER"))</f>
        <v>?</v>
      </c>
      <c r="K32" s="1" t="str">
        <f aca="true">IF($F32=0,"NA",IF($A32=INDIRECT("'"&amp;$A32&amp;"'!$B$1"),IF(VLOOKUP(K$1,INDIRECT("'"&amp;$A32&amp;"'!$A$12:$Z$19"),MATCH("Points (Auto-generate)",INDIRECT("'"&amp;$A32&amp;"'!$A$12:$Z$12"),0),0)="","?",VLOOKUP(K$1,INDIRECT("'"&amp;$A32&amp;"'!$A$12:$Z$19"),MATCH("Points (Auto-generate)",INDIRECT("'"&amp;$A32&amp;"'!$A$12:$Z$12"),0),0)),"ER"))</f>
        <v>?</v>
      </c>
      <c r="L32" s="1" t="str">
        <f aca="true">IF($F32=0,"NA",IF($A32=INDIRECT("'"&amp;$A32&amp;"'!$B$1"),IF(VLOOKUP(L$1,INDIRECT("'"&amp;$A32&amp;"'!$A$12:$Z$19"),MATCH("Points (Auto-generate)",INDIRECT("'"&amp;$A32&amp;"'!$A$12:$Z$12"),0),0)="","?",VLOOKUP(L$1,INDIRECT("'"&amp;$A32&amp;"'!$A$12:$Z$19"),MATCH("Points (Auto-generate)",INDIRECT("'"&amp;$A32&amp;"'!$A$12:$Z$12"),0),0)),"ER"))</f>
        <v>?</v>
      </c>
      <c r="M32" s="1" t="str">
        <f aca="true">IF($F32=0,"NA",IF($A32=INDIRECT("'"&amp;$A32&amp;"'!$B$1"),IF(VLOOKUP(M$1,INDIRECT("'"&amp;$A32&amp;"'!$A$12:$Z$19"),MATCH("Points (Auto-generate)",INDIRECT("'"&amp;$A32&amp;"'!$A$12:$Z$12"),0),0)="","?",VLOOKUP(M$1,INDIRECT("'"&amp;$A32&amp;"'!$A$12:$Z$19"),MATCH("Points (Auto-generate)",INDIRECT("'"&amp;$A32&amp;"'!$A$12:$Z$12"),0),0)),"ER"))</f>
        <v>?</v>
      </c>
    </row>
    <row r="33" customFormat="false" ht="15" hidden="false" customHeight="true" outlineLevel="0" collapsed="false">
      <c r="A33" s="1" t="s">
        <v>56</v>
      </c>
      <c r="B33" s="1" t="str">
        <f aca="false">VLOOKUP($A33,'PARASTATAL Questions'!$A:$J,3,0)&amp;""</f>
        <v>Decentralised Participatory Governance</v>
      </c>
      <c r="C33" s="1" t="str">
        <f aca="false">VLOOKUP($A33,'PARASTATAL Questions'!$A:$J,4,0)&amp;""</f>
        <v>SQ</v>
      </c>
      <c r="D33" s="1" t="str">
        <f aca="false">VLOOKUP($A33,'PARASTATAL Questions'!$A:$J,5,0)&amp;""</f>
        <v>Annual report</v>
      </c>
      <c r="E33" s="1" t="str">
        <f aca="false">VLOOKUP($A33,'PARASTATAL Questions'!$A:$J,7,0)&amp;""</f>
        <v>Implementation</v>
      </c>
      <c r="F33" s="1" t="n">
        <f aca="false">VLOOKUP($A33,'PARASTATAL Questions'!$A:$J,6,0)</f>
        <v>1</v>
      </c>
      <c r="G33" s="1" t="str">
        <f aca="true">IF($F33=0,"NA",IF($A33=INDIRECT("'"&amp;$A33&amp;"'!$B$1"),IF(VLOOKUP(G$1,INDIRECT("'"&amp;$A33&amp;"'!$A$12:$Z$19"),MATCH("Points (Auto-generate)",INDIRECT("'"&amp;$A33&amp;"'!$A$12:$Z$12"),0),0)="","?",VLOOKUP(G$1,INDIRECT("'"&amp;$A33&amp;"'!$A$12:$Z$19"),MATCH("Points (Auto-generate)",INDIRECT("'"&amp;$A33&amp;"'!$A$12:$Z$12"),0),0)),"ER"))</f>
        <v>?</v>
      </c>
      <c r="H33" s="1" t="str">
        <f aca="true">IF($F33=0,"NA",IF($A33=INDIRECT("'"&amp;$A33&amp;"'!$B$1"),IF(VLOOKUP(H$1,INDIRECT("'"&amp;$A33&amp;"'!$A$12:$Z$19"),MATCH("Points (Auto-generate)",INDIRECT("'"&amp;$A33&amp;"'!$A$12:$Z$12"),0),0)="","?",VLOOKUP(H$1,INDIRECT("'"&amp;$A33&amp;"'!$A$12:$Z$19"),MATCH("Points (Auto-generate)",INDIRECT("'"&amp;$A33&amp;"'!$A$12:$Z$12"),0),0)),"ER"))</f>
        <v>?</v>
      </c>
      <c r="I33" s="1" t="str">
        <f aca="true">IF($F33=0,"NA",IF($A33=INDIRECT("'"&amp;$A33&amp;"'!$B$1"),IF(VLOOKUP(I$1,INDIRECT("'"&amp;$A33&amp;"'!$A$12:$Z$19"),MATCH("Points (Auto-generate)",INDIRECT("'"&amp;$A33&amp;"'!$A$12:$Z$12"),0),0)="","?",VLOOKUP(I$1,INDIRECT("'"&amp;$A33&amp;"'!$A$12:$Z$19"),MATCH("Points (Auto-generate)",INDIRECT("'"&amp;$A33&amp;"'!$A$12:$Z$12"),0),0)),"ER"))</f>
        <v>?</v>
      </c>
      <c r="J33" s="1" t="str">
        <f aca="true">IF($F33=0,"NA",IF($A33=INDIRECT("'"&amp;$A33&amp;"'!$B$1"),IF(VLOOKUP(J$1,INDIRECT("'"&amp;$A33&amp;"'!$A$12:$Z$19"),MATCH("Points (Auto-generate)",INDIRECT("'"&amp;$A33&amp;"'!$A$12:$Z$12"),0),0)="","?",VLOOKUP(J$1,INDIRECT("'"&amp;$A33&amp;"'!$A$12:$Z$19"),MATCH("Points (Auto-generate)",INDIRECT("'"&amp;$A33&amp;"'!$A$12:$Z$12"),0),0)),"ER"))</f>
        <v>?</v>
      </c>
      <c r="K33" s="1" t="n">
        <f aca="true">IF($F33=0,"NA",IF($A33=INDIRECT("'"&amp;$A33&amp;"'!$B$1"),IF(VLOOKUP(K$1,INDIRECT("'"&amp;$A33&amp;"'!$A$12:$Z$19"),MATCH("Points (Auto-generate)",INDIRECT("'"&amp;$A33&amp;"'!$A$12:$Z$12"),0),0)="","?",VLOOKUP(K$1,INDIRECT("'"&amp;$A33&amp;"'!$A$12:$Z$19"),MATCH("Points (Auto-generate)",INDIRECT("'"&amp;$A33&amp;"'!$A$12:$Z$12"),0),0)),"ER"))</f>
        <v>0</v>
      </c>
      <c r="L33" s="1" t="str">
        <f aca="true">IF($F33=0,"NA",IF($A33=INDIRECT("'"&amp;$A33&amp;"'!$B$1"),IF(VLOOKUP(L$1,INDIRECT("'"&amp;$A33&amp;"'!$A$12:$Z$19"),MATCH("Points (Auto-generate)",INDIRECT("'"&amp;$A33&amp;"'!$A$12:$Z$12"),0),0)="","?",VLOOKUP(L$1,INDIRECT("'"&amp;$A33&amp;"'!$A$12:$Z$19"),MATCH("Points (Auto-generate)",INDIRECT("'"&amp;$A33&amp;"'!$A$12:$Z$12"),0),0)),"ER"))</f>
        <v>?</v>
      </c>
      <c r="M33" s="1" t="str">
        <f aca="true">IF($F33=0,"NA",IF($A33=INDIRECT("'"&amp;$A33&amp;"'!$B$1"),IF(VLOOKUP(M$1,INDIRECT("'"&amp;$A33&amp;"'!$A$12:$Z$19"),MATCH("Points (Auto-generate)",INDIRECT("'"&amp;$A33&amp;"'!$A$12:$Z$12"),0),0)="","?",VLOOKUP(M$1,INDIRECT("'"&amp;$A33&amp;"'!$A$12:$Z$19"),MATCH("Points (Auto-generate)",INDIRECT("'"&amp;$A33&amp;"'!$A$12:$Z$12"),0),0)),"ER"))</f>
        <v>?</v>
      </c>
    </row>
    <row r="34" customFormat="false" ht="15" hidden="false" customHeight="true" outlineLevel="0" collapsed="false">
      <c r="A34" s="1" t="s">
        <v>57</v>
      </c>
      <c r="B34" s="1" t="str">
        <f aca="false">VLOOKUP($A34,'PARASTATAL Questions'!$A:$J,3,0)&amp;""</f>
        <v>Decentralised Participatory Governance</v>
      </c>
      <c r="C34" s="1" t="str">
        <f aca="false">VLOOKUP($A34,'PARASTATAL Questions'!$A:$J,4,0)&amp;""</f>
        <v>SQ</v>
      </c>
      <c r="D34" s="1" t="str">
        <f aca="false">VLOOKUP($A34,'PARASTATAL Questions'!$A:$J,5,0)&amp;""</f>
        <v>Annual Audit Report</v>
      </c>
      <c r="E34" s="1" t="str">
        <f aca="false">VLOOKUP($A34,'PARASTATAL Questions'!$A:$J,7,0)&amp;""</f>
        <v>Implementation</v>
      </c>
      <c r="F34" s="1" t="n">
        <f aca="false">VLOOKUP($A34,'PARASTATAL Questions'!$A:$J,6,0)</f>
        <v>1</v>
      </c>
      <c r="G34" s="1" t="str">
        <f aca="true">IF($F34=0,"NA",IF($A34=INDIRECT("'"&amp;$A34&amp;"'!$B$1"),IF(VLOOKUP(G$1,INDIRECT("'"&amp;$A34&amp;"'!$A$12:$Z$19"),MATCH("Points (Auto-generate)",INDIRECT("'"&amp;$A34&amp;"'!$A$12:$Z$12"),0),0)="","?",VLOOKUP(G$1,INDIRECT("'"&amp;$A34&amp;"'!$A$12:$Z$19"),MATCH("Points (Auto-generate)",INDIRECT("'"&amp;$A34&amp;"'!$A$12:$Z$12"),0),0)),"ER"))</f>
        <v>?</v>
      </c>
      <c r="H34" s="1" t="str">
        <f aca="true">IF($F34=0,"NA",IF($A34=INDIRECT("'"&amp;$A34&amp;"'!$B$1"),IF(VLOOKUP(H$1,INDIRECT("'"&amp;$A34&amp;"'!$A$12:$Z$19"),MATCH("Points (Auto-generate)",INDIRECT("'"&amp;$A34&amp;"'!$A$12:$Z$12"),0),0)="","?",VLOOKUP(H$1,INDIRECT("'"&amp;$A34&amp;"'!$A$12:$Z$19"),MATCH("Points (Auto-generate)",INDIRECT("'"&amp;$A34&amp;"'!$A$12:$Z$12"),0),0)),"ER"))</f>
        <v>?</v>
      </c>
      <c r="I34" s="1" t="str">
        <f aca="true">IF($F34=0,"NA",IF($A34=INDIRECT("'"&amp;$A34&amp;"'!$B$1"),IF(VLOOKUP(I$1,INDIRECT("'"&amp;$A34&amp;"'!$A$12:$Z$19"),MATCH("Points (Auto-generate)",INDIRECT("'"&amp;$A34&amp;"'!$A$12:$Z$12"),0),0)="","?",VLOOKUP(I$1,INDIRECT("'"&amp;$A34&amp;"'!$A$12:$Z$19"),MATCH("Points (Auto-generate)",INDIRECT("'"&amp;$A34&amp;"'!$A$12:$Z$12"),0),0)),"ER"))</f>
        <v>?</v>
      </c>
      <c r="J34" s="1" t="str">
        <f aca="true">IF($F34=0,"NA",IF($A34=INDIRECT("'"&amp;$A34&amp;"'!$B$1"),IF(VLOOKUP(J$1,INDIRECT("'"&amp;$A34&amp;"'!$A$12:$Z$19"),MATCH("Points (Auto-generate)",INDIRECT("'"&amp;$A34&amp;"'!$A$12:$Z$12"),0),0)="","?",VLOOKUP(J$1,INDIRECT("'"&amp;$A34&amp;"'!$A$12:$Z$19"),MATCH("Points (Auto-generate)",INDIRECT("'"&amp;$A34&amp;"'!$A$12:$Z$12"),0),0)),"ER"))</f>
        <v>?</v>
      </c>
      <c r="K34" s="1" t="str">
        <f aca="true">IF($F34=0,"NA",IF($A34=INDIRECT("'"&amp;$A34&amp;"'!$B$1"),IF(VLOOKUP(K$1,INDIRECT("'"&amp;$A34&amp;"'!$A$12:$Z$19"),MATCH("Points (Auto-generate)",INDIRECT("'"&amp;$A34&amp;"'!$A$12:$Z$12"),0),0)="","?",VLOOKUP(K$1,INDIRECT("'"&amp;$A34&amp;"'!$A$12:$Z$19"),MATCH("Points (Auto-generate)",INDIRECT("'"&amp;$A34&amp;"'!$A$12:$Z$12"),0),0)),"ER"))</f>
        <v>?</v>
      </c>
      <c r="L34" s="1" t="str">
        <f aca="true">IF($F34=0,"NA",IF($A34=INDIRECT("'"&amp;$A34&amp;"'!$B$1"),IF(VLOOKUP(L$1,INDIRECT("'"&amp;$A34&amp;"'!$A$12:$Z$19"),MATCH("Points (Auto-generate)",INDIRECT("'"&amp;$A34&amp;"'!$A$12:$Z$12"),0),0)="","?",VLOOKUP(L$1,INDIRECT("'"&amp;$A34&amp;"'!$A$12:$Z$19"),MATCH("Points (Auto-generate)",INDIRECT("'"&amp;$A34&amp;"'!$A$12:$Z$12"),0),0)),"ER"))</f>
        <v>?</v>
      </c>
      <c r="M34" s="1" t="str">
        <f aca="true">IF($F34=0,"NA",IF($A34=INDIRECT("'"&amp;$A34&amp;"'!$B$1"),IF(VLOOKUP(M$1,INDIRECT("'"&amp;$A34&amp;"'!$A$12:$Z$19"),MATCH("Points (Auto-generate)",INDIRECT("'"&amp;$A34&amp;"'!$A$12:$Z$12"),0),0)="","?",VLOOKUP(M$1,INDIRECT("'"&amp;$A34&amp;"'!$A$12:$Z$19"),MATCH("Points (Auto-generate)",INDIRECT("'"&amp;$A34&amp;"'!$A$12:$Z$12"),0),0)),"ER"))</f>
        <v>?</v>
      </c>
    </row>
    <row r="35" customFormat="false" ht="15" hidden="false" customHeight="true" outlineLevel="0" collapsed="false">
      <c r="A35" s="1" t="s">
        <v>58</v>
      </c>
      <c r="B35" s="1" t="str">
        <f aca="false">VLOOKUP($A35,'PARASTATAL Questions'!$A:$J,3,0)&amp;""</f>
        <v>Decentralised Participatory Governance</v>
      </c>
      <c r="C35" s="1" t="str">
        <f aca="false">VLOOKUP($A35,'PARASTATAL Questions'!$A:$J,4,0)&amp;""</f>
        <v>SQ</v>
      </c>
      <c r="D35" s="1" t="str">
        <f aca="false">VLOOKUP($A35,'PARASTATAL Questions'!$A:$J,5,0)&amp;""</f>
        <v>Major plans / projects</v>
      </c>
      <c r="E35" s="1" t="str">
        <f aca="false">VLOOKUP($A35,'PARASTATAL Questions'!$A:$J,7,0)&amp;""</f>
        <v>Implementation</v>
      </c>
      <c r="F35" s="1" t="n">
        <f aca="false">VLOOKUP($A35,'PARASTATAL Questions'!$A:$J,6,0)</f>
        <v>1</v>
      </c>
      <c r="G35" s="1" t="str">
        <f aca="true">IF($F35=0,"NA",IF($A35=INDIRECT("'"&amp;$A35&amp;"'!$B$1"),IF(VLOOKUP(G$1,INDIRECT("'"&amp;$A35&amp;"'!$A$12:$Z$19"),MATCH("Points (Auto-generate)",INDIRECT("'"&amp;$A35&amp;"'!$A$12:$Z$12"),0),0)="","?",VLOOKUP(G$1,INDIRECT("'"&amp;$A35&amp;"'!$A$12:$Z$19"),MATCH("Points (Auto-generate)",INDIRECT("'"&amp;$A35&amp;"'!$A$12:$Z$12"),0),0)),"ER"))</f>
        <v>?</v>
      </c>
      <c r="H35" s="1" t="str">
        <f aca="true">IF($F35=0,"NA",IF($A35=INDIRECT("'"&amp;$A35&amp;"'!$B$1"),IF(VLOOKUP(H$1,INDIRECT("'"&amp;$A35&amp;"'!$A$12:$Z$19"),MATCH("Points (Auto-generate)",INDIRECT("'"&amp;$A35&amp;"'!$A$12:$Z$12"),0),0)="","?",VLOOKUP(H$1,INDIRECT("'"&amp;$A35&amp;"'!$A$12:$Z$19"),MATCH("Points (Auto-generate)",INDIRECT("'"&amp;$A35&amp;"'!$A$12:$Z$12"),0),0)),"ER"))</f>
        <v>?</v>
      </c>
      <c r="I35" s="1" t="str">
        <f aca="true">IF($F35=0,"NA",IF($A35=INDIRECT("'"&amp;$A35&amp;"'!$B$1"),IF(VLOOKUP(I$1,INDIRECT("'"&amp;$A35&amp;"'!$A$12:$Z$19"),MATCH("Points (Auto-generate)",INDIRECT("'"&amp;$A35&amp;"'!$A$12:$Z$12"),0),0)="","?",VLOOKUP(I$1,INDIRECT("'"&amp;$A35&amp;"'!$A$12:$Z$19"),MATCH("Points (Auto-generate)",INDIRECT("'"&amp;$A35&amp;"'!$A$12:$Z$12"),0),0)),"ER"))</f>
        <v>?</v>
      </c>
      <c r="J35" s="1" t="str">
        <f aca="true">IF($F35=0,"NA",IF($A35=INDIRECT("'"&amp;$A35&amp;"'!$B$1"),IF(VLOOKUP(J$1,INDIRECT("'"&amp;$A35&amp;"'!$A$12:$Z$19"),MATCH("Points (Auto-generate)",INDIRECT("'"&amp;$A35&amp;"'!$A$12:$Z$12"),0),0)="","?",VLOOKUP(J$1,INDIRECT("'"&amp;$A35&amp;"'!$A$12:$Z$19"),MATCH("Points (Auto-generate)",INDIRECT("'"&amp;$A35&amp;"'!$A$12:$Z$12"),0),0)),"ER"))</f>
        <v>?</v>
      </c>
      <c r="K35" s="1" t="str">
        <f aca="true">IF($F35=0,"NA",IF($A35=INDIRECT("'"&amp;$A35&amp;"'!$B$1"),IF(VLOOKUP(K$1,INDIRECT("'"&amp;$A35&amp;"'!$A$12:$Z$19"),MATCH("Points (Auto-generate)",INDIRECT("'"&amp;$A35&amp;"'!$A$12:$Z$12"),0),0)="","?",VLOOKUP(K$1,INDIRECT("'"&amp;$A35&amp;"'!$A$12:$Z$19"),MATCH("Points (Auto-generate)",INDIRECT("'"&amp;$A35&amp;"'!$A$12:$Z$12"),0),0)),"ER"))</f>
        <v>?</v>
      </c>
      <c r="L35" s="1" t="str">
        <f aca="true">IF($F35=0,"NA",IF($A35=INDIRECT("'"&amp;$A35&amp;"'!$B$1"),IF(VLOOKUP(L$1,INDIRECT("'"&amp;$A35&amp;"'!$A$12:$Z$19"),MATCH("Points (Auto-generate)",INDIRECT("'"&amp;$A35&amp;"'!$A$12:$Z$12"),0),0)="","?",VLOOKUP(L$1,INDIRECT("'"&amp;$A35&amp;"'!$A$12:$Z$19"),MATCH("Points (Auto-generate)",INDIRECT("'"&amp;$A35&amp;"'!$A$12:$Z$12"),0),0)),"ER"))</f>
        <v>?</v>
      </c>
      <c r="M35" s="1" t="str">
        <f aca="true">IF($F35=0,"NA",IF($A35=INDIRECT("'"&amp;$A35&amp;"'!$B$1"),IF(VLOOKUP(M$1,INDIRECT("'"&amp;$A35&amp;"'!$A$12:$Z$19"),MATCH("Points (Auto-generate)",INDIRECT("'"&amp;$A35&amp;"'!$A$12:$Z$12"),0),0)="","?",VLOOKUP(M$1,INDIRECT("'"&amp;$A35&amp;"'!$A$12:$Z$19"),MATCH("Points (Auto-generate)",INDIRECT("'"&amp;$A35&amp;"'!$A$12:$Z$12"),0),0)),"ER"))</f>
        <v>?</v>
      </c>
    </row>
    <row r="36" customFormat="false" ht="15" hidden="false" customHeight="true" outlineLevel="0" collapsed="false">
      <c r="A36" s="1" t="s">
        <v>59</v>
      </c>
      <c r="B36" s="1" t="str">
        <f aca="false">VLOOKUP($A36,'PARASTATAL Questions'!$A:$J,3,0)&amp;""</f>
        <v>Decentralised Participatory Governance</v>
      </c>
      <c r="C36" s="1" t="str">
        <f aca="false">VLOOKUP($A36,'PARASTATAL Questions'!$A:$J,4,0)&amp;""</f>
        <v>SQ</v>
      </c>
      <c r="D36" s="1" t="str">
        <f aca="false">VLOOKUP($A36,'PARASTATAL Questions'!$A:$J,5,0)&amp;""</f>
        <v>Service-level benchmarks and performance reports</v>
      </c>
      <c r="E36" s="1" t="str">
        <f aca="false">VLOOKUP($A36,'PARASTATAL Questions'!$A:$J,7,0)&amp;""</f>
        <v>Implementation</v>
      </c>
      <c r="F36" s="1" t="n">
        <f aca="false">VLOOKUP($A36,'PARASTATAL Questions'!$A:$J,6,0)</f>
        <v>1</v>
      </c>
      <c r="G36" s="1" t="str">
        <f aca="true">IF($F36=0,"NA",IF($A36=INDIRECT("'"&amp;$A36&amp;"'!$B$1"),IF(VLOOKUP(G$1,INDIRECT("'"&amp;$A36&amp;"'!$A$12:$Z$19"),MATCH("Points (Auto-generate)",INDIRECT("'"&amp;$A36&amp;"'!$A$12:$Z$12"),0),0)="","?",VLOOKUP(G$1,INDIRECT("'"&amp;$A36&amp;"'!$A$12:$Z$19"),MATCH("Points (Auto-generate)",INDIRECT("'"&amp;$A36&amp;"'!$A$12:$Z$12"),0),0)),"ER"))</f>
        <v>?</v>
      </c>
      <c r="H36" s="1" t="str">
        <f aca="true">IF($F36=0,"NA",IF($A36=INDIRECT("'"&amp;$A36&amp;"'!$B$1"),IF(VLOOKUP(H$1,INDIRECT("'"&amp;$A36&amp;"'!$A$12:$Z$19"),MATCH("Points (Auto-generate)",INDIRECT("'"&amp;$A36&amp;"'!$A$12:$Z$12"),0),0)="","?",VLOOKUP(H$1,INDIRECT("'"&amp;$A36&amp;"'!$A$12:$Z$19"),MATCH("Points (Auto-generate)",INDIRECT("'"&amp;$A36&amp;"'!$A$12:$Z$12"),0),0)),"ER"))</f>
        <v>?</v>
      </c>
      <c r="I36" s="1" t="str">
        <f aca="true">IF($F36=0,"NA",IF($A36=INDIRECT("'"&amp;$A36&amp;"'!$B$1"),IF(VLOOKUP(I$1,INDIRECT("'"&amp;$A36&amp;"'!$A$12:$Z$19"),MATCH("Points (Auto-generate)",INDIRECT("'"&amp;$A36&amp;"'!$A$12:$Z$12"),0),0)="","?",VLOOKUP(I$1,INDIRECT("'"&amp;$A36&amp;"'!$A$12:$Z$19"),MATCH("Points (Auto-generate)",INDIRECT("'"&amp;$A36&amp;"'!$A$12:$Z$12"),0),0)),"ER"))</f>
        <v>?</v>
      </c>
      <c r="J36" s="1" t="str">
        <f aca="true">IF($F36=0,"NA",IF($A36=INDIRECT("'"&amp;$A36&amp;"'!$B$1"),IF(VLOOKUP(J$1,INDIRECT("'"&amp;$A36&amp;"'!$A$12:$Z$19"),MATCH("Points (Auto-generate)",INDIRECT("'"&amp;$A36&amp;"'!$A$12:$Z$12"),0),0)="","?",VLOOKUP(J$1,INDIRECT("'"&amp;$A36&amp;"'!$A$12:$Z$19"),MATCH("Points (Auto-generate)",INDIRECT("'"&amp;$A36&amp;"'!$A$12:$Z$12"),0),0)),"ER"))</f>
        <v>?</v>
      </c>
      <c r="K36" s="1" t="str">
        <f aca="true">IF($F36=0,"NA",IF($A36=INDIRECT("'"&amp;$A36&amp;"'!$B$1"),IF(VLOOKUP(K$1,INDIRECT("'"&amp;$A36&amp;"'!$A$12:$Z$19"),MATCH("Points (Auto-generate)",INDIRECT("'"&amp;$A36&amp;"'!$A$12:$Z$12"),0),0)="","?",VLOOKUP(K$1,INDIRECT("'"&amp;$A36&amp;"'!$A$12:$Z$19"),MATCH("Points (Auto-generate)",INDIRECT("'"&amp;$A36&amp;"'!$A$12:$Z$12"),0),0)),"ER"))</f>
        <v>?</v>
      </c>
      <c r="L36" s="1" t="str">
        <f aca="true">IF($F36=0,"NA",IF($A36=INDIRECT("'"&amp;$A36&amp;"'!$B$1"),IF(VLOOKUP(L$1,INDIRECT("'"&amp;$A36&amp;"'!$A$12:$Z$19"),MATCH("Points (Auto-generate)",INDIRECT("'"&amp;$A36&amp;"'!$A$12:$Z$12"),0),0)="","?",VLOOKUP(L$1,INDIRECT("'"&amp;$A36&amp;"'!$A$12:$Z$19"),MATCH("Points (Auto-generate)",INDIRECT("'"&amp;$A36&amp;"'!$A$12:$Z$12"),0),0)),"ER"))</f>
        <v>?</v>
      </c>
      <c r="M36" s="1" t="str">
        <f aca="true">IF($F36=0,"NA",IF($A36=INDIRECT("'"&amp;$A36&amp;"'!$B$1"),IF(VLOOKUP(M$1,INDIRECT("'"&amp;$A36&amp;"'!$A$12:$Z$19"),MATCH("Points (Auto-generate)",INDIRECT("'"&amp;$A36&amp;"'!$A$12:$Z$12"),0),0)="","?",VLOOKUP(M$1,INDIRECT("'"&amp;$A36&amp;"'!$A$12:$Z$19"),MATCH("Points (Auto-generate)",INDIRECT("'"&amp;$A36&amp;"'!$A$12:$Z$12"),0),0)),"ER"))</f>
        <v>?</v>
      </c>
    </row>
    <row r="37" customFormat="false" ht="15" hidden="false" customHeight="true" outlineLevel="0" collapsed="false">
      <c r="A37" s="1" t="s">
        <v>60</v>
      </c>
      <c r="B37" s="1" t="str">
        <f aca="false">VLOOKUP($A37,'PARASTATAL Questions'!$A:$J,3,0)&amp;""</f>
        <v>Decentralised Participatory Governance</v>
      </c>
      <c r="C37" s="1" t="str">
        <f aca="false">VLOOKUP($A37,'PARASTATAL Questions'!$A:$J,4,0)&amp;""</f>
        <v>SQ</v>
      </c>
      <c r="D37" s="1" t="str">
        <f aca="false">VLOOKUP($A37,'PARASTATAL Questions'!$A:$J,5,0)&amp;""</f>
        <v>Organisation and staffing information</v>
      </c>
      <c r="E37" s="1" t="str">
        <f aca="false">VLOOKUP($A37,'PARASTATAL Questions'!$A:$J,7,0)&amp;""</f>
        <v>Implementation</v>
      </c>
      <c r="F37" s="1" t="n">
        <f aca="false">VLOOKUP($A37,'PARASTATAL Questions'!$A:$J,6,0)</f>
        <v>1</v>
      </c>
      <c r="G37" s="1" t="str">
        <f aca="true">IF($F37=0,"NA",IF($A37=INDIRECT("'"&amp;$A37&amp;"'!$B$1"),IF(VLOOKUP(G$1,INDIRECT("'"&amp;$A37&amp;"'!$A$12:$Z$19"),MATCH("Points (Auto-generate)",INDIRECT("'"&amp;$A37&amp;"'!$A$12:$Z$12"),0),0)="","?",VLOOKUP(G$1,INDIRECT("'"&amp;$A37&amp;"'!$A$12:$Z$19"),MATCH("Points (Auto-generate)",INDIRECT("'"&amp;$A37&amp;"'!$A$12:$Z$12"),0),0)),"ER"))</f>
        <v>?</v>
      </c>
      <c r="H37" s="1" t="str">
        <f aca="true">IF($F37=0,"NA",IF($A37=INDIRECT("'"&amp;$A37&amp;"'!$B$1"),IF(VLOOKUP(H$1,INDIRECT("'"&amp;$A37&amp;"'!$A$12:$Z$19"),MATCH("Points (Auto-generate)",INDIRECT("'"&amp;$A37&amp;"'!$A$12:$Z$12"),0),0)="","?",VLOOKUP(H$1,INDIRECT("'"&amp;$A37&amp;"'!$A$12:$Z$19"),MATCH("Points (Auto-generate)",INDIRECT("'"&amp;$A37&amp;"'!$A$12:$Z$12"),0),0)),"ER"))</f>
        <v>?</v>
      </c>
      <c r="I37" s="1" t="str">
        <f aca="true">IF($F37=0,"NA",IF($A37=INDIRECT("'"&amp;$A37&amp;"'!$B$1"),IF(VLOOKUP(I$1,INDIRECT("'"&amp;$A37&amp;"'!$A$12:$Z$19"),MATCH("Points (Auto-generate)",INDIRECT("'"&amp;$A37&amp;"'!$A$12:$Z$12"),0),0)="","?",VLOOKUP(I$1,INDIRECT("'"&amp;$A37&amp;"'!$A$12:$Z$19"),MATCH("Points (Auto-generate)",INDIRECT("'"&amp;$A37&amp;"'!$A$12:$Z$12"),0),0)),"ER"))</f>
        <v>?</v>
      </c>
      <c r="J37" s="1" t="str">
        <f aca="true">IF($F37=0,"NA",IF($A37=INDIRECT("'"&amp;$A37&amp;"'!$B$1"),IF(VLOOKUP(J$1,INDIRECT("'"&amp;$A37&amp;"'!$A$12:$Z$19"),MATCH("Points (Auto-generate)",INDIRECT("'"&amp;$A37&amp;"'!$A$12:$Z$12"),0),0)="","?",VLOOKUP(J$1,INDIRECT("'"&amp;$A37&amp;"'!$A$12:$Z$19"),MATCH("Points (Auto-generate)",INDIRECT("'"&amp;$A37&amp;"'!$A$12:$Z$12"),0),0)),"ER"))</f>
        <v>?</v>
      </c>
      <c r="K37" s="1" t="str">
        <f aca="true">IF($F37=0,"NA",IF($A37=INDIRECT("'"&amp;$A37&amp;"'!$B$1"),IF(VLOOKUP(K$1,INDIRECT("'"&amp;$A37&amp;"'!$A$12:$Z$19"),MATCH("Points (Auto-generate)",INDIRECT("'"&amp;$A37&amp;"'!$A$12:$Z$12"),0),0)="","?",VLOOKUP(K$1,INDIRECT("'"&amp;$A37&amp;"'!$A$12:$Z$19"),MATCH("Points (Auto-generate)",INDIRECT("'"&amp;$A37&amp;"'!$A$12:$Z$12"),0),0)),"ER"))</f>
        <v>?</v>
      </c>
      <c r="L37" s="1" t="str">
        <f aca="true">IF($F37=0,"NA",IF($A37=INDIRECT("'"&amp;$A37&amp;"'!$B$1"),IF(VLOOKUP(L$1,INDIRECT("'"&amp;$A37&amp;"'!$A$12:$Z$19"),MATCH("Points (Auto-generate)",INDIRECT("'"&amp;$A37&amp;"'!$A$12:$Z$12"),0),0)="","?",VLOOKUP(L$1,INDIRECT("'"&amp;$A37&amp;"'!$A$12:$Z$19"),MATCH("Points (Auto-generate)",INDIRECT("'"&amp;$A37&amp;"'!$A$12:$Z$12"),0),0)),"ER"))</f>
        <v>?</v>
      </c>
      <c r="M37" s="1" t="str">
        <f aca="true">IF($F37=0,"NA",IF($A37=INDIRECT("'"&amp;$A37&amp;"'!$B$1"),IF(VLOOKUP(M$1,INDIRECT("'"&amp;$A37&amp;"'!$A$12:$Z$19"),MATCH("Points (Auto-generate)",INDIRECT("'"&amp;$A37&amp;"'!$A$12:$Z$12"),0),0)="","?",VLOOKUP(M$1,INDIRECT("'"&amp;$A37&amp;"'!$A$12:$Z$19"),MATCH("Points (Auto-generate)",INDIRECT("'"&amp;$A37&amp;"'!$A$12:$Z$12"),0),0)),"ER"))</f>
        <v>?</v>
      </c>
    </row>
    <row r="38" customFormat="false" ht="15" hidden="false" customHeight="true" outlineLevel="0" collapsed="false">
      <c r="A38" s="1" t="s">
        <v>61</v>
      </c>
      <c r="B38" s="1" t="str">
        <f aca="false">VLOOKUP($A38,'PARASTATAL Questions'!$A:$J,3,0)&amp;""</f>
        <v>Decentralised Participatory Governance</v>
      </c>
      <c r="C38" s="1" t="str">
        <f aca="false">VLOOKUP($A38,'PARASTATAL Questions'!$A:$J,4,0)&amp;""</f>
        <v>SQ</v>
      </c>
      <c r="D38" s="1" t="str">
        <f aca="false">VLOOKUP($A38,'PARASTATAL Questions'!$A:$J,5,0)&amp;""</f>
        <v>Meeting minutes of governing board</v>
      </c>
      <c r="E38" s="1" t="str">
        <f aca="false">VLOOKUP($A38,'PARASTATAL Questions'!$A:$J,7,0)&amp;""</f>
        <v>Implementation</v>
      </c>
      <c r="F38" s="1" t="n">
        <f aca="false">VLOOKUP($A38,'PARASTATAL Questions'!$A:$J,6,0)</f>
        <v>1</v>
      </c>
      <c r="G38" s="1" t="str">
        <f aca="true">IF($F38=0,"NA",IF($A38=INDIRECT("'"&amp;$A38&amp;"'!$B$1"),IF(VLOOKUP(G$1,INDIRECT("'"&amp;$A38&amp;"'!$A$12:$Z$19"),MATCH("Points (Auto-generate)",INDIRECT("'"&amp;$A38&amp;"'!$A$12:$Z$12"),0),0)="","?",VLOOKUP(G$1,INDIRECT("'"&amp;$A38&amp;"'!$A$12:$Z$19"),MATCH("Points (Auto-generate)",INDIRECT("'"&amp;$A38&amp;"'!$A$12:$Z$12"),0),0)),"ER"))</f>
        <v>?</v>
      </c>
      <c r="H38" s="1" t="str">
        <f aca="true">IF($F38=0,"NA",IF($A38=INDIRECT("'"&amp;$A38&amp;"'!$B$1"),IF(VLOOKUP(H$1,INDIRECT("'"&amp;$A38&amp;"'!$A$12:$Z$19"),MATCH("Points (Auto-generate)",INDIRECT("'"&amp;$A38&amp;"'!$A$12:$Z$12"),0),0)="","?",VLOOKUP(H$1,INDIRECT("'"&amp;$A38&amp;"'!$A$12:$Z$19"),MATCH("Points (Auto-generate)",INDIRECT("'"&amp;$A38&amp;"'!$A$12:$Z$12"),0),0)),"ER"))</f>
        <v>?</v>
      </c>
      <c r="I38" s="1" t="str">
        <f aca="true">IF($F38=0,"NA",IF($A38=INDIRECT("'"&amp;$A38&amp;"'!$B$1"),IF(VLOOKUP(I$1,INDIRECT("'"&amp;$A38&amp;"'!$A$12:$Z$19"),MATCH("Points (Auto-generate)",INDIRECT("'"&amp;$A38&amp;"'!$A$12:$Z$12"),0),0)="","?",VLOOKUP(I$1,INDIRECT("'"&amp;$A38&amp;"'!$A$12:$Z$19"),MATCH("Points (Auto-generate)",INDIRECT("'"&amp;$A38&amp;"'!$A$12:$Z$12"),0),0)),"ER"))</f>
        <v>?</v>
      </c>
      <c r="J38" s="1" t="str">
        <f aca="true">IF($F38=0,"NA",IF($A38=INDIRECT("'"&amp;$A38&amp;"'!$B$1"),IF(VLOOKUP(J$1,INDIRECT("'"&amp;$A38&amp;"'!$A$12:$Z$19"),MATCH("Points (Auto-generate)",INDIRECT("'"&amp;$A38&amp;"'!$A$12:$Z$12"),0),0)="","?",VLOOKUP(J$1,INDIRECT("'"&amp;$A38&amp;"'!$A$12:$Z$19"),MATCH("Points (Auto-generate)",INDIRECT("'"&amp;$A38&amp;"'!$A$12:$Z$12"),0),0)),"ER"))</f>
        <v>?</v>
      </c>
      <c r="K38" s="1" t="str">
        <f aca="true">IF($F38=0,"NA",IF($A38=INDIRECT("'"&amp;$A38&amp;"'!$B$1"),IF(VLOOKUP(K$1,INDIRECT("'"&amp;$A38&amp;"'!$A$12:$Z$19"),MATCH("Points (Auto-generate)",INDIRECT("'"&amp;$A38&amp;"'!$A$12:$Z$12"),0),0)="","?",VLOOKUP(K$1,INDIRECT("'"&amp;$A38&amp;"'!$A$12:$Z$19"),MATCH("Points (Auto-generate)",INDIRECT("'"&amp;$A38&amp;"'!$A$12:$Z$12"),0),0)),"ER"))</f>
        <v>?</v>
      </c>
      <c r="L38" s="1" t="str">
        <f aca="true">IF($F38=0,"NA",IF($A38=INDIRECT("'"&amp;$A38&amp;"'!$B$1"),IF(VLOOKUP(L$1,INDIRECT("'"&amp;$A38&amp;"'!$A$12:$Z$19"),MATCH("Points (Auto-generate)",INDIRECT("'"&amp;$A38&amp;"'!$A$12:$Z$12"),0),0)="","?",VLOOKUP(L$1,INDIRECT("'"&amp;$A38&amp;"'!$A$12:$Z$19"),MATCH("Points (Auto-generate)",INDIRECT("'"&amp;$A38&amp;"'!$A$12:$Z$12"),0),0)),"ER"))</f>
        <v>?</v>
      </c>
      <c r="M38" s="1" t="str">
        <f aca="true">IF($F38=0,"NA",IF($A38=INDIRECT("'"&amp;$A38&amp;"'!$B$1"),IF(VLOOKUP(M$1,INDIRECT("'"&amp;$A38&amp;"'!$A$12:$Z$19"),MATCH("Points (Auto-generate)",INDIRECT("'"&amp;$A38&amp;"'!$A$12:$Z$12"),0),0)="","?",VLOOKUP(M$1,INDIRECT("'"&amp;$A38&amp;"'!$A$12:$Z$19"),MATCH("Points (Auto-generate)",INDIRECT("'"&amp;$A38&amp;"'!$A$12:$Z$12"),0),0)),"ER"))</f>
        <v>?</v>
      </c>
    </row>
    <row r="39" customFormat="false" ht="15" hidden="false" customHeight="true" outlineLevel="0" collapsed="false">
      <c r="A39" s="1" t="s">
        <v>62</v>
      </c>
      <c r="B39" s="1" t="str">
        <f aca="false">VLOOKUP($A39,'PARASTATAL Questions'!$A:$J,3,0)&amp;""</f>
        <v>Decentralised Participatory Governance</v>
      </c>
      <c r="C39" s="1" t="str">
        <f aca="false">VLOOKUP($A39,'PARASTATAL Questions'!$A:$J,4,0)&amp;""</f>
        <v>SQ</v>
      </c>
      <c r="D39" s="1" t="str">
        <f aca="false">VLOOKUP($A39,'PARASTATAL Questions'!$A:$J,5,0)&amp;""</f>
        <v>Citizen / Service Charter</v>
      </c>
      <c r="E39" s="1" t="str">
        <f aca="false">VLOOKUP($A39,'PARASTATAL Questions'!$A:$J,7,0)&amp;""</f>
        <v>Implementation</v>
      </c>
      <c r="F39" s="1" t="n">
        <f aca="false">VLOOKUP($A39,'PARASTATAL Questions'!$A:$J,6,0)</f>
        <v>1</v>
      </c>
      <c r="G39" s="1" t="str">
        <f aca="true">IF($F39=0,"NA",IF($A39=INDIRECT("'"&amp;$A39&amp;"'!$B$1"),IF(VLOOKUP(G$1,INDIRECT("'"&amp;$A39&amp;"'!$A$12:$Z$19"),MATCH("Points (Auto-generate)",INDIRECT("'"&amp;$A39&amp;"'!$A$12:$Z$12"),0),0)="","?",VLOOKUP(G$1,INDIRECT("'"&amp;$A39&amp;"'!$A$12:$Z$19"),MATCH("Points (Auto-generate)",INDIRECT("'"&amp;$A39&amp;"'!$A$12:$Z$12"),0),0)),"ER"))</f>
        <v>?</v>
      </c>
      <c r="H39" s="1" t="str">
        <f aca="true">IF($F39=0,"NA",IF($A39=INDIRECT("'"&amp;$A39&amp;"'!$B$1"),IF(VLOOKUP(H$1,INDIRECT("'"&amp;$A39&amp;"'!$A$12:$Z$19"),MATCH("Points (Auto-generate)",INDIRECT("'"&amp;$A39&amp;"'!$A$12:$Z$12"),0),0)="","?",VLOOKUP(H$1,INDIRECT("'"&amp;$A39&amp;"'!$A$12:$Z$19"),MATCH("Points (Auto-generate)",INDIRECT("'"&amp;$A39&amp;"'!$A$12:$Z$12"),0),0)),"ER"))</f>
        <v>?</v>
      </c>
      <c r="I39" s="1" t="str">
        <f aca="true">IF($F39=0,"NA",IF($A39=INDIRECT("'"&amp;$A39&amp;"'!$B$1"),IF(VLOOKUP(I$1,INDIRECT("'"&amp;$A39&amp;"'!$A$12:$Z$19"),MATCH("Points (Auto-generate)",INDIRECT("'"&amp;$A39&amp;"'!$A$12:$Z$12"),0),0)="","?",VLOOKUP(I$1,INDIRECT("'"&amp;$A39&amp;"'!$A$12:$Z$19"),MATCH("Points (Auto-generate)",INDIRECT("'"&amp;$A39&amp;"'!$A$12:$Z$12"),0),0)),"ER"))</f>
        <v>?</v>
      </c>
      <c r="J39" s="1" t="str">
        <f aca="true">IF($F39=0,"NA",IF($A39=INDIRECT("'"&amp;$A39&amp;"'!$B$1"),IF(VLOOKUP(J$1,INDIRECT("'"&amp;$A39&amp;"'!$A$12:$Z$19"),MATCH("Points (Auto-generate)",INDIRECT("'"&amp;$A39&amp;"'!$A$12:$Z$12"),0),0)="","?",VLOOKUP(J$1,INDIRECT("'"&amp;$A39&amp;"'!$A$12:$Z$19"),MATCH("Points (Auto-generate)",INDIRECT("'"&amp;$A39&amp;"'!$A$12:$Z$12"),0),0)),"ER"))</f>
        <v>?</v>
      </c>
      <c r="K39" s="1" t="str">
        <f aca="true">IF($F39=0,"NA",IF($A39=INDIRECT("'"&amp;$A39&amp;"'!$B$1"),IF(VLOOKUP(K$1,INDIRECT("'"&amp;$A39&amp;"'!$A$12:$Z$19"),MATCH("Points (Auto-generate)",INDIRECT("'"&amp;$A39&amp;"'!$A$12:$Z$12"),0),0)="","?",VLOOKUP(K$1,INDIRECT("'"&amp;$A39&amp;"'!$A$12:$Z$19"),MATCH("Points (Auto-generate)",INDIRECT("'"&amp;$A39&amp;"'!$A$12:$Z$12"),0),0)),"ER"))</f>
        <v>?</v>
      </c>
      <c r="L39" s="1" t="str">
        <f aca="true">IF($F39=0,"NA",IF($A39=INDIRECT("'"&amp;$A39&amp;"'!$B$1"),IF(VLOOKUP(L$1,INDIRECT("'"&amp;$A39&amp;"'!$A$12:$Z$19"),MATCH("Points (Auto-generate)",INDIRECT("'"&amp;$A39&amp;"'!$A$12:$Z$12"),0),0)="","?",VLOOKUP(L$1,INDIRECT("'"&amp;$A39&amp;"'!$A$12:$Z$19"),MATCH("Points (Auto-generate)",INDIRECT("'"&amp;$A39&amp;"'!$A$12:$Z$12"),0),0)),"ER"))</f>
        <v>?</v>
      </c>
      <c r="M39" s="1" t="str">
        <f aca="true">IF($F39=0,"NA",IF($A39=INDIRECT("'"&amp;$A39&amp;"'!$B$1"),IF(VLOOKUP(M$1,INDIRECT("'"&amp;$A39&amp;"'!$A$12:$Z$19"),MATCH("Points (Auto-generate)",INDIRECT("'"&amp;$A39&amp;"'!$A$12:$Z$12"),0),0)="","?",VLOOKUP(M$1,INDIRECT("'"&amp;$A39&amp;"'!$A$12:$Z$19"),MATCH("Points (Auto-generate)",INDIRECT("'"&amp;$A39&amp;"'!$A$12:$Z$12"),0),0)),"ER"))</f>
        <v>?</v>
      </c>
    </row>
    <row r="40" customFormat="false" ht="15" hidden="false" customHeight="true" outlineLevel="0" collapsed="false">
      <c r="A40" s="1" t="s">
        <v>63</v>
      </c>
      <c r="B40" s="1" t="str">
        <f aca="false">VLOOKUP($A40,'PARASTATAL Questions'!$A:$J,3,0)&amp;""</f>
        <v>Decentralised Participatory Governance</v>
      </c>
      <c r="C40" s="1" t="str">
        <f aca="false">VLOOKUP($A40,'PARASTATAL Questions'!$A:$J,4,0)&amp;""</f>
        <v>SQ</v>
      </c>
      <c r="D40" s="1" t="str">
        <f aca="false">VLOOKUP($A40,'PARASTATAL Questions'!$A:$J,5,0)&amp;""</f>
        <v>RTI details and designated Public Information Officer contact/procedure</v>
      </c>
      <c r="E40" s="1" t="str">
        <f aca="false">VLOOKUP($A40,'PARASTATAL Questions'!$A:$J,7,0)&amp;""</f>
        <v>Implementation</v>
      </c>
      <c r="F40" s="1" t="n">
        <f aca="false">VLOOKUP($A40,'PARASTATAL Questions'!$A:$J,6,0)</f>
        <v>1</v>
      </c>
      <c r="G40" s="1" t="str">
        <f aca="true">IF($F40=0,"NA",IF($A40=INDIRECT("'"&amp;$A40&amp;"'!$B$1"),IF(VLOOKUP(G$1,INDIRECT("'"&amp;$A40&amp;"'!$A$12:$Z$19"),MATCH("Points (Auto-generate)",INDIRECT("'"&amp;$A40&amp;"'!$A$12:$Z$12"),0),0)="","?",VLOOKUP(G$1,INDIRECT("'"&amp;$A40&amp;"'!$A$12:$Z$19"),MATCH("Points (Auto-generate)",INDIRECT("'"&amp;$A40&amp;"'!$A$12:$Z$12"),0),0)),"ER"))</f>
        <v>?</v>
      </c>
      <c r="H40" s="1" t="str">
        <f aca="true">IF($F40=0,"NA",IF($A40=INDIRECT("'"&amp;$A40&amp;"'!$B$1"),IF(VLOOKUP(H$1,INDIRECT("'"&amp;$A40&amp;"'!$A$12:$Z$19"),MATCH("Points (Auto-generate)",INDIRECT("'"&amp;$A40&amp;"'!$A$12:$Z$12"),0),0)="","?",VLOOKUP(H$1,INDIRECT("'"&amp;$A40&amp;"'!$A$12:$Z$19"),MATCH("Points (Auto-generate)",INDIRECT("'"&amp;$A40&amp;"'!$A$12:$Z$12"),0),0)),"ER"))</f>
        <v>?</v>
      </c>
      <c r="I40" s="1" t="str">
        <f aca="true">IF($F40=0,"NA",IF($A40=INDIRECT("'"&amp;$A40&amp;"'!$B$1"),IF(VLOOKUP(I$1,INDIRECT("'"&amp;$A40&amp;"'!$A$12:$Z$19"),MATCH("Points (Auto-generate)",INDIRECT("'"&amp;$A40&amp;"'!$A$12:$Z$12"),0),0)="","?",VLOOKUP(I$1,INDIRECT("'"&amp;$A40&amp;"'!$A$12:$Z$19"),MATCH("Points (Auto-generate)",INDIRECT("'"&amp;$A40&amp;"'!$A$12:$Z$12"),0),0)),"ER"))</f>
        <v>?</v>
      </c>
      <c r="J40" s="1" t="str">
        <f aca="true">IF($F40=0,"NA",IF($A40=INDIRECT("'"&amp;$A40&amp;"'!$B$1"),IF(VLOOKUP(J$1,INDIRECT("'"&amp;$A40&amp;"'!$A$12:$Z$19"),MATCH("Points (Auto-generate)",INDIRECT("'"&amp;$A40&amp;"'!$A$12:$Z$12"),0),0)="","?",VLOOKUP(J$1,INDIRECT("'"&amp;$A40&amp;"'!$A$12:$Z$19"),MATCH("Points (Auto-generate)",INDIRECT("'"&amp;$A40&amp;"'!$A$12:$Z$12"),0),0)),"ER"))</f>
        <v>?</v>
      </c>
      <c r="K40" s="1" t="str">
        <f aca="true">IF($F40=0,"NA",IF($A40=INDIRECT("'"&amp;$A40&amp;"'!$B$1"),IF(VLOOKUP(K$1,INDIRECT("'"&amp;$A40&amp;"'!$A$12:$Z$19"),MATCH("Points (Auto-generate)",INDIRECT("'"&amp;$A40&amp;"'!$A$12:$Z$12"),0),0)="","?",VLOOKUP(K$1,INDIRECT("'"&amp;$A40&amp;"'!$A$12:$Z$19"),MATCH("Points (Auto-generate)",INDIRECT("'"&amp;$A40&amp;"'!$A$12:$Z$12"),0),0)),"ER"))</f>
        <v>?</v>
      </c>
      <c r="L40" s="1" t="str">
        <f aca="true">IF($F40=0,"NA",IF($A40=INDIRECT("'"&amp;$A40&amp;"'!$B$1"),IF(VLOOKUP(L$1,INDIRECT("'"&amp;$A40&amp;"'!$A$12:$Z$19"),MATCH("Points (Auto-generate)",INDIRECT("'"&amp;$A40&amp;"'!$A$12:$Z$12"),0),0)="","?",VLOOKUP(L$1,INDIRECT("'"&amp;$A40&amp;"'!$A$12:$Z$19"),MATCH("Points (Auto-generate)",INDIRECT("'"&amp;$A40&amp;"'!$A$12:$Z$12"),0),0)),"ER"))</f>
        <v>?</v>
      </c>
      <c r="M40" s="1" t="str">
        <f aca="true">IF($F40=0,"NA",IF($A40=INDIRECT("'"&amp;$A40&amp;"'!$B$1"),IF(VLOOKUP(M$1,INDIRECT("'"&amp;$A40&amp;"'!$A$12:$Z$19"),MATCH("Points (Auto-generate)",INDIRECT("'"&amp;$A40&amp;"'!$A$12:$Z$12"),0),0)="","?",VLOOKUP(M$1,INDIRECT("'"&amp;$A40&amp;"'!$A$12:$Z$19"),MATCH("Points (Auto-generate)",INDIRECT("'"&amp;$A40&amp;"'!$A$12:$Z$12"),0),0)),"ER"))</f>
        <v>?</v>
      </c>
    </row>
    <row r="41" customFormat="false" ht="15" hidden="false" customHeight="true" outlineLevel="0" collapsed="false">
      <c r="A41" s="5" t="s">
        <v>64</v>
      </c>
      <c r="B41" s="5" t="str">
        <f aca="false">VLOOKUP($A41,'PARASTATAL Questions'!$A:$J,3,0)&amp;""</f>
        <v>Decentralised Participatory Governance</v>
      </c>
      <c r="C41" s="5" t="str">
        <f aca="false">VLOOKUP($A41,'PARASTATAL Questions'!$A:$J,4,0)&amp;""</f>
        <v>MQ</v>
      </c>
      <c r="D41" s="5" t="str">
        <f aca="false">VLOOKUP($A41,'PARASTATAL Questions'!$A:$J,5,0)&amp;""</f>
        <v>Does the parastatal provide for and maintain an accessible grievance-redressal mechanism?</v>
      </c>
      <c r="E41" s="5" t="str">
        <f aca="false">VLOOKUP($A41,'PARASTATAL Questions'!$A:$J,7,0)&amp;""</f>
        <v>Law/Policy</v>
      </c>
      <c r="F41" s="5" t="n">
        <f aca="false">VLOOKUP($A41,'PARASTATAL Questions'!$A:$J,6,0)</f>
        <v>10</v>
      </c>
      <c r="G41" s="5" t="str">
        <f aca="false">IF(OR(G42="ER",G43="ER"),"ER",IF(OR(G42="?",G43="?"),"?",IF(AND(G42="NA",G43="NA"),"NA",SUM(G42,G43)/((G42&lt;&gt;"NA")*$F$42+(G43&lt;&gt;"NA")*$F$43)*$F41)))</f>
        <v>?</v>
      </c>
      <c r="H41" s="5" t="str">
        <f aca="false">IF(OR(H42="ER",H43="ER"),"ER",IF(OR(H42="?",H43="?"),"?",IF(AND(H42="NA",H43="NA"),"NA",SUM(H42,H43)/((H42&lt;&gt;"NA")*$F$42+(H43&lt;&gt;"NA")*$F$43)*$F41)))</f>
        <v>?</v>
      </c>
      <c r="I41" s="5" t="str">
        <f aca="false">IF(OR(I42="ER",I43="ER"),"ER",IF(OR(I42="?",I43="?"),"?",IF(AND(I42="NA",I43="NA"),"NA",SUM(I42,I43)/((I42&lt;&gt;"NA")*$F$42+(I43&lt;&gt;"NA")*$F$43)*$F41)))</f>
        <v>?</v>
      </c>
      <c r="J41" s="5" t="str">
        <f aca="false">IF(OR(J42="ER",J43="ER"),"ER",IF(OR(J42="?",J43="?"),"?",IF(AND(J42="NA",J43="NA"),"NA",SUM(J42,J43)/((J42&lt;&gt;"NA")*$F$42+(J43&lt;&gt;"NA")*$F$43)*$F41)))</f>
        <v>?</v>
      </c>
      <c r="K41" s="5" t="str">
        <f aca="false">IF(OR(K42="ER",K43="ER"),"ER",IF(OR(K42="?",K43="?"),"?",IF(AND(K42="NA",K43="NA"),"NA",SUM(K42,K43)/((K42&lt;&gt;"NA")*$F$42+(K43&lt;&gt;"NA")*$F$43)*$F41)))</f>
        <v>?</v>
      </c>
      <c r="L41" s="5" t="str">
        <f aca="false">IF(OR(L42="ER",L43="ER"),"ER",IF(OR(L42="?",L43="?"),"?",IF(AND(L42="NA",L43="NA"),"NA",SUM(L42,L43)/((L42&lt;&gt;"NA")*$F$42+(L43&lt;&gt;"NA")*$F$43)*$F41)))</f>
        <v>?</v>
      </c>
      <c r="M41" s="5" t="str">
        <f aca="false">IF(OR(M42="ER",M43="ER"),"ER",IF(OR(M42="?",M43="?"),"?",IF(AND(M42="NA",M43="NA"),"NA",SUM(M42,M43)/((M42&lt;&gt;"NA")*$F$42+(M43&lt;&gt;"NA")*$F$43)*$F41)))</f>
        <v>?</v>
      </c>
    </row>
    <row r="42" customFormat="false" ht="15" hidden="false" customHeight="true" outlineLevel="0" collapsed="false">
      <c r="A42" s="1" t="s">
        <v>65</v>
      </c>
      <c r="B42" s="1" t="str">
        <f aca="false">VLOOKUP($A42,'PARASTATAL Questions'!$A:$J,3,0)&amp;""</f>
        <v>Decentralised Participatory Governance</v>
      </c>
      <c r="C42" s="1" t="str">
        <f aca="false">VLOOKUP($A42,'PARASTATAL Questions'!$A:$J,4,0)&amp;""</f>
        <v>SQ</v>
      </c>
      <c r="D42" s="1" t="str">
        <f aca="false">VLOOKUP($A42,'PARASTATAL Questions'!$A:$J,5,0)&amp;""</f>
        <v>Is the parastatal mandated to provide a grievance-redressal mechanism?</v>
      </c>
      <c r="E42" s="1" t="str">
        <f aca="false">VLOOKUP($A42,'PARASTATAL Questions'!$A:$J,7,0)&amp;""</f>
        <v>Law/Policy</v>
      </c>
      <c r="F42" s="1" t="n">
        <f aca="false">VLOOKUP($A42,'PARASTATAL Questions'!$A:$J,6,0)</f>
        <v>5</v>
      </c>
      <c r="G42" s="1" t="str">
        <f aca="true">IF($F42=0,"NA",IF($A42=INDIRECT("'"&amp;$A42&amp;"'!$B$1"),IF(VLOOKUP(G$1,INDIRECT("'"&amp;$A42&amp;"'!$A$12:$Z$19"),MATCH("Points (Auto-generate)",INDIRECT("'"&amp;$A42&amp;"'!$A$12:$Z$12"),0),0)="","?",VLOOKUP(G$1,INDIRECT("'"&amp;$A42&amp;"'!$A$12:$Z$19"),MATCH("Points (Auto-generate)",INDIRECT("'"&amp;$A42&amp;"'!$A$12:$Z$12"),0),0)),"ER"))</f>
        <v>?</v>
      </c>
      <c r="H42" s="1" t="str">
        <f aca="true">IF($F42=0,"NA",IF($A42=INDIRECT("'"&amp;$A42&amp;"'!$B$1"),IF(VLOOKUP(H$1,INDIRECT("'"&amp;$A42&amp;"'!$A$12:$Z$19"),MATCH("Points (Auto-generate)",INDIRECT("'"&amp;$A42&amp;"'!$A$12:$Z$12"),0),0)="","?",VLOOKUP(H$1,INDIRECT("'"&amp;$A42&amp;"'!$A$12:$Z$19"),MATCH("Points (Auto-generate)",INDIRECT("'"&amp;$A42&amp;"'!$A$12:$Z$12"),0),0)),"ER"))</f>
        <v>?</v>
      </c>
      <c r="I42" s="1" t="str">
        <f aca="true">IF($F42=0,"NA",IF($A42=INDIRECT("'"&amp;$A42&amp;"'!$B$1"),IF(VLOOKUP(I$1,INDIRECT("'"&amp;$A42&amp;"'!$A$12:$Z$19"),MATCH("Points (Auto-generate)",INDIRECT("'"&amp;$A42&amp;"'!$A$12:$Z$12"),0),0)="","?",VLOOKUP(I$1,INDIRECT("'"&amp;$A42&amp;"'!$A$12:$Z$19"),MATCH("Points (Auto-generate)",INDIRECT("'"&amp;$A42&amp;"'!$A$12:$Z$12"),0),0)),"ER"))</f>
        <v>?</v>
      </c>
      <c r="J42" s="1" t="str">
        <f aca="true">IF($F42=0,"NA",IF($A42=INDIRECT("'"&amp;$A42&amp;"'!$B$1"),IF(VLOOKUP(J$1,INDIRECT("'"&amp;$A42&amp;"'!$A$12:$Z$19"),MATCH("Points (Auto-generate)",INDIRECT("'"&amp;$A42&amp;"'!$A$12:$Z$12"),0),0)="","?",VLOOKUP(J$1,INDIRECT("'"&amp;$A42&amp;"'!$A$12:$Z$19"),MATCH("Points (Auto-generate)",INDIRECT("'"&amp;$A42&amp;"'!$A$12:$Z$12"),0),0)),"ER"))</f>
        <v>?</v>
      </c>
      <c r="K42" s="1" t="str">
        <f aca="true">IF($F42=0,"NA",IF($A42=INDIRECT("'"&amp;$A42&amp;"'!$B$1"),IF(VLOOKUP(K$1,INDIRECT("'"&amp;$A42&amp;"'!$A$12:$Z$19"),MATCH("Points (Auto-generate)",INDIRECT("'"&amp;$A42&amp;"'!$A$12:$Z$12"),0),0)="","?",VLOOKUP(K$1,INDIRECT("'"&amp;$A42&amp;"'!$A$12:$Z$19"),MATCH("Points (Auto-generate)",INDIRECT("'"&amp;$A42&amp;"'!$A$12:$Z$12"),0),0)),"ER"))</f>
        <v>?</v>
      </c>
      <c r="L42" s="1" t="str">
        <f aca="true">IF($F42=0,"NA",IF($A42=INDIRECT("'"&amp;$A42&amp;"'!$B$1"),IF(VLOOKUP(L$1,INDIRECT("'"&amp;$A42&amp;"'!$A$12:$Z$19"),MATCH("Points (Auto-generate)",INDIRECT("'"&amp;$A42&amp;"'!$A$12:$Z$12"),0),0)="","?",VLOOKUP(L$1,INDIRECT("'"&amp;$A42&amp;"'!$A$12:$Z$19"),MATCH("Points (Auto-generate)",INDIRECT("'"&amp;$A42&amp;"'!$A$12:$Z$12"),0),0)),"ER"))</f>
        <v>?</v>
      </c>
      <c r="M42" s="1" t="str">
        <f aca="true">IF($F42=0,"NA",IF($A42=INDIRECT("'"&amp;$A42&amp;"'!$B$1"),IF(VLOOKUP(M$1,INDIRECT("'"&amp;$A42&amp;"'!$A$12:$Z$19"),MATCH("Points (Auto-generate)",INDIRECT("'"&amp;$A42&amp;"'!$A$12:$Z$12"),0),0)="","?",VLOOKUP(M$1,INDIRECT("'"&amp;$A42&amp;"'!$A$12:$Z$19"),MATCH("Points (Auto-generate)",INDIRECT("'"&amp;$A42&amp;"'!$A$12:$Z$12"),0),0)),"ER"))</f>
        <v>?</v>
      </c>
    </row>
    <row r="43" customFormat="false" ht="15" hidden="false" customHeight="true" outlineLevel="0" collapsed="false">
      <c r="A43" s="1" t="s">
        <v>66</v>
      </c>
      <c r="B43" s="1" t="str">
        <f aca="false">VLOOKUP($A43,'PARASTATAL Questions'!$A:$J,3,0)&amp;""</f>
        <v>Decentralised Participatory Governance</v>
      </c>
      <c r="C43" s="1" t="str">
        <f aca="false">VLOOKUP($A43,'PARASTATAL Questions'!$A:$J,4,0)&amp;""</f>
        <v>SQ</v>
      </c>
      <c r="D43" s="1" t="str">
        <f aca="false">VLOOKUP($A43,'PARASTATAL Questions'!$A:$J,5,0)&amp;""</f>
        <v>Are accessible grievance-redressal channels available and functional in practice?</v>
      </c>
      <c r="E43" s="1" t="str">
        <f aca="false">VLOOKUP($A43,'PARASTATAL Questions'!$A:$J,7,0)&amp;""</f>
        <v>Implementation</v>
      </c>
      <c r="F43" s="1" t="n">
        <f aca="false">VLOOKUP($A43,'PARASTATAL Questions'!$A:$J,6,0)</f>
        <v>5</v>
      </c>
      <c r="G43" s="1" t="str">
        <f aca="true">IF($F43=0,"NA",IF($A43=INDIRECT("'"&amp;$A43&amp;"'!$B$1"),IF(VLOOKUP(G$1,INDIRECT("'"&amp;$A43&amp;"'!$A$12:$Z$19"),MATCH("Points (Auto-generate)",INDIRECT("'"&amp;$A43&amp;"'!$A$12:$Z$12"),0),0)="","?",VLOOKUP(G$1,INDIRECT("'"&amp;$A43&amp;"'!$A$12:$Z$19"),MATCH("Points (Auto-generate)",INDIRECT("'"&amp;$A43&amp;"'!$A$12:$Z$12"),0),0)),"ER"))</f>
        <v>?</v>
      </c>
      <c r="H43" s="1" t="str">
        <f aca="true">IF($F43=0,"NA",IF($A43=INDIRECT("'"&amp;$A43&amp;"'!$B$1"),IF(VLOOKUP(H$1,INDIRECT("'"&amp;$A43&amp;"'!$A$12:$Z$19"),MATCH("Points (Auto-generate)",INDIRECT("'"&amp;$A43&amp;"'!$A$12:$Z$12"),0),0)="","?",VLOOKUP(H$1,INDIRECT("'"&amp;$A43&amp;"'!$A$12:$Z$19"),MATCH("Points (Auto-generate)",INDIRECT("'"&amp;$A43&amp;"'!$A$12:$Z$12"),0),0)),"ER"))</f>
        <v>?</v>
      </c>
      <c r="I43" s="1" t="str">
        <f aca="true">IF($F43=0,"NA",IF($A43=INDIRECT("'"&amp;$A43&amp;"'!$B$1"),IF(VLOOKUP(I$1,INDIRECT("'"&amp;$A43&amp;"'!$A$12:$Z$19"),MATCH("Points (Auto-generate)",INDIRECT("'"&amp;$A43&amp;"'!$A$12:$Z$12"),0),0)="","?",VLOOKUP(I$1,INDIRECT("'"&amp;$A43&amp;"'!$A$12:$Z$19"),MATCH("Points (Auto-generate)",INDIRECT("'"&amp;$A43&amp;"'!$A$12:$Z$12"),0),0)),"ER"))</f>
        <v>?</v>
      </c>
      <c r="J43" s="1" t="str">
        <f aca="true">IF($F43=0,"NA",IF($A43=INDIRECT("'"&amp;$A43&amp;"'!$B$1"),IF(VLOOKUP(J$1,INDIRECT("'"&amp;$A43&amp;"'!$A$12:$Z$19"),MATCH("Points (Auto-generate)",INDIRECT("'"&amp;$A43&amp;"'!$A$12:$Z$12"),0),0)="","?",VLOOKUP(J$1,INDIRECT("'"&amp;$A43&amp;"'!$A$12:$Z$19"),MATCH("Points (Auto-generate)",INDIRECT("'"&amp;$A43&amp;"'!$A$12:$Z$12"),0),0)),"ER"))</f>
        <v>?</v>
      </c>
      <c r="K43" s="1" t="str">
        <f aca="true">IF($F43=0,"NA",IF($A43=INDIRECT("'"&amp;$A43&amp;"'!$B$1"),IF(VLOOKUP(K$1,INDIRECT("'"&amp;$A43&amp;"'!$A$12:$Z$19"),MATCH("Points (Auto-generate)",INDIRECT("'"&amp;$A43&amp;"'!$A$12:$Z$12"),0),0)="","?",VLOOKUP(K$1,INDIRECT("'"&amp;$A43&amp;"'!$A$12:$Z$19"),MATCH("Points (Auto-generate)",INDIRECT("'"&amp;$A43&amp;"'!$A$12:$Z$12"),0),0)),"ER"))</f>
        <v>?</v>
      </c>
      <c r="L43" s="1" t="str">
        <f aca="true">IF($F43=0,"NA",IF($A43=INDIRECT("'"&amp;$A43&amp;"'!$B$1"),IF(VLOOKUP(L$1,INDIRECT("'"&amp;$A43&amp;"'!$A$12:$Z$19"),MATCH("Points (Auto-generate)",INDIRECT("'"&amp;$A43&amp;"'!$A$12:$Z$12"),0),0)="","?",VLOOKUP(L$1,INDIRECT("'"&amp;$A43&amp;"'!$A$12:$Z$19"),MATCH("Points (Auto-generate)",INDIRECT("'"&amp;$A43&amp;"'!$A$12:$Z$12"),0),0)),"ER"))</f>
        <v>?</v>
      </c>
      <c r="M43" s="1" t="str">
        <f aca="true">IF($F43=0,"NA",IF($A43=INDIRECT("'"&amp;$A43&amp;"'!$B$1"),IF(VLOOKUP(M$1,INDIRECT("'"&amp;$A43&amp;"'!$A$12:$Z$19"),MATCH("Points (Auto-generate)",INDIRECT("'"&amp;$A43&amp;"'!$A$12:$Z$12"),0),0)="","?",VLOOKUP(M$1,INDIRECT("'"&amp;$A43&amp;"'!$A$12:$Z$19"),MATCH("Points (Auto-generate)",INDIRECT("'"&amp;$A43&amp;"'!$A$12:$Z$12"),0),0)),"ER"))</f>
        <v>?</v>
      </c>
    </row>
    <row r="44" customFormat="false" ht="15" hidden="false" customHeight="true" outlineLevel="0" collapsed="false">
      <c r="A44" s="5" t="s">
        <v>67</v>
      </c>
      <c r="B44" s="5" t="str">
        <f aca="false">VLOOKUP($A44,'PARASTATAL Questions'!$A:$J,3,0)&amp;""</f>
        <v>Decentralised Participatory Governance</v>
      </c>
      <c r="C44" s="5" t="str">
        <f aca="false">VLOOKUP($A44,'PARASTATAL Questions'!$A:$J,4,0)&amp;""</f>
        <v>MQ</v>
      </c>
      <c r="D44" s="5" t="str">
        <f aca="false">VLOOKUP($A44,'PARASTATAL Questions'!$A:$J,5,0)&amp;""</f>
        <v>Does the law mandate citizen participation in the preparation of plans for which the parastatal is responsible, and does the parastatal provide for such participation in practice?</v>
      </c>
      <c r="E44" s="5" t="str">
        <f aca="false">VLOOKUP($A44,'PARASTATAL Questions'!$A:$J,7,0)&amp;""</f>
        <v>Law/Policy and Implementation</v>
      </c>
      <c r="F44" s="5" t="n">
        <f aca="false">VLOOKUP($A44,'PARASTATAL Questions'!$A:$J,6,0)</f>
        <v>10</v>
      </c>
      <c r="G44" s="5" t="str">
        <f aca="false">IF(OR(G45="ER",G46="ER"),"ER",IF(OR(G45="?",G46="?"),"?",IF(AND(G45="NA",G46="NA"),"NA",SUM(G45,G46)/((G45&lt;&gt;"NA")*$F$45+(G46&lt;&gt;"NA")*$F$46)*$F44)))</f>
        <v>?</v>
      </c>
      <c r="H44" s="5" t="str">
        <f aca="false">IF(OR(H45="ER",H46="ER"),"ER",IF(OR(H45="?",H46="?"),"?",IF(AND(H45="NA",H46="NA"),"NA",SUM(H45,H46)/((H45&lt;&gt;"NA")*$F$45+(H46&lt;&gt;"NA")*$F$46)*$F44)))</f>
        <v>?</v>
      </c>
      <c r="I44" s="5" t="str">
        <f aca="false">IF(OR(I45="ER",I46="ER"),"ER",IF(OR(I45="?",I46="?"),"?",IF(AND(I45="NA",I46="NA"),"NA",SUM(I45,I46)/((I45&lt;&gt;"NA")*$F$45+(I46&lt;&gt;"NA")*$F$46)*$F44)))</f>
        <v>NA</v>
      </c>
      <c r="J44" s="5" t="n">
        <f aca="false">IF(OR(J45="ER",J46="ER"),"ER",IF(OR(J45="?",J46="?"),"?",IF(AND(J45="NA",J46="NA"),"NA",SUM(J45,J46)/((J45&lt;&gt;"NA")*$F$45+(J46&lt;&gt;"NA")*$F$46)*$F44)))</f>
        <v>5</v>
      </c>
      <c r="K44" s="5" t="str">
        <f aca="false">IF(OR(K45="ER",K46="ER"),"ER",IF(OR(K45="?",K46="?"),"?",IF(AND(K45="NA",K46="NA"),"NA",SUM(K45,K46)/((K45&lt;&gt;"NA")*$F$45+(K46&lt;&gt;"NA")*$F$46)*$F44)))</f>
        <v>NA</v>
      </c>
      <c r="L44" s="5" t="str">
        <f aca="false">IF(OR(L45="ER",L46="ER"),"ER",IF(OR(L45="?",L46="?"),"?",IF(AND(L45="NA",L46="NA"),"NA",SUM(L45,L46)/((L45&lt;&gt;"NA")*$F$45+(L46&lt;&gt;"NA")*$F$46)*$F44)))</f>
        <v>NA</v>
      </c>
      <c r="M44" s="5" t="str">
        <f aca="false">IF(OR(M45="ER",M46="ER"),"ER",IF(OR(M45="?",M46="?"),"?",IF(AND(M45="NA",M46="NA"),"NA",SUM(M45,M46)/((M45&lt;&gt;"NA")*$F$45+(M46&lt;&gt;"NA")*$F$46)*$F44)))</f>
        <v>?</v>
      </c>
    </row>
    <row r="45" customFormat="false" ht="15" hidden="false" customHeight="true" outlineLevel="0" collapsed="false">
      <c r="A45" s="1" t="s">
        <v>68</v>
      </c>
      <c r="B45" s="1" t="str">
        <f aca="false">VLOOKUP($A45,'PARASTATAL Questions'!$A:$J,3,0)&amp;""</f>
        <v>Decentralised Participatory Governance</v>
      </c>
      <c r="C45" s="1" t="str">
        <f aca="false">VLOOKUP($A45,'PARASTATAL Questions'!$A:$J,4,0)&amp;""</f>
        <v>SQ</v>
      </c>
      <c r="D45" s="1" t="str">
        <f aca="false">VLOOKUP($A45,'PARASTATAL Questions'!$A:$J,5,0)&amp;""</f>
        <v>Is citizen participation in the preparation of the parastatal's plans mandated?</v>
      </c>
      <c r="E45" s="1" t="str">
        <f aca="false">VLOOKUP($A45,'PARASTATAL Questions'!$A:$J,7,0)&amp;""</f>
        <v>Law/Policy</v>
      </c>
      <c r="F45" s="1" t="n">
        <f aca="false">VLOOKUP($A45,'PARASTATAL Questions'!$A:$J,6,0)</f>
        <v>5</v>
      </c>
      <c r="G45" s="1" t="str">
        <f aca="true">IF($F45=0,"NA",IF($A45=INDIRECT("'"&amp;$A45&amp;"'!$B$1"),IF(VLOOKUP(G$1,INDIRECT("'"&amp;$A45&amp;"'!$A$12:$Z$19"),MATCH("Points (Auto-generate)",INDIRECT("'"&amp;$A45&amp;"'!$A$12:$Z$12"),0),0)="","?",VLOOKUP(G$1,INDIRECT("'"&amp;$A45&amp;"'!$A$12:$Z$19"),MATCH("Points (Auto-generate)",INDIRECT("'"&amp;$A45&amp;"'!$A$12:$Z$12"),0),0)),"ER"))</f>
        <v>?</v>
      </c>
      <c r="H45" s="1" t="n">
        <f aca="true">IF($F45=0,"NA",IF($A45=INDIRECT("'"&amp;$A45&amp;"'!$B$1"),IF(VLOOKUP(H$1,INDIRECT("'"&amp;$A45&amp;"'!$A$12:$Z$19"),MATCH("Points (Auto-generate)",INDIRECT("'"&amp;$A45&amp;"'!$A$12:$Z$12"),0),0)="","?",VLOOKUP(H$1,INDIRECT("'"&amp;$A45&amp;"'!$A$12:$Z$19"),MATCH("Points (Auto-generate)",INDIRECT("'"&amp;$A45&amp;"'!$A$12:$Z$12"),0),0)),"ER"))</f>
        <v>2.5</v>
      </c>
      <c r="I45" s="1" t="str">
        <f aca="true">IF($F45=0,"NA",IF($A45=INDIRECT("'"&amp;$A45&amp;"'!$B$1"),IF(VLOOKUP(I$1,INDIRECT("'"&amp;$A45&amp;"'!$A$12:$Z$19"),MATCH("Points (Auto-generate)",INDIRECT("'"&amp;$A45&amp;"'!$A$12:$Z$12"),0),0)="","?",VLOOKUP(I$1,INDIRECT("'"&amp;$A45&amp;"'!$A$12:$Z$19"),MATCH("Points (Auto-generate)",INDIRECT("'"&amp;$A45&amp;"'!$A$12:$Z$12"),0),0)),"ER"))</f>
        <v>NA</v>
      </c>
      <c r="J45" s="1" t="n">
        <f aca="true">IF($F45=0,"NA",IF($A45=INDIRECT("'"&amp;$A45&amp;"'!$B$1"),IF(VLOOKUP(J$1,INDIRECT("'"&amp;$A45&amp;"'!$A$12:$Z$19"),MATCH("Points (Auto-generate)",INDIRECT("'"&amp;$A45&amp;"'!$A$12:$Z$12"),0),0)="","?",VLOOKUP(J$1,INDIRECT("'"&amp;$A45&amp;"'!$A$12:$Z$19"),MATCH("Points (Auto-generate)",INDIRECT("'"&amp;$A45&amp;"'!$A$12:$Z$12"),0),0)),"ER"))</f>
        <v>2.5</v>
      </c>
      <c r="K45" s="1" t="str">
        <f aca="true">IF($F45=0,"NA",IF($A45=INDIRECT("'"&amp;$A45&amp;"'!$B$1"),IF(VLOOKUP(K$1,INDIRECT("'"&amp;$A45&amp;"'!$A$12:$Z$19"),MATCH("Points (Auto-generate)",INDIRECT("'"&amp;$A45&amp;"'!$A$12:$Z$12"),0),0)="","?",VLOOKUP(K$1,INDIRECT("'"&amp;$A45&amp;"'!$A$12:$Z$19"),MATCH("Points (Auto-generate)",INDIRECT("'"&amp;$A45&amp;"'!$A$12:$Z$12"),0),0)),"ER"))</f>
        <v>NA</v>
      </c>
      <c r="L45" s="1" t="str">
        <f aca="true">IF($F45=0,"NA",IF($A45=INDIRECT("'"&amp;$A45&amp;"'!$B$1"),IF(VLOOKUP(L$1,INDIRECT("'"&amp;$A45&amp;"'!$A$12:$Z$19"),MATCH("Points (Auto-generate)",INDIRECT("'"&amp;$A45&amp;"'!$A$12:$Z$12"),0),0)="","?",VLOOKUP(L$1,INDIRECT("'"&amp;$A45&amp;"'!$A$12:$Z$19"),MATCH("Points (Auto-generate)",INDIRECT("'"&amp;$A45&amp;"'!$A$12:$Z$12"),0),0)),"ER"))</f>
        <v>NA</v>
      </c>
      <c r="M45" s="1" t="str">
        <f aca="true">IF($F45=0,"NA",IF($A45=INDIRECT("'"&amp;$A45&amp;"'!$B$1"),IF(VLOOKUP(M$1,INDIRECT("'"&amp;$A45&amp;"'!$A$12:$Z$19"),MATCH("Points (Auto-generate)",INDIRECT("'"&amp;$A45&amp;"'!$A$12:$Z$12"),0),0)="","?",VLOOKUP(M$1,INDIRECT("'"&amp;$A45&amp;"'!$A$12:$Z$19"),MATCH("Points (Auto-generate)",INDIRECT("'"&amp;$A45&amp;"'!$A$12:$Z$12"),0),0)),"ER"))</f>
        <v>?</v>
      </c>
    </row>
    <row r="46" customFormat="false" ht="15" hidden="false" customHeight="true" outlineLevel="0" collapsed="false">
      <c r="A46" s="1" t="s">
        <v>69</v>
      </c>
      <c r="B46" s="1" t="str">
        <f aca="false">VLOOKUP($A46,'PARASTATAL Questions'!$A:$J,3,0)&amp;""</f>
        <v>Decentralised Participatory Governance</v>
      </c>
      <c r="C46" s="1" t="str">
        <f aca="false">VLOOKUP($A46,'PARASTATAL Questions'!$A:$J,4,0)&amp;""</f>
        <v>SQ</v>
      </c>
      <c r="D46" s="1" t="str">
        <f aca="false">VLOOKUP($A46,'PARASTATAL Questions'!$A:$J,5,0)&amp;""</f>
        <v>Are citizens consulted in practice in the preparation of plans by the parastatal?</v>
      </c>
      <c r="E46" s="1" t="str">
        <f aca="false">VLOOKUP($A46,'PARASTATAL Questions'!$A:$J,7,0)&amp;""</f>
        <v>Implementation</v>
      </c>
      <c r="F46" s="1" t="n">
        <f aca="false">VLOOKUP($A46,'PARASTATAL Questions'!$A:$J,6,0)</f>
        <v>5</v>
      </c>
      <c r="G46" s="1" t="str">
        <f aca="true">IF($F46=0,"NA",IF($A46=INDIRECT("'"&amp;$A46&amp;"'!$B$1"),IF(VLOOKUP(G$1,INDIRECT("'"&amp;$A46&amp;"'!$A$12:$Z$19"),MATCH("Points (Auto-generate)",INDIRECT("'"&amp;$A46&amp;"'!$A$12:$Z$12"),0),0)="","?",VLOOKUP(G$1,INDIRECT("'"&amp;$A46&amp;"'!$A$12:$Z$19"),MATCH("Points (Auto-generate)",INDIRECT("'"&amp;$A46&amp;"'!$A$12:$Z$12"),0),0)),"ER"))</f>
        <v>?</v>
      </c>
      <c r="H46" s="1" t="str">
        <f aca="true">IF($F46=0,"NA",IF($A46=INDIRECT("'"&amp;$A46&amp;"'!$B$1"),IF(VLOOKUP(H$1,INDIRECT("'"&amp;$A46&amp;"'!$A$12:$Z$19"),MATCH("Points (Auto-generate)",INDIRECT("'"&amp;$A46&amp;"'!$A$12:$Z$12"),0),0)="","?",VLOOKUP(H$1,INDIRECT("'"&amp;$A46&amp;"'!$A$12:$Z$19"),MATCH("Points (Auto-generate)",INDIRECT("'"&amp;$A46&amp;"'!$A$12:$Z$12"),0),0)),"ER"))</f>
        <v>?</v>
      </c>
      <c r="I46" s="1" t="str">
        <f aca="true">IF($F46=0,"NA",IF($A46=INDIRECT("'"&amp;$A46&amp;"'!$B$1"),IF(VLOOKUP(I$1,INDIRECT("'"&amp;$A46&amp;"'!$A$12:$Z$19"),MATCH("Points (Auto-generate)",INDIRECT("'"&amp;$A46&amp;"'!$A$12:$Z$12"),0),0)="","?",VLOOKUP(I$1,INDIRECT("'"&amp;$A46&amp;"'!$A$12:$Z$19"),MATCH("Points (Auto-generate)",INDIRECT("'"&amp;$A46&amp;"'!$A$12:$Z$12"),0),0)),"ER"))</f>
        <v>NA</v>
      </c>
      <c r="J46" s="1" t="n">
        <f aca="true">IF($F46=0,"NA",IF($A46=INDIRECT("'"&amp;$A46&amp;"'!$B$1"),IF(VLOOKUP(J$1,INDIRECT("'"&amp;$A46&amp;"'!$A$12:$Z$19"),MATCH("Points (Auto-generate)",INDIRECT("'"&amp;$A46&amp;"'!$A$12:$Z$12"),0),0)="","?",VLOOKUP(J$1,INDIRECT("'"&amp;$A46&amp;"'!$A$12:$Z$19"),MATCH("Points (Auto-generate)",INDIRECT("'"&amp;$A46&amp;"'!$A$12:$Z$12"),0),0)),"ER"))</f>
        <v>2.5</v>
      </c>
      <c r="K46" s="1" t="str">
        <f aca="true">IF($F46=0,"NA",IF($A46=INDIRECT("'"&amp;$A46&amp;"'!$B$1"),IF(VLOOKUP(K$1,INDIRECT("'"&amp;$A46&amp;"'!$A$12:$Z$19"),MATCH("Points (Auto-generate)",INDIRECT("'"&amp;$A46&amp;"'!$A$12:$Z$12"),0),0)="","?",VLOOKUP(K$1,INDIRECT("'"&amp;$A46&amp;"'!$A$12:$Z$19"),MATCH("Points (Auto-generate)",INDIRECT("'"&amp;$A46&amp;"'!$A$12:$Z$12"),0),0)),"ER"))</f>
        <v>NA</v>
      </c>
      <c r="L46" s="1" t="str">
        <f aca="true">IF($F46=0,"NA",IF($A46=INDIRECT("'"&amp;$A46&amp;"'!$B$1"),IF(VLOOKUP(L$1,INDIRECT("'"&amp;$A46&amp;"'!$A$12:$Z$19"),MATCH("Points (Auto-generate)",INDIRECT("'"&amp;$A46&amp;"'!$A$12:$Z$12"),0),0)="","?",VLOOKUP(L$1,INDIRECT("'"&amp;$A46&amp;"'!$A$12:$Z$19"),MATCH("Points (Auto-generate)",INDIRECT("'"&amp;$A46&amp;"'!$A$12:$Z$12"),0),0)),"ER"))</f>
        <v>NA</v>
      </c>
      <c r="M46" s="1" t="str">
        <f aca="true">IF($F46=0,"NA",IF($A46=INDIRECT("'"&amp;$A46&amp;"'!$B$1"),IF(VLOOKUP(M$1,INDIRECT("'"&amp;$A46&amp;"'!$A$12:$Z$19"),MATCH("Points (Auto-generate)",INDIRECT("'"&amp;$A46&amp;"'!$A$12:$Z$12"),0),0)="","?",VLOOKUP(M$1,INDIRECT("'"&amp;$A46&amp;"'!$A$12:$Z$19"),MATCH("Points (Auto-generate)",INDIRECT("'"&amp;$A46&amp;"'!$A$12:$Z$12"),0),0)),"ER"))</f>
        <v>?</v>
      </c>
    </row>
    <row r="47" customFormat="false" ht="15" hidden="false" customHeight="true" outlineLevel="0" collapsed="false">
      <c r="A47" s="5" t="s">
        <v>70</v>
      </c>
      <c r="B47" s="5" t="str">
        <f aca="false">VLOOKUP($A47,'PARASTATAL Questions'!$A:$J,3,0)&amp;""</f>
        <v>State Capacities</v>
      </c>
      <c r="C47" s="5" t="str">
        <f aca="false">VLOOKUP($A47,'PARASTATAL Questions'!$A:$J,4,0)&amp;""</f>
        <v>MQ</v>
      </c>
      <c r="D47" s="5" t="str">
        <f aca="false">VLOOKUP($A47,'PARASTATAL Questions'!$A:$J,5,0)&amp;""</f>
        <v>What proportion of the parastatal's total expenditure is financed through its own revenues?</v>
      </c>
      <c r="E47" s="5" t="str">
        <f aca="false">VLOOKUP($A47,'PARASTATAL Questions'!$A:$J,7,0)&amp;""</f>
        <v>Implementation (Numeric)</v>
      </c>
      <c r="F47" s="5" t="n">
        <f aca="false">VLOOKUP($A47,'PARASTATAL Questions'!$A:$J,6,0)</f>
        <v>10</v>
      </c>
      <c r="G47" s="5" t="str">
        <f aca="true">IF($F47=0,"NA",IF($A47=INDIRECT("'"&amp;$A47&amp;"'!$B$1"),IF(VLOOKUP(G$1,INDIRECT("'"&amp;$A47&amp;"'!$A$12:$Z$19"),MATCH("Points (Auto-generate)",INDIRECT("'"&amp;$A47&amp;"'!$A$12:$Z$12"),0),0)="","?",VLOOKUP(G$1,INDIRECT("'"&amp;$A47&amp;"'!$A$12:$Z$19"),MATCH("Points (Auto-generate)",INDIRECT("'"&amp;$A47&amp;"'!$A$12:$Z$12"),0),0)),"ER"))</f>
        <v>?</v>
      </c>
      <c r="H47" s="5" t="str">
        <f aca="true">IF($F47=0,"NA",IF($A47=INDIRECT("'"&amp;$A47&amp;"'!$B$1"),IF(VLOOKUP(H$1,INDIRECT("'"&amp;$A47&amp;"'!$A$12:$Z$19"),MATCH("Points (Auto-generate)",INDIRECT("'"&amp;$A47&amp;"'!$A$12:$Z$12"),0),0)="","?",VLOOKUP(H$1,INDIRECT("'"&amp;$A47&amp;"'!$A$12:$Z$19"),MATCH("Points (Auto-generate)",INDIRECT("'"&amp;$A47&amp;"'!$A$12:$Z$12"),0),0)),"ER"))</f>
        <v>?</v>
      </c>
      <c r="I47" s="5" t="str">
        <f aca="true">IF($F47=0,"NA",IF($A47=INDIRECT("'"&amp;$A47&amp;"'!$B$1"),IF(VLOOKUP(I$1,INDIRECT("'"&amp;$A47&amp;"'!$A$12:$Z$19"),MATCH("Points (Auto-generate)",INDIRECT("'"&amp;$A47&amp;"'!$A$12:$Z$12"),0),0)="","?",VLOOKUP(I$1,INDIRECT("'"&amp;$A47&amp;"'!$A$12:$Z$19"),MATCH("Points (Auto-generate)",INDIRECT("'"&amp;$A47&amp;"'!$A$12:$Z$12"),0),0)),"ER"))</f>
        <v>?</v>
      </c>
      <c r="J47" s="5" t="str">
        <f aca="true">IF($F47=0,"NA",IF($A47=INDIRECT("'"&amp;$A47&amp;"'!$B$1"),IF(VLOOKUP(J$1,INDIRECT("'"&amp;$A47&amp;"'!$A$12:$Z$19"),MATCH("Points (Auto-generate)",INDIRECT("'"&amp;$A47&amp;"'!$A$12:$Z$12"),0),0)="","?",VLOOKUP(J$1,INDIRECT("'"&amp;$A47&amp;"'!$A$12:$Z$19"),MATCH("Points (Auto-generate)",INDIRECT("'"&amp;$A47&amp;"'!$A$12:$Z$12"),0),0)),"ER"))</f>
        <v>NA</v>
      </c>
      <c r="K47" s="5" t="str">
        <f aca="true">IF($F47=0,"NA",IF($A47=INDIRECT("'"&amp;$A47&amp;"'!$B$1"),IF(VLOOKUP(K$1,INDIRECT("'"&amp;$A47&amp;"'!$A$12:$Z$19"),MATCH("Points (Auto-generate)",INDIRECT("'"&amp;$A47&amp;"'!$A$12:$Z$12"),0),0)="","?",VLOOKUP(K$1,INDIRECT("'"&amp;$A47&amp;"'!$A$12:$Z$19"),MATCH("Points (Auto-generate)",INDIRECT("'"&amp;$A47&amp;"'!$A$12:$Z$12"),0),0)),"ER"))</f>
        <v>NA</v>
      </c>
      <c r="L47" s="5" t="str">
        <f aca="true">IF($F47=0,"NA",IF($A47=INDIRECT("'"&amp;$A47&amp;"'!$B$1"),IF(VLOOKUP(L$1,INDIRECT("'"&amp;$A47&amp;"'!$A$12:$Z$19"),MATCH("Points (Auto-generate)",INDIRECT("'"&amp;$A47&amp;"'!$A$12:$Z$12"),0),0)="","?",VLOOKUP(L$1,INDIRECT("'"&amp;$A47&amp;"'!$A$12:$Z$19"),MATCH("Points (Auto-generate)",INDIRECT("'"&amp;$A47&amp;"'!$A$12:$Z$12"),0),0)),"ER"))</f>
        <v>NA</v>
      </c>
      <c r="M47" s="5" t="str">
        <f aca="true">IF($F47=0,"NA",IF($A47=INDIRECT("'"&amp;$A47&amp;"'!$B$1"),IF(VLOOKUP(M$1,INDIRECT("'"&amp;$A47&amp;"'!$A$12:$Z$19"),MATCH("Points (Auto-generate)",INDIRECT("'"&amp;$A47&amp;"'!$A$12:$Z$12"),0),0)="","?",VLOOKUP(M$1,INDIRECT("'"&amp;$A47&amp;"'!$A$12:$Z$19"),MATCH("Points (Auto-generate)",INDIRECT("'"&amp;$A47&amp;"'!$A$12:$Z$12"),0),0)),"ER"))</f>
        <v>NA</v>
      </c>
    </row>
    <row r="48" customFormat="false" ht="15" hidden="false" customHeight="true" outlineLevel="0" collapsed="false">
      <c r="A48" s="5" t="s">
        <v>71</v>
      </c>
      <c r="B48" s="5" t="str">
        <f aca="false">VLOOKUP($A48,'PARASTATAL Questions'!$A:$J,3,0)&amp;""</f>
        <v>State Capacities</v>
      </c>
      <c r="C48" s="5" t="str">
        <f aca="false">VLOOKUP($A48,'PARASTATAL Questions'!$A:$J,4,0)&amp;""</f>
        <v>MQ</v>
      </c>
      <c r="D48" s="5" t="str">
        <f aca="false">VLOOKUP($A48,'PARASTATAL Questions'!$A:$J,5,0)&amp;""</f>
        <v>What is the parastatal's per-capita capital expenditure?</v>
      </c>
      <c r="E48" s="5" t="str">
        <f aca="false">VLOOKUP($A48,'PARASTATAL Questions'!$A:$J,7,0)&amp;""</f>
        <v>Implementation (Numeric)</v>
      </c>
      <c r="F48" s="5" t="n">
        <f aca="false">VLOOKUP($A48,'PARASTATAL Questions'!$A:$J,6,0)</f>
        <v>10</v>
      </c>
      <c r="G48" s="5" t="str">
        <f aca="true">IF($F48=0,"NA",IF($A48=INDIRECT("'"&amp;$A48&amp;"'!$B$1"),IF(VLOOKUP(G$1,INDIRECT("'"&amp;$A48&amp;"'!$A$12:$Z$19"),MATCH("Points (Auto-generate)",INDIRECT("'"&amp;$A48&amp;"'!$A$12:$Z$12"),0),0)="","?",VLOOKUP(G$1,INDIRECT("'"&amp;$A48&amp;"'!$A$12:$Z$19"),MATCH("Points (Auto-generate)",INDIRECT("'"&amp;$A48&amp;"'!$A$12:$Z$12"),0),0)),"ER"))</f>
        <v>?</v>
      </c>
      <c r="H48" s="5" t="str">
        <f aca="true">IF($F48=0,"NA",IF($A48=INDIRECT("'"&amp;$A48&amp;"'!$B$1"),IF(VLOOKUP(H$1,INDIRECT("'"&amp;$A48&amp;"'!$A$12:$Z$19"),MATCH("Points (Auto-generate)",INDIRECT("'"&amp;$A48&amp;"'!$A$12:$Z$12"),0),0)="","?",VLOOKUP(H$1,INDIRECT("'"&amp;$A48&amp;"'!$A$12:$Z$19"),MATCH("Points (Auto-generate)",INDIRECT("'"&amp;$A48&amp;"'!$A$12:$Z$12"),0),0)),"ER"))</f>
        <v>?</v>
      </c>
      <c r="I48" s="5" t="str">
        <f aca="true">IF($F48=0,"NA",IF($A48=INDIRECT("'"&amp;$A48&amp;"'!$B$1"),IF(VLOOKUP(I$1,INDIRECT("'"&amp;$A48&amp;"'!$A$12:$Z$19"),MATCH("Points (Auto-generate)",INDIRECT("'"&amp;$A48&amp;"'!$A$12:$Z$12"),0),0)="","?",VLOOKUP(I$1,INDIRECT("'"&amp;$A48&amp;"'!$A$12:$Z$19"),MATCH("Points (Auto-generate)",INDIRECT("'"&amp;$A48&amp;"'!$A$12:$Z$12"),0),0)),"ER"))</f>
        <v>?</v>
      </c>
      <c r="J48" s="5" t="str">
        <f aca="true">IF($F48=0,"NA",IF($A48=INDIRECT("'"&amp;$A48&amp;"'!$B$1"),IF(VLOOKUP(J$1,INDIRECT("'"&amp;$A48&amp;"'!$A$12:$Z$19"),MATCH("Points (Auto-generate)",INDIRECT("'"&amp;$A48&amp;"'!$A$12:$Z$12"),0),0)="","?",VLOOKUP(J$1,INDIRECT("'"&amp;$A48&amp;"'!$A$12:$Z$19"),MATCH("Points (Auto-generate)",INDIRECT("'"&amp;$A48&amp;"'!$A$12:$Z$12"),0),0)),"ER"))</f>
        <v>?</v>
      </c>
      <c r="K48" s="5" t="str">
        <f aca="true">IF($F48=0,"NA",IF($A48=INDIRECT("'"&amp;$A48&amp;"'!$B$1"),IF(VLOOKUP(K$1,INDIRECT("'"&amp;$A48&amp;"'!$A$12:$Z$19"),MATCH("Points (Auto-generate)",INDIRECT("'"&amp;$A48&amp;"'!$A$12:$Z$12"),0),0)="","?",VLOOKUP(K$1,INDIRECT("'"&amp;$A48&amp;"'!$A$12:$Z$19"),MATCH("Points (Auto-generate)",INDIRECT("'"&amp;$A48&amp;"'!$A$12:$Z$12"),0),0)),"ER"))</f>
        <v>NA</v>
      </c>
      <c r="L48" s="5" t="str">
        <f aca="true">IF($F48=0,"NA",IF($A48=INDIRECT("'"&amp;$A48&amp;"'!$B$1"),IF(VLOOKUP(L$1,INDIRECT("'"&amp;$A48&amp;"'!$A$12:$Z$19"),MATCH("Points (Auto-generate)",INDIRECT("'"&amp;$A48&amp;"'!$A$12:$Z$12"),0),0)="","?",VLOOKUP(L$1,INDIRECT("'"&amp;$A48&amp;"'!$A$12:$Z$19"),MATCH("Points (Auto-generate)",INDIRECT("'"&amp;$A48&amp;"'!$A$12:$Z$12"),0),0)),"ER"))</f>
        <v>NA</v>
      </c>
      <c r="M48" s="5" t="str">
        <f aca="true">IF($F48=0,"NA",IF($A48=INDIRECT("'"&amp;$A48&amp;"'!$B$1"),IF(VLOOKUP(M$1,INDIRECT("'"&amp;$A48&amp;"'!$A$12:$Z$19"),MATCH("Points (Auto-generate)",INDIRECT("'"&amp;$A48&amp;"'!$A$12:$Z$12"),0),0)="","?",VLOOKUP(M$1,INDIRECT("'"&amp;$A48&amp;"'!$A$12:$Z$19"),MATCH("Points (Auto-generate)",INDIRECT("'"&amp;$A48&amp;"'!$A$12:$Z$12"),0),0)),"ER"))</f>
        <v>?</v>
      </c>
    </row>
    <row r="49" customFormat="false" ht="15" hidden="false" customHeight="true" outlineLevel="0" collapsed="false">
      <c r="A49" s="5" t="s">
        <v>72</v>
      </c>
      <c r="B49" s="5" t="str">
        <f aca="false">VLOOKUP($A49,'PARASTATAL Questions'!$A:$J,3,0)&amp;""</f>
        <v>State Capacities</v>
      </c>
      <c r="C49" s="5" t="str">
        <f aca="false">VLOOKUP($A49,'PARASTATAL Questions'!$A:$J,4,0)&amp;""</f>
        <v>MQ</v>
      </c>
      <c r="D49" s="5" t="str">
        <f aca="false">VLOOKUP($A49,'PARASTATAL Questions'!$A:$J,5,0)&amp;""</f>
        <v>How realistic is the parastatal's annual budget?</v>
      </c>
      <c r="E49" s="5" t="str">
        <f aca="false">VLOOKUP($A49,'PARASTATAL Questions'!$A:$J,7,0)&amp;""</f>
        <v>Implementation (Numeric)</v>
      </c>
      <c r="F49" s="5" t="n">
        <f aca="false">VLOOKUP($A49,'PARASTATAL Questions'!$A:$J,6,0)</f>
        <v>10</v>
      </c>
      <c r="G49" s="5" t="str">
        <f aca="true">IF($F49=0,"NA",IF($A49=INDIRECT("'"&amp;$A49&amp;"'!$B$1"),IF(VLOOKUP(G$1,INDIRECT("'"&amp;$A49&amp;"'!$A$12:$Z$19"),MATCH("Points (Auto-generate)",INDIRECT("'"&amp;$A49&amp;"'!$A$12:$Z$12"),0),0)="","?",VLOOKUP(G$1,INDIRECT("'"&amp;$A49&amp;"'!$A$12:$Z$19"),MATCH("Points (Auto-generate)",INDIRECT("'"&amp;$A49&amp;"'!$A$12:$Z$12"),0),0)),"ER"))</f>
        <v>?</v>
      </c>
      <c r="H49" s="5" t="str">
        <f aca="true">IF($F49=0,"NA",IF($A49=INDIRECT("'"&amp;$A49&amp;"'!$B$1"),IF(VLOOKUP(H$1,INDIRECT("'"&amp;$A49&amp;"'!$A$12:$Z$19"),MATCH("Points (Auto-generate)",INDIRECT("'"&amp;$A49&amp;"'!$A$12:$Z$12"),0),0)="","?",VLOOKUP(H$1,INDIRECT("'"&amp;$A49&amp;"'!$A$12:$Z$19"),MATCH("Points (Auto-generate)",INDIRECT("'"&amp;$A49&amp;"'!$A$12:$Z$12"),0),0)),"ER"))</f>
        <v>?</v>
      </c>
      <c r="I49" s="5" t="str">
        <f aca="true">IF($F49=0,"NA",IF($A49=INDIRECT("'"&amp;$A49&amp;"'!$B$1"),IF(VLOOKUP(I$1,INDIRECT("'"&amp;$A49&amp;"'!$A$12:$Z$19"),MATCH("Points (Auto-generate)",INDIRECT("'"&amp;$A49&amp;"'!$A$12:$Z$12"),0),0)="","?",VLOOKUP(I$1,INDIRECT("'"&amp;$A49&amp;"'!$A$12:$Z$19"),MATCH("Points (Auto-generate)",INDIRECT("'"&amp;$A49&amp;"'!$A$12:$Z$12"),0),0)),"ER"))</f>
        <v>?</v>
      </c>
      <c r="J49" s="5" t="str">
        <f aca="true">IF($F49=0,"NA",IF($A49=INDIRECT("'"&amp;$A49&amp;"'!$B$1"),IF(VLOOKUP(J$1,INDIRECT("'"&amp;$A49&amp;"'!$A$12:$Z$19"),MATCH("Points (Auto-generate)",INDIRECT("'"&amp;$A49&amp;"'!$A$12:$Z$12"),0),0)="","?",VLOOKUP(J$1,INDIRECT("'"&amp;$A49&amp;"'!$A$12:$Z$19"),MATCH("Points (Auto-generate)",INDIRECT("'"&amp;$A49&amp;"'!$A$12:$Z$12"),0),0)),"ER"))</f>
        <v>?</v>
      </c>
      <c r="K49" s="5" t="str">
        <f aca="true">IF($F49=0,"NA",IF($A49=INDIRECT("'"&amp;$A49&amp;"'!$B$1"),IF(VLOOKUP(K$1,INDIRECT("'"&amp;$A49&amp;"'!$A$12:$Z$19"),MATCH("Points (Auto-generate)",INDIRECT("'"&amp;$A49&amp;"'!$A$12:$Z$12"),0),0)="","?",VLOOKUP(K$1,INDIRECT("'"&amp;$A49&amp;"'!$A$12:$Z$19"),MATCH("Points (Auto-generate)",INDIRECT("'"&amp;$A49&amp;"'!$A$12:$Z$12"),0),0)),"ER"))</f>
        <v>?</v>
      </c>
      <c r="L49" s="5" t="str">
        <f aca="true">IF($F49=0,"NA",IF($A49=INDIRECT("'"&amp;$A49&amp;"'!$B$1"),IF(VLOOKUP(L$1,INDIRECT("'"&amp;$A49&amp;"'!$A$12:$Z$19"),MATCH("Points (Auto-generate)",INDIRECT("'"&amp;$A49&amp;"'!$A$12:$Z$12"),0),0)="","?",VLOOKUP(L$1,INDIRECT("'"&amp;$A49&amp;"'!$A$12:$Z$19"),MATCH("Points (Auto-generate)",INDIRECT("'"&amp;$A49&amp;"'!$A$12:$Z$12"),0),0)),"ER"))</f>
        <v>?</v>
      </c>
      <c r="M49" s="5" t="str">
        <f aca="true">IF($F49=0,"NA",IF($A49=INDIRECT("'"&amp;$A49&amp;"'!$B$1"),IF(VLOOKUP(M$1,INDIRECT("'"&amp;$A49&amp;"'!$A$12:$Z$19"),MATCH("Points (Auto-generate)",INDIRECT("'"&amp;$A49&amp;"'!$A$12:$Z$12"),0),0)="","?",VLOOKUP(M$1,INDIRECT("'"&amp;$A49&amp;"'!$A$12:$Z$19"),MATCH("Points (Auto-generate)",INDIRECT("'"&amp;$A49&amp;"'!$A$12:$Z$12"),0),0)),"ER"))</f>
        <v>?</v>
      </c>
    </row>
    <row r="50" customFormat="false" ht="15" hidden="false" customHeight="true" outlineLevel="0" collapsed="false">
      <c r="A50" s="5" t="s">
        <v>73</v>
      </c>
      <c r="B50" s="5" t="str">
        <f aca="false">VLOOKUP($A50,'PARASTATAL Questions'!$A:$J,3,0)&amp;""</f>
        <v>State Capacities</v>
      </c>
      <c r="C50" s="5" t="str">
        <f aca="false">VLOOKUP($A50,'PARASTATAL Questions'!$A:$J,4,0)&amp;""</f>
        <v>MQ</v>
      </c>
      <c r="D50" s="5" t="str">
        <f aca="false">VLOOKUP($A50,'PARASTATAL Questions'!$A:$J,5,0)&amp;""</f>
        <v>Is the parastatal mandated to prepare a medium-term and/or long-term fiscal plan, and has it prepared a current plan in accordance with that mandate?</v>
      </c>
      <c r="E50" s="5" t="str">
        <f aca="false">VLOOKUP($A50,'PARASTATAL Questions'!$A:$J,7,0)&amp;""</f>
        <v>Law/Policy</v>
      </c>
      <c r="F50" s="5" t="n">
        <f aca="false">VLOOKUP($A50,'PARASTATAL Questions'!$A:$J,6,0)</f>
        <v>10</v>
      </c>
      <c r="G50" s="5" t="str">
        <f aca="false">IF(OR(G51="ER",G52="ER"),"ER",IF(OR(G51="?",G52="?"),"?",IF(AND(G51="NA",G52="NA"),"NA",SUM(G51,G52)/((G51&lt;&gt;"NA")*$F$51+(G52&lt;&gt;"NA")*$F$52)*$F50)))</f>
        <v>?</v>
      </c>
      <c r="H50" s="5" t="str">
        <f aca="false">IF(OR(H51="ER",H52="ER"),"ER",IF(OR(H51="?",H52="?"),"?",IF(AND(H51="NA",H52="NA"),"NA",SUM(H51,H52)/((H51&lt;&gt;"NA")*$F$51+(H52&lt;&gt;"NA")*$F$52)*$F50)))</f>
        <v>?</v>
      </c>
      <c r="I50" s="5" t="str">
        <f aca="false">IF(OR(I51="ER",I52="ER"),"ER",IF(OR(I51="?",I52="?"),"?",IF(AND(I51="NA",I52="NA"),"NA",SUM(I51,I52)/((I51&lt;&gt;"NA")*$F$51+(I52&lt;&gt;"NA")*$F$52)*$F50)))</f>
        <v>?</v>
      </c>
      <c r="J50" s="5" t="str">
        <f aca="false">IF(OR(J51="ER",J52="ER"),"ER",IF(OR(J51="?",J52="?"),"?",IF(AND(J51="NA",J52="NA"),"NA",SUM(J51,J52)/((J51&lt;&gt;"NA")*$F$51+(J52&lt;&gt;"NA")*$F$52)*$F50)))</f>
        <v>?</v>
      </c>
      <c r="K50" s="5" t="str">
        <f aca="false">IF(OR(K51="ER",K52="ER"),"ER",IF(OR(K51="?",K52="?"),"?",IF(AND(K51="NA",K52="NA"),"NA",SUM(K51,K52)/((K51&lt;&gt;"NA")*$F$51+(K52&lt;&gt;"NA")*$F$52)*$F50)))</f>
        <v>?</v>
      </c>
      <c r="L50" s="5" t="str">
        <f aca="false">IF(OR(L51="ER",L52="ER"),"ER",IF(OR(L51="?",L52="?"),"?",IF(AND(L51="NA",L52="NA"),"NA",SUM(L51,L52)/((L51&lt;&gt;"NA")*$F$51+(L52&lt;&gt;"NA")*$F$52)*$F50)))</f>
        <v>?</v>
      </c>
      <c r="M50" s="5" t="str">
        <f aca="false">IF(OR(M51="ER",M52="ER"),"ER",IF(OR(M51="?",M52="?"),"?",IF(AND(M51="NA",M52="NA"),"NA",SUM(M51,M52)/((M51&lt;&gt;"NA")*$F$51+(M52&lt;&gt;"NA")*$F$52)*$F50)))</f>
        <v>?</v>
      </c>
    </row>
    <row r="51" customFormat="false" ht="15" hidden="false" customHeight="true" outlineLevel="0" collapsed="false">
      <c r="A51" s="1" t="s">
        <v>74</v>
      </c>
      <c r="B51" s="1" t="str">
        <f aca="false">VLOOKUP($A51,'PARASTATAL Questions'!$A:$J,3,0)&amp;""</f>
        <v>State Capacities</v>
      </c>
      <c r="C51" s="1" t="str">
        <f aca="false">VLOOKUP($A51,'PARASTATAL Questions'!$A:$J,4,0)&amp;""</f>
        <v>SQ</v>
      </c>
      <c r="D51" s="1" t="str">
        <f aca="false">VLOOKUP($A51,'PARASTATAL Questions'!$A:$J,5,0)&amp;""</f>
        <v>Is a medium-term (3-5 year) and/or long-term (&gt;5 year) fiscal plan legally mandated?</v>
      </c>
      <c r="E51" s="1" t="str">
        <f aca="false">VLOOKUP($A51,'PARASTATAL Questions'!$A:$J,7,0)&amp;""</f>
        <v>Law/Policy</v>
      </c>
      <c r="F51" s="1" t="n">
        <f aca="false">VLOOKUP($A51,'PARASTATAL Questions'!$A:$J,6,0)</f>
        <v>5</v>
      </c>
      <c r="G51" s="1" t="str">
        <f aca="true">IF($F51=0,"NA",IF($A51=INDIRECT("'"&amp;$A51&amp;"'!$B$1"),IF(VLOOKUP(G$1,INDIRECT("'"&amp;$A51&amp;"'!$A$12:$Z$19"),MATCH("Points (Auto-generate)",INDIRECT("'"&amp;$A51&amp;"'!$A$12:$Z$12"),0),0)="","?",VLOOKUP(G$1,INDIRECT("'"&amp;$A51&amp;"'!$A$12:$Z$19"),MATCH("Points (Auto-generate)",INDIRECT("'"&amp;$A51&amp;"'!$A$12:$Z$12"),0),0)),"ER"))</f>
        <v>?</v>
      </c>
      <c r="H51" s="1" t="str">
        <f aca="true">IF($F51=0,"NA",IF($A51=INDIRECT("'"&amp;$A51&amp;"'!$B$1"),IF(VLOOKUP(H$1,INDIRECT("'"&amp;$A51&amp;"'!$A$12:$Z$19"),MATCH("Points (Auto-generate)",INDIRECT("'"&amp;$A51&amp;"'!$A$12:$Z$12"),0),0)="","?",VLOOKUP(H$1,INDIRECT("'"&amp;$A51&amp;"'!$A$12:$Z$19"),MATCH("Points (Auto-generate)",INDIRECT("'"&amp;$A51&amp;"'!$A$12:$Z$12"),0),0)),"ER"))</f>
        <v>?</v>
      </c>
      <c r="I51" s="1" t="str">
        <f aca="true">IF($F51=0,"NA",IF($A51=INDIRECT("'"&amp;$A51&amp;"'!$B$1"),IF(VLOOKUP(I$1,INDIRECT("'"&amp;$A51&amp;"'!$A$12:$Z$19"),MATCH("Points (Auto-generate)",INDIRECT("'"&amp;$A51&amp;"'!$A$12:$Z$12"),0),0)="","?",VLOOKUP(I$1,INDIRECT("'"&amp;$A51&amp;"'!$A$12:$Z$19"),MATCH("Points (Auto-generate)",INDIRECT("'"&amp;$A51&amp;"'!$A$12:$Z$12"),0),0)),"ER"))</f>
        <v>?</v>
      </c>
      <c r="J51" s="1" t="str">
        <f aca="true">IF($F51=0,"NA",IF($A51=INDIRECT("'"&amp;$A51&amp;"'!$B$1"),IF(VLOOKUP(J$1,INDIRECT("'"&amp;$A51&amp;"'!$A$12:$Z$19"),MATCH("Points (Auto-generate)",INDIRECT("'"&amp;$A51&amp;"'!$A$12:$Z$12"),0),0)="","?",VLOOKUP(J$1,INDIRECT("'"&amp;$A51&amp;"'!$A$12:$Z$19"),MATCH("Points (Auto-generate)",INDIRECT("'"&amp;$A51&amp;"'!$A$12:$Z$12"),0),0)),"ER"))</f>
        <v>?</v>
      </c>
      <c r="K51" s="1" t="str">
        <f aca="true">IF($F51=0,"NA",IF($A51=INDIRECT("'"&amp;$A51&amp;"'!$B$1"),IF(VLOOKUP(K$1,INDIRECT("'"&amp;$A51&amp;"'!$A$12:$Z$19"),MATCH("Points (Auto-generate)",INDIRECT("'"&amp;$A51&amp;"'!$A$12:$Z$12"),0),0)="","?",VLOOKUP(K$1,INDIRECT("'"&amp;$A51&amp;"'!$A$12:$Z$19"),MATCH("Points (Auto-generate)",INDIRECT("'"&amp;$A51&amp;"'!$A$12:$Z$12"),0),0)),"ER"))</f>
        <v>?</v>
      </c>
      <c r="L51" s="1" t="str">
        <f aca="true">IF($F51=0,"NA",IF($A51=INDIRECT("'"&amp;$A51&amp;"'!$B$1"),IF(VLOOKUP(L$1,INDIRECT("'"&amp;$A51&amp;"'!$A$12:$Z$19"),MATCH("Points (Auto-generate)",INDIRECT("'"&amp;$A51&amp;"'!$A$12:$Z$12"),0),0)="","?",VLOOKUP(L$1,INDIRECT("'"&amp;$A51&amp;"'!$A$12:$Z$19"),MATCH("Points (Auto-generate)",INDIRECT("'"&amp;$A51&amp;"'!$A$12:$Z$12"),0),0)),"ER"))</f>
        <v>?</v>
      </c>
      <c r="M51" s="1" t="str">
        <f aca="true">IF($F51=0,"NA",IF($A51=INDIRECT("'"&amp;$A51&amp;"'!$B$1"),IF(VLOOKUP(M$1,INDIRECT("'"&amp;$A51&amp;"'!$A$12:$Z$19"),MATCH("Points (Auto-generate)",INDIRECT("'"&amp;$A51&amp;"'!$A$12:$Z$12"),0),0)="","?",VLOOKUP(M$1,INDIRECT("'"&amp;$A51&amp;"'!$A$12:$Z$19"),MATCH("Points (Auto-generate)",INDIRECT("'"&amp;$A51&amp;"'!$A$12:$Z$12"),0),0)),"ER"))</f>
        <v>?</v>
      </c>
    </row>
    <row r="52" customFormat="false" ht="15" hidden="false" customHeight="true" outlineLevel="0" collapsed="false">
      <c r="A52" s="1" t="s">
        <v>75</v>
      </c>
      <c r="B52" s="1" t="str">
        <f aca="false">VLOOKUP($A52,'PARASTATAL Questions'!$A:$J,3,0)&amp;""</f>
        <v>State Capacities</v>
      </c>
      <c r="C52" s="1" t="str">
        <f aca="false">VLOOKUP($A52,'PARASTATAL Questions'!$A:$J,4,0)&amp;""</f>
        <v>SQ</v>
      </c>
      <c r="D52" s="1" t="str">
        <f aca="false">VLOOKUP($A52,'PARASTATAL Questions'!$A:$J,5,0)&amp;""</f>
        <v>Is the medium/long-term fiscal plan publicly available?</v>
      </c>
      <c r="E52" s="1" t="str">
        <f aca="false">VLOOKUP($A52,'PARASTATAL Questions'!$A:$J,7,0)&amp;""</f>
        <v>Implementation</v>
      </c>
      <c r="F52" s="1" t="n">
        <f aca="false">VLOOKUP($A52,'PARASTATAL Questions'!$A:$J,6,0)</f>
        <v>5</v>
      </c>
      <c r="G52" s="1" t="str">
        <f aca="true">IF($F52=0,"NA",IF($A52=INDIRECT("'"&amp;$A52&amp;"'!$B$1"),IF(VLOOKUP(G$1,INDIRECT("'"&amp;$A52&amp;"'!$A$12:$Z$19"),MATCH("Points (Auto-generate)",INDIRECT("'"&amp;$A52&amp;"'!$A$12:$Z$12"),0),0)="","?",VLOOKUP(G$1,INDIRECT("'"&amp;$A52&amp;"'!$A$12:$Z$19"),MATCH("Points (Auto-generate)",INDIRECT("'"&amp;$A52&amp;"'!$A$12:$Z$12"),0),0)),"ER"))</f>
        <v>?</v>
      </c>
      <c r="H52" s="1" t="str">
        <f aca="true">IF($F52=0,"NA",IF($A52=INDIRECT("'"&amp;$A52&amp;"'!$B$1"),IF(VLOOKUP(H$1,INDIRECT("'"&amp;$A52&amp;"'!$A$12:$Z$19"),MATCH("Points (Auto-generate)",INDIRECT("'"&amp;$A52&amp;"'!$A$12:$Z$12"),0),0)="","?",VLOOKUP(H$1,INDIRECT("'"&amp;$A52&amp;"'!$A$12:$Z$19"),MATCH("Points (Auto-generate)",INDIRECT("'"&amp;$A52&amp;"'!$A$12:$Z$12"),0),0)),"ER"))</f>
        <v>?</v>
      </c>
      <c r="I52" s="1" t="str">
        <f aca="true">IF($F52=0,"NA",IF($A52=INDIRECT("'"&amp;$A52&amp;"'!$B$1"),IF(VLOOKUP(I$1,INDIRECT("'"&amp;$A52&amp;"'!$A$12:$Z$19"),MATCH("Points (Auto-generate)",INDIRECT("'"&amp;$A52&amp;"'!$A$12:$Z$12"),0),0)="","?",VLOOKUP(I$1,INDIRECT("'"&amp;$A52&amp;"'!$A$12:$Z$19"),MATCH("Points (Auto-generate)",INDIRECT("'"&amp;$A52&amp;"'!$A$12:$Z$12"),0),0)),"ER"))</f>
        <v>?</v>
      </c>
      <c r="J52" s="1" t="str">
        <f aca="true">IF($F52=0,"NA",IF($A52=INDIRECT("'"&amp;$A52&amp;"'!$B$1"),IF(VLOOKUP(J$1,INDIRECT("'"&amp;$A52&amp;"'!$A$12:$Z$19"),MATCH("Points (Auto-generate)",INDIRECT("'"&amp;$A52&amp;"'!$A$12:$Z$12"),0),0)="","?",VLOOKUP(J$1,INDIRECT("'"&amp;$A52&amp;"'!$A$12:$Z$19"),MATCH("Points (Auto-generate)",INDIRECT("'"&amp;$A52&amp;"'!$A$12:$Z$12"),0),0)),"ER"))</f>
        <v>?</v>
      </c>
      <c r="K52" s="1" t="str">
        <f aca="true">IF($F52=0,"NA",IF($A52=INDIRECT("'"&amp;$A52&amp;"'!$B$1"),IF(VLOOKUP(K$1,INDIRECT("'"&amp;$A52&amp;"'!$A$12:$Z$19"),MATCH("Points (Auto-generate)",INDIRECT("'"&amp;$A52&amp;"'!$A$12:$Z$12"),0),0)="","?",VLOOKUP(K$1,INDIRECT("'"&amp;$A52&amp;"'!$A$12:$Z$19"),MATCH("Points (Auto-generate)",INDIRECT("'"&amp;$A52&amp;"'!$A$12:$Z$12"),0),0)),"ER"))</f>
        <v>?</v>
      </c>
      <c r="L52" s="1" t="str">
        <f aca="true">IF($F52=0,"NA",IF($A52=INDIRECT("'"&amp;$A52&amp;"'!$B$1"),IF(VLOOKUP(L$1,INDIRECT("'"&amp;$A52&amp;"'!$A$12:$Z$19"),MATCH("Points (Auto-generate)",INDIRECT("'"&amp;$A52&amp;"'!$A$12:$Z$12"),0),0)="","?",VLOOKUP(L$1,INDIRECT("'"&amp;$A52&amp;"'!$A$12:$Z$19"),MATCH("Points (Auto-generate)",INDIRECT("'"&amp;$A52&amp;"'!$A$12:$Z$12"),0),0)),"ER"))</f>
        <v>?</v>
      </c>
      <c r="M52" s="1" t="str">
        <f aca="true">IF($F52=0,"NA",IF($A52=INDIRECT("'"&amp;$A52&amp;"'!$B$1"),IF(VLOOKUP(M$1,INDIRECT("'"&amp;$A52&amp;"'!$A$12:$Z$19"),MATCH("Points (Auto-generate)",INDIRECT("'"&amp;$A52&amp;"'!$A$12:$Z$12"),0),0)="","?",VLOOKUP(M$1,INDIRECT("'"&amp;$A52&amp;"'!$A$12:$Z$19"),MATCH("Points (Auto-generate)",INDIRECT("'"&amp;$A52&amp;"'!$A$12:$Z$12"),0),0)),"ER"))</f>
        <v>?</v>
      </c>
    </row>
    <row r="53" customFormat="false" ht="15" hidden="false" customHeight="true" outlineLevel="0" collapsed="false">
      <c r="A53" s="5" t="s">
        <v>76</v>
      </c>
      <c r="B53" s="5" t="str">
        <f aca="false">VLOOKUP($A53,'PARASTATAL Questions'!$A:$J,3,0)&amp;""</f>
        <v>State Capacities</v>
      </c>
      <c r="C53" s="5" t="str">
        <f aca="false">VLOOKUP($A53,'PARASTATAL Questions'!$A:$J,4,0)&amp;""</f>
        <v>MQ</v>
      </c>
      <c r="D53" s="5" t="str">
        <f aca="false">VLOOKUP($A53,'PARASTATAL Questions'!$A:$J,5,0)&amp;""</f>
        <v>Does the parastatal follow a double-entry accounting system?</v>
      </c>
      <c r="E53" s="5" t="str">
        <f aca="false">VLOOKUP($A53,'PARASTATAL Questions'!$A:$J,7,0)&amp;""</f>
        <v>Implementation</v>
      </c>
      <c r="F53" s="5" t="n">
        <f aca="false">VLOOKUP($A53,'PARASTATAL Questions'!$A:$J,6,0)</f>
        <v>10</v>
      </c>
      <c r="G53" s="5" t="str">
        <f aca="true">IF($F53=0,"NA",IF($A53=INDIRECT("'"&amp;$A53&amp;"'!$B$1"),IF(VLOOKUP(G$1,INDIRECT("'"&amp;$A53&amp;"'!$A$12:$Z$19"),MATCH("Points (Auto-generate)",INDIRECT("'"&amp;$A53&amp;"'!$A$12:$Z$12"),0),0)="","?",VLOOKUP(G$1,INDIRECT("'"&amp;$A53&amp;"'!$A$12:$Z$19"),MATCH("Points (Auto-generate)",INDIRECT("'"&amp;$A53&amp;"'!$A$12:$Z$12"),0),0)),"ER"))</f>
        <v>?</v>
      </c>
      <c r="H53" s="5" t="str">
        <f aca="true">IF($F53=0,"NA",IF($A53=INDIRECT("'"&amp;$A53&amp;"'!$B$1"),IF(VLOOKUP(H$1,INDIRECT("'"&amp;$A53&amp;"'!$A$12:$Z$19"),MATCH("Points (Auto-generate)",INDIRECT("'"&amp;$A53&amp;"'!$A$12:$Z$12"),0),0)="","?",VLOOKUP(H$1,INDIRECT("'"&amp;$A53&amp;"'!$A$12:$Z$19"),MATCH("Points (Auto-generate)",INDIRECT("'"&amp;$A53&amp;"'!$A$12:$Z$12"),0),0)),"ER"))</f>
        <v>?</v>
      </c>
      <c r="I53" s="5" t="str">
        <f aca="true">IF($F53=0,"NA",IF($A53=INDIRECT("'"&amp;$A53&amp;"'!$B$1"),IF(VLOOKUP(I$1,INDIRECT("'"&amp;$A53&amp;"'!$A$12:$Z$19"),MATCH("Points (Auto-generate)",INDIRECT("'"&amp;$A53&amp;"'!$A$12:$Z$12"),0),0)="","?",VLOOKUP(I$1,INDIRECT("'"&amp;$A53&amp;"'!$A$12:$Z$19"),MATCH("Points (Auto-generate)",INDIRECT("'"&amp;$A53&amp;"'!$A$12:$Z$12"),0),0)),"ER"))</f>
        <v>?</v>
      </c>
      <c r="J53" s="5" t="str">
        <f aca="true">IF($F53=0,"NA",IF($A53=INDIRECT("'"&amp;$A53&amp;"'!$B$1"),IF(VLOOKUP(J$1,INDIRECT("'"&amp;$A53&amp;"'!$A$12:$Z$19"),MATCH("Points (Auto-generate)",INDIRECT("'"&amp;$A53&amp;"'!$A$12:$Z$12"),0),0)="","?",VLOOKUP(J$1,INDIRECT("'"&amp;$A53&amp;"'!$A$12:$Z$19"),MATCH("Points (Auto-generate)",INDIRECT("'"&amp;$A53&amp;"'!$A$12:$Z$12"),0),0)),"ER"))</f>
        <v>?</v>
      </c>
      <c r="K53" s="5" t="str">
        <f aca="true">IF($F53=0,"NA",IF($A53=INDIRECT("'"&amp;$A53&amp;"'!$B$1"),IF(VLOOKUP(K$1,INDIRECT("'"&amp;$A53&amp;"'!$A$12:$Z$19"),MATCH("Points (Auto-generate)",INDIRECT("'"&amp;$A53&amp;"'!$A$12:$Z$12"),0),0)="","?",VLOOKUP(K$1,INDIRECT("'"&amp;$A53&amp;"'!$A$12:$Z$19"),MATCH("Points (Auto-generate)",INDIRECT("'"&amp;$A53&amp;"'!$A$12:$Z$12"),0),0)),"ER"))</f>
        <v>?</v>
      </c>
      <c r="L53" s="5" t="str">
        <f aca="true">IF($F53=0,"NA",IF($A53=INDIRECT("'"&amp;$A53&amp;"'!$B$1"),IF(VLOOKUP(L$1,INDIRECT("'"&amp;$A53&amp;"'!$A$12:$Z$19"),MATCH("Points (Auto-generate)",INDIRECT("'"&amp;$A53&amp;"'!$A$12:$Z$12"),0),0)="","?",VLOOKUP(L$1,INDIRECT("'"&amp;$A53&amp;"'!$A$12:$Z$19"),MATCH("Points (Auto-generate)",INDIRECT("'"&amp;$A53&amp;"'!$A$12:$Z$12"),0),0)),"ER"))</f>
        <v>?</v>
      </c>
      <c r="M53" s="5" t="str">
        <f aca="true">IF($F53=0,"NA",IF($A53=INDIRECT("'"&amp;$A53&amp;"'!$B$1"),IF(VLOOKUP(M$1,INDIRECT("'"&amp;$A53&amp;"'!$A$12:$Z$19"),MATCH("Points (Auto-generate)",INDIRECT("'"&amp;$A53&amp;"'!$A$12:$Z$12"),0),0)="","?",VLOOKUP(M$1,INDIRECT("'"&amp;$A53&amp;"'!$A$12:$Z$19"),MATCH("Points (Auto-generate)",INDIRECT("'"&amp;$A53&amp;"'!$A$12:$Z$12"),0),0)),"ER"))</f>
        <v>?</v>
      </c>
    </row>
    <row r="54" customFormat="false" ht="15" hidden="false" customHeight="true" outlineLevel="0" collapsed="false">
      <c r="A54" s="5" t="s">
        <v>77</v>
      </c>
      <c r="B54" s="5" t="str">
        <f aca="false">VLOOKUP($A54,'PARASTATAL Questions'!$A:$J,3,0)&amp;""</f>
        <v>State Capacities</v>
      </c>
      <c r="C54" s="5" t="str">
        <f aca="false">VLOOKUP($A54,'PARASTATAL Questions'!$A:$J,4,0)&amp;""</f>
        <v>MQ</v>
      </c>
      <c r="D54" s="5" t="str">
        <f aca="false">VLOOKUP($A54,'PARASTATAL Questions'!$A:$J,5,0)&amp;""</f>
        <v>What is the average tenure of the chief executive/executive authority of the parastatal?</v>
      </c>
      <c r="E54" s="5" t="str">
        <f aca="false">VLOOKUP($A54,'PARASTATAL Questions'!$A:$J,7,0)&amp;""</f>
        <v>Implementation (Numeric)</v>
      </c>
      <c r="F54" s="5" t="n">
        <f aca="false">VLOOKUP($A54,'PARASTATAL Questions'!$A:$J,6,0)</f>
        <v>10</v>
      </c>
      <c r="G54" s="5" t="str">
        <f aca="true">IF($F54=0,"NA",IF($A54=INDIRECT("'"&amp;$A54&amp;"'!$B$1"),IF(VLOOKUP(G$1,INDIRECT("'"&amp;$A54&amp;"'!$A$12:$Z$19"),MATCH("Points (Auto-generate)",INDIRECT("'"&amp;$A54&amp;"'!$A$12:$Z$12"),0),0)="","?",VLOOKUP(G$1,INDIRECT("'"&amp;$A54&amp;"'!$A$12:$Z$19"),MATCH("Points (Auto-generate)",INDIRECT("'"&amp;$A54&amp;"'!$A$12:$Z$12"),0),0)),"ER"))</f>
        <v>?</v>
      </c>
      <c r="H54" s="5" t="str">
        <f aca="true">IF($F54=0,"NA",IF($A54=INDIRECT("'"&amp;$A54&amp;"'!$B$1"),IF(VLOOKUP(H$1,INDIRECT("'"&amp;$A54&amp;"'!$A$12:$Z$19"),MATCH("Points (Auto-generate)",INDIRECT("'"&amp;$A54&amp;"'!$A$12:$Z$12"),0),0)="","?",VLOOKUP(H$1,INDIRECT("'"&amp;$A54&amp;"'!$A$12:$Z$19"),MATCH("Points (Auto-generate)",INDIRECT("'"&amp;$A54&amp;"'!$A$12:$Z$12"),0),0)),"ER"))</f>
        <v>?</v>
      </c>
      <c r="I54" s="5" t="str">
        <f aca="true">IF($F54=0,"NA",IF($A54=INDIRECT("'"&amp;$A54&amp;"'!$B$1"),IF(VLOOKUP(I$1,INDIRECT("'"&amp;$A54&amp;"'!$A$12:$Z$19"),MATCH("Points (Auto-generate)",INDIRECT("'"&amp;$A54&amp;"'!$A$12:$Z$12"),0),0)="","?",VLOOKUP(I$1,INDIRECT("'"&amp;$A54&amp;"'!$A$12:$Z$19"),MATCH("Points (Auto-generate)",INDIRECT("'"&amp;$A54&amp;"'!$A$12:$Z$12"),0),0)),"ER"))</f>
        <v>?</v>
      </c>
      <c r="J54" s="5" t="str">
        <f aca="true">IF($F54=0,"NA",IF($A54=INDIRECT("'"&amp;$A54&amp;"'!$B$1"),IF(VLOOKUP(J$1,INDIRECT("'"&amp;$A54&amp;"'!$A$12:$Z$19"),MATCH("Points (Auto-generate)",INDIRECT("'"&amp;$A54&amp;"'!$A$12:$Z$12"),0),0)="","?",VLOOKUP(J$1,INDIRECT("'"&amp;$A54&amp;"'!$A$12:$Z$19"),MATCH("Points (Auto-generate)",INDIRECT("'"&amp;$A54&amp;"'!$A$12:$Z$12"),0),0)),"ER"))</f>
        <v>?</v>
      </c>
      <c r="K54" s="5" t="str">
        <f aca="true">IF($F54=0,"NA",IF($A54=INDIRECT("'"&amp;$A54&amp;"'!$B$1"),IF(VLOOKUP(K$1,INDIRECT("'"&amp;$A54&amp;"'!$A$12:$Z$19"),MATCH("Points (Auto-generate)",INDIRECT("'"&amp;$A54&amp;"'!$A$12:$Z$12"),0),0)="","?",VLOOKUP(K$1,INDIRECT("'"&amp;$A54&amp;"'!$A$12:$Z$19"),MATCH("Points (Auto-generate)",INDIRECT("'"&amp;$A54&amp;"'!$A$12:$Z$12"),0),0)),"ER"))</f>
        <v>?</v>
      </c>
      <c r="L54" s="5" t="str">
        <f aca="true">IF($F54=0,"NA",IF($A54=INDIRECT("'"&amp;$A54&amp;"'!$B$1"),IF(VLOOKUP(L$1,INDIRECT("'"&amp;$A54&amp;"'!$A$12:$Z$19"),MATCH("Points (Auto-generate)",INDIRECT("'"&amp;$A54&amp;"'!$A$12:$Z$12"),0),0)="","?",VLOOKUP(L$1,INDIRECT("'"&amp;$A54&amp;"'!$A$12:$Z$19"),MATCH("Points (Auto-generate)",INDIRECT("'"&amp;$A54&amp;"'!$A$12:$Z$12"),0),0)),"ER"))</f>
        <v>?</v>
      </c>
      <c r="M54" s="5" t="str">
        <f aca="true">IF($F54=0,"NA",IF($A54=INDIRECT("'"&amp;$A54&amp;"'!$B$1"),IF(VLOOKUP(M$1,INDIRECT("'"&amp;$A54&amp;"'!$A$12:$Z$19"),MATCH("Points (Auto-generate)",INDIRECT("'"&amp;$A54&amp;"'!$A$12:$Z$12"),0),0)="","?",VLOOKUP(M$1,INDIRECT("'"&amp;$A54&amp;"'!$A$12:$Z$19"),MATCH("Points (Auto-generate)",INDIRECT("'"&amp;$A54&amp;"'!$A$12:$Z$12"),0),0)),"ER"))</f>
        <v>?</v>
      </c>
    </row>
    <row r="55" customFormat="false" ht="15" hidden="false" customHeight="true" outlineLevel="0" collapsed="false">
      <c r="A55" s="5" t="s">
        <v>78</v>
      </c>
      <c r="B55" s="5" t="str">
        <f aca="false">VLOOKUP($A55,'PARASTATAL Questions'!$A:$J,3,0)&amp;""</f>
        <v>State Capacities</v>
      </c>
      <c r="C55" s="5" t="str">
        <f aca="false">VLOOKUP($A55,'PARASTATAL Questions'!$A:$J,4,0)&amp;""</f>
        <v>MQ</v>
      </c>
      <c r="D55" s="5" t="str">
        <f aca="false">VLOOKUP($A55,'PARASTATAL Questions'!$A:$J,5,0)&amp;""</f>
        <v>Does the parastatal have adequate and representative staffing capacity to discharge its mandate?</v>
      </c>
      <c r="E55" s="5" t="str">
        <f aca="false">VLOOKUP($A55,'PARASTATAL Questions'!$A:$J,7,0)&amp;""</f>
        <v>Implementation (Numeric)</v>
      </c>
      <c r="F55" s="5" t="n">
        <f aca="false">VLOOKUP($A55,'PARASTATAL Questions'!$A:$J,6,0)</f>
        <v>10</v>
      </c>
      <c r="G55" s="5" t="str">
        <f aca="false">IF(OR(G56="ER",G57="ER"),"ER",IF(OR(G56="?",G57="?"),"?",IF(AND(G56="NA",G57="NA"),"NA",SUM(G56,G57)/((G56&lt;&gt;"NA")*$F$56+(G57&lt;&gt;"NA")*$F$57)*$F55)))</f>
        <v>?</v>
      </c>
      <c r="H55" s="5" t="str">
        <f aca="false">IF(OR(H56="ER",H57="ER"),"ER",IF(OR(H56="?",H57="?"),"?",IF(AND(H56="NA",H57="NA"),"NA",SUM(H56,H57)/((H56&lt;&gt;"NA")*$F$56+(H57&lt;&gt;"NA")*$F$57)*$F55)))</f>
        <v>?</v>
      </c>
      <c r="I55" s="5" t="str">
        <f aca="false">IF(OR(I56="ER",I57="ER"),"ER",IF(OR(I56="?",I57="?"),"?",IF(AND(I56="NA",I57="NA"),"NA",SUM(I56,I57)/((I56&lt;&gt;"NA")*$F$56+(I57&lt;&gt;"NA")*$F$57)*$F55)))</f>
        <v>?</v>
      </c>
      <c r="J55" s="5" t="str">
        <f aca="false">IF(OR(J56="ER",J57="ER"),"ER",IF(OR(J56="?",J57="?"),"?",IF(AND(J56="NA",J57="NA"),"NA",SUM(J56,J57)/((J56&lt;&gt;"NA")*$F$56+(J57&lt;&gt;"NA")*$F$57)*$F55)))</f>
        <v>?</v>
      </c>
      <c r="K55" s="5" t="str">
        <f aca="false">IF(OR(K56="ER",K57="ER"),"ER",IF(OR(K56="?",K57="?"),"?",IF(AND(K56="NA",K57="NA"),"NA",SUM(K56,K57)/((K56&lt;&gt;"NA")*$F$56+(K57&lt;&gt;"NA")*$F$57)*$F55)))</f>
        <v>?</v>
      </c>
      <c r="L55" s="5" t="str">
        <f aca="false">IF(OR(L56="ER",L57="ER"),"ER",IF(OR(L56="?",L57="?"),"?",IF(AND(L56="NA",L57="NA"),"NA",SUM(L56,L57)/((L56&lt;&gt;"NA")*$F$56+(L57&lt;&gt;"NA")*$F$57)*$F55)))</f>
        <v>?</v>
      </c>
      <c r="M55" s="5" t="str">
        <f aca="false">IF(OR(M56="ER",M57="ER"),"ER",IF(OR(M56="?",M57="?"),"?",IF(AND(M56="NA",M57="NA"),"NA",SUM(M56,M57)/((M56&lt;&gt;"NA")*$F$56+(M57&lt;&gt;"NA")*$F$57)*$F55)))</f>
        <v>?</v>
      </c>
    </row>
    <row r="56" customFormat="false" ht="15" hidden="false" customHeight="true" outlineLevel="0" collapsed="false">
      <c r="A56" s="1" t="s">
        <v>79</v>
      </c>
      <c r="B56" s="1" t="str">
        <f aca="false">VLOOKUP($A56,'PARASTATAL Questions'!$A:$J,3,0)&amp;""</f>
        <v>State Capacities</v>
      </c>
      <c r="C56" s="1" t="str">
        <f aca="false">VLOOKUP($A56,'PARASTATAL Questions'!$A:$J,4,0)&amp;""</f>
        <v>SQ</v>
      </c>
      <c r="D56" s="1" t="str">
        <f aca="false">VLOOKUP($A56,'PARASTATAL Questions'!$A:$J,5,0)&amp;""</f>
        <v>Does the parastatal have adequate staffing capacity to discharge its mandate?</v>
      </c>
      <c r="E56" s="1" t="str">
        <f aca="false">VLOOKUP($A56,'PARASTATAL Questions'!$A:$J,7,0)&amp;""</f>
        <v>Implementation (Numeric)</v>
      </c>
      <c r="F56" s="1" t="n">
        <f aca="false">VLOOKUP($A56,'PARASTATAL Questions'!$A:$J,6,0)</f>
        <v>5</v>
      </c>
      <c r="G56" s="1" t="str">
        <f aca="true">IF($F56=0,"NA",IF($A56=INDIRECT("'"&amp;$A56&amp;"'!$B$1"),IF(VLOOKUP(G$1,INDIRECT("'"&amp;$A56&amp;"'!$A$12:$Z$19"),MATCH("Points (Auto-generate)",INDIRECT("'"&amp;$A56&amp;"'!$A$12:$Z$12"),0),0)="","?",VLOOKUP(G$1,INDIRECT("'"&amp;$A56&amp;"'!$A$12:$Z$19"),MATCH("Points (Auto-generate)",INDIRECT("'"&amp;$A56&amp;"'!$A$12:$Z$12"),0),0)),"ER"))</f>
        <v>?</v>
      </c>
      <c r="H56" s="1" t="str">
        <f aca="true">IF($F56=0,"NA",IF($A56=INDIRECT("'"&amp;$A56&amp;"'!$B$1"),IF(VLOOKUP(H$1,INDIRECT("'"&amp;$A56&amp;"'!$A$12:$Z$19"),MATCH("Points (Auto-generate)",INDIRECT("'"&amp;$A56&amp;"'!$A$12:$Z$12"),0),0)="","?",VLOOKUP(H$1,INDIRECT("'"&amp;$A56&amp;"'!$A$12:$Z$19"),MATCH("Points (Auto-generate)",INDIRECT("'"&amp;$A56&amp;"'!$A$12:$Z$12"),0),0)),"ER"))</f>
        <v>?</v>
      </c>
      <c r="I56" s="1" t="str">
        <f aca="true">IF($F56=0,"NA",IF($A56=INDIRECT("'"&amp;$A56&amp;"'!$B$1"),IF(VLOOKUP(I$1,INDIRECT("'"&amp;$A56&amp;"'!$A$12:$Z$19"),MATCH("Points (Auto-generate)",INDIRECT("'"&amp;$A56&amp;"'!$A$12:$Z$12"),0),0)="","?",VLOOKUP(I$1,INDIRECT("'"&amp;$A56&amp;"'!$A$12:$Z$19"),MATCH("Points (Auto-generate)",INDIRECT("'"&amp;$A56&amp;"'!$A$12:$Z$12"),0),0)),"ER"))</f>
        <v>?</v>
      </c>
      <c r="J56" s="1" t="str">
        <f aca="true">IF($F56=0,"NA",IF($A56=INDIRECT("'"&amp;$A56&amp;"'!$B$1"),IF(VLOOKUP(J$1,INDIRECT("'"&amp;$A56&amp;"'!$A$12:$Z$19"),MATCH("Points (Auto-generate)",INDIRECT("'"&amp;$A56&amp;"'!$A$12:$Z$12"),0),0)="","?",VLOOKUP(J$1,INDIRECT("'"&amp;$A56&amp;"'!$A$12:$Z$19"),MATCH("Points (Auto-generate)",INDIRECT("'"&amp;$A56&amp;"'!$A$12:$Z$12"),0),0)),"ER"))</f>
        <v>?</v>
      </c>
      <c r="K56" s="1" t="str">
        <f aca="true">IF($F56=0,"NA",IF($A56=INDIRECT("'"&amp;$A56&amp;"'!$B$1"),IF(VLOOKUP(K$1,INDIRECT("'"&amp;$A56&amp;"'!$A$12:$Z$19"),MATCH("Points (Auto-generate)",INDIRECT("'"&amp;$A56&amp;"'!$A$12:$Z$12"),0),0)="","?",VLOOKUP(K$1,INDIRECT("'"&amp;$A56&amp;"'!$A$12:$Z$19"),MATCH("Points (Auto-generate)",INDIRECT("'"&amp;$A56&amp;"'!$A$12:$Z$12"),0),0)),"ER"))</f>
        <v>?</v>
      </c>
      <c r="L56" s="1" t="str">
        <f aca="true">IF($F56=0,"NA",IF($A56=INDIRECT("'"&amp;$A56&amp;"'!$B$1"),IF(VLOOKUP(L$1,INDIRECT("'"&amp;$A56&amp;"'!$A$12:$Z$19"),MATCH("Points (Auto-generate)",INDIRECT("'"&amp;$A56&amp;"'!$A$12:$Z$12"),0),0)="","?",VLOOKUP(L$1,INDIRECT("'"&amp;$A56&amp;"'!$A$12:$Z$19"),MATCH("Points (Auto-generate)",INDIRECT("'"&amp;$A56&amp;"'!$A$12:$Z$12"),0),0)),"ER"))</f>
        <v>?</v>
      </c>
      <c r="M56" s="1" t="str">
        <f aca="true">IF($F56=0,"NA",IF($A56=INDIRECT("'"&amp;$A56&amp;"'!$B$1"),IF(VLOOKUP(M$1,INDIRECT("'"&amp;$A56&amp;"'!$A$12:$Z$19"),MATCH("Points (Auto-generate)",INDIRECT("'"&amp;$A56&amp;"'!$A$12:$Z$12"),0),0)="","?",VLOOKUP(M$1,INDIRECT("'"&amp;$A56&amp;"'!$A$12:$Z$19"),MATCH("Points (Auto-generate)",INDIRECT("'"&amp;$A56&amp;"'!$A$12:$Z$12"),0),0)),"ER"))</f>
        <v>?</v>
      </c>
    </row>
    <row r="57" customFormat="false" ht="15" hidden="false" customHeight="true" outlineLevel="0" collapsed="false">
      <c r="A57" s="1" t="s">
        <v>80</v>
      </c>
      <c r="B57" s="1" t="str">
        <f aca="false">VLOOKUP($A57,'PARASTATAL Questions'!$A:$J,3,0)&amp;""</f>
        <v>State Capacities</v>
      </c>
      <c r="C57" s="1" t="str">
        <f aca="false">VLOOKUP($A57,'PARASTATAL Questions'!$A:$J,4,0)&amp;""</f>
        <v>SQ</v>
      </c>
      <c r="D57" s="1" t="str">
        <f aca="false">VLOOKUP($A57,'PARASTATAL Questions'!$A:$J,5,0)&amp;""</f>
        <v>What proportion of the parastatal's workforce is women?</v>
      </c>
      <c r="E57" s="1" t="str">
        <f aca="false">VLOOKUP($A57,'PARASTATAL Questions'!$A:$J,7,0)&amp;""</f>
        <v>Implementation (Numeric)</v>
      </c>
      <c r="F57" s="1" t="n">
        <f aca="false">VLOOKUP($A57,'PARASTATAL Questions'!$A:$J,6,0)</f>
        <v>5</v>
      </c>
      <c r="G57" s="1" t="str">
        <f aca="true">IF($F57=0,"NA",IF($A57=INDIRECT("'"&amp;$A57&amp;"'!$B$1"),IF(VLOOKUP(G$1,INDIRECT("'"&amp;$A57&amp;"'!$A$12:$Z$19"),MATCH("Points (Auto-generate)",INDIRECT("'"&amp;$A57&amp;"'!$A$12:$Z$12"),0),0)="","?",VLOOKUP(G$1,INDIRECT("'"&amp;$A57&amp;"'!$A$12:$Z$19"),MATCH("Points (Auto-generate)",INDIRECT("'"&amp;$A57&amp;"'!$A$12:$Z$12"),0),0)),"ER"))</f>
        <v>?</v>
      </c>
      <c r="H57" s="1" t="str">
        <f aca="true">IF($F57=0,"NA",IF($A57=INDIRECT("'"&amp;$A57&amp;"'!$B$1"),IF(VLOOKUP(H$1,INDIRECT("'"&amp;$A57&amp;"'!$A$12:$Z$19"),MATCH("Points (Auto-generate)",INDIRECT("'"&amp;$A57&amp;"'!$A$12:$Z$12"),0),0)="","?",VLOOKUP(H$1,INDIRECT("'"&amp;$A57&amp;"'!$A$12:$Z$19"),MATCH("Points (Auto-generate)",INDIRECT("'"&amp;$A57&amp;"'!$A$12:$Z$12"),0),0)),"ER"))</f>
        <v>?</v>
      </c>
      <c r="I57" s="1" t="str">
        <f aca="true">IF($F57=0,"NA",IF($A57=INDIRECT("'"&amp;$A57&amp;"'!$B$1"),IF(VLOOKUP(I$1,INDIRECT("'"&amp;$A57&amp;"'!$A$12:$Z$19"),MATCH("Points (Auto-generate)",INDIRECT("'"&amp;$A57&amp;"'!$A$12:$Z$12"),0),0)="","?",VLOOKUP(I$1,INDIRECT("'"&amp;$A57&amp;"'!$A$12:$Z$19"),MATCH("Points (Auto-generate)",INDIRECT("'"&amp;$A57&amp;"'!$A$12:$Z$12"),0),0)),"ER"))</f>
        <v>?</v>
      </c>
      <c r="J57" s="1" t="str">
        <f aca="true">IF($F57=0,"NA",IF($A57=INDIRECT("'"&amp;$A57&amp;"'!$B$1"),IF(VLOOKUP(J$1,INDIRECT("'"&amp;$A57&amp;"'!$A$12:$Z$19"),MATCH("Points (Auto-generate)",INDIRECT("'"&amp;$A57&amp;"'!$A$12:$Z$12"),0),0)="","?",VLOOKUP(J$1,INDIRECT("'"&amp;$A57&amp;"'!$A$12:$Z$19"),MATCH("Points (Auto-generate)",INDIRECT("'"&amp;$A57&amp;"'!$A$12:$Z$12"),0),0)),"ER"))</f>
        <v>?</v>
      </c>
      <c r="K57" s="1" t="str">
        <f aca="true">IF($F57=0,"NA",IF($A57=INDIRECT("'"&amp;$A57&amp;"'!$B$1"),IF(VLOOKUP(K$1,INDIRECT("'"&amp;$A57&amp;"'!$A$12:$Z$19"),MATCH("Points (Auto-generate)",INDIRECT("'"&amp;$A57&amp;"'!$A$12:$Z$12"),0),0)="","?",VLOOKUP(K$1,INDIRECT("'"&amp;$A57&amp;"'!$A$12:$Z$19"),MATCH("Points (Auto-generate)",INDIRECT("'"&amp;$A57&amp;"'!$A$12:$Z$12"),0),0)),"ER"))</f>
        <v>?</v>
      </c>
      <c r="L57" s="1" t="str">
        <f aca="true">IF($F57=0,"NA",IF($A57=INDIRECT("'"&amp;$A57&amp;"'!$B$1"),IF(VLOOKUP(L$1,INDIRECT("'"&amp;$A57&amp;"'!$A$12:$Z$19"),MATCH("Points (Auto-generate)",INDIRECT("'"&amp;$A57&amp;"'!$A$12:$Z$12"),0),0)="","?",VLOOKUP(L$1,INDIRECT("'"&amp;$A57&amp;"'!$A$12:$Z$19"),MATCH("Points (Auto-generate)",INDIRECT("'"&amp;$A57&amp;"'!$A$12:$Z$12"),0),0)),"ER"))</f>
        <v>?</v>
      </c>
      <c r="M57" s="1" t="str">
        <f aca="true">IF($F57=0,"NA",IF($A57=INDIRECT("'"&amp;$A57&amp;"'!$B$1"),IF(VLOOKUP(M$1,INDIRECT("'"&amp;$A57&amp;"'!$A$12:$Z$19"),MATCH("Points (Auto-generate)",INDIRECT("'"&amp;$A57&amp;"'!$A$12:$Z$12"),0),0)="","?",VLOOKUP(M$1,INDIRECT("'"&amp;$A57&amp;"'!$A$12:$Z$19"),MATCH("Points (Auto-generate)",INDIRECT("'"&amp;$A57&amp;"'!$A$12:$Z$12"),0),0)),"ER"))</f>
        <v>?</v>
      </c>
    </row>
    <row r="59" customFormat="false" ht="15" hidden="false" customHeight="true" outlineLevel="0" collapsed="false">
      <c r="D59" s="5" t="s">
        <v>81</v>
      </c>
      <c r="G59" s="5" t="s">
        <v>17</v>
      </c>
      <c r="H59" s="5" t="s">
        <v>18</v>
      </c>
      <c r="I59" s="5" t="s">
        <v>19</v>
      </c>
      <c r="J59" s="5" t="s">
        <v>20</v>
      </c>
      <c r="K59" s="5" t="s">
        <v>21</v>
      </c>
      <c r="L59" s="5" t="s">
        <v>22</v>
      </c>
      <c r="M59" s="5" t="s">
        <v>23</v>
      </c>
    </row>
    <row r="60" customFormat="false" ht="15" hidden="false" customHeight="true" outlineLevel="0" collapsed="false">
      <c r="D60" s="5" t="s">
        <v>82</v>
      </c>
      <c r="G60" s="1" t="n">
        <f aca="false">IFERROR(SUMIFS(G$3:G$57,$C$3:$C$57,"MQ")/(COUNTIFS($C$3:$C$57,"MQ")-COUNTIFS($C$3:$C$57,"MQ",G$3:G$57,"NA")),"NA")</f>
        <v>0.735294117647059</v>
      </c>
      <c r="H60" s="1" t="n">
        <f aca="false">IFERROR(SUMIFS(H$3:H$57,$C$3:$C$57,"MQ")/(COUNTIFS($C$3:$C$57,"MQ")-COUNTIFS($C$3:$C$57,"MQ",H$3:H$57,"NA")),"NA")</f>
        <v>0</v>
      </c>
      <c r="I60" s="1" t="n">
        <f aca="false">IFERROR(SUMIFS(I$3:I$57,$C$3:$C$57,"MQ")/(COUNTIFS($C$3:$C$57,"MQ")-COUNTIFS($C$3:$C$57,"MQ",I$3:I$57,"NA")),"NA")</f>
        <v>0.416666666666667</v>
      </c>
      <c r="J60" s="1" t="n">
        <f aca="false">IFERROR(SUMIFS(J$3:J$57,$C$3:$C$57,"MQ")/(COUNTIFS($C$3:$C$57,"MQ")-COUNTIFS($C$3:$C$57,"MQ",J$3:J$57,"NA")),"NA")</f>
        <v>0.384615384615385</v>
      </c>
      <c r="K60" s="1" t="n">
        <f aca="false">IFERROR(SUMIFS(K$3:K$57,$C$3:$C$57,"MQ")/(COUNTIFS($C$3:$C$57,"MQ")-COUNTIFS($C$3:$C$57,"MQ",K$3:K$57,"NA")),"NA")</f>
        <v>0</v>
      </c>
      <c r="L60" s="1" t="n">
        <f aca="false">IFERROR(SUMIFS(L$3:L$57,$C$3:$C$57,"MQ")/(COUNTIFS($C$3:$C$57,"MQ")-COUNTIFS($C$3:$C$57,"MQ",L$3:L$57,"NA")),"NA")</f>
        <v>0</v>
      </c>
      <c r="M60" s="1" t="n">
        <f aca="false">IFERROR(SUMIFS(M$3:M$57,$C$3:$C$57,"MQ")/(COUNTIFS($C$3:$C$57,"MQ")-COUNTIFS($C$3:$C$57,"MQ",M$3:M$57,"NA")),"NA")</f>
        <v>0</v>
      </c>
    </row>
    <row r="61" customFormat="false" ht="15" hidden="false" customHeight="true" outlineLevel="0" collapsed="false">
      <c r="D61" s="5" t="s">
        <v>83</v>
      </c>
      <c r="G61" s="1" t="n">
        <f aca="false">COUNTIFS($C$3:$C$57,"MQ",G$3:G$57,"?")</f>
        <v>16</v>
      </c>
      <c r="H61" s="1" t="n">
        <f aca="false">COUNTIFS($C$3:$C$57,"MQ",H$3:H$57,"?")</f>
        <v>17</v>
      </c>
      <c r="I61" s="1" t="n">
        <f aca="false">COUNTIFS($C$3:$C$57,"MQ",I$3:I$57,"?")</f>
        <v>12</v>
      </c>
      <c r="J61" s="1" t="n">
        <f aca="false">COUNTIFS($C$3:$C$57,"MQ",J$3:J$57,"?")</f>
        <v>13</v>
      </c>
      <c r="K61" s="1" t="n">
        <f aca="false">COUNTIFS($C$3:$C$57,"MQ",K$3:K$57,"?")</f>
        <v>10</v>
      </c>
      <c r="L61" s="1" t="n">
        <f aca="false">COUNTIFS($C$3:$C$57,"MQ",L$3:L$57,"?")</f>
        <v>10</v>
      </c>
      <c r="M61" s="1" t="n">
        <f aca="false">COUNTIFS($C$3:$C$57,"MQ",M$3:M$57,"?")</f>
        <v>13</v>
      </c>
    </row>
    <row r="62" customFormat="false" ht="15" hidden="false" customHeight="true" outlineLevel="0" collapsed="false">
      <c r="D62" s="5" t="s">
        <v>84</v>
      </c>
      <c r="G62" s="1" t="n">
        <f aca="false">COUNTIFS($C$3:$C$57,"MQ",G$3:G$57,"NA")</f>
        <v>2</v>
      </c>
      <c r="H62" s="1" t="n">
        <f aca="false">COUNTIFS($C$3:$C$57,"MQ",H$3:H$57,"NA")</f>
        <v>2</v>
      </c>
      <c r="I62" s="1" t="n">
        <f aca="false">COUNTIFS($C$3:$C$57,"MQ",I$3:I$57,"NA")</f>
        <v>7</v>
      </c>
      <c r="J62" s="1" t="n">
        <f aca="false">COUNTIFS($C$3:$C$57,"MQ",J$3:J$57,"NA")</f>
        <v>6</v>
      </c>
      <c r="K62" s="1" t="n">
        <f aca="false">COUNTIFS($C$3:$C$57,"MQ",K$3:K$57,"NA")</f>
        <v>9</v>
      </c>
      <c r="L62" s="1" t="n">
        <f aca="false">COUNTIFS($C$3:$C$57,"MQ",L$3:L$57,"NA")</f>
        <v>9</v>
      </c>
      <c r="M62" s="1" t="n">
        <f aca="false">COUNTIFS($C$3:$C$57,"MQ",M$3:M$57,"NA")</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50"/>
    <col collapsed="false" customWidth="true" hidden="false" outlineLevel="0" max="3" min="3" style="1" width="16"/>
    <col collapsed="false" customWidth="true" hidden="false" outlineLevel="0" max="4" min="4" style="1" width="20"/>
  </cols>
  <sheetData>
    <row r="1" customFormat="false" ht="26.25" hidden="false" customHeight="true" outlineLevel="0" collapsed="false">
      <c r="A1" s="4" t="s">
        <v>85</v>
      </c>
      <c r="B1" s="4" t="s">
        <v>86</v>
      </c>
      <c r="C1" s="4" t="s">
        <v>87</v>
      </c>
      <c r="D1" s="4" t="s">
        <v>88</v>
      </c>
    </row>
    <row r="2" customFormat="false" ht="15" hidden="false" customHeight="true" outlineLevel="0" collapsed="false">
      <c r="A2" s="1" t="s">
        <v>89</v>
      </c>
      <c r="B2" s="1" t="s">
        <v>90</v>
      </c>
      <c r="C2" s="1" t="n">
        <f aca="false">IFERROR(AVERAGEIFS(PARASTATAL_SUMMARY_RAW!$G$60:$M$60,PARASTATAL_SUMMARY_RAW!$G$59:$M$59,$A2&amp;" – *"),"NA")</f>
        <v>0.307315233785822</v>
      </c>
      <c r="D2" s="1" t="n">
        <f aca="false">COUNTIFS(PARASTATAL_SUMMARY_RAW!$G$59:$M$59,$A2&amp;" – *",PARASTATAL_SUMMARY_RAW!$G$60:$M$60,"&gt;=0")</f>
        <v>5</v>
      </c>
    </row>
    <row r="3" customFormat="false" ht="15" hidden="false" customHeight="true" outlineLevel="0" collapsed="false">
      <c r="A3" s="1" t="s">
        <v>91</v>
      </c>
      <c r="B3" s="1" t="s">
        <v>92</v>
      </c>
      <c r="C3" s="1" t="n">
        <f aca="false">IFERROR(AVERAGEIFS(PARASTATAL_SUMMARY_RAW!$G$60:$M$60,PARASTATAL_SUMMARY_RAW!$G$59:$M$59,$A3&amp;" – *"),"NA")</f>
        <v>0</v>
      </c>
      <c r="D3" s="1" t="n">
        <f aca="false">COUNTIFS(PARASTATAL_SUMMARY_RAW!$G$59:$M$59,$A3&amp;" – *",PARASTATAL_SUMMARY_RAW!$G$60:$M$60,"&gt;=0")</f>
        <v>2</v>
      </c>
    </row>
    <row r="5" customFormat="false" ht="15" hidden="false" customHeight="true" outlineLevel="0" collapsed="false">
      <c r="A5" s="6"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0"/>
    <col collapsed="false" customWidth="true" hidden="false" outlineLevel="0" max="3" min="3" style="1" width="30"/>
    <col collapsed="false" customWidth="true" hidden="false" outlineLevel="0" max="5" min="5" style="1" width="60"/>
    <col collapsed="false" customWidth="true" hidden="false" outlineLevel="0" max="8" min="8" style="1" width="30"/>
    <col collapsed="false" customWidth="true" hidden="false" outlineLevel="0" max="9" min="9" style="1" width="80"/>
    <col collapsed="false" customWidth="true" hidden="false" outlineLevel="0" max="10" min="10" style="1" width="50"/>
  </cols>
  <sheetData>
    <row r="1" customFormat="false" ht="26.25" hidden="false" customHeight="true" outlineLevel="0" collapsed="false">
      <c r="A1" s="4" t="s">
        <v>94</v>
      </c>
      <c r="B1" s="4" t="s">
        <v>95</v>
      </c>
      <c r="C1" s="4" t="s">
        <v>12</v>
      </c>
      <c r="D1" s="4" t="s">
        <v>13</v>
      </c>
      <c r="E1" s="4" t="s">
        <v>14</v>
      </c>
      <c r="F1" s="4" t="s">
        <v>16</v>
      </c>
      <c r="G1" s="4" t="s">
        <v>15</v>
      </c>
      <c r="H1" s="4" t="s">
        <v>96</v>
      </c>
      <c r="I1" s="4" t="s">
        <v>97</v>
      </c>
      <c r="J1" s="4" t="s">
        <v>98</v>
      </c>
    </row>
    <row r="2" customFormat="false" ht="15" hidden="false" customHeight="true" outlineLevel="0" collapsed="false">
      <c r="A2" s="1" t="s">
        <v>26</v>
      </c>
      <c r="B2" s="1" t="s">
        <v>99</v>
      </c>
      <c r="C2" s="1" t="s">
        <v>100</v>
      </c>
      <c r="D2" s="1" t="s">
        <v>101</v>
      </c>
      <c r="E2" s="1" t="s">
        <v>102</v>
      </c>
      <c r="F2" s="1" t="n">
        <v>10</v>
      </c>
      <c r="G2" s="1" t="s">
        <v>103</v>
      </c>
      <c r="H2" s="1" t="s">
        <v>104</v>
      </c>
      <c r="I2" s="1" t="s">
        <v>105</v>
      </c>
      <c r="J2" s="1" t="s">
        <v>106</v>
      </c>
    </row>
    <row r="3" customFormat="false" ht="79.5" hidden="false" customHeight="true" outlineLevel="0" collapsed="false">
      <c r="A3" s="1" t="s">
        <v>27</v>
      </c>
      <c r="B3" s="1" t="s">
        <v>107</v>
      </c>
      <c r="C3" s="1" t="s">
        <v>100</v>
      </c>
      <c r="D3" s="1" t="s">
        <v>108</v>
      </c>
      <c r="E3" s="1" t="s">
        <v>109</v>
      </c>
      <c r="F3" s="1" t="n">
        <v>5</v>
      </c>
      <c r="G3" s="1" t="s">
        <v>110</v>
      </c>
      <c r="H3" s="1" t="s">
        <v>104</v>
      </c>
      <c r="I3" s="7" t="s">
        <v>111</v>
      </c>
      <c r="J3" s="1" t="s">
        <v>112</v>
      </c>
    </row>
    <row r="4" customFormat="false" ht="79.5" hidden="false" customHeight="true" outlineLevel="0" collapsed="false">
      <c r="A4" s="1" t="s">
        <v>28</v>
      </c>
      <c r="B4" s="1" t="s">
        <v>113</v>
      </c>
      <c r="C4" s="1" t="s">
        <v>100</v>
      </c>
      <c r="D4" s="1" t="s">
        <v>108</v>
      </c>
      <c r="E4" s="1" t="s">
        <v>114</v>
      </c>
      <c r="F4" s="1" t="n">
        <v>5</v>
      </c>
      <c r="G4" s="1" t="s">
        <v>115</v>
      </c>
      <c r="H4" s="1" t="s">
        <v>104</v>
      </c>
      <c r="I4" s="7" t="s">
        <v>116</v>
      </c>
      <c r="J4" s="1" t="s">
        <v>117</v>
      </c>
    </row>
    <row r="5" customFormat="false" ht="15" hidden="false" customHeight="true" outlineLevel="0" collapsed="false">
      <c r="A5" s="1" t="s">
        <v>29</v>
      </c>
      <c r="B5" s="1" t="s">
        <v>118</v>
      </c>
      <c r="C5" s="1" t="s">
        <v>100</v>
      </c>
      <c r="D5" s="1" t="s">
        <v>101</v>
      </c>
      <c r="E5" s="1" t="s">
        <v>119</v>
      </c>
      <c r="F5" s="1" t="n">
        <v>10</v>
      </c>
      <c r="G5" s="1" t="s">
        <v>103</v>
      </c>
      <c r="H5" s="1" t="s">
        <v>104</v>
      </c>
      <c r="I5" s="1" t="s">
        <v>120</v>
      </c>
      <c r="J5" s="1" t="s">
        <v>106</v>
      </c>
    </row>
    <row r="6" customFormat="false" ht="102" hidden="false" customHeight="true" outlineLevel="0" collapsed="false">
      <c r="A6" s="1" t="s">
        <v>30</v>
      </c>
      <c r="B6" s="1" t="s">
        <v>121</v>
      </c>
      <c r="C6" s="1" t="s">
        <v>100</v>
      </c>
      <c r="D6" s="1" t="s">
        <v>108</v>
      </c>
      <c r="E6" s="1" t="s">
        <v>122</v>
      </c>
      <c r="F6" s="1" t="n">
        <v>2.5</v>
      </c>
      <c r="G6" s="1" t="s">
        <v>110</v>
      </c>
      <c r="H6" s="1" t="s">
        <v>123</v>
      </c>
      <c r="I6" s="7" t="s">
        <v>124</v>
      </c>
      <c r="J6" s="1" t="s">
        <v>112</v>
      </c>
    </row>
    <row r="7" customFormat="false" ht="79.5" hidden="false" customHeight="true" outlineLevel="0" collapsed="false">
      <c r="A7" s="1" t="s">
        <v>31</v>
      </c>
      <c r="B7" s="1" t="s">
        <v>125</v>
      </c>
      <c r="C7" s="1" t="s">
        <v>100</v>
      </c>
      <c r="D7" s="1" t="s">
        <v>108</v>
      </c>
      <c r="E7" s="1" t="s">
        <v>126</v>
      </c>
      <c r="F7" s="1" t="n">
        <v>2.5</v>
      </c>
      <c r="G7" s="1" t="s">
        <v>115</v>
      </c>
      <c r="H7" s="1" t="s">
        <v>123</v>
      </c>
      <c r="I7" s="7" t="s">
        <v>127</v>
      </c>
      <c r="J7" s="1" t="s">
        <v>128</v>
      </c>
    </row>
    <row r="8" customFormat="false" ht="102" hidden="false" customHeight="true" outlineLevel="0" collapsed="false">
      <c r="A8" s="1" t="s">
        <v>32</v>
      </c>
      <c r="B8" s="1" t="s">
        <v>129</v>
      </c>
      <c r="C8" s="1" t="s">
        <v>100</v>
      </c>
      <c r="D8" s="1" t="s">
        <v>108</v>
      </c>
      <c r="E8" s="1" t="s">
        <v>130</v>
      </c>
      <c r="F8" s="1" t="n">
        <v>2.5</v>
      </c>
      <c r="G8" s="1" t="s">
        <v>110</v>
      </c>
      <c r="H8" s="1" t="s">
        <v>131</v>
      </c>
      <c r="I8" s="7" t="s">
        <v>132</v>
      </c>
      <c r="J8" s="1" t="s">
        <v>112</v>
      </c>
    </row>
    <row r="9" customFormat="false" ht="79.5" hidden="false" customHeight="true" outlineLevel="0" collapsed="false">
      <c r="A9" s="1" t="s">
        <v>33</v>
      </c>
      <c r="B9" s="1" t="s">
        <v>133</v>
      </c>
      <c r="C9" s="1" t="s">
        <v>100</v>
      </c>
      <c r="D9" s="1" t="s">
        <v>108</v>
      </c>
      <c r="E9" s="1" t="s">
        <v>134</v>
      </c>
      <c r="F9" s="1" t="n">
        <v>2.5</v>
      </c>
      <c r="G9" s="1" t="s">
        <v>115</v>
      </c>
      <c r="H9" s="1" t="s">
        <v>131</v>
      </c>
      <c r="I9" s="7" t="s">
        <v>135</v>
      </c>
      <c r="J9" s="1" t="s">
        <v>136</v>
      </c>
    </row>
    <row r="10" customFormat="false" ht="15" hidden="false" customHeight="true" outlineLevel="0" collapsed="false">
      <c r="A10" s="1" t="s">
        <v>34</v>
      </c>
      <c r="B10" s="1" t="s">
        <v>137</v>
      </c>
      <c r="C10" s="1" t="s">
        <v>100</v>
      </c>
      <c r="D10" s="1" t="s">
        <v>101</v>
      </c>
      <c r="E10" s="1" t="s">
        <v>138</v>
      </c>
      <c r="F10" s="1" t="n">
        <v>10</v>
      </c>
      <c r="G10" s="1" t="s">
        <v>103</v>
      </c>
      <c r="H10" s="1" t="s">
        <v>123</v>
      </c>
      <c r="I10" s="1" t="s">
        <v>139</v>
      </c>
      <c r="J10" s="1" t="s">
        <v>140</v>
      </c>
    </row>
    <row r="11" customFormat="false" ht="281.25" hidden="false" customHeight="true" outlineLevel="0" collapsed="false">
      <c r="A11" s="1" t="s">
        <v>35</v>
      </c>
      <c r="B11" s="1" t="s">
        <v>141</v>
      </c>
      <c r="C11" s="1" t="s">
        <v>100</v>
      </c>
      <c r="D11" s="1" t="s">
        <v>108</v>
      </c>
      <c r="E11" s="1" t="s">
        <v>142</v>
      </c>
      <c r="F11" s="1" t="n">
        <v>5</v>
      </c>
      <c r="G11" s="1" t="s">
        <v>110</v>
      </c>
      <c r="H11" s="1" t="s">
        <v>123</v>
      </c>
      <c r="I11" s="7" t="s">
        <v>143</v>
      </c>
      <c r="J11" s="1" t="s">
        <v>144</v>
      </c>
    </row>
    <row r="12" customFormat="false" ht="348" hidden="false" customHeight="true" outlineLevel="0" collapsed="false">
      <c r="A12" s="1" t="s">
        <v>36</v>
      </c>
      <c r="B12" s="1" t="s">
        <v>145</v>
      </c>
      <c r="C12" s="1" t="s">
        <v>100</v>
      </c>
      <c r="D12" s="1" t="s">
        <v>108</v>
      </c>
      <c r="E12" s="1" t="s">
        <v>146</v>
      </c>
      <c r="F12" s="1" t="n">
        <v>5</v>
      </c>
      <c r="G12" s="1" t="s">
        <v>115</v>
      </c>
      <c r="H12" s="1" t="s">
        <v>123</v>
      </c>
      <c r="I12" s="7" t="s">
        <v>147</v>
      </c>
      <c r="J12" s="1" t="s">
        <v>148</v>
      </c>
    </row>
    <row r="13" customFormat="false" ht="15" hidden="false" customHeight="true" outlineLevel="0" collapsed="false">
      <c r="A13" s="1" t="s">
        <v>37</v>
      </c>
      <c r="B13" s="1" t="s">
        <v>149</v>
      </c>
      <c r="C13" s="1" t="s">
        <v>100</v>
      </c>
      <c r="D13" s="1" t="s">
        <v>101</v>
      </c>
      <c r="E13" s="1" t="s">
        <v>150</v>
      </c>
      <c r="F13" s="1" t="n">
        <v>10</v>
      </c>
      <c r="G13" s="1" t="s">
        <v>103</v>
      </c>
      <c r="H13" s="1" t="s">
        <v>131</v>
      </c>
      <c r="I13" s="1" t="s">
        <v>120</v>
      </c>
      <c r="J13" s="1" t="s">
        <v>106</v>
      </c>
    </row>
    <row r="14" customFormat="false" ht="348" hidden="false" customHeight="true" outlineLevel="0" collapsed="false">
      <c r="A14" s="1" t="s">
        <v>38</v>
      </c>
      <c r="B14" s="1" t="s">
        <v>151</v>
      </c>
      <c r="C14" s="1" t="s">
        <v>100</v>
      </c>
      <c r="D14" s="1" t="s">
        <v>108</v>
      </c>
      <c r="E14" s="1" t="s">
        <v>152</v>
      </c>
      <c r="F14" s="1" t="n">
        <v>5</v>
      </c>
      <c r="G14" s="1" t="s">
        <v>110</v>
      </c>
      <c r="H14" s="1" t="s">
        <v>131</v>
      </c>
      <c r="I14" s="7" t="s">
        <v>153</v>
      </c>
      <c r="J14" s="1" t="s">
        <v>154</v>
      </c>
    </row>
    <row r="15" customFormat="false" ht="348" hidden="false" customHeight="true" outlineLevel="0" collapsed="false">
      <c r="A15" s="1" t="s">
        <v>39</v>
      </c>
      <c r="B15" s="1" t="s">
        <v>155</v>
      </c>
      <c r="C15" s="1" t="s">
        <v>100</v>
      </c>
      <c r="D15" s="1" t="s">
        <v>108</v>
      </c>
      <c r="E15" s="1" t="s">
        <v>156</v>
      </c>
      <c r="F15" s="1" t="n">
        <v>5</v>
      </c>
      <c r="G15" s="1" t="s">
        <v>115</v>
      </c>
      <c r="H15" s="1" t="s">
        <v>131</v>
      </c>
      <c r="I15" s="7" t="s">
        <v>157</v>
      </c>
      <c r="J15" s="1" t="s">
        <v>158</v>
      </c>
    </row>
    <row r="16" customFormat="false" ht="15" hidden="false" customHeight="true" outlineLevel="0" collapsed="false">
      <c r="A16" s="1" t="s">
        <v>40</v>
      </c>
      <c r="B16" s="1" t="s">
        <v>159</v>
      </c>
      <c r="C16" s="1" t="s">
        <v>100</v>
      </c>
      <c r="D16" s="1" t="s">
        <v>101</v>
      </c>
      <c r="E16" s="1" t="s">
        <v>160</v>
      </c>
      <c r="F16" s="1" t="n">
        <v>10</v>
      </c>
      <c r="G16" s="1" t="s">
        <v>103</v>
      </c>
      <c r="H16" s="1" t="s">
        <v>123</v>
      </c>
      <c r="I16" s="1" t="s">
        <v>161</v>
      </c>
      <c r="J16" s="1" t="s">
        <v>162</v>
      </c>
    </row>
    <row r="17" customFormat="false" ht="90.75" hidden="false" customHeight="true" outlineLevel="0" collapsed="false">
      <c r="A17" s="1" t="s">
        <v>41</v>
      </c>
      <c r="B17" s="1" t="s">
        <v>163</v>
      </c>
      <c r="C17" s="1" t="s">
        <v>100</v>
      </c>
      <c r="D17" s="1" t="s">
        <v>108</v>
      </c>
      <c r="E17" s="1" t="s">
        <v>164</v>
      </c>
      <c r="F17" s="1" t="n">
        <v>5</v>
      </c>
      <c r="G17" s="1" t="s">
        <v>110</v>
      </c>
      <c r="H17" s="1" t="s">
        <v>123</v>
      </c>
      <c r="I17" s="7" t="s">
        <v>165</v>
      </c>
      <c r="J17" s="1" t="s">
        <v>166</v>
      </c>
    </row>
    <row r="18" customFormat="false" ht="225" hidden="false" customHeight="true" outlineLevel="0" collapsed="false">
      <c r="A18" s="1" t="s">
        <v>42</v>
      </c>
      <c r="B18" s="1" t="s">
        <v>167</v>
      </c>
      <c r="C18" s="1" t="s">
        <v>100</v>
      </c>
      <c r="D18" s="1" t="s">
        <v>108</v>
      </c>
      <c r="E18" s="1" t="s">
        <v>168</v>
      </c>
      <c r="F18" s="1" t="n">
        <v>5</v>
      </c>
      <c r="G18" s="1" t="s">
        <v>115</v>
      </c>
      <c r="H18" s="1" t="s">
        <v>123</v>
      </c>
      <c r="I18" s="7" t="s">
        <v>169</v>
      </c>
      <c r="J18" s="1" t="s">
        <v>170</v>
      </c>
    </row>
    <row r="19" customFormat="false" ht="15" hidden="false" customHeight="true" outlineLevel="0" collapsed="false">
      <c r="A19" s="1" t="s">
        <v>43</v>
      </c>
      <c r="B19" s="1" t="s">
        <v>171</v>
      </c>
      <c r="C19" s="1" t="s">
        <v>100</v>
      </c>
      <c r="D19" s="1" t="s">
        <v>101</v>
      </c>
      <c r="E19" s="1" t="s">
        <v>172</v>
      </c>
      <c r="F19" s="1" t="n">
        <v>10</v>
      </c>
      <c r="G19" s="1" t="s">
        <v>103</v>
      </c>
      <c r="H19" s="1" t="s">
        <v>131</v>
      </c>
      <c r="I19" s="1" t="s">
        <v>120</v>
      </c>
      <c r="J19" s="1" t="s">
        <v>106</v>
      </c>
    </row>
    <row r="20" customFormat="false" ht="180" hidden="false" customHeight="true" outlineLevel="0" collapsed="false">
      <c r="A20" s="1" t="s">
        <v>44</v>
      </c>
      <c r="B20" s="1" t="s">
        <v>173</v>
      </c>
      <c r="C20" s="1" t="s">
        <v>100</v>
      </c>
      <c r="D20" s="1" t="s">
        <v>108</v>
      </c>
      <c r="E20" s="1" t="s">
        <v>174</v>
      </c>
      <c r="F20" s="1" t="n">
        <v>5</v>
      </c>
      <c r="G20" s="1" t="s">
        <v>110</v>
      </c>
      <c r="H20" s="1" t="s">
        <v>131</v>
      </c>
      <c r="I20" s="7" t="s">
        <v>175</v>
      </c>
      <c r="J20" s="1" t="s">
        <v>176</v>
      </c>
    </row>
    <row r="21" customFormat="false" ht="247.5" hidden="false" customHeight="true" outlineLevel="0" collapsed="false">
      <c r="A21" s="1" t="s">
        <v>45</v>
      </c>
      <c r="B21" s="1" t="s">
        <v>177</v>
      </c>
      <c r="C21" s="1" t="s">
        <v>100</v>
      </c>
      <c r="D21" s="1" t="s">
        <v>108</v>
      </c>
      <c r="E21" s="1" t="s">
        <v>178</v>
      </c>
      <c r="F21" s="1" t="n">
        <v>5</v>
      </c>
      <c r="G21" s="1" t="s">
        <v>115</v>
      </c>
      <c r="H21" s="1" t="s">
        <v>131</v>
      </c>
      <c r="I21" s="7" t="s">
        <v>179</v>
      </c>
      <c r="J21" s="1" t="s">
        <v>180</v>
      </c>
    </row>
    <row r="22" customFormat="false" ht="15" hidden="false" customHeight="true" outlineLevel="0" collapsed="false">
      <c r="A22" s="1" t="s">
        <v>46</v>
      </c>
      <c r="B22" s="1" t="s">
        <v>181</v>
      </c>
      <c r="C22" s="1" t="s">
        <v>182</v>
      </c>
      <c r="D22" s="1" t="s">
        <v>101</v>
      </c>
      <c r="E22" s="1" t="s">
        <v>183</v>
      </c>
      <c r="F22" s="1" t="n">
        <v>10</v>
      </c>
      <c r="G22" s="1" t="s">
        <v>103</v>
      </c>
      <c r="H22" s="1" t="s">
        <v>184</v>
      </c>
      <c r="I22" s="1" t="s">
        <v>120</v>
      </c>
      <c r="J22" s="1" t="s">
        <v>185</v>
      </c>
    </row>
    <row r="23" customFormat="false" ht="225" hidden="false" customHeight="true" outlineLevel="0" collapsed="false">
      <c r="A23" s="1" t="s">
        <v>47</v>
      </c>
      <c r="B23" s="1" t="s">
        <v>186</v>
      </c>
      <c r="C23" s="1" t="s">
        <v>182</v>
      </c>
      <c r="D23" s="1" t="s">
        <v>108</v>
      </c>
      <c r="E23" s="1" t="s">
        <v>187</v>
      </c>
      <c r="F23" s="1" t="n">
        <v>5</v>
      </c>
      <c r="G23" s="1" t="s">
        <v>188</v>
      </c>
      <c r="H23" s="1" t="s">
        <v>184</v>
      </c>
      <c r="I23" s="7" t="s">
        <v>189</v>
      </c>
      <c r="J23" s="1" t="s">
        <v>190</v>
      </c>
    </row>
    <row r="24" customFormat="false" ht="57" hidden="false" customHeight="true" outlineLevel="0" collapsed="false">
      <c r="A24" s="1" t="s">
        <v>48</v>
      </c>
      <c r="B24" s="1" t="s">
        <v>191</v>
      </c>
      <c r="C24" s="1" t="s">
        <v>182</v>
      </c>
      <c r="D24" s="1" t="s">
        <v>108</v>
      </c>
      <c r="E24" s="1" t="s">
        <v>192</v>
      </c>
      <c r="F24" s="1" t="n">
        <v>5</v>
      </c>
      <c r="G24" s="1" t="s">
        <v>110</v>
      </c>
      <c r="H24" s="1" t="s">
        <v>184</v>
      </c>
      <c r="I24" s="7" t="s">
        <v>193</v>
      </c>
      <c r="J24" s="1" t="s">
        <v>194</v>
      </c>
    </row>
    <row r="25" customFormat="false" ht="15" hidden="false" customHeight="true" outlineLevel="0" collapsed="false">
      <c r="A25" s="1" t="s">
        <v>49</v>
      </c>
      <c r="B25" s="1" t="s">
        <v>195</v>
      </c>
      <c r="C25" s="1" t="s">
        <v>182</v>
      </c>
      <c r="D25" s="1" t="s">
        <v>101</v>
      </c>
      <c r="E25" s="1" t="s">
        <v>196</v>
      </c>
      <c r="F25" s="1" t="n">
        <v>10</v>
      </c>
      <c r="G25" s="1" t="s">
        <v>110</v>
      </c>
      <c r="H25" s="1" t="s">
        <v>184</v>
      </c>
      <c r="I25" s="1" t="s">
        <v>120</v>
      </c>
      <c r="J25" s="1" t="s">
        <v>106</v>
      </c>
    </row>
    <row r="26" customFormat="false" ht="57" hidden="false" customHeight="true" outlineLevel="0" collapsed="false">
      <c r="A26" s="1" t="s">
        <v>50</v>
      </c>
      <c r="B26" s="1" t="s">
        <v>197</v>
      </c>
      <c r="C26" s="1" t="s">
        <v>182</v>
      </c>
      <c r="D26" s="1" t="s">
        <v>108</v>
      </c>
      <c r="E26" s="1" t="s">
        <v>198</v>
      </c>
      <c r="F26" s="1" t="n">
        <v>5</v>
      </c>
      <c r="G26" s="1" t="s">
        <v>110</v>
      </c>
      <c r="H26" s="1" t="s">
        <v>184</v>
      </c>
      <c r="I26" s="7" t="s">
        <v>199</v>
      </c>
      <c r="J26" s="1" t="s">
        <v>200</v>
      </c>
    </row>
    <row r="27" customFormat="false" ht="168.75" hidden="false" customHeight="true" outlineLevel="0" collapsed="false">
      <c r="A27" s="1" t="s">
        <v>51</v>
      </c>
      <c r="B27" s="1" t="s">
        <v>201</v>
      </c>
      <c r="C27" s="1" t="s">
        <v>182</v>
      </c>
      <c r="D27" s="1" t="s">
        <v>108</v>
      </c>
      <c r="E27" s="1" t="s">
        <v>202</v>
      </c>
      <c r="F27" s="1" t="n">
        <v>5</v>
      </c>
      <c r="G27" s="1" t="s">
        <v>110</v>
      </c>
      <c r="H27" s="1" t="s">
        <v>184</v>
      </c>
      <c r="I27" s="7" t="s">
        <v>203</v>
      </c>
      <c r="J27" s="1" t="s">
        <v>204</v>
      </c>
    </row>
    <row r="28" customFormat="false" ht="57" hidden="false" customHeight="true" outlineLevel="0" collapsed="false">
      <c r="A28" s="1" t="s">
        <v>52</v>
      </c>
      <c r="B28" s="1" t="s">
        <v>205</v>
      </c>
      <c r="C28" s="1" t="s">
        <v>182</v>
      </c>
      <c r="D28" s="1" t="s">
        <v>101</v>
      </c>
      <c r="E28" s="1" t="s">
        <v>206</v>
      </c>
      <c r="F28" s="1" t="n">
        <v>10</v>
      </c>
      <c r="G28" s="1" t="s">
        <v>115</v>
      </c>
      <c r="H28" s="1" t="s">
        <v>207</v>
      </c>
      <c r="I28" s="7" t="s">
        <v>208</v>
      </c>
      <c r="J28" s="1" t="s">
        <v>209</v>
      </c>
    </row>
    <row r="29" customFormat="false" ht="15" hidden="false" customHeight="true" outlineLevel="0" collapsed="false">
      <c r="A29" s="1" t="s">
        <v>210</v>
      </c>
      <c r="B29" s="1" t="s">
        <v>211</v>
      </c>
      <c r="C29" s="1" t="s">
        <v>182</v>
      </c>
      <c r="E29" s="1" t="s">
        <v>212</v>
      </c>
      <c r="G29" s="1" t="s">
        <v>110</v>
      </c>
      <c r="H29" s="1" t="s">
        <v>207</v>
      </c>
      <c r="I29" s="1" t="s">
        <v>213</v>
      </c>
    </row>
    <row r="30" customFormat="false" ht="34.5" hidden="false" customHeight="true" outlineLevel="0" collapsed="false">
      <c r="A30" s="1" t="s">
        <v>53</v>
      </c>
      <c r="B30" s="1" t="s">
        <v>214</v>
      </c>
      <c r="C30" s="1" t="s">
        <v>182</v>
      </c>
      <c r="D30" s="1" t="s">
        <v>101</v>
      </c>
      <c r="E30" s="1" t="s">
        <v>215</v>
      </c>
      <c r="F30" s="1" t="n">
        <v>10</v>
      </c>
      <c r="G30" s="1" t="s">
        <v>115</v>
      </c>
      <c r="H30" s="1" t="s">
        <v>207</v>
      </c>
      <c r="I30" s="7" t="s">
        <v>216</v>
      </c>
      <c r="J30" s="1" t="s">
        <v>217</v>
      </c>
    </row>
    <row r="31" customFormat="false" ht="213.75" hidden="false" customHeight="true" outlineLevel="0" collapsed="false">
      <c r="A31" s="1" t="s">
        <v>54</v>
      </c>
      <c r="B31" s="1" t="s">
        <v>54</v>
      </c>
      <c r="C31" s="1" t="s">
        <v>182</v>
      </c>
      <c r="D31" s="1" t="s">
        <v>108</v>
      </c>
      <c r="E31" s="1" t="s">
        <v>218</v>
      </c>
      <c r="F31" s="1" t="n">
        <v>1</v>
      </c>
      <c r="G31" s="1" t="s">
        <v>115</v>
      </c>
      <c r="H31" s="1" t="s">
        <v>207</v>
      </c>
      <c r="I31" s="7" t="s">
        <v>219</v>
      </c>
      <c r="J31" s="1" t="s">
        <v>217</v>
      </c>
    </row>
    <row r="32" customFormat="false" ht="213.75" hidden="false" customHeight="true" outlineLevel="0" collapsed="false">
      <c r="A32" s="1" t="s">
        <v>55</v>
      </c>
      <c r="B32" s="1" t="s">
        <v>220</v>
      </c>
      <c r="C32" s="1" t="s">
        <v>182</v>
      </c>
      <c r="D32" s="1" t="s">
        <v>108</v>
      </c>
      <c r="E32" s="1" t="s">
        <v>221</v>
      </c>
      <c r="F32" s="1" t="n">
        <v>1</v>
      </c>
      <c r="G32" s="1" t="s">
        <v>115</v>
      </c>
      <c r="H32" s="1" t="s">
        <v>207</v>
      </c>
      <c r="I32" s="7" t="s">
        <v>222</v>
      </c>
      <c r="J32" s="1" t="s">
        <v>217</v>
      </c>
    </row>
    <row r="33" customFormat="false" ht="213.75" hidden="false" customHeight="true" outlineLevel="0" collapsed="false">
      <c r="A33" s="1" t="s">
        <v>56</v>
      </c>
      <c r="B33" s="1" t="s">
        <v>223</v>
      </c>
      <c r="C33" s="1" t="s">
        <v>182</v>
      </c>
      <c r="D33" s="1" t="s">
        <v>108</v>
      </c>
      <c r="E33" s="1" t="s">
        <v>224</v>
      </c>
      <c r="F33" s="1" t="n">
        <v>1</v>
      </c>
      <c r="G33" s="1" t="s">
        <v>115</v>
      </c>
      <c r="H33" s="1" t="s">
        <v>207</v>
      </c>
      <c r="I33" s="7" t="s">
        <v>225</v>
      </c>
      <c r="J33" s="1" t="s">
        <v>217</v>
      </c>
    </row>
    <row r="34" customFormat="false" ht="213.75" hidden="false" customHeight="true" outlineLevel="0" collapsed="false">
      <c r="A34" s="1" t="s">
        <v>57</v>
      </c>
      <c r="B34" s="1" t="s">
        <v>57</v>
      </c>
      <c r="C34" s="1" t="s">
        <v>182</v>
      </c>
      <c r="D34" s="1" t="s">
        <v>108</v>
      </c>
      <c r="E34" s="1" t="s">
        <v>226</v>
      </c>
      <c r="F34" s="1" t="n">
        <v>1</v>
      </c>
      <c r="G34" s="1" t="s">
        <v>115</v>
      </c>
      <c r="H34" s="1" t="s">
        <v>207</v>
      </c>
      <c r="I34" s="7" t="s">
        <v>227</v>
      </c>
    </row>
    <row r="35" customFormat="false" ht="202.5" hidden="false" customHeight="true" outlineLevel="0" collapsed="false">
      <c r="A35" s="1" t="s">
        <v>58</v>
      </c>
      <c r="B35" s="1" t="s">
        <v>58</v>
      </c>
      <c r="C35" s="1" t="s">
        <v>182</v>
      </c>
      <c r="D35" s="1" t="s">
        <v>108</v>
      </c>
      <c r="E35" s="1" t="s">
        <v>228</v>
      </c>
      <c r="F35" s="1" t="n">
        <v>1</v>
      </c>
      <c r="G35" s="1" t="s">
        <v>115</v>
      </c>
      <c r="H35" s="1" t="s">
        <v>207</v>
      </c>
      <c r="I35" s="7" t="s">
        <v>229</v>
      </c>
      <c r="J35" s="1" t="s">
        <v>217</v>
      </c>
    </row>
    <row r="36" customFormat="false" ht="247.5" hidden="false" customHeight="true" outlineLevel="0" collapsed="false">
      <c r="A36" s="1" t="s">
        <v>59</v>
      </c>
      <c r="B36" s="1" t="s">
        <v>59</v>
      </c>
      <c r="C36" s="1" t="s">
        <v>182</v>
      </c>
      <c r="D36" s="1" t="s">
        <v>108</v>
      </c>
      <c r="E36" s="1" t="s">
        <v>230</v>
      </c>
      <c r="F36" s="1" t="n">
        <v>1</v>
      </c>
      <c r="G36" s="1" t="s">
        <v>115</v>
      </c>
      <c r="H36" s="1" t="s">
        <v>207</v>
      </c>
      <c r="I36" s="7" t="s">
        <v>231</v>
      </c>
      <c r="J36" s="1" t="s">
        <v>217</v>
      </c>
    </row>
    <row r="37" customFormat="false" ht="135.75" hidden="false" customHeight="true" outlineLevel="0" collapsed="false">
      <c r="A37" s="1" t="s">
        <v>60</v>
      </c>
      <c r="B37" s="1" t="s">
        <v>60</v>
      </c>
      <c r="C37" s="1" t="s">
        <v>182</v>
      </c>
      <c r="D37" s="1" t="s">
        <v>108</v>
      </c>
      <c r="E37" s="1" t="s">
        <v>232</v>
      </c>
      <c r="F37" s="1" t="n">
        <v>1</v>
      </c>
      <c r="G37" s="1" t="s">
        <v>115</v>
      </c>
      <c r="H37" s="1" t="s">
        <v>207</v>
      </c>
      <c r="I37" s="7" t="s">
        <v>233</v>
      </c>
      <c r="J37" s="1" t="s">
        <v>217</v>
      </c>
    </row>
    <row r="38" customFormat="false" ht="90.75" hidden="false" customHeight="true" outlineLevel="0" collapsed="false">
      <c r="A38" s="1" t="s">
        <v>61</v>
      </c>
      <c r="B38" s="1" t="s">
        <v>61</v>
      </c>
      <c r="C38" s="1" t="s">
        <v>182</v>
      </c>
      <c r="D38" s="1" t="s">
        <v>108</v>
      </c>
      <c r="E38" s="1" t="s">
        <v>234</v>
      </c>
      <c r="F38" s="1" t="n">
        <v>1</v>
      </c>
      <c r="G38" s="1" t="s">
        <v>115</v>
      </c>
      <c r="H38" s="1" t="s">
        <v>207</v>
      </c>
      <c r="I38" s="7" t="s">
        <v>235</v>
      </c>
      <c r="J38" s="1" t="s">
        <v>217</v>
      </c>
    </row>
    <row r="39" customFormat="false" ht="90.75" hidden="false" customHeight="true" outlineLevel="0" collapsed="false">
      <c r="A39" s="1" t="s">
        <v>62</v>
      </c>
      <c r="B39" s="1" t="s">
        <v>62</v>
      </c>
      <c r="C39" s="1" t="s">
        <v>182</v>
      </c>
      <c r="D39" s="1" t="s">
        <v>108</v>
      </c>
      <c r="E39" s="1" t="s">
        <v>236</v>
      </c>
      <c r="F39" s="1" t="n">
        <v>1</v>
      </c>
      <c r="G39" s="1" t="s">
        <v>115</v>
      </c>
      <c r="H39" s="1" t="s">
        <v>207</v>
      </c>
      <c r="I39" s="7" t="s">
        <v>237</v>
      </c>
      <c r="J39" s="1" t="s">
        <v>217</v>
      </c>
    </row>
    <row r="40" customFormat="false" ht="79.5" hidden="false" customHeight="true" outlineLevel="0" collapsed="false">
      <c r="A40" s="1" t="s">
        <v>63</v>
      </c>
      <c r="B40" s="1" t="s">
        <v>63</v>
      </c>
      <c r="C40" s="1" t="s">
        <v>182</v>
      </c>
      <c r="D40" s="1" t="s">
        <v>108</v>
      </c>
      <c r="E40" s="1" t="s">
        <v>238</v>
      </c>
      <c r="F40" s="1" t="n">
        <v>1</v>
      </c>
      <c r="G40" s="1" t="s">
        <v>115</v>
      </c>
      <c r="H40" s="1" t="s">
        <v>207</v>
      </c>
      <c r="I40" s="7" t="s">
        <v>239</v>
      </c>
      <c r="J40" s="1" t="s">
        <v>217</v>
      </c>
    </row>
    <row r="41" customFormat="false" ht="15" hidden="false" customHeight="true" outlineLevel="0" collapsed="false">
      <c r="A41" s="1" t="s">
        <v>64</v>
      </c>
      <c r="B41" s="1" t="s">
        <v>240</v>
      </c>
      <c r="C41" s="1" t="s">
        <v>182</v>
      </c>
      <c r="D41" s="1" t="s">
        <v>101</v>
      </c>
      <c r="E41" s="1" t="s">
        <v>241</v>
      </c>
      <c r="F41" s="1" t="n">
        <v>10</v>
      </c>
      <c r="G41" s="1" t="s">
        <v>110</v>
      </c>
      <c r="H41" s="1" t="s">
        <v>207</v>
      </c>
      <c r="I41" s="1" t="s">
        <v>105</v>
      </c>
      <c r="J41" s="1" t="s">
        <v>106</v>
      </c>
    </row>
    <row r="42" customFormat="false" ht="79.5" hidden="false" customHeight="true" outlineLevel="0" collapsed="false">
      <c r="A42" s="1" t="s">
        <v>65</v>
      </c>
      <c r="B42" s="1" t="s">
        <v>242</v>
      </c>
      <c r="C42" s="1" t="s">
        <v>182</v>
      </c>
      <c r="D42" s="1" t="s">
        <v>108</v>
      </c>
      <c r="E42" s="1" t="s">
        <v>243</v>
      </c>
      <c r="F42" s="1" t="n">
        <v>5</v>
      </c>
      <c r="G42" s="1" t="s">
        <v>110</v>
      </c>
      <c r="H42" s="1" t="s">
        <v>207</v>
      </c>
      <c r="I42" s="7" t="s">
        <v>244</v>
      </c>
      <c r="J42" s="1" t="s">
        <v>245</v>
      </c>
    </row>
    <row r="43" customFormat="false" ht="180" hidden="false" customHeight="true" outlineLevel="0" collapsed="false">
      <c r="A43" s="1" t="s">
        <v>66</v>
      </c>
      <c r="B43" s="1" t="s">
        <v>246</v>
      </c>
      <c r="C43" s="1" t="s">
        <v>182</v>
      </c>
      <c r="D43" s="1" t="s">
        <v>108</v>
      </c>
      <c r="E43" s="1" t="s">
        <v>247</v>
      </c>
      <c r="F43" s="1" t="n">
        <v>5</v>
      </c>
      <c r="G43" s="1" t="s">
        <v>115</v>
      </c>
      <c r="H43" s="1" t="s">
        <v>207</v>
      </c>
      <c r="I43" s="7" t="s">
        <v>248</v>
      </c>
      <c r="J43" s="7" t="s">
        <v>249</v>
      </c>
    </row>
    <row r="44" customFormat="false" ht="15" hidden="false" customHeight="true" outlineLevel="0" collapsed="false">
      <c r="A44" s="1" t="s">
        <v>67</v>
      </c>
      <c r="B44" s="1" t="s">
        <v>250</v>
      </c>
      <c r="C44" s="1" t="s">
        <v>182</v>
      </c>
      <c r="D44" s="1" t="s">
        <v>101</v>
      </c>
      <c r="E44" s="1" t="s">
        <v>251</v>
      </c>
      <c r="F44" s="1" t="n">
        <v>10</v>
      </c>
      <c r="G44" s="1" t="s">
        <v>252</v>
      </c>
      <c r="H44" s="1" t="s">
        <v>104</v>
      </c>
      <c r="I44" s="1" t="s">
        <v>253</v>
      </c>
      <c r="J44" s="1" t="s">
        <v>254</v>
      </c>
    </row>
    <row r="45" customFormat="false" ht="102" hidden="false" customHeight="true" outlineLevel="0" collapsed="false">
      <c r="A45" s="1" t="s">
        <v>68</v>
      </c>
      <c r="B45" s="1" t="s">
        <v>255</v>
      </c>
      <c r="C45" s="1" t="s">
        <v>182</v>
      </c>
      <c r="D45" s="1" t="s">
        <v>108</v>
      </c>
      <c r="E45" s="1" t="s">
        <v>256</v>
      </c>
      <c r="F45" s="1" t="n">
        <v>5</v>
      </c>
      <c r="G45" s="1" t="s">
        <v>110</v>
      </c>
      <c r="H45" s="1" t="s">
        <v>104</v>
      </c>
      <c r="I45" s="7" t="s">
        <v>257</v>
      </c>
      <c r="J45" s="1" t="s">
        <v>258</v>
      </c>
    </row>
    <row r="46" customFormat="false" ht="57" hidden="false" customHeight="true" outlineLevel="0" collapsed="false">
      <c r="A46" s="1" t="s">
        <v>69</v>
      </c>
      <c r="B46" s="1" t="s">
        <v>259</v>
      </c>
      <c r="C46" s="1" t="s">
        <v>182</v>
      </c>
      <c r="D46" s="1" t="s">
        <v>108</v>
      </c>
      <c r="E46" s="1" t="s">
        <v>260</v>
      </c>
      <c r="F46" s="1" t="n">
        <v>5</v>
      </c>
      <c r="G46" s="1" t="s">
        <v>115</v>
      </c>
      <c r="H46" s="1" t="s">
        <v>104</v>
      </c>
      <c r="I46" s="7" t="s">
        <v>261</v>
      </c>
      <c r="J46" s="1" t="s">
        <v>262</v>
      </c>
    </row>
    <row r="47" customFormat="false" ht="57" hidden="false" customHeight="true" outlineLevel="0" collapsed="false">
      <c r="A47" s="1" t="s">
        <v>70</v>
      </c>
      <c r="B47" s="1" t="s">
        <v>263</v>
      </c>
      <c r="C47" s="1" t="s">
        <v>264</v>
      </c>
      <c r="D47" s="1" t="s">
        <v>101</v>
      </c>
      <c r="E47" s="1" t="s">
        <v>265</v>
      </c>
      <c r="F47" s="1" t="n">
        <v>10</v>
      </c>
      <c r="G47" s="1" t="s">
        <v>266</v>
      </c>
      <c r="H47" s="1" t="s">
        <v>267</v>
      </c>
      <c r="I47" s="7" t="s">
        <v>268</v>
      </c>
      <c r="J47" s="1" t="s">
        <v>269</v>
      </c>
    </row>
    <row r="48" customFormat="false" ht="15" hidden="false" customHeight="true" outlineLevel="0" collapsed="false">
      <c r="A48" s="1" t="s">
        <v>71</v>
      </c>
      <c r="B48" s="1" t="s">
        <v>270</v>
      </c>
      <c r="C48" s="1" t="s">
        <v>264</v>
      </c>
      <c r="D48" s="1" t="s">
        <v>101</v>
      </c>
      <c r="E48" s="1" t="s">
        <v>271</v>
      </c>
      <c r="F48" s="1" t="n">
        <v>10</v>
      </c>
      <c r="G48" s="1" t="s">
        <v>266</v>
      </c>
      <c r="H48" s="1" t="s">
        <v>272</v>
      </c>
      <c r="I48" s="1" t="s">
        <v>273</v>
      </c>
      <c r="J48" s="1" t="s">
        <v>274</v>
      </c>
    </row>
    <row r="49" customFormat="false" ht="57" hidden="false" customHeight="true" outlineLevel="0" collapsed="false">
      <c r="A49" s="1" t="s">
        <v>72</v>
      </c>
      <c r="B49" s="1" t="s">
        <v>275</v>
      </c>
      <c r="C49" s="1" t="s">
        <v>264</v>
      </c>
      <c r="D49" s="1" t="s">
        <v>101</v>
      </c>
      <c r="E49" s="1" t="s">
        <v>276</v>
      </c>
      <c r="F49" s="1" t="n">
        <v>10</v>
      </c>
      <c r="G49" s="1" t="s">
        <v>266</v>
      </c>
      <c r="H49" s="1" t="s">
        <v>277</v>
      </c>
      <c r="I49" s="7" t="s">
        <v>278</v>
      </c>
      <c r="J49" s="1" t="s">
        <v>279</v>
      </c>
    </row>
    <row r="50" customFormat="false" ht="15" hidden="false" customHeight="true" outlineLevel="0" collapsed="false">
      <c r="A50" s="1" t="s">
        <v>73</v>
      </c>
      <c r="B50" s="1" t="s">
        <v>280</v>
      </c>
      <c r="C50" s="1" t="s">
        <v>264</v>
      </c>
      <c r="D50" s="1" t="s">
        <v>101</v>
      </c>
      <c r="E50" s="1" t="s">
        <v>281</v>
      </c>
      <c r="F50" s="1" t="n">
        <v>10</v>
      </c>
      <c r="G50" s="1" t="s">
        <v>110</v>
      </c>
      <c r="H50" s="1" t="s">
        <v>207</v>
      </c>
      <c r="I50" s="1" t="s">
        <v>253</v>
      </c>
      <c r="J50" s="1" t="s">
        <v>106</v>
      </c>
    </row>
    <row r="51" customFormat="false" ht="45.75" hidden="false" customHeight="true" outlineLevel="0" collapsed="false">
      <c r="A51" s="1" t="s">
        <v>74</v>
      </c>
      <c r="B51" s="1" t="s">
        <v>282</v>
      </c>
      <c r="C51" s="1" t="s">
        <v>264</v>
      </c>
      <c r="D51" s="1" t="s">
        <v>108</v>
      </c>
      <c r="E51" s="1" t="s">
        <v>283</v>
      </c>
      <c r="F51" s="1" t="n">
        <v>5</v>
      </c>
      <c r="G51" s="1" t="s">
        <v>110</v>
      </c>
      <c r="H51" s="1" t="s">
        <v>207</v>
      </c>
      <c r="I51" s="7" t="s">
        <v>284</v>
      </c>
      <c r="J51" s="1" t="s">
        <v>285</v>
      </c>
    </row>
    <row r="52" customFormat="false" ht="34.5" hidden="false" customHeight="true" outlineLevel="0" collapsed="false">
      <c r="A52" s="1" t="s">
        <v>75</v>
      </c>
      <c r="B52" s="1" t="s">
        <v>286</v>
      </c>
      <c r="C52" s="1" t="s">
        <v>264</v>
      </c>
      <c r="D52" s="1" t="s">
        <v>108</v>
      </c>
      <c r="E52" s="1" t="s">
        <v>287</v>
      </c>
      <c r="F52" s="1" t="n">
        <v>5</v>
      </c>
      <c r="G52" s="1" t="s">
        <v>115</v>
      </c>
      <c r="H52" s="1" t="s">
        <v>207</v>
      </c>
      <c r="I52" s="7" t="s">
        <v>288</v>
      </c>
      <c r="J52" s="1" t="s">
        <v>289</v>
      </c>
    </row>
    <row r="53" customFormat="false" ht="79.5" hidden="false" customHeight="true" outlineLevel="0" collapsed="false">
      <c r="A53" s="1" t="s">
        <v>76</v>
      </c>
      <c r="B53" s="1" t="s">
        <v>290</v>
      </c>
      <c r="C53" s="1" t="s">
        <v>264</v>
      </c>
      <c r="D53" s="1" t="s">
        <v>101</v>
      </c>
      <c r="E53" s="1" t="s">
        <v>291</v>
      </c>
      <c r="F53" s="1" t="n">
        <v>10</v>
      </c>
      <c r="G53" s="1" t="s">
        <v>115</v>
      </c>
      <c r="H53" s="1" t="s">
        <v>207</v>
      </c>
      <c r="I53" s="7" t="s">
        <v>292</v>
      </c>
      <c r="J53" s="1" t="s">
        <v>293</v>
      </c>
    </row>
    <row r="54" customFormat="false" ht="45.75" hidden="false" customHeight="true" outlineLevel="0" collapsed="false">
      <c r="A54" s="1" t="s">
        <v>77</v>
      </c>
      <c r="B54" s="1" t="s">
        <v>294</v>
      </c>
      <c r="C54" s="1" t="s">
        <v>264</v>
      </c>
      <c r="D54" s="1" t="s">
        <v>101</v>
      </c>
      <c r="E54" s="1" t="s">
        <v>295</v>
      </c>
      <c r="F54" s="1" t="n">
        <v>10</v>
      </c>
      <c r="G54" s="1" t="s">
        <v>266</v>
      </c>
      <c r="H54" s="1" t="s">
        <v>296</v>
      </c>
      <c r="I54" s="7" t="s">
        <v>297</v>
      </c>
      <c r="J54" s="1" t="s">
        <v>298</v>
      </c>
    </row>
    <row r="55" customFormat="false" ht="15" hidden="false" customHeight="true" outlineLevel="0" collapsed="false">
      <c r="A55" s="1" t="s">
        <v>78</v>
      </c>
      <c r="B55" s="1" t="s">
        <v>299</v>
      </c>
      <c r="C55" s="1" t="s">
        <v>264</v>
      </c>
      <c r="D55" s="1" t="s">
        <v>101</v>
      </c>
      <c r="E55" s="1" t="s">
        <v>300</v>
      </c>
      <c r="F55" s="1" t="n">
        <v>10</v>
      </c>
      <c r="G55" s="1" t="s">
        <v>266</v>
      </c>
      <c r="H55" s="1" t="s">
        <v>184</v>
      </c>
      <c r="I55" s="1" t="s">
        <v>301</v>
      </c>
      <c r="J55" s="1" t="s">
        <v>302</v>
      </c>
    </row>
    <row r="56" customFormat="false" ht="90.75" hidden="false" customHeight="true" outlineLevel="0" collapsed="false">
      <c r="A56" s="1" t="s">
        <v>79</v>
      </c>
      <c r="B56" s="1" t="s">
        <v>303</v>
      </c>
      <c r="C56" s="1" t="s">
        <v>264</v>
      </c>
      <c r="D56" s="1" t="s">
        <v>108</v>
      </c>
      <c r="E56" s="1" t="s">
        <v>304</v>
      </c>
      <c r="F56" s="1" t="n">
        <v>5</v>
      </c>
      <c r="G56" s="1" t="s">
        <v>266</v>
      </c>
      <c r="H56" s="1" t="s">
        <v>184</v>
      </c>
      <c r="I56" s="7" t="s">
        <v>305</v>
      </c>
      <c r="J56" s="1" t="s">
        <v>306</v>
      </c>
    </row>
    <row r="57" customFormat="false" ht="68.25" hidden="false" customHeight="true" outlineLevel="0" collapsed="false">
      <c r="A57" s="1" t="s">
        <v>80</v>
      </c>
      <c r="B57" s="1" t="s">
        <v>307</v>
      </c>
      <c r="C57" s="1" t="s">
        <v>264</v>
      </c>
      <c r="D57" s="1" t="s">
        <v>108</v>
      </c>
      <c r="E57" s="1" t="s">
        <v>308</v>
      </c>
      <c r="F57" s="1" t="n">
        <v>5</v>
      </c>
      <c r="G57" s="1" t="s">
        <v>266</v>
      </c>
      <c r="H57" s="1" t="s">
        <v>184</v>
      </c>
      <c r="I57" s="7" t="s">
        <v>309</v>
      </c>
      <c r="J57" s="1"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27</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1a</v>
      </c>
    </row>
    <row r="4" customFormat="false" ht="15" hidden="false" customHeight="true" outlineLevel="0" collapsed="false">
      <c r="A4" s="5" t="s">
        <v>13</v>
      </c>
      <c r="B4" s="3" t="str">
        <f aca="false">VLOOKUP($B$1,'PARASTATAL Questions'!$A:$J,4,0)&amp;""</f>
        <v>SQ</v>
      </c>
    </row>
    <row r="5" customFormat="false" ht="135.75" hidden="false" customHeight="true" outlineLevel="0" collapsed="false">
      <c r="A5" s="5" t="s">
        <v>14</v>
      </c>
      <c r="B5" s="3" t="str">
        <f aca="false">VLOOKUP($B$1,'PARASTATAL Questions'!$A:$J,5,0)&amp;""</f>
        <v>Is the parastatal mandated to prepare its sectoral plans in coordination with the ULG(s) within its jurisdiction?</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68.25" hidden="false" customHeight="true" outlineLevel="0" collapsed="false">
      <c r="A8" s="5" t="s">
        <v>96</v>
      </c>
      <c r="B8" s="3" t="str">
        <f aca="false">VLOOKUP($B$1,'PARASTATAL Questions'!$A:$J,8,0)&amp;""</f>
        <v>All parastatals excluding Development Authorities</v>
      </c>
    </row>
    <row r="9" customFormat="false" ht="885.75" hidden="false" customHeight="true" outlineLevel="0" collapsed="false">
      <c r="A9" s="5" t="s">
        <v>97</v>
      </c>
      <c r="B9" s="3" t="str">
        <f aca="false">VLOOKUP($B$1,'PARASTATAL Questions'!$A:$J,9,0)&amp;""</f>
        <v>Check the relevant Parastatal Act/Rules and the State Town and Country Planning Act to determine whether the parastatal is required to coordinate with the ULG(s) while preparing its sectoral plans.Identify the nature of the ULG’s formal role in the plan-making process and score as follows:10 — ULG approval/concurrence is mandatory with terms such as 'shall consult' 2.5 — Consultation with the ULG is discretionary with terms such as “may consult”.0 — No formal role for the ULG in preparation of the parastatal’s plan can be established. Where different provisions apply to different plans prepared by the parastatal, assess the principal sectoral plan relevant to the service being evaluated.</v>
      </c>
    </row>
    <row r="10" customFormat="false" ht="102" hidden="false" customHeight="true" outlineLevel="0" collapsed="false">
      <c r="A10" s="5" t="s">
        <v>98</v>
      </c>
      <c r="B10" s="3" t="str">
        <f aca="false">VLOOKUP($B$1,'PARASTATAL Questions'!$A:$J,10,0)&amp;""</f>
        <v>Relevant Parastatal Act; applicable Town and Country Planning (T&amp;CP) Act.</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23.25" hidden="false" customHeight="true" outlineLevel="0" collapsed="false">
      <c r="A13" s="1" t="s">
        <v>17</v>
      </c>
      <c r="B13" s="1" t="s">
        <v>325</v>
      </c>
      <c r="C13" s="1" t="s">
        <v>326</v>
      </c>
      <c r="D13" s="1" t="s">
        <v>327</v>
      </c>
      <c r="E13" s="1" t="s">
        <v>328</v>
      </c>
      <c r="F13" s="1" t="s">
        <v>329</v>
      </c>
      <c r="G13" s="1" t="s">
        <v>330</v>
      </c>
      <c r="H13" s="1" t="s">
        <v>331</v>
      </c>
      <c r="I13" s="9" t="n">
        <v>0</v>
      </c>
      <c r="J13" s="1" t="n">
        <f aca="false">IF($B13="NO","NA",IF(I13="","",MIN(I13,$B$6)))</f>
        <v>0</v>
      </c>
      <c r="K13" s="7" t="s">
        <v>332</v>
      </c>
    </row>
    <row r="14" customFormat="false" ht="15" hidden="false" customHeight="true" outlineLevel="0" collapsed="false">
      <c r="A14" s="1" t="s">
        <v>18</v>
      </c>
      <c r="B14" s="1" t="s">
        <v>325</v>
      </c>
      <c r="I14" s="9"/>
      <c r="J14" s="1" t="str">
        <f aca="false">IF($B14="NO","NA",IF(I14="","",MIN(I14,$B$6)))</f>
        <v/>
      </c>
      <c r="K14" s="1" t="s">
        <v>333</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13.25" hidden="false" customHeight="true" outlineLevel="0" collapsed="false">
      <c r="A16" s="1" t="s">
        <v>20</v>
      </c>
      <c r="B16" s="1" t="s">
        <v>325</v>
      </c>
      <c r="C16" s="1" t="s">
        <v>335</v>
      </c>
      <c r="D16" s="1" t="s">
        <v>336</v>
      </c>
      <c r="E16" s="1" t="s">
        <v>337</v>
      </c>
      <c r="F16" s="1" t="s">
        <v>338</v>
      </c>
      <c r="G16" s="1" t="s">
        <v>339</v>
      </c>
      <c r="H16" s="1" t="s">
        <v>340</v>
      </c>
      <c r="I16" s="9" t="n">
        <v>0</v>
      </c>
      <c r="J16" s="1" t="n">
        <f aca="false">IF($B16="NO","NA",IF(I16="","",MIN(I16,$B$6)))</f>
        <v>0</v>
      </c>
      <c r="K16" s="7" t="s">
        <v>341</v>
      </c>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28</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1b</v>
      </c>
    </row>
    <row r="4" customFormat="false" ht="15" hidden="false" customHeight="true" outlineLevel="0" collapsed="false">
      <c r="A4" s="5" t="s">
        <v>13</v>
      </c>
      <c r="B4" s="3" t="str">
        <f aca="false">VLOOKUP($B$1,'PARASTATAL Questions'!$A:$J,4,0)&amp;""</f>
        <v>SQ</v>
      </c>
    </row>
    <row r="5" customFormat="false" ht="90.75" hidden="false" customHeight="true" outlineLevel="0" collapsed="false">
      <c r="A5" s="5" t="s">
        <v>14</v>
      </c>
      <c r="B5" s="3" t="str">
        <f aca="false">VLOOKUP($B$1,'PARASTATAL Questions'!$A:$J,5,0)&amp;""</f>
        <v>Has the ULG participated in the parastatal’s plan-making process?</v>
      </c>
    </row>
    <row r="6" customFormat="false" ht="15" hidden="false" customHeight="true" outlineLevel="0" collapsed="false">
      <c r="A6" s="5" t="s">
        <v>16</v>
      </c>
      <c r="B6" s="3" t="n">
        <f aca="false">VLOOKUP($B$1,'PARASTATAL Questions'!$A:$J,6,0)</f>
        <v>5</v>
      </c>
    </row>
    <row r="7" customFormat="false" ht="23.25" hidden="false" customHeight="true" outlineLevel="0" collapsed="false">
      <c r="A7" s="5" t="s">
        <v>15</v>
      </c>
      <c r="B7" s="3" t="str">
        <f aca="false">VLOOKUP($B$1,'PARASTATAL Questions'!$A:$J,7,0)&amp;""</f>
        <v>Implementation</v>
      </c>
    </row>
    <row r="8" customFormat="false" ht="68.25" hidden="false" customHeight="true" outlineLevel="0" collapsed="false">
      <c r="A8" s="5" t="s">
        <v>96</v>
      </c>
      <c r="B8" s="3" t="str">
        <f aca="false">VLOOKUP($B$1,'PARASTATAL Questions'!$A:$J,8,0)&amp;""</f>
        <v>All parastatals excluding Development Authorities</v>
      </c>
    </row>
    <row r="9" customFormat="false" ht="840.75" hidden="false" customHeight="true" outlineLevel="0" collapsed="false">
      <c r="A9" s="5" t="s">
        <v>97</v>
      </c>
      <c r="B9" s="3" t="str">
        <f aca="false">VLOOKUP($B$1,'PARASTATAL Questions'!$A:$J,9,0)&amp;""</f>
        <v>Check the latest available plan-making cycle for evidence of ULG participation in the parastatal’s plan-making process, irrespective of whether such participation is legally mandated.Score 10 where there is evidence of ULG participation. Such evidence may include plan documents, consultation records, meeting minutes, ULG resolutions/comments, responses to ULG inputs, or information published on the parastatal/ULG website.Score 0 where there is no such evidence.Where different provisions apply to different plans prepared by the parastatal, assess the principal sectoral plan relevant to the service being evaluated.</v>
      </c>
    </row>
    <row r="10" customFormat="false" ht="270" hidden="false" customHeight="true" outlineLevel="0" collapsed="false">
      <c r="A10" s="5" t="s">
        <v>98</v>
      </c>
      <c r="B10" s="3" t="str">
        <f aca="false">VLOOKUP($B$1,'PARASTATAL Questions'!$A:$J,10,0)&amp;""</f>
        <v>Evidence may include plan documents, consultation records, meeting minutes, ULG resolutions/comments, responses to ULG inputs, or information published on the parastatal/ULG website.</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C13" s="1" t="s">
        <v>342</v>
      </c>
      <c r="D13" s="1" t="s">
        <v>343</v>
      </c>
      <c r="E13" s="1" t="s">
        <v>344</v>
      </c>
      <c r="F13" s="1" t="s">
        <v>345</v>
      </c>
      <c r="G13" s="1" t="s">
        <v>346</v>
      </c>
      <c r="H13" s="1" t="s">
        <v>347</v>
      </c>
      <c r="I13" s="9" t="n">
        <v>5</v>
      </c>
      <c r="J13" s="1" t="n">
        <f aca="false">IF($B13="NO","NA",IF(I13="","",MIN(I13,$B$6)))</f>
        <v>5</v>
      </c>
      <c r="K13" s="7" t="s">
        <v>348</v>
      </c>
    </row>
    <row r="14" customFormat="false" ht="15" hidden="false" customHeight="true" outlineLevel="0" collapsed="false">
      <c r="A14" s="1" t="s">
        <v>18</v>
      </c>
      <c r="B14" s="1" t="s">
        <v>325</v>
      </c>
      <c r="I14" s="9"/>
      <c r="J14" s="1" t="str">
        <f aca="false">IF($B14="NO","NA",IF(I14="","",MIN(I14,$B$6)))</f>
        <v/>
      </c>
      <c r="K14" s="1" t="s">
        <v>349</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 t="s">
        <v>20</v>
      </c>
      <c r="B16" s="1" t="s">
        <v>325</v>
      </c>
      <c r="I16" s="9"/>
      <c r="J16" s="1" t="str">
        <f aca="false">IF($B16="NO","NA",IF(I16="","",MIN(I16,$B$6)))</f>
        <v/>
      </c>
      <c r="K16" s="7" t="s">
        <v>350</v>
      </c>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30</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2a</v>
      </c>
    </row>
    <row r="4" customFormat="false" ht="15" hidden="false" customHeight="true" outlineLevel="0" collapsed="false">
      <c r="A4" s="5" t="s">
        <v>13</v>
      </c>
      <c r="B4" s="3" t="str">
        <f aca="false">VLOOKUP($B$1,'PARASTATAL Questions'!$A:$J,4,0)&amp;""</f>
        <v>SQ</v>
      </c>
    </row>
    <row r="5" customFormat="false" ht="213.75" hidden="false" customHeight="true" outlineLevel="0" collapsed="false">
      <c r="A5" s="5" t="s">
        <v>14</v>
      </c>
      <c r="B5" s="3" t="str">
        <f aca="false">VLOOKUP($B$1,'PARASTATAL Questions'!$A:$J,5,0)&amp;""</f>
        <v>Where multiple statutory or sectoral plans apply to the same territory, is the water board mandated to ensure consistency with the applicable city /municipal plan for the city?</v>
      </c>
    </row>
    <row r="6" customFormat="false" ht="15" hidden="false" customHeight="true" outlineLevel="0" collapsed="false">
      <c r="A6" s="5" t="s">
        <v>16</v>
      </c>
      <c r="B6" s="3" t="n">
        <f aca="false">VLOOKUP($B$1,'PARASTATAL Questions'!$A:$J,6,0)</f>
        <v>2.5</v>
      </c>
    </row>
    <row r="7" customFormat="false" ht="15" hidden="false" customHeight="true" outlineLevel="0" collapsed="false">
      <c r="A7" s="5" t="s">
        <v>15</v>
      </c>
      <c r="B7" s="3" t="str">
        <f aca="false">VLOOKUP($B$1,'PARASTATAL Questions'!$A:$J,7,0)&amp;""</f>
        <v>Law/Policy</v>
      </c>
    </row>
    <row r="8" customFormat="false" ht="34.5" hidden="false" customHeight="true" outlineLevel="0" collapsed="false">
      <c r="A8" s="5" t="s">
        <v>96</v>
      </c>
      <c r="B8" s="3" t="str">
        <f aca="false">VLOOKUP($B$1,'PARASTATAL Questions'!$A:$J,8,0)&amp;""</f>
        <v>Water supply board</v>
      </c>
    </row>
    <row r="9" customFormat="false" ht="661.5" hidden="false" customHeight="true" outlineLevel="0" collapsed="false">
      <c r="A9" s="5" t="s">
        <v>97</v>
      </c>
      <c r="B9" s="3" t="str">
        <f aca="false">VLOOKUP($B$1,'PARASTATAL Questions'!$A:$J,9,0)&amp;""</f>
        <v>Check the relevant Parastatal Act and Town and Country Planning Act.Score 2.50 if the parastatal 'shall/is required to' ensure that its sectoral plan is consistent with the applicable city or municipal plan.Score 1.25 if the law provides that such alignment is discretionary. ('May' provision)Score 0 if no such provision exists.For example, a provision stating that a water supply plan shall conform to the applicable city/municipal plan would score 2.5, while a provision stating that the authority may have regard to such a plan would score 1.25.</v>
      </c>
    </row>
    <row r="10" customFormat="false" ht="102" hidden="false" customHeight="true" outlineLevel="0" collapsed="false">
      <c r="A10" s="5" t="s">
        <v>98</v>
      </c>
      <c r="B10" s="3" t="str">
        <f aca="false">VLOOKUP($B$1,'PARASTATAL Questions'!$A:$J,10,0)&amp;""</f>
        <v>Relevant Parastatal Act; applicable Town and Country Planning (T&amp;CP) Act.</v>
      </c>
    </row>
    <row r="11" customFormat="false" ht="15" hidden="false" customHeight="true" outlineLevel="0" collapsed="false">
      <c r="B11" s="8" t="s">
        <v>312</v>
      </c>
      <c r="I11" s="8" t="s">
        <v>351</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352</v>
      </c>
    </row>
    <row r="14" customFormat="false" ht="15" hidden="false" customHeight="true" outlineLevel="0" collapsed="false">
      <c r="A14" s="10" t="s">
        <v>18</v>
      </c>
      <c r="B14" s="10" t="s">
        <v>334</v>
      </c>
      <c r="C14" s="10"/>
      <c r="D14" s="10"/>
      <c r="E14" s="10"/>
      <c r="F14" s="10"/>
      <c r="G14" s="10"/>
      <c r="H14" s="10"/>
      <c r="I14" s="11"/>
      <c r="J14" s="10" t="str">
        <f aca="false">IF($B14="NO","NA",IF(I14="","",MIN(I14,$B$6)))</f>
        <v>NA</v>
      </c>
      <c r="K14" s="10"/>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31</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2b</v>
      </c>
    </row>
    <row r="4" customFormat="false" ht="15" hidden="false" customHeight="true" outlineLevel="0" collapsed="false">
      <c r="A4" s="5" t="s">
        <v>13</v>
      </c>
      <c r="B4" s="3" t="str">
        <f aca="false">VLOOKUP($B$1,'PARASTATAL Questions'!$A:$J,4,0)&amp;""</f>
        <v>SQ</v>
      </c>
    </row>
    <row r="5" customFormat="false" ht="225" hidden="false" customHeight="true" outlineLevel="0" collapsed="false">
      <c r="A5" s="5" t="s">
        <v>14</v>
      </c>
      <c r="B5" s="3" t="str">
        <f aca="false">VLOOKUP($B$1,'PARASTATAL Questions'!$A:$J,5,0)&amp;""</f>
        <v>Where multiple statutory or sectoral plans apply to the same territory, does the water supply board ensure consistency with the applicable municipal/city plan for the city?</v>
      </c>
    </row>
    <row r="6" customFormat="false" ht="15" hidden="false" customHeight="true" outlineLevel="0" collapsed="false">
      <c r="A6" s="5" t="s">
        <v>16</v>
      </c>
      <c r="B6" s="3" t="n">
        <f aca="false">VLOOKUP($B$1,'PARASTATAL Questions'!$A:$J,6,0)</f>
        <v>2.5</v>
      </c>
    </row>
    <row r="7" customFormat="false" ht="23.25" hidden="false" customHeight="true" outlineLevel="0" collapsed="false">
      <c r="A7" s="5" t="s">
        <v>15</v>
      </c>
      <c r="B7" s="3" t="str">
        <f aca="false">VLOOKUP($B$1,'PARASTATAL Questions'!$A:$J,7,0)&amp;""</f>
        <v>Implementation</v>
      </c>
    </row>
    <row r="8" customFormat="false" ht="34.5" hidden="false" customHeight="true" outlineLevel="0" collapsed="false">
      <c r="A8" s="5" t="s">
        <v>96</v>
      </c>
      <c r="B8" s="3" t="str">
        <f aca="false">VLOOKUP($B$1,'PARASTATAL Questions'!$A:$J,8,0)&amp;""</f>
        <v>Water supply board</v>
      </c>
    </row>
    <row r="9" customFormat="false" ht="1120.5" hidden="false" customHeight="true" outlineLevel="0" collapsed="false">
      <c r="A9" s="5" t="s">
        <v>97</v>
      </c>
      <c r="B9" s="3" t="str">
        <f aca="false">VLOOKUP($B$1,'PARASTATAL Questions'!$A:$J,9,0)&amp;""</f>
        <v>Check the Board’s current water supply/sewerage master plan, or equivalent sectoral planning document, together with the applicable Master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input.Score 1.25 if there is partial alignment: the water plan refers to the master plan and/or uses its population, density or land-use projections, but does not clearly demonstrate that these inputs determine the spatial location of network expansion, service areas or major infrastructure.Score 0 if there is no identifiable evidence that the Master Plan or its spatial/population framework informs water planning.</v>
      </c>
    </row>
    <row r="10" customFormat="false" ht="370.5" hidden="false" customHeight="true" outlineLevel="0" collapsed="false">
      <c r="A10" s="5" t="s">
        <v>98</v>
      </c>
      <c r="B10" s="3" t="str">
        <f aca="false">VLOOKUP($B$1,'PARASTATAL Questions'!$A:$J,10,0)&amp;""</f>
        <v>Water Supply Board's current water supply/sewerage master plan or equivalent sectoral planning document; applicable Master Plan/Development Plan/Metropolitan or Regional Plan; land-use conversion/regularisation records for major treatment plants or trunk infrastructure, where available.</v>
      </c>
    </row>
    <row r="11" customFormat="false" ht="15" hidden="false" customHeight="true" outlineLevel="0" collapsed="false">
      <c r="B11" s="8" t="s">
        <v>312</v>
      </c>
      <c r="I11" s="8" t="s">
        <v>351</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353</v>
      </c>
    </row>
    <row r="14" customFormat="false" ht="15" hidden="false" customHeight="true" outlineLevel="0" collapsed="false">
      <c r="A14" s="10" t="s">
        <v>18</v>
      </c>
      <c r="B14" s="10" t="s">
        <v>334</v>
      </c>
      <c r="C14" s="10"/>
      <c r="D14" s="10"/>
      <c r="E14" s="10"/>
      <c r="F14" s="10"/>
      <c r="G14" s="10"/>
      <c r="H14" s="10"/>
      <c r="I14" s="11"/>
      <c r="J14" s="10" t="str">
        <f aca="false">IF($B14="NO","NA",IF(I14="","",MIN(I14,$B$6)))</f>
        <v>NA</v>
      </c>
      <c r="K14" s="10"/>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32</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2c</v>
      </c>
    </row>
    <row r="4" customFormat="false" ht="15" hidden="false" customHeight="true" outlineLevel="0" collapsed="false">
      <c r="A4" s="5" t="s">
        <v>13</v>
      </c>
      <c r="B4" s="3" t="str">
        <f aca="false">VLOOKUP($B$1,'PARASTATAL Questions'!$A:$J,4,0)&amp;""</f>
        <v>SQ</v>
      </c>
    </row>
    <row r="5" customFormat="false" ht="236.25" hidden="false" customHeight="true" outlineLevel="0" collapsed="false">
      <c r="A5" s="5" t="s">
        <v>14</v>
      </c>
      <c r="B5" s="3" t="str">
        <f aca="false">VLOOKUP($B$1,'PARASTATAL Questions'!$A:$J,5,0)&amp;""</f>
        <v>Where multiple statutory or sectoral plans apply to the same territory, is the transport corporation mandated to ensure consistency with the applicable municipal/city plan for the city?</v>
      </c>
    </row>
    <row r="6" customFormat="false" ht="15" hidden="false" customHeight="true" outlineLevel="0" collapsed="false">
      <c r="A6" s="5" t="s">
        <v>16</v>
      </c>
      <c r="B6" s="3" t="n">
        <f aca="false">VLOOKUP($B$1,'PARASTATAL Questions'!$A:$J,6,0)</f>
        <v>2.5</v>
      </c>
    </row>
    <row r="7" customFormat="false" ht="15" hidden="false" customHeight="true" outlineLevel="0" collapsed="false">
      <c r="A7" s="5" t="s">
        <v>15</v>
      </c>
      <c r="B7" s="3" t="str">
        <f aca="false">VLOOKUP($B$1,'PARASTATAL Questions'!$A:$J,7,0)&amp;""</f>
        <v>Law/Policy</v>
      </c>
    </row>
    <row r="8" customFormat="false" ht="34.5" hidden="false" customHeight="true" outlineLevel="0" collapsed="false">
      <c r="A8" s="5" t="s">
        <v>96</v>
      </c>
      <c r="B8" s="3" t="str">
        <f aca="false">VLOOKUP($B$1,'PARASTATAL Questions'!$A:$J,8,0)&amp;""</f>
        <v>Transport Corporation</v>
      </c>
    </row>
    <row r="9" customFormat="false" ht="650.25" hidden="false" customHeight="true" outlineLevel="0" collapsed="false">
      <c r="A9" s="5" t="s">
        <v>97</v>
      </c>
      <c r="B9" s="3" t="str">
        <f aca="false">VLOOKUP($B$1,'PARASTATAL Questions'!$A:$J,9,0)&amp;""</f>
        <v>Review the relevant Parastatal Act and Town and Country Planning Act.Score 2.5 if the parastatal 'shall/is required to' ensure that its sectoral plan is consistent with the applicable municipal/city plan.Score 1.25 if the law provides that such alignment is discretionary. ('May' provision)Score 0 if no such provision exists.For example, a provision stating that a transport plan shall conform to the applicable city/municipal plan would score 2.5, while a provision stating that the authority may have regard to such a plan would score 1.25.</v>
      </c>
    </row>
    <row r="10" customFormat="false" ht="102" hidden="false" customHeight="true" outlineLevel="0" collapsed="false">
      <c r="A10" s="5" t="s">
        <v>98</v>
      </c>
      <c r="B10" s="3" t="str">
        <f aca="false">VLOOKUP($B$1,'PARASTATAL Questions'!$A:$J,10,0)&amp;""</f>
        <v>Relevant Parastatal Act; applicable Town and Country Planning (T&amp;CP) Act.</v>
      </c>
    </row>
    <row r="11" customFormat="false" ht="15" hidden="false" customHeight="true" outlineLevel="0" collapsed="false">
      <c r="B11" s="8" t="s">
        <v>312</v>
      </c>
      <c r="I11" s="8" t="s">
        <v>351</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0" t="s">
        <v>17</v>
      </c>
      <c r="B13" s="10" t="s">
        <v>334</v>
      </c>
      <c r="C13" s="10"/>
      <c r="D13" s="10"/>
      <c r="E13" s="10"/>
      <c r="F13" s="10"/>
      <c r="G13" s="10"/>
      <c r="H13" s="10"/>
      <c r="I13" s="11"/>
      <c r="J13" s="10" t="str">
        <f aca="false">IF($B13="NO","NA",IF(I13="","",MIN(I13,$B$6)))</f>
        <v>NA</v>
      </c>
      <c r="K13" s="10"/>
    </row>
    <row r="14" customFormat="false" ht="15" hidden="false" customHeight="true" outlineLevel="0" collapsed="false">
      <c r="A14" s="1" t="s">
        <v>18</v>
      </c>
      <c r="B14" s="1" t="s">
        <v>325</v>
      </c>
      <c r="C14" s="1" t="s">
        <v>354</v>
      </c>
      <c r="D14" s="1" t="s">
        <v>355</v>
      </c>
      <c r="E14" s="1" t="s">
        <v>356</v>
      </c>
      <c r="F14" s="1" t="s">
        <v>357</v>
      </c>
      <c r="G14" s="1" t="s">
        <v>339</v>
      </c>
      <c r="H14" s="1" t="s">
        <v>340</v>
      </c>
      <c r="I14" s="9" t="n">
        <v>0</v>
      </c>
      <c r="J14" s="1" t="n">
        <f aca="false">IF($B14="NO","NA",IF(I14="","",MIN(I14,$B$6)))</f>
        <v>0</v>
      </c>
      <c r="K14" s="7" t="s">
        <v>358</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33</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2d</v>
      </c>
    </row>
    <row r="4" customFormat="false" ht="15" hidden="false" customHeight="true" outlineLevel="0" collapsed="false">
      <c r="A4" s="5" t="s">
        <v>13</v>
      </c>
      <c r="B4" s="3" t="str">
        <f aca="false">VLOOKUP($B$1,'PARASTATAL Questions'!$A:$J,4,0)&amp;""</f>
        <v>SQ</v>
      </c>
    </row>
    <row r="5" customFormat="false" ht="213.75" hidden="false" customHeight="true" outlineLevel="0" collapsed="false">
      <c r="A5" s="5" t="s">
        <v>14</v>
      </c>
      <c r="B5" s="3" t="str">
        <f aca="false">VLOOKUP($B$1,'PARASTATAL Questions'!$A:$J,5,0)&amp;""</f>
        <v>Where multiple statutory or sectoral plans apply to the same territory, does the transport corporation ensure consistency with the applicable municipal/city plan for the city?</v>
      </c>
    </row>
    <row r="6" customFormat="false" ht="15" hidden="false" customHeight="true" outlineLevel="0" collapsed="false">
      <c r="A6" s="5" t="s">
        <v>16</v>
      </c>
      <c r="B6" s="3" t="n">
        <f aca="false">VLOOKUP($B$1,'PARASTATAL Questions'!$A:$J,6,0)</f>
        <v>2.5</v>
      </c>
    </row>
    <row r="7" customFormat="false" ht="23.25" hidden="false" customHeight="true" outlineLevel="0" collapsed="false">
      <c r="A7" s="5" t="s">
        <v>15</v>
      </c>
      <c r="B7" s="3" t="str">
        <f aca="false">VLOOKUP($B$1,'PARASTATAL Questions'!$A:$J,7,0)&amp;""</f>
        <v>Implementation</v>
      </c>
    </row>
    <row r="8" customFormat="false" ht="34.5" hidden="false" customHeight="true" outlineLevel="0" collapsed="false">
      <c r="A8" s="5" t="s">
        <v>96</v>
      </c>
      <c r="B8" s="3" t="str">
        <f aca="false">VLOOKUP($B$1,'PARASTATAL Questions'!$A:$J,8,0)&amp;""</f>
        <v>Transport Corporation</v>
      </c>
    </row>
    <row r="9" customFormat="false" ht="1221.75" hidden="false" customHeight="true" outlineLevel="0" collapsed="false">
      <c r="A9" s="5" t="s">
        <v>97</v>
      </c>
      <c r="B9" s="3" t="str">
        <f aca="false">VLOOKUP($B$1,'PARASTATAL Questions'!$A:$J,9,0)&amp;""</f>
        <v>Check the transport corporation's current transport/mobility master plan, network expansion plan, or equivalent sectoral planning document, together with the applicable city/municipal Master Plan.Score 2.5 if the transport plan demonstrates substantive spatial alignment with the city/municipal's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input.Score 1.25 if there is partial alignment: the transport plan refers to the master plan and/or uses its population, density or land-use projections, but does not clearly demonstrate that these inputs determine the spatial location of routes, stations or major infrastructure.Score 0 if there is no identifiable evidence that the Master Plan or its spatial/population framework informs transport planning.</v>
      </c>
    </row>
    <row r="10" customFormat="false" ht="270" hidden="false" customHeight="true" outlineLevel="0" collapsed="false">
      <c r="A10" s="5" t="s">
        <v>98</v>
      </c>
      <c r="B10" s="3" t="str">
        <f aca="false">VLOOKUP($B$1,'PARASTATAL Questions'!$A:$J,10,0)&amp;""</f>
        <v>Transport corporation's current mobility/network plan; applicable Master Plan/Development Plan/Metropolitan or Regional Plan; land-use conversion/regularisation records for major transport infrastructure, where available.</v>
      </c>
    </row>
    <row r="11" customFormat="false" ht="15" hidden="false" customHeight="true" outlineLevel="0" collapsed="false">
      <c r="B11" s="8" t="s">
        <v>312</v>
      </c>
      <c r="I11" s="8" t="s">
        <v>351</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0" t="s">
        <v>17</v>
      </c>
      <c r="B13" s="10" t="s">
        <v>334</v>
      </c>
      <c r="C13" s="10"/>
      <c r="D13" s="10"/>
      <c r="E13" s="10"/>
      <c r="F13" s="10"/>
      <c r="G13" s="10"/>
      <c r="H13" s="10"/>
      <c r="I13" s="11"/>
      <c r="J13" s="10" t="str">
        <f aca="false">IF($B13="NO","NA",IF(I13="","",MIN(I13,$B$6)))</f>
        <v>NA</v>
      </c>
      <c r="K13" s="10"/>
    </row>
    <row r="14" customFormat="false" ht="15" hidden="false" customHeight="true" outlineLevel="0" collapsed="false">
      <c r="A14" s="1" t="s">
        <v>18</v>
      </c>
      <c r="B14" s="1" t="s">
        <v>325</v>
      </c>
      <c r="I14" s="9"/>
      <c r="J14" s="1" t="str">
        <f aca="false">IF($B14="NO","NA",IF(I14="","",MIN(I14,$B$6)))</f>
        <v/>
      </c>
      <c r="K14" s="7" t="s">
        <v>359</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35</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3a</v>
      </c>
    </row>
    <row r="4" customFormat="false" ht="15" hidden="false" customHeight="true" outlineLevel="0" collapsed="false">
      <c r="A4" s="5" t="s">
        <v>13</v>
      </c>
      <c r="B4" s="3" t="str">
        <f aca="false">VLOOKUP($B$1,'PARASTATAL Questions'!$A:$J,4,0)&amp;""</f>
        <v>SQ</v>
      </c>
    </row>
    <row r="5" customFormat="false" ht="236.25" hidden="false" customHeight="true" outlineLevel="0" collapsed="false">
      <c r="A5" s="5" t="s">
        <v>14</v>
      </c>
      <c r="B5" s="3" t="str">
        <f aca="false">VLOOKUP($B$1,'PARASTATAL Questions'!$A:$J,5,0)&amp;""</f>
        <v>Is the water supply board mandated to consider the needs of women and the urban poor in decisions relating to access, affordability and delivery of water and sanitation services?</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34.5" hidden="false" customHeight="true" outlineLevel="0" collapsed="false">
      <c r="A8" s="5" t="s">
        <v>96</v>
      </c>
      <c r="B8" s="3" t="str">
        <f aca="false">VLOOKUP($B$1,'PARASTATAL Questions'!$A:$J,8,0)&amp;""</f>
        <v>Water supply board</v>
      </c>
    </row>
    <row r="9" customFormat="false" ht="2957.25" hidden="false" customHeight="true" outlineLevel="0" collapsed="false">
      <c r="A9" s="5" t="s">
        <v>97</v>
      </c>
      <c r="B9" s="3" t="str">
        <f aca="false">VLOOKUP($B$1,'PARASTATAL Questions'!$A:$J,9,0)&amp;""</f>
        <v>Check the Water Supply Board/utility Act, rules, tariff regulations and other binding legal instruments. Assess whether the legal framework requires the Board to address the needs of economically vulnerable groups and women in decisions relating to access, affordability and service delivery.Do not award credit for generic obligations such as “public interest”, “universal supply”, “adequate service” or “service to all” unless these are translated into a specific legal requirement relating to affordability, service access, coverage or the needs of women. Part A – Urban Poor: Affordability and access – 2.5 marksLook for identifiable legal requirements such as:concessional, lifeline or differentiated tariffs for EWS/BPL/low-income households;concessions relating to connection charges, deposits or other service-access costs;requirements to provide services to slums, informal settlements, low-income or underserved areas;tenure-neutral or other provisions enabling access irrespective of land tenure/status;minimum/lifeline supply or alternative service arrangements for underserved populations. Score 2.5: There is a clear mandatory requirement (“shall”, “must” or equivalent) addressing affordability or access for economically vulnerable groups.Score 1.25: The legal framework permits or encourages such measures (“may” or equivalent), but does not make them mandatory.Score 0: No specific legal provision addressing affordability or access for economically vulnerable groups is found. Part B – Women: Gender-responsive access and service delivery – 2.5 marksLook for identifiable legal requirements such as:consideration of women’s needs in water and sanitation planning or service provision;requirements relating to location, accessibility or safety of shared/public water infrastructure;gender-sensitive planning, assessment or consultation requirements;service or design requirements intended to reduce barriers faced by women in accessing water and sanitation services. Score 2.5: There is a clear mandatory requirement (“shall”, “must” or equivalent) addressing women’s access or service-delivery needs.Score 1.25: The legal framework permits or encourages consideration of women’s needs (“may” or equivalent), but does not make it mandatory.Score 0: No specific legal provision addressing women’s access or service-delivery needs is found.</v>
      </c>
    </row>
    <row r="10" customFormat="false" ht="202.5" hidden="false" customHeight="true" outlineLevel="0" collapsed="false">
      <c r="A10" s="5" t="s">
        <v>98</v>
      </c>
      <c r="B10" s="3" t="str">
        <f aca="false">VLOOKUP($B$1,'PARASTATAL Questions'!$A:$J,10,0)&amp;""</f>
        <v>Water Supply Board/utility Act, water and sanitation legislation, tariff regulations, service rules, State policies and other applicable binding instruments</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7" t="s">
        <v>360</v>
      </c>
    </row>
    <row r="14" customFormat="false" ht="15" hidden="false" customHeight="true" outlineLevel="0" collapsed="false">
      <c r="A14" s="10" t="s">
        <v>18</v>
      </c>
      <c r="B14" s="10" t="s">
        <v>334</v>
      </c>
      <c r="C14" s="10"/>
      <c r="D14" s="10"/>
      <c r="E14" s="10"/>
      <c r="F14" s="10"/>
      <c r="G14" s="10"/>
      <c r="H14" s="10"/>
      <c r="I14" s="11"/>
      <c r="J14" s="10" t="str">
        <f aca="false">IF($B14="NO","NA",IF(I14="","",MIN(I14,$B$6)))</f>
        <v>NA</v>
      </c>
      <c r="K14" s="10"/>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36</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3b</v>
      </c>
    </row>
    <row r="4" customFormat="false" ht="15" hidden="false" customHeight="true" outlineLevel="0" collapsed="false">
      <c r="A4" s="5" t="s">
        <v>13</v>
      </c>
      <c r="B4" s="3" t="str">
        <f aca="false">VLOOKUP($B$1,'PARASTATAL Questions'!$A:$J,4,0)&amp;""</f>
        <v>SQ</v>
      </c>
    </row>
    <row r="5" customFormat="false" ht="225" hidden="false" customHeight="true" outlineLevel="0" collapsed="false">
      <c r="A5" s="5" t="s">
        <v>14</v>
      </c>
      <c r="B5" s="3" t="str">
        <f aca="false">VLOOKUP($B$1,'PARASTATAL Questions'!$A:$J,5,0)&amp;""</f>
        <v>Does the water supply board actually consider the needs of women and the urban poor in decisions relating to access, affordability and delivery of water and sanitation services?</v>
      </c>
    </row>
    <row r="6" customFormat="false" ht="15" hidden="false" customHeight="true" outlineLevel="0" collapsed="false">
      <c r="A6" s="5" t="s">
        <v>16</v>
      </c>
      <c r="B6" s="3" t="n">
        <f aca="false">VLOOKUP($B$1,'PARASTATAL Questions'!$A:$J,6,0)</f>
        <v>5</v>
      </c>
    </row>
    <row r="7" customFormat="false" ht="23.25" hidden="false" customHeight="true" outlineLevel="0" collapsed="false">
      <c r="A7" s="5" t="s">
        <v>15</v>
      </c>
      <c r="B7" s="3" t="str">
        <f aca="false">VLOOKUP($B$1,'PARASTATAL Questions'!$A:$J,7,0)&amp;""</f>
        <v>Implementation</v>
      </c>
    </row>
    <row r="8" customFormat="false" ht="34.5" hidden="false" customHeight="true" outlineLevel="0" collapsed="false">
      <c r="A8" s="5" t="s">
        <v>96</v>
      </c>
      <c r="B8" s="3" t="str">
        <f aca="false">VLOOKUP($B$1,'PARASTATAL Questions'!$A:$J,8,0)&amp;""</f>
        <v>Water supply board</v>
      </c>
    </row>
    <row r="9" customFormat="false" ht="3276.75" hidden="false" customHeight="true" outlineLevel="0" collapsed="false">
      <c r="A9" s="5" t="s">
        <v>97</v>
      </c>
      <c r="B9" s="3" t="str">
        <f aca="false">VLOOKUP($B$1,'PARASTATAL Questions'!$A:$J,9,0)&amp;""</f>
        <v>Check the Board’s current water supply/sanitation plan, applicable policy documents, active schemes, tariff/connection-concession orders and service or design standards. Assess whether the needs of economically vulnerable groups and women are recognised and translated into specific policies, schemes, targets, projects or service-delivery measures. Check for implementation, whether or not such measures are legally mandated.Do not award full credit for generic language such as “public interest”, “all consumers”, “universal service” or “inclusive development”. Credit should depend on how well identified needs translate into specific, operational measures. Part A – Urban Poor: Affordability and inclusion in service coverage – 2.5 marksLook for measures such as:concessional/lifeline tariffs or reductions in connection charges, deposits or other service costs;policies or schemes targeting EWS/BPL, slum, informal-settlement or low-income households;explicit inclusion of slums/informal or underserved settlements in service-area, demand or network planning;targeted network extension or service-coverage commitments;alternative service-delivery arrangements where household connections are not feasible;defined coverage, connection, tariff or service targets/projects for economically vulnerable groups. Score 2.5: The needs of economically vulnerable groups are addressed through a comprehensive policy or scheme and translated into specific operational measures, targets, projects or service commitments relating to affordability and/or access.Score 1.25: Economically vulnerable groups are explicitly recognised, but the response is limited to broad policy intent, isolated provisions or measures without clearly defined operational targets/projects.Score 0 — No identifiable consideration of affordability or service access for economically vulnerable groups is found. Part B – Women: Gender-responsive planning and service delivery – 2.5 marksLook for measures such as:policies or schemes specifically addressing women’s water and sanitation access;gender/GESI analysis or screening in water-supply or sanitation planning;siting of shared infrastructure to address women’s time, distance or physical burden;safety or accessibility measures at community/public water or sanitation facilities;gender-responsive design or service standards;defined targets, projects or investments addressing identified barriers faced by women.ScoringScore 2.5: Women’s needs are addressed through a comprehensive policy or scheme and translated into specific operational/design measures, targets or projects.Score 1.25: Women are explicitly identified and their needs recognised, but this is limited to broad policy intent or isolated provisions without clearly defined operational/design measures, targets or projects.Score 0: No identifiable consideration of women’s access or service-delivery needs is found.</v>
      </c>
    </row>
    <row r="10" customFormat="false" ht="213.75" hidden="false" customHeight="true" outlineLevel="0" collapsed="false">
      <c r="A10" s="5" t="s">
        <v>98</v>
      </c>
      <c r="B10" s="3" t="str">
        <f aca="false">VLOOKUP($B$1,'PARASTATAL Questions'!$A:$J,10,0)&amp;""</f>
        <v>Water Supply Board's current water supply/sanitation plan; scheme/coverage documents; tariff or connection-concession orders; design/service standards.</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C13" s="1" t="s">
        <v>361</v>
      </c>
      <c r="D13" s="1" t="s">
        <v>362</v>
      </c>
      <c r="E13" s="1" t="s">
        <v>363</v>
      </c>
      <c r="F13" s="1" t="s">
        <v>364</v>
      </c>
      <c r="G13" s="1" t="s">
        <v>365</v>
      </c>
      <c r="H13" s="1" t="s">
        <v>366</v>
      </c>
      <c r="I13" s="9" t="n">
        <v>1.25</v>
      </c>
      <c r="J13" s="1" t="n">
        <f aca="false">IF($B13="NO","NA",IF(I13="","",MIN(I13,$B$6)))</f>
        <v>1.25</v>
      </c>
      <c r="K13" s="7" t="s">
        <v>367</v>
      </c>
    </row>
    <row r="14" customFormat="false" ht="15" hidden="false" customHeight="true" outlineLevel="0" collapsed="false">
      <c r="A14" s="10" t="s">
        <v>18</v>
      </c>
      <c r="B14" s="10" t="s">
        <v>334</v>
      </c>
      <c r="C14" s="10"/>
      <c r="D14" s="10"/>
      <c r="E14" s="10"/>
      <c r="F14" s="10"/>
      <c r="G14" s="10"/>
      <c r="H14" s="10"/>
      <c r="I14" s="11"/>
      <c r="J14" s="10" t="str">
        <f aca="false">IF($B14="NO","NA",IF(I14="","",MIN(I14,$B$6)))</f>
        <v>NA</v>
      </c>
      <c r="K14" s="10"/>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38</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4a</v>
      </c>
    </row>
    <row r="4" customFormat="false" ht="15" hidden="false" customHeight="true" outlineLevel="0" collapsed="false">
      <c r="A4" s="5" t="s">
        <v>13</v>
      </c>
      <c r="B4" s="3" t="str">
        <f aca="false">VLOOKUP($B$1,'PARASTATAL Questions'!$A:$J,4,0)&amp;""</f>
        <v>SQ</v>
      </c>
    </row>
    <row r="5" customFormat="false" ht="225" hidden="false" customHeight="true" outlineLevel="0" collapsed="false">
      <c r="A5" s="5" t="s">
        <v>14</v>
      </c>
      <c r="B5" s="3" t="str">
        <f aca="false">VLOOKUP($B$1,'PARASTATAL Questions'!$A:$J,5,0)&amp;""</f>
        <v>Is the transport corporation mandated to consider the mobility needs of women and the urban poor  in planning and delivering public transport services?</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34.5" hidden="false" customHeight="true" outlineLevel="0" collapsed="false">
      <c r="A8" s="5" t="s">
        <v>96</v>
      </c>
      <c r="B8" s="3" t="str">
        <f aca="false">VLOOKUP($B$1,'PARASTATAL Questions'!$A:$J,8,0)&amp;""</f>
        <v>Transport Corporation</v>
      </c>
    </row>
    <row r="9" customFormat="false" ht="3276.75" hidden="false" customHeight="true" outlineLevel="0" collapsed="false">
      <c r="A9" s="5" t="s">
        <v>97</v>
      </c>
      <c r="B9" s="3" t="str">
        <f aca="false">VLOOKUP($B$1,'PARASTATAL Questions'!$A:$J,9,0)&amp;""</f>
        <v>Check the transport authority/corporation Act, other Acts (Companies Act/Road Transport Corporation Act/Motor Vehicles Act), rules, fare policies and other binding policy instruments.Part A – Urban Poor: Affordability and inclusion in service coverage – Score 2.5Check the transport authority/corporation Act, applicable transport legislation, rules, regulations and other binding legal instruments. Assess whether the legal framework requires the parastatal to address the mobility needs of economically vulnerable groups.Do not award credit for generic obligations such as “public interest”, “adequate transport”, “efficient service” or “service to all” unless these are translated into a specific requirement relating to affordability, service coverage or access.Look for identifiable legal requirements such as (non-exhaustive):concessional, subsidised or differentiated fares for EWS/BPL/low-income users;consideration of affordability in fare determination;provision or maintenance of services to underserved, peripheral or low-income areas;minimum service coverage or socially necessary routes;feeder, last-mile or other access provisions aimed at underserved populations. Score 2.5: There is a clear mandatory requirement (“shall” or “must”) addressing affordability, service coverage or access for economically vulnerable groups.Score 1.25: The legal framework permits or encourages such measures (“may”), but does not make them mandatory.Score 0: No specific legal provision addresses the mobility needs of economically vulnerable groups.Part B – Women: Safety and mobility – Score 2.5Check the transport authority/corporation Act, applicable transport legislation, rules, regulations and other binding legal instruments. Assess whether the legal framework requires the parastatal to address women’s safety and mobility needs.Do not award credit for generic obligations relating to passenger safety, public convenience or service to all unless women are specifically identified or the provision clearly addresses gender-specific mobility or safety needs.Look for identifiable legal requirements such as:consideration of women’s safety or mobility in transport planning or service provision;safety requirements relating to vehicles, stops, terminals or other passenger facilities that specifically address women;provision of women-specific facilities, reserved spaces or other service-design measures;requirements relating to safe first- and last-mile access for women;gender-sensitive planning, assessment, consultation or service-design requirements. Score 2.5: There is a clear mandatory requirement (“shall” or “must”) addressing women’s safety or mobility needs.Score 1.25: The legal framework permits or encourages such measures (“may” ), but does not make them mandatory.Score 0:  No specific legal provision addressing women’s safety or mobility needs is found.</v>
      </c>
    </row>
    <row r="10" customFormat="false" ht="191.25" hidden="false" customHeight="true" outlineLevel="0" collapsed="false">
      <c r="A10" s="5" t="s">
        <v>98</v>
      </c>
      <c r="B10" s="3" t="str">
        <f aca="false">VLOOKUP($B$1,'PARASTATAL Questions'!$A:$J,10,0)&amp;""</f>
        <v>Transport authority/corporation Act, applicable transport legislation, rules, service regulations, fare policies and other binding policy instruments</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0" t="s">
        <v>17</v>
      </c>
      <c r="B13" s="10" t="s">
        <v>334</v>
      </c>
      <c r="C13" s="10"/>
      <c r="D13" s="10"/>
      <c r="E13" s="10"/>
      <c r="F13" s="10"/>
      <c r="G13" s="10"/>
      <c r="H13" s="10"/>
      <c r="I13" s="11"/>
      <c r="J13" s="10" t="str">
        <f aca="false">IF($B13="NO","NA",IF(I13="","",MIN(I13,$B$6)))</f>
        <v>NA</v>
      </c>
      <c r="K13" s="10"/>
    </row>
    <row r="14" customFormat="false" ht="15" hidden="false" customHeight="true" outlineLevel="0" collapsed="false">
      <c r="A14" s="1" t="s">
        <v>18</v>
      </c>
      <c r="B14" s="1" t="s">
        <v>325</v>
      </c>
      <c r="C14" s="1" t="s">
        <v>368</v>
      </c>
      <c r="D14" s="1" t="s">
        <v>369</v>
      </c>
      <c r="E14" s="1" t="s">
        <v>370</v>
      </c>
      <c r="H14" s="1" t="s">
        <v>371</v>
      </c>
      <c r="I14" s="9" t="n">
        <v>0</v>
      </c>
      <c r="J14" s="1" t="n">
        <f aca="false">IF($B14="NO","NA",IF(I14="","",MIN(I14,$B$6)))</f>
        <v>0</v>
      </c>
      <c r="K14" s="7" t="s">
        <v>372</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39</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4b</v>
      </c>
    </row>
    <row r="4" customFormat="false" ht="15" hidden="false" customHeight="true" outlineLevel="0" collapsed="false">
      <c r="A4" s="5" t="s">
        <v>13</v>
      </c>
      <c r="B4" s="3" t="str">
        <f aca="false">VLOOKUP($B$1,'PARASTATAL Questions'!$A:$J,4,0)&amp;""</f>
        <v>SQ</v>
      </c>
    </row>
    <row r="5" customFormat="false" ht="213.75" hidden="false" customHeight="true" outlineLevel="0" collapsed="false">
      <c r="A5" s="5" t="s">
        <v>14</v>
      </c>
      <c r="B5" s="3" t="str">
        <f aca="false">VLOOKUP($B$1,'PARASTATAL Questions'!$A:$J,5,0)&amp;""</f>
        <v>Does the Transport Corporation actually consider the needs of women and the urban poor in decisions relating to access, affordability and delivery of public transport services?</v>
      </c>
    </row>
    <row r="6" customFormat="false" ht="15" hidden="false" customHeight="true" outlineLevel="0" collapsed="false">
      <c r="A6" s="5" t="s">
        <v>16</v>
      </c>
      <c r="B6" s="3" t="n">
        <f aca="false">VLOOKUP($B$1,'PARASTATAL Questions'!$A:$J,6,0)</f>
        <v>5</v>
      </c>
    </row>
    <row r="7" customFormat="false" ht="23.25" hidden="false" customHeight="true" outlineLevel="0" collapsed="false">
      <c r="A7" s="5" t="s">
        <v>15</v>
      </c>
      <c r="B7" s="3" t="str">
        <f aca="false">VLOOKUP($B$1,'PARASTATAL Questions'!$A:$J,7,0)&amp;""</f>
        <v>Implementation</v>
      </c>
    </row>
    <row r="8" customFormat="false" ht="34.5" hidden="false" customHeight="true" outlineLevel="0" collapsed="false">
      <c r="A8" s="5" t="s">
        <v>96</v>
      </c>
      <c r="B8" s="3" t="str">
        <f aca="false">VLOOKUP($B$1,'PARASTATAL Questions'!$A:$J,8,0)&amp;""</f>
        <v>Transport Corporation</v>
      </c>
    </row>
    <row r="9" customFormat="false" ht="3276.75" hidden="false" customHeight="true" outlineLevel="0" collapsed="false">
      <c r="A9" s="5" t="s">
        <v>97</v>
      </c>
      <c r="B9" s="3" t="str">
        <f aca="false">VLOOKUP($B$1,'PARASTATAL Questions'!$A:$J,9,0)&amp;""</f>
        <v>Check the Corporation’s current transport/mobility plan, service-delivery framework, applicable policy documents and active schemes. Assess whether the mobility needs of identified vulnerable groups are recognised and translated into specific policies, schemes, targets, projects or service-delivery measures. Check for implementation, whether or not such measures are legally mandated.Do not award full credit for generic language such as “public interest”, “all commuters”, “universal service” or “inclusive development”. Credit should be based on the extent to which identified needs are translated into specific and operational measures. Part A – Urban Poor: Affordability and inclusion in service coverage – 2.5 marksLook for measures such as:concessional, subsidised or differentiated fares for EWS/BPL/low-income users;policies or schemes addressing affordability of public transport;specific commitments to serve low-income, informal, peripheral or underserved settlements;inclusion of such areas within route/network planning;last-mile or feeder-connectivity measures for underserved settlements;defined targets, routes, projects or service-expansion commitments addressing these needs. Score 2.5: The needs of economically vulnerable groups are addressed through a comprehensive policy or scheme and are translated into specific operational measures, targets, routes, projects or service commitments.Score 1.25: The needs of economically vulnerable groups are explicitly recognised, but the response is limited to broad policy intent, isolated measures or provisions without clearly defined operational targets/projects.Score 0:  No identifiable consideration of affordability or service access for economically vulnerable groups is found. Part B  – Women: Gender, safety and mobility – 2.5 marksLook for measures such as:policies or schemes specifically addressing women’s safety and mobility;gender/GESI assessment or screening in transport planning;women-focused safety measures in vehicles, stops, terminals or public-transport infrastructure;first- and last-mile measures addressing women’s mobility constraints;service-design measures responding to identified mobility patterns or safety concerns;defined targets, projects, service standards or investments addressing women’s mobility and safety. Score 2.5: Women’s mobility and safety needs are addressed through a comprehensive policy or scheme and are translated into specific operational measures, targets, projects or service standards.Score 1.25: Women’s mobility or safety needs are explicitly recognised, but are addressed only through broad policy intent, isolated measures or provisions without clearly defined operational targets/projects.Score 0: No identifiable consideration of women’s mobility or safety needs is found.</v>
      </c>
    </row>
    <row r="10" customFormat="false" ht="191.25" hidden="false" customHeight="true" outlineLevel="0" collapsed="false">
      <c r="A10" s="5" t="s">
        <v>98</v>
      </c>
      <c r="B10" s="3" t="str">
        <f aca="false">VLOOKUP($B$1,'PARASTATAL Questions'!$A:$J,10,0)&amp;""</f>
        <v>Transport Corporation's current transport/mobility plan; fare policy/concession orders; service design standards or specifications; annual report.</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0" t="s">
        <v>17</v>
      </c>
      <c r="B13" s="10" t="s">
        <v>334</v>
      </c>
      <c r="C13" s="10"/>
      <c r="D13" s="10"/>
      <c r="E13" s="10"/>
      <c r="F13" s="10"/>
      <c r="G13" s="10"/>
      <c r="H13" s="10"/>
      <c r="I13" s="11"/>
      <c r="J13" s="10" t="str">
        <f aca="false">IF($B13="NO","NA",IF(I13="","",MIN(I13,$B$6)))</f>
        <v>NA</v>
      </c>
      <c r="K13" s="10"/>
    </row>
    <row r="14" customFormat="false" ht="15" hidden="false" customHeight="true" outlineLevel="0" collapsed="false">
      <c r="A14" s="1" t="s">
        <v>18</v>
      </c>
      <c r="B14" s="1" t="s">
        <v>325</v>
      </c>
      <c r="C14" s="1" t="s">
        <v>368</v>
      </c>
      <c r="D14" s="1" t="s">
        <v>373</v>
      </c>
      <c r="E14" s="1" t="s">
        <v>374</v>
      </c>
      <c r="F14" s="1" t="s">
        <v>375</v>
      </c>
      <c r="H14" s="1" t="s">
        <v>371</v>
      </c>
      <c r="I14" s="9"/>
      <c r="J14" s="1" t="str">
        <f aca="false">IF($B14="NO","NA",IF(I14="","",MIN(I14,$B$6)))</f>
        <v/>
      </c>
      <c r="K14" s="7" t="s">
        <v>376</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41</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5a</v>
      </c>
    </row>
    <row r="4" customFormat="false" ht="15" hidden="false" customHeight="true" outlineLevel="0" collapsed="false">
      <c r="A4" s="5" t="s">
        <v>13</v>
      </c>
      <c r="B4" s="3" t="str">
        <f aca="false">VLOOKUP($B$1,'PARASTATAL Questions'!$A:$J,4,0)&amp;""</f>
        <v>SQ</v>
      </c>
    </row>
    <row r="5" customFormat="false" ht="191.25" hidden="false" customHeight="true" outlineLevel="0" collapsed="false">
      <c r="A5" s="5" t="s">
        <v>14</v>
      </c>
      <c r="B5" s="3" t="str">
        <f aca="false">VLOOKUP($B$1,'PARASTATAL Questions'!$A:$J,5,0)&amp;""</f>
        <v>Is the water supply board mandated to consider environmental sustainability in planning and delivering water and sanitation services?</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34.5" hidden="false" customHeight="true" outlineLevel="0" collapsed="false">
      <c r="A8" s="5" t="s">
        <v>96</v>
      </c>
      <c r="B8" s="3" t="str">
        <f aca="false">VLOOKUP($B$1,'PARASTATAL Questions'!$A:$J,8,0)&amp;""</f>
        <v>Water supply board</v>
      </c>
    </row>
    <row r="9" customFormat="false" ht="1703.25" hidden="false" customHeight="true" outlineLevel="0" collapsed="false">
      <c r="A9" s="5" t="s">
        <v>97</v>
      </c>
      <c r="B9" s="3" t="str">
        <f aca="false">VLOOKUP($B$1,'PARASTATAL Questions'!$A:$J,9,0)&amp;""</f>
        <v>Check the Water Supply Board/utility Act, rules, service regulations, and other binding legal instruments. Assess whether the legal framework requires the Board to integrate environmental sustainability into planning and delivery of water and sanitation services.Do not award credit for generic references to the “environment”, “public interest” or compliance with project-specific environmental clearances unless environmental considerations are required to inform the Board’s own planning, investment or service-delivery decisions. Look for identifiable legal requirements relating to areas such as: (non-exhaustive) sustainable water-source management and protection, groundwater protection, conservation and demand management, reduction of water losses, wastewater treatment/reuse, pollution prevention, climate resilience, environmental flows or environmentally sustainable service delivery. Score 5: There is a clear mandatory requirement (“shall”, “must” ) requiring environmental sustainability considerations to inform the Board’s planning and/or service-delivery functions.Score 2.5: The legal framework permits or encourages consideration of environmental sustainability (“may”), but does not make it mandatory.Score 0: No specific legal requirement is found.</v>
      </c>
    </row>
    <row r="10" customFormat="false" ht="225" hidden="false" customHeight="true" outlineLevel="0" collapsed="false">
      <c r="A10" s="5" t="s">
        <v>98</v>
      </c>
      <c r="B10" s="3" t="str">
        <f aca="false">VLOOKUP($B$1,'PARASTATAL Questions'!$A:$J,10,0)&amp;""</f>
        <v>Water Supply Board/utility Act, water and sanitation legislation, service rules, State water policies, groundwater/source-protection provisions and other binding instruments</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C13" s="1" t="s">
        <v>326</v>
      </c>
      <c r="D13" s="0" t="s">
        <v>377</v>
      </c>
      <c r="E13" s="0" t="s">
        <v>378</v>
      </c>
      <c r="F13" s="0" t="s">
        <v>379</v>
      </c>
      <c r="G13" s="0" t="s">
        <v>380</v>
      </c>
      <c r="H13" s="1" t="s">
        <v>331</v>
      </c>
      <c r="I13" s="9" t="n">
        <v>2.5</v>
      </c>
      <c r="J13" s="1" t="n">
        <f aca="false">IF($B13="NO","NA",IF(I13="","",MIN(I13,$B$6)))</f>
        <v>2.5</v>
      </c>
      <c r="K13" s="7" t="s">
        <v>381</v>
      </c>
    </row>
    <row r="14" customFormat="false" ht="15" hidden="false" customHeight="true" outlineLevel="0" collapsed="false">
      <c r="A14" s="10" t="s">
        <v>18</v>
      </c>
      <c r="B14" s="10" t="s">
        <v>334</v>
      </c>
      <c r="C14" s="10"/>
      <c r="D14" s="10"/>
      <c r="E14" s="10"/>
      <c r="F14" s="10"/>
      <c r="G14" s="10"/>
      <c r="H14" s="10"/>
      <c r="I14" s="11"/>
      <c r="J14" s="10" t="str">
        <f aca="false">IF($B14="NO","NA",IF(I14="","",MIN(I14,$B$6)))</f>
        <v>NA</v>
      </c>
      <c r="K14" s="10"/>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42</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5b</v>
      </c>
    </row>
    <row r="4" customFormat="false" ht="15" hidden="false" customHeight="true" outlineLevel="0" collapsed="false">
      <c r="A4" s="5" t="s">
        <v>13</v>
      </c>
      <c r="B4" s="3" t="str">
        <f aca="false">VLOOKUP($B$1,'PARASTATAL Questions'!$A:$J,4,0)&amp;""</f>
        <v>SQ</v>
      </c>
    </row>
    <row r="5" customFormat="false" ht="180" hidden="false" customHeight="true" outlineLevel="0" collapsed="false">
      <c r="A5" s="5" t="s">
        <v>14</v>
      </c>
      <c r="B5" s="3" t="str">
        <f aca="false">VLOOKUP($B$1,'PARASTATAL Questions'!$A:$J,5,0)&amp;""</f>
        <v>Does the water supply board actually consider environmental sustainability in planning and delivering water and sanitation services?</v>
      </c>
    </row>
    <row r="6" customFormat="false" ht="15" hidden="false" customHeight="true" outlineLevel="0" collapsed="false">
      <c r="A6" s="5" t="s">
        <v>16</v>
      </c>
      <c r="B6" s="3" t="n">
        <f aca="false">VLOOKUP($B$1,'PARASTATAL Questions'!$A:$J,6,0)</f>
        <v>5</v>
      </c>
    </row>
    <row r="7" customFormat="false" ht="23.25" hidden="false" customHeight="true" outlineLevel="0" collapsed="false">
      <c r="A7" s="5" t="s">
        <v>15</v>
      </c>
      <c r="B7" s="3" t="str">
        <f aca="false">VLOOKUP($B$1,'PARASTATAL Questions'!$A:$J,7,0)&amp;""</f>
        <v>Implementation</v>
      </c>
    </row>
    <row r="8" customFormat="false" ht="34.5" hidden="false" customHeight="true" outlineLevel="0" collapsed="false">
      <c r="A8" s="5" t="s">
        <v>96</v>
      </c>
      <c r="B8" s="3" t="str">
        <f aca="false">VLOOKUP($B$1,'PARASTATAL Questions'!$A:$J,8,0)&amp;""</f>
        <v>Water supply board</v>
      </c>
    </row>
    <row r="9" customFormat="false" ht="3125.25" hidden="false" customHeight="true" outlineLevel="0" collapsed="false">
      <c r="A9" s="5" t="s">
        <v>97</v>
      </c>
      <c r="B9" s="3" t="str">
        <f aca="false">VLOOKUP($B$1,'PARASTATAL Questions'!$A:$J,9,0)&amp;""</f>
        <v>Check the Board’s current water supply/sanitation plan, applicable policy documents, active programmes/schemes and operational frameworks. Assess whether environmental sustainability considerations are translated into specific policies, programmes, targets, projects or operational measures. Check for implementation, whether or not such measures are legally mandated. Do not award full credit for generic references such as “sustainable development”, “efficient service”, “environment friendly” or “public interest” unless these are translated into specific operational measures. Look for identifiable measures such as (non-exhaustive):source-sustainability measures, including diversification of water sources, reduction of dependence on stressed sources, source-protection plans or groundwater-recharge measures;water-conservation and demand-management measures, including universal/targeted metering, leak detection, pressure management or conservation-oriented service standards;defined non-revenue water (NRW) or transmission/distribution loss-reduction targets, programmes or projects;wastewater treatment, recycling or reuse measures, including defined reuse targets or projects for non-potable uses;pollution-prevention or catchment/source-protection measures linked to the Board’s own planning or operations;climate-resilience measures for water and wastewater infrastructure, including drought preparedness, flood-proofing, source-risk assessment or contingency planning;energy-efficiency or renewable-energy measures in pumping, treatment or wastewater operations;defined targets, projects, budgets or investments relating to environmental sustainability;monitoring indicators or service standards that track source sustainability, water losses, reuse, energy use, resilience or other environmental outcomes. Score 5: Environmental sustainability is addressed through a comprehensive policy, programme or planning framework and translated into specific targets, projects or operational measures across the Board’s water and/or sanitation functions.Score 2.5: Environmental sustainability is explicitly recognised, but is limited to broad policy intent, isolated measures or provisions without clearly defined targets/projects.Score 0:  No identifiable environmental sustainability consideration is found.</v>
      </c>
    </row>
    <row r="10" customFormat="false" ht="281.25" hidden="false" customHeight="true" outlineLevel="0" collapsed="false">
      <c r="A10" s="5" t="s">
        <v>98</v>
      </c>
      <c r="B10" s="3" t="str">
        <f aca="false">VLOOKUP($B$1,'PARASTATAL Questions'!$A:$J,10,0)&amp;""</f>
        <v>Water Supply Board's current water supply/sanitation plan; source-protection or conservation programme documents; wastewater treatment/reuse scheme documents; annual report.</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C13" s="1" t="s">
        <v>382</v>
      </c>
      <c r="D13" s="1" t="s">
        <v>383</v>
      </c>
      <c r="E13" s="1" t="s">
        <v>384</v>
      </c>
      <c r="F13" s="1" t="s">
        <v>385</v>
      </c>
      <c r="G13" s="1" t="s">
        <v>386</v>
      </c>
      <c r="H13" s="1" t="s">
        <v>387</v>
      </c>
      <c r="I13" s="9" t="n">
        <v>5</v>
      </c>
      <c r="J13" s="1" t="n">
        <f aca="false">IF($B13="NO","NA",IF(I13="","",MIN(I13,$B$6)))</f>
        <v>5</v>
      </c>
      <c r="K13" s="7" t="s">
        <v>388</v>
      </c>
    </row>
    <row r="14" customFormat="false" ht="15" hidden="false" customHeight="true" outlineLevel="0" collapsed="false">
      <c r="A14" s="10" t="s">
        <v>18</v>
      </c>
      <c r="B14" s="10" t="s">
        <v>334</v>
      </c>
      <c r="C14" s="10"/>
      <c r="D14" s="10"/>
      <c r="E14" s="10"/>
      <c r="F14" s="10"/>
      <c r="G14" s="10"/>
      <c r="H14" s="10"/>
      <c r="I14" s="11"/>
      <c r="J14" s="10" t="str">
        <f aca="false">IF($B14="NO","NA",IF(I14="","",MIN(I14,$B$6)))</f>
        <v>NA</v>
      </c>
      <c r="K14" s="10"/>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44</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6a</v>
      </c>
    </row>
    <row r="4" customFormat="false" ht="15" hidden="false" customHeight="true" outlineLevel="0" collapsed="false">
      <c r="A4" s="5" t="s">
        <v>13</v>
      </c>
      <c r="B4" s="3" t="str">
        <f aca="false">VLOOKUP($B$1,'PARASTATAL Questions'!$A:$J,4,0)&amp;""</f>
        <v>SQ</v>
      </c>
    </row>
    <row r="5" customFormat="false" ht="225" hidden="false" customHeight="true" outlineLevel="0" collapsed="false">
      <c r="A5" s="5" t="s">
        <v>14</v>
      </c>
      <c r="B5" s="3" t="str">
        <f aca="false">VLOOKUP($B$1,'PARASTATAL Questions'!$A:$J,5,0)&amp;""</f>
        <v>Is the transport corporation mandated to consider environmental sustainability in planning and delivering urban transport services and investments?</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34.5" hidden="false" customHeight="true" outlineLevel="0" collapsed="false">
      <c r="A8" s="5" t="s">
        <v>96</v>
      </c>
      <c r="B8" s="3" t="str">
        <f aca="false">VLOOKUP($B$1,'PARASTATAL Questions'!$A:$J,8,0)&amp;""</f>
        <v>Transport Corporation</v>
      </c>
    </row>
    <row r="9" customFormat="false" ht="2307.75" hidden="false" customHeight="true" outlineLevel="0" collapsed="false">
      <c r="A9" s="5" t="s">
        <v>97</v>
      </c>
      <c r="B9" s="3" t="str">
        <f aca="false">VLOOKUP($B$1,'PARASTATAL Questions'!$A:$J,9,0)&amp;""</f>
        <v>Check the transport authority/corporation Act (Road Transport Corporation Act/Motor Vehicles Act/Companies Act), rules, and other binding legal instruments. Assess whether the legal framework requires the Corporation to integrate environmental sustainability into its planning, investment and service-delivery decisions.Do not award credit for generic references to “sustainable transport”, “public interest”, “environment protection” or compliance with project-specific environmental clearance requirements unless the provision requires environmental considerations to inform the Corporation’s own planning, investment or service-delivery decisions. Look for identifiable legal requirements relating to (non-exhaustive):transition to cleaner or lower-emission vehicles and fuels;reduction of transport-related emissions or energy consumption;prioritisation or strengthening of public transport;integration of public transport with walking, cycling or other non-motorised transport;multimodal integration or measures to reduce dependence on private motor vehicles;integration of land-use and transport planning;climate-resilient transport infrastructure or operations;environmental considerations in major transport investments or service planning. Score 5: There is a clear mandatory requirement (“shall” or “must”) requiring environmental sustainability considerations to inform the Corporation’s planning, investment and/or service-delivery functions.Score 2.5: The legal framework permits or encourages consideration of environmental sustainability (“may”), but does not make it mandatory.Score 0: No specific legal requirement requiring the Corporation to consider environmental sustainability in its planning, investment or service-delivery functions is found.</v>
      </c>
    </row>
    <row r="10" customFormat="false" ht="168.75" hidden="false" customHeight="true" outlineLevel="0" collapsed="false">
      <c r="A10" s="5" t="s">
        <v>98</v>
      </c>
      <c r="B10" s="3" t="str">
        <f aca="false">VLOOKUP($B$1,'PARASTATAL Questions'!$A:$J,10,0)&amp;""</f>
        <v>Transport authority/corporation Act, applicable transport legislation, rules, mobility/transport policies and other binding instruments</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0" t="s">
        <v>17</v>
      </c>
      <c r="B13" s="10" t="s">
        <v>334</v>
      </c>
      <c r="C13" s="10"/>
      <c r="D13" s="10"/>
      <c r="E13" s="10"/>
      <c r="F13" s="10"/>
      <c r="G13" s="10"/>
      <c r="H13" s="10"/>
      <c r="I13" s="11"/>
      <c r="J13" s="10" t="str">
        <f aca="false">IF($B13="NO","NA",IF(I13="","",MIN(I13,$B$6)))</f>
        <v>NA</v>
      </c>
      <c r="K13" s="10"/>
    </row>
    <row r="14" customFormat="false" ht="15" hidden="false" customHeight="true" outlineLevel="0" collapsed="false">
      <c r="A14" s="1" t="s">
        <v>18</v>
      </c>
      <c r="B14" s="1" t="s">
        <v>325</v>
      </c>
      <c r="C14" s="1" t="s">
        <v>354</v>
      </c>
      <c r="D14" s="1" t="s">
        <v>389</v>
      </c>
      <c r="E14" s="1" t="s">
        <v>390</v>
      </c>
      <c r="F14" s="1" t="s">
        <v>391</v>
      </c>
      <c r="G14" s="1" t="s">
        <v>339</v>
      </c>
      <c r="H14" s="1" t="s">
        <v>340</v>
      </c>
      <c r="I14" s="9" t="n">
        <v>5</v>
      </c>
      <c r="J14" s="1" t="n">
        <f aca="false">IF($B14="NO","NA",IF(I14="","",MIN(I14,$B$6)))</f>
        <v>5</v>
      </c>
      <c r="K14" s="7" t="s">
        <v>392</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45</v>
      </c>
      <c r="C1" s="1" t="s">
        <v>311</v>
      </c>
    </row>
    <row r="2" customFormat="false" ht="45.75" hidden="false" customHeight="true" outlineLevel="0" collapsed="false">
      <c r="A2" s="5" t="s">
        <v>12</v>
      </c>
      <c r="B2" s="3" t="str">
        <f aca="false">VLOOKUP($B$1,'PARASTATAL Questions'!$A:$J,3,0)&amp;""</f>
        <v>Urban Planning &amp; Design (UPD)</v>
      </c>
    </row>
    <row r="3" customFormat="false" ht="15" hidden="false" customHeight="true" outlineLevel="0" collapsed="false">
      <c r="A3" s="5" t="s">
        <v>95</v>
      </c>
      <c r="B3" s="3" t="str">
        <f aca="false">VLOOKUP($B$1,'PARASTATAL Questions'!$A:$J,2,0)&amp;""</f>
        <v>UPD 6b</v>
      </c>
    </row>
    <row r="4" customFormat="false" ht="15" hidden="false" customHeight="true" outlineLevel="0" collapsed="false">
      <c r="A4" s="5" t="s">
        <v>13</v>
      </c>
      <c r="B4" s="3" t="str">
        <f aca="false">VLOOKUP($B$1,'PARASTATAL Questions'!$A:$J,4,0)&amp;""</f>
        <v>SQ</v>
      </c>
    </row>
    <row r="5" customFormat="false" ht="202.5" hidden="false" customHeight="true" outlineLevel="0" collapsed="false">
      <c r="A5" s="5" t="s">
        <v>14</v>
      </c>
      <c r="B5" s="3" t="str">
        <f aca="false">VLOOKUP($B$1,'PARASTATAL Questions'!$A:$J,5,0)&amp;""</f>
        <v>Does the transport corporation actually considers environmental sustainability in planning and delivering urban transport services and investments?</v>
      </c>
    </row>
    <row r="6" customFormat="false" ht="15" hidden="false" customHeight="true" outlineLevel="0" collapsed="false">
      <c r="A6" s="5" t="s">
        <v>16</v>
      </c>
      <c r="B6" s="3" t="n">
        <f aca="false">VLOOKUP($B$1,'PARASTATAL Questions'!$A:$J,6,0)</f>
        <v>5</v>
      </c>
    </row>
    <row r="7" customFormat="false" ht="23.25" hidden="false" customHeight="true" outlineLevel="0" collapsed="false">
      <c r="A7" s="5" t="s">
        <v>15</v>
      </c>
      <c r="B7" s="3" t="str">
        <f aca="false">VLOOKUP($B$1,'PARASTATAL Questions'!$A:$J,7,0)&amp;""</f>
        <v>Implementation</v>
      </c>
    </row>
    <row r="8" customFormat="false" ht="34.5" hidden="false" customHeight="true" outlineLevel="0" collapsed="false">
      <c r="A8" s="5" t="s">
        <v>96</v>
      </c>
      <c r="B8" s="3" t="str">
        <f aca="false">VLOOKUP($B$1,'PARASTATAL Questions'!$A:$J,8,0)&amp;""</f>
        <v>Transport Corporation</v>
      </c>
    </row>
    <row r="9" customFormat="false" ht="3136.5" hidden="false" customHeight="true" outlineLevel="0" collapsed="false">
      <c r="A9" s="5" t="s">
        <v>97</v>
      </c>
      <c r="B9" s="3" t="str">
        <f aca="false">VLOOKUP($B$1,'PARASTATAL Questions'!$A:$J,9,0)&amp;""</f>
        <v>Check the Corporation’s current fleet plan, route/network plan, mobility or service-delivery plan, environmental/sustainability policy, active programmes/schemes and annual reports. Assess whether environmental sustainability considerations are translated into specific policies, programmes, targets, projects or operational measures, irrespective of whether such measures are legally mandated. Check for implementation, whether or not such measures are legally mandated. Do not award full credit for generic references such as “sustainable transport”, “green mobility” or “environment-friendly”. Credit should depend on whether these commitments translate into specific, operational measures.Look for identifiable measures such as (non-exhaustive):defined targets or programmes for transition to electric, CNG, hybrid or other cleaner/lower-emission vehicles;fleet-retirement or replacement plans targeting older or high-emission vehicles;emissions-reduction, fuel-efficiency or energy-consumption targets;renewable-energy or energy-efficiency measures in depots, terminals, charging infrastructure or operations;route or network-planning measures intended to increase public-transport use or reduce unnecessary vehicle kilometres;integration with walking and cycling infrastructure at stops, terminals or interchanges;multimodal integration measures, such as coordinated interchanges, feeder connectivity or integrated ticketing;measures to improve service coverage or frequency with the objective of shifting trips from private vehicles to public transport;climate-resilience measures for fleet, depots, terminals or transport operations;defined targets, projects, budgets or investments relating to emissions reduction, cleaner mobility, energy efficiency or modal integration;monitoring indicators that track fleet emissions, fuel/energy consumption, clean-fleet share, ridership, mode shift or other environmental outcomes. Score 5:  Environmental sustainability is addressed through a comprehensive policy, programme or planning framework and translated into specific targets, projects or operational measures across the Corporation’s transport functions.Score 2.5: Environmental sustainability is explicitly recognised, but is limited to broad policy intent, isolated measures or provisions without clearly defined targets/projects.Score 0: No identifiable environmental sustainability measure is found.</v>
      </c>
    </row>
    <row r="10" customFormat="false" ht="135.75" hidden="false" customHeight="true" outlineLevel="0" collapsed="false">
      <c r="A10" s="5" t="s">
        <v>98</v>
      </c>
      <c r="B10" s="3" t="str">
        <f aca="false">VLOOKUP($B$1,'PARASTATAL Questions'!$A:$J,10,0)&amp;""</f>
        <v>Transport Corporation's fleet plan; route/network plan; environmental/sustainability policy; annual report.</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0" t="s">
        <v>17</v>
      </c>
      <c r="B13" s="10" t="s">
        <v>334</v>
      </c>
      <c r="C13" s="10"/>
      <c r="D13" s="10"/>
      <c r="E13" s="10"/>
      <c r="F13" s="10"/>
      <c r="G13" s="10"/>
      <c r="H13" s="10"/>
      <c r="I13" s="11"/>
      <c r="J13" s="10" t="str">
        <f aca="false">IF($B13="NO","NA",IF(I13="","",MIN(I13,$B$6)))</f>
        <v>NA</v>
      </c>
      <c r="K13" s="10"/>
    </row>
    <row r="14" customFormat="false" ht="15" hidden="false" customHeight="true" outlineLevel="0" collapsed="false">
      <c r="A14" s="1" t="s">
        <v>18</v>
      </c>
      <c r="B14" s="1" t="s">
        <v>325</v>
      </c>
      <c r="I14" s="9"/>
      <c r="J14" s="1" t="str">
        <f aca="false">IF($B14="NO","NA",IF(I14="","",MIN(I14,$B$6)))</f>
        <v/>
      </c>
      <c r="K14" s="7" t="s">
        <v>393</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47</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1a</v>
      </c>
    </row>
    <row r="4" customFormat="false" ht="15" hidden="false" customHeight="true" outlineLevel="0" collapsed="false">
      <c r="A4" s="5" t="s">
        <v>13</v>
      </c>
      <c r="B4" s="3" t="str">
        <f aca="false">VLOOKUP($B$1,'PARASTATAL Questions'!$A:$J,4,0)&amp;""</f>
        <v>SQ</v>
      </c>
    </row>
    <row r="5" customFormat="false" ht="113.25" hidden="false" customHeight="true" outlineLevel="0" collapsed="false">
      <c r="A5" s="5" t="s">
        <v>14</v>
      </c>
      <c r="B5" s="3" t="str">
        <f aca="false">VLOOKUP($B$1,'PARASTATAL Questions'!$A:$J,5,0)&amp;""</f>
        <v>Does the law clearly demarcate the functions/responsibilities of the parastatal vis-à-vis the ULG?</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45.75" hidden="false" customHeight="true" outlineLevel="0" collapsed="false">
      <c r="A8" s="5" t="s">
        <v>96</v>
      </c>
      <c r="B8" s="3" t="str">
        <f aca="false">VLOOKUP($B$1,'PARASTATAL Questions'!$A:$J,8,0)&amp;""</f>
        <v>Common — all parastatal types.</v>
      </c>
    </row>
    <row r="9" customFormat="false" ht="2028" hidden="false" customHeight="true" outlineLevel="0" collapsed="false">
      <c r="A9" s="5" t="s">
        <v>97</v>
      </c>
      <c r="B9" s="3" t="str">
        <f aca="false">VLOOKUP($B$1,'PARASTATAL Questions'!$A:$J,9,0)&amp;""</f>
        <v>Step 1 — Check devolution status under the Municipal Act.Review the Municipal Act to determine whether the specific function/service is:A — Not devolved: the function is not assigned to the ULG at all.B — Fully devolved: the function is assigned to the ULG in full, and the parastatal also delivers it (i.e. a potential overlap exists).C — Partially devolved: only specific sub-functions are assigned to the ULG (e.g. domestic water supply to the ULG, bulk supply/production to the parastatal).Step 2 — Score based on which scenario applies.If A (not devolved): Score 5. There is no ULG claim to the function, so there is nothing to demarcate against — the parastatal Act's assignment stands on its own.If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assignment).Score 5 if such a distinction is explicit in the Parastatal Act.Score 0 if both Acts assign the same function with no distinction between them.If C (partially devolved): Check whether the aspect assigned to the parastatal is explicit and does not overlap with the aspect assigned to the ULG (e.g. Municipal Act assigns domestic water supply to the ULG; Parastatal Act assigns bulk supply/production to the parastatal — no overlap).Score 5 if the two Acts' assignments are explicit and non-overlapping.Score 0 if the assigned aspects overlap, or if the parastatal's aspect is not clearly specified in its Act.</v>
      </c>
    </row>
    <row r="10" customFormat="false" ht="191.25" hidden="false" customHeight="true" outlineLevel="0" collapsed="false">
      <c r="A10" s="5" t="s">
        <v>98</v>
      </c>
      <c r="B10" s="3" t="str">
        <f aca="false">VLOOKUP($B$1,'PARASTATAL Questions'!$A:$J,10,0)&amp;""</f>
        <v>Relevant Parastatal Act; State Municipal Act — record the specific provisions establishing devolution status and (where applicable) the functional carve-out.</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C13" s="1" t="s">
        <v>326</v>
      </c>
      <c r="D13" s="1" t="s">
        <v>394</v>
      </c>
      <c r="E13" s="1" t="s">
        <v>395</v>
      </c>
      <c r="F13" s="1" t="s">
        <v>396</v>
      </c>
      <c r="G13" s="1" t="s">
        <v>330</v>
      </c>
      <c r="H13" s="1" t="s">
        <v>331</v>
      </c>
      <c r="I13" s="9"/>
      <c r="J13" s="1" t="str">
        <f aca="false">IF($B13="NO","NA",IF(I13="","",MIN(I13,$B$6)))</f>
        <v/>
      </c>
      <c r="K13" s="7" t="s">
        <v>397</v>
      </c>
    </row>
    <row r="14" customFormat="false" ht="15" hidden="false" customHeight="true" outlineLevel="0" collapsed="false">
      <c r="A14" s="1" t="s">
        <v>18</v>
      </c>
      <c r="B14" s="1" t="s">
        <v>325</v>
      </c>
      <c r="I14" s="9"/>
      <c r="J14" s="1" t="str">
        <f aca="false">IF($B14="NO","NA",IF(I14="","",MIN(I14,$B$6)))</f>
        <v/>
      </c>
      <c r="K14" s="1" t="s">
        <v>398</v>
      </c>
    </row>
    <row r="15" customFormat="false" ht="15" hidden="false" customHeight="true" outlineLevel="0" collapsed="false">
      <c r="A15" s="1" t="s">
        <v>19</v>
      </c>
      <c r="B15" s="1" t="s">
        <v>325</v>
      </c>
      <c r="C15" s="1" t="s">
        <v>399</v>
      </c>
      <c r="D15" s="1" t="s">
        <v>400</v>
      </c>
      <c r="E15" s="1" t="s">
        <v>401</v>
      </c>
      <c r="F15" s="1" t="s">
        <v>402</v>
      </c>
      <c r="G15" s="1" t="s">
        <v>403</v>
      </c>
      <c r="H15" s="1" t="s">
        <v>404</v>
      </c>
      <c r="I15" s="9" t="n">
        <v>0</v>
      </c>
      <c r="J15" s="1" t="n">
        <f aca="false">IF($B15="NO","NA",IF(I15="","",MIN(I15,$B$6)))</f>
        <v>0</v>
      </c>
      <c r="K15" s="7" t="s">
        <v>405</v>
      </c>
    </row>
    <row r="16" customFormat="false" ht="15" hidden="false" customHeight="true" outlineLevel="0" collapsed="false">
      <c r="A16" s="1" t="s">
        <v>20</v>
      </c>
      <c r="B16" s="1" t="s">
        <v>325</v>
      </c>
      <c r="I16" s="9"/>
      <c r="J16" s="1" t="str">
        <f aca="false">IF($B16="NO","NA",IF(I16="","",MIN(I16,$B$6)))</f>
        <v/>
      </c>
      <c r="K16" s="7" t="s">
        <v>406</v>
      </c>
    </row>
    <row r="17" customFormat="false" ht="15" hidden="false" customHeight="true" outlineLevel="0" collapsed="false">
      <c r="A17" s="1" t="s">
        <v>21</v>
      </c>
      <c r="B17" s="1" t="s">
        <v>325</v>
      </c>
      <c r="I17" s="9"/>
      <c r="J17" s="1" t="str">
        <f aca="false">IF($B17="NO","NA",IF(I17="","",MIN(I17,$B$6)))</f>
        <v/>
      </c>
      <c r="K17" s="7" t="s">
        <v>407</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48</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1b</v>
      </c>
    </row>
    <row r="4" customFormat="false" ht="15" hidden="false" customHeight="true" outlineLevel="0" collapsed="false">
      <c r="A4" s="5" t="s">
        <v>13</v>
      </c>
      <c r="B4" s="3" t="str">
        <f aca="false">VLOOKUP($B$1,'PARASTATAL Questions'!$A:$J,4,0)&amp;""</f>
        <v>SQ</v>
      </c>
    </row>
    <row r="5" customFormat="false" ht="124.5" hidden="false" customHeight="true" outlineLevel="0" collapsed="false">
      <c r="A5" s="5" t="s">
        <v>14</v>
      </c>
      <c r="B5" s="3" t="str">
        <f aca="false">VLOOKUP($B$1,'PARASTATAL Questions'!$A:$J,5,0)&amp;""</f>
        <v>Is the parastatal's territorial/geographic jurisdiction specifically defined in it's enabling law?</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45.75" hidden="false" customHeight="true" outlineLevel="0" collapsed="false">
      <c r="A8" s="5" t="s">
        <v>96</v>
      </c>
      <c r="B8" s="3" t="str">
        <f aca="false">VLOOKUP($B$1,'PARASTATAL Questions'!$A:$J,8,0)&amp;""</f>
        <v>Common — all parastatal types.</v>
      </c>
    </row>
    <row r="9" customFormat="false" ht="1031.25" hidden="false" customHeight="true" outlineLevel="0" collapsed="false">
      <c r="A9" s="5" t="s">
        <v>97</v>
      </c>
      <c r="B9" s="3" t="str">
        <f aca="false">VLOOKUP($B$1,'PARASTATAL Questions'!$A:$J,9,0)&amp;""</f>
        <v>Check the relevant Parastatal Act and Municipal Act as the primary sources to determine the parastatal’s territorial/geographic jurisdiction.If the applicable legislation does not clearly define the jurisdiction, or provides for jurisdiction to be specified or altered through subsequent notification, check relevant government notifications/gazette publications and, where necessary, the parastatal’s official website for the current jurisdictional boundary. Score 5 — The parastatal’s jurisdiction is clearly defined through a specific boundary description, schedule, map reference, notified area or other legally identifiable territorial definition.Score 0 — The parastatal’s jurisdiction cannot be clearly established from the applicable legislation or subsequent legally valid notifications/orders.</v>
      </c>
    </row>
    <row r="10" customFormat="false" ht="57" hidden="false" customHeight="true" outlineLevel="0" collapsed="false">
      <c r="A10" s="5" t="s">
        <v>98</v>
      </c>
      <c r="B10" s="3" t="str">
        <f aca="false">VLOOKUP($B$1,'PARASTATAL Questions'!$A:$J,10,0)&amp;""</f>
        <v>Enabling Act, 12th Schedule mapping exercise</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C13" s="1" t="s">
        <v>326</v>
      </c>
      <c r="D13" s="1" t="s">
        <v>408</v>
      </c>
      <c r="E13" s="1" t="s">
        <v>409</v>
      </c>
      <c r="F13" s="1" t="s">
        <v>410</v>
      </c>
      <c r="G13" s="1" t="s">
        <v>411</v>
      </c>
      <c r="H13" s="1" t="s">
        <v>331</v>
      </c>
      <c r="I13" s="9" t="n">
        <v>5</v>
      </c>
      <c r="J13" s="1" t="n">
        <f aca="false">IF($B13="NO","NA",IF(I13="","",MIN(I13,$B$6)))</f>
        <v>5</v>
      </c>
      <c r="K13" s="7" t="s">
        <v>412</v>
      </c>
    </row>
    <row r="14" customFormat="false" ht="15" hidden="false" customHeight="true" outlineLevel="0" collapsed="false">
      <c r="A14" s="1" t="s">
        <v>18</v>
      </c>
      <c r="B14" s="1" t="s">
        <v>325</v>
      </c>
      <c r="I14" s="9"/>
      <c r="J14" s="1" t="str">
        <f aca="false">IF($B14="NO","NA",IF(I14="","",MIN(I14,$B$6)))</f>
        <v/>
      </c>
      <c r="K14" s="1" t="s">
        <v>413</v>
      </c>
    </row>
    <row r="15" customFormat="false" ht="15" hidden="false" customHeight="true" outlineLevel="0" collapsed="false">
      <c r="A15" s="1" t="s">
        <v>19</v>
      </c>
      <c r="B15" s="1" t="s">
        <v>325</v>
      </c>
      <c r="C15" s="1" t="s">
        <v>414</v>
      </c>
      <c r="D15" s="1" t="s">
        <v>408</v>
      </c>
      <c r="E15" s="1" t="s">
        <v>415</v>
      </c>
      <c r="F15" s="1" t="s">
        <v>416</v>
      </c>
      <c r="G15" s="1" t="s">
        <v>417</v>
      </c>
      <c r="H15" s="1" t="s">
        <v>418</v>
      </c>
      <c r="I15" s="9" t="n">
        <v>5</v>
      </c>
      <c r="J15" s="1" t="n">
        <f aca="false">IF($B15="NO","NA",IF(I15="","",MIN(I15,$B$6)))</f>
        <v>5</v>
      </c>
      <c r="K15" s="7" t="s">
        <v>419</v>
      </c>
    </row>
    <row r="16" customFormat="false" ht="15" hidden="false" customHeight="true" outlineLevel="0" collapsed="false">
      <c r="A16" s="1" t="s">
        <v>20</v>
      </c>
      <c r="B16" s="1" t="s">
        <v>325</v>
      </c>
      <c r="I16" s="9"/>
      <c r="J16" s="1" t="str">
        <f aca="false">IF($B16="NO","NA",IF(I16="","",MIN(I16,$B$6)))</f>
        <v/>
      </c>
      <c r="K16" s="1" t="s">
        <v>420</v>
      </c>
    </row>
    <row r="17" customFormat="false" ht="15" hidden="false" customHeight="true" outlineLevel="0" collapsed="false">
      <c r="A17" s="1" t="s">
        <v>21</v>
      </c>
      <c r="B17" s="1" t="s">
        <v>325</v>
      </c>
      <c r="I17" s="9"/>
      <c r="J17" s="1" t="str">
        <f aca="false">IF($B17="NO","NA",IF(I17="","",MIN(I17,$B$6)))</f>
        <v/>
      </c>
      <c r="K17" s="7" t="s">
        <v>421</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50</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2a</v>
      </c>
    </row>
    <row r="4" customFormat="false" ht="15" hidden="false" customHeight="true" outlineLevel="0" collapsed="false">
      <c r="A4" s="5" t="s">
        <v>13</v>
      </c>
      <c r="B4" s="3" t="str">
        <f aca="false">VLOOKUP($B$1,'PARASTATAL Questions'!$A:$J,4,0)&amp;""</f>
        <v>SQ</v>
      </c>
    </row>
    <row r="5" customFormat="false" ht="90.75" hidden="false" customHeight="true" outlineLevel="0" collapsed="false">
      <c r="A5" s="5" t="s">
        <v>14</v>
      </c>
      <c r="B5" s="3" t="str">
        <f aca="false">VLOOKUP($B$1,'PARASTATAL Questions'!$A:$J,5,0)&amp;""</f>
        <v>Does the ULG have representation on the parastatal's governing board?</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45.75" hidden="false" customHeight="true" outlineLevel="0" collapsed="false">
      <c r="A8" s="5" t="s">
        <v>96</v>
      </c>
      <c r="B8" s="3" t="str">
        <f aca="false">VLOOKUP($B$1,'PARASTATAL Questions'!$A:$J,8,0)&amp;""</f>
        <v>Common — all parastatal types.</v>
      </c>
    </row>
    <row r="9" customFormat="false" ht="807" hidden="false" customHeight="true" outlineLevel="0" collapsed="false">
      <c r="A9" s="5" t="s">
        <v>97</v>
      </c>
      <c r="B9" s="3" t="str">
        <f aca="false">VLOOKUP($B$1,'PARASTATAL Questions'!$A:$J,9,0)&amp;""</f>
        <v>Check the relevant Parastatal Act and Municipal Act as primary sources to determine the composition of the parastatal’s governing board and whether the legislation provides for ULG representatives. Where the composition, status or voting rights of members are not clear from the applicable legislation, check the parastatal’s official website or current board-member list. Score 5: ULG-elected representatives are members of the governing board with voting rights.Score 2.5: The ULG is represented on the governing board, but without voting rights or only as invitees.Score 0: No ULG representation on the governing board is provided for or found.</v>
      </c>
    </row>
    <row r="10" customFormat="false" ht="147" hidden="false" customHeight="true" outlineLevel="0" collapsed="false">
      <c r="A10" s="5" t="s">
        <v>98</v>
      </c>
      <c r="B10" s="3" t="str">
        <f aca="false">VLOOKUP($B$1,'PARASTATAL Questions'!$A:$J,10,0)&amp;""</f>
        <v>Composition clause of enabling Act; current board member list; Also check as per the parastatal website.</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C13" s="1" t="s">
        <v>326</v>
      </c>
      <c r="D13" s="1" t="s">
        <v>422</v>
      </c>
      <c r="E13" s="1" t="s">
        <v>423</v>
      </c>
      <c r="F13" s="1" t="s">
        <v>424</v>
      </c>
      <c r="G13" s="1" t="s">
        <v>425</v>
      </c>
      <c r="H13" s="1" t="s">
        <v>331</v>
      </c>
      <c r="I13" s="9" t="n">
        <v>0</v>
      </c>
      <c r="J13" s="1" t="n">
        <f aca="false">IF($B13="NO","NA",IF(I13="","",MIN(I13,$B$6)))</f>
        <v>0</v>
      </c>
      <c r="K13" s="7" t="s">
        <v>426</v>
      </c>
    </row>
    <row r="14" customFormat="false" ht="15" hidden="false" customHeight="true" outlineLevel="0" collapsed="false">
      <c r="A14" s="1" t="s">
        <v>18</v>
      </c>
      <c r="B14" s="1" t="s">
        <v>325</v>
      </c>
      <c r="I14" s="9"/>
      <c r="J14" s="1" t="str">
        <f aca="false">IF($B14="NO","NA",IF(I14="","",MIN(I14,$B$6)))</f>
        <v/>
      </c>
      <c r="K14" s="1" t="s">
        <v>427</v>
      </c>
    </row>
    <row r="15" customFormat="false" ht="15" hidden="false" customHeight="true" outlineLevel="0" collapsed="false">
      <c r="A15" s="1" t="s">
        <v>19</v>
      </c>
      <c r="B15" s="1" t="s">
        <v>325</v>
      </c>
      <c r="C15" s="1" t="s">
        <v>414</v>
      </c>
      <c r="D15" s="1" t="s">
        <v>428</v>
      </c>
      <c r="E15" s="1" t="s">
        <v>429</v>
      </c>
      <c r="F15" s="1" t="s">
        <v>430</v>
      </c>
      <c r="G15" s="1" t="s">
        <v>339</v>
      </c>
      <c r="H15" s="1" t="s">
        <v>418</v>
      </c>
      <c r="I15" s="9" t="n">
        <v>5</v>
      </c>
      <c r="J15" s="1" t="n">
        <f aca="false">IF($B15="NO","NA",IF(I15="","",MIN(I15,$B$6)))</f>
        <v>5</v>
      </c>
      <c r="K15" s="7" t="s">
        <v>431</v>
      </c>
    </row>
    <row r="16" customFormat="false" ht="15" hidden="false" customHeight="true" outlineLevel="0" collapsed="false">
      <c r="A16" s="1" t="s">
        <v>20</v>
      </c>
      <c r="B16" s="1" t="s">
        <v>325</v>
      </c>
      <c r="I16" s="9"/>
      <c r="J16" s="1" t="str">
        <f aca="false">IF($B16="NO","NA",IF(I16="","",MIN(I16,$B$6)))</f>
        <v/>
      </c>
      <c r="K16" s="7" t="s">
        <v>432</v>
      </c>
    </row>
    <row r="17" customFormat="false" ht="15" hidden="false" customHeight="true" outlineLevel="0" collapsed="false">
      <c r="A17" s="1" t="s">
        <v>21</v>
      </c>
      <c r="B17" s="1" t="s">
        <v>325</v>
      </c>
      <c r="I17" s="9"/>
      <c r="J17" s="1" t="str">
        <f aca="false">IF($B17="NO","NA",IF(I17="","",MIN(I17,$B$6)))</f>
        <v/>
      </c>
      <c r="K17" s="7" t="s">
        <v>433</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51</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DPG-2b</v>
      </c>
    </row>
    <row r="4" customFormat="false" ht="15" hidden="false" customHeight="true" outlineLevel="0" collapsed="false">
      <c r="A4" s="5" t="s">
        <v>13</v>
      </c>
      <c r="B4" s="3" t="str">
        <f aca="false">VLOOKUP($B$1,'PARASTATAL Questions'!$A:$J,4,0)&amp;""</f>
        <v>SQ</v>
      </c>
    </row>
    <row r="5" customFormat="false" ht="113.25" hidden="false" customHeight="true" outlineLevel="0" collapsed="false">
      <c r="A5" s="5" t="s">
        <v>14</v>
      </c>
      <c r="B5" s="3" t="str">
        <f aca="false">VLOOKUP($B$1,'PARASTATAL Questions'!$A:$J,5,0)&amp;""</f>
        <v>Is the parastatal mandated to submit its plans, budgets or reports to the ULG/council?</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45.75" hidden="false" customHeight="true" outlineLevel="0" collapsed="false">
      <c r="A8" s="5" t="s">
        <v>96</v>
      </c>
      <c r="B8" s="3" t="str">
        <f aca="false">VLOOKUP($B$1,'PARASTATAL Questions'!$A:$J,8,0)&amp;""</f>
        <v>Common — all parastatal types.</v>
      </c>
    </row>
    <row r="9" customFormat="false" ht="1356" hidden="false" customHeight="true" outlineLevel="0" collapsed="false">
      <c r="A9" s="5" t="s">
        <v>97</v>
      </c>
      <c r="B9" s="3" t="str">
        <f aca="false">VLOOKUP($B$1,'PARASTATAL Questions'!$A:$J,9,0)&amp;""</f>
        <v>Check the relevant Parastatal Act and Municipal Act for provisions requiring the parastatal to submit or table its plans, budgets and reports before the ULG/council.The requirement may arise either:through a specific provision applicable to the parastatal (The requirement may be provided through a general provision covering these documents or through specific provisions for each); orthrough a general/blanket provision in the Municipal Act requiring public authorities, boards, corporations or other agencies operating within the municipal area to submit specified plans, budgets, reports or related documents to the ULG/council. Score 1.67 points each where:plans are required to be submitted/tabled;budgets are required to be submitted/tabled; andannual/performance reports are required to be submitted/tabled.Score 0 for each component where no such requirement exists. Where all three are provided for, award the full score of 5. Submission only to the State Government or another authority should not be counted as submission to the ULG/council.</v>
      </c>
    </row>
    <row r="10" customFormat="false" ht="135.75" hidden="false" customHeight="true" outlineLevel="0" collapsed="false">
      <c r="A10" s="5" t="s">
        <v>98</v>
      </c>
      <c r="B10" s="3" t="str">
        <f aca="false">VLOOKUP($B$1,'PARASTATAL Questions'!$A:$J,10,0)&amp;""</f>
        <v>Plan/Budget preparation/Annual report preparation clause of the enabling Act of the relevant parastatal</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52</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3</v>
      </c>
    </row>
    <row r="4" customFormat="false" ht="15" hidden="false" customHeight="true" outlineLevel="0" collapsed="false">
      <c r="A4" s="5" t="s">
        <v>13</v>
      </c>
      <c r="B4" s="3" t="str">
        <f aca="false">VLOOKUP($B$1,'PARASTATAL Questions'!$A:$J,4,0)&amp;""</f>
        <v>MQ</v>
      </c>
    </row>
    <row r="5" customFormat="false" ht="79.5" hidden="false" customHeight="true" outlineLevel="0" collapsed="false">
      <c r="A5" s="5" t="s">
        <v>14</v>
      </c>
      <c r="B5" s="3" t="str">
        <f aca="false">VLOOKUP($B$1,'PARASTATAL Questions'!$A:$J,5,0)&amp;""</f>
        <v>Does the parastatal maintain an active and functional website?</v>
      </c>
    </row>
    <row r="6" customFormat="false" ht="15" hidden="false" customHeight="true" outlineLevel="0" collapsed="false">
      <c r="A6" s="5" t="s">
        <v>16</v>
      </c>
      <c r="B6" s="3" t="n">
        <f aca="false">VLOOKUP($B$1,'PARASTATAL Questions'!$A:$J,6,0)</f>
        <v>10</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404.25" hidden="false" customHeight="true" outlineLevel="0" collapsed="false">
      <c r="A9" s="5" t="s">
        <v>97</v>
      </c>
      <c r="B9" s="3" t="str">
        <f aca="false">VLOOKUP($B$1,'PARASTATAL Questions'!$A:$J,9,0)&amp;""</f>
        <v>Check the official website of the relevant parastatal.Score 10 if an official website of the relevant parastatal exists, opens without error, and shows content updated within the last 12 months (verifiable "last updated" date or dated content such as a recent notice/circular). Score 0 if no official website is found.</v>
      </c>
    </row>
    <row r="10" customFormat="false" ht="135.75" hidden="false" customHeight="true" outlineLevel="0" collapsed="false">
      <c r="A10" s="5" t="s">
        <v>98</v>
      </c>
      <c r="B10" s="3" t="str">
        <f aca="false">VLOOKUP($B$1,'PARASTATAL Questions'!$A:$J,10,0)&amp;""</f>
        <v>Live URL, screenshot/web-archive capture, date of check of the website of the relevant parastatal</v>
      </c>
    </row>
    <row r="11" customFormat="false" ht="15" hidden="false" customHeight="true" outlineLevel="0" collapsed="false">
      <c r="B11" s="8" t="s">
        <v>312</v>
      </c>
      <c r="I11" s="8" t="s">
        <v>435</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54</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DPG5a</v>
      </c>
    </row>
    <row r="4" customFormat="false" ht="15" hidden="false" customHeight="true" outlineLevel="0" collapsed="false">
      <c r="A4" s="5" t="s">
        <v>13</v>
      </c>
      <c r="B4" s="3" t="str">
        <f aca="false">VLOOKUP($B$1,'PARASTATAL Questions'!$A:$J,4,0)&amp;""</f>
        <v>SQ</v>
      </c>
    </row>
    <row r="5" customFormat="false" ht="23.25" hidden="false" customHeight="true" outlineLevel="0" collapsed="false">
      <c r="A5" s="5" t="s">
        <v>14</v>
      </c>
      <c r="B5" s="3" t="str">
        <f aca="false">VLOOKUP($B$1,'PARASTATAL Questions'!$A:$J,5,0)&amp;""</f>
        <v>Annual budget</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1210.5" hidden="false" customHeight="true" outlineLevel="0" collapsed="false">
      <c r="A9" s="5" t="s">
        <v>97</v>
      </c>
      <c r="B9" s="3" t="str">
        <f aca="false">VLOOKUP($B$1,'PARASTATAL Questions'!$A:$J,9,0)&amp;""</f>
        <v>Part A: Availability and currency — 0.5Score 0.5: Budget for the current FY or either of the immediately preceding two FYs is publicly available online.Score 0: Budget cannot be found/accessed online, or the latest available budget is older than the permitted period. Part B: Open-data format — 0.5Score 0.5:  Budget information is available in an open, structured and reusable data format, such as:1. CSV;2. XLS/XLSX;3. ODS;4. structured HTML table; or5. another downloadable structured dataset.Score 0 — Budget information is available only in a non-open or non-reusable format, including:1. PDF, whether searchable or scanned;2. image files;3. unstructured webpages;4. documents containing tables that are not provided as structured downloadable data. The open-data format should allow budget figures to be readily extracted, analysed and reused without manual transcription.</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437</v>
      </c>
      <c r="J12" s="4" t="s">
        <v>438</v>
      </c>
      <c r="K12" s="4" t="s">
        <v>323</v>
      </c>
      <c r="L12" s="4" t="s">
        <v>324</v>
      </c>
    </row>
    <row r="13" customFormat="false" ht="15" hidden="false" customHeight="true" outlineLevel="0" collapsed="false">
      <c r="A13" s="1" t="s">
        <v>17</v>
      </c>
      <c r="B13" s="1" t="s">
        <v>325</v>
      </c>
      <c r="I13" s="9"/>
      <c r="J13" s="9"/>
      <c r="K13" s="1" t="str">
        <f aca="false">IF($B13="NO","NA",IF(COUNTA(I13:J13)&lt;2,"",SUM(I13:J13)))</f>
        <v/>
      </c>
      <c r="L13" s="1" t="s">
        <v>439</v>
      </c>
    </row>
    <row r="14" customFormat="false" ht="15" hidden="false" customHeight="true" outlineLevel="0" collapsed="false">
      <c r="A14" s="1" t="s">
        <v>18</v>
      </c>
      <c r="B14" s="1" t="s">
        <v>325</v>
      </c>
      <c r="I14" s="9"/>
      <c r="J14" s="9"/>
      <c r="K14" s="1" t="str">
        <f aca="false">IF($B14="NO","NA",IF(COUNTA(I14:J14)&lt;2,"",SUM(I14:J14)))</f>
        <v/>
      </c>
      <c r="L14" s="1" t="s">
        <v>440</v>
      </c>
    </row>
    <row r="15" customFormat="false" ht="15" hidden="false" customHeight="true" outlineLevel="0" collapsed="false">
      <c r="A15" s="1" t="s">
        <v>19</v>
      </c>
      <c r="B15" s="1" t="s">
        <v>325</v>
      </c>
      <c r="I15" s="9"/>
      <c r="J15" s="9"/>
      <c r="K15" s="1" t="str">
        <f aca="false">IF($B15="NO","NA",IF(COUNTA(I15:J15)&lt;2,"",SUM(I15:J15)))</f>
        <v/>
      </c>
      <c r="L15" s="1" t="s">
        <v>441</v>
      </c>
    </row>
    <row r="16" customFormat="false" ht="15" hidden="false" customHeight="true" outlineLevel="0" collapsed="false">
      <c r="A16" s="1" t="s">
        <v>20</v>
      </c>
      <c r="B16" s="1" t="s">
        <v>325</v>
      </c>
      <c r="I16" s="9"/>
      <c r="J16" s="9"/>
      <c r="K16" s="1" t="str">
        <f aca="false">IF($B16="NO","NA",IF(COUNTA(I16:J16)&lt;2,"",SUM(I16:J16)))</f>
        <v/>
      </c>
      <c r="L16" s="1" t="s">
        <v>442</v>
      </c>
    </row>
    <row r="17" customFormat="false" ht="15" hidden="false" customHeight="true" outlineLevel="0" collapsed="false">
      <c r="A17" s="1" t="s">
        <v>21</v>
      </c>
      <c r="B17" s="1" t="s">
        <v>325</v>
      </c>
      <c r="I17" s="9"/>
      <c r="J17" s="9"/>
      <c r="K17" s="1" t="str">
        <f aca="false">IF($B17="NO","NA",IF(COUNTA(I17:J17)&lt;2,"",SUM(I17:J17)))</f>
        <v/>
      </c>
      <c r="L17" s="1" t="s">
        <v>443</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Availability and currency' column." errorStyle="stop" operator="between" showDropDown="false" showErrorMessage="true" showInputMessage="false" sqref="I13:I19" type="list">
      <formula1>"0.5,0"</formula1>
      <formula2>0</formula2>
    </dataValidation>
    <dataValidation allowBlank="true" error="See the instruction above the 'Part B: Open-data format'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55</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5b</v>
      </c>
    </row>
    <row r="4" customFormat="false" ht="15" hidden="false" customHeight="true" outlineLevel="0" collapsed="false">
      <c r="A4" s="5" t="s">
        <v>13</v>
      </c>
      <c r="B4" s="3" t="str">
        <f aca="false">VLOOKUP($B$1,'PARASTATAL Questions'!$A:$J,4,0)&amp;""</f>
        <v>SQ</v>
      </c>
    </row>
    <row r="5" customFormat="false" ht="34.5" hidden="false" customHeight="true" outlineLevel="0" collapsed="false">
      <c r="A5" s="5" t="s">
        <v>14</v>
      </c>
      <c r="B5" s="3" t="str">
        <f aca="false">VLOOKUP($B$1,'PARASTATAL Questions'!$A:$J,5,0)&amp;""</f>
        <v>Audited annual account</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1300.5" hidden="false" customHeight="true" outlineLevel="0" collapsed="false">
      <c r="A9" s="5" t="s">
        <v>97</v>
      </c>
      <c r="B9" s="3" t="str">
        <f aca="false">VLOOKUP($B$1,'PARASTATAL Questions'!$A:$J,9,0)&amp;""</f>
        <v>Part A: Availability and currency — 0.5Score 0.5 — Audited annual accounts are publicly available online, and the latest available accounts are not older than two years.Score 0 — Audited annual accounts cannot be found/accessed online, or the latest available accounts are older than the permitted period. Part B: Open-data format — 0.5Score 0.5 — Audited financial information is available in an open, structured and reusable data format, such as:1. CSV;2. XLS/XLSX;3. ODS;4. structured HTML table; or5. another downloadable structured dataset.Score 0 — Audited financial information is available only in a non-open or non-reusable format, including:1. PDF, whether searchable or scanned;2. image files;3. unstructured webpages; or4. documents containing financial tables that are not provided as structured reusable data. The open-data format should allow audited financial figures to be readily extracted, analysed and reused without manual transcription.</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437</v>
      </c>
      <c r="J12" s="4" t="s">
        <v>438</v>
      </c>
      <c r="K12" s="4" t="s">
        <v>323</v>
      </c>
      <c r="L12" s="4" t="s">
        <v>324</v>
      </c>
    </row>
    <row r="13" customFormat="false" ht="15" hidden="false" customHeight="true" outlineLevel="0" collapsed="false">
      <c r="A13" s="1" t="s">
        <v>17</v>
      </c>
      <c r="B13" s="1" t="s">
        <v>325</v>
      </c>
      <c r="I13" s="9"/>
      <c r="J13" s="9"/>
      <c r="K13" s="1" t="str">
        <f aca="false">IF($B13="NO","NA",IF(COUNTA(I13:J13)&lt;2,"",SUM(I13:J13)))</f>
        <v/>
      </c>
      <c r="L13" s="1" t="s">
        <v>444</v>
      </c>
    </row>
    <row r="14" customFormat="false" ht="15" hidden="false" customHeight="true" outlineLevel="0" collapsed="false">
      <c r="A14" s="1" t="s">
        <v>18</v>
      </c>
      <c r="B14" s="1" t="s">
        <v>325</v>
      </c>
      <c r="I14" s="9"/>
      <c r="J14" s="9"/>
      <c r="K14" s="1" t="str">
        <f aca="false">IF($B14="NO","NA",IF(COUNTA(I14:J14)&lt;2,"",SUM(I14:J14)))</f>
        <v/>
      </c>
      <c r="L14" s="1" t="s">
        <v>445</v>
      </c>
    </row>
    <row r="15" customFormat="false" ht="15" hidden="false" customHeight="true" outlineLevel="0" collapsed="false">
      <c r="A15" s="1" t="s">
        <v>19</v>
      </c>
      <c r="B15" s="1" t="s">
        <v>325</v>
      </c>
      <c r="I15" s="9"/>
      <c r="J15" s="9"/>
      <c r="K15" s="1" t="str">
        <f aca="false">IF($B15="NO","NA",IF(COUNTA(I15:J15)&lt;2,"",SUM(I15:J15)))</f>
        <v/>
      </c>
      <c r="L15" s="1" t="s">
        <v>446</v>
      </c>
    </row>
    <row r="16" customFormat="false" ht="15" hidden="false" customHeight="true" outlineLevel="0" collapsed="false">
      <c r="A16" s="1" t="s">
        <v>20</v>
      </c>
      <c r="B16" s="1" t="s">
        <v>325</v>
      </c>
      <c r="I16" s="9"/>
      <c r="J16" s="9"/>
      <c r="K16" s="1" t="str">
        <f aca="false">IF($B16="NO","NA",IF(COUNTA(I16:J16)&lt;2,"",SUM(I16:J16)))</f>
        <v/>
      </c>
      <c r="L16" s="1" t="s">
        <v>447</v>
      </c>
    </row>
    <row r="17" customFormat="false" ht="15" hidden="false" customHeight="true" outlineLevel="0" collapsed="false">
      <c r="A17" s="1" t="s">
        <v>21</v>
      </c>
      <c r="B17" s="1" t="s">
        <v>325</v>
      </c>
      <c r="I17" s="9"/>
      <c r="J17" s="9"/>
      <c r="K17" s="1" t="str">
        <f aca="false">IF($B17="NO","NA",IF(COUNTA(I17:J17)&lt;2,"",SUM(I17:J17)))</f>
        <v/>
      </c>
      <c r="L17" s="1" t="s">
        <v>448</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Availability and currency' column." errorStyle="stop" operator="between" showDropDown="false" showErrorMessage="true" showInputMessage="false" sqref="I13:I19" type="list">
      <formula1>"0.5,0"</formula1>
      <formula2>0</formula2>
    </dataValidation>
    <dataValidation allowBlank="true" error="See the instruction above the 'Part B: Open-data format'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56</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5c</v>
      </c>
    </row>
    <row r="4" customFormat="false" ht="15" hidden="false" customHeight="true" outlineLevel="0" collapsed="false">
      <c r="A4" s="5" t="s">
        <v>13</v>
      </c>
      <c r="B4" s="3" t="str">
        <f aca="false">VLOOKUP($B$1,'PARASTATAL Questions'!$A:$J,4,0)&amp;""</f>
        <v>SQ</v>
      </c>
    </row>
    <row r="5" customFormat="false" ht="23.25" hidden="false" customHeight="true" outlineLevel="0" collapsed="false">
      <c r="A5" s="5" t="s">
        <v>14</v>
      </c>
      <c r="B5" s="3" t="str">
        <f aca="false">VLOOKUP($B$1,'PARASTATAL Questions'!$A:$J,5,0)&amp;""</f>
        <v>Annual report</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1165.5" hidden="false" customHeight="true" outlineLevel="0" collapsed="false">
      <c r="A9" s="5" t="s">
        <v>97</v>
      </c>
      <c r="B9" s="3" t="str">
        <f aca="false">VLOOKUP($B$1,'PARASTATAL Questions'!$A:$J,9,0)&amp;""</f>
        <v>Part A: Availability and currency — 0.5Score 0.5: The annual report is publicly available online, and the latest available report is not older than two years.Score 0: The annual report cannot be found/accessed online, or the latest available report is older than the permitted period. Part B: Open-data format — 0.5Score 0.5: Key information contained in the annual report is also available in an open, structured and reusable format, such as:1. CSV;2. XLS/XLSX;3. ODS;4. structured HTML tables; orScore 0: The annual report is available only as a document or other non-structured format, including:1. PDF, whether searchable or scanned;2. DOC/DOCX;3. image files;4. e-publications; or5. webpages containing narrative information without structured reusable data. The open-data format should allow key annual-report information to be extracted, analysed and reused without manual transcription.</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437</v>
      </c>
      <c r="J12" s="4" t="s">
        <v>438</v>
      </c>
      <c r="K12" s="4" t="s">
        <v>323</v>
      </c>
      <c r="L12" s="4" t="s">
        <v>324</v>
      </c>
    </row>
    <row r="13" customFormat="false" ht="15" hidden="false" customHeight="true" outlineLevel="0" collapsed="false">
      <c r="A13" s="1" t="s">
        <v>17</v>
      </c>
      <c r="B13" s="1" t="s">
        <v>325</v>
      </c>
      <c r="I13" s="9"/>
      <c r="J13" s="9"/>
      <c r="K13" s="1" t="str">
        <f aca="false">IF($B13="NO","NA",IF(COUNTA(I13:J13)&lt;2,"",SUM(I13:J13)))</f>
        <v/>
      </c>
      <c r="L13" s="7" t="s">
        <v>449</v>
      </c>
    </row>
    <row r="14" customFormat="false" ht="15" hidden="false" customHeight="true" outlineLevel="0" collapsed="false">
      <c r="A14" s="1" t="s">
        <v>18</v>
      </c>
      <c r="B14" s="1" t="s">
        <v>325</v>
      </c>
      <c r="I14" s="9"/>
      <c r="J14" s="9"/>
      <c r="K14" s="1" t="str">
        <f aca="false">IF($B14="NO","NA",IF(COUNTA(I14:J14)&lt;2,"",SUM(I14:J14)))</f>
        <v/>
      </c>
      <c r="L14" s="1" t="s">
        <v>450</v>
      </c>
    </row>
    <row r="15" customFormat="false" ht="15" hidden="false" customHeight="true" outlineLevel="0" collapsed="false">
      <c r="A15" s="1" t="s">
        <v>19</v>
      </c>
      <c r="B15" s="1" t="s">
        <v>325</v>
      </c>
      <c r="I15" s="9"/>
      <c r="J15" s="9"/>
      <c r="K15" s="1" t="str">
        <f aca="false">IF($B15="NO","NA",IF(COUNTA(I15:J15)&lt;2,"",SUM(I15:J15)))</f>
        <v/>
      </c>
      <c r="L15" s="1" t="s">
        <v>451</v>
      </c>
    </row>
    <row r="16" customFormat="false" ht="15" hidden="false" customHeight="true" outlineLevel="0" collapsed="false">
      <c r="A16" s="1" t="s">
        <v>20</v>
      </c>
      <c r="B16" s="1" t="s">
        <v>325</v>
      </c>
      <c r="I16" s="9"/>
      <c r="J16" s="9"/>
      <c r="K16" s="1" t="str">
        <f aca="false">IF($B16="NO","NA",IF(COUNTA(I16:J16)&lt;2,"",SUM(I16:J16)))</f>
        <v/>
      </c>
      <c r="L16" s="1" t="s">
        <v>452</v>
      </c>
    </row>
    <row r="17" customFormat="false" ht="15" hidden="false" customHeight="true" outlineLevel="0" collapsed="false">
      <c r="A17" s="1" t="s">
        <v>21</v>
      </c>
      <c r="B17" s="1" t="s">
        <v>325</v>
      </c>
      <c r="C17" s="1" t="s">
        <v>453</v>
      </c>
      <c r="D17" s="1" t="s">
        <v>454</v>
      </c>
      <c r="E17" s="1" t="s">
        <v>455</v>
      </c>
      <c r="F17" s="1" t="s">
        <v>456</v>
      </c>
      <c r="H17" s="1" t="s">
        <v>457</v>
      </c>
      <c r="I17" s="9" t="n">
        <v>0</v>
      </c>
      <c r="J17" s="9" t="n">
        <v>0</v>
      </c>
      <c r="K17" s="1" t="n">
        <f aca="false">IF($B17="NO","NA",IF(COUNTA(I17:J17)&lt;2,"",SUM(I17:J17)))</f>
        <v>0</v>
      </c>
      <c r="L17" s="7" t="s">
        <v>458</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Availability and currency' column." errorStyle="stop" operator="between" showDropDown="false" showErrorMessage="true" showInputMessage="false" sqref="I13:I19" type="list">
      <formula1>"0.5,0"</formula1>
      <formula2>0</formula2>
    </dataValidation>
    <dataValidation allowBlank="true" error="See the instruction above the 'Part B: Open-data format'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57</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DPG5d</v>
      </c>
    </row>
    <row r="4" customFormat="false" ht="15" hidden="false" customHeight="true" outlineLevel="0" collapsed="false">
      <c r="A4" s="5" t="s">
        <v>13</v>
      </c>
      <c r="B4" s="3" t="str">
        <f aca="false">VLOOKUP($B$1,'PARASTATAL Questions'!$A:$J,4,0)&amp;""</f>
        <v>SQ</v>
      </c>
    </row>
    <row r="5" customFormat="false" ht="34.5" hidden="false" customHeight="true" outlineLevel="0" collapsed="false">
      <c r="A5" s="5" t="s">
        <v>14</v>
      </c>
      <c r="B5" s="3" t="str">
        <f aca="false">VLOOKUP($B$1,'PARASTATAL Questions'!$A:$J,5,0)&amp;""</f>
        <v>Annual Audit Report</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1221.75" hidden="false" customHeight="true" outlineLevel="0" collapsed="false">
      <c r="A9" s="5" t="s">
        <v>97</v>
      </c>
      <c r="B9" s="3" t="str">
        <f aca="false">VLOOKUP($B$1,'PARASTATAL Questions'!$A:$J,9,0)&amp;""</f>
        <v>Part A: Availability and currency — 0.5Score 0.5: Annual audit report is publicly available online, and the latest available information is not older than two years.Score 0: Annual audit report  cannot be found/accessed online, or the latest available information is older than two years. Part B: Open-data format — 0.5Score 0.5: Key information contained in the annual audit report is also available in an open, structured and reusable format, such as:1. CSV;2. XLS/XLSX;3. ODS;4. structured HTML tables; orScore 0: The annual audit report is available only as a document or other non-structured format, including:1. PDF, whether searchable or scanned;2. DOC/DOCX;3. image files;4. e-publications; or5. webpages containing narrative information without structured reusable data. The open-data format should allow key annual audit report information to be extracted, analysed and reused without manual transcription.</v>
      </c>
    </row>
    <row r="10" customFormat="false" ht="15" hidden="false" customHeight="true" outlineLevel="0" collapsed="false">
      <c r="A10" s="5" t="s">
        <v>98</v>
      </c>
      <c r="B10" s="3" t="str">
        <f aca="false">VLOOKUP($B$1,'PARASTATAL Questions'!$A:$J,10,0)&amp;""</f>
        <v/>
      </c>
    </row>
    <row r="11" customFormat="false" ht="15" hidden="false" customHeight="true" outlineLevel="0" collapsed="false">
      <c r="B11" s="8" t="s">
        <v>312</v>
      </c>
      <c r="I11" s="8" t="s">
        <v>436</v>
      </c>
      <c r="J11" s="8" t="s">
        <v>436</v>
      </c>
      <c r="K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437</v>
      </c>
      <c r="J12" s="4" t="s">
        <v>438</v>
      </c>
      <c r="K12" s="4" t="s">
        <v>323</v>
      </c>
      <c r="L12" s="4" t="s">
        <v>324</v>
      </c>
    </row>
    <row r="13" customFormat="false" ht="15" hidden="false" customHeight="true" outlineLevel="0" collapsed="false">
      <c r="A13" s="1" t="s">
        <v>17</v>
      </c>
      <c r="B13" s="1" t="s">
        <v>325</v>
      </c>
      <c r="I13" s="9"/>
      <c r="J13" s="9"/>
      <c r="K13" s="1" t="str">
        <f aca="false">IF($B13="NO","NA",IF(COUNTA(I13:J13)&lt;2,"",SUM(I13:J13)))</f>
        <v/>
      </c>
      <c r="L13" s="1" t="s">
        <v>434</v>
      </c>
    </row>
    <row r="14" customFormat="false" ht="15" hidden="false" customHeight="true" outlineLevel="0" collapsed="false">
      <c r="A14" s="1" t="s">
        <v>18</v>
      </c>
      <c r="B14" s="1" t="s">
        <v>325</v>
      </c>
      <c r="I14" s="9"/>
      <c r="J14" s="9"/>
      <c r="K14" s="1" t="str">
        <f aca="false">IF($B14="NO","NA",IF(COUNTA(I14:J14)&lt;2,"",SUM(I14:J14)))</f>
        <v/>
      </c>
      <c r="L14" s="1" t="s">
        <v>434</v>
      </c>
    </row>
    <row r="15" customFormat="false" ht="15" hidden="false" customHeight="true" outlineLevel="0" collapsed="false">
      <c r="A15" s="1" t="s">
        <v>19</v>
      </c>
      <c r="B15" s="1" t="s">
        <v>325</v>
      </c>
      <c r="I15" s="9"/>
      <c r="J15" s="9"/>
      <c r="K15" s="1" t="str">
        <f aca="false">IF($B15="NO","NA",IF(COUNTA(I15:J15)&lt;2,"",SUM(I15:J15)))</f>
        <v/>
      </c>
      <c r="L15" s="1" t="s">
        <v>434</v>
      </c>
    </row>
    <row r="16" customFormat="false" ht="15" hidden="false" customHeight="true" outlineLevel="0" collapsed="false">
      <c r="A16" s="1" t="s">
        <v>20</v>
      </c>
      <c r="B16" s="1" t="s">
        <v>325</v>
      </c>
      <c r="I16" s="9"/>
      <c r="J16" s="9"/>
      <c r="K16" s="1" t="str">
        <f aca="false">IF($B16="NO","NA",IF(COUNTA(I16:J16)&lt;2,"",SUM(I16:J16)))</f>
        <v/>
      </c>
      <c r="L16" s="1" t="s">
        <v>434</v>
      </c>
    </row>
    <row r="17" customFormat="false" ht="15" hidden="false" customHeight="true" outlineLevel="0" collapsed="false">
      <c r="A17" s="1" t="s">
        <v>21</v>
      </c>
      <c r="B17" s="1" t="s">
        <v>325</v>
      </c>
      <c r="I17" s="9"/>
      <c r="J17" s="9"/>
      <c r="K17" s="1" t="str">
        <f aca="false">IF($B17="NO","NA",IF(COUNTA(I17:J17)&lt;2,"",SUM(I17:J17)))</f>
        <v/>
      </c>
      <c r="L17" s="1" t="s">
        <v>434</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Availability and currency' column." errorStyle="stop" operator="between" showDropDown="false" showErrorMessage="true" showInputMessage="false" sqref="I13:I19" type="list">
      <formula1>"0.5,0"</formula1>
      <formula2>0</formula2>
    </dataValidation>
    <dataValidation allowBlank="true" error="See the instruction above the 'Part B: Open-data format'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58</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DPG5e</v>
      </c>
    </row>
    <row r="4" customFormat="false" ht="15" hidden="false" customHeight="true" outlineLevel="0" collapsed="false">
      <c r="A4" s="5" t="s">
        <v>13</v>
      </c>
      <c r="B4" s="3" t="str">
        <f aca="false">VLOOKUP($B$1,'PARASTATAL Questions'!$A:$J,4,0)&amp;""</f>
        <v>SQ</v>
      </c>
    </row>
    <row r="5" customFormat="false" ht="34.5" hidden="false" customHeight="true" outlineLevel="0" collapsed="false">
      <c r="A5" s="5" t="s">
        <v>14</v>
      </c>
      <c r="B5" s="3" t="str">
        <f aca="false">VLOOKUP($B$1,'PARASTATAL Questions'!$A:$J,5,0)&amp;""</f>
        <v>Major plans / projects</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1378.5" hidden="false" customHeight="true" outlineLevel="0" collapsed="false">
      <c r="A9" s="5" t="s">
        <v>97</v>
      </c>
      <c r="B9" s="3" t="str">
        <f aca="false">VLOOKUP($B$1,'PARASTATAL Questions'!$A:$J,9,0)&amp;""</f>
        <v>Part A: Availability and currency — 0.5Score 0.5: Major plans and/or information on ongoing projects is publicly available online, and the latest available information is not older than two years.Score 0: Major plans and/or information on ongoing projects cannot be found/accessed online, or the latest available information is older than two years. Part B: Open-data format — 0.5Score 0.5 — Information on major plans and/or ongoing projects is available in an open, structured and reusable format, such as:1. structured HTML webpage/table or project dashboard;2. CSV;3. XLS/XLSX;4. ODS; 5. Other downloadable structured dataset containing identifiable plan/project information.Score 0 — Information is available only in a non-structured or non-reusable format, such as:1. PDF, including searchable PDF;2. scanned document;3. image-only plan/project information;4. individual project pages or notices that do not provide structured, reusable data;5. project information presented only through images or unstructured text.</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437</v>
      </c>
      <c r="J12" s="4" t="s">
        <v>438</v>
      </c>
      <c r="K12" s="4" t="s">
        <v>323</v>
      </c>
      <c r="L12" s="4" t="s">
        <v>324</v>
      </c>
    </row>
    <row r="13" customFormat="false" ht="15" hidden="false" customHeight="true" outlineLevel="0" collapsed="false">
      <c r="A13" s="1" t="s">
        <v>17</v>
      </c>
      <c r="B13" s="1" t="s">
        <v>325</v>
      </c>
      <c r="I13" s="9"/>
      <c r="J13" s="9"/>
      <c r="K13" s="1" t="str">
        <f aca="false">IF($B13="NO","NA",IF(COUNTA(I13:J13)&lt;2,"",SUM(I13:J13)))</f>
        <v/>
      </c>
      <c r="L13" s="1" t="s">
        <v>434</v>
      </c>
    </row>
    <row r="14" customFormat="false" ht="15" hidden="false" customHeight="true" outlineLevel="0" collapsed="false">
      <c r="A14" s="1" t="s">
        <v>18</v>
      </c>
      <c r="B14" s="1" t="s">
        <v>325</v>
      </c>
      <c r="I14" s="9"/>
      <c r="J14" s="9"/>
      <c r="K14" s="1" t="str">
        <f aca="false">IF($B14="NO","NA",IF(COUNTA(I14:J14)&lt;2,"",SUM(I14:J14)))</f>
        <v/>
      </c>
      <c r="L14" s="1" t="s">
        <v>434</v>
      </c>
    </row>
    <row r="15" customFormat="false" ht="15" hidden="false" customHeight="true" outlineLevel="0" collapsed="false">
      <c r="A15" s="1" t="s">
        <v>19</v>
      </c>
      <c r="B15" s="1" t="s">
        <v>325</v>
      </c>
      <c r="I15" s="9"/>
      <c r="J15" s="9"/>
      <c r="K15" s="1" t="str">
        <f aca="false">IF($B15="NO","NA",IF(COUNTA(I15:J15)&lt;2,"",SUM(I15:J15)))</f>
        <v/>
      </c>
      <c r="L15" s="1" t="s">
        <v>434</v>
      </c>
    </row>
    <row r="16" customFormat="false" ht="15" hidden="false" customHeight="true" outlineLevel="0" collapsed="false">
      <c r="A16" s="1" t="s">
        <v>20</v>
      </c>
      <c r="B16" s="1" t="s">
        <v>325</v>
      </c>
      <c r="I16" s="9"/>
      <c r="J16" s="9"/>
      <c r="K16" s="1" t="str">
        <f aca="false">IF($B16="NO","NA",IF(COUNTA(I16:J16)&lt;2,"",SUM(I16:J16)))</f>
        <v/>
      </c>
      <c r="L16" s="1" t="s">
        <v>434</v>
      </c>
    </row>
    <row r="17" customFormat="false" ht="15" hidden="false" customHeight="true" outlineLevel="0" collapsed="false">
      <c r="A17" s="1" t="s">
        <v>21</v>
      </c>
      <c r="B17" s="1" t="s">
        <v>325</v>
      </c>
      <c r="I17" s="9"/>
      <c r="J17" s="9"/>
      <c r="K17" s="1" t="str">
        <f aca="false">IF($B17="NO","NA",IF(COUNTA(I17:J17)&lt;2,"",SUM(I17:J17)))</f>
        <v/>
      </c>
      <c r="L17" s="1" t="s">
        <v>434</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Availability and currency' column." errorStyle="stop" operator="between" showDropDown="false" showErrorMessage="true" showInputMessage="false" sqref="I13:I19" type="list">
      <formula1>"0.5,0"</formula1>
      <formula2>0</formula2>
    </dataValidation>
    <dataValidation allowBlank="true" error="See the instruction above the 'Part B: Open-data format'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59</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DPG5f</v>
      </c>
    </row>
    <row r="4" customFormat="false" ht="15" hidden="false" customHeight="true" outlineLevel="0" collapsed="false">
      <c r="A4" s="5" t="s">
        <v>13</v>
      </c>
      <c r="B4" s="3" t="str">
        <f aca="false">VLOOKUP($B$1,'PARASTATAL Questions'!$A:$J,4,0)&amp;""</f>
        <v>SQ</v>
      </c>
    </row>
    <row r="5" customFormat="false" ht="68.25" hidden="false" customHeight="true" outlineLevel="0" collapsed="false">
      <c r="A5" s="5" t="s">
        <v>14</v>
      </c>
      <c r="B5" s="3" t="str">
        <f aca="false">VLOOKUP($B$1,'PARASTATAL Questions'!$A:$J,5,0)&amp;""</f>
        <v>Service-level benchmarks and performance reports</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2151" hidden="false" customHeight="true" outlineLevel="0" collapsed="false">
      <c r="A9" s="5" t="s">
        <v>97</v>
      </c>
      <c r="B9" s="3" t="str">
        <f aca="false">VLOOKUP($B$1,'PARASTATAL Questions'!$A:$J,9,0)&amp;""</f>
        <v>Part A: Availability and currency — 0.5Score 0.5: Service-level benchmark/performance information is publicly available online, and the latest available information is not older than two years.Score 0 — Performance information cannot be found/accessed online, or the latest available information is older than the permitted period. Part B: Open-data format — 0.5Score 0.5 — Performance information is available in an open, structured and reusable format, such as:1. CSV;2. XLS/XLSX;3. ODS;4. structured HTML table/dashboard; or5. another downloadable structured dataset containing service-level or performance information.Score 0: Performance information is available only in a non-open or non-reusable format, including:1. PDF, whether searchable or scanned;2. image/chart without the underlying data;3. narrative webpage without structured data; or4. other formats that do not allow the information to be readily extracted, analysed and reused.The open-data format should allow service-level or performance information to be analysed and reused without manual transcription. Note: For Development Authorities whose functions are limited to planning and preparation of spatial/development plans, mark this indicator ‘NA’.Where a Development Authority also performs operational or service-delivery functions — such as building/development permissions, land allotment/development, infrastructure provision, housing, estate management or other citizen-facing services — assess this indicator against the performance information relevant to those functions.</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437</v>
      </c>
      <c r="J12" s="4" t="s">
        <v>438</v>
      </c>
      <c r="K12" s="4" t="s">
        <v>323</v>
      </c>
      <c r="L12" s="4" t="s">
        <v>324</v>
      </c>
    </row>
    <row r="13" customFormat="false" ht="15" hidden="false" customHeight="true" outlineLevel="0" collapsed="false">
      <c r="A13" s="1" t="s">
        <v>17</v>
      </c>
      <c r="B13" s="1" t="s">
        <v>325</v>
      </c>
      <c r="I13" s="9"/>
      <c r="J13" s="9"/>
      <c r="K13" s="1" t="str">
        <f aca="false">IF($B13="NO","NA",IF(COUNTA(I13:J13)&lt;2,"",SUM(I13:J13)))</f>
        <v/>
      </c>
      <c r="L13" s="1" t="s">
        <v>434</v>
      </c>
    </row>
    <row r="14" customFormat="false" ht="15" hidden="false" customHeight="true" outlineLevel="0" collapsed="false">
      <c r="A14" s="1" t="s">
        <v>18</v>
      </c>
      <c r="B14" s="1" t="s">
        <v>325</v>
      </c>
      <c r="I14" s="9"/>
      <c r="J14" s="9"/>
      <c r="K14" s="1" t="str">
        <f aca="false">IF($B14="NO","NA",IF(COUNTA(I14:J14)&lt;2,"",SUM(I14:J14)))</f>
        <v/>
      </c>
      <c r="L14" s="1" t="s">
        <v>434</v>
      </c>
    </row>
    <row r="15" customFormat="false" ht="15" hidden="false" customHeight="true" outlineLevel="0" collapsed="false">
      <c r="A15" s="1" t="s">
        <v>19</v>
      </c>
      <c r="B15" s="1" t="s">
        <v>325</v>
      </c>
      <c r="I15" s="9"/>
      <c r="J15" s="9"/>
      <c r="K15" s="1" t="str">
        <f aca="false">IF($B15="NO","NA",IF(COUNTA(I15:J15)&lt;2,"",SUM(I15:J15)))</f>
        <v/>
      </c>
      <c r="L15" s="1" t="s">
        <v>434</v>
      </c>
    </row>
    <row r="16" customFormat="false" ht="15" hidden="false" customHeight="true" outlineLevel="0" collapsed="false">
      <c r="A16" s="1" t="s">
        <v>20</v>
      </c>
      <c r="B16" s="1" t="s">
        <v>325</v>
      </c>
      <c r="I16" s="9"/>
      <c r="J16" s="9"/>
      <c r="K16" s="1" t="str">
        <f aca="false">IF($B16="NO","NA",IF(COUNTA(I16:J16)&lt;2,"",SUM(I16:J16)))</f>
        <v/>
      </c>
      <c r="L16" s="1" t="s">
        <v>434</v>
      </c>
    </row>
    <row r="17" customFormat="false" ht="15" hidden="false" customHeight="true" outlineLevel="0" collapsed="false">
      <c r="A17" s="1" t="s">
        <v>21</v>
      </c>
      <c r="B17" s="1" t="s">
        <v>325</v>
      </c>
      <c r="I17" s="9"/>
      <c r="J17" s="9"/>
      <c r="K17" s="1" t="str">
        <f aca="false">IF($B17="NO","NA",IF(COUNTA(I17:J17)&lt;2,"",SUM(I17:J17)))</f>
        <v/>
      </c>
      <c r="L17" s="1" t="s">
        <v>434</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Availability and currency' column." errorStyle="stop" operator="between" showDropDown="false" showErrorMessage="true" showInputMessage="false" sqref="I13:I19" type="list">
      <formula1>"0.5,0"</formula1>
      <formula2>0</formula2>
    </dataValidation>
    <dataValidation allowBlank="true" error="See the instruction above the 'Part B: Open-data format'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60</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DPG5g</v>
      </c>
    </row>
    <row r="4" customFormat="false" ht="15" hidden="false" customHeight="true" outlineLevel="0" collapsed="false">
      <c r="A4" s="5" t="s">
        <v>13</v>
      </c>
      <c r="B4" s="3" t="str">
        <f aca="false">VLOOKUP($B$1,'PARASTATAL Questions'!$A:$J,4,0)&amp;""</f>
        <v>SQ</v>
      </c>
    </row>
    <row r="5" customFormat="false" ht="57" hidden="false" customHeight="true" outlineLevel="0" collapsed="false">
      <c r="A5" s="5" t="s">
        <v>14</v>
      </c>
      <c r="B5" s="3" t="str">
        <f aca="false">VLOOKUP($B$1,'PARASTATAL Questions'!$A:$J,5,0)&amp;""</f>
        <v>Organisation and staffing information</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1143" hidden="false" customHeight="true" outlineLevel="0" collapsed="false">
      <c r="A9" s="5" t="s">
        <v>97</v>
      </c>
      <c r="B9" s="3" t="str">
        <f aca="false">VLOOKUP($B$1,'PARASTATAL Questions'!$A:$J,9,0)&amp;""</f>
        <v>Part A: Check availability — 0.5Score 0.5: Both of the following are publicly available online:the parastatal’s organisational structure/organogram; anddetails of key officers, including name/designation and at least one official contact detail (phone number and/or email address).Score 0: Either the organisational structure/organogram or the required officer details/contact information is not publicly available online. Part B: Minimum format/accessibility — 0.5Score 0.5 — Both the organisational structure and officer/contact information are available in a searchable and readable format, such as:a searchable webpage;searchable/downloadable PDF or document;structured table or directory.Score 0 — Either item is available only in a non-searchable/non-readable format, such as an image-only organogram, scanned list or image-based directory.</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77.25" hidden="false" customHeight="true" outlineLevel="0" collapsed="false">
      <c r="A12" s="4" t="s">
        <v>85</v>
      </c>
      <c r="B12" s="4" t="s">
        <v>315</v>
      </c>
      <c r="C12" s="4" t="s">
        <v>316</v>
      </c>
      <c r="D12" s="4" t="s">
        <v>317</v>
      </c>
      <c r="E12" s="4" t="s">
        <v>318</v>
      </c>
      <c r="F12" s="4" t="s">
        <v>319</v>
      </c>
      <c r="G12" s="4" t="s">
        <v>320</v>
      </c>
      <c r="H12" s="4" t="s">
        <v>321</v>
      </c>
      <c r="I12" s="4" t="s">
        <v>459</v>
      </c>
      <c r="J12" s="4" t="s">
        <v>460</v>
      </c>
      <c r="K12" s="4" t="s">
        <v>323</v>
      </c>
      <c r="L12" s="4" t="s">
        <v>324</v>
      </c>
    </row>
    <row r="13" customFormat="false" ht="15" hidden="false" customHeight="true" outlineLevel="0" collapsed="false">
      <c r="A13" s="1" t="s">
        <v>17</v>
      </c>
      <c r="B13" s="1" t="s">
        <v>325</v>
      </c>
      <c r="I13" s="9"/>
      <c r="J13" s="9"/>
      <c r="K13" s="1" t="str">
        <f aca="false">IF($B13="NO","NA",IF(COUNTA(I13:J13)&lt;2,"",SUM(I13:J13)))</f>
        <v/>
      </c>
      <c r="L13" s="7" t="s">
        <v>461</v>
      </c>
    </row>
    <row r="14" customFormat="false" ht="15" hidden="false" customHeight="true" outlineLevel="0" collapsed="false">
      <c r="A14" s="1" t="s">
        <v>18</v>
      </c>
      <c r="B14" s="1" t="s">
        <v>325</v>
      </c>
      <c r="I14" s="9"/>
      <c r="J14" s="9"/>
      <c r="K14" s="1" t="str">
        <f aca="false">IF($B14="NO","NA",IF(COUNTA(I14:J14)&lt;2,"",SUM(I14:J14)))</f>
        <v/>
      </c>
      <c r="L14" s="7" t="s">
        <v>462</v>
      </c>
    </row>
    <row r="15" customFormat="false" ht="15" hidden="false" customHeight="true" outlineLevel="0" collapsed="false">
      <c r="A15" s="1" t="s">
        <v>19</v>
      </c>
      <c r="B15" s="1" t="s">
        <v>325</v>
      </c>
      <c r="I15" s="9"/>
      <c r="J15" s="9"/>
      <c r="K15" s="1" t="str">
        <f aca="false">IF($B15="NO","NA",IF(COUNTA(I15:J15)&lt;2,"",SUM(I15:J15)))</f>
        <v/>
      </c>
      <c r="L15" s="1" t="s">
        <v>463</v>
      </c>
    </row>
    <row r="16" customFormat="false" ht="15" hidden="false" customHeight="true" outlineLevel="0" collapsed="false">
      <c r="A16" s="1" t="s">
        <v>20</v>
      </c>
      <c r="B16" s="1" t="s">
        <v>325</v>
      </c>
      <c r="I16" s="9"/>
      <c r="J16" s="9"/>
      <c r="K16" s="1" t="str">
        <f aca="false">IF($B16="NO","NA",IF(COUNTA(I16:J16)&lt;2,"",SUM(I16:J16)))</f>
        <v/>
      </c>
      <c r="L16" s="7" t="s">
        <v>464</v>
      </c>
    </row>
    <row r="17" customFormat="false" ht="15" hidden="false" customHeight="true" outlineLevel="0" collapsed="false">
      <c r="A17" s="1" t="s">
        <v>21</v>
      </c>
      <c r="B17" s="1" t="s">
        <v>325</v>
      </c>
      <c r="C17" s="1" t="s">
        <v>465</v>
      </c>
      <c r="D17" s="1" t="s">
        <v>466</v>
      </c>
      <c r="E17" s="1" t="s">
        <v>467</v>
      </c>
      <c r="F17" s="0" t="s">
        <v>468</v>
      </c>
      <c r="H17" s="1" t="s">
        <v>469</v>
      </c>
      <c r="I17" s="9"/>
      <c r="J17" s="9"/>
      <c r="K17" s="1" t="str">
        <f aca="false">IF($B17="NO","NA",IF(COUNTA(I17:J17)&lt;2,"",SUM(I17:J17)))</f>
        <v/>
      </c>
      <c r="L17" s="7" t="s">
        <v>470</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Check availability' column." errorStyle="stop" operator="between" showDropDown="false" showErrorMessage="true" showInputMessage="false" sqref="I13:I19" type="list">
      <formula1>"0.5,0"</formula1>
      <formula2>0</formula2>
    </dataValidation>
    <dataValidation allowBlank="true" error="See the instruction above the 'Part B: Minimum format/accessibility'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61</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DPG5h</v>
      </c>
    </row>
    <row r="4" customFormat="false" ht="15" hidden="false" customHeight="true" outlineLevel="0" collapsed="false">
      <c r="A4" s="5" t="s">
        <v>13</v>
      </c>
      <c r="B4" s="3" t="str">
        <f aca="false">VLOOKUP($B$1,'PARASTATAL Questions'!$A:$J,4,0)&amp;""</f>
        <v>SQ</v>
      </c>
    </row>
    <row r="5" customFormat="false" ht="45.75" hidden="false" customHeight="true" outlineLevel="0" collapsed="false">
      <c r="A5" s="5" t="s">
        <v>14</v>
      </c>
      <c r="B5" s="3" t="str">
        <f aca="false">VLOOKUP($B$1,'PARASTATAL Questions'!$A:$J,5,0)&amp;""</f>
        <v>Meeting minutes of governing board</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874.5" hidden="false" customHeight="true" outlineLevel="0" collapsed="false">
      <c r="A9" s="5" t="s">
        <v>97</v>
      </c>
      <c r="B9" s="3" t="str">
        <f aca="false">VLOOKUP($B$1,'PARASTATAL Questions'!$A:$J,9,0)&amp;""</f>
        <v>Part A: Check availability and currency — 0.5Score 0.5: At least one set of minutes from the current FY or immediately preceding FY is publicly available online.Score 0: Meeting Minutes cannot be found/accessed online or is older than the permitted period.Record the FY/year/date of the latest information found in a separate evidence field even where the score is 0. Part B: Minimum format/accessibility — 0.5Score 0.5: Meeting Minutes available in a searchable/text-readable and downloadable document (Searchable PDF, HTML, DOC/DOCX)Score 0: Meeting Minutes is available but does not meet that standard (Scanned/image-only minutes; image gallery)</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77.25" hidden="false" customHeight="true" outlineLevel="0" collapsed="false">
      <c r="A12" s="4" t="s">
        <v>85</v>
      </c>
      <c r="B12" s="4" t="s">
        <v>315</v>
      </c>
      <c r="C12" s="4" t="s">
        <v>316</v>
      </c>
      <c r="D12" s="4" t="s">
        <v>317</v>
      </c>
      <c r="E12" s="4" t="s">
        <v>318</v>
      </c>
      <c r="F12" s="4" t="s">
        <v>319</v>
      </c>
      <c r="G12" s="4" t="s">
        <v>320</v>
      </c>
      <c r="H12" s="4" t="s">
        <v>321</v>
      </c>
      <c r="I12" s="4" t="s">
        <v>471</v>
      </c>
      <c r="J12" s="4" t="s">
        <v>460</v>
      </c>
      <c r="K12" s="4" t="s">
        <v>323</v>
      </c>
      <c r="L12" s="4" t="s">
        <v>324</v>
      </c>
    </row>
    <row r="13" customFormat="false" ht="15" hidden="false" customHeight="true" outlineLevel="0" collapsed="false">
      <c r="A13" s="1" t="s">
        <v>17</v>
      </c>
      <c r="B13" s="1" t="s">
        <v>325</v>
      </c>
      <c r="I13" s="9"/>
      <c r="J13" s="9"/>
      <c r="K13" s="1" t="str">
        <f aca="false">IF($B13="NO","NA",IF(COUNTA(I13:J13)&lt;2,"",SUM(I13:J13)))</f>
        <v/>
      </c>
      <c r="L13" s="1" t="s">
        <v>434</v>
      </c>
    </row>
    <row r="14" customFormat="false" ht="15" hidden="false" customHeight="true" outlineLevel="0" collapsed="false">
      <c r="A14" s="1" t="s">
        <v>18</v>
      </c>
      <c r="B14" s="1" t="s">
        <v>325</v>
      </c>
      <c r="I14" s="9"/>
      <c r="J14" s="9"/>
      <c r="K14" s="1" t="str">
        <f aca="false">IF($B14="NO","NA",IF(COUNTA(I14:J14)&lt;2,"",SUM(I14:J14)))</f>
        <v/>
      </c>
      <c r="L14" s="1" t="s">
        <v>434</v>
      </c>
    </row>
    <row r="15" customFormat="false" ht="15" hidden="false" customHeight="true" outlineLevel="0" collapsed="false">
      <c r="A15" s="1" t="s">
        <v>19</v>
      </c>
      <c r="B15" s="1" t="s">
        <v>325</v>
      </c>
      <c r="I15" s="9"/>
      <c r="J15" s="9"/>
      <c r="K15" s="1" t="str">
        <f aca="false">IF($B15="NO","NA",IF(COUNTA(I15:J15)&lt;2,"",SUM(I15:J15)))</f>
        <v/>
      </c>
      <c r="L15" s="1" t="s">
        <v>434</v>
      </c>
    </row>
    <row r="16" customFormat="false" ht="15" hidden="false" customHeight="true" outlineLevel="0" collapsed="false">
      <c r="A16" s="1" t="s">
        <v>20</v>
      </c>
      <c r="B16" s="1" t="s">
        <v>325</v>
      </c>
      <c r="I16" s="9"/>
      <c r="J16" s="9"/>
      <c r="K16" s="1" t="str">
        <f aca="false">IF($B16="NO","NA",IF(COUNTA(I16:J16)&lt;2,"",SUM(I16:J16)))</f>
        <v/>
      </c>
      <c r="L16" s="1" t="s">
        <v>434</v>
      </c>
    </row>
    <row r="17" customFormat="false" ht="15" hidden="false" customHeight="true" outlineLevel="0" collapsed="false">
      <c r="A17" s="1" t="s">
        <v>21</v>
      </c>
      <c r="B17" s="1" t="s">
        <v>325</v>
      </c>
      <c r="I17" s="9"/>
      <c r="J17" s="9"/>
      <c r="K17" s="1" t="str">
        <f aca="false">IF($B17="NO","NA",IF(COUNTA(I17:J17)&lt;2,"",SUM(I17:J17)))</f>
        <v/>
      </c>
      <c r="L17" s="1" t="s">
        <v>434</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Check availability and currency' column." errorStyle="stop" operator="between" showDropDown="false" showErrorMessage="true" showInputMessage="false" sqref="I13:I19" type="list">
      <formula1>"0.5,0"</formula1>
      <formula2>0</formula2>
    </dataValidation>
    <dataValidation allowBlank="true" error="See the instruction above the 'Part B: Minimum format/accessibility'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62</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DPG5i</v>
      </c>
    </row>
    <row r="4" customFormat="false" ht="15" hidden="false" customHeight="true" outlineLevel="0" collapsed="false">
      <c r="A4" s="5" t="s">
        <v>13</v>
      </c>
      <c r="B4" s="3" t="str">
        <f aca="false">VLOOKUP($B$1,'PARASTATAL Questions'!$A:$J,4,0)&amp;""</f>
        <v>SQ</v>
      </c>
    </row>
    <row r="5" customFormat="false" ht="34.5" hidden="false" customHeight="true" outlineLevel="0" collapsed="false">
      <c r="A5" s="5" t="s">
        <v>14</v>
      </c>
      <c r="B5" s="3" t="str">
        <f aca="false">VLOOKUP($B$1,'PARASTATAL Questions'!$A:$J,5,0)&amp;""</f>
        <v>Citizen / Service Charter</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762" hidden="false" customHeight="true" outlineLevel="0" collapsed="false">
      <c r="A9" s="5" t="s">
        <v>97</v>
      </c>
      <c r="B9" s="3" t="str">
        <f aca="false">VLOOKUP($B$1,'PARASTATAL Questions'!$A:$J,9,0)&amp;""</f>
        <v>Part A: Check availability and currency — 0.5Score 0.5: A currently applicable Charter is publicly available. Do not treat it as outdated solely because it predates the preceding FY if it remains in force. There may be no annual publication requirement;Score 0: Charter cannot be found/accessed online.Part B: Check Minimum format/accessibility — 0.5Score 0.5: Charter available in a searchable/text-readable webpage or downloadable document (Searchable PDF, HTML, DOC/DOCX)Score 0: Charter is available but does not meet that standard (Scanned/image-only Charter)</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90" hidden="false" customHeight="true" outlineLevel="0" collapsed="false">
      <c r="A12" s="4" t="s">
        <v>85</v>
      </c>
      <c r="B12" s="4" t="s">
        <v>315</v>
      </c>
      <c r="C12" s="4" t="s">
        <v>316</v>
      </c>
      <c r="D12" s="4" t="s">
        <v>317</v>
      </c>
      <c r="E12" s="4" t="s">
        <v>318</v>
      </c>
      <c r="F12" s="4" t="s">
        <v>319</v>
      </c>
      <c r="G12" s="4" t="s">
        <v>320</v>
      </c>
      <c r="H12" s="4" t="s">
        <v>321</v>
      </c>
      <c r="I12" s="4" t="s">
        <v>471</v>
      </c>
      <c r="J12" s="4" t="s">
        <v>472</v>
      </c>
      <c r="K12" s="4" t="s">
        <v>323</v>
      </c>
      <c r="L12" s="4" t="s">
        <v>324</v>
      </c>
    </row>
    <row r="13" customFormat="false" ht="15" hidden="false" customHeight="true" outlineLevel="0" collapsed="false">
      <c r="A13" s="1" t="s">
        <v>17</v>
      </c>
      <c r="B13" s="1" t="s">
        <v>325</v>
      </c>
      <c r="I13" s="9"/>
      <c r="J13" s="9"/>
      <c r="K13" s="1" t="str">
        <f aca="false">IF($B13="NO","NA",IF(COUNTA(I13:J13)&lt;2,"",SUM(I13:J13)))</f>
        <v/>
      </c>
      <c r="L13" s="7" t="s">
        <v>473</v>
      </c>
    </row>
    <row r="14" customFormat="false" ht="15" hidden="false" customHeight="true" outlineLevel="0" collapsed="false">
      <c r="A14" s="1" t="s">
        <v>18</v>
      </c>
      <c r="B14" s="1" t="s">
        <v>325</v>
      </c>
      <c r="I14" s="9"/>
      <c r="J14" s="9"/>
      <c r="K14" s="1" t="str">
        <f aca="false">IF($B14="NO","NA",IF(COUNTA(I14:J14)&lt;2,"",SUM(I14:J14)))</f>
        <v/>
      </c>
      <c r="L14" s="1" t="s">
        <v>474</v>
      </c>
    </row>
    <row r="15" customFormat="false" ht="15" hidden="false" customHeight="true" outlineLevel="0" collapsed="false">
      <c r="A15" s="1" t="s">
        <v>19</v>
      </c>
      <c r="B15" s="1" t="s">
        <v>325</v>
      </c>
      <c r="I15" s="9"/>
      <c r="J15" s="9"/>
      <c r="K15" s="1" t="str">
        <f aca="false">IF($B15="NO","NA",IF(COUNTA(I15:J15)&lt;2,"",SUM(I15:J15)))</f>
        <v/>
      </c>
      <c r="L15" s="1" t="s">
        <v>475</v>
      </c>
    </row>
    <row r="16" customFormat="false" ht="15" hidden="false" customHeight="true" outlineLevel="0" collapsed="false">
      <c r="A16" s="1" t="s">
        <v>20</v>
      </c>
      <c r="B16" s="1" t="s">
        <v>325</v>
      </c>
      <c r="I16" s="9"/>
      <c r="J16" s="9"/>
      <c r="K16" s="1" t="str">
        <f aca="false">IF($B16="NO","NA",IF(COUNTA(I16:J16)&lt;2,"",SUM(I16:J16)))</f>
        <v/>
      </c>
      <c r="L16" s="1" t="s">
        <v>476</v>
      </c>
    </row>
    <row r="17" customFormat="false" ht="15" hidden="false" customHeight="true" outlineLevel="0" collapsed="false">
      <c r="A17" s="1" t="s">
        <v>21</v>
      </c>
      <c r="B17" s="1" t="s">
        <v>325</v>
      </c>
      <c r="C17" s="1" t="s">
        <v>453</v>
      </c>
      <c r="D17" s="1" t="s">
        <v>477</v>
      </c>
      <c r="E17" s="1" t="s">
        <v>478</v>
      </c>
      <c r="H17" s="1" t="s">
        <v>457</v>
      </c>
      <c r="I17" s="9"/>
      <c r="J17" s="9"/>
      <c r="K17" s="1" t="str">
        <f aca="false">IF($B17="NO","NA",IF(COUNTA(I17:J17)&lt;2,"",SUM(I17:J17)))</f>
        <v/>
      </c>
      <c r="L17" s="7" t="s">
        <v>479</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Check availability and currency' column." errorStyle="stop" operator="between" showDropDown="false" showErrorMessage="true" showInputMessage="false" sqref="I13:I19" type="list">
      <formula1>"0.5,0"</formula1>
      <formula2>0</formula2>
    </dataValidation>
    <dataValidation allowBlank="true" error="See the instruction above the 'Part B: Check Minimum format/accessibility'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63</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DPG5j</v>
      </c>
    </row>
    <row r="4" customFormat="false" ht="15" hidden="false" customHeight="true" outlineLevel="0" collapsed="false">
      <c r="A4" s="5" t="s">
        <v>13</v>
      </c>
      <c r="B4" s="3" t="str">
        <f aca="false">VLOOKUP($B$1,'PARASTATAL Questions'!$A:$J,4,0)&amp;""</f>
        <v>SQ</v>
      </c>
    </row>
    <row r="5" customFormat="false" ht="90.75" hidden="false" customHeight="true" outlineLevel="0" collapsed="false">
      <c r="A5" s="5" t="s">
        <v>14</v>
      </c>
      <c r="B5" s="3" t="str">
        <f aca="false">VLOOKUP($B$1,'PARASTATAL Questions'!$A:$J,5,0)&amp;""</f>
        <v>RTI details and designated Public Information Officer contact/procedure</v>
      </c>
    </row>
    <row r="6" customFormat="false" ht="15" hidden="false" customHeight="true" outlineLevel="0" collapsed="false">
      <c r="A6" s="5" t="s">
        <v>16</v>
      </c>
      <c r="B6" s="3" t="n">
        <f aca="false">VLOOKUP($B$1,'PARASTATAL Questions'!$A:$J,6,0)</f>
        <v>1</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874.5" hidden="false" customHeight="true" outlineLevel="0" collapsed="false">
      <c r="A9" s="5" t="s">
        <v>97</v>
      </c>
      <c r="B9" s="3" t="str">
        <f aca="false">VLOOKUP($B$1,'PARASTATAL Questions'!$A:$J,9,0)&amp;""</f>
        <v>Part A: Check availability and currency — 0.5Score 0.5: Current PIO/APIO details and RTI procedure are publicly available; information should be treated as current where the named office-holder/contact details remain valid.Score 0: Information cannot be found/accessed online or the named office-holder/contact details are invalid.Part B: Check minimum format/accessibility — 0.5Score 0.5: Information available in a searchable webpage or searchable/downloadable document (HTML RTI page; searchable PDF/DOC containing PIO/contact details)Score 0: Information is available but does not meet that standard (Image-only notice; scanned PDF)</v>
      </c>
    </row>
    <row r="10" customFormat="false" ht="102" hidden="false" customHeight="true" outlineLevel="0" collapsed="false">
      <c r="A10" s="5" t="s">
        <v>98</v>
      </c>
      <c r="B10" s="3" t="str">
        <f aca="false">VLOOKUP($B$1,'PARASTATAL Questions'!$A:$J,10,0)&amp;""</f>
        <v>Website screenshots/archived URLs with date of access, for each document type</v>
      </c>
    </row>
    <row r="11" customFormat="false" ht="15" hidden="false" customHeight="true" outlineLevel="0" collapsed="false">
      <c r="B11" s="8" t="s">
        <v>312</v>
      </c>
      <c r="I11" s="8" t="s">
        <v>436</v>
      </c>
      <c r="J11" s="8" t="s">
        <v>436</v>
      </c>
      <c r="K11" s="8" t="s">
        <v>314</v>
      </c>
    </row>
    <row r="12" customFormat="false" ht="90" hidden="false" customHeight="true" outlineLevel="0" collapsed="false">
      <c r="A12" s="4" t="s">
        <v>85</v>
      </c>
      <c r="B12" s="4" t="s">
        <v>315</v>
      </c>
      <c r="C12" s="4" t="s">
        <v>316</v>
      </c>
      <c r="D12" s="4" t="s">
        <v>317</v>
      </c>
      <c r="E12" s="4" t="s">
        <v>318</v>
      </c>
      <c r="F12" s="4" t="s">
        <v>319</v>
      </c>
      <c r="G12" s="4" t="s">
        <v>320</v>
      </c>
      <c r="H12" s="4" t="s">
        <v>321</v>
      </c>
      <c r="I12" s="4" t="s">
        <v>471</v>
      </c>
      <c r="J12" s="4" t="s">
        <v>480</v>
      </c>
      <c r="K12" s="4" t="s">
        <v>323</v>
      </c>
      <c r="L12" s="4" t="s">
        <v>324</v>
      </c>
    </row>
    <row r="13" customFormat="false" ht="15" hidden="false" customHeight="true" outlineLevel="0" collapsed="false">
      <c r="A13" s="1" t="s">
        <v>17</v>
      </c>
      <c r="B13" s="1" t="s">
        <v>325</v>
      </c>
      <c r="I13" s="9"/>
      <c r="J13" s="9"/>
      <c r="K13" s="1" t="str">
        <f aca="false">IF($B13="NO","NA",IF(COUNTA(I13:J13)&lt;2,"",SUM(I13:J13)))</f>
        <v/>
      </c>
      <c r="L13" s="1" t="s">
        <v>481</v>
      </c>
    </row>
    <row r="14" customFormat="false" ht="15" hidden="false" customHeight="true" outlineLevel="0" collapsed="false">
      <c r="A14" s="1" t="s">
        <v>18</v>
      </c>
      <c r="B14" s="1" t="s">
        <v>325</v>
      </c>
      <c r="I14" s="9"/>
      <c r="J14" s="9"/>
      <c r="K14" s="1" t="str">
        <f aca="false">IF($B14="NO","NA",IF(COUNTA(I14:J14)&lt;2,"",SUM(I14:J14)))</f>
        <v/>
      </c>
      <c r="L14" s="1" t="s">
        <v>482</v>
      </c>
    </row>
    <row r="15" customFormat="false" ht="15" hidden="false" customHeight="true" outlineLevel="0" collapsed="false">
      <c r="A15" s="1" t="s">
        <v>19</v>
      </c>
      <c r="B15" s="1" t="s">
        <v>325</v>
      </c>
      <c r="I15" s="9"/>
      <c r="J15" s="9"/>
      <c r="K15" s="1" t="str">
        <f aca="false">IF($B15="NO","NA",IF(COUNTA(I15:J15)&lt;2,"",SUM(I15:J15)))</f>
        <v/>
      </c>
      <c r="L15" s="1" t="s">
        <v>483</v>
      </c>
    </row>
    <row r="16" customFormat="false" ht="15" hidden="false" customHeight="true" outlineLevel="0" collapsed="false">
      <c r="A16" s="1" t="s">
        <v>20</v>
      </c>
      <c r="B16" s="1" t="s">
        <v>325</v>
      </c>
      <c r="I16" s="9"/>
      <c r="J16" s="9"/>
      <c r="K16" s="1" t="str">
        <f aca="false">IF($B16="NO","NA",IF(COUNTA(I16:J16)&lt;2,"",SUM(I16:J16)))</f>
        <v/>
      </c>
      <c r="L16" s="1" t="s">
        <v>484</v>
      </c>
    </row>
    <row r="17" customFormat="false" ht="15" hidden="false" customHeight="true" outlineLevel="0" collapsed="false">
      <c r="A17" s="1" t="s">
        <v>21</v>
      </c>
      <c r="B17" s="1" t="s">
        <v>325</v>
      </c>
      <c r="C17" s="1" t="s">
        <v>453</v>
      </c>
      <c r="D17" s="1" t="s">
        <v>485</v>
      </c>
      <c r="E17" s="1" t="s">
        <v>486</v>
      </c>
      <c r="H17" s="1" t="s">
        <v>457</v>
      </c>
      <c r="I17" s="9"/>
      <c r="J17" s="9"/>
      <c r="K17" s="1" t="str">
        <f aca="false">IF($B17="NO","NA",IF(COUNTA(I17:J17)&lt;2,"",SUM(I17:J17)))</f>
        <v/>
      </c>
      <c r="L17" s="7" t="s">
        <v>487</v>
      </c>
    </row>
    <row r="18" customFormat="false" ht="15" hidden="false" customHeight="true" outlineLevel="0" collapsed="false">
      <c r="A18" s="1" t="s">
        <v>22</v>
      </c>
      <c r="B18" s="1" t="s">
        <v>325</v>
      </c>
      <c r="I18" s="9"/>
      <c r="J18" s="9"/>
      <c r="K18" s="1" t="str">
        <f aca="false">IF($B18="NO","NA",IF(COUNTA(I18:J18)&lt;2,"",SUM(I18:J18)))</f>
        <v/>
      </c>
    </row>
    <row r="19" customFormat="false" ht="15" hidden="false" customHeight="true" outlineLevel="0" collapsed="false">
      <c r="A19" s="1" t="s">
        <v>23</v>
      </c>
      <c r="B19" s="1" t="s">
        <v>325</v>
      </c>
      <c r="I19" s="9"/>
      <c r="J19" s="9"/>
      <c r="K19" s="1" t="str">
        <f aca="false">IF($B19="NO","NA",IF(COUNTA(I19:J19)&lt;2,"",SUM(I19:J19)))</f>
        <v/>
      </c>
    </row>
  </sheetData>
  <dataValidations count="2">
    <dataValidation allowBlank="true" error="See the instruction above the 'Part A: Check availability and currency' column." errorStyle="stop" operator="between" showDropDown="false" showErrorMessage="true" showInputMessage="false" sqref="I13:I19" type="list">
      <formula1>"0.5,0"</formula1>
      <formula2>0</formula2>
    </dataValidation>
    <dataValidation allowBlank="true" error="See the instruction above the 'Part B: Check minimum format/accessibility' column." errorStyle="stop" operator="between" showDropDown="false" showErrorMessage="true" showInputMessage="false" sqref="J13:J19" type="list">
      <formula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65</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6a</v>
      </c>
    </row>
    <row r="4" customFormat="false" ht="15" hidden="false" customHeight="true" outlineLevel="0" collapsed="false">
      <c r="A4" s="5" t="s">
        <v>13</v>
      </c>
      <c r="B4" s="3" t="str">
        <f aca="false">VLOOKUP($B$1,'PARASTATAL Questions'!$A:$J,4,0)&amp;""</f>
        <v>SQ</v>
      </c>
    </row>
    <row r="5" customFormat="false" ht="102" hidden="false" customHeight="true" outlineLevel="0" collapsed="false">
      <c r="A5" s="5" t="s">
        <v>14</v>
      </c>
      <c r="B5" s="3" t="str">
        <f aca="false">VLOOKUP($B$1,'PARASTATAL Questions'!$A:$J,5,0)&amp;""</f>
        <v>Is the parastatal mandated to provide a grievance-redressal mechanism?</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15" hidden="false" customHeight="true" outlineLevel="0" collapsed="false">
      <c r="A8" s="5" t="s">
        <v>96</v>
      </c>
      <c r="B8" s="3" t="str">
        <f aca="false">VLOOKUP($B$1,'PARASTATAL Questions'!$A:$J,8,0)&amp;""</f>
        <v>Common.</v>
      </c>
    </row>
    <row r="9" customFormat="false" ht="1200" hidden="false" customHeight="true" outlineLevel="0" collapsed="false">
      <c r="A9" s="5" t="s">
        <v>97</v>
      </c>
      <c r="B9" s="3" t="str">
        <f aca="false">VLOOKUP($B$1,'PARASTATAL Questions'!$A:$J,9,0)&amp;""</f>
        <v>Check the Parastatal Act, applicable subordinate legislation, and citizen/service charter for a requirement to provide a grievance-redressal mechanism. This assessment tests whether citizens have access to a remedial mechanism when a service failure, delay, denial, deficiency or other grievance occurs. Do not award credit merely because the framework specifies service standards, service timelines or a Right to Service entitlement, unless it also provides a mechanism through which an aggrieved person can seek redress, escalation or resolution. Score 5: The applicable legal or binding policy framework requires the parastatal to provide a grievance-redressal mechanism (“shall”, “must”).Score 2.5: The applicable framework permits or enables the parastatal to provide a grievance-redressal mechanism (“may” ), but does not make it mandatory.Score 0: No specific provision for a grievance-redressal mechanism is found.</v>
      </c>
    </row>
    <row r="10" customFormat="false" ht="113.25" hidden="false" customHeight="true" outlineLevel="0" collapsed="false">
      <c r="A10" s="5" t="s">
        <v>98</v>
      </c>
      <c r="B10" s="3" t="str">
        <f aca="false">VLOOKUP($B$1,'PARASTATAL Questions'!$A:$J,10,0)&amp;""</f>
        <v>Parastatal Act/ corresponding subordinate legislation/ citizen or service charter</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7" t="s">
        <v>488</v>
      </c>
    </row>
    <row r="14" customFormat="false" ht="15" hidden="false" customHeight="true" outlineLevel="0" collapsed="false">
      <c r="A14" s="1" t="s">
        <v>18</v>
      </c>
      <c r="B14" s="1" t="s">
        <v>325</v>
      </c>
      <c r="I14" s="9"/>
      <c r="J14" s="1" t="str">
        <f aca="false">IF($B14="NO","NA",IF(I14="","",MIN(I14,$B$6)))</f>
        <v/>
      </c>
      <c r="K14" s="1" t="s">
        <v>489</v>
      </c>
    </row>
    <row r="15" customFormat="false" ht="15" hidden="false" customHeight="true" outlineLevel="0" collapsed="false">
      <c r="A15" s="1" t="s">
        <v>19</v>
      </c>
      <c r="B15" s="1" t="s">
        <v>325</v>
      </c>
      <c r="I15" s="9"/>
      <c r="J15" s="1" t="str">
        <f aca="false">IF($B15="NO","NA",IF(I15="","",MIN(I15,$B$6)))</f>
        <v/>
      </c>
      <c r="K15" s="7" t="s">
        <v>490</v>
      </c>
    </row>
    <row r="16" customFormat="false" ht="15" hidden="false" customHeight="true" outlineLevel="0" collapsed="false">
      <c r="A16" s="1" t="s">
        <v>20</v>
      </c>
      <c r="B16" s="1" t="s">
        <v>325</v>
      </c>
      <c r="I16" s="9"/>
      <c r="J16" s="1" t="str">
        <f aca="false">IF($B16="NO","NA",IF(I16="","",MIN(I16,$B$6)))</f>
        <v/>
      </c>
      <c r="K16" s="1" t="s">
        <v>491</v>
      </c>
    </row>
    <row r="17" customFormat="false" ht="15" hidden="false" customHeight="true" outlineLevel="0" collapsed="false">
      <c r="A17" s="1" t="s">
        <v>21</v>
      </c>
      <c r="B17" s="1" t="s">
        <v>325</v>
      </c>
      <c r="I17" s="9"/>
      <c r="J17" s="1" t="str">
        <f aca="false">IF($B17="NO","NA",IF(I17="","",MIN(I17,$B$6)))</f>
        <v/>
      </c>
      <c r="K17" s="7" t="s">
        <v>492</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66</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6b</v>
      </c>
    </row>
    <row r="4" customFormat="false" ht="15" hidden="false" customHeight="true" outlineLevel="0" collapsed="false">
      <c r="A4" s="5" t="s">
        <v>13</v>
      </c>
      <c r="B4" s="3" t="str">
        <f aca="false">VLOOKUP($B$1,'PARASTATAL Questions'!$A:$J,4,0)&amp;""</f>
        <v>SQ</v>
      </c>
    </row>
    <row r="5" customFormat="false" ht="113.25" hidden="false" customHeight="true" outlineLevel="0" collapsed="false">
      <c r="A5" s="5" t="s">
        <v>14</v>
      </c>
      <c r="B5" s="3" t="str">
        <f aca="false">VLOOKUP($B$1,'PARASTATAL Questions'!$A:$J,5,0)&amp;""</f>
        <v>Are accessible grievance-redressal channels available and functional in practice?</v>
      </c>
    </row>
    <row r="6" customFormat="false" ht="15" hidden="false" customHeight="true" outlineLevel="0" collapsed="false">
      <c r="A6" s="5" t="s">
        <v>16</v>
      </c>
      <c r="B6" s="3" t="n">
        <f aca="false">VLOOKUP($B$1,'PARASTATAL Questions'!$A:$J,6,0)</f>
        <v>5</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1602.75" hidden="false" customHeight="true" outlineLevel="0" collapsed="false">
      <c r="A9" s="5" t="s">
        <v>97</v>
      </c>
      <c r="B9" s="3" t="str">
        <f aca="false">VLOOKUP($B$1,'PARASTATAL Questions'!$A:$J,9,0)&amp;""</f>
        <v>Check the parastatal’s official website and other officially notified grievance channels. Score out of 5 based on the following four components:1. Web-based grievance channel — 1.25 marksScore 1.25 if an official website/portal provides a functioning mechanism through which a grievance can be lodged online. A dedicated grievance form, integrated government grievance portal or equivalent mechanism qualifies. 2. Mobile/electronic grievance channel — 1.25 marksScore 1.25 if a currently operational mobile app, designated grievance email, WhatsApp number or other officially notified electronic channel is available for lodging grievances. 3. Telephone grievance channel — 1.25 marksScore 1.25 if a dedicated or clearly designated helpline, call centre or telephone number is provided for complaints or grievances.A generic office switchboard should not qualify unless it is explicitly identified as a channel for lodging grievances. 4. Grievance acknowledgement and tracking — 1.25 marksScore 1.25 if the grievance mechanism provides for acknowledgement and subsequent tracking of a registered grievance through a complaint/reference number, status-tracking facility or equivalent mechanism. Where all four components are available, award the full score of 5.</v>
      </c>
    </row>
    <row r="10" customFormat="false" ht="135.75" hidden="false" customHeight="true" outlineLevel="0" collapsed="false">
      <c r="A10" s="5" t="s">
        <v>98</v>
      </c>
      <c r="B10" s="3" t="str">
        <f aca="false">VLOOKUP($B$1,'PARASTATAL Questions'!$A:$J,10,0)&amp;""</f>
        <v>Relevant parastatal's official website Detailed evidence information provided in the methodology column (I 33)</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7" t="s">
        <v>493</v>
      </c>
    </row>
    <row r="14" customFormat="false" ht="15" hidden="false" customHeight="true" outlineLevel="0" collapsed="false">
      <c r="A14" s="1" t="s">
        <v>18</v>
      </c>
      <c r="B14" s="1" t="s">
        <v>325</v>
      </c>
      <c r="I14" s="9"/>
      <c r="J14" s="1" t="str">
        <f aca="false">IF($B14="NO","NA",IF(I14="","",MIN(I14,$B$6)))</f>
        <v/>
      </c>
      <c r="K14" s="7" t="s">
        <v>494</v>
      </c>
    </row>
    <row r="15" customFormat="false" ht="15" hidden="false" customHeight="true" outlineLevel="0" collapsed="false">
      <c r="A15" s="1" t="s">
        <v>19</v>
      </c>
      <c r="B15" s="1" t="s">
        <v>325</v>
      </c>
      <c r="I15" s="9"/>
      <c r="J15" s="1" t="str">
        <f aca="false">IF($B15="NO","NA",IF(I15="","",MIN(I15,$B$6)))</f>
        <v/>
      </c>
      <c r="K15" s="7" t="s">
        <v>495</v>
      </c>
    </row>
    <row r="16" customFormat="false" ht="15" hidden="false" customHeight="true" outlineLevel="0" collapsed="false">
      <c r="A16" s="1" t="s">
        <v>20</v>
      </c>
      <c r="B16" s="1" t="s">
        <v>325</v>
      </c>
      <c r="I16" s="9"/>
      <c r="J16" s="1" t="str">
        <f aca="false">IF($B16="NO","NA",IF(I16="","",MIN(I16,$B$6)))</f>
        <v/>
      </c>
      <c r="K16" s="7" t="s">
        <v>496</v>
      </c>
    </row>
    <row r="17" customFormat="false" ht="15" hidden="false" customHeight="true" outlineLevel="0" collapsed="false">
      <c r="A17" s="1" t="s">
        <v>21</v>
      </c>
      <c r="B17" s="1" t="s">
        <v>325</v>
      </c>
      <c r="I17" s="9"/>
      <c r="J17" s="1" t="str">
        <f aca="false">IF($B17="NO","NA",IF(I17="","",MIN(I17,$B$6)))</f>
        <v/>
      </c>
      <c r="K17" s="1" t="s">
        <v>497</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68</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7a</v>
      </c>
    </row>
    <row r="4" customFormat="false" ht="15" hidden="false" customHeight="true" outlineLevel="0" collapsed="false">
      <c r="A4" s="5" t="s">
        <v>13</v>
      </c>
      <c r="B4" s="3" t="str">
        <f aca="false">VLOOKUP($B$1,'PARASTATAL Questions'!$A:$J,4,0)&amp;""</f>
        <v>SQ</v>
      </c>
    </row>
    <row r="5" customFormat="false" ht="102" hidden="false" customHeight="true" outlineLevel="0" collapsed="false">
      <c r="A5" s="5" t="s">
        <v>14</v>
      </c>
      <c r="B5" s="3" t="str">
        <f aca="false">VLOOKUP($B$1,'PARASTATAL Questions'!$A:$J,5,0)&amp;""</f>
        <v>Is citizen participation in the preparation of the parastatal's plans mandated?</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68.25" hidden="false" customHeight="true" outlineLevel="0" collapsed="false">
      <c r="A8" s="5" t="s">
        <v>96</v>
      </c>
      <c r="B8" s="3" t="str">
        <f aca="false">VLOOKUP($B$1,'PARASTATAL Questions'!$A:$J,8,0)&amp;""</f>
        <v>All parastatals excluding Development Authorities</v>
      </c>
    </row>
    <row r="9" customFormat="false" ht="1221.75" hidden="false" customHeight="true" outlineLevel="0" collapsed="false">
      <c r="A9" s="5" t="s">
        <v>97</v>
      </c>
      <c r="B9" s="3" t="str">
        <f aca="false">VLOOKUP($B$1,'PARASTATAL Questions'!$A:$J,9,0)&amp;""</f>
        <v>Check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(may), or applies only to specified plan types/stages. If the mandate provides for a citizen participation forum with a shall provision. Score 1.25 if the citizen participation forum is discretionary.Score 0 if no applicable requirement is found. Record the legal provision, plan type, form of participation prescribed, and whether the provision uses mandatory or discretionary language.</v>
      </c>
    </row>
    <row r="10" customFormat="false" ht="90.75" hidden="false" customHeight="true" outlineLevel="0" collapsed="false">
      <c r="A10" s="5" t="s">
        <v>98</v>
      </c>
      <c r="B10" s="3" t="str">
        <f aca="false">VLOOKUP($B$1,'PARASTATAL Questions'!$A:$J,10,0)&amp;""</f>
        <v>Parastatal Act and rules; applicable T&amp;CP Act; State Municipal Act.</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7" t="s">
        <v>498</v>
      </c>
    </row>
    <row r="14" customFormat="false" ht="15" hidden="false" customHeight="true" outlineLevel="0" collapsed="false">
      <c r="A14" s="1" t="s">
        <v>18</v>
      </c>
      <c r="B14" s="1" t="s">
        <v>325</v>
      </c>
      <c r="C14" s="1" t="s">
        <v>354</v>
      </c>
      <c r="D14" s="1" t="s">
        <v>499</v>
      </c>
      <c r="E14" s="1" t="s">
        <v>500</v>
      </c>
      <c r="F14" s="1" t="s">
        <v>501</v>
      </c>
      <c r="G14" s="1" t="s">
        <v>502</v>
      </c>
      <c r="H14" s="1" t="s">
        <v>340</v>
      </c>
      <c r="I14" s="9" t="n">
        <v>2.5</v>
      </c>
      <c r="J14" s="1" t="n">
        <f aca="false">IF($B14="NO","NA",IF(I14="","",MIN(I14,$B$6)))</f>
        <v>2.5</v>
      </c>
      <c r="K14" s="7" t="s">
        <v>503</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 t="s">
        <v>20</v>
      </c>
      <c r="B16" s="1" t="s">
        <v>325</v>
      </c>
      <c r="C16" s="1" t="s">
        <v>335</v>
      </c>
      <c r="D16" s="1" t="s">
        <v>504</v>
      </c>
      <c r="E16" s="1" t="s">
        <v>505</v>
      </c>
      <c r="F16" s="1" t="s">
        <v>506</v>
      </c>
      <c r="G16" s="1" t="s">
        <v>507</v>
      </c>
      <c r="H16" s="1" t="s">
        <v>340</v>
      </c>
      <c r="I16" s="9" t="n">
        <v>2.5</v>
      </c>
      <c r="J16" s="1" t="n">
        <f aca="false">IF($B16="NO","NA",IF(I16="","",MIN(I16,$B$6)))</f>
        <v>2.5</v>
      </c>
      <c r="K16" s="7" t="s">
        <v>508</v>
      </c>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69</v>
      </c>
      <c r="C1" s="1" t="s">
        <v>311</v>
      </c>
    </row>
    <row r="2" customFormat="false" ht="68.25" hidden="false" customHeight="true" outlineLevel="0" collapsed="false">
      <c r="A2" s="5" t="s">
        <v>12</v>
      </c>
      <c r="B2" s="3" t="str">
        <f aca="false">VLOOKUP($B$1,'PARASTATAL Questions'!$A:$J,3,0)&amp;""</f>
        <v>Decentralised Participatory Governance</v>
      </c>
    </row>
    <row r="3" customFormat="false" ht="15" hidden="false" customHeight="true" outlineLevel="0" collapsed="false">
      <c r="A3" s="5" t="s">
        <v>95</v>
      </c>
      <c r="B3" s="3" t="str">
        <f aca="false">VLOOKUP($B$1,'PARASTATAL Questions'!$A:$J,2,0)&amp;""</f>
        <v>DPG 7b</v>
      </c>
    </row>
    <row r="4" customFormat="false" ht="15" hidden="false" customHeight="true" outlineLevel="0" collapsed="false">
      <c r="A4" s="5" t="s">
        <v>13</v>
      </c>
      <c r="B4" s="3" t="str">
        <f aca="false">VLOOKUP($B$1,'PARASTATAL Questions'!$A:$J,4,0)&amp;""</f>
        <v>SQ</v>
      </c>
    </row>
    <row r="5" customFormat="false" ht="113.25" hidden="false" customHeight="true" outlineLevel="0" collapsed="false">
      <c r="A5" s="5" t="s">
        <v>14</v>
      </c>
      <c r="B5" s="3" t="str">
        <f aca="false">VLOOKUP($B$1,'PARASTATAL Questions'!$A:$J,5,0)&amp;""</f>
        <v>Are citizens consulted in practice in the preparation of plans by the parastatal?</v>
      </c>
    </row>
    <row r="6" customFormat="false" ht="15" hidden="false" customHeight="true" outlineLevel="0" collapsed="false">
      <c r="A6" s="5" t="s">
        <v>16</v>
      </c>
      <c r="B6" s="3" t="n">
        <f aca="false">VLOOKUP($B$1,'PARASTATAL Questions'!$A:$J,6,0)</f>
        <v>5</v>
      </c>
    </row>
    <row r="7" customFormat="false" ht="23.25" hidden="false" customHeight="true" outlineLevel="0" collapsed="false">
      <c r="A7" s="5" t="s">
        <v>15</v>
      </c>
      <c r="B7" s="3" t="str">
        <f aca="false">VLOOKUP($B$1,'PARASTATAL Questions'!$A:$J,7,0)&amp;""</f>
        <v>Implementation</v>
      </c>
    </row>
    <row r="8" customFormat="false" ht="68.25" hidden="false" customHeight="true" outlineLevel="0" collapsed="false">
      <c r="A8" s="5" t="s">
        <v>96</v>
      </c>
      <c r="B8" s="3" t="str">
        <f aca="false">VLOOKUP($B$1,'PARASTATAL Questions'!$A:$J,8,0)&amp;""</f>
        <v>All parastatals excluding Development Authorities</v>
      </c>
    </row>
    <row r="9" customFormat="false" ht="1008.75" hidden="false" customHeight="true" outlineLevel="0" collapsed="false">
      <c r="A9" s="5" t="s">
        <v>97</v>
      </c>
      <c r="B9" s="3" t="str">
        <f aca="false">VLOOKUP($B$1,'PARASTATAL Questions'!$A:$J,9,0)&amp;""</f>
        <v>Check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v>
      </c>
    </row>
    <row r="10" customFormat="false" ht="202.5" hidden="false" customHeight="true" outlineLevel="0" collapsed="false">
      <c r="A10" s="5" t="s">
        <v>98</v>
      </c>
      <c r="B10" s="3" t="str">
        <f aca="false">VLOOKUP($B$1,'PARASTATAL Questions'!$A:$J,10,0)&amp;""</f>
        <v>Plan document; consultation reports; public notices; minutes/proceedings of consultations or hearings on the parastatal's official website; media reports.</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7" t="s">
        <v>509</v>
      </c>
    </row>
    <row r="14" customFormat="false" ht="15" hidden="false" customHeight="true" outlineLevel="0" collapsed="false">
      <c r="A14" s="1" t="s">
        <v>18</v>
      </c>
      <c r="B14" s="1" t="s">
        <v>325</v>
      </c>
      <c r="I14" s="9"/>
      <c r="J14" s="1" t="str">
        <f aca="false">IF($B14="NO","NA",IF(I14="","",MIN(I14,$B$6)))</f>
        <v/>
      </c>
      <c r="K14" s="7" t="s">
        <v>510</v>
      </c>
    </row>
    <row r="15" customFormat="false" ht="15" hidden="false" customHeight="true" outlineLevel="0" collapsed="false">
      <c r="A15" s="10" t="s">
        <v>19</v>
      </c>
      <c r="B15" s="10" t="s">
        <v>334</v>
      </c>
      <c r="C15" s="10"/>
      <c r="D15" s="10"/>
      <c r="E15" s="10"/>
      <c r="F15" s="10"/>
      <c r="G15" s="10"/>
      <c r="H15" s="10"/>
      <c r="I15" s="11"/>
      <c r="J15" s="10" t="str">
        <f aca="false">IF($B15="NO","NA",IF(I15="","",MIN(I15,$B$6)))</f>
        <v>NA</v>
      </c>
      <c r="K15" s="10"/>
    </row>
    <row r="16" customFormat="false" ht="15" hidden="false" customHeight="true" outlineLevel="0" collapsed="false">
      <c r="A16" s="1" t="s">
        <v>20</v>
      </c>
      <c r="B16" s="1" t="s">
        <v>325</v>
      </c>
      <c r="C16" s="1" t="s">
        <v>511</v>
      </c>
      <c r="D16" s="1" t="s">
        <v>512</v>
      </c>
      <c r="E16" s="1" t="s">
        <v>513</v>
      </c>
      <c r="F16" s="1" t="s">
        <v>514</v>
      </c>
      <c r="G16" s="1" t="s">
        <v>515</v>
      </c>
      <c r="H16" s="1" t="s">
        <v>516</v>
      </c>
      <c r="I16" s="9" t="n">
        <v>2.5</v>
      </c>
      <c r="J16" s="1" t="n">
        <f aca="false">IF($B16="NO","NA",IF(I16="","",MIN(I16,$B$6)))</f>
        <v>2.5</v>
      </c>
      <c r="K16" s="7" t="s">
        <v>517</v>
      </c>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70</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SC-1</v>
      </c>
    </row>
    <row r="4" customFormat="false" ht="15" hidden="false" customHeight="true" outlineLevel="0" collapsed="false">
      <c r="A4" s="5" t="s">
        <v>13</v>
      </c>
      <c r="B4" s="3" t="str">
        <f aca="false">VLOOKUP($B$1,'PARASTATAL Questions'!$A:$J,4,0)&amp;""</f>
        <v>MQ</v>
      </c>
    </row>
    <row r="5" customFormat="false" ht="124.5" hidden="false" customHeight="true" outlineLevel="0" collapsed="false">
      <c r="A5" s="5" t="s">
        <v>14</v>
      </c>
      <c r="B5" s="3" t="str">
        <f aca="false">VLOOKUP($B$1,'PARASTATAL Questions'!$A:$J,5,0)&amp;""</f>
        <v>What proportion of the parastatal's total expenditure is financed through its own revenues?</v>
      </c>
    </row>
    <row r="6" customFormat="false" ht="15" hidden="false" customHeight="true" outlineLevel="0" collapsed="false">
      <c r="A6" s="5" t="s">
        <v>16</v>
      </c>
      <c r="B6" s="3" t="n">
        <f aca="false">VLOOKUP($B$1,'PARASTATAL Questions'!$A:$J,6,0)</f>
        <v>10</v>
      </c>
    </row>
    <row r="7" customFormat="false" ht="34.5" hidden="false" customHeight="true" outlineLevel="0" collapsed="false">
      <c r="A7" s="5" t="s">
        <v>15</v>
      </c>
      <c r="B7" s="3" t="str">
        <f aca="false">VLOOKUP($B$1,'PARASTATAL Questions'!$A:$J,7,0)&amp;""</f>
        <v>Implementation (Numeric)</v>
      </c>
    </row>
    <row r="8" customFormat="false" ht="45.75" hidden="false" customHeight="true" outlineLevel="0" collapsed="false">
      <c r="A8" s="5" t="s">
        <v>96</v>
      </c>
      <c r="B8" s="3" t="str">
        <f aca="false">VLOOKUP($B$1,'PARASTATAL Questions'!$A:$J,8,0)&amp;""</f>
        <v>Revenue-raising parastatals only</v>
      </c>
    </row>
    <row r="9" customFormat="false" ht="438" hidden="false" customHeight="true" outlineLevel="0" collapsed="false">
      <c r="A9" s="5" t="s">
        <v>97</v>
      </c>
      <c r="B9" s="3" t="str">
        <f aca="false">VLOOKUP($B$1,'PARASTATAL Questions'!$A:$J,9,0)&amp;""</f>
        <v>Check the budget of the parastatal for the last three years. Compute Own Revenue (Tax and Non-Tax revenue, excluding any government grants) and use a 3-year average wherever available.If not 3 budgets, refer to at least 2 years but none older than 5 years.Score is own revenue percentage as a proportion of 10 marks i.e. 50% gets 5 out of 10.</v>
      </c>
    </row>
    <row r="10" customFormat="false" ht="102" hidden="false" customHeight="true" outlineLevel="0" collapsed="false">
      <c r="A10" s="5" t="s">
        <v>98</v>
      </c>
      <c r="B10" s="3" t="str">
        <f aca="false">VLOOKUP($B$1,'PARASTATAL Questions'!$A:$J,10,0)&amp;""</f>
        <v>Annual budget of the last three financial years of the relevant parastatal.</v>
      </c>
    </row>
    <row r="11" customFormat="false" ht="15" hidden="false" customHeight="true" outlineLevel="0" collapsed="false">
      <c r="B11" s="8" t="s">
        <v>312</v>
      </c>
      <c r="I11" s="8" t="s">
        <v>435</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0" t="s">
        <v>20</v>
      </c>
      <c r="B16" s="10" t="s">
        <v>334</v>
      </c>
      <c r="C16" s="10"/>
      <c r="D16" s="10"/>
      <c r="E16" s="10"/>
      <c r="F16" s="10"/>
      <c r="G16" s="10"/>
      <c r="H16" s="10"/>
      <c r="I16" s="11"/>
      <c r="J16" s="10" t="str">
        <f aca="false">IF($B16="NO","NA",IF(I16="","",MIN(I16,$B$6)))</f>
        <v>NA</v>
      </c>
      <c r="K16" s="10"/>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0" t="s">
        <v>23</v>
      </c>
      <c r="B19" s="10" t="s">
        <v>334</v>
      </c>
      <c r="C19" s="10"/>
      <c r="D19" s="10"/>
      <c r="E19" s="10"/>
      <c r="F19" s="10"/>
      <c r="G19" s="10"/>
      <c r="H19" s="10"/>
      <c r="I19" s="11"/>
      <c r="J19" s="10" t="str">
        <f aca="false">IF($B19="NO","NA",IF(I19="","",MIN(I19,$B$6)))</f>
        <v>NA</v>
      </c>
      <c r="K19" s="10"/>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71</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SC-2</v>
      </c>
    </row>
    <row r="4" customFormat="false" ht="15" hidden="false" customHeight="true" outlineLevel="0" collapsed="false">
      <c r="A4" s="5" t="s">
        <v>13</v>
      </c>
      <c r="B4" s="3" t="str">
        <f aca="false">VLOOKUP($B$1,'PARASTATAL Questions'!$A:$J,4,0)&amp;""</f>
        <v>MQ</v>
      </c>
    </row>
    <row r="5" customFormat="false" ht="90.75" hidden="false" customHeight="true" outlineLevel="0" collapsed="false">
      <c r="A5" s="5" t="s">
        <v>14</v>
      </c>
      <c r="B5" s="3" t="str">
        <f aca="false">VLOOKUP($B$1,'PARASTATAL Questions'!$A:$J,5,0)&amp;""</f>
        <v>What is the parastatal's per-capita capital expenditure?</v>
      </c>
    </row>
    <row r="6" customFormat="false" ht="15" hidden="false" customHeight="true" outlineLevel="0" collapsed="false">
      <c r="A6" s="5" t="s">
        <v>16</v>
      </c>
      <c r="B6" s="3" t="n">
        <f aca="false">VLOOKUP($B$1,'PARASTATAL Questions'!$A:$J,6,0)</f>
        <v>10</v>
      </c>
    </row>
    <row r="7" customFormat="false" ht="34.5" hidden="false" customHeight="true" outlineLevel="0" collapsed="false">
      <c r="A7" s="5" t="s">
        <v>15</v>
      </c>
      <c r="B7" s="3" t="str">
        <f aca="false">VLOOKUP($B$1,'PARASTATAL Questions'!$A:$J,7,0)&amp;""</f>
        <v>Implementation (Numeric)</v>
      </c>
    </row>
    <row r="8" customFormat="false" ht="102" hidden="false" customHeight="true" outlineLevel="0" collapsed="false">
      <c r="A8" s="5" t="s">
        <v>96</v>
      </c>
      <c r="B8" s="3" t="str">
        <f aca="false">VLOOKUP($B$1,'PARASTATAL Questions'!$A:$J,8,0)&amp;""</f>
        <v>Parastatals with an infrastructure-delivery/capital-expenditure mandate.</v>
      </c>
    </row>
    <row r="9" customFormat="false" ht="684" hidden="false" customHeight="true" outlineLevel="0" collapsed="false">
      <c r="A9" s="5" t="s">
        <v>97</v>
      </c>
      <c r="B9" s="3" t="str">
        <f aca="false">VLOOKUP($B$1,'PARASTATAL Questions'!$A:$J,9,0)&amp;""</f>
        <v>Check the budget (and/or financial statements, as applicable) of the parastatal for the last three years. 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v>
      </c>
    </row>
    <row r="10" customFormat="false" ht="147" hidden="false" customHeight="true" outlineLevel="0" collapsed="false">
      <c r="A10" s="5" t="s">
        <v>98</v>
      </c>
      <c r="B10" s="3" t="str">
        <f aca="false">VLOOKUP($B$1,'PARASTATAL Questions'!$A:$J,10,0)&amp;""</f>
        <v>Latest annual budget and capital-expenditure accounts of the relevant parastatal; population figure with source.</v>
      </c>
    </row>
    <row r="11" customFormat="false" ht="15" hidden="false" customHeight="true" outlineLevel="0" collapsed="false">
      <c r="B11" s="8" t="s">
        <v>312</v>
      </c>
      <c r="I11" s="8" t="s">
        <v>435</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0" t="s">
        <v>21</v>
      </c>
      <c r="B17" s="10" t="s">
        <v>334</v>
      </c>
      <c r="C17" s="10"/>
      <c r="D17" s="10"/>
      <c r="E17" s="10"/>
      <c r="F17" s="10"/>
      <c r="G17" s="10"/>
      <c r="H17" s="10"/>
      <c r="I17" s="11"/>
      <c r="J17" s="10" t="str">
        <f aca="false">IF($B17="NO","NA",IF(I17="","",MIN(I17,$B$6)))</f>
        <v>NA</v>
      </c>
      <c r="K17" s="10"/>
    </row>
    <row r="18" customFormat="false" ht="15" hidden="false" customHeight="true" outlineLevel="0" collapsed="false">
      <c r="A18" s="10" t="s">
        <v>22</v>
      </c>
      <c r="B18" s="10" t="s">
        <v>334</v>
      </c>
      <c r="C18" s="10"/>
      <c r="D18" s="10"/>
      <c r="E18" s="10"/>
      <c r="F18" s="10"/>
      <c r="G18" s="10"/>
      <c r="H18" s="10"/>
      <c r="I18" s="11"/>
      <c r="J18" s="10" t="str">
        <f aca="false">IF($B18="NO","NA",IF(I18="","",MIN(I18,$B$6)))</f>
        <v>NA</v>
      </c>
      <c r="K18" s="10"/>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72</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SC-3</v>
      </c>
    </row>
    <row r="4" customFormat="false" ht="15" hidden="false" customHeight="true" outlineLevel="0" collapsed="false">
      <c r="A4" s="5" t="s">
        <v>13</v>
      </c>
      <c r="B4" s="3" t="str">
        <f aca="false">VLOOKUP($B$1,'PARASTATAL Questions'!$A:$J,4,0)&amp;""</f>
        <v>MQ</v>
      </c>
    </row>
    <row r="5" customFormat="false" ht="68.25" hidden="false" customHeight="true" outlineLevel="0" collapsed="false">
      <c r="A5" s="5" t="s">
        <v>14</v>
      </c>
      <c r="B5" s="3" t="str">
        <f aca="false">VLOOKUP($B$1,'PARASTATAL Questions'!$A:$J,5,0)&amp;""</f>
        <v>How realistic is the parastatal's annual budget?</v>
      </c>
    </row>
    <row r="6" customFormat="false" ht="15" hidden="false" customHeight="true" outlineLevel="0" collapsed="false">
      <c r="A6" s="5" t="s">
        <v>16</v>
      </c>
      <c r="B6" s="3" t="n">
        <f aca="false">VLOOKUP($B$1,'PARASTATAL Questions'!$A:$J,6,0)</f>
        <v>10</v>
      </c>
    </row>
    <row r="7" customFormat="false" ht="34.5" hidden="false" customHeight="true" outlineLevel="0" collapsed="false">
      <c r="A7" s="5" t="s">
        <v>15</v>
      </c>
      <c r="B7" s="3" t="str">
        <f aca="false">VLOOKUP($B$1,'PARASTATAL Questions'!$A:$J,7,0)&amp;""</f>
        <v>Implementation (Numeric)</v>
      </c>
    </row>
    <row r="8" customFormat="false" ht="68.25" hidden="false" customHeight="true" outlineLevel="0" collapsed="false">
      <c r="A8" s="5" t="s">
        <v>96</v>
      </c>
      <c r="B8" s="3" t="str">
        <f aca="false">VLOOKUP($B$1,'PARASTATAL Questions'!$A:$J,8,0)&amp;""</f>
        <v>Common — all parastatal types with an annual budget.</v>
      </c>
    </row>
    <row r="9" customFormat="false" ht="404.25" hidden="false" customHeight="true" outlineLevel="0" collapsed="false">
      <c r="A9" s="5" t="s">
        <v>97</v>
      </c>
      <c r="B9" s="3" t="str">
        <f aca="false">VLOOKUP($B$1,'PARASTATAL Questions'!$A:$J,9,0)&amp;""</f>
        <v>Check the budget of the parastatal for the last three years. The 3-year average of budget variance, wherever available (at least 2 years but not more than 5 years); If not 3 budgets, refer to at least 2 years but none older than 5 years.If variance is within 15%, the score will be 10, but anything over 15% will score 0 out of 10.</v>
      </c>
    </row>
    <row r="10" customFormat="false" ht="135.75" hidden="false" customHeight="true" outlineLevel="0" collapsed="false">
      <c r="A10" s="5" t="s">
        <v>98</v>
      </c>
      <c r="B10" s="3" t="str">
        <f aca="false">VLOOKUP($B$1,'PARASTATAL Questions'!$A:$J,10,0)&amp;""</f>
        <v>Budget documents and audited accounts for the same financial year, compared side by side</v>
      </c>
    </row>
    <row r="11" customFormat="false" ht="15" hidden="false" customHeight="true" outlineLevel="0" collapsed="false">
      <c r="B11" s="8" t="s">
        <v>312</v>
      </c>
      <c r="I11" s="8" t="s">
        <v>435</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74</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SC-4a</v>
      </c>
    </row>
    <row r="4" customFormat="false" ht="15" hidden="false" customHeight="true" outlineLevel="0" collapsed="false">
      <c r="A4" s="5" t="s">
        <v>13</v>
      </c>
      <c r="B4" s="3" t="str">
        <f aca="false">VLOOKUP($B$1,'PARASTATAL Questions'!$A:$J,4,0)&amp;""</f>
        <v>SQ</v>
      </c>
    </row>
    <row r="5" customFormat="false" ht="124.5" hidden="false" customHeight="true" outlineLevel="0" collapsed="false">
      <c r="A5" s="5" t="s">
        <v>14</v>
      </c>
      <c r="B5" s="3" t="str">
        <f aca="false">VLOOKUP($B$1,'PARASTATAL Questions'!$A:$J,5,0)&amp;""</f>
        <v>Is a medium-term (3-5 year) and/or long-term (&gt;5 year) fiscal plan legally mandated?</v>
      </c>
    </row>
    <row r="6" customFormat="false" ht="15" hidden="false" customHeight="true" outlineLevel="0" collapsed="false">
      <c r="A6" s="5" t="s">
        <v>16</v>
      </c>
      <c r="B6" s="3" t="n">
        <f aca="false">VLOOKUP($B$1,'PARASTATAL Questions'!$A:$J,6,0)</f>
        <v>5</v>
      </c>
    </row>
    <row r="7" customFormat="false" ht="15" hidden="false" customHeight="true" outlineLevel="0" collapsed="false">
      <c r="A7" s="5" t="s">
        <v>15</v>
      </c>
      <c r="B7" s="3" t="str">
        <f aca="false">VLOOKUP($B$1,'PARASTATAL Questions'!$A:$J,7,0)&amp;""</f>
        <v>Law/Policy</v>
      </c>
    </row>
    <row r="8" customFormat="false" ht="15" hidden="false" customHeight="true" outlineLevel="0" collapsed="false">
      <c r="A8" s="5" t="s">
        <v>96</v>
      </c>
      <c r="B8" s="3" t="str">
        <f aca="false">VLOOKUP($B$1,'PARASTATAL Questions'!$A:$J,8,0)&amp;""</f>
        <v>Common.</v>
      </c>
    </row>
    <row r="9" customFormat="false" ht="706.5" hidden="false" customHeight="true" outlineLevel="0" collapsed="false">
      <c r="A9" s="5" t="s">
        <v>97</v>
      </c>
      <c r="B9" s="3" t="str">
        <f aca="false">VLOOKUP($B$1,'PARASTATAL Questions'!$A:$J,9,0)&amp;""</f>
        <v>Check the relevant Parastatal Act and rules to determine whether preparation of a medium-term (3–5 year) and/or long-term (&gt;5 year) fiscal plan is legally mandated.Score 5 if the applicable framework requires the parastatal to prepare such a fiscal plan using mandatory language such as “shall” or “must”.Score 2.5 if the applicable framework permits or enables preparation of such a fiscal plan using discretionary language such as “may”, but does not make it mandatory.Score 0 if no provision for preparation of a medium-term or long-term fiscal plan is found.</v>
      </c>
    </row>
    <row r="10" customFormat="false" ht="45.75" hidden="false" customHeight="true" outlineLevel="0" collapsed="false">
      <c r="A10" s="5" t="s">
        <v>98</v>
      </c>
      <c r="B10" s="3" t="str">
        <f aca="false">VLOOKUP($B$1,'PARASTATAL Questions'!$A:$J,10,0)&amp;""</f>
        <v>Enabling act of the relevant parastatal</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75</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SC-4b</v>
      </c>
    </row>
    <row r="4" customFormat="false" ht="15" hidden="false" customHeight="true" outlineLevel="0" collapsed="false">
      <c r="A4" s="5" t="s">
        <v>13</v>
      </c>
      <c r="B4" s="3" t="str">
        <f aca="false">VLOOKUP($B$1,'PARASTATAL Questions'!$A:$J,4,0)&amp;""</f>
        <v>SQ</v>
      </c>
    </row>
    <row r="5" customFormat="false" ht="68.25" hidden="false" customHeight="true" outlineLevel="0" collapsed="false">
      <c r="A5" s="5" t="s">
        <v>14</v>
      </c>
      <c r="B5" s="3" t="str">
        <f aca="false">VLOOKUP($B$1,'PARASTATAL Questions'!$A:$J,5,0)&amp;""</f>
        <v>Is the medium/long-term fiscal plan publicly available?</v>
      </c>
    </row>
    <row r="6" customFormat="false" ht="15" hidden="false" customHeight="true" outlineLevel="0" collapsed="false">
      <c r="A6" s="5" t="s">
        <v>16</v>
      </c>
      <c r="B6" s="3" t="n">
        <f aca="false">VLOOKUP($B$1,'PARASTATAL Questions'!$A:$J,6,0)</f>
        <v>5</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549.75" hidden="false" customHeight="true" outlineLevel="0" collapsed="false">
      <c r="A9" s="5" t="s">
        <v>97</v>
      </c>
      <c r="B9" s="3" t="str">
        <f aca="false">VLOOKUP($B$1,'PARASTATAL Questions'!$A:$J,9,0)&amp;""</f>
        <v>Check the relevant parastatal’s website to determine whether a medium-term (3–5-year) and/or long-term (&gt; 5-year) fiscal plan has been prepared and is publicly available, irrespective of whether such a plan is legally mandated.Score 5 if a current medium-term and/or long-term fiscal plan is publicly available online. It should not be older than two years. Score 0 if no medium-term or long-term fiscal plan is publicly available online.</v>
      </c>
    </row>
    <row r="10" customFormat="false" ht="45.75" hidden="false" customHeight="true" outlineLevel="0" collapsed="false">
      <c r="A10" s="5" t="s">
        <v>98</v>
      </c>
      <c r="B10" s="3" t="str">
        <f aca="false">VLOOKUP($B$1,'PARASTATAL Questions'!$A:$J,10,0)&amp;""</f>
        <v>Website of the relevant parastatal</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76</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SC-5</v>
      </c>
    </row>
    <row r="4" customFormat="false" ht="15" hidden="false" customHeight="true" outlineLevel="0" collapsed="false">
      <c r="A4" s="5" t="s">
        <v>13</v>
      </c>
      <c r="B4" s="3" t="str">
        <f aca="false">VLOOKUP($B$1,'PARASTATAL Questions'!$A:$J,4,0)&amp;""</f>
        <v>MQ</v>
      </c>
    </row>
    <row r="5" customFormat="false" ht="79.5" hidden="false" customHeight="true" outlineLevel="0" collapsed="false">
      <c r="A5" s="5" t="s">
        <v>14</v>
      </c>
      <c r="B5" s="3" t="str">
        <f aca="false">VLOOKUP($B$1,'PARASTATAL Questions'!$A:$J,5,0)&amp;""</f>
        <v>Does the parastatal follow a double-entry accounting system?</v>
      </c>
    </row>
    <row r="6" customFormat="false" ht="15" hidden="false" customHeight="true" outlineLevel="0" collapsed="false">
      <c r="A6" s="5" t="s">
        <v>16</v>
      </c>
      <c r="B6" s="3" t="n">
        <f aca="false">VLOOKUP($B$1,'PARASTATAL Questions'!$A:$J,6,0)</f>
        <v>10</v>
      </c>
    </row>
    <row r="7" customFormat="false" ht="23.25" hidden="false" customHeight="true" outlineLevel="0" collapsed="false">
      <c r="A7" s="5" t="s">
        <v>15</v>
      </c>
      <c r="B7" s="3" t="str">
        <f aca="false">VLOOKUP($B$1,'PARASTATAL Questions'!$A:$J,7,0)&amp;""</f>
        <v>Implementation</v>
      </c>
    </row>
    <row r="8" customFormat="false" ht="15" hidden="false" customHeight="true" outlineLevel="0" collapsed="false">
      <c r="A8" s="5" t="s">
        <v>96</v>
      </c>
      <c r="B8" s="3" t="str">
        <f aca="false">VLOOKUP($B$1,'PARASTATAL Questions'!$A:$J,8,0)&amp;""</f>
        <v>Common.</v>
      </c>
    </row>
    <row r="9" customFormat="false" ht="1356" hidden="false" customHeight="true" outlineLevel="0" collapsed="false">
      <c r="A9" s="5" t="s">
        <v>97</v>
      </c>
      <c r="B9" s="3" t="str">
        <f aca="false">VLOOKUP($B$1,'PARASTATAL Questions'!$A:$J,9,0)&amp;""</f>
        <v>Check the parastatal website for the latest available audited annual financial statements to determine whether it follows a double-entry accounting system in practice. Score 10: if the financial statements demonstrate use of double-entry accounting, which is indicated by the preparation of a Balance Sheet together with the relevant income/expenditure or equivalent financial statements.Score 0: if only a Receipts and Payments Statement or other cash-based statement is available; the applicable accounting framework refers to or requires double-entry accounting, but the published financial statements do not demonstrate its use in practice; orfinancial statements sufficient to establish the accounting system cannot be located. Do not score solely on the basis of a provision in an Act, accounting manual, guideline or other document stating that double-entry accounting should be followed. The assessment should be based on the evidence for the accounting system indicated in the financial statements actually prepared by the ULG/parastatal.</v>
      </c>
    </row>
    <row r="10" customFormat="false" ht="102" hidden="false" customHeight="true" outlineLevel="0" collapsed="false">
      <c r="A10" s="5" t="s">
        <v>98</v>
      </c>
      <c r="B10" s="3" t="str">
        <f aca="false">VLOOKUP($B$1,'PARASTATAL Questions'!$A:$J,10,0)&amp;""</f>
        <v>Parastatal website; latest available audited annual financial statements</v>
      </c>
    </row>
    <row r="11" customFormat="false" ht="15" hidden="false" customHeight="true" outlineLevel="0" collapsed="false">
      <c r="B11" s="8" t="s">
        <v>312</v>
      </c>
      <c r="I11" s="8" t="s">
        <v>435</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77</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SC-6</v>
      </c>
    </row>
    <row r="4" customFormat="false" ht="15" hidden="false" customHeight="true" outlineLevel="0" collapsed="false">
      <c r="A4" s="5" t="s">
        <v>13</v>
      </c>
      <c r="B4" s="3" t="str">
        <f aca="false">VLOOKUP($B$1,'PARASTATAL Questions'!$A:$J,4,0)&amp;""</f>
        <v>MQ</v>
      </c>
    </row>
    <row r="5" customFormat="false" ht="124.5" hidden="false" customHeight="true" outlineLevel="0" collapsed="false">
      <c r="A5" s="5" t="s">
        <v>14</v>
      </c>
      <c r="B5" s="3" t="str">
        <f aca="false">VLOOKUP($B$1,'PARASTATAL Questions'!$A:$J,5,0)&amp;""</f>
        <v>What is the average tenure of the chief executive/executive authority of the parastatal?</v>
      </c>
    </row>
    <row r="6" customFormat="false" ht="15" hidden="false" customHeight="true" outlineLevel="0" collapsed="false">
      <c r="A6" s="5" t="s">
        <v>16</v>
      </c>
      <c r="B6" s="3" t="n">
        <f aca="false">VLOOKUP($B$1,'PARASTATAL Questions'!$A:$J,6,0)</f>
        <v>10</v>
      </c>
    </row>
    <row r="7" customFormat="false" ht="34.5" hidden="false" customHeight="true" outlineLevel="0" collapsed="false">
      <c r="A7" s="5" t="s">
        <v>15</v>
      </c>
      <c r="B7" s="3" t="str">
        <f aca="false">VLOOKUP($B$1,'PARASTATAL Questions'!$A:$J,7,0)&amp;""</f>
        <v>Implementation (Numeric)</v>
      </c>
    </row>
    <row r="8" customFormat="false" ht="124.5" hidden="false" customHeight="true" outlineLevel="0" collapsed="false">
      <c r="A8" s="5" t="s">
        <v>96</v>
      </c>
      <c r="B8" s="3" t="str">
        <f aca="false">VLOOKUP($B$1,'PARASTATAL Questions'!$A:$J,8,0)&amp;""</f>
        <v>Common — all parastatal types with a designated chief executive/executive authority post.</v>
      </c>
    </row>
    <row r="9" customFormat="false" ht="840.75" hidden="false" customHeight="true" outlineLevel="0" collapsed="false">
      <c r="A9" s="5" t="s">
        <v>97</v>
      </c>
      <c r="B9" s="3" t="str">
        <f aca="false">VLOOKUP($B$1,'PARASTATAL Questions'!$A:$J,9,0)&amp;""</f>
        <v>Check appointments and transfers of the chief executive/executive authority over the last five years. Use the parastatal’s official website as the primary source. If these do not provide a complete appointment history, supplement the assessment with reliable secondary sources, such as the SUPREMO portal for the executive record sheet of IAS officers (where relevant), RTI requests with the parastatals, and credible media reports. Score 10 if one chief executive has served during the five-year period.Score 5 if 2–3 chief executives have served during the five-year period.Score 0 if more than 3 chief executives have served during the five-year period.</v>
      </c>
    </row>
    <row r="10" customFormat="false" ht="124.5" hidden="false" customHeight="true" outlineLevel="0" collapsed="false">
      <c r="A10" s="5" t="s">
        <v>98</v>
      </c>
      <c r="B10" s="3" t="str">
        <f aca="false">VLOOKUP($B$1,'PARASTATAL Questions'!$A:$J,10,0)&amp;""</f>
        <v>Newspaper reports, Gazette notifications of appointment/transfer and website of relevant parastatal</v>
      </c>
    </row>
    <row r="11" customFormat="false" ht="15" hidden="false" customHeight="true" outlineLevel="0" collapsed="false">
      <c r="B11" s="8" t="s">
        <v>312</v>
      </c>
      <c r="I11" s="8" t="s">
        <v>435</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79</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SC-7a</v>
      </c>
    </row>
    <row r="4" customFormat="false" ht="15" hidden="false" customHeight="true" outlineLevel="0" collapsed="false">
      <c r="A4" s="5" t="s">
        <v>13</v>
      </c>
      <c r="B4" s="3" t="str">
        <f aca="false">VLOOKUP($B$1,'PARASTATAL Questions'!$A:$J,4,0)&amp;""</f>
        <v>SQ</v>
      </c>
    </row>
    <row r="5" customFormat="false" ht="102" hidden="false" customHeight="true" outlineLevel="0" collapsed="false">
      <c r="A5" s="5" t="s">
        <v>14</v>
      </c>
      <c r="B5" s="3" t="str">
        <f aca="false">VLOOKUP($B$1,'PARASTATAL Questions'!$A:$J,5,0)&amp;""</f>
        <v>Does the parastatal have adequate staffing capacity to discharge its mandate?</v>
      </c>
    </row>
    <row r="6" customFormat="false" ht="15" hidden="false" customHeight="true" outlineLevel="0" collapsed="false">
      <c r="A6" s="5" t="s">
        <v>16</v>
      </c>
      <c r="B6" s="3" t="n">
        <f aca="false">VLOOKUP($B$1,'PARASTATAL Questions'!$A:$J,6,0)</f>
        <v>5</v>
      </c>
    </row>
    <row r="7" customFormat="false" ht="34.5" hidden="false" customHeight="true" outlineLevel="0" collapsed="false">
      <c r="A7" s="5" t="s">
        <v>15</v>
      </c>
      <c r="B7" s="3" t="str">
        <f aca="false">VLOOKUP($B$1,'PARASTATAL Questions'!$A:$J,7,0)&amp;""</f>
        <v>Implementation (Numeric)</v>
      </c>
    </row>
    <row r="8" customFormat="false" ht="45.75" hidden="false" customHeight="true" outlineLevel="0" collapsed="false">
      <c r="A8" s="5" t="s">
        <v>96</v>
      </c>
      <c r="B8" s="3" t="str">
        <f aca="false">VLOOKUP($B$1,'PARASTATAL Questions'!$A:$J,8,0)&amp;""</f>
        <v>Common — all parastatal types.</v>
      </c>
    </row>
    <row r="9" customFormat="false" ht="415.5" hidden="false" customHeight="true" outlineLevel="0" collapsed="false">
      <c r="A9" s="5" t="s">
        <v>97</v>
      </c>
      <c r="B9" s="3" t="str">
        <f aca="false">VLOOKUP($B$1,'PARASTATAL Questions'!$A:$J,9,0)&amp;""</f>
        <v>Collect the parastatal’s sanctioned and filled positions. Calculate the proportion of sanctioned positions that are filled.Score 5 – 90% or more of sanctioned positions filledScore 4 – 75%–89%Score 3 – 60%–74%Score 2 – 40%–59%Score 1 – below 40%Score 0 – no staffing data available / no evidence of sanctioned staffing structure</v>
      </c>
    </row>
    <row r="10" customFormat="false" ht="135.75" hidden="false" customHeight="true" outlineLevel="0" collapsed="false">
      <c r="A10" s="5" t="s">
        <v>98</v>
      </c>
      <c r="B10" s="3" t="str">
        <f aca="false">VLOOKUP($B$1,'PARASTATAL Questions'!$A:$J,10,0)&amp;""</f>
        <v>Staffing records on the website/ RTI  and/or formal data request with the parastatal/ annual report</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30"/>
    <col collapsed="false" customWidth="true" hidden="false" outlineLevel="0" max="8" min="8" style="1" width="10"/>
    <col collapsed="false" customWidth="true" hidden="false" outlineLevel="0" max="9" min="9" style="1" width="40"/>
  </cols>
  <sheetData>
    <row r="1" customFormat="false" ht="15" hidden="false" customHeight="true" outlineLevel="0" collapsed="false">
      <c r="A1" s="1" t="s">
        <v>310</v>
      </c>
      <c r="B1" s="1" t="s">
        <v>80</v>
      </c>
      <c r="C1" s="1" t="s">
        <v>311</v>
      </c>
    </row>
    <row r="2" customFormat="false" ht="23.25" hidden="false" customHeight="true" outlineLevel="0" collapsed="false">
      <c r="A2" s="5" t="s">
        <v>12</v>
      </c>
      <c r="B2" s="3" t="str">
        <f aca="false">VLOOKUP($B$1,'PARASTATAL Questions'!$A:$J,3,0)&amp;""</f>
        <v>State Capacities</v>
      </c>
    </row>
    <row r="3" customFormat="false" ht="15" hidden="false" customHeight="true" outlineLevel="0" collapsed="false">
      <c r="A3" s="5" t="s">
        <v>95</v>
      </c>
      <c r="B3" s="3" t="str">
        <f aca="false">VLOOKUP($B$1,'PARASTATAL Questions'!$A:$J,2,0)&amp;""</f>
        <v>SC-7b</v>
      </c>
    </row>
    <row r="4" customFormat="false" ht="15" hidden="false" customHeight="true" outlineLevel="0" collapsed="false">
      <c r="A4" s="5" t="s">
        <v>13</v>
      </c>
      <c r="B4" s="3" t="str">
        <f aca="false">VLOOKUP($B$1,'PARASTATAL Questions'!$A:$J,4,0)&amp;""</f>
        <v>SQ</v>
      </c>
    </row>
    <row r="5" customFormat="false" ht="79.5" hidden="false" customHeight="true" outlineLevel="0" collapsed="false">
      <c r="A5" s="5" t="s">
        <v>14</v>
      </c>
      <c r="B5" s="3" t="str">
        <f aca="false">VLOOKUP($B$1,'PARASTATAL Questions'!$A:$J,5,0)&amp;""</f>
        <v>What proportion of the parastatal's workforce is women?</v>
      </c>
    </row>
    <row r="6" customFormat="false" ht="15" hidden="false" customHeight="true" outlineLevel="0" collapsed="false">
      <c r="A6" s="5" t="s">
        <v>16</v>
      </c>
      <c r="B6" s="3" t="n">
        <f aca="false">VLOOKUP($B$1,'PARASTATAL Questions'!$A:$J,6,0)</f>
        <v>5</v>
      </c>
    </row>
    <row r="7" customFormat="false" ht="34.5" hidden="false" customHeight="true" outlineLevel="0" collapsed="false">
      <c r="A7" s="5" t="s">
        <v>15</v>
      </c>
      <c r="B7" s="3" t="str">
        <f aca="false">VLOOKUP($B$1,'PARASTATAL Questions'!$A:$J,7,0)&amp;""</f>
        <v>Implementation (Numeric)</v>
      </c>
    </row>
    <row r="8" customFormat="false" ht="45.75" hidden="false" customHeight="true" outlineLevel="0" collapsed="false">
      <c r="A8" s="5" t="s">
        <v>96</v>
      </c>
      <c r="B8" s="3" t="str">
        <f aca="false">VLOOKUP($B$1,'PARASTATAL Questions'!$A:$J,8,0)&amp;""</f>
        <v>Common — all parastatal types.</v>
      </c>
    </row>
    <row r="9" customFormat="false" ht="471" hidden="false" customHeight="true" outlineLevel="0" collapsed="false">
      <c r="A9" s="5" t="s">
        <v>97</v>
      </c>
      <c r="B9" s="3" t="str">
        <f aca="false">VLOOKUP($B$1,'PARASTATAL Questions'!$A:$J,9,0)&amp;""</f>
        <v>Compute women employees as a proportion of total filled posts using the latest available staffing data. % women in workforce = (Number of women employees ÷ Total filled posts) × 100, using the latest available staffing data.Score 5: women constitute ≥33% of the workforceScore 2.5: women constitute 15–32% of the workforceScore 0 — women constitute &lt;15% of the workforce</v>
      </c>
    </row>
    <row r="10" customFormat="false" ht="135.75" hidden="false" customHeight="true" outlineLevel="0" collapsed="false">
      <c r="A10" s="5" t="s">
        <v>98</v>
      </c>
      <c r="B10" s="3" t="str">
        <f aca="false">VLOOKUP($B$1,'PARASTATAL Questions'!$A:$J,10,0)&amp;""</f>
        <v>Staffing records on the website/ RTI  and/or formal data request with the parastatal/ annual report</v>
      </c>
    </row>
    <row r="11" customFormat="false" ht="15" hidden="false" customHeight="true" outlineLevel="0" collapsed="false">
      <c r="B11" s="8" t="s">
        <v>312</v>
      </c>
      <c r="I11" s="8" t="s">
        <v>313</v>
      </c>
      <c r="J11" s="8" t="s">
        <v>314</v>
      </c>
    </row>
    <row r="12" customFormat="false" ht="51.75" hidden="false" customHeight="true" outlineLevel="0" collapsed="false">
      <c r="A12" s="4" t="s">
        <v>85</v>
      </c>
      <c r="B12" s="4" t="s">
        <v>315</v>
      </c>
      <c r="C12" s="4" t="s">
        <v>316</v>
      </c>
      <c r="D12" s="4" t="s">
        <v>317</v>
      </c>
      <c r="E12" s="4" t="s">
        <v>318</v>
      </c>
      <c r="F12" s="4" t="s">
        <v>319</v>
      </c>
      <c r="G12" s="4" t="s">
        <v>320</v>
      </c>
      <c r="H12" s="4" t="s">
        <v>321</v>
      </c>
      <c r="I12" s="4" t="s">
        <v>322</v>
      </c>
      <c r="J12" s="4" t="s">
        <v>323</v>
      </c>
      <c r="K12" s="4" t="s">
        <v>324</v>
      </c>
    </row>
    <row r="13" customFormat="false" ht="15" hidden="false" customHeight="true" outlineLevel="0" collapsed="false">
      <c r="A13" s="1" t="s">
        <v>17</v>
      </c>
      <c r="B13" s="1" t="s">
        <v>325</v>
      </c>
      <c r="I13" s="9"/>
      <c r="J13" s="1" t="str">
        <f aca="false">IF($B13="NO","NA",IF(I13="","",MIN(I13,$B$6)))</f>
        <v/>
      </c>
      <c r="K13" s="1" t="s">
        <v>434</v>
      </c>
    </row>
    <row r="14" customFormat="false" ht="15" hidden="false" customHeight="true" outlineLevel="0" collapsed="false">
      <c r="A14" s="1" t="s">
        <v>18</v>
      </c>
      <c r="B14" s="1" t="s">
        <v>325</v>
      </c>
      <c r="I14" s="9"/>
      <c r="J14" s="1" t="str">
        <f aca="false">IF($B14="NO","NA",IF(I14="","",MIN(I14,$B$6)))</f>
        <v/>
      </c>
      <c r="K14" s="1" t="s">
        <v>434</v>
      </c>
    </row>
    <row r="15" customFormat="false" ht="15" hidden="false" customHeight="true" outlineLevel="0" collapsed="false">
      <c r="A15" s="1" t="s">
        <v>19</v>
      </c>
      <c r="B15" s="1" t="s">
        <v>325</v>
      </c>
      <c r="I15" s="9"/>
      <c r="J15" s="1" t="str">
        <f aca="false">IF($B15="NO","NA",IF(I15="","",MIN(I15,$B$6)))</f>
        <v/>
      </c>
      <c r="K15" s="1" t="s">
        <v>434</v>
      </c>
    </row>
    <row r="16" customFormat="false" ht="15" hidden="false" customHeight="true" outlineLevel="0" collapsed="false">
      <c r="A16" s="1" t="s">
        <v>20</v>
      </c>
      <c r="B16" s="1" t="s">
        <v>325</v>
      </c>
      <c r="I16" s="9"/>
      <c r="J16" s="1" t="str">
        <f aca="false">IF($B16="NO","NA",IF(I16="","",MIN(I16,$B$6)))</f>
        <v/>
      </c>
      <c r="K16" s="1" t="s">
        <v>434</v>
      </c>
    </row>
    <row r="17" customFormat="false" ht="15" hidden="false" customHeight="true" outlineLevel="0" collapsed="false">
      <c r="A17" s="1" t="s">
        <v>21</v>
      </c>
      <c r="B17" s="1" t="s">
        <v>325</v>
      </c>
      <c r="I17" s="9"/>
      <c r="J17" s="1" t="str">
        <f aca="false">IF($B17="NO","NA",IF(I17="","",MIN(I17,$B$6)))</f>
        <v/>
      </c>
      <c r="K17" s="1" t="s">
        <v>434</v>
      </c>
    </row>
    <row r="18" customFormat="false" ht="15" hidden="false" customHeight="true" outlineLevel="0" collapsed="false">
      <c r="A18" s="1" t="s">
        <v>22</v>
      </c>
      <c r="B18" s="1" t="s">
        <v>325</v>
      </c>
      <c r="I18" s="9"/>
      <c r="J18" s="1" t="str">
        <f aca="false">IF($B18="NO","NA",IF(I18="","",MIN(I18,$B$6)))</f>
        <v/>
      </c>
    </row>
    <row r="19" customFormat="false" ht="15" hidden="false" customHeight="true" outlineLevel="0" collapsed="false">
      <c r="A19" s="1" t="s">
        <v>23</v>
      </c>
      <c r="B19" s="1" t="s">
        <v>325</v>
      </c>
      <c r="I19" s="9"/>
      <c r="J19" s="1"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2026-10-08T09:20:10Z</dcterms:created>
  <dc:creator>openpyxl</dc:creator>
  <dc:description/>
  <dc:language>en-IN</dc:language>
  <cp:lastModifiedBy/>
  <dcterms:modified xsi:type="dcterms:W3CDTF">2026-10-08T11:28:29Z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