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7.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39.xml" ContentType="application/vnd.openxmlformats-officedocument.spreadsheetml.worksheet+xml"/>
  <Override PartName="/xl/worksheets/sheet15.xml" ContentType="application/vnd.openxmlformats-officedocument.spreadsheetml.worksheet+xml"/>
  <Override PartName="/xl/worksheets/sheet36.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41.xml" ContentType="application/vnd.openxmlformats-officedocument.spreadsheetml.worksheet+xml"/>
  <Override PartName="/xl/worksheets/sheet6.xml" ContentType="application/vnd.openxmlformats-officedocument.spreadsheetml.worksheet+xml"/>
  <Override PartName="/xl/worksheets/sheet37.xml" ContentType="application/vnd.openxmlformats-officedocument.spreadsheetml.worksheet+xml"/>
  <Override PartName="/xl/worksheets/sheet29.xml" ContentType="application/vnd.openxmlformats-officedocument.spreadsheetml.worksheet+xml"/>
  <Override PartName="/xl/worksheets/sheet19.xml" ContentType="application/vnd.openxmlformats-officedocument.spreadsheetml.worksheet+xml"/>
  <Override PartName="/xl/worksheets/sheet35.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33.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13.xml" ContentType="application/vnd.openxmlformats-officedocument.spreadsheetml.worksheet+xml"/>
  <Override PartName="/xl/worksheets/sheet27.xml" ContentType="application/vnd.openxmlformats-officedocument.spreadsheetml.worksheet+xml"/>
  <Override PartName="/xl/worksheets/sheet38.xml" ContentType="application/vnd.openxmlformats-officedocument.spreadsheetml.worksheet+xml"/>
  <Override PartName="/xl/worksheets/sheet16.xml" ContentType="application/vnd.openxmlformats-officedocument.spreadsheetml.worksheet+xml"/>
  <Override PartName="/xl/worksheets/sheet47.xml" ContentType="application/vnd.openxmlformats-officedocument.spreadsheetml.worksheet+xml"/>
  <Override PartName="/xl/worksheets/sheet40.xml" ContentType="application/vnd.openxmlformats-officedocument.spreadsheetml.worksheet+xml"/>
  <Override PartName="/xl/worksheets/sheet44.xml" ContentType="application/vnd.openxmlformats-officedocument.spreadsheetml.worksheet+xml"/>
  <Override PartName="/xl/worksheets/sheet23.xml" ContentType="application/vnd.openxmlformats-officedocument.spreadsheetml.worksheet+xml"/>
  <Override PartName="/xl/worksheets/sheet42.xml" ContentType="application/vnd.openxmlformats-officedocument.spreadsheetml.worksheet+xml"/>
  <Override PartName="/xl/worksheets/sheet28.xml" ContentType="application/vnd.openxmlformats-officedocument.spreadsheetml.worksheet+xml"/>
  <Override PartName="/xl/worksheets/sheet10.xml" ContentType="application/vnd.openxmlformats-officedocument.spreadsheetml.worksheet+xml"/>
  <Override PartName="/xl/worksheets/sheet43.xml" ContentType="application/vnd.openxmlformats-officedocument.spreadsheetml.worksheet+xml"/>
  <Override PartName="/xl/worksheets/sheet46.xml" ContentType="application/vnd.openxmlformats-officedocument.spreadsheetml.worksheet+xml"/>
  <Override PartName="/xl/worksheets/sheet32.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ores (start here)" sheetId="1" state="visible" r:id="rId3"/>
    <sheet name="Check before use" sheetId="2" state="visible" r:id="rId4"/>
    <sheet name="PARASTATAL_SUMMARY_RAW" sheetId="3" state="visible" r:id="rId5"/>
    <sheet name="PARASTATAL_CITY_SCORES" sheetId="4" state="visible" r:id="rId6"/>
    <sheet name="PARASTATAL Questions" sheetId="5" state="visible" r:id="rId7"/>
    <sheet name="UPD1a" sheetId="6" state="visible" r:id="rId8"/>
    <sheet name="UPD1b" sheetId="7" state="visible" r:id="rId9"/>
    <sheet name="UPD2a" sheetId="8" state="visible" r:id="rId10"/>
    <sheet name="UPD2b" sheetId="9" state="visible" r:id="rId11"/>
    <sheet name="UPD2c" sheetId="10" state="visible" r:id="rId12"/>
    <sheet name="UPD2d" sheetId="11" state="visible" r:id="rId13"/>
    <sheet name="UPD3a" sheetId="12" state="visible" r:id="rId14"/>
    <sheet name="UPD3b" sheetId="13" state="visible" r:id="rId15"/>
    <sheet name="UPD4a" sheetId="14" state="visible" r:id="rId16"/>
    <sheet name="UPD4b" sheetId="15" state="visible" r:id="rId17"/>
    <sheet name="UPD5a" sheetId="16" state="visible" r:id="rId18"/>
    <sheet name="UPD5b" sheetId="17" state="visible" r:id="rId19"/>
    <sheet name="UPD6a" sheetId="18" state="visible" r:id="rId20"/>
    <sheet name="UPD6b" sheetId="19" state="visible" r:id="rId21"/>
    <sheet name="DPG1a" sheetId="20" state="visible" r:id="rId22"/>
    <sheet name="DPG1b" sheetId="21" state="visible" r:id="rId23"/>
    <sheet name="DPG2a" sheetId="22" state="visible" r:id="rId24"/>
    <sheet name="DPG2b" sheetId="23" state="visible" r:id="rId25"/>
    <sheet name="DPG4" sheetId="24" state="visible" r:id="rId26"/>
    <sheet name="DPG5a" sheetId="25" state="visible" r:id="rId27"/>
    <sheet name="DPG5b" sheetId="26" state="visible" r:id="rId28"/>
    <sheet name="DPG5c" sheetId="27" state="visible" r:id="rId29"/>
    <sheet name="DPG5d" sheetId="28" state="visible" r:id="rId30"/>
    <sheet name="DPG5f" sheetId="29" state="visible" r:id="rId31"/>
    <sheet name="DPG5g" sheetId="30" state="visible" r:id="rId32"/>
    <sheet name="DPG5h" sheetId="31" state="visible" r:id="rId33"/>
    <sheet name="DPG5i" sheetId="32" state="visible" r:id="rId34"/>
    <sheet name="DPG5j" sheetId="33" state="visible" r:id="rId35"/>
    <sheet name="DPG5k" sheetId="34" state="visible" r:id="rId36"/>
    <sheet name="DPG6a" sheetId="35" state="visible" r:id="rId37"/>
    <sheet name="DPG6b" sheetId="36" state="visible" r:id="rId38"/>
    <sheet name="DPG7a" sheetId="37" state="visible" r:id="rId39"/>
    <sheet name="DPG7b" sheetId="38" state="visible" r:id="rId40"/>
    <sheet name="SC1" sheetId="39" state="visible" r:id="rId41"/>
    <sheet name="SC2" sheetId="40" state="visible" r:id="rId42"/>
    <sheet name="SC3" sheetId="41" state="visible" r:id="rId43"/>
    <sheet name="SC4a" sheetId="42" state="visible" r:id="rId44"/>
    <sheet name="SC4b" sheetId="43" state="visible" r:id="rId45"/>
    <sheet name="SC5" sheetId="44" state="visible" r:id="rId46"/>
    <sheet name="SC6" sheetId="45" state="visible" r:id="rId47"/>
    <sheet name="SC7a" sheetId="46" state="visible" r:id="rId48"/>
    <sheet name="SC7b" sheetId="47" state="visible" r:id="rId49"/>
  </sheets>
  <definedNames>
    <definedName function="false" hidden="true" localSheetId="0" name="_xlnm._FilterDatabase" vbProcedure="false">'Scores (start here)'!$A$1:$R$156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<sst xmlns="http://schemas.openxmlformats.org/spreadsheetml/2006/main" count="4302" uniqueCount="1018">
  <si>
    <t xml:space="preserve">Question</t>
  </si>
  <si>
    <t xml:space="preserve">Row</t>
  </si>
  <si>
    <t xml:space="preserve">Question text</t>
  </si>
  <si>
    <t xml:space="preserve">AI score</t>
  </si>
  <si>
    <t xml:space="preserve">Max score</t>
  </si>
  <si>
    <t xml:space="preserve">★ Your score</t>
  </si>
  <si>
    <t xml:space="preserve">★ Your comments</t>
  </si>
  <si>
    <t xml:space="preserve">Agrees with AI?</t>
  </si>
  <si>
    <t xml:space="preserve">Final score</t>
  </si>
  <si>
    <t xml:space="preserve">Score used</t>
  </si>
  <si>
    <t xml:space="preserve">Status</t>
  </si>
  <si>
    <t xml:space="preserve">Step 2 status</t>
  </si>
  <si>
    <t xml:space="preserve">Step 2 answer</t>
  </si>
  <si>
    <t xml:space="preserve">Citation</t>
  </si>
  <si>
    <t xml:space="preserve">Link</t>
  </si>
  <si>
    <t xml:space="preserve">Quote</t>
  </si>
  <si>
    <t xml:space="preserve">AI's reasoning</t>
  </si>
  <si>
    <t xml:space="preserve">Why left for a person</t>
  </si>
  <si>
    <t xml:space="preserve">UPD1a</t>
  </si>
  <si>
    <t xml:space="preserve">Bengaluru – BWSSB</t>
  </si>
  <si>
    <t xml:space="preserve">Is the parastatal mandated to prepare its spatial and/or sectoral plans in coordination with the ULG(s) within its jurisdiction?</t>
  </si>
  <si>
    <t xml:space="preserve">5</t>
  </si>
  <si>
    <t xml:space="preserve">Left for a person</t>
  </si>
  <si>
    <t xml:space="preserve">Partially Answered</t>
  </si>
  <si>
    <t xml:space="preserve">ANSWER: The Citation Sheet sources reviewed contain no provision requiring BWSSB to prepare its water supply or sewerage plans or schemes in coordination with the city government (the Greater Bengaluru Authority (GBA) or the City Corporations). They provide no ULG approval or concurrence of BWSSB plans, no joint preparation and no mandatory BWSSB-to-ULG consultation. The documented links are indirect. (i) On the city government's side, GBA has a general statutory power to integrate and supervise BWSSB's activities and to issue binding directions. It also prepares the master plan and infrastructure plans, and may give planning tasks to public authorities, who are then bound to assist. (ii) On BWSSB's side, there is an advisory Consultative Committee. Some of its members are appointed after consultation with bodies that represent the 'Municipal Corporation of the City of Bangalore' (the predecessor body). It advises the Board on major policy and major schemes. (iii) BWSSB schemes costing over Rs 1 crore need State Government approval, not city government approval. | EVIDENCE: BWSSB side, Bangalore Water Supply and Sewerage Act, 1964 (BWSSB-04, FAOLEX copy): s.15(2)(b)-(c) gives the Board the duty of 'preparing and carrying out schemes' for water supply and sewerage. The proviso (Act 6 of 1966) says no scheme 'estimated to cost more than a crore of rupees shall be carried out by the Board except with the approval of the State Government' (State, not city government). s.14(1) say</t>
  </si>
  <si>
    <t xml:space="preserve">The Greater Bengaluru Governance Act, 2024 (Karnataka Act No. 36 of 2025), Gazette text as published 24.04.2025 (PRS Legislative Research copy) [BWSSB-29]</t>
  </si>
  <si>
    <t xml:space="preserve">https://prsindia.org/files/bills_acts/acts_states/karnataka/2025/Act36of2025KA.pdf</t>
  </si>
  <si>
    <t xml:space="preserve">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t>
  </si>
  <si>
    <t xml:space="preserve">I left the Score blank for three reasons.
(1) SCALE-MISMATCH. The rubric's bands run from 0 to 10 (10 / 7.5 / 5 / 2.5 / 0), but the Max Score is 5. The top band is not 5 and is not a sum of components, so I cannot convert a band into a score without confirmation.
(2) The parastatal Act is not in the Citation Sheet. The method says to review 'the relevant Parastatal Act', but the Bangalore Water Supply and Sewerage Act, 1964 is not among this agency's sources (BWSSB-12, 22, 23, 25, 28, 29, 30, 32). The Step 2 answer used BWSSB-04, a FAOLEX mirror. That is a blocked source category and is not in the list I was given, so I could not use it. I searched the Sheet for the BWSS Act's provisions on schemes and consultation and found only secondary mentions (the JICA reports BWSSB-22 and BWSSB-23, the AMDA presentation BWSSB-12 and the PAC report BWSSB-32). None of these gives the Act's text. Without the Act, or any Rules or Regulations made under it, I cannot show affirmative absence of a duty to consult the city government. A 0 is therefore not available.
(3) Interpretation needed. The city government (ULG) side, the GBG Act 2024 (BWSSB-29, PRS copy, as published 24.04.2025, GBA era), contains these provisions:
- s.14(4): the Greater Bengaluru Authority (GBA) may integrate and supervise BWSSB's activities, and its directions 'shall be binding'.
- s.14(3)(b): binding directions for carrying out schemes that implement GBA's own plans.
- s.15(1): GBA makes the master plan and infrastructure plans.
- s.15(5): GBA 'may assign' the planning of major infrastructure projects, and the agencies 'shall be bound to assist'.
- s.8(3): GBA acts as coordinator among the agencies.
- s.9(3)(h) and s.13(1)(g): the BWSSB Chairman sits on GBA and on its Executive Committee.
None of these expressly requires BWSSB's own water or sewerage plans to be prepared jointly with, approved by, or consulted on with the ULG. Whether a general binding power to supervise and direct counts as 'approval/concurrence' (band 10) is a judgement for the team. Note also that GBA is chaired by the Chief Minister and is not purely a ULG body.
The KTCP Act (BWSSB-28, PRS copy, amended up to Act 38 of 2015): Step 2 found no provision on a water board's plans. I did not find one either.
For a human to check:
(a) Get an official Karnataka copy of the current BWSS Act. Read s.3 (Board composition), s.14 (Consultative Committee, which is advisory and names the predecessor Corporation) and s.15 (preparing schemes, with State approval above Rs 1 crore).
(b) Look for any BWSS Rules or Regulations.
(c) Confirm whether the GBG (Amendment) Bill 2025 (BWSSB-30) has been enacted.
(d) Confirm the scale conversion. Possible readings: about 0 or 1.25 if only the advisory Consultative Committee counts; up to 5 if the s.14(4) binding supervision is read as concurrence.</t>
  </si>
  <si>
    <t xml:space="preserve">The citation didn't settle every input. "Score" left blank: the Citation Sheet doesn't decide it.</t>
  </si>
  <si>
    <t xml:space="preserve">Bengaluru – BMTC</t>
  </si>
  <si>
    <t xml:space="preserve">ANSWER: The Citation Sheet holds no provision requiring BMTC to prepare its spatial or sectoral plans in coordination with the Greater Bengaluru Authority (GBA) or its City Corporations. The only plan-related duty found runs to a state body, not to the city government. Under the BMLTA Act, BMTC's sectoral plan (its Sectoral Mobility Investment Program) must be prepared in consultation with the Bengaluru Metropolitan Land Transport Authority (BMLTA). GBA and City Corporation officials sit on BMLTA and its Executive Committee, but that is a seat on a coordinating body, not a direct duty to consult or get approval from the city government. I cannot say there is no such duty, because BMTC's own constituting law and the GBA Act are not in the Citation Sheet. | EVIDENCE: (1) BMLTA Act, 2022 (Karnataka Act 6 of 2023), PRS copy with Amendment Act 10 of 2026 appended. BMTC appears to fall under the definition of 'Urban Transport Agency' in s.2(ff): 'private and public agencies engaged in providing of Urban Mobility'. s.24(a)-(c): the Sectoral Mobility Investment Program 'shall be aligned with the goals of the Comprehensive Mobility Plan', 'shall be prepared in consultation with the Authority', and BMLTA folds it into the City Mobility Investment Program 'with or without modification'. s.25: the agencies prepare an Annual Implementation Plan, which BMLTA reviews and approves. s.21(2) proviso: any other authority that plans for urban mobility 'shall necessarily consult the Authority and</t>
  </si>
  <si>
    <t xml:space="preserve">The Bengaluru Metropolitan Land Transport Authority Act, 2022 (Karnataka Act No. 6 of 2023), full text (PRS Legislative Research copy of the official Act) [BMTC-23]</t>
  </si>
  <si>
    <t xml:space="preserve">https://prsindia.org/files/bills_acts/acts_states/karnataka/2023/Act6of2023Karnataka.pdf</t>
  </si>
  <si>
    <t xml:space="preserve">(b) The Sectoral Mobility Investment Program shall be prepared in consultation with the Authority;</t>
  </si>
  <si>
    <t xml:space="preserve">I left the Score blank for two reasons.
(1) SCALE-MISMATCH. The rubric bands run 0 / 2.5 / 5 / 7.5 / 10, but the Max Score is 5. The top band is not the Max Score and is not a sum of components. Under the v2 rules I cannot rescale the bands myself; the team needs to confirm the scale.
(2) No BMTC-to-city-government duty was found, but absence is not proven either. I checked the Step 2 answer against BMTC-23 (BMLTA Act 2022, PRS copy):
- s.24(b) says the Sectoral Mobility Investment Program 'shall be prepared in consultation with the Authority'. 'The Authority' is BMLTA, a state body, not the city government.
- s.24(c): BMLTA folds these programmes into the City Mobility Investment Program 'with or without modification'.
- s.25(2): BMLTA reviews and approves the Annual Implementation Plan.
- s.21(2) first proviso: other authorities planning for urban mobility 'shall necessarily consult the Authority', which again means BMLTA.
None of these duties runs to the Greater Bengaluru Authority (GBA) or the City Corporations. City-government officials sit on BMLTA, according to the Step 2 reading of the 2026 amendment to s.4 and s.12; I did not re-verify that in this pass. Even so, a seat on a state-chaired coordinating body is not ULG approval, joint preparation or direct consultation in the rubric's sense. So the evidence supports no band above 0.
A 0 needs affirmative absence, and the Citation Sheet does not allow it. These are missing:
- BMTC's constituting instruments: the Road Transport Corporations Act 1950 and the notification establishing BMTC. BMTC-46, the 'Rules And Regulations' page, returned only site navigation and policy boilerplate, with no legal text.
- Rules and Regulations made under the BMLTA Act. s.24 says the programmes are prepared 'as specified in the regulations'.
- The Greater Bengaluru Governance Act, 2024.
- Any GO on BMTC planning.
I also checked:
- BMTC-25 (Karnataka Town and Country Planning Act, as excerpted): it gives BMTC no coordination duty.
- BMTC-13, 36, 41 and 44: service, resources, RTI and contact pages, not law.
For a human scorer to confirm:
(a) the scale;
(b) whether consultation with BMLTA, which includes GBA and City Corporation members, counts as coordination with the city government;
(c) whether Sectoral Mobility Investment Programs and Annual Implementation Plans count as 'spatial and/or sectoral plans';
(d) adding BMTC's parent law, the BMLTA Regulations and the GBA Act to the Citation Sheet.
BMTC-23 is a PRS secondary copy and may not include every amendment.</t>
  </si>
  <si>
    <t xml:space="preserve">Bengaluru – BDA</t>
  </si>
  <si>
    <t xml:space="preserve">ANSWER: BDA has no general legal duty to prepare its plans together with the city government. Its Act gives the city government (the 'Corporation') a role only at the development-scheme level and the layout level. (1) Development schemes, BDA Act s.17(2)-(4) and s.18(1): the Corporation must be sent the scheme notification, may send representations within 30 days, and its concurrence is deemed given if it does not reply. BDA must consider the representations before sending the scheme to the Government for sanction, and the Government decides. This is mandatory consultation whose response must be considered, with deemed-concurrence wording. (2) Layouts, BDA Act s.32(1) provisos: BDA cannot sanction a layout or extension inside Corporation limits without the Corporation's concurrence, and disagreements go to the Government. This covers layout sanction, not BDA's own plans. For the master plan, the Karnataka Town and Country Planning (KTCP) sections read here give the Corporation no role. The 2024 Greater Bengaluru Act (GBA Act) now makes the Greater Bengaluru Authority (GBA) the Planning Authority for the Greater Bengaluru Area. That may move master-plan making from BDA to the city government. | EVIDENCE: Parastatal side, BDA-02 (BDA Act 1976, PRS consolidated copy): s.17(2) 'A copy of the said notification shall be sent to the Corporation which shall, within thirty days ... forward to the Authority for transmission to the Government ... any representation which the Corporation</t>
  </si>
  <si>
    <t xml:space="preserve">The Bangalore Development Authority Act, 1976 (Karnataka Act 12 of 1976) – consolidated text with amendments, PRS Legislative Research [BDA-02]</t>
  </si>
  <si>
    <t xml:space="preserve">https://prsindia.org/files/bills_acts/acts_states/karnataka/1976/1976Karnataka12.pdf</t>
  </si>
  <si>
    <t xml:space="preserve">(2) A copy of the said notification shall be sent to the Corporation which shall, within thirty days from the date of  receipt thereof, forward to the Authority for transmission to the Government as hereinafter  provided, any representation which the Corporation may think fit to  make with regard to the scheme.</t>
  </si>
  <si>
    <t xml:space="preserve">SCORE LEFT BLANK. Reason 1, SCALE-MISMATCH: the rubric bands run 0/2.5/5/7.5/10, but the Max Score is 5. Under the v2 rule I can't rescale it myself. Reason 2: it is unclear which plans the question covers. The Step 2 answer checks out against the sources.
What the sources show:
(a) Development schemes, BDA-02: s.17(2) says a copy of the scheme notification 'shall' be sent to the Corporation, which can send representations within 30 days. Under s.17(4), if it doesn't reply, its concurrence is 'deemed to have been given'. Under s.18(1), BDA must consider the representations before submitting the scheme to the Government for sanction. On its own this fits the 7.5 band on the 0-10 rubric (mandatory consultation, response must be considered). The deemed-concurrence wording could arguably be read toward 10, but the Government sanctions the scheme and the Corporation can't block it, so 7.5 is the better fit.
(b) Layouts, s.32(1) provisos: BDA needs the Corporation's concurrence to sanction a layout, but this is about approving other people's layouts, not about preparing BDA's own plans.
(c) Master plan, BDA-03 (KTCP Act, PRS copy amended up to Act 38 of 2015): s.9(1) says the planning authority 'shall' prepare and publish the master plan and send it to the State through the Director. s.10 provides for public notice and suggestions, and s.13-D for revision. None of the KTCP sections I read gives the city government a consultation or concurrence role. I could not see KTCP s.4C (who sits on a Planning Authority) or the full s.13 in the passages returned, so I can't confirm that the city government has no role at all at master-plan level.
(d) BDA-11 (Greater Bengaluru Governance Act 2024, Act 36 of 2025): it makes the Greater Bengaluru Authority the Planning Authority under the KTCP Act 'notwithstanding anything contained in any other law' (planning functions (2)(a)). Under s.15(1) it is responsible for the master plan. That may take master-plan making away from BDA.
Raw band: 7.5 on the 0-10 rubric, at development-scheme level only.
For the team to confirm:
(1) How to convert the 0-10 rubric to the Max Score of 5. A straight halving would give 3.75, which is not one of the bands.
(2) Whether development schemes count as 'spatial and/or sectoral plans' for this question.
(3) Whether 'Corporation' in the BDA Act now means the GBA or the City Corporations. No substitution is shown in any source on the sheet.
(4) How BDA's s.81-B Planning Authority status fits with the GBA Act clause.
All Act texts are PRS republications. No Rules or regulations made under the BDA Act or the KTCP Act are in the Citation Sheet.</t>
  </si>
  <si>
    <t xml:space="preserve">Bengaluru – BMRCL</t>
  </si>
  <si>
    <t xml:space="preserve">ANSWER: Not determinable from the Citation Sheet. None of the instruments in the sheet requires BMRCL to prepare its own spatial or sectoral plans (metro network, corridor or project plans) together with the ULG (GBA and its City Corporations). No instrument requires ULG approval or concurrence, joint preparation, or mandatory or discretionary consultation with the ULG before BMRCL adopts a plan. The ULG side does give GBA general powers over BMRCL: GBA Act s.14(4) names BMRCL among the public authorities whose activities GBA integrates and supervises, and GBA can issue binding directions that BMRCL must obey. Under s.15(5), GBA 'may' assign the planning of major infrastructure projects to such agencies, and they are bound to assist. These are ULG powers to supervise and direct. They are not a duty on BMRCL to plan in coordination with the ULG, and it is unclear whether the rubric credits them (CONFIRM). BMRCL's own planning-consultation duty runs to BMLTA, a state transport authority, not to the ULG. BMRCL's founding instruments (Memorandum and Articles of Association) and the central metro laws are not in the sheet, so a 0 ('no formal role') cannot be confirmed. | EVIDENCE: (1) Parastatal side: BMRCL has no Act of its own. BMRCL-01 (Annual Report 2020-21) shows it is a Government Company under s.2(45) of the Companies Act, 2013, a 50:50 joint venture of the Government of India and the Government of Karnataka, governed by its Memorandum and Articles of Association. The MoA/A</t>
  </si>
  <si>
    <t xml:space="preserve">The Greater Bengaluru Governance Act, 2024, Act No. 36 of 2025 (PRS India copy) [BMRCL-34]</t>
  </si>
  <si>
    <t xml:space="preserve">The Greater Bengaluru Authority may assign the task of planning the major infrastructural projects in the Greater Bengaluru Area to such public authorities or any other agencies, bodies carrying out civic functions in the Greater Bengaluru Area or take such assistance from these agencies as is necessary for successful execution of the projects. The agencies shall be bound to assist the Greater Bengaluru Authority when called up on to do so.</t>
  </si>
  <si>
    <t xml:space="preserve">I left the score blank for three reasons. (1) SCALE-MISMATCH: the rubric bands run 0/2.5/5/7.5/10 but the Max Score is 5. No band matched, so there is no raw value to record. The team needs to confirm the scale. (2) RUBRIC-GAP: none of the sources I read puts a duty on BMRCL to prepare its plans with the city government (ULG: GBA and its City Corporations). I found no requirement for ULG approval or concurrence, joint preparation, or consultation, whether mandatory or discretionary. What the GBA Act gives is the ULG's own powers over BMRCL. Under s.14(4), GBA integrates and supervises BMRCL, which is named, and BMRCL must obey its binding directions. However, the duty to write GBA's coordinating role into the Memorandum of Association covers only BESCOM and BMTC, not BMRCL. Under s.15(5), GBA 'may' assign the planning of major projects to public authorities, and they must assist. Under s.14(2)(a), GBA is the Planning Authority under the Karnataka Town and Country Planning Act. These are powers to supervise and direct. They are not a requirement on BMRCL's own plan preparation, so they do not cleanly fit the 10, 7.5, 5 or 2.5 bands. The team should confirm whether they count as coordination under this question. Under the BMLTA Act (BMRCL-35), s.21(2) proviso, BMRCL must consult BMLTA, a state body, not the ULG. The BBMP Mayor and Commissioner sit on the BMLTA board (s.10), but that is ULG membership of a state authority, not a consultation duty owed to the ULG. That Act also still names BBMP, and no official source shows GBA or the City Corporations were substituted. The Metro Rail Policy 2017 (BMRCL-18) is a Government of India policy and only advisory. (3) Affirmative absence cannot be established, so I cannot score 0. I checked BMRCL-34, 35, 31, 18, 15, 46 and 01. The Metro Railways (Operation and Maintenance) Act 2002 (BMRCL-15), in the parts I read, has no provision for consulting the local authority on planning; its s.86 covers directions from the Central Government only. But the sheet lacks BMRCL's Memorandum and Articles of Association, the Metro Railways (Construction of Works) Act 1978, any Rules or Regulations under the BMLTA and GBA Acts, and a full read of the Karnataka Town and Country Planning Act for provisions on transport agencies. Step 2 said the Operation and Maintenance Act was not in the sheet; it is (BMRCL-15), but it does not change the result. The GBA Act text used is a PRS secondary copy; the Amendment Bill (BMRCL-46) changes only s.8(2) and s.14(1). Era: after GBA replaced BBMP.</t>
  </si>
  <si>
    <t xml:space="preserve">Bengaluru – BMRDA</t>
  </si>
  <si>
    <t xml:space="preserve">ANSWER: The sources in the Citation Sheet do not show any duty for BMRDA to prepare its Structure Plan (its main spatial plan) or any sectoral plan in coordination with the ULG (the Greater Bengaluru Authority (GBA) or its City Corporations). They show no ULG approval or concurrence, no joint preparation, and no required consultation for the Structure Plan. The ULG has formal ties to BMRDA only in other ways: (a) a seat on BMRDA's board, which still names the 'Mayor, Corporation of the City of Bangalore', plus four local-authority members whom the Government appoints; (b) a duty on the Corporation to invite BMRDA's Metropolitan Commissioner to its meetings. Under the T&amp;CP Act the planning link runs the other way: the ULG's master plan goes to the State through BMRDA, and BMRDA reviews it. I cannot call this a 0 (no formal role), because the Rules, Regulations and recent amendment Acts are not in the sheet and have not been read. | EVIDENCE: PARASTATAL SIDE - BMRDA Act 1985 (BMRDA-08). s.9(1)(ii) lists as a function 'to prepare a structure plan for the development of the Bangalore Metropolitan Region'. No procedure is given, and there is no step to consult, seek concurrence from, or get approval from local authorities. s.9(1)(iv)-(v): BMRDA formulates schemes and 'secure[s] and co-ordinate[s] execution of the town planning scheme'. s.9(1)(viii): BMRDA may 'entrust to any local authority the work of execution of any development plan'. s.9(1)(ix): BMRDA is 'to co-ordinate the ac</t>
  </si>
  <si>
    <t xml:space="preserve">Step 2's citation is no longer in the reviewed Citation Sheet. Step 2 cited BMRDA-08, which is no longer a reviewed, verified Citation Sheet row. Run Step 2 again.</t>
  </si>
  <si>
    <t xml:space="preserve">UPD1b</t>
  </si>
  <si>
    <t xml:space="preserve">Has the ULG participated in the parastatal’s plan-making process?</t>
  </si>
  <si>
    <t xml:space="preserve">ANSWER: The only record of ULG involvement in BWSSB plan-making in the Citation Sheet is old, from the BBMP era, and covers one project. On 22 August 2017 BWSSB held a stakeholders' meeting on the planned JICA Phase 3 Water Supply and Sewerage Project for the 110 Villages. BBMP, the ULG at the time, was one of the 'concerned authorities' among the 125 participants. BWSSB explained the outline of the projects and the implementation plan, and participants 'promised to cooperate'. The sources do not show that BBMP was specifically asked for inputs, that it gave any, or that BWSSB considered or answered them. No evidence was found for the Water Supply and Sewerage Master Plan. Nothing was found for any current cycle involving the Greater Bengaluru Authority (GBA) or its City Corporations. The question is answered only in part: one old, project-level engagement with the predecessor ULG. | EVIDENCE: (1) BWSSB-23 (JICA Phase 3 Final Report, Nov 2017), s.14.12 'Stakeholders' Meeting', p.135: 'BWSSB held stakeholders' meeting on August 22, 2017 for planned Water Supply and Sewerage Project for the 110 Villages... concerned authorities (BDA, BBMP, Pollution Control Board, etc.)... BWSSB explained the outline of the projects and implementation plan... The participants welcomed the projects... and promised to cooperate'. The minutes are said to be in the Supporting Report, which is not in the Citation Sheet. (2) BWSSB-22 (JICA Main Report, Nov 2017), s.3.3 and s.4.7.1: a BWSSB Water Supp</t>
  </si>
  <si>
    <t xml:space="preserve">JICA – Bengaluru Water Supply and Sewerage Project (Phase 3) Final Report (sewerage / O&amp;M volume) [BWSSB-23]</t>
  </si>
  <si>
    <t xml:space="preserve">https://openjicareport.jica.go.jp/pdf/12300364_04.pdf</t>
  </si>
  <si>
    <t xml:space="preserve">The number of the participants was 125 persons which were consisted of concerned authorities (BDA, BBMP, Pollution Control Board, etc.) and representatives from the 110 Villages. In the meeting BWSSB explained the outline of the projects and implementation plan.</t>
  </si>
  <si>
    <t xml:space="preserve">Score left blank for a person to decide, for three reasons. (1) SCALE-MISMATCH: the rubric bands are 0, 2.5, 5 and 10, but the Max Score is 5. The top band is neither the Max Score nor a sum of parts, so the rules say not to score it. Best-fit raw band on the 0-10 scale: 2.5, 'limited or informal engagement'. Please confirm how 0-10 maps onto Max 5 (for example, whether raw 2.5 means 1.25 or 2.5). (2) Not the latest cycle: the question asks about the 'latest available plan-making cycle'. The only evidence is a stakeholders' meeting on 22 Aug 2017 (BWSSB-23, s.14.12, as quoted). BBMP, the ULG at the time, was one of the 'concerned authorities' among 125 participants. BWSSB explained the outline and implementation plan of the JICA Phase 3 project for the 110 Villages, and participants 'promised to cooperate'. This is a project briefing from the BBMP era. It does not show BBMP was invited to give inputs (the 5 band), or that any inputs were considered (the 10 band). The minutes are in the JICA Supporting Report, which is not in the Citation Sheet, so the band cannot be confirmed. A later planning cycle exists: BWSSB-12 says the CWSS Stage VI DPR is 'under preparation'. Nothing in the sheet shows a ULG role in it, or any GBA or City Corporation participation. BWSSB-22 (Nov 2017) records that the BWSSB Water Supply and Sewerage Master Plan, contracted in 2015 and partly drafted in 2016-17, 'has not been approved officially'. The discussions it records were among JICA, the consultants and BWSSB only; no BBMP role is shown. (3) A score of 0 cannot be given: there is no affirmative absence, because no Master Plan documents, Stage VI DPR consultation records or GBA/Corporation resolutions are in the sheet. Other citations Step 2 reviewed: BWSSB-22, BWSSB-12, BWSSB-32 (2016 exposure visits for corporators, which were awareness-raising, not plan-making), BWSSB-29 and BWSSB-30 (GBA Act and Amendment Bill: no participation records), BWSSB-28 (KTCP Act, which covers Planning Authority master plans, not BWSSB plans) and BWSSB-25. BWSSB-04 (FAOLEX copy of the BWSSB Act, s.14 Consultative Committee) is a blocked mirror. It was used only as a lead, and in any case it is law, not evidence of what happened in practice. I checked Step 2's quote against BWSSB-23 and it matches the source. ERA: the evidence is from the BBMP era. The handover to GBA and the City Corporations is not verified in the sheet. RTI-TARGET: BWSSB PIO (Chief Engineer, Planning), for records of consultation with BBMP, GBA or the City Corporations on the Master Plan and the CWSS Stage VI DPR, 2015 to present.</t>
  </si>
  <si>
    <t xml:space="preserve">Insufficient Evidence</t>
  </si>
  <si>
    <t xml:space="preserve">Step 2 found no evidence: a source needs to be found and added. Step 2 found no evidence (Insufficient Evidence). Source needed: BMTC's latest plan document (e.g. a corporate or business plan, fleet or route rationalisation plan, Sectoral Mobility Investment Program or Annual Implementation Plan submitted to BMLTA), with its preparation or consultation record. Also BMTC board minutes, or BMLTA or GBA meeting minutes, showing city-government input on BMTC plans. GBA or City Corporation council resolutions or comments on BMTC plans. The GBA Act, to establish the current city-government structure.</t>
  </si>
  <si>
    <t xml:space="preserve">Step 2 found no evidence: a source needs to be found and added. Step 2 found no evidence (Insufficient Evidence). Source needed: Records from BDA's latest plan-making cycle (e.g. the most recent revised master plan / development plan for the Bangalore Development Area, or any GBA-era plan if BDA still has a role). These include the plan report's chapter on stakeholder consultation; letters inviting BBMP/GBA/City Corporation comments; BBMP/GBA council or standing-committee resolutions or comments on the draft plan; minutes of BDA board meetings that consider city government input (the BBMP/Corporation Commissioner is an ex officio member); and BDA's response or modification statement under KTCP Act s.13(2). The team also needs to confirm whether BDA still prepares plans now that GBA is the Planning Authority.</t>
  </si>
  <si>
    <t xml:space="preserve">Step 2 found no evidence: a source needs to be found and added. Step 2 found no evidence (Insufficient Evidence). Source needed: Records from the latest BMRCL plan-making cycle: the newest DPR or phase proposal with its stakeholder or inter-agency consultation chapter; BMRCL Board or Project Management Committee minutes showing ULG representation or inputs; BBMP, GBA or City Corporation council or standing-committee resolutions, or letters commenting on metro alignments, station plans or TOD plans; BMRCL's documented responses to ULG inputs; any joint ULG–BMRCL planning committee record.</t>
  </si>
  <si>
    <t xml:space="preserve">Step 2 found no evidence: a source needs to be found and added. Step 2 found no evidence (Insufficient Evidence). Source needed: Records from BMRDA's latest plan-making cycle showing ULG involvement: a stakeholder consultation report or annexure listing meetings with BBMP/GBA/City Corporations; minutes of BMRDA Authority or technical committee meetings on the structure plan; BBMP/GBA council or standing-committee resolutions or written comments on the draft plan; BMRDA's responses to those comments; the final or government-approved Revised Structure Plan and its approval notification; any later BMRDA regional plan cycle for the GBA era.</t>
  </si>
  <si>
    <t xml:space="preserve">UPD2a</t>
  </si>
  <si>
    <t xml:space="preserve">Where multiple statutory or sectoral plans apply to the same territory, is the water board mandated to ensure consistency with the applicable metropolitan/regional or city master plan/strategic plan for the city?</t>
  </si>
  <si>
    <t xml:space="preserve">2.5</t>
  </si>
  <si>
    <t xml:space="preserve">ANSWER: None of the Citation Sheet sources requires BWSSB to make its water supply or sewerage plans or schemes consistent with the master plan or the metropolitan development plan. Nor do they say BWSSB 'may' or 'shall have regard to' such a plan. The BWSSB Act says nothing on this. Only two other mechanisms touch it. (1) The Karnataka Town and Country Planning Act s.14(1) is a general development-control rule: 'every development' in a master-plan area 'shall conform' to the Master Plan. It controls physical development. It does not deal with BWSSB's sectoral plans, and it does not name BWSSB. (2) The Greater Bengaluru Governance Act gives the city government (GBA) binding coordination and direction powers over BWSSB. Those powers belong to GBA. They do not put a duty of plan consistency on BWSSB. A score of 0 cannot be confirmed because BWSSB's Rules and Regulations are not in the Citation Sheet. Whether s.14(1) counts as plan consistency is a judgement call, so no score is given. | EVIDENCE: BWSSB SIDE - BWSSB Act 1964 (BWSSB-04): s.15(1) gives a general duty to supply water and provide sewerage in the Bangalore Metropolitan Area. s.15(2)(b),(c) require it 'for preparing and carrying out schemes' for water supply and sewerage. The proviso (Act 6 of 1966) says no scheme costing more than Rs 1 crore 'shall be carried out by the Board except with the approval of the State Government'. That is approval by the State, not a master-plan test. s.15(3) sets what a scheme must conta</t>
  </si>
  <si>
    <t xml:space="preserve">The Karnataka Town and Country Planning Act, 1961 (Karnataka Act 11 of 1963), with amendments appended up to Act 38 of 2015 (PRS Legislative Research copy) [BWSSB-28]</t>
  </si>
  <si>
    <t xml:space="preserve">https://prsindia.org/files/bills_acts/acts_states/karnataka/1963/1963KR11.pdf</t>
  </si>
  <si>
    <t xml:space="preserve">every land use, every change in land use and every development in the area covered by the plan subject to section 14-A shall conform to the provisions of this Act, the Master Plan and the Report, as finally approved by the State Government under sub-section (3) of section 13.</t>
  </si>
  <si>
    <t xml:space="preserve">I left the score blank. The 2.5 and 1.25 bands do not fit the evidence, and a 0 cannot be shown.
(1) THE PARASTATAL ACT IS MISSING. The scoring rule says to review the parastatal Act, the BWSSB Act 1964. It is not one of the Citation Sheet sources for this agency. The sources are BWSSB-12, 22, 23, 25, 28, 29, 30 and 32. The Step 2 answer used BWSSB-04, a FAOLEX copy. That is a blocked legal mirror and it is not in the list I was given. So I cannot check the Act's provisions on plans and schemes (s.14, s.15) from the sheet. BWSSB's Rules and Regulations are also not in the sheet. Absence is therefore not confirmed for every layer, so no 0.
(2) T&amp;CP SIDE: KTCP Act s.14(1), in the PRS copy amended up to Act 38 of 2015. It uses 'shall conform', but it is a general rule controlling physical development. Explanation (a) defines 'development' as building or other operations on land. It does not name BWSSB and does not ask for BWSSB's water or sewerage plan to be consistent with the Master Plan. The scoring rule's 2.5 example is a water supply plan that 'shall conform' to the Master Plan. s.14(1) does not clearly meet that, so I did not award 2.5. s.12(1)(e) only has the master plan reserve land for utilities. Searching the sheet for 'public authority plan consistent with master plan' found nothing more specific.
(3) ULG SIDE: Greater Bengaluru Governance Act (GBGA) 2024, Karnataka Act 36 of 2025, gazette text of 24.04.2025, GBA era.
- s.14(3)(b): GBA issues binding directions when coordinating the execution of schemes that implement GBA's plans.
- s.14(4): public authorities, BWSSB included, 'shall cooperate ... and obey its directions'.
- s.15(1): the duty to 'incorporate the infrastructure development plan prepared by the Greater Bengaluru Authority' falls on the City Corporations only. It does not apply to BWSSB.
The direction power belongs to the city government (GBA). It is not a duty on BWSSB to keep its plans consistent, and obeying directions is a different thing from a plan-conformity mandate. The 2025 Amendment Bill (BWSSB-30) changes ss.8 and 14(1) only.
FOR A PERSON TO CHECK:
(a) Add an official Karnataka copy of the BWSSB Act 1964 (DPAL or eGazette) and its Rules and Regulations. If they are read and show no 'shall' or 'may' consistency provision, record 0.
(b) Methodology call: does KTCP s.14(1), as applied to BWSSB's physical works, count as the 2.5 band? Does the GBGA s.14(3)(b) and s.14(4) duty to obey GBA directions count at all?
(c) The sheet has no KTCP Rules and no KTCP amendments after 2015.</t>
  </si>
  <si>
    <t xml:space="preserve">UPD2b</t>
  </si>
  <si>
    <t xml:space="preserve">Where multiple statutory or sectoral plans apply to the same territory, does the water supply board ensure consistency with the applicable metropolitan/regional or city master plan/strategic plan for the city?</t>
  </si>
  <si>
    <t xml:space="preserve">ANSWER: The sources fall short of showing that BWSSB's current water or sewerage plan is consistent with the applicable master plan. The only planning document in the Citation Sheet is the JICA Phase 3 Final Report (November 2017), prepared by NJS Consultants for a BWSSB project. It is not BWSSB's own current water supply or sewerage master plan. That report: (i) describes BDA's Draft Master Plan 2015 and reproduces its proposed land-use map as background; (ii) takes the BDA 'Master Plan 2015' annual growth rate of 0.78% for the Core area; (iii) uses 110-Villages population figures agreed at a tripartite meeting of BDA, BBMP and BWSSB, adding population for BDA layouts in R.R. Nagar. On its own terms this is closest to the 1.25 band: the plan refers to the master plan and uses its population figures. However, the report does not show that master-plan growth areas or land-use zones decide where the network expands or where major facilities go. Its land-use reasoning for project sites is that they sit on BWSSB facility land, public roads or vacant public land. Because the document is a 2017 donor project report and not the Board's current plan, no score is proposed. | EVIDENCE: Plan side, BWSSB-22 (JICA Phase 3 Final Report, Nov 2017): Section 2.4.2 Future Land Use, pp. 2-56/2-57: 'The Draft Master Plan - 2015, prepared under the KTCP Act, covers a Local Planning Area of 1,306 km2'; Figure 2.4.2 'Proposed Land Use Map' is sourced from 'Draft Master Plan - 2015, Bengaluru Develo</t>
  </si>
  <si>
    <t xml:space="preserve">JICA – Bengaluru Water Supply and Sewerage Project (Phase 3), Final Report (Main Report), November 2017 [BWSSB-22]</t>
  </si>
  <si>
    <t xml:space="preserve">https://openjicareport.jica.go.jp/pdf/12300356_01.pdf</t>
  </si>
  <si>
    <t xml:space="preserve">1) Core Area: The growth rate shall be fixed through the future with a lower rate under the saturated con-
ditions at present. The annual growth rate is assumed at 0.78 by BDA “Master Plan 2015” for the d</t>
  </si>
  <si>
    <t xml:space="preserve">I left the score blank because the Citation Sheet does not contain the document this question needs: BWSSB's own current water supply/sewerage master plan or equivalent. This is an Implementation question about current practice. The only planning evidence is BWSSB-22, the JICA Phase 3 Final Report (Nov 2017) by NJS Consultants. It is a feasibility report for a donor-funded project, written in the BBMP era, so it is historical only.
What BWSSB-22 actually shows (I checked it against the source):
(a) It describes BDA's Draft Master Plan 2015 under the KTCP Act and reproduces its proposed land-use map as background (Section 2.4.2, Fig 2.4.2).
(b) It takes the 0.78% annual growth rate for the Core area from BDA's 'Master Plan 2015' (Section 5.1.5).
(c) It uses 110-Villages growth rates agreed by BDA, BBMP and BWSSB at a tripartite meeting (Table 5.1.10 note: 19 Aug 2014). It also adds population for BDA layouts in R.R. Nagar.
(d) ULB growth rates come from the DPR and NMT reports, not from the master plan.
(e) The density 'catalysts' (Metro, BDA housing, ring road) come from BWSSB's draft master-planning criteria of 27 May 2016, not from the statutory master plan.
There is nothing showing that master-plan growth areas or land-use zones decide where the network expands or where major facilities go. The only land-use reasoning for sites is the environmental screen in BWSSB-23: Stage V sites are on BWSSB land, public roads or vacant land.
On its content alone, this would fit the 1.25 band: it refers to the master plan and uses some of its projections, but does not show spatial siting by the plan. However, it is not the Board's current plan. The report itself says BWSSB's own water supply and sewerage master plan was still a draft and had not been officially approved; that master plan is not in the Sheet.
A score of 0 is not possible because absence cannot be shown: the Board's current plan and the current statutory master plan text are missing. I checked BWSSB-12 (undated CE presentation: demand to 2051, no master-plan reference), BWSSB-22, BWSSB-23, BWSSB-28 (KTCP Act, ss.12, 13-C, 13-D), BWSSB-29 (GBA Act ss.14(2), 14(4), 15(1)), BWSSB-30 and BWSSB-32. I found no other water planning document.
FOR A PERSON TO DECIDE:
(1) Does a 2017 JICA project report count as an 'equivalent sectoral planning document' for current practice? If yes, 1.25 is the supportable band.
(2) Which master plan applies now: BDA RMP 2015, or a GBA/BMPC plan under GBA Act s.14(2)/s.15(1)?
(3) Get the current BWSSB water and sewerage master plan from the BWSSB PIO (Chief Engineer, Planning).
Quality check (not scored): no land-use conversion or regularisation records for STPs, WTPs or trunk lines are in the Sheet.</t>
  </si>
  <si>
    <t xml:space="preserve">UPD2c</t>
  </si>
  <si>
    <t xml:space="preserve">Where multiple statutory or sectoral plans apply to the same territory, is the transport corporation mandated to ensure consistency with the applicable metropolitan/regional or city master plan/strategic plan for the city?</t>
  </si>
  <si>
    <t xml:space="preserve">ANSWER: Not determined. The sources do not show a provision requiring BMTC to make its own plan consistent with the city, metropolitan or regional master plan. Two provisions come close. (1) The Bengaluru Metropolitan Land Transport Authority (BMLTA) Act binds 'Urban Transport Agencies', which on its definition likely includes BMTC. It requires their Sectoral Mobility Investment Programs to align with the goals of the Comprehensive Mobility Plan (CMP), which uses the word 'shall'. But the CMP is a transport plan prepared by BMLTA, not a statutory master plan. The link to the master plan is only indirect: BMLTA must prepare the CMP 'in conjunction with ... the land use plan'. (2) Under the Karnataka Town and Country Planning (KTCP) Act, s.14(1), every development in the planned area must conform to the Master Plan. That covers individual developments, not plans. BMTC's own constituting law is not in the Citation Sheet, so the parastatal side of the law cannot be fully checked. | EVIDENCE: BMLTA Act 2022 (Karnataka Act 6 of 2023), BMTC-23: s.2(ff) defines 'Urban Transport Agency' as 'both the private and public agencies engaged in providing of Urban Mobility'. The preamble names BMTC among the agencies responsible for urban mobility. s.24(a): 'The Sectoral Mobility Investment Program shall be aligned with the goals of the Comprehensive Mobility Plan'. s.24(b): these programs are prepared 'in consultation with the Authority'. s.25: Annual Implementation Plans are based on the Ci</t>
  </si>
  <si>
    <t xml:space="preserve">(a) The Sectoral Mobility Investment Program shall be aligned with the goals of the Comprehensive Mobility Plan;</t>
  </si>
  <si>
    <t xml:space="preserve">I left the score blank. The closest provision is a mandatory duty to align with a transport plan, not with a master plan, and the team needs to rule on scope.
(1) What I found, BMLTA Act 2022 (Karnataka Act 6 of 2023), BMTC-23, a PRS copy:
- s.24(a) says the Sectoral Mobility Investment Program 'shall be aligned with the goals of the Comprehensive Mobility Plan'.
- s.25(1)(c) says extra projects in the Annual Implementation Plan 'shall align with the Comprehensive Mobility Plan goals'.
- The first proviso to s.21(2) says plans by any other authority 'shall be in compliance with the Urban Mobility policies of the Authority'. That refers to policies, not the master plan.
All of these use 'shall'.
(2) The scope problem:
- The Comprehensive Mobility Plan (CMP) is defined in s.2(h) as a 'policy document' on urban mobility. It is prepared by BMLTA and approved by the State Government under s.21(4).
- In effect it is a statutory transport (sectoral) plan for the metropolitan region. It is not the master plan made under the Karnataka Town and Country Planning (KTCP) Act.
- The CMP is linked to land use only through BMLTA's own duties. BMLTA prepares the CMP 'in conjunction with ... the land use plan' (s.21(2)), and the Planning Authority must take the CMP into account in the master plan (s.22).
- Neither provision puts a duty on BMTC to make its own plan consistent with the master plan.
- If the team treats the CMP as the 'applicable metropolitan ... strategic plan', s.24(a) would support 2.5. If not, no BMTC-side plan-to-master-plan provision has been found.
(3) Is BMTC covered at all? The Act never names BMTC.
- s.2(ff) defines an 'Urban Transport Agency' as 'both the private and public agencies engaged in providing of Urban Mobility'. BMTC is covered only by inference from this.
- Under s.24, the agencies whose investment programs count are those 'as specified in the regulations'. No BMLTA Regulations are in the Citation Sheet.
- The Act comes into force only when notified (s.1(3)). No commencement or constitution notification is in the sheet.
- Amendment Act 10 of 2026 is appended but I did not fully review it.
(4) KTCP Act (BMTC-25):
- s.14(1) requires each development to conform to the Master Plan. That covers developments, not BMTC's plans, so it does not settle the question.
- The KTCP Rules are not in the sheet.
(5) Why not 0: I cannot show affirmative absence. BMTC's own law is not in the Citation Sheet. That is the Road Transport Corporations Act and the notification constituting BMTC. BMTC-46, its Rules and Regulations page, gave only navigation and boilerplate, no text of those instruments. The BMLTA Regulations and the Greater Bengaluru Governance Act are also missing.
The team needs to confirm:
- the plan scope (does the CMP count?);
- that BMTC is an Urban Transport Agency, and whether the Regulations name it;
- that the BMLTA Act is in force;
- any provision in BMTC's own law.
The text used is the PRS copy, a secondary source, as enacted (Gazette 12.01.2023), with the 2026 amendment appended. Era: n/a.</t>
  </si>
  <si>
    <t xml:space="preserve">UPD2d</t>
  </si>
  <si>
    <t xml:space="preserve">Where multiple statutory or sectoral plans apply to the same territory, does the transport corporation ensure consistency with the applicable metropolitan/regional or city master plan/strategic plan for the city?</t>
  </si>
  <si>
    <t xml:space="preserve">Step 2 found no evidence: a source needs to be found and added. Step 2 found no evidence (Insufficient Evidence). Source needed: Needed: BMTC's own current network, route-rationalisation or expansion plan, or its depot and Traffic and Transit Management Centre (TTMC) siting plan, or a BMTC annual report or board resolution that cites the statutory master plan's growth corridors, land use or population projections as inputs. Also: the full text of the Bengaluru CMP 2020 (bus chapter) with any master plan references; the current notified BDA master plan (RMP 2015, or a later revised plan if one is in force); and the BDA or Urban Development Department land-use change orders or G.O.s for major BMTC depots and terminals.</t>
  </si>
  <si>
    <t xml:space="preserve">UPD3a</t>
  </si>
  <si>
    <t xml:space="preserve">Is the water supply board mandated to consider the needs of women, the urban poor and other vulnerable groups in decisions relating to access, affordability and delivery of water and sanitation services?</t>
  </si>
  <si>
    <t xml:space="preserve">ANSWER: Partly. In the copy of the BWSSB Act in the Citation Sheet, s.15 gives the Board a universal-access duty: it 'shall' plan piped water to every part of the Bangalore Metropolitan Area that has houses, and non-piped supply where piping is not practicable. That duty is limited by 'reasonable cost' and 'as far as possible' wording. The Act names no women, urban poor, slum, EWS or disability groups. It has no affordability or lifeline-tariff duty: s.16 is a cost-recovery rule. The only provision on public supply, s.38 free public supply, uses 'may'. The 2002 State Urban Drinking Water and Sanitation Policy adds a commitment to a minimum 'life line' supply for the poor and to subsidies for pockets of extreme poverty. That commitment covers tariffs and subsidies only, and it is a policy statement ('will'). It is not clear whether this adds up to equity requirements across core access and delivery decisions (5) or requirements limited to particular services or groups (2.5). Both sources are also on blocked mirror sites. No score is proposed. | EVIDENCE: (1) BWSSB Act 1964 (BWSSB-04, FAOLEX copy): s.15(1): the Board 'shall be charged with the general duty of providing a supply and improving the existing supply of water'. s.15(3)(a): a supply scheme 'shall inter alia make provision' for piped wholesome water 'to every part of the Bangalore Metropolitan Area in which there are houses', but the Board is not required to do anything 'not practicable at a reasonable cost'. s.15(3)(b</t>
  </si>
  <si>
    <t xml:space="preserve">Step 2's citation is no longer in the reviewed Citation Sheet. Step 2 cited BWSSB-04, which is no longer a reviewed, verified Citation Sheet row. Run Step 2 again.</t>
  </si>
  <si>
    <t xml:space="preserve">UPD3b</t>
  </si>
  <si>
    <t xml:space="preserve">Does the water supply board actually consider the needs of women, the urban poor and other vulnerable groups in decisions relating to access, affordability and delivery of water and sanitation services?</t>
  </si>
  <si>
    <t xml:space="preserve">ANSWER: I could not establish this for the current period. The only evidence of equity measures is a JICA project report from November 2017, prepared for BWSSB, using BWSSB data from 2016. It shows (i) an affordability measure: free water from public taps for the 'slum group' and a flat 56 INR/month water charge for the 'poor group' without a meter; and (ii) a planning/coverage measure: slum population is counted separately in the water demand projection, at 30 lpcd (litres per person per day) through point-source supply. That would fit Component 1 (both parts) as of 2016-17, but it is not the Board's current water supply plan, and nothing shows the measures still apply. For Component 2 (gender and accessible design), no specific measure for women, persons with disabilities or the elderly was found in the Citation Sheet. Because the Board's current plan, tariff order and design standards are not in the sheet, this is 'not found', not 0. | EVIDENCE: Parastatal side: (1) BWSSB-23 (JICA Phase 3 Final Report, sewerage/O&amp;M volume), s.16.3.1, Table 16.3.2 (p.16-13), source 'BWSSB': 'Slum group; free charge, Poor group; flat charge 56 INR'. The text adds that 'people in the slum group, who belong to the lowest income group, use free water from public taps', and that the poor group is 'uniformly billed the fixed monthly charge of 70 INR (flat charge without water meter)' (56 water + 14 sewerage). The same volume has a heading '16.7.6 Installation of Water Meters to Poor'; its text wa</t>
  </si>
  <si>
    <t xml:space="preserve">I left the score blank. This is an Implementation question about the Board's CURRENT water supply plan, and the Citation Sheet has no current-period evidence for either component.
Component 1 (affordability and coverage), 2016-17 evidence only:
- Affordability: BWSSB-23 s.16.3.1 / Table 16.3.2 (source BWSSB) shows the 2014 tariff structure. Water from public taps is free for the 'slum group'. The 'poor group' pays a flat 56 INR/HH water charge plus 14 INR/HH sewerage, without a meter.
- Coverage: BWSSB-22 (Tables 5.6.x) counts slum population separately in the demand projection, at 30 lpcd from point-source supply. This is a JICA Survey Team modelling assumption. It also assumes slum population falls to 50% by 2034 and to zero by 2049.
- Together these would support C1 = 2.5, but only for 2016-17. Both reports are consultant-prepared (NJS for JICA, Nov 2017). They are not a BWSSB-adopted current plan, and nothing in the sheet shows the free-tap or flat-rate categories still apply.
- BWSSB-23 s.16.3.3(3) also says BWSSB 'shall' meter public faucets and start charging the Social Development Unit. That points away from free supply going forward, so the current status is unknown.
- I re-read the passages on public faucets and the Social Development Unit. The 'Division for Social and Community Development' in Table 17.3.1 is only a JICA recommendation.
- I tried to read s.16.7.6 ('Installation of Water Meters to Poor'), but read_citation did not return its text.
Component 2 (gender and accessible design): not found.
- I searched the whole sheet for women, persons with disabilities, accessible taps and design. The only hits were ULG functions in the GBA Act (BWSSB-29 Schedule I and s.99, social welfare) and generic environmental appraisal items in BWSSB-23. Neither is a BWSSB design or operational measure.
- BWSSB-25 (KarnatakaOne) is a bill-payment page only. BWSSB-12 and BWSSB-32 (PAC 2016) describe usage, not equity provisions.
- I cannot record affirmative absence: BWSSB's current master plan or DPR, current tariff notification, connection-concession orders and design standards are not in the sheet. So C2 is 'not found', not 0.
The Step 2 answer is consistent with what the sources say.
For the team to confirm or obtain:
(1) Can a 2017 JICA report serve as the 'current plan'? If so, C1 = 2.5 and C2 still needs evidence.
(2) The current BWSSB tariff order, to check for slum, BPL or free-water categories.
(3) Any GESI or accessible-design standards for public water points (an RTI to the BWSSB PIO could get these).</t>
  </si>
  <si>
    <t xml:space="preserve">The AI's citation or quote failed the check. The AI's quote couldn't be found word for word in BWSSB-23, so its answer was discarded. AI comments: I left the score blank. This is an Implementation question about the Board's CURRENT water supply plan, and the Citation Sheet has no current-period evidence for either component.
Component 1 (affordability and coverage), 2016-17 evidence only:
- Affordability: BWSSB-23 s.16.3.1 / Table 16.3.2 (source BWSSB) shows the 2014 tariff structure. Water from public taps is free for the 'slum group'. The 'poor group' pays a flat 56 INR/HH water charge plus 14 INR/HH sewerage, without a meter.
- Coverage: BWSSB-22 (Tables 5.6.x) counts slum population separately in the demand projection, at 30 lpcd from point-source supply. This is a JICA Survey Team modelling assumption. It also assumes slum population falls to 50% by 2034 and to zero by 2049.
- Together these would support C1 = 2.5, but only for 2016-17. Both reports are consultant-prepared (NJS for JICA, Nov 2017). They are not a BWSSB-adopted current plan, and nothing in the sheet shows the free-tap or flat-rate categories still apply.
- BWSSB-23 s.16.3.3(3) also says BWSSB 'shall' meter public faucets and start charging the Social Development Unit. That points away from free supply going forward, so the current status is unknown.
- I re-read the passages on public faucets and the Social Development Unit. The 'Division for Social and Community Development' in Table 17.3.1 is only a JICA recommendation.
- I tried to read s.16.7.6 ('Installation of Water Meters to Poor'), but read_citation did not return its text.
Component 2 (gender and accessible design): not found.
- I searched the whole sheet for women, persons with disabilities, accessible taps and design. The only hits were ULG functions in the GBA Act (BWSSB-29 Schedule I and s.99, social welfare) and generic environmental appraisal items in BWSSB-23. Neither is a BWSSB design or operational measure.
- BWSSB-25 (KarnatakaOne) is a bill-payment page only. BWSSB-12 and BWSSB-32 (PAC 2016) describe usage, not equity provisions.
- I cannot record affirmative absence: BWSSB's current master plan or DPR, current tariff notification, connection-concession orders and design standards are not in the sheet. So C2 is 'not found', not 0.
The Step 2 answer is consistent with what the sources say.
For the team to confirm or obtain:
(1) Can a 2017 JICA report serve as the 'current plan'? If so, C1 = 2.5 and C2 still needs evidence.
(2) The current BWSSB tariff order, to check for slum, BPL or free-water categories.
(3) Any GESI or accessible-design standards for public water points (an RTI to the BWSSB PIO could get these).</t>
  </si>
  <si>
    <t xml:space="preserve">UPD4a</t>
  </si>
  <si>
    <t xml:space="preserve">Is the transport corporation mandated to consider the mobility needs of women, the urban poor and other vulnerable groups in planning and delivering public transport services?</t>
  </si>
  <si>
    <t xml:space="preserve">Step 2 found no evidence: a source needs to be found and added. Step 2 found no evidence (Insufficient Evidence). Source needed: BMTC's constituting instrument (the law it was set up under and its Karnataka establishment notification) and any BMTC regulations; Karnataka Government Orders setting up free or concessional bus travel for women, students, senior citizens and persons with disabilities that apply to BMTC; BMTC fare and pass policy notifications; Motor Vehicles Act and Karnataka MV Rules provisions on accessible buses, women's safety features or reserved seating; Rights of Persons with Disabilities Act and Karnataka rules as applied to public transport; any rules or regulations under the BMLTA Act; the official Gazette notification bringing the BMLTA Act into force, and an official (gov.in) copy of the Act's text.</t>
  </si>
  <si>
    <t xml:space="preserve">UPD4b</t>
  </si>
  <si>
    <t xml:space="preserve">Does the Transport Corporation actually consider the needs of women, the urban poor and other vulnerable groups in decisions relating to access, affordability and delivery of public transport services?</t>
  </si>
  <si>
    <t xml:space="preserve">ANSWER: Partly answered. The Citation Sheet shows one affordability measure for an identified group: BMTC sells senior-citizen passes at a lower price than the regular passes, and it offers student passes. The sheet has nothing on the rest of the question. It contains no BMTC route or coverage commitment for a named vulnerable group (low-income or peripheral areas, informal settlements, last-mile links). It also contains no BMTC measures on women's safety, gender screening or accessible design (CCTV, panic buttons, low-floor buses, ramps, priority seating). Women, the urban poor and persons with disabilities do appear in the sheet, but only in third-party recommendations or in the law setting up a different body (BMLTA), never as a BMTC decision or service measure. | EVIDENCE: (1) BMTC-13, KarnatakaOne portal run by the Government of Karnataka (EDCS, DPAR), BMTC Services page. The page says BMTC offers an 'exhaustive range of monthly passes and student passes'. It lists 'Black Board Pass Rs 725/-' against 'Sr. Citizen Black Board Pass Rs 650/-', and 'Pushpak Pass Rs 925/-' against 'Sr. Citizen Pushpak Pass Rs 830/-'. The page adds: 'The rates of passes are subjected to change in future.' This is an affordability measure for elderly persons. No student pass rate is given. (2) BMTC-22, Janaagraha financial brief based on BMTC's Annual Administration Report 2016-17. It mentions 'annual fare subsidies received from the state government', a travel subsidy series (Rs 87-211 crore, </t>
  </si>
  <si>
    <t xml:space="preserve">BMTC Services (monthly and concessional passes) – KarnatakaOne portal, Government of Karnataka [BMTC-13]</t>
  </si>
  <si>
    <t xml:space="preserve">https://www.karnatakaone.gov.in/Info/Public/BMTC</t>
  </si>
  <si>
    <t xml:space="preserve">Black Board Pass Rs 725/-
 Sr. Citizen Black Board Pass Rs 650/-</t>
  </si>
  <si>
    <t xml:space="preserve">I left the score blank. The Citation Sheet only partly answers the question, and none of the missing parts can be scored 0 because absence is not proven.
Component 1(i), fare concessions: some evidence is present. BMTC-13 is a Government of Karnataka KarnatakaOne page, last reviewed 14 July 2026. It lists a cheaper senior-citizen pass ('Sr. Citizen Black Board Pass Rs 650/-' against Rs 725/-, and 'Sr. Citizen Pushpak Pass Rs 830/-' against Rs 925/-). It also says BMTC offers 'student passes'. That is a fare concession for an identified group (elderly persons). The rates are undated, the page says they 'are subjected to change', and this is a state portal listing rather than a BMTC fare order.
Component 1(ii), route or coverage measures for a named vulnerable group: not found.
Component 2, women's safety, gender screening and accessible design: not found.
What I checked:
- BMTC-13: pass rates only.
- BMTC-46 (BMTC website 'Rules and Regulations' page): only website boilerplate and policies (hyperlink, privacy, security, screen-reader access). Nothing on fares, safety or bus design.
- BMTC-23 (BMLTA Act): its disability clause is a duty on BMLTA's Comprehensive Mobility Plan, not on BMTC. It is a law, not evidence of what BMTC does.
- BMTC-25 (KTCP Act): not relevant.
- I searched the whole sheet for women, safety, CCTV, panic buttons, disability, low-floor buses and free travel. The only hits were unrelated passages in BMTC-23 and BMTC-25.
- BMTC-36, BMTC-41 and BMTC-44 are a resources page, the RTI portal and a contact page. I did not read them in full, and the sheet-wide search returned nothing from them on these terms.
The sheet does not contain BMTC's own key documents: fare and concession orders (for example women's free travel, students, persons with disabilities), its annual report, bus procurement or design specifications, route-rationalisation or feeder plans, or the current Comprehensive Mobility Plan. So Component 1(ii) and Component 2 are 'not found', not affirmatively absent. Scoring 1.25 would wrongly count them as 0.
The Step 2 answer also cites BMTC-22, 34, 37, 38, 39 and 40, which are not in this agency's source list. I did not use them.
For a human scorer: on the evidence here, Component 1 would be at least 1.25. To settle the rest, obtain BMTC's current concession and free-travel orders, bus fleet specifications (low-floor buses, CCTV, panic buttons) and feeder or peripheral route plans, for example through an RTI request to BMTC's Public Information Officer.</t>
  </si>
  <si>
    <t xml:space="preserve">UPD5a</t>
  </si>
  <si>
    <t xml:space="preserve">Is the water supply board mandated to consider environmental sustainability in planning and delivering water and sanitation services?</t>
  </si>
  <si>
    <t xml:space="preserve">ANSWER: Not determinable from acceptable sources, so no score is proposed. The only text of the BWSSB Act on the Citation Sheet is a FAOLEX copy. FAOLEX is a blocked legal mirror, and this copy is only amended up to Act 18 of 1984. It contains no general duty to consider environmental sustainability. It does contain function-specific provisions: on sewage treatment before discharge, on preventing waste, misuse and contamination of water, and on keeping pollutants out of sewers. If these were confirmed in an allowed official text, they would point to the 2.5 band ('limited to particular functions… or environmental concerns'), not 5. The 2002 State policy sets a sustainability objective, but the copy on the sheet is from a blocked mirror and the wording is a general objective. Later Act amendments, Rules, regulations, bye-laws and groundwater law are not on the sheet. | EVIDENCE: (1) BWSSB Act 1964 (BWSSB-04, FAOLEX copy, 'As amended by Karnataka Acts 6 of 1966, 10 of 1966 and 18 of 1984'). s.15(1)-(3), the general duties, are about supply, 'sufficiency and wholesomeness' of water, and sewerage/sewage disposal schemes; they say nothing on sustainability, conservation or source protection. s.74, second proviso: 'no sewage shall be discharged into any water-course until it has been … treated in such manner as may be prescribed in the bye-laws'. This is a 'shall' rule, but it only applies from a date the Board appoints. s.49: 'No person shall' let water fittings cause water to be </t>
  </si>
  <si>
    <t xml:space="preserve">UPD5b</t>
  </si>
  <si>
    <t xml:space="preserve">Does the water supply board actually consider environmental sustainability in planning and delivering water and sanitation services?</t>
  </si>
  <si>
    <t xml:space="preserve">ANSWER: The Citation Sheet has strong signs that BWSSB builds environmental measures into its water and sewerage operations. These cover source diversification, rainwater harvesting, NRW reduction, wastewater reuse, drought-related lake filling and an STP that generates power. None of this comes from the source the methodology asks for: the Board's own latest water supply or sanitation plan, or its annual report. The key source is an undated presentation by a BWSSB Chief Engineer, hosted on a domain that is not on the allow-list. The JICA report is a 2017 consultant document. So I have not proposed a score. | EVIDENCE: (1) BWSSB-12, Chief Engineer presentation (AMDA-hosted, undated). Component 1, source measures: p14 lists 'BWSSB's ACTIONS TO MITIGATE WATER DEMAND', including 'RAIN WATER HARVESTING IN MEGA-SCALE', 'CIRCULAR WATER SUPPLY USING LAKE WATER TREATMENT' and 'ARKAVATHI RIVER REJUVENATION TO USE T.G. HALLI AS WATER SOURCE WITH YETHINAHOLE WATER'. p24: rainwater harvesting made mandatory for prescribed buildings 'by 31st July 2023', with '1.88 Lakhs buildings RWH installed'. p31: Jakkur AWTP to treat lake water 'blended with Cauvery water, thus reducing the dependency on fresh water'. Component 1, loss reduction: p14 lists 'Non Revenue Water (NRW) REDUCTION IN DISTRIBUTION' and p11 reports 'Non Revenue Water (NRW) 28%'. This source gives no numeric NRW target. Component 2: p12 gives sewage generation of 1480 MLD and treatment capacity of 1381 MLD. p15: '850 MLD out of</t>
  </si>
  <si>
    <t xml:space="preserve">Presentation by Chief Engineer, BWSSB – Water Sensitivity (AMDA) [BWSSB-12]</t>
  </si>
  <si>
    <t xml:space="preserve">https://amdaindia.org/wp-content/uploads/Presentation-by-Chief-Engineer-Bangalore-Water-Supply-and-Sewerage-Board-WATER-SENSITIVITY-MS-3rd-PPT-Part-II.pdf</t>
  </si>
  <si>
    <t xml:space="preserve">850 MLD out of 1300 MLD treated waste water is being reused.</t>
  </si>
  <si>
    <t xml:space="preserve">I left the score blank. I checked Step 2 against the source, and BWSSB-12 does say what Step 2 reports.
Component 1 (source management and loss reduction):
- Source measures (p14): rainwater harvesting 'in mega-scale', lake-water treatment for circular supply, and Arkavathi/T.G. Halli rejuvenation using Yettinahole water.
- p31: the Jakkur AWTP would blend treated lake water with Cauvery water to reduce dependence on fresh water.
- p24: rainwater harvesting made mandatory by 31 July 2023, with 1.88 lakh buildings covered.
- Loss reduction: p14 lists 'NRW REDUCTION IN DISTRIBUTION' and p11 gives a 28% baseline. BWSSB-12 has no numeric target.
- The only NRW targets in the sheet are in the 2017 JICA consultant report, BWSSB-23: p247 'reduction of NRW to 20% in next 10 years' and the action-plan row of 2% a year.
Component 2 (wastewater, reuse, resilience, energy):
- p15: 850 of 1300 MLD of treated wastewater is reused, with named tertiary-water users and secondary-treated water used to fill lakes in Kolar and Chikkaballapur.
- p19: tariffs for recycled water.
- p22: K&amp;C Valley STP generates power.
- p36: wastewater-treatment gap analysis to 2025.
- p37: treatment to NGT tertiary norms, lake filling for drought management, and flash-flood control.
- p38: BWSSB design parameters for treated sewage.
If this source were accepted, the content would point to 2.5 + 2.5 = 5. That is not a proposed score.
Why I left it blank:
1. The methodology asks for 'the Board's latest water supply plan' (or annual report or programme documents). BWSSB-12 is a presentation, not a plan.
2. It is undated. Its content suggests about 2023: it cites the 31 July 2023 deadline and augmentation 'during 2024'.
3. It is hosted on amdaindia.org. That is not a .gov.in/.nic.in domain, BWSSB's own domain or PRS, so it fails the allow-list.
4. The other sources do not fill the gap. BWSSB-22 and BWSSB-23 are 2017 JICA consultant reports; BWSSB-22 itself says its master plan was not officially approved. BWSSB-32 is a 2016 PAC assessment. BWSSB-25 (KarnatakaOne) is only a bill-payment page. BWSSB-28, 29 and 30 are laws or bills, which do not show implementation.
5. No source in the sheet is a current, Board-issued plan or annual report from an official domain.
A score of 0 is not justified: the evidence points to positive measures, so there is no affirmative absence.
For the reviewer:
(a) Decide whether the Chief Engineer presentation can stand in for the Board's plan.
(b) Get an official copy (BWSSB domain or a .gov.in site) of BWSSB's current water supply/sewerage master plan, business plan or annual report, an NRW programme with targets, and documents on the treated-water reuse scheme.
(c) Confirm the date of BWSSB-12.
(d) Decide whether NRW reduction listed as a Board 'action' with a 28% baseline counts as a programme without a current numeric target.
Suggested RTI to the PIO, BWSSB.</t>
  </si>
  <si>
    <t xml:space="preserve">UPD6a</t>
  </si>
  <si>
    <t xml:space="preserve">Is the transport corporation mandated to consider environmental sustainability in planning and delivering urban transport services and investments?</t>
  </si>
  <si>
    <t xml:space="preserve">ANSWER: Only partly answered, and indirectly. The one binding instrument in the Citation Sheet that touches BMTC on this point is the Bengaluru Metropolitan Land Transport Authority (BMLTA) Act, 2022. It does not place a general environmental duty on BMTC. It places duties on all 'Urban Transport Agencies'. The Act defines these as public and private agencies providing urban mobility in the region; it names BMTC in its Statement of Objects and makes BMTC's MD a member of the Authority. Those duties tie BMTC's investment planning to the Comprehensive Mobility Plan and to 'sustainable urban transport'. The Act defines that term narrowly, as reducing private-vehicle use and increasing use of public transport and walking/cycling. I found nothing explicit on emissions, cleaner vehicles or fuels, energy efficiency, climate resilience or environmental impact assessment that binds BMTC. BMTC's own parent Act and any BMTC Rules, policies or orders are not in the Sheet, so the question cannot be fully answered. | EVIDENCE: (1) BMLTA Act 2022 (BMTC-23, PRS copy). s.2(ff): 'Urban Transport Agency' means 'both the private and public agencies engaged in providing of Urban Mobility'. s.2(aa): 'Sustainable Urban Transport' means 'projects conceived to reduce the use of private vehicles and increase the use of public transport and non-motorised modes'. s.2(h): the Comprehensive Mobility Plan (CMP) is a policy document for 'safe, clean and efficient urban transport' under an 'integrated land u</t>
  </si>
  <si>
    <t xml:space="preserve">These additional projects shall align with the Comprehensive Mobility Plan goals and promote sustainable urban transport.</t>
  </si>
  <si>
    <t xml:space="preserve">I left the score blank. On the evidence in the Sheet the nearest band is 2.5, but a person needs to confirm it.
WHAT THE SHEET SHOWS (BMLTA Act 2022, Karnataka Act 6 of 2023, as enacted, PRS copy, BMTC-23). The Act imposes binding 'shall' duties on all 'Urban Transport Agencies'. BMTC is named in the Act's recitals as one of the urban mobility agencies.
- s.24(a): each agency's Sectoral Mobility Investment Program 'shall be aligned with the goals of the Comprehensive Mobility Plan'.
- s.25(1)(c): additional projects in the Annual Implementation Plan 'shall align with the Comprehensive Mobility Plan goals and promote sustainable urban transport'.
- s.14(1)(e): agencies 'shall be bound by such standards issued by the Authority'.
- s.14(1)(a): the Authority's duty is to promote sustainable urban transport and integrate land use with transport planning.
- s.2(aa) defines 'Sustainable Urban Transport' narrowly: projects that reduce private vehicle use and increase public transport and walking/cycling.
What these provisions cover:
- Two of the methodology's elements: public and non-motorised transport priority, and land use–transport integration.
- Only investment programmes and added projects. Day-to-day service delivery is not covered.
- No explicit duty on emissions, cleaner vehicles or fuels, energy efficiency, climate resilience or environmental impact assessment.
- Schedule (3) calls non-motorised transport 'green' modes, but that is a definition, not a duty.
This fits 'limited to specific modes, projects or environmental objectives', so 2.5.
WHY BLANK RATHER THAN 2.5.
(1) Layers missing from the Sheet that could raise the score to 5:
- BMTC's constituting law (the Road Transport Corporations Act, 1950 is only named, in s.2(s), not provided).
- Any BMTC rules or regulations. BMTC-46 is titled 'Rules And Regulations', but the text I could read is only website boilerplate (policies, help, screen readers).
- Any rules or regulations under the BMLTA Act.
- The texts of the CMP 2020, TOD Policy and Parking Policy (BMTC-36 only lists them).
- Any Karnataka EV or clean-fuel orders that bind BMTC.
(2) No source in the Sheet shows that the Act has commenced (s.1(3)) or that the Authority has been constituted (s.4).
(3) Whether duties on 'Urban Transport Agencies' count as a mandate on BMTC itself is a judgement call.
(4) The only legal text is a PRS copy (secondary).
I also checked BMTC-25 (Karnataka Town and Country Planning Act), BMTC-13, BMTC-41 and BMTC-44, and searched the whole Sheet for environment, pollution, emissions, electric and clean fuel. Nothing binds BMTC on environmental matters. A score of 0 would be wrong in any case, because positive evidence exists.
FOR THE PERSON SCORING:
- If the missing layers stay unavailable and you accept the BMLTA Act as BMTC's mandate, enter 2.5.
- Check the Act's commencement and whether the Authority has been constituted.
- Check whether references to BBMP in the Act have been replaced by the Greater Bengaluru Authority.</t>
  </si>
  <si>
    <t xml:space="preserve">UPD6b</t>
  </si>
  <si>
    <t xml:space="preserve">Does the transport corporation actually considers environmental sustainability in planning and delivering urban transport services and investments?</t>
  </si>
  <si>
    <t xml:space="preserve">ANSWER: The Citation Sheet does not show that BMTC itself considers environmental sustainability in its current planning. It has no BMTC fleet plan, route or network plan, environmental or sustainability policy, or annual report. The only evidence of practice is a third-party roadmap by UITP and ICCT from August 2023, with a November 2022 baseline. It reports that BMTC has started buying cleaner buses (e-buses and BS-VI diesel buses). It does not show any emissions or efficiency target adopted by BMTC. It also does not show modal-integration or demand-side measures inside BMTC's own planning framework. Neither component can be determined from BMTC's own documents. | EVIDENCE: (1) BMTC-39, UITP Working Paper (August 2023): (a) p.5 says 1,941 buses were contracted for deployment in 2023: 1,101 12m Non-AC electric buses under FAME-II and 840 BS VI diesel buses. It adds: 'BMTC procured 300 e-buses under the scheme in 2021-22 out of which about 180 buses will be deployed in 2023.' (b) In its introduction it says BMTC and the Karnataka government have 'shown several intents' to phase out BS-II and BS-III buses. Its source for BMTC's plan to 'procure only electric buses from 2024' is a news report. (c) p.17 makes this a recommendation, not an adopted policy: 'BMTC needs to take a policy decision to procure only electric buses from 2024'. (d) The 40% electric fleet by 2030 is a scenario modelled by UITP and ICCT (Section 6), not an emissions target adopted by BMTC. (e) The 2030 fleet</t>
  </si>
  <si>
    <t xml:space="preserve">Step 2's citation is no longer in the reviewed Citation Sheet. Step 2 cited BMTC-39, which is no longer a reviewed, verified Citation Sheet row. Run Step 2 again.</t>
  </si>
  <si>
    <t xml:space="preserve">DPG1a</t>
  </si>
  <si>
    <t xml:space="preserve">Does the legal framework clearly demarcate the functions/responsibilities of the parastatal vis-à-vis the ULG?</t>
  </si>
  <si>
    <t xml:space="preserve">ANSWER: The Greater Bengaluru Governance Act, 2024 (the ULG law) does not clearly separate BWSSB's water and sewerage role from the city corporations' role. Schedule I lists water supply and liquid waste management as core functions of the city corporations, without excluding BWSSB. The Act gives the GBA power to supervise and direct BWSSB, but it does not say which part of water supply or sewerage belongs to BWSSB and which to the corporations. On the ULG side this points to Scenario B: the function is fully assigned to the ULG and the parastatal also delivers it. The BWSSB Act could not be checked properly. The only copy in the Citation Sheet comes from FAOLEX, which our source rules do not allow us to cite, so the carve-out test cannot be applied and no score is proposed. | EVIDENCE: ULG side (BWSSB-29, Greater Bengaluru Governance Act 2024, PRS copy). (1) Section 111(1): the City Corporation 'shall have the power and responsibility to prepare and implement schemes ... in relation to the matters enumerated in the First Schedule, subject to the provisions of this Act and the provisions of the other Acts'. The proviso makes it a 'duty' to provide services in the core functions. (2) Schedule I(1), Core Functions: '(v) Water supply for domestic, industrial and commercial purposes; (vi) Public health, sanitation including storm water drains, conservancy and solid and liquid waste management'. (3) Schedule I(3)(vii)(f): 'Maintenance of all public tanks and regulating the re exca</t>
  </si>
  <si>
    <t xml:space="preserve">(v) Water supply for domestic, industrial and commercial purposes; (vi) Public health, sanitation including storm water drains, conservancy and solid and liquid waste management;</t>
  </si>
  <si>
    <t xml:space="preserve">SCORE LEFT BLANK. What the ULG side shows: the Greater Bengaluru Governance Act, 2024 (BWSSB-29, a PRS copy, which is allowed but secondary) lists water supply as a core function of the City Corporations in Schedule I(1)(v): 'water supply for domestic, industrial and commercial purposes'. It covers sewerage only through the general words 'solid and liquid waste management' in Schedule I(1)(vi). Section 111(1) makes the corporations responsible for these functions, 'subject to ... the provisions of the other Acts'. Water supply is therefore assigned to the ULG, so Scenario A (5 points) does not apply. Nothing in Schedule I limits this to a sub-function such as distribution only. That points to Scenario B (fully devolved, and BWSSB also delivers it), not Scenario C. Section 14(4) gives the GBA binding power to supervise and direct BWSSB, and s.2(54) names BWSSB as a 'public authority'. Neither provision divides water or sewerage tasks between BWSSB and the corporations. What is missing: under Scenario B the score depends on whether the parastatal Act (the BWSSB Act, 1964) clearly separates its role from the ULG's. The Citation Sheet sources listed for this agency do not include any allowed copy of the BWSSB Act. The only copy found earlier was BWSSB-04, a FAOLEX copy that is blocked and not on this agency's list. My search of the sheet found only secondary descriptions (BWSSB-12, -22, -23, -32), which are not legal text. The BWSSB Rules and Regulations are also not in the sheet. So the carve-out test cannot be applied. A 0 would need proof that the content is absent, and I do not have it. A 5 has no supporting provision. The team should: (1) get an official .gov.in or e-Gazette copy of the BWSSB Act, 1964 as currently amended, especially s.15 (general duty), ss.36 and 38, ss.63-64 and s.128; (2) confirm whether the BWSSB Act's references to the 'Corporation' (meaning the 1949 BMP Act body) have been updated for the GBA Act corporations; (3) confirm whether the 'subject to ... other Acts' wording in s.111(1) separates the roles clearly or is only a general subordination clause; (4) confirm the GBA Act's commencement notification. The GBA (Amendment) Bill 2025 (BWSSB-30) does not change Schedule I or s.14(4). Scenario recorded: B on the ULG side, but this is provisional.</t>
  </si>
  <si>
    <t xml:space="preserve">Step 2 found no evidence: a source needs to be found and added. Step 2 found no evidence (Insufficient Evidence). Source needed: Two documents decide this question: (1) the city government law for the current era, i.e. the Greater Bengaluru Governance Act 2024 (current text incl. functions schedules and any transport, bus-shelter or public-transport duties, and any power to coordinate or supervise public authorities), plus the BBMP Act 2020 for the earlier era; (2) BMTC's parent instrument, i.e. the Road Transport Corporations Act 1950 (current text, esp. ss.3 and 18-19 on establishment, functions and powers) and the Karnataka Government notification establishing BMTC and its area of operation. Both should be official copies (state law department, eGazette or India Code full-text PDF). The full text of KSRTC Rules 1961 as applied to BMTC would complete the Rules layer.</t>
  </si>
  <si>
    <t xml:space="preserve">Scored by AI</t>
  </si>
  <si>
    <t xml:space="preserve">ANSWER: The law does not appear to clearly separate BDA's role from the city government's (ULG's). The Greater Bengaluru Governance Act gives the City Corporations, as a core function, 'Urban planning including town planning', land-use regulation and the 'Planned development of new areas for human settlement'. It also makes the Greater Bengaluru Authority (GBA) the Planning Authority under the Town and Country Planning Act and gives GBA binding supervision over BDA. The BDA Act gives BDA a broad mandate to develop the Bangalore Metropolitan Area through development schemes. It does not limit BDA to a particular aspect, area or scale of that function relative to the ULG. The best fit is Scenario B (function fully given to the ULG, and BDA also delivers it). The BDA Act has only a few points of contact with the Corporation, not a carve-out of functions. This points to the rubric's 0 band ('both Acts assign the same function with no distinction'). However, I have not proposed a score, because a 0 needs proof that nothing in the law separates the roles, and the BDA Act was not read in full. | EVIDENCE: City government side (BDA-11, GBA Act 2024, Karnataka Act 36 of 2025): s.111(1) says the City Corporation 'shall have the power and responsibility to prepare and implement schemes for urban development' on First Schedule matters, and it has a duty to deliver the core functions. Schedule I(1)(i) lists 'Urban planning including town planning' and (ii) 'Regulation of land-use ... and </t>
  </si>
  <si>
    <t xml:space="preserve">The objects of the Authority shall be to promote  and secure the development of the Bangalore Metropolitan Area</t>
  </si>
  <si>
    <t xml:space="preserve">Score is 0. The function is fully devolved to the city government (ULG), BDA also delivers it, and the BDA Act does not separate BDA's role from the ULG's. That is Scenario B.
Why the function is devolved: the Greater Bengaluru Governance Act 2024 (Karnataka Act 36 of 2025, BDA-11, GBA era) does this in s.111(1) ('The City Corporation shall have the power and responsibility to prepare and implement schemes for urban development…' on First Schedule matters). Schedule I lists (1)(i) 'Urban planning including town planning', (1)(ii) regulation of land use and construction of buildings, and (3)(i)(a) 'Planned development of new areas for human settlement'. Under s.14(2)(a), GBA, which is on the ULG side, is also the Planning Authority 'notwithstanding anything contained in any other law'.
Why there is no carve-out (BDA Act 1976, BDA-02, consolidated up to Act 42 of 2026): s.14 gives BDA the broad object of securing 'the development of the Bangalore Metropolitan Area'. Under s.15–16 its development schemes cover acquiring land, laying out land, streets, drainage, water supply, parks, civic-amenity land and housing across the whole Bangalore Metropolitan Area (s.2(c)), including land inside Corporation limits. The Act does not limit BDA to any aspect, area or scale of urban planning or development as against the ULG. The points where the two bodies meet do not divide the function:
- s.25 proviso: the Corporation is consulted.
- s.32(1) provisos: BDA sanctions layouts inside Corporation limits only with the Corporation's concurrence, and disagreements go to the Government. This is a shared, overlapping role.
- s.29: the Government may notify that the Corporation's own powers are exercised by BDA, and s.29(2) then removes them from the Corporation. This mechanism creates overlap.
- s.28A and s.30: BDA maintains streets it forms until they vest in the Corporation, which then maintains them. This is a handover sequence, not a split of the planning or development function. The Corporation is also assigned 'planned development of new areas' in its own Act.
The Statement of Objects (BDA-02 p.5-6) describes BDA as a single authority set up because 'development, planning, etc., are overlapping'. It does not show any division of roles with the ULG.
What I checked to establish that no carve-out exists:
- BDA Act s.2 (definitions, including 'Corporation' = 'Corporation of the City of Bangalore'), s.3, s.13, s.14–16, s.25–32, s.37–41, the arrangement of sections and the Statements of Objects.
- GBA Act s.8, s.14, s.15 and s.111, plus Schedule I as quoted in Step 2.
- KTCP Act s.81B (BDA-03), which names BDA as the Local Planning Authority. GBA Act s.14(2)(a) overrides this 'notwithstanding' other laws. That makes the overlap or conflict stronger and does not create a carve-out.
The rubric asks whether the carve-out is explicit 'in the Parastatal Act', so Act text decides it. The sheet has no BDA Rules or regulations and no GO allocating functions, but those would not supply a carve-out inside the Act.
For the team to check:
(a) The BDA Act still names the predecessor 'Corporation of the City of Bangalore' and the Karnataka Municipal Corporations Act 1976. No official source shows GBA or the City Corporations substituted. This weakens any claimed interface division further.
(b) The GBA Act's commencement date and its transitional or saving clauses about BDA were not found in the sheet. If a transitional provision or GO assigns a specific aspect to BDA, check the scenario again.
(c) Someone could argue that s.30 (BDA forms layouts, the Corporation maintains them) creates a split between creating and maintaining. I rejected that because the GBA Act gives the Corporation the creation side too ('planned development of new areas').
All texts are PRS republications (secondary), not official gazette copies.</t>
  </si>
  <si>
    <t xml:space="preserve">ANSWER: Not determined, so no score. Metro rail is not one of the City Corporations' assigned functions. However, the Greater Bengaluru Governance Act gives the Greater Bengaluru Authority (GBA, part of the city government) a binding power to coordinate and supervise BMRCL by name. It also makes GBA responsible for mobility plans. The GBA Act therefore has a claim over BMRCL's area of work, which points to Scenario B or C rather than A (no city-government claim). For B or C, credit depends on BMRCL's own founding instrument separating its role from the city government's. BMRCL is a company, not a body set up by a state Act. Its Memorandum of Association and the notifications applying the central Metro Acts to Bengaluru are not in the Citation Sheet, so BMRCL's assigned role cannot be checked for a clear, non-overlapping carve-out. | EVIDENCE: City-government side (BMRCL-34, GBA Act 2024, Act 36 of 2025, PRS copy): (1) Schedule I, Core Functions (s.111) lists 'Roads including flyover, underpass, subway...' (iv) and 'parking spaces for vehicles, bus stops' (xvii). It does not list metro, mass transit or public transport. (2) s.112(1): a City Corporation 'may', subject to cost underwriting and approval by the Central or State Government, undertake functions belonging to their domain, 'such functions may include... urban transport'. This treats urban transport as a State/Central function, not a devolved one. (3) s.14(4): GBA's 'Co-ordination and Supervision of Public Authorities'</t>
  </si>
  <si>
    <t xml:space="preserve">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t>
  </si>
  <si>
    <t xml:space="preserve">I left the score blank. The devolution scenario turns on a methodology question the team has not settled, and the carve-out test cannot be run because BMRCL's own founding instrument is not in the Citation Sheet.
What I checked in the city-government law (BMRCL-34, GBA Act 2024, Karnataka Act 36 of 2025, PRS copy, as enacted; GBA era; start date not shown in the sheet):
(1) Schedule I lists the City Corporations' functions under s.111. I read all of the Core Functions (i)-(xviii), all of the General Functions (i)-(xv) and the Sector-wise functions (i)-(xi). Metro rail, mass rapid transit and public transport appear nowhere. The nearest items are core (iv) 'Roads including flyover, underpass, subway...' and core (xvii) 'parking spaces for vehicles, bus stops'. Sector-wise (vi) Public Works covers roads only.
(2) Under s.112(1), a City Corporation 'may', with the cost underwritten and approved by the Central or State Government, take on functions 'belonging to the functional domain of the Central Government or the State Government', including 'urban transport'. So urban transport is treated as a State or Central function, not a devolved one.
Read against the rubric text alone, this points to Scenario A (not devolved), which would score 5.
Why I did not enter 5:
- s.14(4) gives the Greater Bengaluru Authority (GBA) a binding power to integrate, supervise and direct 'Bengaluru Metro Rail Corporation Limited' by name.
- s.15(1) makes GBA responsible for 'master plan and mobility plans'.
- s.8(3) makes GBA the coordinator 'among all the City Corporations and other agencies'.
- The Step 2 answer says the section guidance treats even a coordination or supervision role in the city-government law as Scenario B or C, not A. I cannot see that guidance in the sheet to confirm it.
- It is also unresolved whether GBA counts as part of the city government (ULG) at all. GBA is chaired by the Chief Minister and made up largely of state ministers and agency heads. The rubric's ULG may mean only the City Corporations.
- If GBA's role does trigger B or C, the score depends on whether BMRCL's own instrument explicitly carves out its role. BMRCL is a Companies Act company (BMRCL-01), not a body set up by a state Act. Its Memorandum and Articles of Association are not in the sheet. Neither are the notifications applying the Metro Railways (Operation and Maintenance) Act 2002 (BMRCL-15) or the Metro Railways (Construction of Works) Act 1978 to Bengaluru or naming BMRCL. So the carve-out test cannot be applied.
RUBRIC-GAP/CONFIRM for the team:
(a) Does GBA's coordination and supervision role under s.14(4) and s.15(1) make this Scenario B/C? If not, the evidence supports Scenario A and a score of 5.
(b) If B/C, which instrument stands in for the 'Parastatal Act': the MoA, or the central Metro Acts as applied to Bengaluru? That instrument needs to be sourced.
(c) Confirm that 'Bengaluru Metro Rail Corporation Limited' in s.14(4) is the same entity as 'Bangalore Metro Rail Corporation Limited' in BMRCL-01.
(d) Was the amendment Bill in BMRCL-46 (LA Bill 58 of 2025) enacted? It changes s.8(2) and s.14(1), not s.14(4).
I also reviewed BMRCL-35 (BMLTA Act; BMLTA is a state transport authority, not the city government), BMRCL-01 and BMRCL-15.</t>
  </si>
  <si>
    <t xml:space="preserve">ANSWER: No, the law does not clearly separate BMRDA's role from the city government's. BMRDA has a defined regional mandate: a survey and structure plan for the Bangalore Metropolitan Region, schemes and works, coordination, development permission and binding directions. But the city government's law also gives the city government (GBA and the City Corporations) urban planning, land-use regulation, planning-authority status and binding coordination and supervision powers over public authorities, all inside the same territory. The best fit is Scenario C (partially devolved). The city government's law assigns local and town planning and says municipal plans must be integrated 'with the district or regional development plan', which implies a separate regional tier. However, the two sets of assignments overlap in several places, so it may be Scenario B. Under either B or C the indicated band is 0. No score is proposed because of source-version and verification limits (see LIMITS). | EVIDENCE: BMRDA side, from the BMRDA Act 1985 (BMRDA-08, 'as amended by Act 8 of 2005'). The long title says the Authority is 'for the e purpose of planning, co-ordinating and supervising the proper and orderly development of the areas within Bangalore Metropolitan Region'. s.2(c) defines the Region as 'Bangalore District and Bangalore Rural District', which covers the whole Greater Bengaluru Area. s.9(1)(ii) gives the function 'to prepare a structure plan for the development of the Bangalore Metropol</t>
  </si>
  <si>
    <t xml:space="preserve">The Greater Bengaluru Governance Act, 2024 Act No. 36 of 2025 [BMRDA-10]</t>
  </si>
  <si>
    <t xml:space="preserve">the Greater Bengaluru Authority shall be the “Planning Authority” as defined under the Karnataka Town and Country Planning Act, 1961, for the areas comprising of the Greater Bengaluru Area;</t>
  </si>
  <si>
    <t xml:space="preserve">I left the score blank because the parastatal's own Act is not in the Citation Sheet.
1. Why the score can't be set: the method needs two Acts. Step 1 sets the devolution status from the city government's Act. Steps 2B and 2C then turn on whether the BMRDA Act itself separates BMRDA's role from the city government's ('explicit in the Parastatal Act'). The Step 2 answer relied on BMRDA-08 for the BMRDA Act 1985. BMRDA-08 is not in this Citation Sheet: read_citation returned 'No Citation Sheet source BMRDA-08'. It seems to have been dropped, likely because its host was unofficial (India Water Portal S3). The available IDs are BMRDA-01, 02, 04, 05, 10, 11, 12, 13 and 14. A search of the sheet for the BMRDA Act's functions and structure-plan provisions found only BMRDA-05, a draft structure-plan report on a third-party host. It also found BMRDA-11, the KTCP Act, and BMRDA-02, the website. Neither gives the text of s.9, s.10 or s.18 of the BMRDA Act. So I cannot check whether the BMRDA Act has a carve-out or simply overlaps.
2. Why I did not score 0: a 0 needs affirmative absence, meaning every relevant instrument was read, and the parastatal Act could not be read. No Rules, Regulations or s.10 notifications under the BMRDA Act are in the sheet either.
3. City-government side (BMRDA-10, PRS secondary copy, Act 36 of 2025, gazetted 24.04.2025, GBA era):
- s.14(2)(a), which starts 'Notwithstanding anything contained in any other law', makes GBA the Planning Authority under KTCP for the Greater Bengaluru Area.
- s.14(2)(c) sets up the BMPC for an area 'including but not limited to' the Greater Bengaluru Area.
- s.111 with Schedule I gives the City Corporations urban planning and land-use regulation, plus integration of their plans with the 'district or regional development plan'.
- s.223 requires the Corporations to follow KTCP and the Planning Authority on land use.
This points to Scenario C, possibly B; the team should confirm which.
4. Step 2 used the 'Corporation of the City of Bangalore' wording and s.9, s.10, s.18, s.28 and s.31 of the BMRDA Act. I could not check these against any citation in this sheet. The commencement date of the GBG Act is also not established; s.1(3) says it comes into force on a date the Government notifies.
5. Also check: LA Bill 55 of 2025 (BMRDA-12) is only a bill, and whether it was enacted is unknown.
To score this, the team needs an official copy of the current, consolidated BMRDA Act 1985 (from the DPAL or e-Gazette site, or PRS), including any amendments made in the GBA era. With that, decide B vs C and whether the BMRDA Act's assignments are explicit and non-overlapping.</t>
  </si>
  <si>
    <t xml:space="preserve">DPG1b</t>
  </si>
  <si>
    <t xml:space="preserve">Is the parastatal's territorial/geographic jurisdiction clearly and specifically defined in its enabling legal framework?</t>
  </si>
  <si>
    <t xml:space="preserve">ANSWER: The only copy of the BWSSB Act in the Citation Sheet does not define the Board's area with a boundary description, schedule or map. Section 2(1) defines the 'Bangalore Metropolitan Area' as 'the area of the Bangalore District urban', plus any adjacent areas the State Government adds by notification. The Board's duties under s.15 apply within that area. This names an existing district rather than relying only on a 'notified area', but it has no schedule or map, and the outer limit can be extended by notification. Nothing in the Sheet shows which notifications have been issued, so the current boundary is unknown. The city government law (Greater Bengaluru Governance Act, 2024) does not set BWSSB's area either. The provisional reading is the 2.5 band, but no score is proposed (see CONFIRM). | EVIDENCE: (1) Parastatal Act, BWSSB Act 1964 (BWSSB-04): s.2(1) defines the Bangalore Metropolitan Area ('area of the Bangalore District urban and includes such other areas adjacent thereto as the State Government may by notification from time to time specify'). s.15(1) gives the general duty of water supply and sewerage 'in the Bangalore Metropolitan Area'. s.26 and s.63 vest water works and sewers 'within the Bangalore Metropolitan Area' in the Board. s.27(1) lets the Board build works 'in any place in the State' to supply that area. The Act has one Schedule (under s.24), and it covers asset life, not territory. No territorial schedule or map was found. (2) City government law, Gr</t>
  </si>
  <si>
    <t xml:space="preserve">Step 2 found no evidence: a source needs to be found and added. Step 2 found no evidence (Insufficient Evidence). Source needed: Needed: (1) the Karnataka Government notification that established BMTC (and set its area of operation), with any later notifications or gazette orders changing that area; (2) the full text of the parent law BMTC is constituted under, reportedly the Road Transport Corporations Act, 1950 (the section on setting up a corporation for an area), from an official .gov.in/.nic.in source; (3) any Rules or Regulations covering BMTC's area of operation; (4) BMTC's official website page describing its jurisdiction or service area, as a cross-check of the current boundary; (5) the Greater Bengaluru Governance Act, 2024, for the ULG-side (municipal law) check the methodology requires; (6) the BDA Act, 1976, s.2(c) (Bengaluru Metropolitan Area), if BMTC's area is defined by reference to it.</t>
  </si>
  <si>
    <t xml:space="preserve">Answered — Verified Source</t>
  </si>
  <si>
    <t xml:space="preserve">ANSWER: Yes, but only in general terms. The BDA Act sets BDA's territorial jurisdiction as the 'Bangalore Metropolitan Area'. It defines that area by referring to boundaries set under two older statutes, plus any adjacent areas the State Government adds 'from time to time by notification'. The Act has no schedule, no boundary description and no map. That fits the 2.5 band ('defined only in general terms'), not the 5 band. | EVIDENCE: (1) BDA Act, 1976, s.2(c): 'Bangalore Metropolitan Area' means the City of Bangalore as defined in the City of Bangalore Municipal Corporation Act, 1949, the areas where the City of Bangalore Improvement Act, 1945 was in force just before this Act began, 'and such other areas adjacent to the aforesaid as the Government may from time to time by notification specify'. (2) s.3(1): the Government 'shall, by notification, constitute for the Bangalore Metropolitan Area an Authority to be called the Bangalore Development Authority'. (3) The arrangement of sections (ss.1-77) lists no schedule describing the area. The only schedule mentioned (s.49) is a schedule of officers and servants. (4) s.67 inserts s.81-B into the Karnataka Town and Country Planning Act, 1961. It makes BDA the local planning authority for the City of Bangalore 'with jurisdiction over the area which the City Planning Authority for the City of Bangalore had jurisdiction immediately before' BDA was constituted. This is again a definition by reference, with no description. (5) Amendment</t>
  </si>
  <si>
    <t xml:space="preserve">(c) ‘Bangalore Metropolitan Area’ means the area comprising the City of Bangalore as defined in the City of Bangalore Municipal Corporation Act, 1949 (Mysore Act 69 of 1949), the areas where the City of Bangalore Improvement Act, 1945 (Mysore Act 5 of 1945) was immediately before the commencement  of this Act in force and such other areas adjacent to the aforesaid as the Government may from time to time by notification specify;</t>
  </si>
  <si>
    <t xml:space="preserve">Score: 2.5 (jurisdiction defined only in general terms). I checked the Step 2 answer against the source and agree with it.
What the BDA Act says (BDA-02):
- Section 2(c) defines BDA's area, the 'Bangalore Metropolitan Area', only by pointing to boundaries set under two older statutes. One is the City of Bangalore Municipal Corporation Act, 1949. The other is the City of Bangalore Improvement Act, 1945, which the BDA Act's own s.76 repeals. The definition also covers 'such other areas adjacent ... as the Government may from time to time by notification specify'.
- The Act itself gives no boundary description, schedule or map. Its arrangement of sections (ss.1-77) lists no schedule describing the area.
- Section 3(1) constitutes BDA 'for the Bangalore Metropolitan Area'.
Other layers checked:
- Planning law (BDA-03, KTCP Act, 1961): s.81-B, inserted by BDA Act s.67, makes BDA the local planning authority over the area the old City Planning Authority covered just before BDA was constituted. That is again a definition by reference. KTCP s.4A(2) says every notification declaring a local planning area 'shall define the limits of the area'. That is a general rule for later notifications, not a schedule in the enabling Act.
- City government law (BDA-11, Greater Bengaluru Governance Act): s.2(30) defines the 'Greater Bengaluru Area' through a notification too. In the parts available, it does not redefine BDA's area.
- Neither the 2020 nor the 2026 amendment changes s.2(c) or s.3.
Why not 5 or 0: the Act has no specific boundary description, schedule or map, so the 5 band is not met. A definition does exist, so 0 does not apply.
For the team to check:
1. Whether a definition that relies on other statutes' city limits could count as a 'specific boundary description'. I read it cautiously as 2.5.
2. The Citation Sheet has no gazette notification under s.2(c) adding adjacent areas and no BDA jurisdiction map. The current boundary could not be cross-checked, but the score rests on the Act wording.
3. All legal texts are PRS copies (secondary source). Official gazette copies would be better.
4. The Act still uses the old names 'City of Bangalore' and 'Corporation'. No source in the sheet shows the Greater Bengaluru Authority or the City Corporations substituted for them.</t>
  </si>
  <si>
    <t xml:space="preserve">Step 2 found no evidence: a source needs to be found and added. Step 2 found no evidence (Insufficient Evidence). Source needed: Any one of these could decide the question: (1) BMRCL's Memorandum of Association (objects and area of operation); (2) the Gazette of India notification extending the Metro Railways (O&amp;M) Act, 2002 to the Bengaluru metropolitan area, and any notification under the Metro Railways (Construction of Works) Act, 1978 for Bengaluru, checking whether either has a boundary schedule or map; (3) any GoK order or gazette notice defining the metro project or corridor area; (4) BMRCL's official website page on its network or jurisdiction, to check the current position.</t>
  </si>
  <si>
    <t xml:space="preserve">ANSWER: Yes. Section 2(c) of the BMRDA Act, 1985 (as amended by Act 8 of 2005) defines BMRDA's territory by naming two whole districts: Bangalore District and Bangalore Rural District. It also lets the State Government add 'such other areas' by notification. The Act names specific administrative units, so this is more than a bare 'notified area' with no schedule, and it fits the 5 band. However, the current outer boundary partly depends on government notifications that are not in the Citation Sheet. | EVIDENCE: (1) BMRDA Act, 1985, s.2(c): "Bangalore Metropolitan Region" means the area comprising the Bangalore District and [Bangalore Rural District] and such other areas as the State Government may, from time to time, by notification, specify. The words 'Bangalore Rural District' were substituted by Act 8 of 2005 with effect from 23.03.2005. The Statement of Objects and Reasons for Act 8 of 2005 says the purpose was 'to confine the jurisdiction ... to Bangalore urban and rural districts by deleting Malur taluk of Kolar district'. Section 3(1) says the Authority is constituted 'for the Bangalore Metropolitan Region'. Sections 10 and 31 (the new s.81-C of the Town and Country Planning Act) tie its powers to the Region 'as defined in' the Act. (2) Rules and Regulations: the BMRDA home page (BMRDA-02) links the BMRDA Cadre and Recruitment Rules 2008 and the BMRDA Regulations of 1996, 1999 and 2000, but their texts are not in the Citation Sheet. No other instrument in the Sheet cha</t>
  </si>
  <si>
    <t xml:space="preserve">DPG2a</t>
  </si>
  <si>
    <t xml:space="preserve">Does the ULG have representation on the parastatal's governing board?</t>
  </si>
  <si>
    <t xml:space="preserve">ANSWER: Under the BWSSB Act text in the Citation Sheet (amended up to 1984), the city government has no seat on the BWSSB Board, and its elected councillors are barred from it. The State Government appoints all 3–7 members on the basis of their professional experience. Section 3(5) disqualifies anyone who is, or in the last 12 months was, a member of any local authority. The Act gives no ex-officio seat to the Corporation, its Commissioner, the Greater Bengaluru Authority (GBA) or the City Corporations. In practice, a 2017 JICA report says the Board then had 7 members 'including representatives from BBMP', but it does not say who they were, whether they were officials or elected members, or whether they could vote. The sheet has no current Board member list. The question cannot be settled or scored from these sources. | EVIDENCE: (1) Parastatal side – BWSSB Act 1964 (BWSSB-04): s.3(2) 'The Board shall consist of not less than three and not more than seven members appointed by the State Government'; s.3(3) members are chosen for experience in commercial and administrative matters, civil/public health engineering, and accounting/finance; s.3(4) the State appoints the Chairman; s.3(5) disqualifies a member of Parliament, the State Legislature 'or any local authority'; s.6(1)(d) allows removal of a member who 'becomes or seeks to become a member of ... any local authority'; s.14 sets up a separate Consultative Committee (advisory only: 'to advise the Board'). For it, the State ap</t>
  </si>
  <si>
    <t xml:space="preserve">Step 2 found no evidence: a source needs to be found and added. Step 2 found no evidence (Insufficient Evidence). Source needed: (1) Full text of the Road Transport Corporations Act, 1950, s.5 (board composition), current amended version, from an official copy such as India Code's PDF or the Karnataka Transport Department; (2) the Karnataka Government notification(s) constituting BMTC and nominating its directors, ideally the latest one, from the eGazette or Transport Department orders; (3) BMTC's current Board of Directors list with each director's designation, from BMTC's official website or its latest annual report or administration report; (4) the Greater Bengaluru Governance Act, 2024, to check for any provision giving the GBA or City Corporations a seat on BMTC's board.</t>
  </si>
  <si>
    <t xml:space="preserve">ANSWER: As written, the BDA Act gives the city corporation's elected councillors 2 voting seats on the BDA board. Section 3(3)(l) says the councillors of the Bangalore City Corporation elect 2 members from among themselves. Section 8(4) decides every question by majority vote of the members present and voting, and it does not exclude these members. The Corporation's Commissioner also sits ex-officio under s.3(3)(f), but he is an official, not an elected representative. Under the s.3(3)(l) proviso, while the Corporation is superseded or run by an Administrator, the 2 seats go to Corporation officers nominated by the Administrator, not to elected councillors. Two things are not settled by the sources. (1) No source here shows that these clauses now apply to the Greater Bengaluru Authority (GBA) or its City Corporations, the current city government. (2) No current board member list is in the sources, so whether elected councillors actually hold the seats today is unknown. | EVIDENCE: Parastatal side, BDA Act 1976 (BDA-02, PRS consolidated text): s.3(3)(l): 'two persons elected by the councillors of the Bangalore City Corporation from among themselves in the prescribed manner', with the proviso that during supersession or Administrator rule 'the two persons shall be nominated by the Administrator from among the officers of the Corporations'. s.3(3)(f): 'the Commissioner, Corporation of the City of Bangalore, ex-officio' (substituted by Act 34 of 1986). s.3(6): the names of member</t>
  </si>
  <si>
    <t xml:space="preserve">(l) two persons elected by the councillors of  the Bangalore  City Corporation from among themselves in the prescribed manner : Provided that during the period of supersession of the Corporation or where any Administrator has been appointed, the two persons shall be nominated by the Administrator from among the  officers of the Corporations.</t>
  </si>
  <si>
    <t xml:space="preserve">I left the score blank. As written, the BDA Act (BDA-02, PRS consolidated text with amendments up to Act 42 of 2026, dated 7.9.2026) points to the 5-point band, but the Citation Sheet cannot show that this applies to today's city government.
What the Act says:
- s.3(3)(l): the councillors of the 'Bangalore City Corporation' elect 2 members from among themselves.
- s.8(4): every question is decided by a majority of the members present and voting. No member category is excluded, so these members can vote.
- s.3(3)(f): the Commissioner of the Corporation of the City of Bangalore sits ex-officio. He is an official, not an elected representative.
- s.2(i): 'Corporation' means the 'Corporation of the City of Bangalore' (substituted by Act 34 of 1986).
- The Act 42 of 2026 text shown amends only ss.10 and 38D. I saw no amendment to s.3.
Why no score:
(1) PREDECESSOR NAMING: The Greater Bengaluru Governance Act (BDA-11) sets up the GBA and up to 7 City Corporations, and s.361 repeals the BBMP Act 2020. I read s.360 (transitory provisions), s.361 (repeal and savings) and the dissolution provisions. None of them says that references in other laws to the Corporation of the City of Bangalore / BBMP now mean the GBA or a City Corporation. So it is not shown which body's councillors fill the s.3(3)(l) seats, or whether any do.
(2) ADMINISTRATOR PROVISO: If the corporation is superseded or run by an Administrator, the 2 seats go to Corporation officers nominated by the Administrator, not to elected councillors. That would fit the 2.5 band (non-elected) at best, or arguably neither band. Whether the councils are elected now is not in the sheet.
(3) NO BOARD LIST: The scorer notes ask for the current board member list. None is in the sheet: no s.3(6) notification of members, no BDA Rules under s.69(2)(b) on how councillors elect members, and no current member list in BDA-37 or BDA-38.
Other sources checked:
- KTCP Act s.4C (BDA-03): covers Planning Authorities set up under that Act, not the BDA board.
- GBA Act ss.95-96: coordination committees, not the BDA board.
A 0 is not justified, because the Act does provide representation in law.
For the team: if you confirm that the GBA/City Corporation councillors are the s.3(3)(l) electorate and that elected councils exist, the law supports a score of 5. If the city is under an Administrator, consider 2.5 or a RUBRIC-GAP.
RTI target: BDA PIO / Urban Development Department, Govt of Karnataka. Ask for the latest s.3(6) notification of BDA members.
Note: both Acts in the sheet are PRS (secondary) copies.</t>
  </si>
  <si>
    <t xml:space="preserve">ANSWER: The latest evidence on the sheet shows no seat for the city government (ULG) on the BMRCL board. As of 31.03.2021, all 12 directors were Government of India (GoI) or Government of Karnataka (GoK) nominees or BMRCL's own full-time directors. None was from BBMP, the Greater Bengaluru Authority (GBA) or its City Corporations, whether elected or official. No parastatal law gives the ULG a board seat. However, the sheet does not have BMRCL's Articles of Association or a current (GBA-era) board list, so 'no representation' cannot be confirmed for today. | EVIDENCE: (1) Parastatal side. BMRCL is a company, not a body set up by an Act. BMRCL-01 (Annual Report 2020-21, Corporate Governance Report, p.47) describes the board rules in the Articles of Association: 3 to 15 directors, 'whole-time functional Directors or Part-time Directors nominated by the Promoter Government(s)'. It says BMRCL is a 50:50 GoI-GoK joint venture and 'Both the Governments have the right to nominate five (5) Directors each'. No nominating right for BBMP or any local body is mentioned. BMRCL-01 p.4 and p.48 list the board as on 31.03.2021 and 2021 changes. GoI side: Secretary MoHUA (Chairman), MoHUA OSD/Joint Secretary, Railway Board ED, DMRC Director, HUDCO Director. GoK side: Additional Chief Secretaries for Urban Development and Finance, Development Commissioner, Principal Secretary or Additional Chief Secretary to the CM, and the MD. Also two functional directors. None is a BBMP or ULG official or co</t>
  </si>
  <si>
    <t xml:space="preserve">BMRCL Annual Report 2020-21 (Board's Report, Independent Auditor's Report, CAG comments, audited Balance Sheet, P&amp;L and Cash Flow for FY 2020-21), laid before the Karnataka Legislative Council [BMRCL-01]</t>
  </si>
  <si>
    <t xml:space="preserve">https://kla.kar.nic.in/council/house/Paperlaid/146/33.pdf</t>
  </si>
  <si>
    <t xml:space="preserve">Both the Governments have the right to nominate five (5) Directors each on the Board of Directors.</t>
  </si>
  <si>
    <t xml:space="preserve">I left the score blank. The evidence on the sheet points to 0, but it does not establish affirmative absence for the current period.
What the evidence shows:
- BMRCL is a company under the Companies Act and a 50:50 joint venture of the Government of India (GoI) and the Government of Karnataka (GoK). It was not set up by a statute.
- BMRCL-01 (Annual Report FY 2020-21) quotes the Articles of Association. Directors are 'either whole-time functional Directors or Part-time Directors nominated by the Promoter Government(s)'. GoI and GoK may each nominate five directors.
- On 31.03.2021 the board had 12 directors: 2 functional directors, 5 GoI nominees and 5 GoK nominees. All the named nominees are GoI or GoK officials. None is a BBMP official or councillor, or anyone from another city-government (ULG) body.
- Nothing in the report gives the city government any right to nominate a director.
What I checked:
- BMRCL-01.
- BMRCL-34, the GBA Act 2024 (Act 36 of 2025). This law works the other way round. BMRCL's MD sits on the Greater Bengaluru Authority (GBA) under s.9(3)(j) and on its Executive Committee under s.13(1)(j). Under s.14(4), GBA supervises BMRCL and its directions are binding. s.14(4) also requires BESCOM and BMTC to amend their Memorandum of Association, but not BMRCL. No section gives GBA or City Corporation members a seat on BMRCL's board. None of this counts as the city government being on BMRCL's board.
- BMRCL-46, the GBA (Amendment) Bill 2025. It amends only s.8(2) and s.14(1) and says nothing about BMRCL's board.
- BMRCL-35, the BMLTA Act. It gives the city a seat on BMLTA, which is a different body.
- BMRCL-18, Metro Rail Policy 2017. It only says a local-body stake is 'worth considering'. That is advisory, not binding.
- BMRCL-15, the Metro Railways O&amp;M Act. I found nothing in it on BMRCL's board composition.
- A sheet-wide search for any nomination of a city-corporation member to BMRCL's board found nothing.
Why the score is still blank:
1. BMRCL's own Memorandum and Articles of Association, which hold the governing composition clause, are not on the sheet. The only account of them is BMRCL-01's summary.
2. The only board list is from FY 2020-21, before the GBA was created. There is no current board list for the GBA era (FY 2024-25 or 2025-26).
3. The GBA Act is a PRS secondary copy.
So a 0 cannot meet the affirmative-absence rule. The indicative band is 0 (no representation). A person should confirm by getting the current Articles of Association director-nomination clause and the current list of directors with their nominating authorities, for example by an RTI request to the BMRCL Company Secretary or PIO.
One more point: even if a city official appointed by the state government sat on the board, the rubric's 5 needs elected city representatives.</t>
  </si>
  <si>
    <t xml:space="preserve">ANSWER: Under the only BMRDA Act text in the Citation Sheet (the 1985 Act 'as amended by Act 8 of 2005'), the city government has an elected representative on the governing board. The Mayor of the 'Corporation of the City of Bangalore' is an ex-officio member of the Authority. Every member can vote, because questions are decided by majority vote of the members present and voting. The Mayor and the Commissioner of that Corporation also sit on the Executive Committee, which runs the Authority's affairs. This cannot yet be confirmed as the current position, for four reasons: (i) this copy does not include the later amendments (Act 16 of 2010 and Act 5 of 2017); (ii) the clause still names the predecessor corporation, and no source in the Sheet shows the Greater Bengaluru Authority (GBA) or a City Corporation office put in its place; (iii) the Sheet does not show whether an elected Mayor now exists in the GBA era; (iv) there is no current board member list. | EVIDENCE: Parastatal side, BMRDA Act 1985 (BMRDA-08, as amended by Act 8 of 2005): s.3(3) lists the members. They include (a) the Chief Minister as Chairman, (b) the Urban Development Minister as Vice-Chairman, (c) the BDA Chairman, and '(d) the Mayor, Corporation of the City of Bangalore'. The rest are mainly state officials and heads of state agencies. Two other groups are appointed: (v) 'four members of the Karnataka State Legislature ... appointed by the Government' and (w) 'four members from amongst the persons represen</t>
  </si>
  <si>
    <t xml:space="preserve">DPG2b</t>
  </si>
  <si>
    <t xml:space="preserve">Is the parastatal mandated to submit its plans, budgets or reports to the ULG/council?</t>
  </si>
  <si>
    <t xml:space="preserve">ANSWER: The sources I could read contain no requirement for BWSSB to submit or table its plans, budgets or annual/performance reports before the ULG (the Greater Bengaluru Authority (GBA), the City Corporations or their councils). BWSSB's Act sends its budget, accounts, annual reports and scheme particulars to the State Government and the State Legislature. The GBA Act gives GBA powers to supervise BWSSB and issue it binding directions. It does not require BWSSB to submit plans, budgets or reports to GBA or the City Corporations. These sources therefore point to 0 on all three parts (plans, budgets and reports). I have not scored it, because the absence is not yet proven: BWSSB's Rules and Regulations are not in the Citation Sheet, the Act copy is from a blocked mirror and may not be current, and I could read only excerpts of the GBA Act. | EVIDENCE: BWSSB side, from the Bangalore Water Supply and Sewerage Act, 1964 (BWSSB-04): (a) Budget, s.17(1): 'In February of each year the Board shall submit to the State Government a statement ... of the estimated capital and revenue receipts and expenditure for the ensuing year'. Under s.17(3) the State Government lays it before both Houses of the State Legislature, and under s.17(4) the Board must consider the Legislature's comments. Nothing sends it to the Corporation. (b) Under s.14(5) the Board 'shall place before the Consultative Committee the annual financial statement and supplementary stat[ements]'. Under s.14(1) this Committee </t>
  </si>
  <si>
    <t xml:space="preserve">Step 2 found no evidence: a source needs to be found and added. Step 2 found no evidence (Insufficient Evidence). Source needed: Four documents are needed. (1) The full current text of BMTC's enabling Act, i.e. the law under which the Karnataka state transport corporations are constituted: its provisions on capital expenditure programme/budget, annual report and accounts, and to whom each is submitted. (2) Any Karnataka Rules and BMTC regulations made under it. (3) The Karnataka notification establishing BMTC. (4) The Greater Bengaluru Governance Act, 2024 and its Rules, checked for any provision requiring public authorities or parastatals such as BMTC to submit or table plans, budgets or reports before GBA or the City Corporations or their councils. All should be official copies (Karnataka law department / eGazette / India Code full text).</t>
  </si>
  <si>
    <t xml:space="preserve">ANSWER: The BDA Act requires BDA to send only one thing to the city government: a copy of the notification for each development scheme. It goes to 'the Corporation', which may send back comments within 30 days. If it does not, it is treated as agreeing. BDA's budget estimates go to the State Government for sanction, and its reports and audited accounts go to the State Government and the State Legislature. No source in the Citation Sheet requires BDA to submit its budget or its annual/performance reports to the GBA, the City Corporations or a council. The Greater Bengaluru Governance Act lets the GBA supervise and direct BDA. It does not require BDA to submit plans, budgets or reports to the GBA or the City Corporations. Possible result: plans 1.67 (only if s.17(2) counts as submitting plans), budgets 0, reports 0. Not scored: the BDA Rules are not in the Citation Sheet, and which body now counts as 'the Corporation' is not confirmed. | EVIDENCE: BDA side: (1) BDA Act s.17(1)-(4): BDA publishes a notification for each development scheme. 'A copy of the said notification shall be sent to the Corporation', which may make any comments it thinks fit 'with regard to the scheme' within 30 days, through BDA to the Government. If it sends none, 'the concurrence of the Corporation to the scheme shall be deemed to have been given'. s.18: BDA submits the scheme to the Government for sanction. (2) Budget, ss.42-46: the Commissioner lays the yearly estimate before the Authority, the Author</t>
  </si>
  <si>
    <t xml:space="preserve">Score left blank. I checked the Step 2 reading against BDA-02, BDA-03 and BDA-11, and it holds up. (1) PLANS: Under BDA Act s.17(2), BDA 'shall' send a copy of each development-scheme notification to 'the Corporation'. The Corporation may make representations within 30 days, and if it does not, s.17(4) treats it as agreeing. This could earn 1.67, but only if sending a scheme notification for comment counts as plans being 'submitted/tabled' before the ULG. It covers individual schemes only, not a city-wide plan. Also, s.2 defines 'Corporation' as the old Corporation of the City of Bangalore. The Citation Sheet has no official source showing that BBMP, the GBA or the City Corporations took its place in this Act, and the GBA Act's effective date is not confirmed. The team needs to decide both points. (2) BUDGETS: Under ss.42-45, the Commissioner lays the estimate before the Authority, the Authority approves it, and s.44 says it 'shall be submitted to the Government'. Supplementary estimates also go to the Government. The Corporation is not mentioned. KTCP s.68B and its rule-making power send planning-authority budgets to 'the Board and the State Government' (BDA-03). (3) REPORTS: Under s.47(5), audited accounts and the auditor's report go to the State Government and are laid before the Legislature. Under s.47A, reports go to the State Government and the Legislature. KTCP s.68D sends annual reports to 'the State Government and the Board'. The methodology says submission only to the State Government does not count. (4) CITY-GOVERNMENT SIDE: I searched BDA-11, the Greater Bengaluru Governance Act. s.14(4) lets the GBA supervise and direct public authorities. s.19 lets 'the Government' (the State Government) call for reports. s.22(2) sends the GBA's own report and budget to the City Corporations. I found nothing requiring BDA to submit its plans, budget or reports to the GBA or the City Corporations. Why there is no 0 for budgets and reports: the BDA Rules and Regulations (ss.69-70, including the s.47A rules on report form and matters), the KTCP Rules and the GBA Rules and Regulations are not in the Citation Sheet. So affirmative absence across all instrument layers cannot be confirmed, even though the Acts name only the State Government, the Legislature and the Board. Indicative score: 1.67 if the team accepts s.17(2) as plan submission and confirms the successor body. Otherwise 0, if the Rules layer is checked and adds nothing. All three Acts are PRS copies (secondary source): BDA Act consolidated up to the 2020 Amendment; KTCP consolidated; GBA Act 2024, Karnataka Act 36 of 2025.</t>
  </si>
  <si>
    <t xml:space="preserve">ANSWER: Nothing in the Citation Sheet requires BMRCL to submit or table its plans, budgets or annual/performance reports before the Greater Bengaluru Authority (GBA), a City Corporation or its council. This is 'not found', not 0. BMRCL has no enabling Act of its own: its 2020-21 Annual Report says it is a Government Company formed under the Companies Act, owned 50:50 by the Government of India and the Government of Karnataka. The documents that set it up (Memorandum and Articles of Association) and the Companies Act provisions on government-company reports are not in the Citation Sheet. So I cannot confirm that no such requirement exists. | EVIDENCE: (1) BMRCL's side - Metro Railways (Operation and Maintenance) Act, 2002 (BMRCL-15): s.12 annual report is prepared by the Chief Commissioner of Railway Safety and goes to the Central Government; s.13 it is laid before Parliament; s.46 'The metro railway administration shall send to the Central Government a return of accidents'. I found no duty to submit plans, budgets or reports to the GBA or a City Corporation. BMRCL Annual Report 2020-21 (BMRCL-01, Corporate Governance Report, pp. 47-48): 'Your Company is a Government Company within the meaning of Section 2(45) of the Companies Act, 2013'. It is governed by its Articles of Association, and both Governments nominate directors. The copy in the sheet is the one laid before the Karnataka Legislative Council, which means the report goes to the State Legislature, not the GBA or a Cit</t>
  </si>
  <si>
    <t xml:space="preserve">The Government shall be entitled to call for periodic reports from such Public Authorities, agencies and departments of the Government discharging municipal functions in the Greater Bengaluru Area, and shall be further entitled to issue instructions and recommendations to those regarding the performance of any of their functions contained in the provisions of their constituent statutes.</t>
  </si>
  <si>
    <t xml:space="preserve">I left the score blank. Nothing in the Citation Sheet requires BMRCL to submit or table its plans, budgets or annual/performance reports before the Greater Bengaluru Authority (GBA), a City Corporation or its council. But I cannot give 0, because affirmative absence is not established: BMRCL's own founding instruments are not in the sheet.
I checked the Step 2 answer against the sources and it holds.
City-government side, GBG Act 2024 (BMRCL-34, PRS copy, as enacted; GBA era):
- s.2(54) names BMRCL as a 'Public authority'.
- s.13(1)(j) puts BMRCL's MD on the GBA Executive Committee. That is membership, not a duty to submit documents.
- s.14(4) lets the GBA 'integrate and supervise' public authorities including BMRCL and issue binding directions. That is a power to direct, not a mandated submission of plans, budgets or reports.
- s.14(4) also requires BESCOM and BMTC, not BMRCL, to put the GBA's coordinating role into their Memorandum of Association.
- s.15: the GBA makes the master plan and mobility plans. BMRCL is not required to submit its own plans.
- s.19(1): periodic reports go to 'the Government' (the State), which the methodology excludes.
- ss.21-22: the budget and annual report duties are the GBA's own. s.22(2) has the GBA send its own report and budget to the City Corporations, not BMRCL's.
- ss.95-96: the Assembly Constituency committees only coordinate and monitor.
Other instruments in the sheet:
- BMRCL-46 (Amendment Bill 2025) does not touch these sections.
- BMRCL-15 (Metro Railways (Operation and Maintenance) Act): ss.12-13 cover the Commission of Railway Safety's report to the Central Government and Parliament; s.46 sends accident returns to the Central Government.
- BMRCL-01 (Annual Report 2020-21): BMRCL is a Government Company under Companies Act s.2(45), governed by its Memorandum and Articles. The CAG letter refers to forwarding the Annual Report to the Central Government to be placed before Parliament. The sheet's copy was laid before the Karnataka Legislative Council. That is the legislature, not the city government.
- BMRCL-35 (BMLTA Act) and BMRCL-31 (Karnataka Town and Country Planning Act) put no such duty on BMRCL.
Missing for affirmative absence: BMRCL's Memorandum and Articles of Association, the Companies Act 2013 provisions on government-company reports (ss.394-395), any GoK/GoI orders forming BMRCL, and any Rules under the GBG Act.
The team should confirm two things:
- (a) which instrument counts as the 'enabling Act' for a Companies Act company;
- (b) that a s.14(4) power to supervise and direct does not count as submission.
If those instruments are added and show no such duty, the score is likely 0 (0+0+0). That is not established yet.</t>
  </si>
  <si>
    <t xml:space="preserve">ANSWER: The sources read show no requirement for BMRDA to submit or table its plans, budgets or annual reports before the city government (the Greater Bengaluru Authority (GBA), its City Corporations or their councils). The BMRDA Act sends the budget, annual report and audited accounts only to the State Government, and the annual report also goes to the State Legislature. For the Structure Plan, no ULG submission or tabling duty was found. On the city-government side, the GBA Act gives the GBA a general power to direct and coordinate public authorities. It also lets the State Government call for reports. Neither creates a duty for BMRDA to submit documents to the ULG. Because the Rules and Regulations layer was not available, this is 'not found', not a confirmed absence. | EVIDENCE: Parastatal side, BMRDA Act 1985 (BMRDA-08): (1) Plans: s.9(1)(ii) makes it a function 'to prepare a structure plan for the development of the Bangalore Metropolitan Region'. No submission or tabling of the plan to any local authority or council was found in ss.9-10. s.31 (inserting KTCP s.81-C) runs the other way: Planning Authorities in the Region submit their outline and comprehensive development plans 'to the State Government through the Bangalore Metropolitan Region Development Authority for approval'. (2) Budget: s.12 says BMRDA 'shall submit a copy thereof to the State Government'. (3) Annual report: s.13 says BMRDA submits it 'to the State Government' and the Government 'shall cause a copy </t>
  </si>
  <si>
    <t xml:space="preserve">DPG4</t>
  </si>
  <si>
    <t xml:space="preserve">Does the parastatal maintain an active and functional website?</t>
  </si>
  <si>
    <t xml:space="preserve">10</t>
  </si>
  <si>
    <t xml:space="preserve">ANSWER: We can't tell from the Citation Sheet whether BWSSB keeps an active, working website. An official Government of Karnataka portal points to www.bwssb.org as BWSSB's site, which is evidence that one exists. But no saved copy of BWSSB's own website is in the Citation Sheet. So we can't confirm that it opens without error or that it has dated content from the last 12 months. That leaves the score blank. It cannot be 0, because a site does seem to exist. | EVIDENCE: (1) BWSSB-25, KarnatakaOne 'BWSSB Service' page (karnatakaone.gov.in, run by EDCS, DPAR (e-Governance), Government of Karnataka): this is a bill-payment guide for BWSSB that ends 'Visit [http://www.bwssb.org/] www.bwssb.org for more details.' Its footer says 'Last reviewed and updated on 14 July, 2026'. That date belongs to the KarnatakaOne page, not to BWSSB's website. (2) BWSSB-32, Public Affairs Centre assessment (2016, made with BWSSB's Chief Engineer office): its survey asks 'Have you seen the BWSSB website http://www.bwssb.org?' and reports 'Although BWSSB has a website, it was seen only by 3% of the customers'. This is old, non-official and only historical. (3) BWSSB-12, Chief Engineer's presentation (AMDA-hosted, about 2023 judging from its project dates): lists '5. WEBSITE' among BWSSB's IT initiatives. This is not a capture of the site. (4) BWSSB-22, BWSSB-23 (JICA reports, 2017), BWSSB-04 (BWSSB Act, 1964), BWSSB-28 (Town and Country Planning Act), BWSSB-29 (GBA Act): none of these contain a capture </t>
  </si>
  <si>
    <t xml:space="preserve">KarnatakaOne – BWSSB Service (Government of Karnataka citizen-services portal) [BWSSB-25]</t>
  </si>
  <si>
    <t xml:space="preserve">https://www.karnatakaone.gov.in/Info/Public/BWSSB</t>
  </si>
  <si>
    <t xml:space="preserve">Visit [http://www.bwssb.org/] www.bwssb.org for more details.</t>
  </si>
  <si>
    <t xml:space="preserve">Score left blank because of a VERIFICATION-LIMIT. A score of 10 needs three things: the official site exists, it opens without error, and it has content dated within the last 12 months. The Citation Sheet holds no copy of BWSSB's own website: no home page, no dated notice or circular, no 'last updated' stamp and no web-archive capture. So we can't check whether the site opens or how recent its content is.
A score of 0 is also wrong. That score applies only when no official website is found. BWSSB-25 is a Government of Karnataka portal (karnatakaone.gov.in, run by EDCS, DPAR (e-Governance)), and it links to www.bwssb.org as BWSSB's site. The footer date '14 July, 2026' belongs to the KarnatakaOne page, not to BWSSB's website, so it can't show that BWSSB's site is current.
Other sources checked:
- BWSSB-12, the Chief Engineer's presentation (about 2023), lists '5. WEBSITE' among BWSSB's IT initiatives. It is not a capture of the site.
- BWSSB-32, the Public Affairs Centre assessment (2016), says the website existed then. It is old and not an official source.
- BWSSB-22 and BWSSB-23 (JICA, 2017), BWSSB-28 (Town and Country Planning Act), BWSSB-29 (GBA Act) and BWSSB-30 (GBA Amendment Bill) say nothing about the website's current status.
- A search of the whole Citation Sheet for a BWSSB website notice or circular found no capture.
The Step 2 answer ('Partially Answered', score blank) matches the sources.
To do: a reviewer should open BWSSB's official website and confirm which domain is current (the only domain in the Citation Sheet is www.bwssb.org). They should then record the check date, find a dated notice or circular from the last 12 months, and save a screenshot or web-archive capture. If all of that holds, score 10.</t>
  </si>
  <si>
    <t xml:space="preserve">ANSWER: Yes. BMTC has an official website on the Government of Karnataka domain (mybmtc.karnataka.gov.in). Two pages from it were saved, and both returned the full, readable page. Each shows a 'Last Updated' date of 30-09-2026, which is within 12 months of a check in the September 2026 cycle. This meets the 10-point band, with one caveat on the footer date (see CAVEATS). | EVIDENCE: (1) BMTC-44, the 'Contact Us' page (https://mybmtc.karnataka.gov.in/page/Contact+Us/en). It opened and shows BMTC's head office address (K H Road, Shanthinagar, Bangalore - 560027) and helpline 080 22483777. It has working menus for Complaints, the Public Grievance Dashboard, Recruitment, Passenger bus fares, timetables, and RTI 4(1)(a)/(b). The footer reads 'Last Updated: 30-09-2026' and 'Content Owned and maintained by: Bengaluru Metropolitan Transport Corporation, Government of Karnataka', and states the site is hosted by the Centre for e-governance, Karnataka. (2) BMTC-46, the 'Rules And Regulations' page (https://mybmtc.karnataka.gov.in/info-1/Rules+And+Regulations/en). It also opened, lists regulation PDFs (e.g. 'KSRTC (Cadre &amp; Recruitment) Regulations 1982'), and has the same footer 'Last Updated: 30-09-2026'. Why it counts as official: it sits on a karnataka.gov.in subdomain (allowed category A), and the footer names BMTC as content owner. | CAVEATS: (a) The 'Last Updated' date is a site-wide footer from the state's Centre for e-governance (CeG) web template. On such templates the footer d</t>
  </si>
  <si>
    <t xml:space="preserve">Contact Us - Bengaluru Metropolitan Transport Corporation [BMTC-44]</t>
  </si>
  <si>
    <t xml:space="preserve">https://mybmtc.karnataka.gov.in/page/Contact+Us/en</t>
  </si>
  <si>
    <t xml:space="preserve">Last Updated: 30-09-2026</t>
  </si>
  <si>
    <t xml:space="preserve">I checked the Step 2 answer against BMTC-44 and BMTC-46. Both support a score of 10 under the rule's three tests. (1) An official website exists. BMTC-44 is on mybmtc.karnataka.gov.in, a karnataka.gov.in subdomain (allowed category A). Its footer says 'Content Owned and maintained by: Bengaluru Metropolitan Transport Corporation, Government of Karnataka' and 'Designed , Developed &amp; Hosted by: Centre for e-governance - Webportal karnataka government © 2026'. (2) It opens without error. Two inner pages were saved in full and are readable. BMTC-44 shows the head-office address (K H Road, Shanthinagar, Bangalore - 560027) and the helpline 080 22483777. BMTC-46 (Rules And Regulations) lists regulation PDFs. Both have working menus for Complaints, the Public Grievance Dashboard, Recruitment, fares, timetables and RTI 4(1)(a)/(b). (3) It was updated within 12 months. Both pages show a footer reading 'Last Updated: 30-09-2026'. The rule accepts a 'verifiable "last updated" date' as one way to show this, so that alone meets the test for a check in the September 2026 cycle.
Please check these points:
(a) The 'Last Updated' date is in a site-wide footer from the Centre for e-governance (CeG) template, version 'CeG/KRN 4.0'. It may be generated automatically and not reflect real BMTC edits. No dated BMTC notice, circular or tender is in the Citation Sheet to back it up. There are some indirect signs of recent content, but none is a stated date. Upload file names end in what look like Unix timestamps (e.g. 'Vayuvajra Form-3 @17_1789716606.pdf', which works out to about September 2026). KSRTC tour links carry 'departDate=26-07-2025'. Some items are older, such as the PIO list 'RTIPIOENGupdated04-6-24.pdf'.
(b) Only two inner pages are in the Citation Sheet. The home page and any notices/tenders page were not saved.
(c) The question asks for a recorded date of check and an archived screenshot or web-archive link. The Citation Sheet has neither. A reviewer should capture both and confirm there is at least one dated BMTC notice from the last 12 months on the live site.
If the footer date turns out to be automatic and no dated content from the last 12 months is found, do not score 0. The rubric has no band for a stale site (RUBRIC-GAP), so the score would become blank pending confirmation. Note also that BMTC-13 (KarnatakaOne) mentions www.mybmtc.com, but that domain was not checked and is not relied on here.</t>
  </si>
  <si>
    <t xml:space="preserve">Step 2 found no evidence: a source needs to be found and added. Step 2 found no evidence (Insufficient Evidence). Source needed: Three things are needed: (1) BDA's official website, shown to be official by a link from a .gov.in or .nic.in page or by an official instrument; (2) a dated point-in-time check that the site opens without error; (3) a saved copy or screenshot showing dated content from the last 12 months, such as a recent notice, circular or tender, or a 'last updated' date. A web-archive capture with the date of the check would also be needed, as the question bank requires.</t>
  </si>
  <si>
    <t xml:space="preserve">ANSWER: Only part of this can be answered. Two sources show that BMRCL has an official website. The Citation Sheet has no saved copy of that website, so I cannot check whether it opens without error or whether anything on it was updated in the last 12 months. The score is left blank. This is a verification limit. It is not a finding that the site fails. | EVIDENCE: (1) BMRCL-01, BMRCL Annual Report 2020-21, Board's Report pp.40-42: the monthly 'BMRC Newsletter', the Whistle Blower Policy, the Fraud Prevention Policy and the annual return are on 'the Company's Website: www.bmrc.co.in'. The Corporate Governance Report (p.54-56 of the PDF) says the company 'hosts all its tenders on the Website' and that the website gives operations information 'which is continuously updated'. It also lists 'Website : www.bmrc.co.in' next to the registered office. This is BMRCL describing its own site for FY 2020-21. It is not dated evidence of what the site looks like now. (2) BMRCL-47, the official page of the Directorate of Urban Land Transport, Government of Karnataka (dult.karnataka.gov.in/en): its links section points 'BMRCL' to https://kannada.bmrc.co.in/. This is an official government link to a bmrc.co.in address, which helps show the domain is official. The DULT page's own 'Last Updated' stamp (2026-10-09) is about the DULT site, not BMRCL's. (3) The other sources (BMRCL-15, 18, 21, 31, 34, 35) contain no evidence about BMRCL's website. | CAVEATS: The annual report's claim that the site</t>
  </si>
  <si>
    <t xml:space="preserve">Score left blank because of a VERIFICATION-LIMIT. A score of 0 is not possible because the website exists.
What the sources show: BMRCL has an official website. BMRCL-01 is the company's own Annual Report for FY 2020-21. It names 'www.bmrc.co.in' as the official website, says tenders, the monthly newsletter and the Whistle Blower Policy are posted there, and says the site is 'continuously updated'. BMRCL-47 is the DULT Government of Karnataka page (dult.karnataka.gov.in). I read it again: its 'BMRCL' link points to https://kannada.bmrc.co.in/, so an official government page links to the domain. That page's 'Last Updated: 2026-10-09' stamp is for the DULT site, not for BMRCL's site.
Why no score: a 10 needs three things, and the sheet supports none of them. The site must open without error, and nothing in the Citation Sheet shows that it does. It must show dated content from the last 12 months; the only claim of 'continuously updated' is the company describing itself in FY 2020-21, about 5 years old, so it does not meet the 12-month test. The methodology also asks for a dated, point-in-time check with a screenshot or archive capture, and none was made.
Sources checked:
- BMRCL-01 and BMRCL-47: read.
- BMRCL-15, 18, 21, 31, 34 and 35: checked in Step 2; none has evidence about BMRCL's website.
- BMRCL-46: an amendment bill to the Greater Bengaluru governance law; not relevant to the website.
I agree with the Step 2 answer: existence is shown, but whether the site opens and is current cannot be checked.
For the reviewer:
- Open BMRCL's website and record the date of the check.
- Confirm which address is the main site: www.bmrc.co.in (named in the annual report) or kannada.bmrc.co.in (linked from DULT).
- Confirm it opens without error and has a dated notice, tender or circular from the last 12 months. If so, score 10.
- Save a screenshot or web-archive capture as the question requires.</t>
  </si>
  <si>
    <t xml:space="preserve">The AI's citation or quote failed the check. The AI's quote couldn't be found word for word in BMRCL-01, so its answer was discarded. AI comments: Score left blank because of a VERIFICATION-LIMIT. A score of 0 is not possible because the website exists.
What the sources show: BMRCL has an official website. BMRCL-01 is the company's own Annual Report for FY 2020-21. It names 'www.bmrc.co.in' as the official website, says tenders, the monthly newsletter and the Whistle Blower Policy are posted there, and says the site is 'continuously updated'. BMRCL-47 is the DULT Government of Karnataka page (dult.karnataka.gov.in). I read it again: its 'BMRCL' link points to https://kannada.bmrc.co.in/, so an official government page links to the domain. That page's 'Last Updated: 2026-10-09' stamp is for the DULT site, not for BMRCL's site.
Why no score: a 10 needs three things, and the sheet supports none of them. The site must open without error, and nothing in the Citation Sheet shows that it does. It must show dated content from the last 12 months; the only claim of 'continuously updated' is the company describing itself in FY 2020-21, about 5 years old, so it does not meet the 12-month test. The methodology also asks for a dated, point-in-time check with a screenshot or archive capture, and none was made.
Sources checked:
- BMRCL-01 and BMRCL-47: read.
- BMRCL-15, 18, 21, 31, 34 and 35: checked in Step 2; none has evidence about BMRCL's website.
- BMRCL-46: an amendment bill to the Greater Bengaluru governance law; not relevant to the website.
I agree with the Step 2 answer: existence is shown, but whether the site opens and is current cannot be checked.
For the reviewer:
- Open BMRCL's website and record the date of the check.
- Confirm which address is the main site: www.bmrc.co.in (named in the annual report) or kannada.bmrc.co.in (linked from DULT).
- Confirm it opens without error and has a dated notice, tender or circular from the last 12 months. If so, score 10.
- Save a screenshot or web-archive capture as the question requires.</t>
  </si>
  <si>
    <t xml:space="preserve">ANSWER: Yes. BMRDA has an official website at bmrda.karnataka.gov.in, a Government of Karnataka domain hosted by the Centre for e-Governance. The saved copy of the home page opened and shows readable content. That content includes items dated 2026: a set of Rules from 2026, civic-amenity (CA) site newspaper notices whose file names carry the dates 29 and 30 July 2026, and a 'Latest News' item marked '2 months ago'. This meets the 10-point band, provided the check was made in 2026 (see CAVEATS). | EVIDENCE: Four checks. (1) Existence and official status (BMRDA-02, English home page, source URL https://bmrda.karnataka.gov.in/english): the address is a *.gov.in domain. The footer on the saved subpages says 'Content Owned and maintained by: Bengaluru Metropolitan Region Development Authority(BMRDA), Government of Karnataka' and gives '© 2026'. (2) Opens: the home page body was saved with its menus, its Introduction ('established under the Bangalore Metropolitan Region Development Authority Act, 1985'), the officers' names (Metropolitan Commissioner), its Services and its Department Documents. (3) Up to date: the 'Department Documents' list links 'The Karnataka Planning Authorities (Allotment of Civic Amenity Sites within the Bengaluru Metropolitan Region) Rules, 2026.' Under 'CA Site Paper Notifications', the newspaper notices for each local planning authority have file names dated 2026-07-29 and 2026-07-30 (e.g. 'EPaper-Bangalore_30-07-2026', 'NIE Bengaluru 29-07-2026'). 'Latest</t>
  </si>
  <si>
    <t xml:space="preserve">Home - Bangalore Metropolitan Region Development Authority (BMRDA) (English home page) [BMRDA-02]</t>
  </si>
  <si>
    <t xml:space="preserve">https://bmrda.karnataka.gov.in/english</t>
  </si>
  <si>
    <t xml:space="preserve">The Karnataka Planning Authorities (Allotment of Civic Amenity Sites within the Bengaluru Metropolitan Region) Rules, 2026.</t>
  </si>
  <si>
    <t xml:space="preserve">I scored 10 because all three parts of the 10-point band are met in the saved copy of BMRDA-02, which I read again myself. (1) The site exists and is official. It is on a Karnataka government (*.gov.in) address. The footer says 'Content Owned and maintained by: Bengaluru Metropolitan Region Development Authority(BMRDA), Government of Karnataka' and 'Designed, Developed &amp; Hosted by: Centre for e-governance ... © 2026'. (2) It opens without error. The saved home page shows its full content: menus, the Introduction (which cites the BMRDA Act, 1985), the Metropolitan Commissioner's name, Services, Department Documents, RTI pages and Gallery. BMRDA-04 (Kannada home page), BMRDA-13 (Local Planning Areas) and BMRDA-01 (Contact Us) are other pages of the same site that also loaded. (3) Content was updated within the last 12 months. The page text includes the title 'The Karnataka Planning Authorities (Allotment of Civic Amenity Sites within the Bengaluru Metropolitan Region) Rules, 2026.' 'Latest News' shows 'CA Site Paper Notification – 2 months ago'. The newspaper notices for each local planning authority have file names dated 29 and 30 July 2026 (e.g. 'DH_Bengaluru _20260729', 'EPaper-Bangalore_30-07-2026', 'NIE Bengaluru 29-07-2026'). There is also a new 'Proposed Draft Mobility Plan' section covering 9 local planning authorities. The photo gallery has 'INDEPENDENCE DAY 2025'. With this rules version dated September 2026, this content falls inside the 12-month window. The Step 2 answer matches what the source says.
Caveats for the reviewer:
(a) The footer's 'Last Updated:' field is blank, so currency rests on the dated content. The July 2026 dates come from file names and a relative '2 months ago' label, not from a date printed on the page. The '2026' in the Rules title is explicit text.
(b) The Citation Sheet records no date of check and no screenshot or web-archive capture, both of which the question bank requires as evidence. A person should record the date of verification, take a dated screenshot or archive capture of https://bmrda.karnataka.gov.in/english, and open at least one CA site notice PDF to confirm the date printed in it. If the check is made after about July 2027, the 12-month test must be applied again.
(c) Some older items remain on the site (Citizen Charter 2020-21, RTI 4(1)(b) 2019-20, Annual Report 2023-24). They do not change the DPG 4 band.
Confidence is medium, not high, because currency rests on file-name dates and a relative label, not an explicit 'last updated' stamp, and the date of check is missing.</t>
  </si>
  <si>
    <t xml:space="preserve">DPG5a</t>
  </si>
  <si>
    <t xml:space="preserve">Annual budget</t>
  </si>
  <si>
    <t xml:space="preserve">1</t>
  </si>
  <si>
    <t xml:space="preserve">Step 2 found no evidence: a source needs to be found and added. Step 2 found no evidence (Insufficient Evidence). Source needed: A dated capture of BWSSB's official website page (finance/budget/publications, or the RTI s.4(1)(b) disclosure) showing the Board's budget estimates for FY 2026-27 or FY 2025-26, with the file type recorded (XLS/CSV/structured HTML vs text PDF vs scanned PDF). Failing that, BWSSB's annual financial statement under s.17 of the BWSSB Act as laid before the Karnataka Legislature, if published on an official Karnataka legislature or Urban Development Department page.</t>
  </si>
  <si>
    <t xml:space="preserve">Step 2 found no evidence: a source needs to be found and added. Step 2 found no evidence (Insufficient Evidence). Source needed: BMTC's official website section on finance, budget or RTI s.4(1)(b) proactive disclosure, fetched and saved with the date of access. It should show the BMTC budget, or the board-approved budget estimates, for FY2025-26 or FY2024-25, and the file type (XLSX/CSV/structured HTML vs text PDF vs scanned PDF). Other sources that would answer it: the Karnataka Transport Department or state budget documents showing BMTC's budget, or a BMTC annual report or budget tabled in the Karnataka Legislature that holds the budget estimates.</t>
  </si>
  <si>
    <t xml:space="preserve">Step 2 found no evidence: a source needs to be found and added. Step 2 found no evidence (Insufficient Evidence). Source needed: Needed: BDA's approved budget estimate for FY 2026-27 or FY 2025-26 (prepared under ss.42-44 of the BDA Act), as published on BDA's official website or a Karnataka government (.gov.in/.nic.in) portal. It should be saved with the date it was accessed and its actual file type (XLS/CSV/structured HTML vs text PDF vs scanned PDF), so both availability/currency and format can be assessed.</t>
  </si>
  <si>
    <t xml:space="preserve">Step 2 found no evidence: a source needs to be found and added. Step 2 found no evidence (Insufficient Evidence). Source needed: Needed: (1) BMRCL's budget (Board-approved budget estimates, BE/RE) for FY 2025-26 or FY 2026-27, published online, e.g. on the finance or disclosure page of BMRCL's official website, or as a dated proactive disclosure under RTI s.4(1)(b) giving the budget allocated to each unit; (2) saved copies of the pages, with dates, showing the file format (XLS/CSV/structured HTML vs text or scanned PDF). As a fallback, the Karnataka Urban Development Department's budget or demand-for-grants documents for those years with a line item for BMRCL would show what the state allocates to BMRCL, but they are not BMRCL's own budget.</t>
  </si>
  <si>
    <t xml:space="preserve">Step 2 found no evidence: a source needs to be found and added. Step 2 found no evidence (Insufficient Evidence). Source needed: A saved, dated copy of BMRDA's 'Budget' page on its official website, with the latest budget document it links to. That copy must show the FY covered (FY 2025-26 or 2026-27 for credit) and the file type (spreadsheet/CSV/structured HTML vs text PDF vs scanned PDF). If BMRDA does not publish its budget, a tabled budget estimate on a Karnataka government (.gov.in) page would also answer it, for example from the Urban Development Department or the Legislature's papers-laid pages.</t>
  </si>
  <si>
    <t xml:space="preserve">DPG5b</t>
  </si>
  <si>
    <t xml:space="preserve">Audited annual accounts</t>
  </si>
  <si>
    <t xml:space="preserve">Step 2 found no evidence: a source needs to be found and added. Step 2 found no evidence (Insufficient Evidence). Source needed: Needed: BWSSB's official website pages (Finance/Accounts/Annual Report section) showing its audited annual accounts for FY2024-25, or FY2023-24 if the one-FY lag applies, with the file type (XLSX/CSV/structured HTML vs text PDF vs scanned PDF) and a dated access record. Alternatively, BWSSB audited accounts and audit report laid before the Karnataka Legislature under BWSS Act s.25(5)(a) and published on an official Karnataka (.gov.in / .nic.in) portal. Also useful: any BWSSB regulations or Rules under s.25(5)(b) / s.87(2)(f) that set how accounts are published.</t>
  </si>
  <si>
    <t xml:space="preserve">Step 2 found no evidence: a source needs to be found and added. Step 2 found no evidence (Insufficient Evidence). Source needed: Any one of these: BMTC's official website page for annual reports or financial statements, showing its audited accounts (balance sheet, profit and loss, auditor's/CAG comments) for FY 2023-24 or FY 2024-25, with the file type; the Karnataka Legislature papers-laid record of BMTC's annual report and audited accounts; or the CAG/AG Karnataka audit report on BMTC's accounts. A dated screenshot or archived copy with the access date is needed for each.</t>
  </si>
  <si>
    <t xml:space="preserve">Human Verification Required</t>
  </si>
  <si>
    <t xml:space="preserve">ANSWER: The newest BDA audited accounts in the Citation Sheet are for FY 2016-17 (year ended 31.03.2017). They include the CAG's Separate Audit Report and are published online as a PDF on the Karnataka Legislative Council site (kla.kar.nic.in) among papers laid in the Council's 139th session. That is far older than the period the rubric allows. Assessed as of September 2026, the rubric wants FY 2025-26, or FY 2024-25 with the one-year lag. The Citation Sheet does not include BDA's own website or any later list of papers laid. So it is not shown that newer audited accounts are absent online, and the availability part cannot be marked 0. On format, the only document found is a PDF, not XLS/XLSX, CSV, ODS or a structured HTML table. The English pages have a text layer, but the tables do not come out cleanly, and the Kannada pages extract as garbled characters in an old font encoding. | EVIDENCE: (1) BDA-38, the BDA Annual Accounts for 2016-17, Kannada and English versions in one PDF. English contents list on p.76: 'Separate Audit Report of the CAG of India on the Accounts of the BDA, Bangalore for the year ended 31.03.2017'; 'Balance sheet as at 31.03.2017'; 'Receipts and payments accounts for the year 2016-17'. CAG report on p.77, para 1: 'We have audited the attached Balance Sheet of Bangalore Development Authority, Bangalore as at 31 March 2017...'. The pages are signed by the Finance Member and the Commissioner. (2) BDA-37, the Legislative Council list of papers laid in the </t>
  </si>
  <si>
    <t xml:space="preserve">Step 2 found no evidence: a source needs to be found and added. Step 2 found no evidence (Human Verification Required). Source needed: Any of these would decide the availability part: (a) BDA's official website page for annual accounts or finance, with any audited accounts for FY 2023-24, 2024-25 or 2025-26; (b) Karnataka Legislative Council and Assembly lists of papers laid after the 139th session showing later BDA audited accounts; (c) the CAG's Separate Audit Reports on BDA after FY 2016-17. The format part needs the actual file type of the latest audited accounts (XLS/CSV/structured HTML vs PDF). The 'prescribed manner' of publication under BDA Act s.47(5) is in the BDA Rules, which are not in the Citation Sheet.</t>
  </si>
  <si>
    <t xml:space="preserve">ANSWER: The newest audited BMRCL accounts in the Citation Sheet are for FY 2020-21. They are inside the Annual Report 2020-21, which was laid before the Karnataka Legislative Council and published online as a PDF. That is too old to count as current. For a September 2026 assessment, the rubric needs FY 2025-26, or FY 2024-25 if the one-year lag applies. No source in the Citation Sheet shows audited accounts for FY 2021-22 or any later year. The sheet also does not include BMRCL's own website or its annual-reports or financials page. So I cannot confirm that newer accounts are missing, and the score cannot be 0. The availability half is therefore not found. The format half is also undetermined: the only copy seen is a PDF, and no XLS, CSV or structured HTML version could be checked. | EVIDENCE: BMRCL-01 (BMRCL Annual Report 2020-21, state legislature copy): pages 83-89 contain the audited Balance Sheet ('Balance Sheet As at 31st March 2021'), the Statement of Profit and Loss and the Cash Flow Statement, signed with the statutory auditors Badari, Madhusudhan &amp; Srinivasan, dated 24-08-2021. Page 78 has the C&amp;AG's comments under s.143(6)(b) of the Companies Act, 2013 on the accounts for the year ended 31 March 2021, dated 22 October 2021. The Board's Report includes the Independent Auditor's Report and its Annexure C (pages 75-77). It also says the annual return 'is placed on the website of the Company and can be accessed at www.bmrc.co.in'. That is the annual return, not the aud</t>
  </si>
  <si>
    <t xml:space="preserve">Balance Sheet As at 31st March 2021</t>
  </si>
  <si>
    <t xml:space="preserve">I left the score blank. Neither half of the rubric can be decided from the Citation Sheet.
(1) Whether current accounts are online (0.5). The newest audited accounts in the sheet are for FY 2020-21: year ended 31 March 2021, auditor's report dated 24-08-2021, C&amp;AG comments dated 22-10-2021, Board's reply dated 09-11-2021. They appear in BMRCL-01, the Annual Report 2020-21 laid before the Karnataka Legislative Council (kla.kar.nic.in). For a September 2026 assessment, the window is FY 2025-26, or FY 2024-25 with the one-year lag. FY 2020-21 is well outside it and cannot earn the 0.5. A 0 would need proof that nothing newer is online. The sheet does not include:
- BMRCL's own website, which the Board's Report names as www.bmrc.co.in, or its annual-reports or financials pages;
- the stock-exchange financial results filed under SEBI LODR Reg. 52, which the Board's Report mentions;
- MCA filings;
- any papers laid in the legislature after FY 2020-21.
I searched the sheet for later accounts (FY 2023-25) and found nothing. The other sources in the sheet are BMRCL-15, -18, -21, -31, -34, -35, -46 and -47. Going by their titles and the Step 2 review, none of them contains BMRCL's accounts. So newer accounts are 'not found', not proven absent. VERIFICATION-LIMIT: the agency's own website could not be checked.
(2) Format (0.5). The only copy seen is a PDF. Its text can be extracted, but the table text comes out broken and spaced oddly (for example 'Audit or's R eport' and '567 54.51'). That points to 0 for format. However, I could not check whether BMRCL publishes a structured XLS, CSV or HTML version, so this half is undetermined too.
Evidence field (latest year found): FY 2020-21.
For a human reviewer:
(a) Check bmrc.co.in, after confirming it is BMRCL's official domain through a link from a .gov.in page, for audited accounts for FY 2024-25 and FY 2025-26, and note the file type.
(b) Check stock-exchange and MCA disclosures.
(c) Decide whether accounts on the legislature's website count as 'publicly available online'.
(d) Take dated screenshots, as the Notes for scorers require.</t>
  </si>
  <si>
    <t xml:space="preserve">Step 2 found no evidence: a source needs to be found and added. Step 2 found no evidence (Insufficient Evidence). Source needed: (1) A saved copy of BMRDA's 'Budget and Annual Reports' page and the documents it links, especially the latest annual report or audited statement of accounts. This would show whether the auditor's report and financial statements are included, which FY they cover (2025-26, or 2024-25 under the one-FY lag), and the file format (XLS/CSV/structured HTML vs. text or scanned PDF). (2) The BMRDA Rules setting out how and when audited accounts are published under s.16(3). (3) Karnataka Legislature papers-laid records, or the State Audit / CAG audit report on BMRDA's accounts, showing the latest audited FY. Record the FY of the latest audited accounts found, even if the score turns out to be 0.</t>
  </si>
  <si>
    <t xml:space="preserve">DPG5c</t>
  </si>
  <si>
    <t xml:space="preserve">Annual report</t>
  </si>
  <si>
    <t xml:space="preserve">Step 2 found no evidence: a source needs to be found and added. Step 2 found no evidence (Insufficient Evidence). Source needed: Needed: the latest BWSSB annual report (FY 2025-26, or the latest one due) from BWSSB's official website, saved with a date of access and its file type recorded (text-searchable vs scanned PDF). Alternatively, the Karnataka Legislature's papers-laid listing, or the Karnataka eGazette entry, for the BWSSB annual report under s.86 of the BWSSB Act 1964, with a copy that can be downloaded. Also useful: the BWSSB Rules setting the form and due date of the annual report (s.87(2)(g)), to decide which report is 'latest due'.</t>
  </si>
  <si>
    <t xml:space="preserve">Step 2 found no evidence: a source needs to be found and added. Step 2 found no evidence (Insufficient Evidence). Source needed: Needed: a saved copy of BMTC's official website section that lists annual reports or annual administration reports (for example a 'Reports' or 'Publications' page on mybmtc.karnataka.gov.in, or its sitemap), together with the latest annual report file itself, ideally for FY 2024-25 or 2025-26. That would settle both currency and format (text-searchable PDF or scanned). Alternatively, the Karnataka Legislature papers-laid pages showing BMTC annual reports tabled, with downloadable copies.</t>
  </si>
  <si>
    <t xml:space="preserve">Step 2 found no evidence: a source needs to be found and added. Step 2 found no evidence (Insufficient Evidence). Source needed: Needed: a dated, saved copy of BDA's official website annual report or publications page showing its latest annual report (FY 2025-26, or FY 2024-25 if that is the latest due), with the file type recorded (searchable PDF, HTML or scanned image). Also useful: Karnataka Legislature papers-laid lists from recent sessions showing BDA annual reports with a working link to the document on a .gov.in or .nic.in site.</t>
  </si>
  <si>
    <t xml:space="preserve">ANSWER: I could only partly answer this. The latest BMRCL annual report in the Citation Sheet is for FY 2020-21. It is online as a text-readable, downloadable PDF on the Karnataka Legislative Council's papers-laid page. As of September 2026, the immediately preceding FY (2025-26), or the latest report due (probably FY 2024-25), would be needed for the currency marks. FY 2020-21 is well outside that window. However, the sheet contains no capture of BMRCL's own website or of later papers laid. So I cannot confirm that newer reports are missing, and I cannot score currency as 0. | EVIDENCE: BMRCL-01 (kla.kar.nic.in council papers-laid PDF): the index lists the AGM notice, Chairman's Speech, Board's Report, Independent Auditor's Report, CAG comments, and the Balance Sheet, P&amp;L and Cash Flow for FY 2020-21. Statutory auditor report dated 24-08-2021. CAG letter dated 22 October 2021 says: 'Ten copies of the Annual Report for the year 2020-21 may please be furnished in due course.' Format: the body text extracts as text, so it is a searchable PDF, not image-only. Pages 1-2 extracted empty, probably cover pages. The Board's Report (p.40) says the annual return is placed on www.bmrc.co.in. That is an annual return under Companies Act s.92(3), not the annual report, so I did not count it as evidence. The other citations (BMRCL-15, -18, -21, -31, -34, -35, -47) are laws, policies or project documents, and none is a BMRCL annual report. | CAVEATS: Currency is undetermined, not 0, because</t>
  </si>
  <si>
    <t xml:space="preserve">4. Ten copies of the Annual Report for the year 2020-21 may please be furnished in due course.</t>
  </si>
  <si>
    <t xml:space="preserve">I left the Score blank. It needs a reviewer to check BMRCL's own website, which the Citation Sheet does not cover (VERIFICATION-LIMIT).
What the sheet shows: the most recent BMRCL annual report anywhere in the Citation Sheet is for FY 2020-21 (BMRCL-01). It is a PDF laid before the Karnataka Legislative Council, hosted on kla.kar.nic.in. It contains:
- the AGM notice dated 09-11-2021
- the Board's Report
- the Secretarial Audit dated 14-07-2021
- the statutory auditor's report dated 24-08-2021
- the CAG comments dated 22-10-2021
- the audited financial statements for the year ended 31 March 2021
Currency (worth 0.5): the question is assessed as of September 2026. The report needed is for the immediately preceding year, FY 2025-26, or the latest report due, probably FY 2024-25. FY 2020-21 is well outside that window. I still cannot give 0 for currency, because absence is not shown. BMRCL's own website (annual reports / investor pages) is not in the Citation Sheet, and neither are later papers laid before the Karnataka legislature. A search of the sheet for later reports found nothing beyond BMRCL-01. None of the other sources (BMRCL-15, -18, -21, -31, -34, -35, -46, -47) is an annual report: they are Acts, policies, a bill, an EIA and an index page. The Board's Report (p.40) says the annual return is placed at www.bmrc.co.in. That is the annual return under Companies Act s.92(3), not the annual report, so it is not evidence either way.
Format (worth 0.5): the FY 2020-21 PDF has extractable, searchable text and can be downloaded, so it meets the format standard. But the format of the current or latest-due report is unknown. Since the Score is one combined number and the currency part is undetermined, I did not enter a partial score.
Recorded per the methodology: latest information found is FY 2020-21 (Apr 2020 to Mar 2021). Documents in it are dated up to 09-11-2021.
For the reviewer:
1. Check BMRCL's official website and Karnataka papers-laid pages for the FY 2021-22 to FY 2025-26 annual reports, and capture dated screenshots as the scorer notes require.
2. Confirm whether a report hosted on the state legislature site counts as 'publicly available online' for BMRCL.
3. BMRCL's eligibility as a parastatal (it is a company) is still pending team confirmation.
If the reviewer finds no current report: currency scores 0, and format can only score 0.5 if the team decides format is judged on the latest report found. That would give a total of 0.5 on the FY 2020-21 report. If a current text-searchable report is found, the score would be 1.</t>
  </si>
  <si>
    <r>
      <rPr>
        <sz val="11"/>
        <color theme="1"/>
        <rFont val="Calibri"/>
        <family val="2"/>
        <charset val="1"/>
      </rPr>
      <t xml:space="preserve">ANSWER: Not determined. BMRDA's official website links to a document called 'Annual Report' under 'Budget and Annual Reports'. The file name says 2023-24, but the report itself, and the 'Budget and Annual Reports' page that may list other years, are not in the Citation Sheet. So the year it covers, whether it is the latest report due, and whether it is text-searchable or scanned are all unverified. Availability and currency: ? (a link exists, but the period is shown only by the file name). Format: ? (the PDF was not opened). | EVIDENCE: (1) BMRDA-02, BMRDA English home page (bmrda.karnataka.gov.in, BMRDA's own government domain): the 'Department Documents' menu has 'Budget and Annual Reports' (/40/budget-and-annual-reports/en) with a sub-link 'Annual Report' to storage/pdf-files/'2023-24 Anual Report.pdf', plus a separate 'Budget' page. (2) BMRDA-04, Kannada home page: the same link ('</t>
    </r>
    <r>
      <rPr>
        <sz val="11"/>
        <color theme="1"/>
        <rFont val="Noto Sans"/>
        <family val="2"/>
      </rPr>
      <t xml:space="preserve">ವಾರ್ಷಿಕ ವರದಿ</t>
    </r>
    <r>
      <rPr>
        <sz val="11"/>
        <color theme="1"/>
        <rFont val="Calibri"/>
        <family val="2"/>
        <charset val="1"/>
      </rPr>
      <t xml:space="preserve">' to the same '2023-24 Anual Report.pdf'). (3) BMRDA-13, Local Planning Areas page: the Local Planning Authorities' functions include 'preparation of Annual Report as per the provisions of Karnataka Town &amp; Country Planning Act, 1961'. This is about the Local Planning Authorities, not BMRDA's own report. (4) BMRDA-11, KTCP Act s.68D (PRS copy): 'Every Planning Authority shall prepare for every year a report of its activities'. This covers Planning Authorities, and the due date is left to rules ('on or before such date as may be prescribed'). It does not set BMRDA's own reporting duty </t>
    </r>
  </si>
  <si>
    <t xml:space="preserve">[https://bmrda.karnataka.gov.in/40/budget-and-annual-reports/en] Budget and Annual Reports [https://bmrda.karnataka.gov.in/storage/pdf-files/2023-24 Anual Report.pdf] Annual Report</t>
  </si>
  <si>
    <t xml:space="preserve">Score left blank. The Citation Sheet doesn't settle either half (availability/currency 0.5 or format 0.5). Checked: BMRDA-02 (English home page) and BMRDA-04 (Kannada home page). Both link to an 'Annual Report' PDF whose file name says '2023-24 Anual Report.pdf', from the menu item 'Budget and Annual Reports' (/40/budget-and-annual-reports/en). A search of the whole Citation Sheet for newer annual reports (2024-25, 2025-26) found nothing. BMRDA-01 (Contact Us page) has only the same menu. BMRDA-11 (KTCP Act s.68D) and BMRDA-13 cover reports by Local Planning Authorities, not BMRDA's own. (1) Currency: the year 2023-24 comes only from the file name. The PDF itself and the 'Budget and Annual Reports' page, which may list newer years, are not in the Citation Sheet and were not read. Dates on the site (uploads of July 2026 notices, the '© 2026' footer) suggest the immediately preceding FY is 2025-26, so a 2023-24 report would probably be out of date. But the sheet has no due date under the BMRDA Act 1985 or its Rules, and no confirmation that nothing newer exists. A 0 needs proof of absence, so I can't give one. (2) Format: the PDF was not opened, so I can't tell whether it is searchable text or a scanned image. VERIFICATION-LIMIT. A reviewer should: open the /40/budget-and-annual-reports/en page and the annual report PDF; record the latest FY actually covered; check whether the PDF is searchable text or scanned; take dated screenshots, as the question bank asks; and confirm which report counts as the latest one due. If 2023-24 is the latest report and it is out of date, currency = 0. Format then gets 0.5 if the PDF is searchable text, 0 if it is scanned.</t>
  </si>
  <si>
    <t xml:space="preserve">DPG5d</t>
  </si>
  <si>
    <t xml:space="preserve">Meeting minutes of governing board</t>
  </si>
  <si>
    <t xml:space="preserve">Step 2 found no evidence: a source needs to be found and added. Step 2 found no evidence (Insufficient Evidence). Source needed: Saved copies, with access dates, of BWSSB's official website pages that publish governing board minutes or proceedings: a 'Board meetings/Proceedings' page or the RTI Act s.4(1)(b) proactive-disclosure page. They must show at least one set of minutes dated in FY 2025-26 or FY 2026-27, and record the file format (searchable PDF/HTML/DOC versus scanned image). If BWSSB does not publish them, an RTI reply from the BWSSB PIO would confirm that, but it would not make the minutes count as published online.</t>
  </si>
  <si>
    <t xml:space="preserve">Step 2 found no evidence: a source needs to be found and added. Step 2 found no evidence (Insufficient Evidence). Source needed: BMTC's own website section holding Board of Directors meeting minutes or proceedings (or its RTI s.4(1)(b) proactive-disclosure page listing board decisions), with dated minutes from FY 2025-26 or FY 2026-27. Each document should be opened to record its file type (searchable PDF/HTML/DOC versus scanned image). A BMTC annual report tabled in the Karnataka legislature that lists board meetings could add context but would not replace published minutes.</t>
  </si>
  <si>
    <t xml:space="preserve">Step 2 found no evidence: a source needs to be found and added. Step 2 found no evidence (Insufficient Evidence). Source needed: BDA's official website page (or a state-government page) that publishes the minutes or proceedings of Authority/board meetings, with dates. We need at least one set from FY 2025-26 or FY 2026-27, a saved copy of the document so its format can be checked (searchable PDF/HTML/DOC vs scanned image), and a dated screenshot. BDA's RTI s.4(1)(b) proactive disclosure page may also list board proceedings.</t>
  </si>
  <si>
    <t xml:space="preserve">Step 2 found no evidence: a source needs to be found and added. Step 2 found no evidence (Insufficient Evidence). Source needed: Saved, dated copies of BMRCL's official website pages where Board minutes or decisions would be published (Board of Directors / disclosures / RTI Act s.4(1)(b) proactive disclosure pages), showing any minutes from FY 2025-26 or FY 2026-27 and their file type (searchable PDF/HTML/DOC versus scanned). Alternatively, a BMRCL statement or RTI reply confirming whether Board minutes are published online.</t>
  </si>
  <si>
    <t xml:space="preserve">Step 2 found no evidence: a source needs to be found and added. Step 2 found no evidence (Insufficient Evidence). Source needed: Any of these, saved and dated: BMRDA's minutes or proceedings of Authority / Executive Committee meetings from FY 2025-26 or FY 2026-27 on bmrda.karnataka.gov.in; or the full sitemap and RTI s.4(1)(b) disclosure PDFs, read through to show whether proceedings are published or not. If they are not published, the minutes can be obtained from BMRDA's PIO.</t>
  </si>
  <si>
    <t xml:space="preserve">DPG5f</t>
  </si>
  <si>
    <t xml:space="preserve">Organisation and staffing information</t>
  </si>
  <si>
    <t xml:space="preserve">Step 2 found no evidence: a source needs to be found and added. Step 2 found no evidence (Insufficient Evidence). Source needed: A dated saved copy of BWSSB's official website pages showing its current organisational structure, from FY2025-26 or FY2026-27. Examples: an organisation chart, an officers'/staff directory with designations and contacts, or the RTI Act s.4(1)(b) proactive disclosure (manual) listing posts and officers. The copy should record the file format (HTML, searchable PDF, image-only, or XLS/CSV) and the date of access.</t>
  </si>
  <si>
    <t xml:space="preserve">Step 2 found no evidence: a source needs to be found and added. Step 2 found no evidence (Insufficient Evidence). Source needed: Pages from BMTC's official website (mybmtc.karnataka.gov.in) showing its current organisational structure, each saved with the date of access: (a) an organisation chart (note whether it is searchable PDF/HTML or image-only); (b) an officers/staff directory with posts and officials; (c) the RTI Act Section 4(1)(b) proactive-disclosure manual (organisation, functions, duties; directory of officers and employees), with its date or FY of update. Or: BMTC's latest annual report listing sanctioned and working posts, if published on an official site.</t>
  </si>
  <si>
    <t xml:space="preserve">Step 2 found no evidence: a source needs to be found and added. Step 2 found no evidence (Insufficient Evidence). Source needed: A dated, saved copy of BDA's official website page (with an access date) showing its current organisational structure: an organisation chart, an officers/staff directory with designations, or a list of sanctioned and working posts (HTML, searchable PDF or XLS/CSV). Alternatively, BDA's latest RTI Act s.4(1)(b) proactive-disclosure manual listing officers and employees, dated within the current or preceding FY. Note the file type (HTML/searchable PDF/scanned/image) for the format part of the rubric.</t>
  </si>
  <si>
    <t xml:space="preserve">Step 2 found no evidence: a source needs to be found and added. Step 2 found no evidence (Insufficient Evidence). Source needed: A dated saved copy of BMRCL's own web page showing its current structure: an organisation chart, an officers/staff directory, or the RTI Section 4(1)(b) disclosures (organisation, functions, officers' directory, staff numbers) updated in FY 2025-26 or FY 2026-27. Note its format (HTML, searchable PDF, XLS/CSV, or image/scanned). A recent BMRCL Annual Report (FY 2024-25 or FY 2025-26) giving manpower and Board composition would also help with currency.</t>
  </si>
  <si>
    <t xml:space="preserve">ANSWER: The format half is met, but currency can't be confirmed, so no score is proposed. BMRDA's official website has a searchable HTML 'Contact Us' staff directory. It lists posts (Metropolitan Commissioner down to Account Superintendent), the officials holding them, posts marked 'Vacant' and office phone numbers. That meets the minimum format/accessibility standard ('HTML organisation/staff directory ... with identifiable posts/officials'). Currency is undetermined. The directory carries no date and the site footer's 'Last Updated:' field is blank, so no source in the Citation Sheet shows that it reflects the current structure or was updated in FY 2025-26 or FY 2024-25. | EVIDENCE: (1) BMRDA-01 (bmrda.karnataka.gov.in Contact Us page): a table with Name / Designation / Office Number. It lists 'Sri. Rajendra P Cholan, Metropolitan Commissioner', 'Smt. Suma J, Metropolitan Planner and Director', Additional Metropolitan Commissioner, Joint Metropolitan Commissioner, 2 Joint Directors, Accounts Officer, and Deputy/Assistant Director posts, many marked 'Vacant'. (2) BMRDA-02 (English home page): names 'SRI RAJENDRA CHOLAN P, IAS, Metropolitan Commissioner BMRDA', which matches the directory. It also shows gallery items 'INDEPENDENCE DAY 2025' and 'republic day 26/01/2025', a news item dated '2 months ago' and a '© 2026' footer. So the site was being maintained in 2025-26, but that is not a dated update of the directory itself. The home page also links an 'Organisation chart' PD</t>
  </si>
  <si>
    <t xml:space="preserve">Bangalore Metropolitan Region Development Authority — official website [BMRDA-01]</t>
  </si>
  <si>
    <t xml:space="preserve">https://bmrda.karnataka.gov.in/page/Contact+Us/en</t>
  </si>
  <si>
    <t xml:space="preserve">Sri. Rajendra P Cholan
Metropolitan Commissioner
080-22255493</t>
  </si>
  <si>
    <t xml:space="preserve">Score left blank because the currency half cannot be decided from the Citation Sheet. This does not mean the score is 0.
(1) Minimum format/accessibility: met (0.5). BMRDA-01 is BMRDA's official Contact Us page on bmrda.karnataka.gov.in. It is a searchable HTML staff directory showing posts, the officials holding them and posts marked 'Vacant'. The posts run from Metropolitan Commissioner through Metropolitan Planner and Director, Additional and Joint Metropolitan Commissioner, Joint Directors, Deputy and Assistant Directors and Accounts Officer, down to Account Superintendant. That meets the 'HTML organisation/staff directory with identifiable posts/officials' standard.
(2) Availability and currency: cannot be decided. The directory has no date, and the footer field 'Last Updated:' is blank. BMRDA-02 (home page) names the same Metropolitan Commissioner, and the site shows 2025 activity ('INDEPENDENCE DAY 2025', 'republic day 26/01/2025', '© 2026'). That shows the website is maintained, but not that the directory itself was updated in FY 2025-26 or FY 2024-25. No dated appointment or posting order for current officers is in the Citation Sheet. I searched for this and found none. The linked organisation-chart PDF (ORGNenglish.pdf) and the RTI 4(1)(b) PDF (whose file name says 2019-20) are not captured, so their date and format are unknown.
Since currency is undecided, the total cannot be computed. The only possible totals are 0.5 (if not current) or 1.0 (if current), and I won't guess between them. Latest information found: the directory is undated; the surrounding site shows activity in 2025 and a © 2026 notice.
For a human reviewer: (a) take a dated screenshot of the Contact Us page, as the Notes for scorers require; (b) check the current Metropolitan Commissioner, Additional Metropolitan Commissioner and Metropolitan Planner against a dated Karnataka government posting order; (c) open ORGNenglish.pdf and record its date and whether it is searchable or image-only. If the directory is confirmed current, the score is 1.0; if not, 0.5.</t>
  </si>
  <si>
    <t xml:space="preserve">DPG5g</t>
  </si>
  <si>
    <t xml:space="preserve">Major plans / projects</t>
  </si>
  <si>
    <t xml:space="preserve">Step 2 found no evidence: a source needs to be found and added. Step 2 found no evidence (Insufficient Evidence). Source needed: A dated, saved copy of BWSSB's own official website pages (projects or ongoing-works page, project dashboard or list in HTML/XLS/CSV, and any searchable plan PDF such as a current water-supply/sewerage master plan, Stage V/VI project pages or the latest annual report) showing content for FY 2025-26 or FY 2026-27, with the date of access. The site must also be shown to be official via a link from a .gov.in page (KarnatakaOne links to www.bwssb.org).</t>
  </si>
  <si>
    <t xml:space="preserve">Step 2 found no evidence: a source needs to be found and added. Step 2 found no evidence (Insufficient Evidence). Source needed: Saved copies of the BMTC website's projects or plans section (e.g. a project list or dashboard, a fleet-induction or e-bus project status page, a depot/TTMC works page), plus any BMTC plan document for FY 2025-26 or FY 2026-27 (e.g. an Annual Implementation Plan under BMLTA Act s.25, an annual plan or budget with a capital works list, or the latest annual administration report). Each needs a date of access and its file type recorded (text PDF, scanned PDF, HTML table, XLS/CSV).</t>
  </si>
  <si>
    <t xml:space="preserve">Step 2 found no evidence: a source needs to be found and added. Step 2 found no evidence (Insufficient Evidence). Source needed: A dated, saved copy of BDA's official website pages, with the domain shown to be official through a link from a .gov.in/.nic.in page. Needed: (a) the major-plans page (e.g. the current Revised Master Plan or development-scheme documents), recording whether they are text-searchable or scanned PDFs and their date; (b) the ongoing-projects page, dashboard or list (HTML table / XLS / CSV vs images), with dates in FY 2025-26 or FY 2026-27. Each needs a dated screenshot or archived URL.</t>
  </si>
  <si>
    <t xml:space="preserve">ANSWER: Undetermined. The Citation Sheet has none of BMRCL's own web pages: no project page, project dashboard or project list. So I could not check whether major plans or ongoing-project information are online for the current FY (2026-27) or the one before (2025-26). The newest project information in the sheet is in BMRCL's Annual Report 2020-21, published on the state legislature site. It gives Phase-2 physical progress up to August 2021 and financial progress up to 31 March 2021. That is older than the rubric allows. The report's text can be extracted, but it is an annual report, not a project dashboard or plan, and it is not on BMRCL's website. | EVIDENCE: (1) BMRCL-01, Annual Report FY 2020-21, Board's Report pp. 23-35 (printed pages 24-33): Phase-2 scope (72.09 km, revised cost Rs.30,695.12 Crore, 'programmed to be completed by March, 2025'), reach-wise progress, land acquisition, and financial progress as of 31.03.2021. The text is extractable, so it is not a scanned-only PDF. Latest date of information: August 2021 (physical progress); FY 2020-21 (financial). (2) BMRCL-21, EIA for the Gottigere-Nagavara corridor (Line 6), Phase II, from the EIB register: a lender safeguard document. It is not hosted by BMRCL, and the excerpts read show no date. It is a project assessment, not current project-status information. (3) Not relevant to practice: BMRCL-34 (GBA Act s.14(4), GBA coordination and supervision of BMRCL; s.15 major projects), BMRCL-35 (BMLTA Act s.25, a duty for </t>
  </si>
  <si>
    <t xml:space="preserve">The Physical progress of Phase-2 upto August, 2021 was 58%. The construction of Phase-2 is under progress in all the Reaches.</t>
  </si>
  <si>
    <t xml:space="preserve">I left the score blank because the Citation Sheet can't settle either component. I agree with Step 2's 'Undetermined'.
**Latest information found:** FY 2020-21. Physical progress runs to August 2021 and financial progress to 31.03.2021. It comes from BMRCL-01, the Annual Report 2020-21 laid before the Karnataka Legislative Council. It is not on BMRCL's own website.
**Currency (0.5):** The rubric window is FY 2026-27 or FY 2025-26, so the latest information found is too old. But none of BMRCL's own web pages are in the Citation Sheet: no project-status page, ongoing-works page, Phase-2A/2B/3 page, plan or recent annual report. BMRCL-01 (Board's Report, item 7, Company's Website) says its official website, www.bmrc.co.in, carries 'new project, project status, contracts…'. That site was never captured or read. So I can't establish affirmative absence, and a 0 for currency is not justified (VERIFICATION-LIMIT).
**Format (0.5):** BMRCL-01 has extractable text. However, it is an outdated annual report hosted by a third party, not a current plan or project dashboard. I can't assess the format of BMRCL's current online material.
**Other sources checked:**
- BMRCL-21 (EIA for Line 6, Phase II, from the EIB register) is a lender safeguard document. It is not hosted by BMRCL, has no date in the excerpts read, and is not current project status.
- BMRCL-15, BMRCL-18, BMRCL-31, BMRCL-34, BMRCL-35 and BMRCL-46 are laws, bills and policies. They set mandates but don't show anything was published.
- BMRCL-47 is DULT's index page.
- A search of the whole sheet for current or Phase-3 project status found nothing newer than FY 2020-21.
**Reviewer action:** Open BMRCL's official website and capture dated screenshots of:
1. the project/ongoing-works pages (Phase-2A/2B/3);
2. any plan documents;
3. the latest annual report.
Then record the FY of the latest information and check the format: a searchable PDF, an HTML dashboard or table, or XLS/CSV. That is the evidence the question bank asks for. BMRCL-01 also predates the Greater Bengaluru Governance Act (BBMP era), so treat it as historical only.</t>
  </si>
  <si>
    <t xml:space="preserve">Step 2 found no evidence: a source needs to be found and added. Step 2 found no evidence (Insufficient Evidence). Source needed: Saved, dated copies of: (1) BMRDA's current major plan documents as published on bmrda.karnataka.gov.in (Structure Plan 'Reports' PDF, the LPA 'Proposed Draft Mobility Plan' PDFs, the Land Utilization Plan 2031 and Transport Networks 2031 pages), with their dates and a check that the text is searchable rather than scanned; (2) any BMRDA page, table or downloadable list of ongoing projects (e.g. GBIT or regional infrastructure projects), or the FY 2025-26 / 2026-27 annual report or budget listing ongoing projects; (3) dated screenshots of each.</t>
  </si>
  <si>
    <t xml:space="preserve">DPG5h</t>
  </si>
  <si>
    <t xml:space="preserve">Service-level benchmarks and performance reports</t>
  </si>
  <si>
    <t xml:space="preserve">Step 2 found no evidence: a source needs to be found and added. Step 2 found no evidence (Insufficient Evidence). Source needed: Needed: BWSSB's own official web pages (or an official .gov.in / .nic.in page) carrying FY 2025-26 or FY 2026-27 performance information, such as an SLB report (water coverage, per-capita supply, NRW, metering, cost recovery, sewerage coverage, complaint redress), a BWSSB annual report or administration report, or a performance dashboard. Each should be saved with its access date and its file format recorded (XLSX/CSV/structured HTML vs text PDF vs scanned PDF). A state SLB gazette or MoHUA SLB publication for Bengaluru would also help.</t>
  </si>
  <si>
    <t xml:space="preserve">Step 2 found no evidence: a source needs to be found and added. Step 2 found no evidence (Insufficient Evidence). Source needed: Needed: BMTC's own current publications, with access dates. Specifically: the latest Annual Administration Report or Annual Report (FY 2024-25 or 2025-26) on the BMTC website or tabled in the Karnataka Legislature; any operational-statistics, MIS or performance page or dashboard (fleet, effective km, ridership, EPKM/CPKM, cancellations, punctuality), with its file format (XLS/CSV/HTML table vs PDF or scanned); and any open-data listing (e.g. on a Government of India or Karnataka open-data portal) of BMTC performance datasets. A dated screenshot of each page type is also needed.</t>
  </si>
  <si>
    <t xml:space="preserve">Step 2 found no evidence: a source needs to be found and added. Step 2 found no evidence (Insufficient Evidence). Source needed: Needed: (a) BDA's official website (domain shown to be official from a gov.in or nic.in page) and any performance, service-level, MIS or dashboard page or annual report for FY 2025-26 or 2026-27, with the date accessed and the file format recorded; (b) recent BDA annual reports or accounts tabled in the Karnataka Legislature (papers-laid pages for recent sessions), with the readable report text; (c) any Sakala or open-data portal listing BDA service performance statistics in CSV/XLS or downloadable form.</t>
  </si>
  <si>
    <t xml:space="preserve">Step 2 found no evidence: a source needs to be found and added. Step 2 found no evidence (Insufficient Evidence). Source needed: BMRCL's official website pages for FY 2025-26 or 2026-27, saved with access dates. These would be ridership and operating statistics pages, any service-level benchmark or KPI dashboard (punctuality, train availability, trips run), and the Annual Report for FY 2024-25 or 2025-26. For the format part, we would need any CSV/XLS/ODS downloads or structured HTML tables of that data. The current-FY BMRCL annual report tabled in the Karnataka Legislature would also show what is published.</t>
  </si>
  <si>
    <t xml:space="preserve">Step 2 found no evidence: a source needs to be found and added. Step 2 found no evidence (Insufficient Evidence). Source needed: Saved, dated copies of four things: (a) BMRDA's 'Budget and Annual Reports' page and Budget page, to show whether a 2024-25 or 2025-26 annual or performance report is published; (b) the 2023-24 Annual Report PDF itself, to check whether it holds performance or service-level information and whether it is text, scanned or structured data; (c) any BMRDA service-level or performance dashboard or data file, for example service delivery statistics for change of land use and layout approvals, in CSV/XLSX or as an HTML table; (d) a current Citizen Charter with service time limits.</t>
  </si>
  <si>
    <t xml:space="preserve">DPG5i</t>
  </si>
  <si>
    <t xml:space="preserve">Citizen / Service Charter</t>
  </si>
  <si>
    <t xml:space="preserve">Step 2 found no evidence: a source needs to be found and added. Step 2 found no evidence (Insufficient Evidence). Source needed: BWSSB's current Citizen/Consumer Charter as published on BWSSB's official website (or a Government of Karnataka .gov.in page), fetched and saved with an access date, with the document type recorded (HTML / searchable PDF / scanned PDF) and its date or version. The Sakala service-guarantee schedule entries for BWSSB services would add supporting context.</t>
  </si>
  <si>
    <t xml:space="preserve">Step 2 found no evidence: a source needs to be found and added. Step 2 found no evidence (Insufficient Evidence). Source needed: Needed: a saved, dated copy of BMTC's Citizen or Service Charter, either as a page or a downloadable file on BMTC's official website, with its date of issue or the period it covers. A saved copy is needed to judge the format: a searchable page or text PDF versus a scanned image. Alternatively, a saved copy of the Karnataka Sakala service-guarantee schedule listing BMTC services, if the team counts that as a Charter. Failing that, a full saved copy of the BMTC website's menus and downloads pages, to support a finding that no Charter is published.</t>
  </si>
  <si>
    <t xml:space="preserve">Step 2 found no evidence: a source needs to be found and added. Step 2 found no evidence (Insufficient Evidence). Source needed: BDA's currently applicable Citizen/Service Charter as published on its official website (a webpage or downloadable document), with its date or version and its file type: HTML, searchable PDF or scanned PDF. Also a dated screenshot or archived URL with the access date. As a supporting source, the Karnataka Sakala service-guarantee schedule entries for BDA services.</t>
  </si>
  <si>
    <t xml:space="preserve">Step 2 found no evidence: a source needs to be found and added. Step 2 found no evidence (Insufficient Evidence). Source needed: A dated, saved copy of the BMRCL Citizen or Service Charter as currently published on BMRCL's official website (or on a Karnataka government .gov.in or .nic.in page, e.g. Sakala listing BMRCL services). It should show the charter's date or version, that it is still in force, and its file type (HTML, searchable PDF or scanned image), plus the access date.</t>
  </si>
  <si>
    <r>
      <rPr>
        <sz val="11"/>
        <color theme="1"/>
        <rFont val="Calibri"/>
        <family val="2"/>
        <charset val="1"/>
      </rPr>
      <t xml:space="preserve">ANSWER: BMRDA's official website links to a Citizen Charter, but the charter itself is not in the Citation Sheet. The link is a PDF whose filename says 2020-21, in English and in Kannada. I can't confirm (a) that this charter is still in force, so availability and currency stay open, or (b) whether the PDF is searchable text or a scanned image, so format stays open. Neither half of the rubric can be scored. | EVIDENCE: BMRDA-02 (English home page, bmrda.karnataka.gov.in, an official .gov.in domain): the INTRODUCTION menu lists 'Citizen Charter', linked to the PDF file 'CITIZEN CHARTER-2020-21 eng.pdf'. BMRDA-04 (Kannada home page): the matching menu item '</t>
    </r>
    <r>
      <rPr>
        <sz val="11"/>
        <color theme="1"/>
        <rFont val="Noto Sans"/>
        <family val="2"/>
      </rPr>
      <t xml:space="preserve">ನಾಗರಿಕ ಸನ್ನದ್ದು</t>
    </r>
    <r>
      <rPr>
        <sz val="11"/>
        <color theme="1"/>
        <rFont val="Calibri"/>
        <family val="2"/>
        <charset val="1"/>
      </rPr>
      <t xml:space="preserve">' links to 'CITIZEN CHARTER-2020-21 ka.pdf'. BMRDA-01 (Contact Us page): has the same site menu and no charter text. A search of the Citation Sheet for 'Citizen Charter' and for 'Sakala / service guarantee' found nothing else. The other sources are the 2031 structure plan draft (BMRDA-05), PRS copies of the Greater Bengaluru Governance Act (BMRDA-10) and the Karnataka Town and Country Planning Act (BMRDA-11), and site pages (BMRDA-13, BMRDA-14); none contains BMRDA's charter. | CAVEATS: The only date evidence is the '2020-21' in the filename. The rubric does not treat a charter as outdated just because it is older than the preceding financial year, as long as it is still in force. So currency depends on whether this charter is still the current one, which no source in the sheet shows. A filename is metadata, n</t>
    </r>
  </si>
  <si>
    <t xml:space="preserve">[https://bmrda.karnataka.gov.in/storage/pdf-files/CITIZEN CHARTER-2020-21 eng.pdf] Citizen Charter</t>
  </si>
  <si>
    <t xml:space="preserve">I left the score blank because of a VERIFICATION-LIMIT. BMRDA's official home page (BMRDA-02, bmrda.karnataka.gov.in) links to a Citizen Charter PDF in its INTRODUCTION menu. The Kannada home page (BMRDA-04) links to a matching Kannada PDF. The charter itself was never fetched into the Citation Sheet. I searched the sheet for 'Citizen Charter services time limit'. It turned up only the home-page menus and unrelated parts of the 2031 structure plan draft (BMRDA-05). No source in the sheet contains the charter text.
Why neither half can be scored:
(1) Availability and currency (0.5): a link exists, but no source shows that the document opens, that it is a citizen or service charter, or that it is still in force. The only date is '2020-21' in the filename, and a filename is metadata. Latest date found: FY 2020-21, from the filename only.
(2) Format (0.5): no source shows whether the PDF is searchable text or a scanned image.
A 0 is not allowed: a link to a charter exists, so absence is not shown, and a page that could not be opened is a verification limit, not a negative finding. I agree with the Step 2 answer.
For the reviewer: open both charter PDFs from the BMRDA home page and check (a) the document opens and is a charter, (b) its date and whether it is still in force, and (c) whether you can select or search its text. Capture dated screenshots, as the notes for scorers require.</t>
  </si>
  <si>
    <t xml:space="preserve">DPG5j</t>
  </si>
  <si>
    <t xml:space="preserve">RTI details and designated Public Information Officer contact/procedure</t>
  </si>
  <si>
    <t xml:space="preserve">Step 2 found no evidence: a source needs to be found and added. Step 2 found no evidence (Insufficient Evidence). Source needed: Saved copies of these, with the date each was opened: (1) BWSSB's RTI page, or its proactive disclosure document under RTI Act s.4(1)(b), naming the current PIOs, APIOs and First Appellate Authorities, with their addresses, phone numbers and emails, plus the procedure and fee for filing a request. (2) A record of the format, i.e. an HTML page or searchable PDF vs an image or scanned PDF. (3) Any proof that the named office-holders are current, for example cross-checked against recent transfer or posting orders. A Karnataka government RTI portal listing BWSSB's PIOs would also count.</t>
  </si>
  <si>
    <t xml:space="preserve">ANSWER: Only partly established. BMTC's official website has an RTI menu. It links to an 'RTI' page, to 'Online RTI' on the state portal, to 'RTI 4(1)A' and 'RTI 4(1) B', and to a PDF called 'List of PIO-APIO-AA'. The PDF's file name suggests it was updated on 04-06-2024. None of these BMTC RTI pages, and not the PIO/APIO/Appellate Authority PDF, is saved in the Citation Sheet. So I cannot confirm that current PIO/APIO names and contact details are published, that they are still valid, or what format they are in (searchable PDF or HTML vs scanned or image-only). The Karnataka RTI Online portal does describe a general online filing procedure for state public authorities. However, the saved page does not show that BMTC is listed among the portal's public authorities, and it gives no BMTC PIO details. | EVIDENCE: (1) BMTC-44 (BMTC 'Contact Us' page, official site 'Content Owned and maintained by: Bengaluru Metropolitan Transport Corporation', 'Last Updated: 30-09-2026'). Its navigation menu has links labelled 'RTI', 'Online RTI', 'RTI 4(1)A', 'RTI 4(1) B' and 'List of PIO-APIO-AA' (file RTIPIOENGupdated04-6-24.pdf). The page body gives only the head office address (K H Road, Shanthinagar, Bangalore-560027) and a general helpline (080 22483777). It names no PIO. (2) BMTC-46 (BMTC 'Rules And Regulations' page) has the same RTI navigation links and no PIO details in its body. (3) BMTC-41 (Karnataka RTI Online portal, Centre for e-Governance, DPAR) offers online filing of RTI reques</t>
  </si>
  <si>
    <t xml:space="preserve">Step 2 found no evidence: a source needs to be found and added. Step 2 found no evidence (Human Verification Required). Source needed: Saved, dated copies of three things: (a) BMTC's RTI webpage; (b) the 'List of PIO-APIO-AA' document on BMTC's official site, showing PIO/APIO/Appellate Authority names, designations and contact details, its date, and whether it is a searchable text PDF/HTML or a scanned image; (c) the Karnataka RTI Online portal's public-authority list or PIO/FAA details page showing BMTC. A reviewer should also check that the named office-holders are still in post (for example against recent BMTC transfer or posting orders).</t>
  </si>
  <si>
    <t xml:space="preserve">Step 2 found no evidence: a source needs to be found and added. Step 2 found no evidence (Insufficient Evidence). Source needed: BDA's current RTI page or Section 4(1)(b) proactive disclosure from its official website (or an official Karnataka government page), listing the current PIO/APIO and appellate authority names, designations and contacts, and how to file a request and pay the fee. Record the date of access and the file type (HTML page, searchable PDF, or scanned/image-only) for each document.</t>
  </si>
  <si>
    <t xml:space="preserve">Step 2 found no evidence: a source needs to be found and added. Step 2 found no evidence (Insufficient Evidence). Source needed: A dated saved copy of BMRCL's official website RTI page, or its RTI/Section 4(1)(b) disclosure document. It should list the current PIO(s), APIO(s) and First Appellate Authority with names, designations and contact details, plus the RTI application procedure (fee, mode, address). It should also show its file type (HTML or searchable PDF vs scanned or image-only) and the date it was accessed. The website must be shown to be BMRCL's official domain, e.g. by a link from a .gov.in/.nic.in page.</t>
  </si>
  <si>
    <t xml:space="preserve">Step 2 found no evidence: a source needs to be found and added. Step 2 found no evidence (Insufficient Evidence). Source needed: Saved, dated copies of: (a) BMRDA's 'Right To Information' web page; (b) the current RTI Act s.4(1)(b) disclosure (English and Kannada PDFs), which normally lists the PIO, APIO and Appellate Authority with contacts and the procedure and fee for applying; (c) BMRDA's entry on the Karnataka online RTI portal. For each, record whether it is HTML, a searchable PDF or a scanned/image PDF, and whether the named officers match current office-holders (for example against the Contact Us page or a recent order).</t>
  </si>
  <si>
    <t xml:space="preserve">DPG5k</t>
  </si>
  <si>
    <t xml:space="preserve">Procurement / tender notices and awarded-contract details</t>
  </si>
  <si>
    <t xml:space="preserve">Step 2 found no evidence: a source needs to be found and added. Step 2 found no evidence (Insufficient Evidence). Source needed: Two things would answer this. (1) A dated saved copy or screenshot of BWSSB's official tenders/procurement web page, showing tender notices and awarded contracts with their dates (current FY 2026-27 or FY 2025-26). (2) The Karnataka Public Procurement Portal (state e-procurement) listing filtered for BWSSB, showing published tenders and award/contract details, with the format recorded (searchable table, HTML register, CSV/XLSX, or individual or scanned PDFs).</t>
  </si>
  <si>
    <t xml:space="preserve">Step 2 found no evidence: a source needs to be found and added. Step 2 found no evidence (Insufficient Evidence). Source needed: Three things are needed: (1) BMTC's official tenders page (and any awarded-contracts or work-order page), saved with the access date, showing the dates of the latest tenders and awards; (2) a filtered listing of BMTC tenders and awards from the Karnataka state public-procurement (e-procurement) portal, showing whether it is a searchable table or downloadable dataset, or only individual PDFs; (3) dated screenshots of each.</t>
  </si>
  <si>
    <t xml:space="preserve">Step 2 found no evidence: a source needs to be found and added. Step 2 found no evidence (Insufficient Evidence). Source needed: Two kinds of saved, dated copy are needed. First, BDA's own official website section for tenders, notices or awarded contracts. Second, the Karnataka state e-procurement portal's search results filtered to BDA. Both should show tender notices and award details dated in the current or preceding FY. They should also record the format of the listing: a searchable HTML table or register, a CSV or XLS download, or individual or scanned PDFs. Each needs a dated screenshot or archived copy and the date of access.</t>
  </si>
  <si>
    <t xml:space="preserve">Step 2 found no evidence: a source needs to be found and added. Step 2 found no evidence (Insufficient Evidence). Source needed: Dated, saved copies (with access date) of: BMRCL's own tender-notice page and its contract-award or awarded-tenders page, and BMRCL's listings on the Karnataka public e-procurement portal. These would show the latest tender and award dates (FY 2025-26 or 2026-27) and the format: a searchable table or HTML register or CSV/XLS download, versus individual or scanned PDFs.</t>
  </si>
  <si>
    <t xml:space="preserve">Step 2 found no evidence: a source needs to be found and added. Step 2 found no evidence (Insufficient Evidence). Source needed: Any of these would answer it: (1) a dated capture of the Karnataka Public Procurement (e-procurement) portal search results for BMRDA as the tendering department, showing tenders or awards from the current or previous FY and whether it is a searchable table; (2) a BMRDA tenders or contract-awards page, if one exists, with the dates of its notices and its file format; (3) the full text of the BMRDA Notifications and Circulars sub-pages and the 2023-24 Annual Report, to check for tender or award notices.</t>
  </si>
  <si>
    <t xml:space="preserve">DPG6a</t>
  </si>
  <si>
    <t xml:space="preserve">Is the parastatal mandated to provide a grievance-redressal mechanism?</t>
  </si>
  <si>
    <t xml:space="preserve">ANSWER: Only in part. Section 59(7)(c) of the BWSSB Act 1964 has a binding 'shall' duty, but it covers one narrow topic. The Board must make regulations for hearing and settling complaints from owners or occupiers about work done by licensed plumbers (quality of work, materials, delay and charges). Section 82(2) applies this to drain work as well. Nothing in the Citation Sheet requires a general mechanism for grievances about BWSSB's own water supply and sewerage services. No Rules, regulations or citizen charter text of that kind is in the Sheet. Whether a plumber-complaint provision counts as 'a grievance-redressal mechanism' under DPG 6a is a methodology question for the team, so no score is proposed. | EVIDENCE: (1) BWSSB Act 1964 (BWSSB-04, FAOLEX copy). s.59(7): 'The Board shall make regulations providing for ... (c) the hearing and disposal of complaints made by the owners or occupiers...'. The FAOLEX extract cuts off at this point. The full wording ('...of premises with regard to the quality of work done, material used, delay in execution of work, and the charge made, by a licensed plumber') comes from the same section as quoted in BWSSB-32 p.15. s.82(2) applies s.59 to work on drains. s.14 sets up a Consultative Committee, which includes people representing water consumers. Its role is only to advise and review the Board's policy, schemes and progress; it is not a body that hears complaints. s.87 lets the State Government make Rules, and s.88 and s.61A/84A let the Bo</t>
  </si>
  <si>
    <t xml:space="preserve">Step 2 found no evidence: a source needs to be found and added. Step 2 found no evidence (Insufficient Evidence). Source needed: Any one of these would answer the question: (a) the Road Transport Corporations Act, 1950 and any Karnataka rules under it as applied to BMTC, checked for a passenger-grievance provision; (b) BMTC's Citizen's Charter or service charter, if one has been published, showing complaint channels and timelines; (c) the Karnataka Sakala (Guarantee of Services to Citizens) Act schedule or notification, if it lists BMTC services with time limits and appeals; (d) any BMTC board resolution or state government order setting up the complaint system (crm.mybmtc.com) or a public grievance officer.</t>
  </si>
  <si>
    <t xml:space="preserve">ANSWER: Not found. The BDA Act, 1976 (consolidated text, including the 2026 amendment) does not require BDA to set up a general grievance-redressal mechanism. The Act has only narrow, issue-specific remedies: a statutory appeal against BDA property-tax assessments (s.62A), the State Government's discretionary power of revision (s.63), and objection/show-cause steps for development schemes (s.17-18). The other places such a requirement could sit were not in the Citation Sheet: BDA Rules, BDA Regulations, a BDA citizen or service charter, and the Sakala (service-guarantee) schedule. So this is 'not found', not an affirmative absence. | EVIDENCE: (1) BDA Act, 1976 (BDA-02). s.62A(1), inserted by Act 6 of 1993: 'Any person aggrieved by the assessment, levy or imposition of any tax under section 28B may ... appeal to such authority as the Government may, by notification, specify'. Under s.62A(3) the Appellate Authority 'shall' hear both parties and pass orders. This covers tax disputes only. s.63 (Revision): the Government 'may call for the records of any proceedings of the Authority ... and may pass such order ... as it thinks fit'. This is discretionary state oversight, not a citizen channel. s.17(5) and s.18(1): affected owners are served notice to show cause, and the Authority considers 'representations, if any' before sending a scheme for sanction. This is a scheme-specific objection procedure. s.70 (regulations) and s.71 (bye-laws) list no grievance matter in the parts seen.</t>
  </si>
  <si>
    <t xml:space="preserve">Any person aggrieved by the assessment, levy  or imposition of any tax  under section  28B may, within a period  of one month  next after service of notice of demand, appeal to such authority  as the Government may, by notification, specify</t>
  </si>
  <si>
    <t xml:space="preserve">I left the score blank. It can't be 5 or 0 on this Citation Sheet.
Why not 5: the Step 2 answer is supported by the source. I re-read BDA-02, the PRS consolidated copy as amended up to Karnataka Act 42 of 2026. Nothing in it requires BDA to provide a general grievance-redressal mechanism. The only candidate is s.62A, an appeal against BDA property-tax assessments under s.28B. Two things count against it:
(a) It covers tax assessments only.
(b) The appeal goes to an Appellate Authority that the Government names by notification ('appeal to such authority as the Government may, by notification, specify'). BDA does not provide it.
Other provisions don't qualify either:
- s.63 (Revision) is a discretionary power of the Government ('may call for the records').
- s.17(5) and s.18(1) are show-cause and representation steps for individual development schemes.
- s.33 is a show-cause notice before demolition.
- The matters listed for regulations (s.70(1)(f)-(g)) and bye-laws (s.71(1)(a)-(c)) include no grievance matter.
None of these is a grievance-redressal mandate on BDA. If the team decides that a single-issue statutory appeal meets the 'any channel' test, the score could become 5 at medium confidence. That needs a team ruling.
Why not 0: a 0 needs affirmative absence, and these layers are not in the Citation Sheet:
- BDA Rules under s.69
- Regulations actually made under s.70
- bye-laws actually made under s.71
- any BDA citizen or service charter
- the schedule of BDA services under the Karnataka Guarantee of Services to Citizens Act (Sakala)
- any Government Order setting up a BDA grievance cell
What else I checked:
- BDA-11 (GBA Act 2024): s.96(c) lets a city-government constituency committee receive grievances about 'any authority empowered under this Act'. That is a duty of the city government's committees, not of BDA, so I gave it no credit.
- BDA-03 (Karnataka Town and Country Planning Act): no grievance provision found in the passages read.
- BDA-37 (papers-laid list) and BDA-38 (2016-17 accounts) are not legal instruments for this question.
- search_citation_sheet for 'grievance complaint redressal Bangalore Development Authority' found nothing new.
For the team: source BDA-02 is a PRS copy, which is secondary. Please confirm against the official Karnataka gazette text. Then add the BDA citizen charter, the Sakala schedule for BDA and the BDA Regulations so this can be scored.</t>
  </si>
  <si>
    <t xml:space="preserve">Step 2 found no evidence: a source needs to be found and added. Step 2 found no evidence (Insufficient Evidence). Source needed: Any of these would decide the question: a BMRCL citizen or passenger charter; the Karnataka Sakala Services Act schedule or notification listing BMRCL services with time limits and redress; Rules or regulations under the Metro Railways (O&amp;M) Act, 2002 that apply to Bengaluru, together with the notification extending the Act to Bengaluru; BMRCL's Memorandum and Articles of Association; any GoK or MoHUA order requiring metro operators to maintain a public grievance-redressal system.</t>
  </si>
  <si>
    <t xml:space="preserve">Step 2 found no evidence: a source needs to be found and added. Step 2 found no evidence (Insufficient Evidence). Source needed: To answer this, the sheet needs: (a) the text of BMRDA's Citizen Charter (the 2020-21 English PDF linked from the official BMRDA site, or a later version), to see whether it names a grievance channel or officer; (b) the BMRDA Rules made under s.29 and any Regulations made under s.30 of the 1985 Act, from the DPAL portal or the eGazette; (c) the Karnataka Sakala (Guarantee of Services to Citizens) Act and its schedule of notified services, to see whether any BMRDA service (for example change of land use) is listed with a redress or appeal path; (d) an official (DPAL or gazette) copy of the BMRDA Act to replace the non-official host.</t>
  </si>
  <si>
    <t xml:space="preserve">DPG6b</t>
  </si>
  <si>
    <t xml:space="preserve">Are accessible grievance-redressal channels available and functional in practice?</t>
  </si>
  <si>
    <t xml:space="preserve">Step 2 found no evidence: a source needs to be found and added. Step 2 found no evidence (Insufficient Evidence). Source needed: A current saved copy of BWSSB's official website showing: (a) an online complaint form or grievance portal that works (or a link to a state grievance portal, with that portal's BWSSB page); (b) a designated grievance email, WhatsApp number or mobile app, with its official app-store listing; (c) the grievance helpline/call-centre number, explicitly marked as taking complaints; (d) a Citizen/Service Charter or office order naming where complaints can be made in person (helpdesk, service station or designated officer); (e) a screenshot of a complaint acknowledgement/reference number or a status-tracking page. Each item needs a dated screenshot.</t>
  </si>
  <si>
    <t xml:space="preserve">ANSWER: I could not settle the question from the Citation Sheet. BMTC's official website links to an online complaint system and lists a helpline number. But nothing in the sheet shows that the online system works, that a mobile or other electronic channel exists, that there is a named place or officer for in-person complaints, or that complaints can be tracked. Of the 5 components, only the telephone channel is reasonably well supported. | EVIDENCE: (1) Web channel: BMTC's official Contact Us page (BMTC-44, mybmtc.karnataka.gov.in) has menu entries 'Complaints' (https://mybmtc.karnataka.gov.in/10/complaints/en), '[http://crm.mybmtc.com] New Complaint' and '[http://crm.mybmtc.com/All_module] Public Grievance Dashboard'. The link exists, but the complaints page and the CRM portal are not in the Citation Sheet, so I cannot confirm that a complaint can actually be lodged. Component undetermined (?). (2) Mobile/electronic channel: none of the sources names a BMTC app, grievance email address, WhatsApp number or other notified electronic channel. The page's 'e-mail login' link is staff Outlook webmail, not a citizen channel. The Complaints page that might list these is not in the sheet, so this is not proven absent. Component undetermined (?). (3) Telephone channel: the Contact Us page lists 'Helpline Number: 080 22483777' under the head office address. It is labelled a helpline, not a general switchboard. Whether it explicitly takes grievances needs a reviewer to confirm. Compone</t>
  </si>
  <si>
    <t xml:space="preserve">Helpline Number: 080 22483777</t>
  </si>
  <si>
    <t xml:space="preserve">I left the Score blank. Only 1 of the 5 components (1 point each) has supporting evidence. The other 4 are undetermined, not shown to be absent. Entering 1 would wrongly score those 4 as 0. Each component:
(1) Web channel, undetermined. BMTC-44 and BMTC-46 are pages on BMTC's official site (karnataka.gov.in, 'Last Updated: 30-09-2026'). Their menus link to 'Complaints' (https://mybmtc.karnataka.gov.in/10/complaints/en), 'New Complaint' (http://crm.mybmtc.com) and 'Public Grievance Dashboard' (http://crm.mybmtc.com/All_module). None of these target pages is saved in the Citation Sheet. The methodology needs a live URL and a dated screenshot showing that a complaint can be submitted. A link alone does not show the feature works. VERIFICATION-LIMIT.
(2) Mobile/electronic channel, undetermined. No source names a BMTC app, grievance email, WhatsApp number or other notified channel. The 'e-mail login' link (outlook.office365.com/owa/mybmtc.com) is staff webmail, not a citizen channel. The Complaints page, which may list these channels, is not in the sheet, so absence is not shown.
(3) Telephone channel, likely met. BMTC-44 lists 'Helpline Number: 080 22483777' in the head-office contact block. It is labelled a helpline, not a switchboard, but the page does not say it takes grievances. A reviewer should confirm before awarding the point.
(4) In-person channel, undetermined. The only physical detail is the head-office address (K H Road, Shanthinagar, Bangalore - 560027). No source names a grievance counter, helpdesk or designated grievance officer. An address alone does not meet the qualification.
(5) Acknowledgement/tracking, undetermined. The 5th component is labelled 'in-person' in the question bank, but I applied its stated qualification, which is about acknowledgement and tracking. A 'Public Grievance Dashboard' link exists, but no saved page shows complaint reference numbers or status tracking. Please confirm this reading of the label.
What I checked: BMTC-44 (full Contact Us page), BMTC-46 (Rules and Regulations page, same menu, nothing more on grievances), BMTC-13 (KarnatakaOne page; its 'Grievance' link and helpdesk 080-42474411 and onehelpdesk@karnataka.gov.in belong to KarnatakaOne, not BMTC, so they don't count), and BMTC-41 (RTI Online, which handles information requests, not grievances). BMTC-23, BMTC-25 and BMTC-36 are laws or resources pages with nothing on BMTC grievance channels. I also searched the whole sheet for complaint, helpline, app, WhatsApp, email and tracking terms and found nothing more. The Step 2 answer matches the sources.
To score this, a reviewer needs dated screenshots of: mybmtc.karnataka.gov.in/10/complaints/en, the crm.mybmtc.com complaint form and the acknowledgement it returns, the Public Grievance Dashboard, any BMTC app store listing or grievance email/WhatsApp notice, and the Citizen's Charter or a grievance-officer order for the in-person channel. Then add up the points for the components confirmed (0-5).</t>
  </si>
  <si>
    <t xml:space="preserve">Step 2 found no evidence: a source needs to be found and added. Step 2 found no evidence (Insufficient Evidence). Source needed: Dated saved copies of BDA's official website showing: (a) an online grievance form, or a link to an integrated state grievance portal plus that portal's page; (b) a designated grievance email, WhatsApp number or mobile app, with an app-store listing; (c) a dedicated grievance helpline number; (d) a Citizen/Service Charter, office notice or order naming an in-person grievance counter or officer; (e) a portal screen showing a complaint/reference number and status tracking.</t>
  </si>
  <si>
    <t xml:space="preserve">Step 2 found no evidence: a source needs to be found and added. Step 2 found no evidence (Insufficient Evidence). Source needed: Pages from BMRCL's official website (bmrc.co.in), saved with dates, that show: (a) an online grievance form or a link to a state/central grievance portal; (b) a designated grievance e-mail, app or WhatsApp channel, with its app-store listing; (c) a passenger helpline or complaint number named as such; (d) a citizen charter or office notice naming the station or office where a grievance can be lodged in person; (e) a complaint reference number or status-tracking facility. A recent BMRCL annual report describing its passenger grievance system would also help as background.</t>
  </si>
  <si>
    <t xml:space="preserve">Step 2 found no evidence: a source needs to be found and added. Step 2 found no evidence (Insufficient Evidence). Source needed: Saved, dated copies of: (a) BMRDA's Feedback page, showing whether a form accepts grievances and gives a reference number; (b) BMRDA's current Citizen Charter, or an office order naming a grievance officer, helpdesk or helpline; (c) any notice that BMRDA uses a state grievance portal (e.g. IPGRS/Janaspandana/CPGRAMS/Sakala), with BMRDA listed as a department and a tracking page; (d) any official notice of a grievance email, WhatsApp channel or app.</t>
  </si>
  <si>
    <t xml:space="preserve">DPG7a</t>
  </si>
  <si>
    <t xml:space="preserve">Is citizen participation in the preparation of the parastatal's plans mandated?</t>
  </si>
  <si>
    <t xml:space="preserve">ANSWER: In the sources read, no law requires citizen participation when BWSSB prepares its own plans. These are the water supply and sewerage schemes under Section 15 of the BWSSB Act. The participation duties found apply to other bodies and other plan types: KTCP master plans prepared by the Planning Authority (now GBA), and Ward Development Plans prepared by Ward Committees and City Corporations. None of them reaches BWSSB's schemes. A score of 0 is not proposed because the BWSSB Rules and Regulations are not in the Citation Sheet. The only copy of the Act available is a FAOLEX copy of unclear date, and FAOLEX is a blocked legal mirror. | EVIDENCE: (1) BWSSB Act 1964 (BWSSB-04), Section 15(2)(b)-(c): the Board has a duty of 'preparing and carrying out schemes' for water supply and sewerage. The only check on a scheme is the proviso that a scheme costing more than Rs 1 crore needs State Government approval. There is no publication of a draft, no call for objections or suggestions and no hearing. Section 14 sets up a Consultative Committee: the Board's members plus 3-9 people appointed by the State 'after consultation with' bodies representing the Corporation, the City Improvement Trust Board and 'consumers of water'. Under Section 14(4)(i) its role is to 'advise the Board on major questions of policy and major schemes'. This is an advisory body with nominated members, not a citizen-participation process. Section 87 (rule-making) and Section 88 (regulations) list nothing on p</t>
  </si>
  <si>
    <t xml:space="preserve">ANSWER: Not determined from the Citation Sheet. The law here does not require citizen participation in BMTC's own plans. BMTC is an 'Urban Transport Agency' under the BMLTA Act. Its two plans under that Act are the Sectoral Mobility Investment Program (s.24) and the Annual Implementation Plan (s.25). The Act requires neither to be published in draft or opened to the public; the only participation it prescribes is consultation with BMLTA and BMLTA's review and approval. A mandatory public process does apply one level up. Before BMLTA finalises 'any plan as under this Act', it must publish a draft and invite objections and suggestions (s.21(3)). This covers the Comprehensive Mobility Plan, and the City Mobility Investment Program, which includes BMTC's sectoral program, 'shall be part of' that plan (s.24(e)). So participation reaches BMTC's investment programming only indirectly, through BMLTA's plan and at BMLTA's stage. On the sources available, that points to the 2.5 band ('applies only to specified plan types/stages'). It is not a confirmed score, because BMTC's own parent law is not in the Citation Sheet. | EVIDENCE: (1) BMLTA Act, 2022 (Kar. Act 6 of 2023, PRS copy with amending Act 10 of 2026 appended): s.2(ff): an 'Urban Transport Agency' is any public or private agency 'engaged in providing of Urban Mobility'; the Schedule lists 'Bus systems' as public transport; s.12 table (j) makes BMTC's Managing Director an ex-officio member. s.21(3): 'Before finalizing any plan as</t>
  </si>
  <si>
    <t xml:space="preserve">Before finalizing any plan as under this Act, the Authority shall cause to pu blish a draft plan by making a copy thereof available for inspection and publis</t>
  </si>
  <si>
    <t xml:space="preserve">I left the score blank. The Citation Sheet does not contain BMTC's own parent law, so I can't pick a band. Missing: the Road Transport Corporations Act, 1950 and any Karnataka rules under it. Without that law I can neither rule out the 5 band (a direct duty on BMTC) nor confirm 2.5.
What I checked:
(1) BMLTA Act (BMTC-23, PRS copy, as enacted and gazetted 12.01.2023, with Amendment Act 10 of 2026 appended). PRS says its copies are not authoritative. Era: current/GBA-era law.
- s.21(3) is mandatory: 'shall cause to publish a draft plan'. It requires a notice 'inviting objections and suggestions from any person' with a deadline of up to two months, and the plan is finalised after considering them. The hearing step is discretionary ('adequate opportunity, as deemed appropriate').
- This duty falls on the Authority (BMLTA), not on BMTC. It applies to the Comprehensive Mobility Plan and its revisions (s.23).
- BMTC is an Urban Transport Agency (s.2(ff); the Schedule lists bus systems). Its Sectoral Mobility Investment Program 'shall be prepared in consultation with the Authority' (s.24(b)). That is consultation between agencies, not with citizens. BMLTA then folds the program into the City Mobility Investment Program, which 'shall be part of the Comprehensive Mobility Plan' (s.24(c), (e); s.21(2)(l)).
- BMTC's Annual Implementation Plan (s.25) is reviewed and approved by BMLTA. The Act gives it no public step.
- s.20(1) requires BMLTA's policies (not plans) to be placed in the public domain for feedback.
- So under this Act, public participation reaches BMTC's investment programming only indirectly, through BMLTA's plan and at BMLTA's stage. That fits the 2.5 band ('applies only to specified plan types/stages'). The Step 2 answer gives the same candidate band, and I checked it against the source text.
(2) KTCP Act s.10 (BMTC-25), as summarised in Step 2: the public-suggestions duty applies to Planning Authorities' Master Plans, not to BMTC.
(3) BMTC-46 (BMTC 'Rules And Regulations' web page): the text I could read showed only navigation and policy boilerplate, with no legal provision on plans.
(4) A sheet-wide search for the Road Transport Corporations Act found no text of it.
Also missing: BMLTA regulations under s.54(1)(viii), which set the form of the draft-plan notice, and the Greater Bengaluru Governance Act, 2024 (the city government's law).
For the reviewer: 2.5 is the minimum the BMLTA Act supports, and 0 is not supportable. Read the RTC Act, 1950 and the Karnataka rules under it to check for a direct duty on BMTC. If there is none, 2.5 is the likely score. Also decide whether indirect coverage, through BMLTA's Comprehensive Mobility Plan, should count for BMTC's plans.</t>
  </si>
  <si>
    <t xml:space="preserve">ANSWER: The Citation Sheet does not show any law that requires citizen participation when BMRCL prepares its own plans. Citizen participation is mandatory only one level up, for plans that the Bengaluru Metropolitan Land Transport Authority (BMLTA) prepares and finalises. Under BMLTA Act s.21(3), BMLTA must publish the draft Comprehensive Mobility Plan (CMP) and invite objections and suggestions before finalising it. Under s.24(e), the City Mobility Investment Program is part of the CMP, and under s.24(c) it absorbs the Sectoral Mobility Investment Programs that urban transport agencies such as BMRCL prepare. By statute, BMRCL's own plans need only consultation with BMLTA, not with the public: the sectoral programme under s.24(b) and the Annual Implementation Plan, which BMLTA approves under s.25. BMRCL's plans may therefore pass through citizen participation only indirectly, at the CMP stage. Whether that counts as participation 'in the preparation of the parastatal's plans' is a judgement call that decides whether the score is 2.5 or 0. | EVIDENCE: (1) BMRCL's own instruments. BMRCL is a company, not a body created by a state Act. The Metro Railways (Operation and Maintenance) Act, 2002 (BMRCL-15) was searched; its only rule-making and regulation powers (ss.100-101) cover operations, fares and security, and no provision for public participation in planning was found. BMRCL's Memorandum and Articles of Association are not in the sheet. The Annual Report (BMRCL-01) says the c</t>
  </si>
  <si>
    <t xml:space="preserve">The Bengaluru Metropolitan Land Transport Authority Act, 2022 (Karnataka Act 6 of 2023) [BMRCL-35]</t>
  </si>
  <si>
    <t xml:space="preserve">Before finalizing any plan as under this Act, the Authority shall cause to pu blish a draft plan by making a copy thereof available for inspection</t>
  </si>
  <si>
    <t xml:space="preserve">I gave 2.5 because the law makes citizen participation mandatory, but only at one stage of BMRCL's planning. Step 2 left the score blank; I checked its reading against the source and it holds.
What the law requires:
(1) BMRCL is an 'Urban Transport Agency' under s.2(ff), and 'Metro Railway' is in the Schedule. BMRCL must prepare a Sectoral Mobility Investment Program (SMIP).
(2) Under s.24(b), the SMIP is prepared 'in consultation with the Authority', meaning BMLTA. This is consultation with BMLTA only, with no public step.
(3) Under s.24(c) and s.21(2)(l), BMLTA folds the SMIPs into the City Mobility Investment Program (CMIP). Under s.24(e), the CMIP 'shall be part of the Comprehensive Mobility Plan' (CMP).
(4) Under s.21(3), before finalising 'any plan as under this Act', BMLTA 'shall' publish a draft, make it available for inspection and invite objections and suggestions from any person within a maximum of two months. It must consider them before finalising. Under s.23, the CMP must be revised at least every five years, and s.21 applies to each revision.
Why 2.5 and not 5:
- The participation is mandatory ('shall'). But the duty falls on BMLTA, and BMRCL's sectoral programme reaches the public only as part of BMLTA's CMP/CMIP.
- BMRCL's Annual Implementation Plan (s.25) is approved by BMLTA with no citizen step written into the Act.
- That matches the rubric's 2.5 band: participation 'applies only to specified plan types/stages'. The methodology also says to count requirements that apply to 'all authorities preparing the relevant category of plan'.
Other sources checked (from Step 2 and the sheet), none of which adds a participation duty for BMRCL's plans:
- Metro Railways (Operation and Maintenance) Act 2002 (BMRCL-15): its rule-making powers (ss.100-101) cover operations, fares and security.
- KTCP Act s.10 (BMRCL-31): applies to Planning Authorities' Master Plans.
- GBG Act 2024 (BMRCL-34): covers the city government's own plans.
- Metro Rail Policy 2017 (BMRCL-18) and Annual Report 2020-21 (BMRCL-01): nothing found on citizen participation.
For the reviewer to confirm:
(a) Does a public step on BMLTA's CMP/CMIP count as participation in 'the parastatal's plans'? If not, the score falls to blank, not 0, because affirmative absence cannot be shown.
(b) Several instruments are not in the Citation Sheet: the Metro Railways (Construction of Works) Act 1978, BMRCL's Memorandum and Articles of Association, BMLTA regulations under s.54, the text of Amendment Act 10 of 2026, and any Karnataka GO on preparing metro plans or detailed project reports (DPRs). Any of these could change the band.
(c) The BMLTA Act copy is a secondary PRS copy. It still names BBMP as the urban local body. The sheet does not show whether BMLTA has been constituted (this affects implementation, not the law score).
(d) Whether BMRCL, as a company, counts as a parastatal is still pending team confirmation.</t>
  </si>
  <si>
    <t xml:space="preserve">DPG7b</t>
  </si>
  <si>
    <t xml:space="preserve">Are citizens consulted in practice in the preparation of plans by the parastatal?</t>
  </si>
  <si>
    <t xml:space="preserve">Step 2 found no evidence: a source needs to be found and added. Step 2 found no evidence (Insufficient Evidence). Source needed: BWSSB's latest plan document (e.g. the current water supply/sewerage master plan or the CWSS Stage VI DPR) and any related public notices inviting objections or suggestions, public hearing or consultation proceedings or minutes, or consultation reports posted on BWSSB's official website, with dates showing they came before the plan was finalised.</t>
  </si>
  <si>
    <t xml:space="preserve">Step 2 found no evidence: a source needs to be found and added. Step 2 found no evidence (Insufficient Evidence). Source needed: BMTC's latest plan document (for example a fleet, business or route plan, or its Sectoral Mobility Investment Program or Annual Implementation Plan under the BMLTA Act), together with any public notice inviting objections or suggestions, consultation reports, or minutes of public hearings or consultations published on BMTC's official website or a Government of Karnataka (.gov.in) site, dated within the period being assessed.</t>
  </si>
  <si>
    <t xml:space="preserve">ANSWER: Partly answered. The Citation Sheet has some evidence that BMRCL consulted people while preparing one project-level planning document: the August 2017 Environmental Impact Assessment (EIA) for Line 6 (Gottigere–Nagavara, Phase II). That evidence is old and does not come from BMRCL's own website. It also mostly covers people affected by the project (Project Affected People, PAPs) rather than citizens in general. The sources do not show citizen consultation on BMRCL's latest plan or planning exercise. | EVIDENCE: BMRCL-21 (EIA for Line R6, prepared by BMRCL for the European Investment Bank (EIB) and the Asian Infrastructure Investment Bank (AIIB), dated August 2017, hosted on the EIB register). Paras 220-223 (p.61): consultations with PAPs at the early stage of EIA preparation and during land acquisition; 'A formal public consultation session was held on 18 May 2017 at BMRCL Byappanahalli Training Institute'; public notice, participant list, photos and Q&amp;A are said to be in Appendix 4. Table 28 (p.62) gives a different date, 15 May 2017, with 70 PAPs attending. Para 224 lists the suggestions people made. Para 225 says BMRCL 'has addressed the issues raised by public'. Appendix 4, 'Record of Public Consultations' (pp.104-105 of the document), has no extractable text in the saved copy, so the notice and minutes cannot be checked. Other sources: BMRCL-01 (Annual Report FY2020-21) says only that the website posts events, tenders and progress; it records no plan consultation</t>
  </si>
  <si>
    <t xml:space="preserve">Environmental Impact Assessment – Gottigere–Nagavara Corridor (Line 6), Bangalore Metro Rail Project Phase II (EIB register) [BMRCL-21]</t>
  </si>
  <si>
    <t xml:space="preserve">https://www.eib.org/attachments/registers/143756287.pdf</t>
  </si>
  <si>
    <t xml:space="preserve">A formal public consultation session was held on 18 May 2017 at BMRCL Byappanahalli Training Institute, Bangalore to inform the people about project and discuss the resettlement policy framework.</t>
  </si>
  <si>
    <t xml:space="preserve">I left the score blank on purpose. It is RUBRIC-GAP / not found, not a 0, and a person needs to score it.
(1) The question asks about the parastatal's 'latest applicable plan/planning exercise', checked on BMRCL's official website. The Citation Sheet has no BMRCL website pages and no current plan, such as a DPR for Phase 2A, Phase 3 or later work. It also has no consultation notices or minutes for any such plan. So I cannot tell what the latest applicable plan is.
(2) The only evidence of consultation in practice is BMRCL-21. This is the Line 6 (Gottigere–Nagavara) EIA, dated August 2017 and hosted on the EIB register. Several limits apply:
(a) It is a project safeguard report written for lenders (EIB/AIIB), not a BMRCL plan. Para 20 says it was 'prepared to fulfill policy requirements of EIB'.
(b) The consultation was mainly with Project Affected People. Para 222 says it was 'mostly involving PAPs', and Table 28 records '70 PAPs'. It was not an objections/suggestions process open to all citizens.
(c) The date is inconsistent: para 223 says 18 May 2017, Table 28 says 15 May 2017.
(d) Para 223 says the public notice, participant list and Q&amp;A are in Appendix 4. In the saved copy, Appendix 4 (pp.109-110 of the file) is blank or has no extractable text, so those records cannot be checked.
(e) The evidence is from 2017, so at best it is partial evidence of current practice.
If the team decides a 2017 project-level EIA counts as an applicable 'planning exercise', the 2.5 band (credible but not fully verifiable consultation, where only a reference in the final document exists) could fit. The 5 band is not met, because there is no verifiable official record on BMRCL's site. DPG 7b has no explicit 0 band, and I could not establish affirmative absence: the BMRCL website was not in the sheet, which is a VERIFICATION-LIMIT. That is why I left the score blank rather than entering 0.
What else I checked:
- BMRCL-01 (Annual Report FY2020-21): no record of consultation on a plan.
- BMRCL-15 (Metro Railways O&amp;M Act 2002), BMRCL-18 (Metro Rail Policy 2017), BMRCL-31 (KTCP Act), BMRCL-34 (GBA Act 2024) and BMRCL-46 (GBA Amendment Bill 2025): these are law and policy texts, not records of BMRCL practice.
- BMRCL-35 (BMLTA Act 2022): its objections/suggestions provision applies to BMLTA's draft plans, not to BMRCL.
- BMRCL-47 (DULT index): nothing relevant.
The question is labelled Law/Policy, but the methodology asks about practice, so I assessed practice.
For the team:
- Confirm whether the Line 6 EIA counts as a plan and whether PAP consultation counts as citizen consultation.
- Get a readable copy of Appendix 4.
- Fetch BMRCL's website or DPR consultation records for the latest phase.</t>
  </si>
  <si>
    <t xml:space="preserve">SC1</t>
  </si>
  <si>
    <t xml:space="preserve">What proportion of the parastatal's total expenditure is financed through its own revenues?</t>
  </si>
  <si>
    <t xml:space="preserve">ANSWER: The Citation Sheet cannot answer this for the current period. The only figures are in the JICA Phase 3 Final Report (2017). It reproduces a summary of BWSSB's Income and Expenditure Statement for FY2013 to FY2015, about ten years old. Using those figures for reference only, own income as a share of revenue-account expenditure was: FY2013: 583/781 = 74.65%; FY2014: 741/1155 = 64.16%; FY2015: 1141/1490 = 76.58%. The 3-year average is 71.79%, which would score 7.18 if the data were current and in scope. No score is proposed. | EVIDENCE: (1) BWSSB-23, JICA Final Report, sewerage/O&amp;M volume. Table 16.1.1, p.16-2 (PDF p.181), 'Income and Expenditure Statement in FY2013-2015', unit 10 million INR, source 'BWSSB Annual Accounts'. Rows: Water Revenue 512/592/979; Other Income 71/149/162; Total Income 583/741/1,141; Total Expenditure (O&amp;M + depreciation + write-off + interest + provisions) 781/1155/1490. Text at p.16-3 (PDF p.182) says income is water revenue (water and sewerage charges, including new connection charges) plus other income. Other income is about 96% interest on deposits and about 4% rent. So, as reported, the income line holds no government grants and counts entirely as own (non-tax) revenue. The report says these statements were audited by CAG. Grants (GoK about 95%, plus KUIDFC and BBMP) appear only as balance-sheet liabilities (Table 16.1.5, p.185), not as income. Formula: own revenue / total expenditure x 100 per year, then the simple mean of 3 years: (74.65</t>
  </si>
  <si>
    <t xml:space="preserve">According to the Income and Expenditure Statement, the BWSSB has suffered deficits in these years. Table 16.1.1 shows a summary of the Income and Expenditure Statement for last three years.</t>
  </si>
  <si>
    <t xml:space="preserve">I left the score blank because the Citation Sheet has no evidence for the current period. This is an Implementation question, and the scorer notes call for 'Annual budget of the last three financial years'. The only figures for BWSSB are in the JICA Phase 3 Final Report (Nov 2017, BWSSB-23). Its Table 16.1.1 reproduces BWSSB's audited Income and Expenditure Statement for FY2013, FY2014 and FY2015. These are probably 2012-13 to 2014-15, since the report calls FY2015 'FY2014-15' at p.16-12. Those years are about ten years old, so they are at most partial evidence of current practice.
I checked the Step 2 arithmetic against the source and it is correct. Total Income is 583, 741 and 1,141, and Total Expenditure is 781, 1155 and 1490, giving 74.65%, 64.16% and 76.58%. The 3-year mean is 71.80% (the Step 2 answer says 71.79%), which would be about 7.18/10 if the data were current. This is for reference only and is not proposed as a score.
The source supports treating that income as own revenue. On p.16-3, income is water revenue (water and sewerage charges, including new connections) plus other income, which is about 96% interest and 4% rent. No grants appear in income; grants appear only as balance-sheet liabilities. However, the denominator covers revenue-account expenditure only (O&amp;M, depreciation, accrued interest and provisions) and leaves out capital expenditure. On p.17 the report also says that in FY2015-16 current expenditure was about INR 16 bn against current revenue of about INR 12.2 bn, but it gives no full-budget totals.
What I checked: two searches of the whole Citation Sheet for recent budget, revenue and expenditure figures and for grants in the accounts. Neither found any BWSSB budget, annual financial statement or audited accounts after FY2015. Of the other sources, BWSSB-12 gives only an average cost per kL. BWSSB-29 is the Greater Bengaluru Governance Act and covers the city corporation's finances, not BWSSB's. The Step 2 answer also reviewed BWSSB-22, BWSSB-32 and BWSSB-28, and none of them had current figures.
The team needs to: (1) get BWSSB's budgets or audited I&amp;E statements for the last three completed financial years (e.g. FY2022-23 to FY2024-25), through RTI to the BWSSB PIO (Finance/Accounts) if needed, with own revenue shown separately from GoK grants and loans; (2) confirm whether 'total expenditure' means revenue-account expenditure or total budget expenditure including capital; (3) confirm whether a consultant report counts as acceptable evidence for SC-1.</t>
  </si>
  <si>
    <t xml:space="preserve">Step 2 found no evidence: a source needs to be found and added. Step 2 found no evidence (Insufficient Evidence). Source needed: BMTC's annual budgets and audited annual accounts or annual administration reports for the latest three completed FYs. They need to show revenue split into traffic/fare, non-traffic, government reimbursements or subsidies (e.g. student/concession and Shakti scheme reimbursements) and grants, plus total revenue and capital expenditure. Possible places: BMTC's own reports, papers laid before the Karnataka Legislature, or CAG/AG Karnataka audit reports.</t>
  </si>
  <si>
    <t xml:space="preserve">ANSWER: The only figures in the Citation Sheet are for FY 2016-17 and FY 2015-16, and they suggest BDA paid for all or nearly all of its accounted expenditure from its own revenue. For FY 2016-17 own revenue was 99.43% of expenditure, and for FY 2015-16 it was 110.48%. The two-year average is 104.95%, which would be capped at 10 marks. I have not given a score: these figures are about 9-10 years old, the question is about the current period, and the method asks for the budgets of the last three financial years. | EVIDENCE: BDA-38 (BDA Annual Accounts 2016-17, audited, with the Accountant General's audit report). Income &amp; Expenditure Account (p.118, Rs lakh): FY 2016-17 total income (A) 93,389.56 (sale of sites/flats 78,220.23 + taxes 3,427.29 + other income 11,742.04); total expenditure (B) 93,926.58. FY 2015-16 (previous-year column) total income 52,282.97 (36,174.05 + 2,795.59 + 13,313.33); total expenditure 47,325.29. Schedules 13-15 (pp.128-130) list only own-source items: site and flat sales, property tax, building licence fee, rents, penalties, interest on deposits, CA-site lease, betterment, development and lake-development charges. No government grant appears. The audit report (p.86, Part C 'Grants') says: 'The Authority did not receive any grant during the year.' Calculation: 2016-17: 93,389.56 / 93,926.58 x 100 = 99.43%. 2015-16: 52,282.97 / 47,325.29 x 100 = 110.48%. Average = 104.95%, so % / 10 = 10.49, which would be capped at 10. | CAVEATS: (1) The 'expenditure'</t>
  </si>
  <si>
    <r>
      <rPr>
        <sz val="11"/>
        <color theme="1"/>
        <rFont val="Noto Sans"/>
        <family val="2"/>
      </rPr>
      <t xml:space="preserve">ಬೆಂಗಳೂರು ಅಭಿವೃದ್ಧಿ ಪ್ರಾಧಿಕಾರ</t>
    </r>
    <r>
      <rPr>
        <sz val="11"/>
        <color theme="1"/>
        <rFont val="Calibri"/>
        <family val="2"/>
        <charset val="1"/>
      </rPr>
      <t xml:space="preserve">, </t>
    </r>
    <r>
      <rPr>
        <sz val="11"/>
        <color theme="1"/>
        <rFont val="Noto Sans"/>
        <family val="2"/>
      </rPr>
      <t xml:space="preserve">ಬೆಂಗಳೂರು – </t>
    </r>
    <r>
      <rPr>
        <sz val="11"/>
        <color theme="1"/>
        <rFont val="Calibri"/>
        <family val="2"/>
        <charset val="1"/>
      </rPr>
      <t xml:space="preserve">2016-17 </t>
    </r>
    <r>
      <rPr>
        <sz val="11"/>
        <color theme="1"/>
        <rFont val="Noto Sans"/>
        <family val="2"/>
      </rPr>
      <t xml:space="preserve">ಸಾಲಿಗೆ ವಾರ್ಷಿಕ ಲೆಕ್ಕಪತ್ರಗಳು </t>
    </r>
    <r>
      <rPr>
        <sz val="11"/>
        <color theme="1"/>
        <rFont val="Calibri"/>
        <family val="2"/>
        <charset val="1"/>
      </rPr>
      <t xml:space="preserve">[BDA-38]</t>
    </r>
  </si>
  <si>
    <t xml:space="preserve">https://kla.kar.nic.in/council/house/Paperlaid/139/31/312016-17.pdf</t>
  </si>
  <si>
    <t xml:space="preserve">C.  GRANTS 
The Authority did not receive any grant during the year.</t>
  </si>
  <si>
    <t xml:space="preserve">I left the score blank because the evidence is too old. I re-read BDA-38 and the figures in the Step 2 answer are correct. Income &amp; Expenditure Account (p.118, Rs lakh): FY 2016-17 total income (A) = 93,389.56 (allotment of sites and flats 78,220.23 + taxes 3,427.29 + other income 11,742.04) against total expenditure (B) = 93,926.58, so 99.43%. FY 2015-16 (previous-year column) income = 52,282.97 against expenditure = 47,325.29, so 110.48%. The audit report (p.86) says no grant was received in 2016-17, and the income heads are all own-source. The two-year average is 104.95%, which would give 10 out of 10 (capped). That score is only indicative and I have not entered it, for four reasons. (1) This is an Implementation question, and the notes for scorers ask for the 'Annual budget of the last three financial years'. The Citation Sheet only has FY 2015-16 and FY 2016-17, which are about 9-10 years old, from the BBMP era, and historical. Old documents are at most partial evidence of current practice. (2) The FY 2015-16 figures are regrouped previous-year comparatives (Note 14, p.116). The statement that no grant was received covers 2016-17 only. (3) What counts as 'total expenditure' is unclear. The I&amp;E expenditure is accrual-based. Development cost is charged at preset rates: 95% of sale value for allotted sites, Rs 24,000/sqm for auction sites, and 90% for houses and flats (accounting policy, p.107). The Accountant General says these rates include profit and overheads (p.85). Capital work-in-progress and fixed-asset spending fall outside the I&amp;E account, so the ratio changes with the definition used. (4) I searched the Citation Sheet for recent BDA budgets or accounts and found none. BDA-37 (papers laid in the 139th Council session) lists no BDA accounts, and BDA-02, BDA-03 and BDA-11 are Acts with no figures. To score this, a person needs BDA's budgets or audited accounts for the last 3 years (e.g. FY 2022-23 to 2024-25), and needs to confirm which expenditure definition to use. A person should also confirm the official URL for BDA-38.</t>
  </si>
  <si>
    <t xml:space="preserve">SC2</t>
  </si>
  <si>
    <t xml:space="preserve">What is the parastatal's per-capita capital expenditure?</t>
  </si>
  <si>
    <t xml:space="preserve">Step 2 found no evidence: a source needs to be found and added. Step 2 found no evidence (Insufficient Evidence). Source needed: Two things are needed. (1) BWSSB's audited annual accounts, or its budget showing actual capital expenditure, for the latest completed FY (FY2024-25 or FY2025-26), with the total capital spend on capital works and assets. Repayment of loan principal should be shown separately, not counted as capital expenditure. These could come from the BWSSB Board's budget book, the annual report tabled in the Karnataka Legislature, or the audit report under s.25 of the BWSSB Act. (2) A current official population figure for BWSSB's service area, from Census 2011 or an official projection, with its source cited. This needs to match the current boundaries under the Greater Bengaluru Authority (GBA).</t>
  </si>
  <si>
    <t xml:space="preserve">Step 2 found no evidence: a source needs to be found and added. Step 2 found no evidence (Insufficient Evidence). Source needed: Two things are needed. (1) BMTC's capital expenditure for the latest completed FY, from its audited annual accounts or annual report (capital works and fleet purchases, e.g. additions to fixed assets) or its budget showing capital-account actuals. (2) The population of BMTC's service area from the Census 2011 or an official Government of Karnataka/GoI projection, with the area defined.</t>
  </si>
  <si>
    <t xml:space="preserve">Step 2 found no evidence: a source needs to be found and added. Step 2 found no evidence (Insufficient Evidence). Source needed: Needed: (1) BDA's audited annual accounts for the latest completed FY (e.g. 2024-25), or its budget with actuals, showing capital expenditure for the year (gross additions to fixed assets and capital works, with a note on how development works are treated). (2) An official population figure for BDA's jurisdiction (the Bangalore Metropolitan Area as notified under the BDA Act): a Census 2011 count for the jurisdiction or a recent official state projection, with its source.</t>
  </si>
  <si>
    <t xml:space="preserve">ANSWER: The Citation Sheet cannot give BMRCL's per-capita capital expenditure for the latest completed financial year. The newest BMRCL accounts in the sheet are for FY 2020-21. They show capital spending (the cash-flow line for purchase of fixed assets, including capital work-in-progress and capital advances, net) of Rs 4,65,409.46 lakh, or about Rs 4,654.09 crore. Dividing that by the Census 2011 population of Bangalore district (96,21,551), as quoted in an environmental impact report, gives about Rs 4,837 per person for FY 2020-21. Using the 8.4 million Census 2011 figure for Greater Bangalore from the same report gives about Rs 5,541. Both figures are for illustration only. They are not the latest year, and it is not settled which population BMRCL serves. | EVIDENCE: (1) BMRCL-01, Annual Report 2020-21, audited Cash Flow Statement (report p.87, PDF page 89), Investing Activities: 'Purchase of fixed assets, including CWIP and capital advances (Net) (465409.46) (631413.09)' (Rs lakh; FY 2020-21 and FY 2019-20). The Balance Sheet (report p.81) shows capital work-in-progress up from Rs 5,42,607.65 lakh to Rs 6,99,918.94 lakh, and Note 2.2 gives additions by item. (2) Population: BMRCL-21, the environmental impact report for Line 6 (para 110) says 'Bangalore district with a total population of 96,21,551' (the year is not stated there; para 107 calls 9.62 million the metropolitan population). Para 57 says the city's population 'has become 8.4 million in the Census of 2011'. Thi</t>
  </si>
  <si>
    <t xml:space="preserve">Purchase of fixed assets, including CWIP and capital advances (Net) (465409.46) (631413.09)</t>
  </si>
  <si>
    <t xml:space="preserve">I left the score blank. There are five reasons.
(1) The rule needs a peer comparison. The Detailed Methodology says to report the per-capita figure as an absolute number and to score it only by percentile or decile rank against other assessed transport parastatals. The Citation Sheet has no figures for any peer parastatal, so I cannot rank BMRCL. This is a RUBRIC-GAP, and the absolute figure does not fall into any band on the 0-10 scale.
(2) The year is out of date. The rule asks for the latest completed financial year. The newest audited BMRCL accounts in the sheet are in BMRCL-01, the Annual Report for FY 2020-21. I searched the sheet for later annual reports or capital-spending figures (for example FY 2024-25) and found only BMRCL-01.
(3) The population figure is secondary and the area served is undefined. The only population figures are in BMRCL-21, an environmental impact report filed with the European Investment Bank for Line 6. It quotes the Census 2011 population of Bangalore district as 96,21,551, and 8.4 million for the city. This is not a primary Census or official projection. No source says which area BMRCL serves: the metro network, the Greater Bengaluru Authority area, the district, or the metropolitan region.
(4) The capital-spending figure is uncertain. The cash-flow line is a net number that includes capital advances. The CAG also commented on how the cash-flow statement is presented, and found capital work-in-progress overstated by Rs 294.49 crore.
(5) I checked Step 2's arithmetic against the source. The FY 2020-21 cash-flow line of Rs 4,65,409.46 lakh (about Rs 4,654 crore) matches BMRCL-01. Dividing it by the district population gives about Rs 4,837 per person; dividing by 8.4 million gives about Rs 5,541. These are for illustration only and should not be scored.
A person needs to:
(a) get BMRCL's audited accounts for the latest completed FY;
(b) confirm the area served and get an official Census figure or projection for it;
(c) choose the capital-spending measure: the cash-flow line, or additions to fixed assets plus capital work-in-progress;
(d) supply per-capita figures for the peer transport parastatals so a rank can be computed.</t>
  </si>
  <si>
    <t xml:space="preserve">SC3</t>
  </si>
  <si>
    <t xml:space="preserve">How realistic is the parastatal's annual budget?</t>
  </si>
  <si>
    <t xml:space="preserve">Step 2 found no evidence: a source needs to be found and added. Step 2 found no evidence (Insufficient Evidence). Source needed: For at least 2 (ideally the latest 3) completed financial years: BWSSB's annual budget or annual financial statement under s.17 of the BWSS Act (budget estimates of total expenditure), and BWSSB's audited annual accounts or annual report (actual total expenditure) for the same years. Budget documents that show the budget estimate and the actuals side by side would also work, as would audit reports (CAG / State Accounts) that give both figures.</t>
  </si>
  <si>
    <t xml:space="preserve">Step 2 found no evidence: a source needs to be found and added. Step 2 found no evidence (Insufficient Evidence). Source needed: Three things are needed for the same 2-5 recent completed FYs (preferably the latest 3), side by side: (1) BMTC's annual budget documents with budgeted total expenditure (BE, and RE if used), for example as approved by the BMTC Board or Government of Karnataka; (2) BMTC's audited annual accounts or annual administration reports, or a CAG/Accountant General audit report, with actual total expenditure; (3) any state legislature papers-laid copies of BMTC annual reports and accounts.</t>
  </si>
  <si>
    <t xml:space="preserve">Step 2 found no evidence: a source needs to be found and added. Step 2 found no evidence (Insufficient Evidence). Source needed: Two things for the same 2–5 recent completed financial years (preferably the latest 3): (a) BDA's budget estimates as sanctioned by Government under BDA Act s.44, plus any supplementary estimates under s.45, giving budgeted total expenditure; and (b) BDA's audited annual accounts certified by the Accountant General, giving actual total expenditure. A budget document that shows prior-year actuals next to budget estimates would also work, and should be checked against the audited accounts.</t>
  </si>
  <si>
    <t xml:space="preserve">Step 2 found no evidence: a source needs to be found and added. Step 2 found no evidence (Insufficient Evidence). Source needed: Two things for at least 2 (ideally 3) recent completed financial years for the same years: (1) BMRCL's approved annual budgets (Budget Estimates and/or Revised Estimates of expenditure, as approved by the Board or submitted to GoK/GoI), and (2) its audited annual accounts or annual reports. Possible sources are Karnataka budget papers or Urban Development Department demand documents showing allocations to BMRCL, or Board-approved budget statements.</t>
  </si>
  <si>
    <t xml:space="preserve">Step 2 found no evidence: a source needs to be found and added. Step 2 found no evidence (Insufficient Evidence). Source needed: Two things are needed for at least 2 (ideally 3) completed FYs: BMRDA's budget estimates showing total budgeted expenditure, and its audited annual accounts or annual reports showing actual expenditure for the same years. The 'Budget' and 'Budget and Annual Reports' pages linked from BMRDA's official website, including the 2023-24 Annual Report, should be fetched and added to the Citation Sheet. If they don't give budget and actual figures side by side, the same figures may be in the annual reports tabled in the Karnataka Legislature, or in the State Government's audit reports on BMRDA.</t>
  </si>
  <si>
    <t xml:space="preserve">SC4a</t>
  </si>
  <si>
    <t xml:space="preserve">Is a medium-term (3-5 year) and/or long-term (&gt;5 year) fiscal plan legally mandated?</t>
  </si>
  <si>
    <t xml:space="preserve">Step 2 found no evidence: a source needs to be found and added. Step 2 found no evidence (Insufficient Evidence). Source needed: An official current, consolidated text of the Bangalore Water Supply and Sewerage Act, 1964 with all amendments to date, from the Karnataka legislation portal, the eGazette or PRS. Also any Rules made under s.87 and Regulations made under s.88 (especially on the form of the annual financial statement and on administering funds), and any Government Order requiring BWSSB to prepare a multi-year fiscal or business plan.</t>
  </si>
  <si>
    <t xml:space="preserve">Step 2 found no evidence: a source needs to be found and added. Step 2 found no evidence (Insufficient Evidence). Source needed: The full official text of the Road Transport Corporations Act, 1950, current amended version (from India Code's Act PDF or the central or state law department), especially its financial provisions: financial programme, budget and capital expenditure. The text of the Karnataka State Road Transport Corporation Rules, 1961, which BMTC lists on its website. Any BMLTA regulations specifying the Sectoral Mobility Investment Program for Urban Transport Agencies. The State notification bringing the BMLTA Act into force.</t>
  </si>
  <si>
    <t xml:space="preserve">ANSWER: No medium-term (3-5 year) or long-term (more than 5 year) fiscal plan requirement was found in the BDA's enabling Act. The Bangalore Development Authority Act, 1976 only requires a budget for each coming year (an annual estimate of income and expenditure), supplementary estimates, annual accounts and audit, and reports. The Rules and Regulations made under the Act are not in the Citation Sheet, so we cannot confirm that no layer of the law requires such a plan. | EVIDENCE: (1) BDA Act, 1976 (BDA-02, PRS consolidated text, amendments appended up to Act 42 of 2026). Chapter V 'Property and Finance', ss.37-48, read in full. s.42(1): the Commissioner 'shall... lay before the Authority an estimate of the income and of the expenditure of the Authority for the year commencing on the first day of April then next ensuing'. s.43: the Authority approves or amends the estimate. s.44: the estimate goes to the Government for sanction. s.45: supplementary estimates 'may' be prepared during the year. s.46: no spending outside a sanctioned estimate. s.47: annual accounts and audit. s.47A: reports 'as may be prescribed'. s.39 (power to borrow) and s.40-41 (Development Fund) appear in the section list; their text was not shown in the excerpts read, and their titles do not suggest a planning duty. s.27 ('Authority to execute the scheme within five years') sets a deadline for carrying out a development scheme; it is not a fiscal plan. s.69 (rule-making) and s.70 (regulations) do not list </t>
  </si>
  <si>
    <t xml:space="preserve">The 1[Commissioner]1 shall, at a special meeting to be held not later than the first day of February in each year, lay before the Authority an estimate of the income and  of the expenditure of the Authority for the year commencing on the first  day of April then next ensuing in such detail and form as the Authority shall, from time to time, direct.</t>
  </si>
  <si>
    <t xml:space="preserve">I left the score blank because the evidence is not complete enough to give a 0 under the v2 affirmative-absence rule. The likely result is 0.
What I checked in the BDA Act, 1976 (BDA-02, PRS copy, amendments up to Act 42 of 2026):
- Budget sections. s.42(1) requires the Commissioner to lay an estimate of income and expenditure for the year starting the next 1 April. Under ss.43-44 the Authority approves it and the Government sanctions it. Under s.45 supplementary estimates 'may' be prepared during the year. Under s.46 no money can be spent unless it is in a sanctioned estimate.
- Borrowing and the Development Fund. s.39 lets BDA borrow with Government sanction 'subject to such conditions as may be prescribed'. ss.40-41 set out what goes into and comes out of the Bangalore Development Fund. Neither requires a multi-year plan.
- Rule-making. The topics listed for rules (s.69(2)(a)-(j)) and regulations (s.70(1)(a)-(g)) include nothing about a medium-term or long-term fiscal plan.
- s.27 (a scheme must be carried out within five years) is a deadline for development schemes, not a fiscal plan.
The Act therefore requires annual estimates only. It has no 3-5 year or longer fiscal plan.
Other laws in the Citation Sheet:
- The Town and Country Planning Act (BDA-03), s.68B, requires an annual budget only.
- The Greater Bengaluru Governance Act (BDA-11), ss.2(42), 187 and 189, requires a medium-term fiscal plan from the City Corporations, not from BDA. I did not credit it to BDA. Step 2 also points out that BDA-11 contradicts itself: the definition says five years, s.187 says three-year projections.
Why the score is blank:
- The Detailed Methodology tests only the 'enabling act', and on that test the evidence supports 0.
- But the v2 rules for law questions say to check every layer and to give a 0 only on affirmative absence. The BDA Rules (under s.69) and BDA Regulations (under s.70) are not in the Citation Sheet. s.39 also refers to 'prescribed' borrowing conditions, which would be in those Rules.
- The Act text is a PRS copy (secondary source), not an official consolidation.
CONFIRM: if the team confirms that SC-4a is scored on the enabling Act alone, enter Score = 0, resting on BDA-02 ss.42-46. Otherwise, collect the BDA Rules and Regulations and an official Act text, then score. The Step 2 answer matches the source.</t>
  </si>
  <si>
    <t xml:space="preserve">ANSWER: Not determined. None of the Citation Sheet instruments requires BMRCL to prepare a medium-term (3-5 year) or long-term (&gt;5 year) fiscal plan with a defined horizon. But BMRCL's own constituting instruments are not in the Sheet: it is a company (its 2020-21 Annual Report cites the Companies Act, 2013 and its Articles of Association). So I cannot show that no such requirement exists, and I have not scored this. | EVIDENCE: (1) Metro Railways (Operation and Maintenance) Act, 2002 (BMRCL-15): I read the sections shown to me. Ch. IV covers the Commissioner of Metro Railway Safety. s.12 requires an annual report from the Chief Commissioner of Railway Safety, not from BMRCL. s.100 lists rule-making matters (annual report, fare committee, compensation, security staff). s.101 lets the metro administration make regulations. None of these provides for a fiscal plan, multi-year budget or financial projections. (2) BMLTA Act, 2022 (Karnataka Act 6 of 2023) (BMRCL-35). This is a cross-cutting state law, not BMRCL's enabling Act. s.2(ff) defines 'Urban Transport Agency' as agencies 'engaged in providing of Urban Mobility', and the preamble names BMRCL among the mobility agencies. s.24 says the Authority 'shall' prepare a City Mobility Investment Program made up of the agencies' Sectoral Mobility Investment Programs, and s.24(d) says it 'shall be for short to medium term planning horizon'. That is an investment programme with no horizon in years, not a fiscal plan of defined horizon.</t>
  </si>
  <si>
    <t xml:space="preserve">(d) The City Mobility Investment Program shall be for short to medium term planning horizon towards achieving the objects of Compreh ensive Mobility Plan; and</t>
  </si>
  <si>
    <t xml:space="preserve">SCORE LEFT BLANK. I could not give 5, and I could not give 0. Why not 5: the method gives 5 only if the parastatal's own enabling act requires a fiscal plan with a defined horizon. Nothing in the Citation Sheet does this for BMRCL. Why not 0: a 0 needs proof of absence, and BMRCL's own constituting instruments are not in the Sheet. BMRCL is a company. The Annual Report 2020-21 (BMRCL-01) cites the Companies Act, 2013 and its Articles of Association. But the Sheet has no Memorandum or Articles, no GoK constitution order and no shareholder agreement. A search of the Sheet for 'Memorandum of Association Articles corporate plan' found only Annual Report pages that mention these, not their text. CORRECTION TO STEP 2: Step 2 said the BMLTA programme has 'no horizon in years'. That is not right. Two definitions in the BMLTA Act set horizons. First, s.2(g) defines the City Mobility Investment Program as 'a five-year (or such period as decided by the State Government) comprehensive investment program ... prepared by the Authority as provided in section 24'. Second, s.2(o) defines 'Medium Term' as 'up to five years or as specified by the Authority'. Under s.24(a)-(b), each urban transport agency, which would include BMRCL, prepares a Sectoral Mobility Investment Program in consultation with the Authority. Under s.25(1)(b), it 'shall' prepare a one-year Annual Implementation Plan with yearly spending estimates and funding sources. My view is that this still does not earn 5, for three reasons: (i) the BMLTA Act is a cross-cutting state law, not BMRCL's enabling act; (ii) the five-year horizon in s.2(g) attaches to the Authority's City Mobility Investment Program, and the Act sets no horizon for BMRCL's own sectoral programme; (iii) an investment programme for mobility projects is not clearly a fiscal plan for the agency. The team should confirm this. OTHER SOURCES CHECKED: The Metro Railways (O&amp;M) Act, 2002 (BMRCL-15; ss.12, 100 and 101, seen only in excerpts) has no fiscal-plan provision. The GBG Act 2024 (BMRCL-34), ss.2(42), 187 and 189, requires a medium-term fiscal plan only of the City Corporation, not BMRCL. Metro Rail Policy 2017 (BMRCL-18) is a GoI policy: its 30-year horizon is for project appraisal and is not a legal mandate on BMRCL. BMRCL-21, BMRCL-31 and BMRCL-46 are not relevant to this question. TEAM PLEASE CONFIRM: (a) Which instrument is BMRCL's 'enabling act': the Companies Act 2013 plus the Memorandum and Articles, or the Metro Railways (O&amp;M) Act 2002? (b) Can the cross-cutting BMLTA Act's s.2(g)/s.24 programme count as a fiscal plan with a defined horizon? (c) Please obtain BMRCL's Memorandum and Articles and any GoK order that constitutes BMRCL. The BMLTA text is the PRS copy, as enacted, notified in the Gazette on 12.01.2023. It shows an amendment appended (Act 10 of 2026) that I have not reviewed. Era: n/a.</t>
  </si>
  <si>
    <t xml:space="preserve">ANSWER: In the version of the BMRDA Act, 1985 available on the Citation Sheet (as amended by Act 8 of 2005), the law does not require a medium-term (3-5 year) or long-term (over 5 year) fiscal plan. The only budget duty is an annual budget estimate for the next financial year (s.12). However, the state legislation index shows the Act was also amended by Act 16 of 2010 and Act 5 of 2017. Those amendments, any BMRDA Rules and the BMRDA Regulations are not in the Sheet as readable text. So a score of 0 (requirement absent) cannot be confirmed. | EVIDENCE: (1) BMRDA Act 1985, from BMRDA-08, a copy on an unofficial host, 'As amended by Act 8 of 2005'. Chapter IV, Finance, Accounts and Audit, covers ss.11-16. s.12 says the Authority 'shall prepare, every year... an annual budget estimate in respect of the next financial year'. s.13 requires an annual report, s.15 covers borrowing with State sanction, and s.16 covers accounts and audit. No provision sets a multi-year fiscal plan. s.9(1)(ii) requires a 'structure plan' for regional development. That is a spatial plan, not a fiscal plan. s.29 lets the State make rules and s.30 lets the Authority make regulations, but no such instruments are in the Sheet as readable text. (2) The DPAL legislation index (BMRDA-14) lists the 'Bangalore Metropolitan Region Development Authority Act, 1985 (39 of 1985) Amended by Act 8 of 2005, 16 of 2010 and 5 of 2017'. Under it, it lists only the BMRDA (Conditions of Service) Regulations, 1994 and the BMR</t>
  </si>
  <si>
    <t xml:space="preserve">SC4b</t>
  </si>
  <si>
    <t xml:space="preserve">Is the medium/long-term fiscal plan publicly available?</t>
  </si>
  <si>
    <t xml:space="preserve">Step 2 found no evidence: a source needs to be found and added. Step 2 found no evidence (Insufficient Evidence). Source needed: Pages fetched from BWSSB's official website (finance, budget, publications or reports sections), with a dated record of whether a medium- or long-term fiscal plan is posted. This could be a multi-year financial plan, corporate or business plan, or 3-5 year revenue and expenditure projections. If none is posted, the full list of website sections checked is needed to show affirmative absence.</t>
  </si>
  <si>
    <t xml:space="preserve">Step 2 found no evidence: a source needs to be found and added. Step 2 found no evidence (Insufficient Evidence). Source needed: A dated check of BMTC's official website (its finance, budget, reports or publications sections) for any 3-5 year medium-term fiscal plan, business plan or corporate plan that BMTC itself published. If none is published there, a BMTC or Transport Department statement on whether such a plan exists would also help.</t>
  </si>
  <si>
    <t xml:space="preserve">Step 2 found no evidence: a source needs to be found and added. Step 2 found no evidence (Insufficient Evidence). Source needed: A dated capture of BDA's own official website (its budget, finance or publications page) that shows whether a 3-5 year or longer fiscal plan is posted, or confirms after a full check that none is. A copy of any BDA multi-year fiscal or financial plan document hosted on BDA's domain would also answer it.</t>
  </si>
  <si>
    <t xml:space="preserve">Step 2 found no evidence: a source needs to be found and added. Step 2 found no evidence (Insufficient Evidence). Source needed: The sections of BMRCL's own official website where a fiscal plan would appear (finance, corporate plan, publications or disclosures pages), fetched and dated, showing either a published medium- or long-term fiscal or business plan (e.g. a multi-year corporate plan or financial projections), or that none is published. Supporting documents could include a recent BMRCL annual report or Board document that refers to an approved multi-year corporate or financial plan.</t>
  </si>
  <si>
    <t xml:space="preserve">Step 2 found no evidence: a source needs to be found and added. Step 2 found no evidence (Insufficient Evidence). Source needed: The text of BMRDA's website 'Budget' and 'Budget and Annual Reports' pages, and any documents posted there. These would show whether BMRDA publishes a medium- or long-term fiscal plan, i.e. multi-year receipts and expenditure projections, or only annual budget estimates. Also helpful: BMRDA's sitemap page and the 2023-24 Annual Report, to confirm no fiscal plan is posted elsewhere on the site.</t>
  </si>
  <si>
    <t xml:space="preserve">SC5</t>
  </si>
  <si>
    <t xml:space="preserve">Does the law mandate a minimum tenure for the executive authority of the parastatal?</t>
  </si>
  <si>
    <t xml:space="preserve">ANSWER: This cannot be decided from the Citation Sheet. The BWSSB Act, 1964 does not set a term for the Chairman. Section 4 says the Chairman and members hold office 'for such period ... as may be prescribed by the rules'. No Rules made under the Act are in the Citation Sheet, so it is not known whether a minimum tenure exists. Removal is set out in s.6. Some grounds are defined (unsound mind, insolvency, disqualification, conviction for moral turpitude, becoming a legislator). Others are discretionary: s.6(1)(e) allows removal if, 'in the opinion of the State Government', a member 'is otherwise unfit to continue as a member'. Under s.6(5) the Government may also remove the Chairman and all members if the Board fails to carry out its functions or to follow directions under s.89. It is also unclear which post is the 'executive authority'. The Act names no MD, CEO or Commissioner. The Chairman is appointed under s.3(4) from among the qualified members, and s.87(2)(a) leaves his powers to the Rules. | EVIDENCE: BWSSB Act 1964 (BWSSB-04): s.3(2)-(4), the Board has 3-7 members appointed by the State Government, 'One of the members ... shall be appointed by the State Government to be the Chairman of the Board'. s.4, term and re-appointment are 'as may be prescribed by the rules'. s.6(1)(a)-(f), grounds for removal, including (e)(iv) 'is otherwise unfit to continue as a member'. s.6(3), the member must be given an opportunity to explain before removal. s.6(5), removal of the Chairma</t>
  </si>
  <si>
    <t xml:space="preserve">Step 2 found no evidence: a source needs to be found and added. Step 2 found no evidence (Insufficient Evidence). Source needed: Full text of the law BMTC is constituted under (current amended text), especially the provisions on the corporation's composition, appointment of the managing director/chief executive, term of office and removal. Also needed: the text of the KSRTC Rules, 1961 (or any rules applied to BMTC) on the MD's tenure and removal, the 1997 Government of Karnataka order/notification constituting BMTC, and any GO or appointment order fixing the MD's term.</t>
  </si>
  <si>
    <t xml:space="preserve">ANSWER: The BDA Act, 1976 sets no minimum tenure for the Commissioner, who is BDA's executive authority. The Act gives no grounds that limit removal. It does not say how long the Commissioner holds office or how the Commissioner may be removed. The Rules made under the Act are not in the Citation Sheet, so I could not check them. The result is 'not found' rather than a proven absence, and I have not given a score. | EVIDENCE: (1) BDA Act s.13(1), substituted by Act 18 of 1981: 'The Commissioner shall be the Chief Executive and Administrative Officer of the Authority.' This makes the Commissioner the executive authority. The Chairman is a separate whole-time member under s.3(5) and is not assessed here. (2) s.12, substituted by Act 18 of 1981, with s.12(3) amended by Act 22 of 2000: s.12(1) says the State Government appoints an officer 'not below the rank of Divisional Commissioner'. s.12(2) leaves salary and allowances to the State Government, and s.12(3) leaves leave to the State Government. Nothing covers term, minimum tenure or removal. (3) s.3(3)(m) makes 'the Commissioner, ex-officio' a member of the Authority. s.5(1) says that 'Subject to the pleasure of the Government and the provisions of section 6, the Chairman and other members of the Authority shall hold office for a period of three years'. s.6 gives removal grounds for members, including clause (d), removal 'in the opinion of the Government'. It is unclear whether s.5 covers an ex-officio member, whose seat depend</t>
  </si>
  <si>
    <t xml:space="preserve">(1) The State  Government shall appoint an officer, not  below the rank of Divisional Commissioner, to be the Commissioner  for  the Authority. (2) The Commissioner shall receive such  monthly salary  and other allowances as the State Government may, from time to time determine.</t>
  </si>
  <si>
    <t xml:space="preserve">I left the score blank. The Act does not set a minimum tenure for the Commissioner, but I could not check every layer of law the methodology asks for, so this is 'not found' rather than 0.
Who the executive authority is: s.13(1) says 'The Commissioner shall be the Chief Executive and Administrative Officer of the Authority', so the Commissioner is the post assessed here. The Chairman is not assessed.
Act layer (BDA-02, PRS consolidated copy, amended up to Act 42 of 2026; a secondary source, not the official gazette text). I read:
- s.12. The State Government appoints the Commissioner (s.12(1)). Salary and allowances are set by the State Government (s.12(2)), and so is leave (s.12(3)). The section says nothing on term, minimum tenure or removal.
- s.3(3)(m), which makes the Commissioner an ex-officio member of the Authority.
- s.5(1). The Chairman and other members hold office for three years 'Subject to the pleasure of the Government and the provisions of section 6'.
- s.6. Removal grounds for members, including clause (d): removal 'in the opinion of the Government' for abuse of position.
- s.69(2)(c), the rule-making power, which covers 'the conditions of service of the Chairman and other members of the Authority'.
- s.70(1)(f), the regulation-making power, which excludes officers in Government service lent to the Authority.
Even if the three-year term in s.5(1) applies to the ex-officio Commissioner (which is uncertain), it is held at the Government's pleasure. That is not a guaranteed minimum term with removal limited to defined grounds, so it fits neither the 10 band nor the 5 band. Nothing in the Act points towards 5 or 10.
Why I did not score 0: a 0 needs proof of absence in every layer. These are not in the Citation Sheet:
- the Rules made under s.69, which could cover conditions of service of members, including the ex-officio Commissioner;
- any BDA regulations;
- any Karnataka or all-India service rules on minimum posting tenure. The Commissioner is a Government officer, so these would apply.
Other sources checked:
- BDA-11 (Greater Bengaluru Governance Act) only names the BDA Commissioner as a member of the GBA Executive Committee. It says nothing on tenure.
- BDA-03 (KTCP Act) s.4H covers the Member-Secretary of planning authorities set up under s.4C, not BDA.
- BDA-37 and BDA-38 are not tenure law.
The Step 2 answer matches the source. To score this, a person needs to:
(a) get the BDA Rules made under s.69 and check whether they set a term for the Commissioner;
(b) check Karnataka or IAS minimum-tenure rules for posts of this kind;
(c) confirm whether s.5 applies to ex-officio members.
If none of these sets a tenure, the score would be 0.</t>
  </si>
  <si>
    <t xml:space="preserve">Step 2 found no evidence: a source needs to be found and added. Step 2 found no evidence (Insufficient Evidence). Source needed: BMRCL's Articles of Association, especially the clauses on appointing, setting the term of and removing the Managing Director. The Companies Act, 2013 provisions on managing directors (s.196 and Schedule V) and the related Rules. Any GoI-GoK joint venture agreement or GoK/GoI order setting the MD's term. The current GoK order appointing the MD, showing the stated term (fixed period or 'until further orders') and the removal conditions.</t>
  </si>
  <si>
    <t xml:space="preserve">ANSWER: The only part of the law we could read sets a maximum term for BMRDA's executive head, not a minimum. Section 8(1) of the BMRDA Act, 1985 makes the Metropolitan Commissioner the 'Chief Administrative and Executive Officer'. It says he is appointed 'for such period not exceeding three years as the State Government may decide'. The appointment may be extended up to three years at a time. That is a ceiling, not a guaranteed minimum term. The Act sets no defined grounds for removal, and the State Government sets his other terms of service 'by order'. On the Act alone this points to the no-minimum-tenure band. We cannot score 0 because the Rules and Regulations that may cover tenure are not in the Citation Sheet. | EVIDENCE: (1) BMRDA Act 1985, s.8(1) (BMRDA-08, p.9): 'The State Government shall appoint a Metropolitan Commissioner who shall be the Chief Administrative and Executive Officer on the Authority. The State Government shall by order determine, from time to time, the salary and other terms and conditions of service and the powers and functions of the Metropolitan Commissioner. He shall be appointed for such period not exceeding three years as the State Government may decide...' No clause protects him from removal or limits the grounds for it. (2) s.3(3)(x) makes the Metropolitan Commissioner Member-Secretary of the Authority. s.4 covers the terms only of members appointed under items (u), (v) and (w), 'subject to the pleasure of the Government', so it does not app</t>
  </si>
  <si>
    <t xml:space="preserve">SC6</t>
  </si>
  <si>
    <t xml:space="preserve">What is the average tenure of the chief executive/executive authority of the parastatal?</t>
  </si>
  <si>
    <t xml:space="preserve">Step 2 found no evidence: a source needs to be found and added. Step 2 found no evidence (Insufficient Evidence). Source needed: Official orders from the Karnataka Government (Urban Development Department or DPAR) or Karnataka Gazette notifications appointing or transferring the BWSSB Chairman (or any other officer confirmed as the executive head) over the last five years, with dates of joining and relieving. Each should say whether the officer held full, additional or acting charge. An official list of past Chairmen with dates on BWSSB's own site, or a BWSSB annual report naming the Chairman each year, would back these up. An official copy of the BWSSB Act and its Rules is also needed to confirm the post.</t>
  </si>
  <si>
    <t xml:space="preserve">Step 2 found no evidence: a source needs to be found and added. Step 2 found no evidence (Insufficient Evidence). Source needed: Official Karnataka DPAR (IAS) posting and transfer orders or Karnataka Gazette notifications that name each person posted as BMTC's executive head (Managing Director) from about 2021 to 2026, with dates, and that separate acting or additional-charge arrangements. Alternatively, a dated list of past managing directors on BMTC's official website or in its annual administration reports. Also needed: the Road Transport Corporations Act, 1950 together with the GO that set up BMTC, to confirm which post is the executive head.</t>
  </si>
  <si>
    <t xml:space="preserve">Step 2 found no evidence: a source needs to be found and added. Step 2 found no evidence (Insufficient Evidence). Source needed: Official Karnataka government orders (DPAR notifications or eGazette entries) appointing and transferring the Commissioner, BDA, from about Sept 2021 to date, with dates of taking and handing over charge and a note of any additional or acting charge. A dated list of past Commissioners on BDA's official website would also work, or an annual report from the period naming the Commissioners.</t>
  </si>
  <si>
    <t xml:space="preserve">ANSWER: This can't be scored from the Citation Sheet. The executive authority is BMRCL's Managing Director. The only appointment record in the sheet covers April to August 2021. The five-year window for a September 2026 assessment runs roughly from late 2021 to 2026, and the sheet has nothing for most of it. What the sheet does show: (1) Shri Ajay Seth was Managing Director up to 9 April 2021, when he left on a central posting. (2) Shri Rakesh Singh, Additional Chief Secretary, Urban Development Department, Government of Karnataka (GoK), was nominated Managing Director on concurrent charge from 9 April 2021. This is an additional/acting-type charge, recorded separately and not counted. (3) Shri Anjum Parwez was nominated Managing Director and GoK nominee from 15 July 2021, replacing Rakesh Singh. No source in the sheet says whether Anjum Parwez stayed in post after 2021, or who succeeded him. So the number of substantive chief executives in the window is unknown. | EVIDENCE: BMRCL-01 (Annual Report 2020-21, laid before the Karnataka Legislative Council), Board's Report, 'Organizational set-up' (p.37 of the report): 'The Managing Director is the Chief Executive Officer of the Company'. The MD is a GoK nominee, appointed by the Board with prior concurrence of the Government of India (GoI). The chairman is a non-executive GoI Secretary, so the MD is the executive authority by function. Board's Report, 'Appointment of Managing Director and Director after the end of the Financial </t>
  </si>
  <si>
    <t xml:space="preserve">on concurrent charge with effect from 9th April 2021 in place of Shri Aja y Seth proceeded on Central posting.</t>
  </si>
  <si>
    <t xml:space="preserve">Score left blank because the sheet doesn't cover most of the five-year window. This is not a 0.
Who counts as chief executive: BMRCL-01 says 'The Managing Dir ector is the Chie f Executive Officer of the Company'. The chairman is a part-time, non-executive Government of India Secretary, so the Managing Director (MD) is the post to count.
What the sheet shows (BMRCL-01, Annual Report FY 2020-21, with events up to 21 August 2021):
- Shri Ajay Seth was MD until 9 April 2021, when he left on a central posting.
- Shri Rakesh Singh, Additional Chief Secretary, Urban Development Department, held the post on concurrent charge from 9 April 2021 to 15 July 2021. This was additional/acting charge. Per the methodology it is recorded separately and not counted.
- Shri Anjum Parwez was nominated MD from 15 July 2021.
The window for a September 2026 assessment runs roughly from September 2021 to September 2026. The sheet has no record of whether Anjum Parwez stayed in post or who followed him. So I can't tell whether one MD served (score 10), 2–3 served (score 5) or more than 3 served (score 0).
What I checked:
- BMRCL-01: Board's Report, Key Managerial Personnel list, directors list.
- A search across the whole sheet for MD appointments.
- BMRCL-46 (Greater Bengaluru Governance Amendment Bill 2025): no MD names.
- Also covered in Step 2: BMRCL-15, -18, -21, -31, -34 (s.13(1)(j) names the post only, with no person or date), -35 and -47. None has an MD appointment or transfer record after 2021.
I agree with the Step 2 answer.
For the team:
1. Add BMRCL annual reports for FY 2021-22 to 2025-26, or Government of Karnataka Urban Development Department orders or eGazette notices appointing the MD or giving additional charge.
2. Failing that, file an RTI request with the PIO at BMRCL's Company Secretariat or the PIO of the Urban Development Department.
3. Confirm the exact window dates. They decide whether Ajay Seth and the Rakesh Singh charge fall inside it.</t>
  </si>
  <si>
    <t xml:space="preserve">Step 2 found no evidence: a source needs to be found and added. Step 2 found no evidence (Insufficient Evidence). Source needed: Official Government of Karnataka DPAR (All India Services) notifications or Karnataka Gazette notifications posting or transferring officers as Metropolitan Commissioner, BMRDA, over the last five years, showing whether each posting was substantive or additional/acting charge; or a dated official BMRDA list of past Metropolitan Commissioners with dates of taking and handing over charge; or BMRDA annual reports for each year naming the Metropolitan Commissioner.</t>
  </si>
  <si>
    <t xml:space="preserve">SC7a</t>
  </si>
  <si>
    <t xml:space="preserve">Does the parastatal have adequate staffing capacity to discharge its mandate?</t>
  </si>
  <si>
    <t xml:space="preserve">ANSWER: No current figure can be given. The only staffing figures in the Citation Sheet are from 2017. They show that about 62–63% of BWSSB's sanctioned regular posts were filled: 2,157 of 3,501 (61.6%) in August 2017, and 2,203 of 3,500 (62.9%) in January 2017. Nothing in the sheet shows how many posts are sanctioned or filled now (FY 2025-26 or 2026), so the question is not answered for the current period. | EVIDENCE: (1) BWSSB-22 (JICA Phase 3 Final Report, Main Report, Nov 2017), p.116, Table 2.2.11, 'Source: BWSSB as of August, 2017'. Sanctioned 'as per Reorganization' and working staff: Group A 207/146, Group B 310/190, Group C 1,935/1,241, Group D 1,049/580. Total 3,501 sanctioned, 2,157 working, 1,344 vacant. Formula: 2,157 / 3,501 x 100 = 61.61%. The same page says 'additional 211 persons were approved by GoK' in 2016-17, recruitment pending. It also says about 2,000 outsourced staff were engaged, making 4,157 in total. (2) BWSSB-23 (JICA Phase 3 Final Report, sewerage/O&amp;M volume), p.233, Table 17.1.1, 'as of 25 Jan 2017', source given as Office of Secretary cum CAO, BWSSB. Sanctioned 3,500, regular staff in position 2,203. Formula: 2,203 / 3,500 x 100 = 62.94%. (3) BWSSB-32 (PAC assessment, 2016), p.57 and p.84. This is a sample survey of offices with staff views on shortages. It gives no Board-wide sanctioned-versus-filled totals. (4) The other sources (BWSSB Act 1964, GBA Act, KTCP Act, AMDA presentation, KarnatakaOne page) hold no staffing data. | CAVEATS: The ~2</t>
  </si>
  <si>
    <t xml:space="preserve">A total of 3,501 persons with positions were approved by GoK, however, only 2,157 persons were employed and there are still vacant staff, as shown in the balance column (total of 1,344).</t>
  </si>
  <si>
    <t xml:space="preserve">Score left blank. Staffing data does exist, but the newest figures are from 2017, and this question is about how staffing works now. I checked the 2017 numbers against the sources and they are correct. (1) BWSSB-22, Table 2.2.11, 'Source: BWSSB as of August, 2017': 3,501 posts sanctioned and 2,157 filled, so 2,157/3,501 = 61.6%. (2) BWSSB-23, Table 17.1.1, 'as of 25 Jan 2017', source given as the Office of Secretary cum CAO, BWSSB: 3,500 sanctioned and 2,203 regular staff in post, so 62.9%. Both would fall in the 60–74% band (Score 3), but only for 2017. They are not evidence of current staffing. Under the methodology an old document is at most partial evidence of current practice, so I give no score. Score 0 does not apply either: the rubric gives 0 only when there is no staffing data or no sanctioned structure, and here a sanctioned structure is shown (sanctioned 'as per Reorganization'). Not finding current data in the Citation Sheet does not prove it is absent. Points for the reviewer: (a) BWSSB-22 says Table 2.2.11 shows 'the status of BWSSB permanent staff as of year 2015', but the table's own source line says August 2017. This needs checking. (b) Both sources are JICA/NJS consultant reports quoting BWSSB data. They are not on a gov.in/nic.in site or BWSSB's own domain, so the team must decide whether they meet the allow-list. (c) About 2,000 outsourced staff (2017) are hired through private service providers. Nothing shows they are part of the approved staffing structure, so I left them out. (d) An extra 211 posts were approved in 2016-17 and are not in either sanctioned total. (e) BWSSB-23 p.260 says about 52% of staff are regular and about 47% are on contract or casual. This is a staff-profile share, not a sanctioned-versus-filled figure. What I checked: BWSSB-22, BWSSB-23, and BWSSB-32 (the 2016 PAC sample survey, p.57: AEE interviews report vacancies, with no Board-wide totals). BWSSB-12, -25, -28, -29 and -30 are presentations, a portal page and Acts, and carry no staffing data. Searches for current (2024–2026) staffing figures found nothing. Evidence still needed: BWSSB's current sanctioned and working strength by group (A/B/C/D), from an annual report, the budget establishment schedule, the RTI s.4(1)(b) disclosure, or an RTI reply or data request to the Secretary cum CAO, BWSSB, as of 31 March 2025 or later.</t>
  </si>
  <si>
    <t xml:space="preserve">Step 2 found no evidence: a source needs to be found and added. Step 2 found no evidence (Insufficient Evidence). Source needed: BMTC's latest Annual Administration Report or Annual Report, or an official staffing statement or RTI reply, giving sanctioned posts and filled (working) posts by cadre, including contractual staff who are part of the approved structure, for the latest financial year.</t>
  </si>
  <si>
    <t xml:space="preserve">Step 2 found no evidence: a source needs to be found and added. Step 2 found no evidence (Insufficient Evidence). Source needed: A recent, dated official staffing record for BDA showing sanctioned posts and filled (working) posts, ideally by cadre and including contractual or outsourced posts that are part of the approved structure. Possible sources: BDA's latest annual report (laid before the Legislature under s.47A); BDA's RTI s.4(1)(b) disclosure of its employees; the Government order sanctioning the current s.49 staff schedule, plus a current working-strength statement; or an RTI or formal data request reply from BDA.</t>
  </si>
  <si>
    <t xml:space="preserve">Step 2 found no evidence: a source needs to be found and added. Step 2 found no evidence (Insufficient Evidence). Source needed: Any of these would answer it: BMRCL's latest annual report or Board's Report with a sanctioned-versus-working table; a state government order or Board resolution sanctioning BMRCL's posts (Phase-1 O&amp;M, Phase-2 and later); or an RTI or formal data reply giving sanctioned and filled posts, split into permanent, contract and deputation, for a recent date.</t>
  </si>
  <si>
    <t xml:space="preserve">Step 2 found no evidence: a source needs to be found and added. Step 2 found no evidence (Insufficient Evidence). Source needed: BMRDA's current sanctioned vs working strength by post, permanent and contractual. This could come from the latest RTI s.4(1)(b) proactive disclosure (list of officers and employees, with the sanctioned establishment), BMRDA's annual report under s.13 of the BMRDA Act (laid before the State Legislature), the Government order or Authority resolution sanctioning posts under s.8(3), or a formal data request or RTI to BMRDA.</t>
  </si>
  <si>
    <t xml:space="preserve">SC7b</t>
  </si>
  <si>
    <t xml:space="preserve">What proportion of the parastatal's workforce is women?</t>
  </si>
  <si>
    <t xml:space="preserve">Step 2 found no evidence: a source needs to be found and added. Step 2 found no evidence (Insufficient Evidence). Source needed: Current staffing data from BWSSB that splits filled posts by sex, ideally also by cadre and grade: e.g. the Board's latest annual report or establishment statement of sanctioned vs working strength (men/women by Group A/B/C/D and by engineering/technical cadres), an HRMS extract, a statement tabled in the Karnataka Legislature, or a reply to an RTI or formal data request from BWSSB's Administration wing (Secretary cum CAO).</t>
  </si>
  <si>
    <t xml:space="preserve">Step 2 found no evidence: a source needs to be found and added. Step 2 found no evidence (Insufficient Evidence). Source needed: Something from BMTC that gives the number of women alongside total filled posts. Any of these would do: the latest BMTC Annual Administration Report with a sanctioned-versus-working-strength table split by gender and cadre; a staff statement on BMTC's website under RTI s.4(1)(b); or an RTI reply or formal data request giving filled posts and women employees by category (officers/senior posts, technical/mechanical, drivers, conductors, administration) as of a stated date.</t>
  </si>
  <si>
    <t xml:space="preserve">Step 2 found no evidence: a source needs to be found and added. Step 2 found no evidence (Insufficient Evidence). Source needed: A recent, dated BDA staffing record that shows total filled posts and the number of women, ideally also by cadre and by grade (senior, technical/professional). This could be the 'sanctioned vs working strength' table in a BDA Annual Report (e.g. the reports laid before the Karnataka Legislature), a staff list published under RTI Act s.4(1)(b) on BDA's official site, or an RTI reply or formal data request answered by BDA.</t>
  </si>
  <si>
    <t xml:space="preserve">Step 2 found no evidence: a source needs to be found and added. Step 2 found no evidence (Insufficient Evidence). Source needed: A gender-disaggregated staffing statement for BMRCL for the latest year (FY 2024-25 or 2025-26), covering both the Project Wing and the O&amp;M Wing. It should give the number of women among all filled posts (regular, contract and deputation), and the split for senior/Executive Director-and-above posts and for engineering/technical cadres. Possible sources: a recent BMRCL Annual Report with an HR gender table, a disclosure under Section 4(1)(b) of the RTI Act, or a formal data request or RTI reply from BMRCL.</t>
  </si>
  <si>
    <t xml:space="preserve">Step 2 found no evidence: a source needs to be found and added. Step 2 found no evidence (Insufficient Evidence). Source needed: Current, dated staffing data from BMRDA showing total filled posts and the number of women employees, ideally broken down by cadre (senior/decision-making, technical/professional, ministerial). Possible sources: an updated RTI s.4(1)(b) proactive disclosure (staff directory), BMRDA's annual report under s.13 of the BMRDA Act, a sanctioned vs working strength table, or an RTI reply from BMRDA.</t>
  </si>
  <si>
    <t xml:space="preserve">DRAFT PARASTATAL scoring workbook - generated from the methodology sheet</t>
  </si>
  <si>
    <t xml:space="preserve">This draft follows the same layout as the UPD scoring workbook, so the app can fill, merge and read it. The scoring experts should:</t>
  </si>
  <si>
    <t xml:space="preserve">  1. Replace each question sheet's simple inputs (yellow) and Points formula with the real ones, keeping the row-11 instructions (e.g. SELECT YES / NO) and the column names 'Points (Auto-generate)' and 'SCORER COMMENTS'.</t>
  </si>
  <si>
    <t xml:space="preserve">  2. Check 'Applies?' (filled in from each agency's type and the question's Applicability). To change it, fix the agency in the city register or Sources workbook and generate again.</t>
  </si>
  <si>
    <t xml:space="preserve">  3. Fix the points below in the methodology sheet and generate again.</t>
  </si>
  <si>
    <t xml:space="preserve">Points to check:</t>
  </si>
  <si>
    <t xml:space="preserve">  • Section 'Decentralised Participatory Governance' has no (CODE); using DPG</t>
  </si>
  <si>
    <t xml:space="preserve">  • Question Bank row 35: the ID "DPG d" has no number. We treated it as part of DPG 5. Please correct the ID in the question bank.</t>
  </si>
  <si>
    <t xml:space="preserve">  • Question Bank row 36: the ID "DPG f" has no number. We treated it as part of DPG 5. Please correct the ID in the question bank.</t>
  </si>
  <si>
    <t xml:space="preserve">  • Question Bank row 38: the ID "DPG h" has no number. We treated it as part of DPG 5. Please correct the ID in the question bank.</t>
  </si>
  <si>
    <t xml:space="preserve">  • Section 'State Capacities' has no (CODE); using SC</t>
  </si>
  <si>
    <t xml:space="preserve">  • UPD 1a: the methodology gives scores up to 10, but the Max Score is 5. Say how the score should be scaled.</t>
  </si>
  <si>
    <t xml:space="preserve">ASICS 2027_Report_Q No</t>
  </si>
  <si>
    <t xml:space="preserve">Group</t>
  </si>
  <si>
    <t xml:space="preserve">MQ_SQ</t>
  </si>
  <si>
    <t xml:space="preserve">Assessment level</t>
  </si>
  <si>
    <t xml:space="preserve">Max Score</t>
  </si>
  <si>
    <t xml:space="preserve">Surat – SUDA</t>
  </si>
  <si>
    <t xml:space="preserve">Surat – GMRC</t>
  </si>
  <si>
    <t xml:space="preserve">ENTER</t>
  </si>
  <si>
    <t xml:space="preserve">Derived</t>
  </si>
  <si>
    <t xml:space="preserve">UPD1</t>
  </si>
  <si>
    <t xml:space="preserve">UPD2</t>
  </si>
  <si>
    <t xml:space="preserve">UPD3</t>
  </si>
  <si>
    <t xml:space="preserve">UPD4</t>
  </si>
  <si>
    <t xml:space="preserve">UPD5</t>
  </si>
  <si>
    <t xml:space="preserve">UPD6</t>
  </si>
  <si>
    <t xml:space="preserve">DPG1</t>
  </si>
  <si>
    <t xml:space="preserve">DPG2</t>
  </si>
  <si>
    <t xml:space="preserve">DPG5</t>
  </si>
  <si>
    <t xml:space="preserve">DPG6</t>
  </si>
  <si>
    <t xml:space="preserve">DPG7</t>
  </si>
  <si>
    <t xml:space="preserve">SC4</t>
  </si>
  <si>
    <t xml:space="preserve">SC7</t>
  </si>
  <si>
    <t xml:space="preserve">PARASTATAL_Scores</t>
  </si>
  <si>
    <t xml:space="preserve">PARASTATAL_OVERALL_SCORE</t>
  </si>
  <si>
    <t xml:space="preserve">No. of MQs not yet scored ("?") - overall score is provisional while &gt; 0</t>
  </si>
  <si>
    <t xml:space="preserve">No. of MQs marked NA (excluded from overall score)</t>
  </si>
  <si>
    <t xml:space="preserve">City</t>
  </si>
  <si>
    <t xml:space="preserve">Agencies</t>
  </si>
  <si>
    <t xml:space="preserve">PARASTATAL score</t>
  </si>
  <si>
    <t xml:space="preserve">Agencies with a score</t>
  </si>
  <si>
    <t xml:space="preserve">Bengaluru</t>
  </si>
  <si>
    <t xml:space="preserve">BWSSB, BMTC, BDA, BMRCL, BMRDA</t>
  </si>
  <si>
    <t xml:space="preserve">Surat</t>
  </si>
  <si>
    <t xml:space="preserve">SUDA, GMRC</t>
  </si>
  <si>
    <t xml:space="preserve">A city's score is the average of its agencies' overall scores. Agencies with no applicable questions (NA) are left out.</t>
  </si>
  <si>
    <t xml:space="preserve">Q No</t>
  </si>
  <si>
    <t xml:space="preserve">Original ID</t>
  </si>
  <si>
    <t xml:space="preserve">Applicability</t>
  </si>
  <si>
    <t xml:space="preserve">Detailed Methodology</t>
  </si>
  <si>
    <t xml:space="preserve">Notes for scorers</t>
  </si>
  <si>
    <t xml:space="preserve">UPD 1</t>
  </si>
  <si>
    <t xml:space="preserve">Urban Planning &amp; Design (UPD)</t>
  </si>
  <si>
    <t xml:space="preserve">MQ</t>
  </si>
  <si>
    <t xml:space="preserve">Does the parastatal coordinate with the ULG(s) in preparing its spatial and/or sectoral plans?</t>
  </si>
  <si>
    <t xml:space="preserve">Common — all parastatal types.</t>
  </si>
  <si>
    <t xml:space="preserve">Sum total of the sub-indicators below -</t>
  </si>
  <si>
    <t xml:space="preserve">See sub-indicators</t>
  </si>
  <si>
    <t xml:space="preserve">UPD 1a</t>
  </si>
  <si>
    <t xml:space="preserve">SQ</t>
  </si>
  <si>
    <t xml:space="preserve">Law/Policy</t>
  </si>
  <si>
    <t xml:space="preserve">Review the relevant Parastatal Act and the State Town and Country Planning (T&amp;CP) Act.
10 — ULG approval/concurrence or joint preparation is required. 
7.5 — formal consultation is mandatory, and ULG response must be considered/responded to. 
5 — consultation is mandatory, but there is no obligation to incorporate/respond. 
2.5 — consultation is discretionary (“may”). 
0 — no formal role.</t>
  </si>
  <si>
    <t xml:space="preserve">Relevant Parastatal Act; applicable Town and Country Planning (T&amp;CP) Act.</t>
  </si>
  <si>
    <t xml:space="preserve">UPD 1b</t>
  </si>
  <si>
    <t xml:space="preserve">Implementation</t>
  </si>
  <si>
    <t xml:space="preserve">Review the latest available plan-making cycle for evidence of ULG participation in the parastatal’s plan-making process, irrespective of whether such participation is legally mandated.
Score 10 where there is evidence of substantive ULG participation, such as joint preparation, concurrence/approval, or documented consideration of and response to ULG inputs.
Score 5 where the ULG was formally consulted or invited to provide inputs, but there is no evidence of how these inputs were considered.
Score 2.5 where there is evidence of limited or informal engagement with the ULG.
Score 0 where there is no evidence of ULG participation.
Evidence may include plan documents, consultation records, meeting minutes, ULG resolutions/comments, responses to ULG inputs, or information published on the parastatal/ULG website.</t>
  </si>
  <si>
    <t xml:space="preserve">Evidence may include plan documents, consultation records, meeting minutes, ULG resolutions/comments, responses to ULG inputs, or information published on the parastatal website.</t>
  </si>
  <si>
    <t xml:space="preserve">UPD 2</t>
  </si>
  <si>
    <t xml:space="preserve">Where multiple statutory or sectoral plans apply to the same territory, does the water supply board and transport corporation ensure consistency with the applicable metropolitan/regional or city master plan/strategic plan for the city?</t>
  </si>
  <si>
    <t xml:space="preserve">All parastatals excluding Development Authorities</t>
  </si>
  <si>
    <t xml:space="preserve">Sum of the sub-questions below -</t>
  </si>
  <si>
    <t xml:space="preserve">UPD 2a</t>
  </si>
  <si>
    <t xml:space="preserve">Water supply board</t>
  </si>
  <si>
    <t xml:space="preserve">Review the relevant Parastatal Act and Town and Country Planning Act.
Score 2.50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water supply plan shall conform to the applicable Master Plan or Metropolitan Plan would score 2.5, while a provision stating that the authority may have regard to such a plan would score 1.25.</t>
  </si>
  <si>
    <t xml:space="preserve">UPD 2b</t>
  </si>
  <si>
    <t xml:space="preserve">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
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t>
  </si>
  <si>
    <t xml:space="preserve">Water Supply Board's current water supply/sewerage master plan or equivalent sectoral planning document; applicable Master Plan/Development Plan/Metropolitan or Regional Plan; land-use conversion/regularisation records for major treatment plants or trunk infrastructure, where available.</t>
  </si>
  <si>
    <t xml:space="preserve">UPD 2c</t>
  </si>
  <si>
    <t xml:space="preserve">Transport Corporation</t>
  </si>
  <si>
    <t xml:space="preserve">Review the relevant Parastatal Act and Town and Country Planning Act.
Score 2.5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transport plan shall conform to the applicable Master Plan or Metropolitan Plan would score 2.5, while a provision stating that the authority may have regard to such a plan would score 1.25.</t>
  </si>
  <si>
    <t xml:space="preserve">UPD 2d</t>
  </si>
  <si>
    <t xml:space="preserve">Review the transport corporation's current transport/mobility master plan, network expansion plan, or equivalent sectoral planning document, together with the applicable Master Plan/Development Plan/Metropolitan or Regional Plan.
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
The score sheet should record components for scores, the plan/document relied upon, year, applicable statutory master plan, and the specific reference demonstrating alignment.
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t>
  </si>
  <si>
    <t xml:space="preserve">Transport corporation's current mobility/network plan; applicable Master Plan/Development Plan/Metropolitan or Regional Plan; land-use conversion/regularisation records for major transport infrastructure, where available.</t>
  </si>
  <si>
    <t xml:space="preserve">UPD 3</t>
  </si>
  <si>
    <t xml:space="preserve">Are the needs of women, the urban poor, and other vulnerable groups explicitly considered in the water board’s planning, service delivery or major investment decisions?</t>
  </si>
  <si>
    <t xml:space="preserve">Review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</si>
  <si>
    <t xml:space="preserve">Relevant Act of the parastatal and applicable sectoral legislation, rules, regulations and other binding policy instruments</t>
  </si>
  <si>
    <t xml:space="preserve">UPD 3a</t>
  </si>
  <si>
    <t xml:space="preserve">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
Score 5 if equity requirements apply across core service-access and delivery decisions
Score 2.5 if limited to particular groups, services or schemes
Score 0 if no explicit requirement is found.</t>
  </si>
  <si>
    <t xml:space="preserve">Water Supply Board/utility Act, water and sanitation legislation, tariff regulations, service rules, State policies and other applicable binding instruments</t>
  </si>
  <si>
    <t xml:space="preserve">UPD 3b</t>
  </si>
  <si>
    <t xml:space="preserve">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
Look for identifiable provisions such as:
concessional/lifeline tariff, connection fee concession, deposit concession or other affordability measure for EWS/BPL/slum/low-income households
a named scheme or coverage commitment for slums/informal settlements
inclusion of slums/informal settlements within the water-supply master plan’s demand assessment, network design or service area, including where relevant irrespective of land tenure or notified status
priority/admissible category for network extension to low-income or underserved settlements
decentralised/service alternatives such as community stand posts, water ATMs or mini-networks where individual household connections are not feasible.
Scoring
Score 2.5 if there is evidence of both (i) an affordability/access measure and (ii) an explicit service-planning/coverage measure for an identified vulnerable group.
Score 1.25 if only one of the above is present.
Score 0 if neither is present.
Component 2 – Gender, and accessible design: 2.5 marks
Look for identifiable planning or design measures such as:
GESI/gender/social inclusion screening or analysis within water-supply planning or DPR preparation
explicit design consideration for women, PwDs, elderly persons, children or other identified vulnerable users
siting of shared water infrastructure to reduce time, distance or physical burden
safe and accessible approaches to community water points
barrier-free/universal-access design standards for public-facing water infrastructure, including ramps, step-free access, appropriate tap heights or other accessible design features
other specific design or service measures intended to address identified access barriers.
Scoring
Score 2.5 if the Board’s current planning/design framework contains specific operational or design measures addressing the needs of identified vulnerable groups.
Score 1.25 if vulnerable groups are specifically identified and considered, but the provision does not translate into a clear operational/design requirement.
Score 0 if there is no identifiable equity/accessibility consideration.</t>
  </si>
  <si>
    <t xml:space="preserve">Water Supply Board's current water supply/sanitation plan; scheme/coverage documents; tariff or connection-concession orders; design/service standards.</t>
  </si>
  <si>
    <t xml:space="preserve">UPD 4</t>
  </si>
  <si>
    <t xml:space="preserve">Are the needs of women, the urban poor, and other vulnerable groups explicitly considered in the transport Corporation’s planning, service delivery or major investment decisions?</t>
  </si>
  <si>
    <t xml:space="preserve">UPD 4a</t>
  </si>
  <si>
    <t xml:space="preserve">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
Score 5 if such considerations are explicitly embedded across core service-planning and delivery functions
Score 2.5 if limited to specific groups, services or schemes
Score 0 if no explicit requirement is found.</t>
  </si>
  <si>
    <t xml:space="preserve">Transport authority/corporation Act, applicable transport legislation, rules, service regulations, fare policies and other binding policy instruments</t>
  </si>
  <si>
    <t xml:space="preserve">UPD 4b</t>
  </si>
  <si>
    <t xml:space="preserve">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
Do not award credit for generic language such as "public interest," "all commuters," "universal service" or "inclusive development" unless this is translated into a specific route, fare, service or design provision.
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
Score 2.5 if there is evidence of both (i) an affordability/fare-concession measure and (ii) an explicit route/coverage measure for an identified vulnerable group. Score 1.25 if only one is present. Score 0 if neither is present.
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
Score 2.5 if the Corporation's current planning/design framework contains specific operational or design measures. Score 1.25 if vulnerable groups are identified but this doesn't translate into an operational/design requirement. Score 0 if no identifiable consideration.</t>
  </si>
  <si>
    <t xml:space="preserve">Transport Corporation's current transport/mobility plan; fare policy/concession orders; service design standards or specifications; annual report.</t>
  </si>
  <si>
    <t xml:space="preserve">UPD 5</t>
  </si>
  <si>
    <t xml:space="preserve">Are environmental considerations explicitly required to be integrated into the water supply board’s planning, service-delivery or major investment decisions?</t>
  </si>
  <si>
    <t xml:space="preserve">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</si>
  <si>
    <t xml:space="preserve">Enabling Act of the parastatal, applicable sectoral legislation, T&amp;CP/planning legislation, relevant environmental rules/regulations, and other binding policy instruments</t>
  </si>
  <si>
    <t xml:space="preserve">UPD 5a</t>
  </si>
  <si>
    <t xml:space="preserve">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t>
  </si>
  <si>
    <t xml:space="preserve">Water Supply Board/utility Act, water and sanitation legislation, service rules, State water policies, groundwater/source-protection provisions and other binding instruments</t>
  </si>
  <si>
    <t xml:space="preserve">UPD 5b</t>
  </si>
  <si>
    <t xml:space="preserve">Review the Board's latest water supply plan. Assess whether it contains identifiable environmental sustainability measures relating to source management, conservation, wastewater management, or climate resilience.
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
Look for identifiable provisions such as:
sustainable or diversified water source development, or measures to reduce over-extraction/dependence on a stressed source
groundwater recharge, rainwater harvesting, or source-protection measures within the Board's own infrastructure planning
a non-revenue water (NRW)/water-loss reduction target or programme
demand management or water conservation measures (e.g., universal metering, leak detection and repair programme, conservation-oriented design standards)
measures to protect water sources from pollution or encroachment (buffer/catchment protection, control of upstream effluent discharge)
any other specific measure on sustainable source management, and/or conservation and loss reduction
Scoring:
Score 2.5 if there is evidence of both (i) a sustainable source/protection measure and (ii) an explicit loss-reduction or demand-management target/programme.
Score 1.25 if only one of the above is present. Score 0 if neither is present.
Component 2 – Wastewater management, reuse and climate resilience: 2.5 marks
Look for identifiable planning or operational measures such as:
wastewater treatment capacity or quality targets aligned with service expansion
a treated-wastewater reuse/recycling target or scheme (industrial, horticultural, non-potable reuse, etc.)
climate resilience or adaptation measures for water sources or infrastructure (drought contingency planning, flood-proofing of treatment/pumping assets)
energy efficiency measures in water/wastewater operations (energy audits, renewable energy use in pumping/treatment)
environmental flow or ecological considerations where surface water sources are used
other specific measures addressing the environmental impact of water or wastewater operations
Scoring:
Score 2.5 if the Board's current planning framework contains specific operational measures addressing wastewater management, climate resilience or energy use.
Score 1.25 if such considerations are mentioned or identified but do not translate into a clear operational or target-based requirement.
Score 0 if there is no identifiable environmental sustainability consideration.</t>
  </si>
  <si>
    <t xml:space="preserve">Water Supply Board's current water supply/sanitation plan; source-protection or conservation programme documents; wastewater treatment/reuse scheme documents; annual report.</t>
  </si>
  <si>
    <t xml:space="preserve">UPD 6</t>
  </si>
  <si>
    <t xml:space="preserve">Are environmental considerations explicitly required to be integrated into the transport corporation’s planning, service-delivery or major investment decisions?</t>
  </si>
  <si>
    <t xml:space="preserve">UPD 6a</t>
  </si>
  <si>
    <t xml:space="preserve">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
Score 5 if environmental considerations are explicitly embedded across core transport planning/investment/service-delivery functions
Score 2.5 if limited to specific modes, projects or environmental objectives
Score 0 if no explicit requirement is found.</t>
  </si>
  <si>
    <t xml:space="preserve">Transport authority/corporation Act, applicable transport legislation, rules, mobility/transport policies and other binding instruments</t>
  </si>
  <si>
    <t xml:space="preserve">UPD 6b</t>
  </si>
  <si>
    <t xml:space="preserve">Review the Corporation's current fleet plan, network/route plan or environmental/sustainability policy. Assess whether it contains identifiable environmental sustainability measures relating to fleet composition, emissions, energy use or modal integration.
Do not award credit for generic language such as "sustainable development," "green transport" or "environment friendly" unless translated into a specific fleet, operational or design provision.
Component 1 – Cleaner fleet and emissions reduction: 2.5 marks. Look for: an electric/CNG/hybrid fleet-transition target; an emissions or fuel-efficiency target; a retirement/phase-out schedule for high-emission vehicles.
Score 2.5 if evidence of both (i) a cleaner-fuel/fleet-transition measure and (ii) an explicit emissions/efficiency target. Score 1.25 if only one is present. Score 0 if neither.
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
Score 2.5 if the Corporation's planning framework contains specific operational measures. Score 1.25 if mentioned but not operationalised/targeted. Score 0 if no identifiable consideration.</t>
  </si>
  <si>
    <t xml:space="preserve">Transport Corporation's fleet plan; route/network plan; environmental/sustainability policy; annual report.</t>
  </si>
  <si>
    <t xml:space="preserve">DPG 1</t>
  </si>
  <si>
    <t xml:space="preserve">Decentralised Participatory Governance</t>
  </si>
  <si>
    <t xml:space="preserve">Are the functions and geographical jurisdiction of the parastatal clearly defined vis-à-vis the ULG and other relevant agencies?</t>
  </si>
  <si>
    <t xml:space="preserve">Institutional Design</t>
  </si>
  <si>
    <t xml:space="preserve">Parastatal, 12th Schedule mapping exercise</t>
  </si>
  <si>
    <t xml:space="preserve">DPG 1a</t>
  </si>
  <si>
    <t xml:space="preserve">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
Record the devolution scenario (A/B/C) and the specific provisions relied upon in the evidence column.</t>
  </si>
  <si>
    <t xml:space="preserve">Relevant Parastatal Act; State Municipal Act — record the specific provisions establishing devolution status and (where applicable) the functional carve-out.</t>
  </si>
  <si>
    <t xml:space="preserve">DPG 1b</t>
  </si>
  <si>
    <t xml:space="preserve">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t>
  </si>
  <si>
    <t xml:space="preserve">Enabling Act, 12th Schedule mapping exercise</t>
  </si>
  <si>
    <t xml:space="preserve">DPG 2</t>
  </si>
  <si>
    <t xml:space="preserve">Is the parastatal accountable to the ULG?</t>
  </si>
  <si>
    <t xml:space="preserve">DPG 2a</t>
  </si>
  <si>
    <t xml:space="preserve">Review the relevant Parastatal Act and Municipal Act for composition.
Score 5 if ULG-elected representatives sit on the board with voting rights. 
Score 2.5 if represented without voting rights or only as invitees. 
Score 0 if no representation.</t>
  </si>
  <si>
    <t xml:space="preserve">Composition clause of enabling Act; current board member list</t>
  </si>
  <si>
    <t xml:space="preserve">DPG-2b</t>
  </si>
  <si>
    <t xml:space="preserve">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
Award 1.67 points each where:
1. plans are required to be submitted/tabled;
2. budgets are required to be submitted/tabled; and
3. annual/performance reports are required to be submitted/tabled.
Score 0 for each component where no such requirement exists. 
Where all three are provided for, award the full score of 5.
Record the relevant provision and the documents covered in the evidence column. Submission only to the State Government or another authority should not be counted as submission to the ULG/council.</t>
  </si>
  <si>
    <t xml:space="preserve">Plan/Budget preparation/Annual report preparation clause of the enabling Act of the relevant parastatal</t>
  </si>
  <si>
    <t xml:space="preserve">DPG 4</t>
  </si>
  <si>
    <t xml:space="preserve">Common.</t>
  </si>
  <si>
    <t xml:space="preserve">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t>
  </si>
  <si>
    <t xml:space="preserve">Live URL, screenshot/web-archive capture, date of check of the website of the relevant parastatal</t>
  </si>
  <si>
    <t xml:space="preserve">DPG 5</t>
  </si>
  <si>
    <t xml:space="preserve">Are the parastatal's key financial, governance, and operational documents available on the website and published in accessible, open-data formats?</t>
  </si>
  <si>
    <t xml:space="preserve">Sum of sub-questions below - 
Assess each of the ten components below independently. Each component carries 1 point: 0.5 for online availability and 0.5 for publication in an open, machine-readable/reusable format, as appropriate to the information type. 
For online availability, score 0.5 if the document/information is publicly available online and current, relating to the current financial year or at least the immediately preceding financial year, as applicable; 
score 0 if it is unavailable or outdated. 
Aggregate the scores across all ten components to arrive at the total score out of 10.</t>
  </si>
  <si>
    <t xml:space="preserve">Website screenshots/archived URLs with date of access, for each document type</t>
  </si>
  <si>
    <t xml:space="preserve">Availability and currency — 0.5
0.5: Budget for the current FY or immediately preceding FY is publicly available online
0: Budget cannot be found/accessed online or is older than the permitted period.
Record the FY/year/date of the latest information found in a separate evidence field even where the score is 0.
Minimum format/accessibility — 0.5
0.5: Budget data available in a structured, machine-readable/reusable format (XLS/XLSX, CSV, ODS, structured HTML table, downloadable structured dataset)
0: Budget data is available but does not meet that standard (Scanned PDF/image; PDF containing only tables that cannot be readily extracted/reused)</t>
  </si>
  <si>
    <t xml:space="preserve">DPG 5b</t>
  </si>
  <si>
    <t xml:space="preserve">Availability and currency — 0.5
Score 0.5: Audited accounts for the immediately preceding FY, or the latest FY for which audited accounts are due, are publicly available online. Allow a one-FY lag where audit timelines make preceding-year accounts not yet due.
Score 0: Audited accounts cannot be found/accessed online or is older than the permitted period.
Record the FY/year/date of the latest information found in a separate evidence field even where the score is 0.
Minimum format/accessibility — 0.5
Score 0.5: Financial statements available in a structured, machine-readable/reusable format (XLS/XLSX, CSV, ODS, structured HTML table, downloadable structured dataset)
Score 0: Financial statements is available but does not meet that standard (Scanned PDF/image; PDF containing only tables that cannot be readily extracted/reused)</t>
  </si>
  <si>
    <t xml:space="preserve">DPG 5c</t>
  </si>
  <si>
    <t xml:space="preserve">Availability and currency — 0.5
Score 0.5: Annual report for the immediately preceding FY, or latest report due, is publicly available online.
Score 0: Annual report cannot be found/accessed online or is older than the permitted period.
Record the FY/year/date of the latest information found in a separate evidence field even where the score is 0.
Minimum format/accessibility — 0.5
Score 0.5: Annual report available in a searchable/text-readable and downloadable document (Searchable PDF/PDF-A, HTML, DOC/DOCX, accessible e-publication)
Score 0: Annual report is available but does not meet that standard (Scanned/image-only PDF; images of report pages)</t>
  </si>
  <si>
    <t xml:space="preserve">DPG d</t>
  </si>
  <si>
    <t xml:space="preserve">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Minimum format/accessibility — 0.5
Score 0.5: Meeting Minutes available in a searchable/text-readable and downloadable document (Searchable PDF, HTML, DOC/DOCX)
Score 0: Meeting Minutes is available but does not meet that standard (Scanned/image-only minutes; image gallery)</t>
  </si>
  <si>
    <t xml:space="preserve">DPG f</t>
  </si>
  <si>
    <t xml:space="preserve">Availability and currency — 0.5
Score 0.5: Information reflects the current organisational structure, or has evidence of being updated in the current or immediately preceding FY
Score 0: Current organisational structure cannot be found/accessed online or is older than the permitted period.
Record the FY/year/date of the latest information found in a separate evidence field even where the score is 0.
Minimum format/accessibility — 0.5
Score 0.5: Current organisational structure available in as searchable webpage or searchable/downloadable document with identifiable posts/officials/structure (HTML organisation/staff directory; searchable PDF organisation chart; XLS/CSV staff-position information)
Score 0: Current organisational structure is available but does not meet that standard (Image-only organisation chart; scanned list)</t>
  </si>
  <si>
    <t xml:space="preserve">Availability and currency — 0.5
Score 0.5: Major plans and/or information on ongoing projects is available and relates to the current FY or immediately preceding FY, as applicable
Score 0: Major plans and/or information on ongoing projects cannot be found/accessed online or is older than the permitted period.
Record the FY/year/date of the latest information found in a separate evidence field even where the score is 0.
Minimum format/accessibility — 0.5
Score 0.5: Major plans and/or information on ongoing projects available in the following manner
- Plans: searchable/text-readable downloadable document. 
- Project information: searchable webpage/table or structured downloadable data (Searchable plan PDF; HTML project dashboard; XLS/CSV project list)
Score 0: Major plans and/or information on ongoing projects is available but does not meet that standard (Scanned plan only; project information presented only as images)</t>
  </si>
  <si>
    <t xml:space="preserve">DPG h</t>
  </si>
  <si>
    <t xml:space="preserve">Availability and currency — 0.5
Score 0.5: Performance information for the current FY or immediately preceding FY is publicly available online
Score 0: Performance information cannot be found/accessed online or is older than the permitted period.
Record the FY/year/date of the latest information found in a separate evidence field even where the score is 0.
Minimum format/accessibility — 0.5
Score 0.5: Performance information available in a structured, machine-readable/reusable format (CSV, XLS/XLSX, ODS, structured HTML table/dashboard with downloadable data)
Score 0: Performance information is available but does not meet that standard (Scanned performance report; image/chart with no underlying readable/reusable values)</t>
  </si>
  <si>
    <t xml:space="preserve">Availability and currency — 0.5
Score 0.5: A currently applicable Charter is publicly available. No annual publication requirement; do not treat it as outdated solely because it predates the preceding FY if it remains in force.
Score 0: Charter cannot be found/accessed online or is older than the permitted period.
Record the FY/year/date of the latest information found in a separate evidence field even where the score is 0.
Minimum format/accessibility — 0.5
Score 0.5: Charter available in a searchable/text-readable webpage or downloadable document (HTML, searchable PDF/PDF-A, DOC/DOCX)
Score 0: Charter is available but does not meet that standard (Scanned/image-only Charter)</t>
  </si>
  <si>
    <t xml:space="preserve">Availability and currency — 0.5
Score 0.5: Current PIO/APIO details and RTI procedure are publicly available; information should be treated as current where the named office-holder/contact details remain valid
Score 0: Information cannot be found/accessed online or ithe named office-holder/contact details are invalid.
Record the FY/year/date of the latest information found in a separate evidence field even where the score is 0.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</si>
  <si>
    <t xml:space="preserve">Availability and currency — 0.5
Score 0.5: Procurement information includes tenders/awards from the current FY or immediately preceding FY
Score 0: Information cannot be found/accessed online or is older than the permitted period.
Record the FY/year/date of the latest information found in a separate evidence field even where the score is 0.
Minimum format/accessibility — 0.5
Score 0.5: Tender/award information available as a searchable structured webpage/table or machine-readable/reusable dataset (Searchable e-procurement table, HTML contract register, CSV/XLS/XLSX/ODS download)
Score 0: Information is available but does not meet that standard (Scanned tender lists; image-only notices; individual PDFs with no searchable/indexed tender/award register)</t>
  </si>
  <si>
    <t xml:space="preserve">DPG 6</t>
  </si>
  <si>
    <t xml:space="preserve">Does the parastatal provide for and maintain an accessible grievance-redressal mechanism?</t>
  </si>
  <si>
    <t xml:space="preserve">Composite of the legal-mandate and implementation sub-indicators below.</t>
  </si>
  <si>
    <t xml:space="preserve">DPG 6a</t>
  </si>
  <si>
    <t xml:space="preserve">Score 5 if  the Parastatal Act/ corresponding subordinate legislation/ citizen or service charter requires a grievance-redressal mechanism (any channel); 0 if not.</t>
  </si>
  <si>
    <t xml:space="preserve">Parastatal Act/ corresponding subordinate legislation/ citizen or service charter</t>
  </si>
  <si>
    <t xml:space="preserve">DPG 6b</t>
  </si>
  <si>
    <t xml:space="preserve">Score out of 5 based on the following components - 
Score 1.00 if a Web-based grievance channel exists
Qualification - An official website/portal provides a functioning mechanism through which a grievance can be lodged online. A dedicated grievance form, integrated government grievance portal or equivalent qualifies.
Evidence - Live URL + dated screenshot showing grievance-submission functionality. Where the parastatal redirects users to a State/common grievance portal, capture both the parastatal link/reference and the relevant portal page.
Score 1.00 if a Mobile / electronic grievance channel exists
Qualification - A currently operational mobile app, designated grievance email, WhatsApp or other officially notified electronic channel is provided for lodging grievances
Evidence - Official website listing the channel; official app listing or screenshot 
Score 1.00  if a telephone grievance channel exists
Qualification - A dedicated or clearly designated helpline/call centre/telephone number is provided for complaints or grievances. A generic office switchboard does not qualify unless it is explicitly identified as accepting grievances.
Evidence - Official website showing the grievance/helpline number.
Score 1.00 if an in-person grievance channel exists
Qualification - Citizens can lodge grievances through an identified helpdesk, grievance counter, designated office/officer or other physical mechanism.
Evidence - Citizen/Service Charter, official website, office notice/order or other official document identifying where/how an in-person grievance can be lodged.
Score 1.00 if an in-person grievance channel
Qualification - The mechanism provides evidence that a registered grievance can be acknowledged and subsequently tracked, through a complaint/reference number, status-tracking facility or equivalent process.
Evidence - Portal screenshot showing acknowledgement/tracking functionality; 
Where all five are provided for, award the full score of 5.</t>
  </si>
  <si>
    <t xml:space="preserve">Relevant parastatal's official website 
Detailed evidence information provided in the methodology column (I 33)</t>
  </si>
  <si>
    <t xml:space="preserve">DPG 7</t>
  </si>
  <si>
    <t xml:space="preserve">Does the law mandate citizen participation in the preparation of plans for which the parastatal is responsible, and does the parastatal provide for such participation in practice?</t>
  </si>
  <si>
    <t xml:space="preserve">Sum of sub-questions below -</t>
  </si>
  <si>
    <t xml:space="preserve">Provisions on plan approval procedure in enabling act of the relevant parastatal/T&amp;CP Act</t>
  </si>
  <si>
    <t xml:space="preserve">DPG 7a</t>
  </si>
  <si>
    <t xml:space="preserve">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t>
  </si>
  <si>
    <t xml:space="preserve">Parastatal Act and rules; applicable T&amp;CP Act; State Municipal Act.</t>
  </si>
  <si>
    <t xml:space="preserve">DPG 7b</t>
  </si>
  <si>
    <t xml:space="preserve">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</si>
  <si>
    <t xml:space="preserve">Plan document; consultation reports; public notices; minutes/proceedings of consultations or hearings on the parastatal's official website; media reports.</t>
  </si>
  <si>
    <t xml:space="preserve">SC-1</t>
  </si>
  <si>
    <t xml:space="preserve">State Capacities</t>
  </si>
  <si>
    <t xml:space="preserve">Implementation (Numeric)</t>
  </si>
  <si>
    <t xml:space="preserve">Revenue-raising parastatals only</t>
  </si>
  <si>
    <t xml:space="preserve">Compute Own Revenue (Tax and Non-Tax revenue excluding any government grants) and use 3 years average wherever available (at least 2 years but not more than 5 years). Score is own revenue percentage as a proportion of 10 marks i.e. 50% gets 5 out of 10.</t>
  </si>
  <si>
    <t xml:space="preserve">Annual budget of the last three financial years of the relevant parastatal.</t>
  </si>
  <si>
    <t xml:space="preserve">SC-2</t>
  </si>
  <si>
    <t xml:space="preserve">Parastatals with an infrastructure-delivery/capital-expenditure mandate.</t>
  </si>
  <si>
    <t xml:space="preserve">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t>
  </si>
  <si>
    <t xml:space="preserve">Latest annual budget and capital-expenditure accounts of the relevant parastatal; population figure with source.</t>
  </si>
  <si>
    <t xml:space="preserve">SC-3</t>
  </si>
  <si>
    <t xml:space="preserve">Common — all parastatal types with an annual budget.</t>
  </si>
  <si>
    <t xml:space="preserve">3 year average of budget variance wherever available (at least 2 years but not more than 5 years); If variance is within 15%, the score will be 10 but anything over 15% will score 0 out of 10</t>
  </si>
  <si>
    <t xml:space="preserve">Budget documents and audited accounts for the same financial year, compared side by side</t>
  </si>
  <si>
    <t xml:space="preserve">SC-4</t>
  </si>
  <si>
    <t xml:space="preserve">Is the parastatal mandated to prepare a medium-term and/or long-term fiscal plan, and has it prepared a current plan in accordance with that mandate?</t>
  </si>
  <si>
    <t xml:space="preserve">Sum of the legal-mandate and public availability sub-indicators below.</t>
  </si>
  <si>
    <t xml:space="preserve">SC-4a</t>
  </si>
  <si>
    <t xml:space="preserve">Score 5 if enabling act of the relevant parastatal require a fiscal plan of defined horizon (Medium term at 3-5 years and long term at &gt;5 years). Score 0 if no such requirement.</t>
  </si>
  <si>
    <t xml:space="preserve">Enabling act of the relevant parastatal</t>
  </si>
  <si>
    <t xml:space="preserve">SC-4b</t>
  </si>
  <si>
    <t xml:space="preserve">Score 5 if the fiscal plan is published online on the relevant parastatal's website. Score 0 if not available.</t>
  </si>
  <si>
    <t xml:space="preserve">Website of the relevant parastatal</t>
  </si>
  <si>
    <t xml:space="preserve">SC-5</t>
  </si>
  <si>
    <t xml:space="preserve">Review the relevant Parastatal Act and rules governing the appointment of the chief executive/executive authority.
Score 10 — the law mandates a minimum tenure of two years (or more) for the executive authority, with removal permitted only on defined grounds (e.g. misconduct, incapacity) rather than at unrestricted discretion.
Score 5 — the law mandates a minimum tenure of less than two years.
Score 0 — no minimum tenure is prescribed in law.
This refers to the bureaucratic/administrative head of the parastatal — for example, the Managing Director, Commissioner, Chief Executive Officer or equivalent executive authority — and not to the Chairperson or political head.</t>
  </si>
  <si>
    <t xml:space="preserve">Relevant Parastatal Act; rules governing appointment, tenure and removal of the executive authority/chief executive.</t>
  </si>
  <si>
    <t xml:space="preserve">SC-6</t>
  </si>
  <si>
    <t xml:space="preserve">Common — all parastatal types with a designated chief executive/executive authority post.</t>
  </si>
  <si>
    <t xml:space="preserve">Review appointments/transfers of the chief executive or executive authority over the last five years. 
Score 10 if one chief executive has served during the period
Score 5 if 2–3 chief executives have served
Score 0 if more than 3 chief executives have served. 
Where an officer has held only additional/acting charge, record this separately.</t>
  </si>
  <si>
    <t xml:space="preserve">Newspaper reports, Gazette notifications of appointment/transfer and website of relevant parastatal</t>
  </si>
  <si>
    <t xml:space="preserve">SC-7</t>
  </si>
  <si>
    <t xml:space="preserve">Does the parastatal have adequate and representative staffing capacity to discharge its mandate?</t>
  </si>
  <si>
    <t xml:space="preserve">Sum of the sub-indicators below.</t>
  </si>
  <si>
    <t xml:space="preserve">RTI / Formal data request with the parastatal and Website of the relevant parastatal</t>
  </si>
  <si>
    <t xml:space="preserve">SC-7a</t>
  </si>
  <si>
    <t xml:space="preserve">Collect the parastatal’s sanctioned and filled positions, including permanent and contractual staff where they form part of the approved staffing structure. Calculate the proportion of sanctioned positions that are filled.
Score 5 – 90% or more of sanctioned positions filled
Score 4 – 75%–89%
Score 3 – 60%–74%
Score 2 – 40%–59%
Score 1 – below 40%
Score 0 – no staffing data available / no evidence of sanctioned staffing structure</t>
  </si>
  <si>
    <t xml:space="preserve">Staffing records on the website/ RTI  and/or formal data request with the parastatal/ annual report</t>
  </si>
  <si>
    <t xml:space="preserve">SC-7b</t>
  </si>
  <si>
    <t xml:space="preserve">Compute women employees as a proportion of total filled posts using the latest available staffing data. 
% women in workforce = (Number of women employees ÷ Total filled posts) × 100, using the latest available staffing data.
Scoring bands:
Score 5 — women constitute ≥33% of the workforce
Score 2.5 — women constitute 15–32% of the workforce
Score 0 — women constitute &lt;15% of the workforce
Also record, wherever available, the proportion of women in senior/decision-making positions and technical/professional cadres.</t>
  </si>
  <si>
    <t xml:space="preserve">Question Code</t>
  </si>
  <si>
    <t xml:space="preserve">&lt;Sheet name and this code must match&gt;</t>
  </si>
  <si>
    <t xml:space="preserve">← Back to Scores (start here)</t>
  </si>
  <si>
    <t xml:space="preserve">PRE-FILLED - DO NOT ALTER</t>
  </si>
  <si>
    <t xml:space="preserve">ENTER A NUMBER 0 TO 5</t>
  </si>
  <si>
    <t xml:space="preserve">DO NOT ALTER FORMULA</t>
  </si>
  <si>
    <t xml:space="preserve">AUTO - DO NOT ENTER</t>
  </si>
  <si>
    <t xml:space="preserve">Applies?</t>
  </si>
  <si>
    <t xml:space="preserve">Act Name/Web name/Doc name</t>
  </si>
  <si>
    <t xml:space="preserve">Chapter</t>
  </si>
  <si>
    <t xml:space="preserve">Provision</t>
  </si>
  <si>
    <t xml:space="preserve">Clause</t>
  </si>
  <si>
    <t xml:space="preserve">Page Number</t>
  </si>
  <si>
    <t xml:space="preserve">Score</t>
  </si>
  <si>
    <t xml:space="preserve">Points (Auto-generate)</t>
  </si>
  <si>
    <t xml:space="preserve">SCORER COMMENTS</t>
  </si>
  <si>
    <t xml:space="preserve">AI points</t>
  </si>
  <si>
    <t xml:space="preserve">YES</t>
  </si>
  <si>
    <t xml:space="preserve">Chapter III – Greater Bengaluru Authority</t>
  </si>
  <si>
    <t xml:space="preserve">Section 14(4); see also s.14(2)-(3), s.15(1) and s.15(5), s.8(3)</t>
  </si>
  <si>
    <t xml:space="preserve">s.14(4) Co-ordination and Supervision of Public Authorities</t>
  </si>
  <si>
    <t xml:space="preserve">15</t>
  </si>
  <si>
    <t xml:space="preserve">AI (low confidence), from Step 2 answer (Partially Answered) and BWSSB-29: I left the Score blank for three reasons.
(1) SCALE-MISMATCH. The rubric's bands run from 0 to 10 (10 / 7.5 / 5 / 2.5 / 0), but the Max Score is 5. The top band is not 5 and is not a sum of components, so I cannot convert a band into a score without confirmation.
(2) The parastatal Act is not in the Citation Sheet. The method says to review 'the relevant Parastatal Act', but the Bangalore Water Supply and Sewerage Act, 1964 is not among this agency's sources (BWSSB-12, 22, 23, 25, 28, 29, 30, 32). The Step 2 answer used BWSSB-04, a FAOLEX mirror. That is a blocked source category and is not in the list I was given, so I could not use it. I searched the Sheet for the BWSS Act's provisions on schemes and consultation and found only secondary mentions (the JICA reports BWSSB-22 and BWSSB-23, the AMDA presentation BWSSB-12 and the PAC report BWSSB-32). None of these gives the Act's text. Without the Act, or any Rules or Regulations made under it, I cannot show affirmative absence of a duty to consult the city government. A 0 is therefore not available.
(3) Interpretation needed. The city government (ULG) side, the GBG Act 2024 (BWSSB-29, PRS copy, as published 24.04.2025, GBA era), contains these provisions:
- s.14(4): the Greater Bengaluru Authority (GBA) may integrate and supervise BWSSB's activities, and its directions 'shall be binding'.
- s.14(3)(b): binding directions for carrying out schemes that implement GBA's own plans.
- s.15(1): GBA makes the master plan and infrastructure plans.
- s.15(5): GBA 'may assign' the planning of major infrastructure projects, and the agencies 'shall be bound to assist'.
- s.8(3): GBA acts as coordinator among the agencies.
- s.9(3)(h) and s.13(1)(g): the BWSSB Chairman sits on GBA and on its Executive Committee.
None of these expressly requires BWSSB's own water or sewerage plans to be prepared jointly with, approved by, or consulted on with the ULG. Whether a general binding power to supervise and direct counts as 'approval/concurrence' (band 10) is a judgement for the team. Note also that GBA is chaired by the Chief Minister and is not purely a ULG body.
The KTCP Act (BWSSB-28, PRS copy, amended up to Act 38 of 2015): Step 2 found no provision on a water board's plans. I did not find one either.
For a human to check:
(a) Get an official Karnataka copy of the current BWSS Act. Read s.3 (Board composition), s.14 (Consultative Committee, which is advisory and names the predecessor Corporation) and s.15 (preparing schemes, with State approval above Rs 1 crore).
(b) Look for any BWSS Rules or Regulations.
(c) Confirm whether the GBG (Amendment) Bill 2025 (BWSSB-30) has been enacted.
(d) Confirm the scale conversion. Possible readings: about 0 or 1.25 if only the advisory Consultative Committee counts; up to 5 if the s.14(4) binding supervision is read as concurrence.
Quote: "Integrating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
"Score" left blank: the Citation Sheet doesn't decide it.</t>
  </si>
  <si>
    <t xml:space="preserve">Chapter VI – Sectoral and City Mobility Investment Program and Annual Implementation Plan</t>
  </si>
  <si>
    <t xml:space="preserve">Section 24</t>
  </si>
  <si>
    <t xml:space="preserve">24(b); see also s.24(a), 24(c), s.25(1)-(2), s.21(2) first proviso</t>
  </si>
  <si>
    <t xml:space="preserve">19</t>
  </si>
  <si>
    <t xml:space="preserve">AI (low confidence), from Step 2 answer (Partially Answered) and BMTC-23: I left the Score blank for two reasons.
(1) SCALE-MISMATCH. The rubric bands run 0 / 2.5 / 5 / 7.5 / 10, but the Max Score is 5. The top band is not the Max Score and is not a sum of components. Under the v2 rules I cannot rescale the bands myself; the team needs to confirm the scale.
(2) No BMTC-to-city-government duty was found, but absence is not proven either. I checked the Step 2 answer against BMTC-23 (BMLTA Act 2022, PRS copy):
- s.24(b) says the Sectoral Mobility Investment Program 'shall be prepared in consultation with the Authority'. 'The Authority' is BMLTA, a state body, not the city government.
- s.24(c): BMLTA folds these programmes into the City Mobility Investment Program 'with or without modification'.
- s.25(2): BMLTA reviews and approves the Annual Implementation Plan.
- s.21(2) first proviso: other authorities planning for urban mobility 'shall necessarily consult the Authority', which again means BMLTA.
None of these duties runs to the Greater Bengaluru Authority (GBA) or the City Corporations. City-government officials sit on BMLTA, according to the Step 2 reading of the 2026 amendment to s.4 and s.12; I did not re-verify that in this pass. Even so, a seat on a state-chaired coordinating body is not ULG approval, joint preparation or direct consultation in the rubric's sense. So the evidence supports no band above 0.
A 0 needs affirmative absence, and the Citation Sheet does not allow it. These are missing:
- BMTC's constituting instruments: the Road Transport Corporations Act 1950 and the notification establishing BMTC. BMTC-46, the 'Rules And Regulations' page, returned only site navigation and policy boilerplate, with no legal text.
- Rules and Regulations made under the BMLTA Act. s.24 says the programmes are prepared 'as specified in the regulations'.
- The Greater Bengaluru Governance Act, 2024.
- Any GO on BMTC planning.
I also checked:
- BMTC-25 (Karnataka Town and Country Planning Act, as excerpted): it gives BMTC no coordination duty.
- BMTC-13, 36, 41 and 44: service, resources, RTI and contact pages, not law.
For a human scorer to confirm:
(a) the scale;
(b) whether consultation with BMLTA, which includes GBA and City Corporation members, counts as coordination with the city government;
(c) whether Sectoral Mobility Investment Programs and Annual Implementation Plans count as 'spatial and/or sectoral plans';
(d) adding BMTC's parent law, the BMLTA Regulations and the GBA Act to the Citation Sheet.
BMTC-23 is a PRS secondary copy and may not include every amendment.
Quote: "(b) The Sectoral Mobility Investment Program shall be prepared in consultation with the Authority;"
"Score" left blank: the Citation Sheet doesn't decide it.</t>
  </si>
  <si>
    <t xml:space="preserve">Development schemes (BDA Act 1976, PRS consolidated copy, amended up to Act 42 of 2026)</t>
  </si>
  <si>
    <t xml:space="preserve">Section 17(2), read with s.17(4) and s.18(1); also s.32(1) provisos</t>
  </si>
  <si>
    <t xml:space="preserve">s.17(2), s.17(4), s.18(1)</t>
  </si>
  <si>
    <t xml:space="preserve">26</t>
  </si>
  <si>
    <t xml:space="preserve">AI (low confidence), from Step 2 answer (Partially Answered) and BDA-02: SCORE LEFT BLANK. Reason 1, SCALE-MISMATCH: the rubric bands run 0/2.5/5/7.5/10, but the Max Score is 5. Under the v2 rule I can't rescale it myself. Reason 2: it is unclear which plans the question covers. The Step 2 answer checks out against the sources.
What the sources show:
(a) Development schemes, BDA-02: s.17(2) says a copy of the scheme notification 'shall' be sent to the Corporation, which can send representations within 30 days. Under s.17(4), if it doesn't reply, its concurrence is 'deemed to have been given'. Under s.18(1), BDA must consider the representations before submitting the scheme to the Government for sanction. On its own this fits the 7.5 band on the 0-10 rubric (mandatory consultation, response must be considered). The deemed-concurrence wording could arguably be read toward 10, but the Government sanctions the scheme and the Corporation can't block it, so 7.5 is the better fit.
(b) Layouts, s.32(1) provisos: BDA needs the Corporation's concurrence to sanction a layout, but this is about approving other people's layouts, not about preparing BDA's own plans.
(c) Master plan, BDA-03 (KTCP Act, PRS copy amended up to Act 38 of 2015): s.9(1) says the planning authority 'shall' prepare and publish the master plan and send it to the State through the Director. s.10 provides for public notice and suggestions, and s.13-D for revision. None of the KTCP sections I read gives the city government a consultation or concurrence role. I could not see KTCP s.4C (who sits on a Planning Authority) or the full s.13 in the passages returned, so I can't confirm that the city government has no role at all at master-plan level.
(d) BDA-11 (Greater Bengaluru Governance Act 2024, Act 36 of 2025): it makes the Greater Bengaluru Authority the Planning Authority under the KTCP Act 'notwithstanding anything contained in any other law' (planning functions (2)(a)). Under s.15(1) it is responsible for the master plan. That may take master-plan making away from BDA.
Raw band: 7.5 on the 0-10 rubric, at development-scheme level only.
For the team to confirm:
(1) How to convert the 0-10 rubric to the Max Score of 5. A straight halving would give 3.75, which is not one of the bands.
(2) Whether development schemes count as 'spatial and/or sectoral plans' for this question.
(3) Whether 'Corporation' in the BDA Act now means the GBA or the City Corporations. No substitution is shown in any source on the sheet.
(4) How BDA's s.81-B Planning Authority status fits with the GBA Act clause.
All Act texts are PRS republications. No Rules or regulations made under the BDA Act or the KTCP Act are in the Citation Sheet.
Quote: "(2) A copy of the said notification shall be sent to the Corporation which shall, within thirty days from the date of  receipt thereof, forward to the Authority for transmission to the Government as hereinafter  provided, any representation which the Corporation may think fit to  make with regard to the scheme."
"Score" left blank: the Citation Sheet doesn't decide it.</t>
  </si>
  <si>
    <t xml:space="preserve">Greater Bengaluru Governance Act, 2024 (Act 36 of 2025), chapter on GBA functions</t>
  </si>
  <si>
    <t xml:space="preserve">Section 15(5); also Section 14(4) and Section 14(2)(a)</t>
  </si>
  <si>
    <t xml:space="preserve">s.15(5) 'may assign the task of planning'; s.14(4) Co-ordination and Supervision of Public Authorities</t>
  </si>
  <si>
    <t xml:space="preserve">16</t>
  </si>
  <si>
    <t xml:space="preserve">AI (low confidence), from Step 2 answer (Partially Answered) and BMRCL-34: I left the score blank for three reasons. (1) SCALE-MISMATCH: the rubric bands run 0/2.5/5/7.5/10 but the Max Score is 5. No band matched, so there is no raw value to record. The team needs to confirm the scale. (2) RUBRIC-GAP: none of the sources I read puts a duty on BMRCL to prepare its plans with the city government (ULG: GBA and its City Corporations). I found no requirement for ULG approval or concurrence, joint preparation, or consultation, whether mandatory or discretionary. What the GBA Act gives is the ULG's own powers over BMRCL. Under s.14(4), GBA integrates and supervises BMRCL, which is named, and BMRCL must obey its binding directions. However, the duty to write GBA's coordinating role into the Memorandum of Association covers only BESCOM and BMTC, not BMRCL. Under s.15(5), GBA 'may' assign the planning of major projects to public authorities, and they must assist. Under s.14(2)(a), GBA is the Planning Authority under the Karnataka Town and Country Planning Act. These are powers to supervise and direct. They are not a requirement on BMRCL's own plan preparation, so they do not cleanly fit the 10, 7.5, 5 or 2.5 bands. The team should confirm whether they count as coordination under this question. Under the BMLTA Act (BMRCL-35), s.21(2) proviso, BMRCL must consult BMLTA, a state body, not the ULG. The BBMP Mayor and Commissioner sit on the BMLTA board (s.10), but that is ULG membership of a state authority, not a consultation duty owed to the ULG. That Act also still names BBMP, and no official source shows GBA or the City Corporations were substituted. The Metro Rail Policy 2017 (BMRCL-18) is a Government of India policy and only advisory. (3) Affirmative absence cannot be established, so I cannot score 0. I checked BMRCL-34, 35, 31, 18, 15, 46 and 01. The Metro Railways (Operation and Maintenance) Act 2002 (BMRCL-15), in the parts I read, has no provision for consulting the local authority on planning; its s.86 covers directions from the Central Government only. But the sheet lacks BMRCL's Memorandum and Articles of Association, the Metro Railways (Construction of Works) Act 1978, any Rules or Regulations under the BMLTA and GBA Acts, and a full read of the Karnataka Town and Country Planning Act for provisions on transport agencies. Step 2 said the Operation and Maintenance Act was not in the sheet; it is (BMRCL-15), but it does not change the result. The GBA Act text used is a PRS secondary copy; the Amendment Bill (BMRCL-46) changes only s.8(2) and s.14(1). Era: after GBA replaced BBMP.
Quote: "The Greater Bengaluru Authority may assign the task of planning the major infrastructural projects in the Greater Bengaluru Area to such public authorities or any other agencies, bodies carrying out civic functions in the Greater Bengaluru Area or take such assistance from these agencies as is necessary for successful execution of the projects. The agencies shall be bound to assist the Greater Bengaluru Authority when called up on to do so."
"Score" left blank: the Citation Sheet doesn't decide it.</t>
  </si>
  <si>
    <t xml:space="preserve">The Bangalore Metropolitan Region Development Authority Act, 1985 (Karnataka Act 39 of 1985), full text with amendments (PDF hosted by India Water Portal) [BMRDA-08]</t>
  </si>
  <si>
    <t xml:space="preserve">Chapter III – Powers and Functions of the Authority</t>
  </si>
  <si>
    <t xml:space="preserve">Section 9(1)</t>
  </si>
  <si>
    <t xml:space="preserve">Section 9(1)(ii); also checked s.9(1)(viii)-(ix), s.10, s.18, s.31 (inserting s.81-C into the Karnataka Town and Country Planning Act)</t>
  </si>
  <si>
    <t xml:space="preserve">https://prod-qt-images.s3.amazonaws.com/indiawaterportal/import/sites/default/files/iwp2/Bangalore_Metropolitan_Region_Development_Authority_Act_Bangalore_Metropolitan_Region_Development_Authority_1985.pdf</t>
  </si>
  <si>
    <t xml:space="preserve">AI: left for a person. Step 2 cited BMRDA-08, which is no longer a reviewed, verified Citation Sheet row. Run Step 2 again.</t>
  </si>
  <si>
    <t xml:space="preserve">Chapter 14 (Environmental and Social Considerations)</t>
  </si>
  <si>
    <t xml:space="preserve">Section 14.12 Stakeholders' Meeting</t>
  </si>
  <si>
    <t xml:space="preserve">p.135 (page 14-100 of the Final Report)</t>
  </si>
  <si>
    <t xml:space="preserve">135</t>
  </si>
  <si>
    <t xml:space="preserve">AI (low confidence), from Step 2 answer (Partially Answered) and BWSSB-23: Score left blank for a person to decide, for three reasons. (1) SCALE-MISMATCH: the rubric bands are 0, 2.5, 5 and 10, but the Max Score is 5. The top band is neither the Max Score nor a sum of parts, so the rules say not to score it. Best-fit raw band on the 0-10 scale: 2.5, 'limited or informal engagement'. Please confirm how 0-10 maps onto Max 5 (for example, whether raw 2.5 means 1.25 or 2.5). (2) Not the latest cycle: the question asks about the 'latest available plan-making cycle'. The only evidence is a stakeholders' meeting on 22 Aug 2017 (BWSSB-23, s.14.12, as quoted). BBMP, the ULG at the time, was one of the 'concerned authorities' among 125 participants. BWSSB explained the outline and implementation plan of the JICA Phase 3 project for the 110 Villages, and participants 'promised to cooperate'. This is a project briefing from the BBMP era. It does not show BBMP was invited to give inputs (the 5 band), or that any inputs were considered (the 10 band). The minutes are in the JICA Supporting Report, which is not in the Citation Sheet, so the band cannot be confirmed. A later planning cycle exists: BWSSB-12 says the CWSS Stage VI DPR is 'under preparation'. Nothing in the sheet shows a ULG role in it, or any GBA or City Corporation participation. BWSSB-22 (Nov 2017) records that the BWSSB Water Supply and Sewerage Master Plan, contracted in 2015 and partly drafted in 2016-17, 'has not been approved officially'. The discussions it records were among JICA, the consultants and BWSSB only; no BBMP role is shown. (3) A score of 0 cannot be given: there is no affirmative absence, because no Master Plan documents, Stage VI DPR consultation records or GBA/Corporation resolutions are in the sheet. Other citations Step 2 reviewed: BWSSB-22, BWSSB-12, BWSSB-32 (2016 exposure visits for corporators, which were awareness-raising, not plan-making), BWSSB-29 and BWSSB-30 (GBA Act and Amendment Bill: no participation records), BWSSB-28 (KTCP Act, which covers Planning Authority master plans, not BWSSB plans) and BWSSB-25. BWSSB-04 (FAOLEX copy of the BWSSB Act, s.14 Consultative Committee) is a blocked mirror. It was used only as a lead, and in any case it is law, not evidence of what happened in practice. I checked Step 2's quote against BWSSB-23 and it matches the source. ERA: the evidence is from the BBMP era. The handover to GBA and the City Corporations is not verified in the sheet. RTI-TARGET: BWSSB PIO (Chief Engineer, Planning), for records of consultation with BBMP, GBA or the City Corporations on the Master Plan and the CWSS Stage VI DPR, 2015 to present.
Quote: "The number of the participants was 125 persons which were consisted of concerned authorities (BDA, BBMP, Pollution Control Board, etc.) and representatives from the 110 Villages. In the meeting BWSSB explained the outline of the projects and implementation plan."
"Score" left blank: the Citation Sheet doesn't decide it.</t>
  </si>
  <si>
    <t xml:space="preserve">AI: left for a person. Step 2 found no evidence (Insufficient Evidence). Source needed: BMTC's latest plan document (e.g. a corporate or business plan, fleet or route rationalisation plan, Sectoral Mobility Investment Program or Annual Implementation Plan submitted to BMLTA), with its preparation or consultation record. Also BMTC board minutes, or BMLTA or GBA meeting minutes, showing city-government input on BMTC plans. GBA or City Corporation council resolutions or comments on BMTC plans. The GBA Act, to establish the current city-government structure.</t>
  </si>
  <si>
    <t xml:space="preserve">AI: left for a person. Step 2 found no evidence (Insufficient Evidence). Source needed: Records from BDA's latest plan-making cycle (e.g. the most recent revised master plan / development plan for the Bangalore Development Area, or any GBA-era plan if BDA still has a role). These include the plan report's chapter on stakeholder consultation; letters inviting BBMP/GBA/City Corporation comments; BBMP/GBA council or standing-committee resolutions or comments on the draft plan; minutes of BDA board meetings that consider city government input (the BBMP/Corporation Commissioner is an ex officio member); and BDA's response or modification statement under KTCP Act s.13(2). The team also needs to confirm whether BDA still prepares plans now that GBA is the Planning Authority.</t>
  </si>
  <si>
    <t xml:space="preserve">AI: left for a person. Step 2 found no evidence (Insufficient Evidence). Source needed: Records from the latest BMRCL plan-making cycle: the newest DPR or phase proposal with its stakeholder or inter-agency consultation chapter; BMRCL Board or Project Management Committee minutes showing ULG representation or inputs; BBMP, GBA or City Corporation council or standing-committee resolutions, or letters commenting on metro alignments, station plans or TOD plans; BMRCL's documented responses to ULG inputs; any joint ULG–BMRCL planning committee record.</t>
  </si>
  <si>
    <t xml:space="preserve">AI: left for a person. Step 2 found no evidence (Insufficient Evidence). Source needed: Records from BMRDA's latest plan-making cycle showing ULG involvement: a stakeholder consultation report or annexure listing meetings with BBMP/GBA/City Corporations; minutes of BMRDA Authority or technical committee meetings on the structure plan; BBMP/GBA council or standing-committee resolutions or written comments on the draft plan; BMRDA's responses to those comments; the final or government-approved Revised Structure Plan and its approval notification; any later BMRDA regional plan cycle for the GBA era.</t>
  </si>
  <si>
    <t xml:space="preserve">ENTER A NUMBER 0 TO 2.5</t>
  </si>
  <si>
    <t xml:space="preserve">Chapter IV (Enforcement of Master Plan)</t>
  </si>
  <si>
    <t xml:space="preserve">Section 14 (Enforcement of the Master Plan and the Regulations)</t>
  </si>
  <si>
    <t xml:space="preserve">Sub-section (1), substituted by Act 1 of 2005 w.e.f. 14.2.2005</t>
  </si>
  <si>
    <t xml:space="preserve">35</t>
  </si>
  <si>
    <t xml:space="preserve">AI (low confidence), from Step 2 answer (Partially Answered) and BWSSB-28: I left the score blank. The 2.5 and 1.25 bands do not fit the evidence, and a 0 cannot be shown.
(1) THE PARASTATAL ACT IS MISSING. The scoring rule says to review the parastatal Act, the BWSSB Act 1964. It is not one of the Citation Sheet sources for this agency. The sources are BWSSB-12, 22, 23, 25, 28, 29, 30 and 32. The Step 2 answer used BWSSB-04, a FAOLEX copy. That is a blocked legal mirror and it is not in the list I was given. So I cannot check the Act's provisions on plans and schemes (s.14, s.15) from the sheet. BWSSB's Rules and Regulations are also not in the sheet. Absence is therefore not confirmed for every layer, so no 0.
(2) T&amp;CP SIDE: KTCP Act s.14(1), in the PRS copy amended up to Act 38 of 2015. It uses 'shall conform', but it is a general rule controlling physical development. Explanation (a) defines 'development' as building or other operations on land. It does not name BWSSB and does not ask for BWSSB's water or sewerage plan to be consistent with the Master Plan. The scoring rule's 2.5 example is a water supply plan that 'shall conform' to the Master Plan. s.14(1) does not clearly meet that, so I did not award 2.5. s.12(1)(e) only has the master plan reserve land for utilities. Searching the sheet for 'public authority plan consistent with master plan' found nothing more specific.
(3) ULG SIDE: Greater Bengaluru Governance Act (GBGA) 2024, Karnataka Act 36 of 2025, gazette text of 24.04.2025, GBA era.
- s.14(3)(b): GBA issues binding directions when coordinating the execution of schemes that implement GBA's plans.
- s.14(4): public authorities, BWSSB included, 'shall cooperate ... and obey its directions'.
- s.15(1): the duty to 'incorporate the infrastructure development plan prepared by the Greater Bengaluru Authority' falls on the City Corporations only. It does not apply to BWSSB.
The direction power belongs to the city government (GBA). It is not a duty on BWSSB to keep its plans consistent, and obeying directions is a different thing from a plan-conformity mandate. The 2025 Amendment Bill (BWSSB-30) changes ss.8 and 14(1) only.
FOR A PERSON TO CHECK:
(a) Add an official Karnataka copy of the BWSSB Act 1964 (DPAL or eGazette) and its Rules and Regulations. If they are read and show no 'shall' or 'may' consistency provision, record 0.
(b) Methodology call: does KTCP s.14(1), as applied to BWSSB's physical works, count as the 2.5 band? Does the GBGA s.14(3)(b) and s.14(4) duty to obey GBA directions count at all?
(c) The sheet has no KTCP Rules and no KTCP amendments after 2015.
Quote: "every land use, every change in land use and every development in the area covered by the plan subject to section 14-A shall conform to the provisions of this Act, the Master Plan and the Report, as finally approved by the State Government under sub-section (3) of section 13."
"Score" left blank: the Citation Sheet doesn't decide it.</t>
  </si>
  <si>
    <t xml:space="preserve">NO</t>
  </si>
  <si>
    <t xml:space="preserve">Chapter 5 Water Demand Projection for the Three Areas by Target Year</t>
  </si>
  <si>
    <t xml:space="preserve">Section 5.1.5 Projection of Population in the BBMP for the Water Balance Study (p. 5-7); also Section 2.4.2 Future Land Use (pp. 2-56/2-57)</t>
  </si>
  <si>
    <t xml:space="preserve">Assumption 1) Core Area; Assumption 2) 110 Villages</t>
  </si>
  <si>
    <t xml:space="preserve">227</t>
  </si>
  <si>
    <t xml:space="preserve">AI (low confidence), from Step 2 answer (Partially Answered) and BWSSB-22: I left the score blank because the Citation Sheet does not contain the document this question needs: BWSSB's own current water supply/sewerage master plan or equivalent. This is an Implementation question about current practice. The only planning evidence is BWSSB-22, the JICA Phase 3 Final Report (Nov 2017) by NJS Consultants. It is a feasibility report for a donor-funded project, written in the BBMP era, so it is historical only.
What BWSSB-22 actually shows (I checked it against the source):
(a) It describes BDA's Draft Master Plan 2015 under the KTCP Act and reproduces its proposed land-use map as background (Section 2.4.2, Fig 2.4.2).
(b) It takes the 0.78% annual growth rate for the Core area from BDA's 'Master Plan 2015' (Section 5.1.5).
(c) It uses 110-Villages growth rates agreed by BDA, BBMP and BWSSB at a tripartite meeting (Table 5.1.10 note: 19 Aug 2014). It also adds population for BDA layouts in R.R. Nagar.
(d) ULB growth rates come from the DPR and NMT reports, not from the master plan.
(e) The density 'catalysts' (Metro, BDA housing, ring road) come from BWSSB's draft master-planning criteria of 27 May 2016, not from the statutory master plan.
There is nothing showing that master-plan growth areas or land-use zones decide where the network expands or where major facilities go. The only land-use reasoning for sites is the environmental screen in BWSSB-23: Stage V sites are on BWSSB land, public roads or vacant land.
On its content alone, this would fit the 1.25 band: it refers to the master plan and uses some of its projections, but does not show spatial siting by the plan. However, it is not the Board's current plan. The report itself says BWSSB's own water supply and sewerage master plan was still a draft and had not been officially approved; that master plan is not in the Sheet.
A score of 0 is not possible because absence cannot be shown: the Board's current plan and the current statutory master plan text are missing. I checked BWSSB-12 (undated CE presentation: demand to 2051, no master-plan reference), BWSSB-22, BWSSB-23, BWSSB-28 (KTCP Act, ss.12, 13-C, 13-D), BWSSB-29 (GBA Act ss.14(2), 14(4), 15(1)), BWSSB-30 and BWSSB-32. I found no other water planning document.
FOR A PERSON TO DECIDE:
(1) Does a 2017 JICA project report count as an 'equivalent sectoral planning document' for current practice? If yes, 1.25 is the supportable band.
(2) Which master plan applies now: BDA RMP 2015, or a GBA/BMPC plan under GBA Act s.14(2)/s.15(1)?
(3) Get the current BWSSB water and sewerage master plan from the BWSSB PIO (Chief Engineer, Planning).
Quality check (not scored): no land-use conversion or regularisation records for STPs, WTPs or trunk lines are in the Sheet.
Quote: "1) Core Area: The growth rate shall be fixed through the future with a lower rate under the saturated con-
ditions at present. The annual growth rate is assumed at 0.78 by BDA “Master Plan 2015” for the d"
"Score" left blank: the Citation Sheet doesn't decide it.</t>
  </si>
  <si>
    <t xml:space="preserve">24(a); see also s.2(ff), s.21(2) and its first proviso, s.22, s.25(1)(c)</t>
  </si>
  <si>
    <t xml:space="preserve">AI (low confidence), from Step 2 answer (Partially Answered) and BMTC-23: I left the score blank. The closest provision is a mandatory duty to align with a transport plan, not with a master plan, and the team needs to rule on scope.
(1) What I found, BMLTA Act 2022 (Karnataka Act 6 of 2023), BMTC-23, a PRS copy:
- s.24(a) says the Sectoral Mobility Investment Program 'shall be aligned with the goals of the Comprehensive Mobility Plan'.
- s.25(1)(c) says extra projects in the Annual Implementation Plan 'shall align with the Comprehensive Mobility Plan goals'.
- The first proviso to s.21(2) says plans by any other authority 'shall be in compliance with the Urban Mobility policies of the Authority'. That refers to policies, not the master plan.
All of these use 'shall'.
(2) The scope problem:
- The Comprehensive Mobility Plan (CMP) is defined in s.2(h) as a 'policy document' on urban mobility. It is prepared by BMLTA and approved by the State Government under s.21(4).
- In effect it is a statutory transport (sectoral) plan for the metropolitan region. It is not the master plan made under the Karnataka Town and Country Planning (KTCP) Act.
- The CMP is linked to land use only through BMLTA's own duties. BMLTA prepares the CMP 'in conjunction with ... the land use plan' (s.21(2)), and the Planning Authority must take the CMP into account in the master plan (s.22).
- Neither provision puts a duty on BMTC to make its own plan consistent with the master plan.
- If the team treats the CMP as the 'applicable metropolitan ... strategic plan', s.24(a) would support 2.5. If not, no BMTC-side plan-to-master-plan provision has been found.
(3) Is BMTC covered at all? The Act never names BMTC.
- s.2(ff) defines an 'Urban Transport Agency' as 'both the private and public agencies engaged in providing of Urban Mobility'. BMTC is covered only by inference from this.
- Under s.24, the agencies whose investment programs count are those 'as specified in the regulations'. No BMLTA Regulations are in the Citation Sheet.
- The Act comes into force only when notified (s.1(3)). No commencement or constitution notification is in the sheet.
- Amendment Act 10 of 2026 is appended but I did not fully review it.
(4) KTCP Act (BMTC-25):
- s.14(1) requires each development to conform to the Master Plan. That covers developments, not BMTC's plans, so it does not settle the question.
- The KTCP Rules are not in the sheet.
(5) Why not 0: I cannot show affirmative absence. BMTC's own law is not in the Citation Sheet. That is the Road Transport Corporations Act and the notification constituting BMTC. BMTC-46, its Rules and Regulations page, gave only navigation and boilerplate, no text of those instruments. The BMLTA Regulations and the Greater Bengaluru Governance Act are also missing.
The team needs to confirm:
- the plan scope (does the CMP count?);
- that BMTC is an Urban Transport Agency, and whether the Regulations name it;
- that the BMLTA Act is in force;
- any provision in BMTC's own law.
The text used is the PRS copy, a secondary source, as enacted (Gazette 12.01.2023), with the 2026 amendment appended. Era: n/a.
Quote: "(a) The Sectoral Mobility Investment Program shall be aligned with the goals of the Comprehensive Mobility Plan;"
"Score" left blank: the Citation Sheet doesn't decide it.</t>
  </si>
  <si>
    <t xml:space="preserve">AI: left for a person. Step 2 found no evidence (Insufficient Evidence). Source needed: Needed: BMTC's own current network, route-rationalisation or expansion plan, or its depot and Traffic and Transit Management Centre (TTMC) siting plan, or a BMTC annual report or board resolution that cites the statutory master plan's growth corridors, land use or population projections as inputs. Also: the full text of the Bengaluru CMP 2020 (bus chapter) with any master plan references; the current notified BDA master plan (RMP 2015, or a later revised plan if one is in force); and the BDA or Urban Development Department land-use change orders or G.O.s for major BMTC depots and terminals.</t>
  </si>
  <si>
    <t xml:space="preserve">Karnataka Urban Drinking Water and Sanitation Policy, 2002 (Government of Karnataka), text reproduced by IELRC [BWSSB-33]</t>
  </si>
  <si>
    <t xml:space="preserve">Karnataka Urban Drinking Water and Sanitation Policy, 2002</t>
  </si>
  <si>
    <t xml:space="preserve">Tariff section</t>
  </si>
  <si>
    <t xml:space="preserve">pp. 2-3: subsidies focused on 'pockets and communities of extreme poverty'; minimum 'life line' supply to the poor. Objective section (p.1) names BWSSB as a partner agency.</t>
  </si>
  <si>
    <t xml:space="preserve">3</t>
  </si>
  <si>
    <t xml:space="preserve">https://www.ielrc.org/content/e0213.pdf</t>
  </si>
  <si>
    <t xml:space="preserve">AI: left for a person. Step 2 cited BWSSB-04, which is no longer a reviewed, verified Citation Sheet row. Run Step 2 again.</t>
  </si>
  <si>
    <t xml:space="preserve">Chapter 16 (Financial analysis): 16.3 Study on Present Water and Sewerage Tariff</t>
  </si>
  <si>
    <t xml:space="preserve">16.3.1 Study on Present Water and Sewerage Tariff, (1) Domestic Water Use, Table 16.3.2 Tariff for Domestic Water Charges</t>
  </si>
  <si>
    <t xml:space="preserve">Note to Table 16.3.2: 'Slum group; free charge, Poor group; flat charge 56 INR' (PDF p.192, report p.16-13)</t>
  </si>
  <si>
    <t xml:space="preserve">192</t>
  </si>
  <si>
    <t xml:space="preserve">AI: left for a person. The AI's quote couldn't be found word for word in BWSSB-23, so its answer was discarded. AI comments: I left the score blank. This is an Implementation question about the Board's CURRENT water supply plan, and the Citation Sheet has no current-period evidence for either component.
Component 1 (affordability and coverage), 2016-17 evidence only:
- Affordability: BWSSB-23 s.16.3.1 / Table 16.3.2 (source BWSSB) shows the 2014 tariff structure. Water from public taps is free for the 'slum group'. The 'poor group' pays a flat 56 INR/HH water charge plus 14 INR/HH sewerage, without a meter.
- Coverage: BWSSB-22 (Tables 5.6.x) counts slum population separately in the demand projection, at 30 lpcd from point-source supply. This is a JICA Survey Team modelling assumption. It also assumes slum population falls to 50% by 2034 and to zero by 2049.
- Together these would support C1 = 2.5, but only for 2016-17. Both reports are consultant-prepared (NJS for JICA, Nov 2017). They are not a BWSSB-adopted current plan, and nothing in the sheet shows the free-tap or flat-rate categories still apply.
- BWSSB-23 s.16.3.3(3) also says BWSSB 'shall' meter public faucets and start charging the Social Development Unit. That points away from free supply going forward, so the current status is unknown.
- I re-read the passages on public faucets and the Social Development Unit. The 'Division for Social and Community Development' in Table 17.3.1 is only a JICA recommendation.
- I tried to read s.16.7.6 ('Installation of Water Meters to Poor'), but read_citation did not return its text.
Component 2 (gender and accessible design): not found.
- I searched the whole sheet for women, persons with disabilities, accessible taps and design. The only hits were ULG functions in the GBA Act (BWSSB-29 Schedule I and s.99, social welfare) and generic environmental appraisal items in BWSSB-23. Neither is a BWSSB design or operational measure.
- BWSSB-25 (KarnatakaOne) is a bill-payment page only. BWSSB-12 and BWSSB-32 (PAC 2016) describe usage, not equity provisions.
- I cannot record affirmative absence: BWSSB's current master plan or DPR, current tariff notification, connection-concession orders and design standards are not in the sheet. So C2 is 'not found', not 0.
The Step 2 answer is consistent with what the sources say.
For the team to confirm or obtain:
(1) Can a 2017 JICA report serve as the 'current plan'? If so, C1 = 2.5 and C2 still needs evidence.
(2) The current BWSSB tariff order, to check for slum, BPL or free-water categories.
(3) Any GESI or accessible-design standards for public water points (an RTI to the BWSSB PIO could get these).</t>
  </si>
  <si>
    <t xml:space="preserve">Issue of Monthly Pass.</t>
  </si>
  <si>
    <t xml:space="preserve">BMTC Services – Issue of Monthly Pass (pass rate list)</t>
  </si>
  <si>
    <t xml:space="preserve">AI: left for a person. Step 2 found no evidence (Insufficient Evidence). Source needed: BMTC's constituting instrument (the law it was set up under and its Karnataka establishment notification) and any BMTC regulations; Karnataka Government Orders setting up free or concessional bus travel for women, students, senior citizens and persons with disabilities that apply to BMTC; BMTC fare and pass policy notifications; Motor Vehicles Act and Karnataka MV Rules provisions on accessible buses, women's safety features or reserved seating; Rights of Persons with Disabilities Act and Karnataka rules as applied to public transport; any rules or regulations under the BMLTA Act; the official Gazette notification bringing the BMLTA Act into force, and an official (gov.in) copy of the Act's text.</t>
  </si>
  <si>
    <t xml:space="preserve">BMTC Services available with KarnatakaOne Centres</t>
  </si>
  <si>
    <t xml:space="preserve">Issue of Monthly Pass</t>
  </si>
  <si>
    <t xml:space="preserve">Pass rate list (Black Board / Sr. Citizen Black Board / Pushpak / Sr. Citizen Pushpak / Vajra)</t>
  </si>
  <si>
    <t xml:space="preserve">AI (low confidence), from Step 2 answer (Partially Answered) and BMTC-13: I left the score blank. The Citation Sheet only partly answers the question, and none of the missing parts can be scored 0 because absence is not proven.
Component 1(i), fare concessions: some evidence is present. BMTC-13 is a Government of Karnataka KarnatakaOne page, last reviewed 14 July 2026. It lists a cheaper senior-citizen pass ('Sr. Citizen Black Board Pass Rs 650/-' against Rs 725/-, and 'Sr. Citizen Pushpak Pass Rs 830/-' against Rs 925/-). It also says BMTC offers 'student passes'. That is a fare concession for an identified group (elderly persons). The rates are undated, the page says they 'are subjected to change', and this is a state portal listing rather than a BMTC fare order.
Component 1(ii), route or coverage measures for a named vulnerable group: not found.
Component 2, women's safety, gender screening and accessible design: not found.
What I checked:
- BMTC-13: pass rates only.
- BMTC-46 (BMTC website 'Rules and Regulations' page): only website boilerplate and policies (hyperlink, privacy, security, screen-reader access). Nothing on fares, safety or bus design.
- BMTC-23 (BMLTA Act): its disability clause is a duty on BMLTA's Comprehensive Mobility Plan, not on BMTC. It is a law, not evidence of what BMTC does.
- BMTC-25 (KTCP Act): not relevant.
- I searched the whole sheet for women, safety, CCTV, panic buttons, disability, low-floor buses and free travel. The only hits were unrelated passages in BMTC-23 and BMTC-25.
- BMTC-36, BMTC-41 and BMTC-44 are a resources page, the RTI portal and a contact page. I did not read them in full, and the sheet-wide search returned nothing from them on these terms.
The sheet does not contain BMTC's own key documents: fare and concession orders (for example women's free travel, students, persons with disabilities), its annual report, bus procurement or design specifications, route-rationalisation or feeder plans, or the current Comprehensive Mobility Plan. So Component 1(ii) and Component 2 are 'not found', not affirmatively absent. Scoring 1.25 would wrongly count them as 0.
The Step 2 answer also cites BMTC-22, 34, 37, 38, 39 and 40, which are not in this agency's source list. I did not use them.
For a human scorer: on the evidence here, Component 1 would be at least 1.25. To settle the rest, obtain BMTC's current concession and free-travel orders, bus fleet specifications (low-floor buses, CCTV, panic buttons) and feeder or peripheral route plans, for example through an RTI request to BMTC's Public Information Officer.
Quote: "Black Board Pass Rs 725/-
 Sr. Citizen Black Board Pass Rs 650/-"
"Score" left blank: the Citation Sheet doesn't decide it.</t>
  </si>
  <si>
    <t xml:space="preserve">THE BANGALORE WATER SUPPLY AND SEWERAGE ACT, 1964 (FAOLEX PDF) [BWSSB-04]</t>
  </si>
  <si>
    <t xml:space="preserve">Chapter V (Sewerage); also Chapter IV (Water Supply)</t>
  </si>
  <si>
    <t xml:space="preserve">Section 74 (Appointment of places for the emptying of sewers and disposal of sewage); supporting: Sections 49, 50, 52</t>
  </si>
  <si>
    <t xml:space="preserve">Section 74, second proviso</t>
  </si>
  <si>
    <t xml:space="preserve">32</t>
  </si>
  <si>
    <t xml:space="preserve">https://faolex.fao.org/docs/pdf/ind201320.pdf</t>
  </si>
  <si>
    <t xml:space="preserve">Presentation slide 'REUSE OF TREATED WASTE WATER'</t>
  </si>
  <si>
    <t xml:space="preserve">page 15 (see also page 14 'BWSSB's ACTIONS TO MITIGATE WATER DEMAND', page 11 NRW 28%, page 24 RWH, page 37 KMDCRP objectives)</t>
  </si>
  <si>
    <t xml:space="preserve">Slide 15, first bullet</t>
  </si>
  <si>
    <t xml:space="preserve">AI (low confidence), from Step 2 answer (Partially Answered) and BWSSB-12: I left the score blank. I checked Step 2 against the source, and BWSSB-12 does say what Step 2 reports.
Component 1 (source management and loss reduction):
- Source measures (p14): rainwater harvesting 'in mega-scale', lake-water treatment for circular supply, and Arkavathi/T.G. Halli rejuvenation using Yettinahole water.
- p31: the Jakkur AWTP would blend treated lake water with Cauvery water to reduce dependence on fresh water.
- p24: rainwater harvesting made mandatory by 31 July 2023, with 1.88 lakh buildings covered.
- Loss reduction: p14 lists 'NRW REDUCTION IN DISTRIBUTION' and p11 gives a 28% baseline. BWSSB-12 has no numeric target.
- The only NRW targets in the sheet are in the 2017 JICA consultant report, BWSSB-23: p247 'reduction of NRW to 20% in next 10 years' and the action-plan row of 2% a year.
Component 2 (wastewater, reuse, resilience, energy):
- p15: 850 of 1300 MLD of treated wastewater is reused, with named tertiary-water users and secondary-treated water used to fill lakes in Kolar and Chikkaballapur.
- p19: tariffs for recycled water.
- p22: K&amp;C Valley STP generates power.
- p36: wastewater-treatment gap analysis to 2025.
- p37: treatment to NGT tertiary norms, lake filling for drought management, and flash-flood control.
- p38: BWSSB design parameters for treated sewage.
If this source were accepted, the content would point to 2.5 + 2.5 = 5. That is not a proposed score.
Why I left it blank:
1. The methodology asks for 'the Board's latest water supply plan' (or annual report or programme documents). BWSSB-12 is a presentation, not a plan.
2. It is undated. Its content suggests about 2023: it cites the 31 July 2023 deadline and augmentation 'during 2024'.
3. It is hosted on amdaindia.org. That is not a .gov.in/.nic.in domain, BWSSB's own domain or PRS, so it fails the allow-list.
4. The other sources do not fill the gap. BWSSB-22 and BWSSB-23 are 2017 JICA consultant reports; BWSSB-22 itself says its master plan was not officially approved. BWSSB-32 is a 2016 PAC assessment. BWSSB-25 (KarnatakaOne) is only a bill-payment page. BWSSB-28, 29 and 30 are laws or bills, which do not show implementation.
5. No source in the sheet is a current, Board-issued plan or annual report from an official domain.
A score of 0 is not justified: the evidence points to positive measures, so there is no affirmative absence.
For the reviewer:
(a) Decide whether the Chief Engineer presentation can stand in for the Board's plan.
(b) Get an official copy (BWSSB domain or a .gov.in site) of BWSSB's current water supply/sewerage master plan, business plan or annual report, an NRW programme with targets, and documents on the treated-water reuse scheme.
(c) Confirm the date of BWSSB-12.
(d) Decide whether NRW reduction listed as a Board 'action' with a 28% baseline counts as a programme without a current numeric target.
Suggested RTI to the PIO, BWSSB.
Quote: "850 MLD out of 1300 MLD treated waste water is being reused."
"Score" left blank: the Citation Sheet doesn't decide it.</t>
  </si>
  <si>
    <t xml:space="preserve">Section 25(1)(c), read with s.2(aa), s.14(1)(a), s.14(1)(e) and s.24(a)</t>
  </si>
  <si>
    <t xml:space="preserve">s.25(1)(c), last sentence</t>
  </si>
  <si>
    <t xml:space="preserve">AI (low confidence), from Step 2 answer (Partially Answered) and BMTC-23: I left the score blank. On the evidence in the Sheet the nearest band is 2.5, but a person needs to confirm it.
WHAT THE SHEET SHOWS (BMLTA Act 2022, Karnataka Act 6 of 2023, as enacted, PRS copy, BMTC-23). The Act imposes binding 'shall' duties on all 'Urban Transport Agencies'. BMTC is named in the Act's recitals as one of the urban mobility agencies.
- s.24(a): each agency's Sectoral Mobility Investment Program 'shall be aligned with the goals of the Comprehensive Mobility Plan'.
- s.25(1)(c): additional projects in the Annual Implementation Plan 'shall align with the Comprehensive Mobility Plan goals and promote sustainable urban transport'.
- s.14(1)(e): agencies 'shall be bound by such standards issued by the Authority'.
- s.14(1)(a): the Authority's duty is to promote sustainable urban transport and integrate land use with transport planning.
- s.2(aa) defines 'Sustainable Urban Transport' narrowly: projects that reduce private vehicle use and increase public transport and walking/cycling.
What these provisions cover:
- Two of the methodology's elements: public and non-motorised transport priority, and land use–transport integration.
- Only investment programmes and added projects. Day-to-day service delivery is not covered.
- No explicit duty on emissions, cleaner vehicles or fuels, energy efficiency, climate resilience or environmental impact assessment.
- Schedule (3) calls non-motorised transport 'green' modes, but that is a definition, not a duty.
This fits 'limited to specific modes, projects or environmental objectives', so 2.5.
WHY BLANK RATHER THAN 2.5.
(1) Layers missing from the Sheet that could raise the score to 5:
- BMTC's constituting law (the Road Transport Corporations Act, 1950 is only named, in s.2(s), not provided).
- Any BMTC rules or regulations. BMTC-46 is titled 'Rules And Regulations', but the text I could read is only website boilerplate (policies, help, screen readers).
- Any rules or regulations under the BMLTA Act.
- The texts of the CMP 2020, TOD Policy and Parking Policy (BMTC-36 only lists them).
- Any Karnataka EV or clean-fuel orders that bind BMTC.
(2) No source in the Sheet shows that the Act has commenced (s.1(3)) or that the Authority has been constituted (s.4).
(3) Whether duties on 'Urban Transport Agencies' count as a mandate on BMTC itself is a judgement call.
(4) The only legal text is a PRS copy (secondary).
I also checked BMTC-25 (Karnataka Town and Country Planning Act), BMTC-13, BMTC-41 and BMTC-44, and searched the whole Sheet for environment, pollution, emissions, electric and clean fuel. Nothing binds BMTC on environmental matters. A score of 0 would be wrong in any case, because positive evidence exists.
FOR THE PERSON SCORING:
- If the missing layers stay unavailable and you accept the BMLTA Act as BMTC's mandate, enter 2.5.
- Check the Act's commencement and whether the Authority has been constituted.
- Check whether references to BBMP in the Act have been replaced by the Greater Bengaluru Authority.
Quote: "These additional projects shall align with the Comprehensive Mobility Plan goals and promote sustainable urban transport."
"Score" left blank: the Citation Sheet doesn't decide it.</t>
  </si>
  <si>
    <t xml:space="preserve">UITP Working Paper – Fleet Wide Transition to Zero Emission Buses: A Roadmap for the City of Bengaluru (August 2023) [BMTC-39]</t>
  </si>
  <si>
    <t xml:space="preserve">Section 3, Overview of current BMTC operations; sidebar 'BMTC Electric Bus Procurement'; Section 4, BMTC 2030 fleet needs and procurement timeline</t>
  </si>
  <si>
    <t xml:space="preserve">UITP/ICCT Working Paper (August 2023), pages 4-5</t>
  </si>
  <si>
    <t xml:space="preserve">Sidebar 'BMTC Electric Bus Procurement' and the text under Table 2 (1,101 12m non-AC e-buses under FAME-II; 840 BS VI diesel buses; all 1,941 to be deployed in 2023)</t>
  </si>
  <si>
    <t xml:space="preserve">4</t>
  </si>
  <si>
    <t xml:space="preserve">https://www.uitp.org/wp-content/uploads/sites/7/2025/04/Working-Paper_Fleet-Wide-Transition.pdf</t>
  </si>
  <si>
    <t xml:space="preserve">AI: left for a person. Step 2 cited BMTC-39, which is no longer a reviewed, verified Citation Sheet row. Run Step 2 again.</t>
  </si>
  <si>
    <t xml:space="preserve">Schedule I (see section 111)</t>
  </si>
  <si>
    <t xml:space="preserve">Schedule I(1) Core Functions, read with s.111(1) and s.14(4)</t>
  </si>
  <si>
    <t xml:space="preserve">Schedule I(1)(v) and (vi)</t>
  </si>
  <si>
    <t xml:space="preserve">134</t>
  </si>
  <si>
    <t xml:space="preserve">AI (low confidence), from Step 2 answer (Partially Answered) and BWSSB-29: SCORE LEFT BLANK. What the ULG side shows: the Greater Bengaluru Governance Act, 2024 (BWSSB-29, a PRS copy, which is allowed but secondary) lists water supply as a core function of the City Corporations in Schedule I(1)(v): 'water supply for domestic, industrial and commercial purposes'. It covers sewerage only through the general words 'solid and liquid waste management' in Schedule I(1)(vi). Section 111(1) makes the corporations responsible for these functions, 'subject to ... the provisions of the other Acts'. Water supply is therefore assigned to the ULG, so Scenario A (5 points) does not apply. Nothing in Schedule I limits this to a sub-function such as distribution only. That points to Scenario B (fully devolved, and BWSSB also delivers it), not Scenario C. Section 14(4) gives the GBA binding power to supervise and direct BWSSB, and s.2(54) names BWSSB as a 'public authority'. Neither provision divides water or sewerage tasks between BWSSB and the corporations. What is missing: under Scenario B the score depends on whether the parastatal Act (the BWSSB Act, 1964) clearly separates its role from the ULG's. The Citation Sheet sources listed for this agency do not include any allowed copy of the BWSSB Act. The only copy found earlier was BWSSB-04, a FAOLEX copy that is blocked and not on this agency's list. My search of the sheet found only secondary descriptions (BWSSB-12, -22, -23, -32), which are not legal text. The BWSSB Rules and Regulations are also not in the sheet. So the carve-out test cannot be applied. A 0 would need proof that the content is absent, and I do not have it. A 5 has no supporting provision. The team should: (1) get an official .gov.in or e-Gazette copy of the BWSSB Act, 1964 as currently amended, especially s.15 (general duty), ss.36 and 38, ss.63-64 and s.128; (2) confirm whether the BWSSB Act's references to the 'Corporation' (meaning the 1949 BMP Act body) have been updated for the GBA Act corporations; (3) confirm whether the 'subject to ... other Acts' wording in s.111(1) separates the roles clearly or is only a general subordination clause; (4) confirm the GBA Act's commencement notification. The GBA (Amendment) Bill 2025 (BWSSB-30) does not change Schedule I or s.14(4). Scenario recorded: B on the ULG side, but this is provisional.
Quote: "(v) Water supply for domestic, industrial and commercial purposes; (vi) Public health, sanitation including storm water drains, conservancy and solid and liquid waste management;"
"Score" left blank: the Citation Sheet doesn't decide it.</t>
  </si>
  <si>
    <t xml:space="preserve">AI: left for a person. Step 2 found no evidence (Insufficient Evidence). Source needed: Two documents decide this question: (1) the city government law for the current era, i.e. the Greater Bengaluru Governance Act 2024 (current text incl. functions schedules and any transport, bus-shelter or public-transport duties, and any power to coordinate or supervise public authorities), plus the BBMP Act 2020 for the earlier era; (2) BMTC's parent instrument, i.e. the Road Transport Corporations Act 1950 (current text, esp. ss.3 and 18-19 on establishment, functions and powers) and the Karnataka Government notification establishing BMTC and its area of operation. Both should be official copies (state law department, eGazette or India Code full-text PDF). The full text of KSRTC Rules 1961 as applied to BMTC would complete the Rules layer.</t>
  </si>
  <si>
    <t xml:space="preserve">Chapter III (BDA Act 1976) – Development schemes; read with GBA Act 2024 Chapter IX s.111 and Schedule I</t>
  </si>
  <si>
    <t xml:space="preserve">BDA Act s.14 (objects), s.15–16 (development schemes), s.29, s.30, s.32; GBA Act s.111(1), Schedule I(1)(i)-(ii), I(3)(i)(a), s.14(2)-(4)</t>
  </si>
  <si>
    <t xml:space="preserve">BDA Act s.14; s.15(1)-(3); s.16; s.29(1)-(2); s.30(1)-(3); s.32(1) provisos</t>
  </si>
  <si>
    <t xml:space="preserve">25</t>
  </si>
  <si>
    <t xml:space="preserve">AI (medium confidence), from Step 2 answer (Partially Answered) and BDA-02: Score is 0. The function is fully devolved to the city government (ULG), BDA also delivers it, and the BDA Act does not separate BDA's role from the ULG's. That is Scenario B.
Why the function is devolved: the Greater Bengaluru Governance Act 2024 (Karnataka Act 36 of 2025, BDA-11, GBA era) does this in s.111(1) ('The City Corporation shall have the power and responsibility to prepare and implement schemes for urban development…' on First Schedule matters). Schedule I lists (1)(i) 'Urban planning including town planning', (1)(ii) regulation of land use and construction of buildings, and (3)(i)(a) 'Planned development of new areas for human settlement'. Under s.14(2)(a), GBA, which is on the ULG side, is also the Planning Authority 'notwithstanding anything contained in any other law'.
Why there is no carve-out (BDA Act 1976, BDA-02, consolidated up to Act 42 of 2026): s.14 gives BDA the broad object of securing 'the development of the Bangalore Metropolitan Area'. Under s.15–16 its development schemes cover acquiring land, laying out land, streets, drainage, water supply, parks, civic-amenity land and housing across the whole Bangalore Metropolitan Area (s.2(c)), including land inside Corporation limits. The Act does not limit BDA to any aspect, area or scale of urban planning or development as against the ULG. The points where the two bodies meet do not divide the function:
- s.25 proviso: the Corporation is consulted.
- s.32(1) provisos: BDA sanctions layouts inside Corporation limits only with the Corporation's concurrence, and disagreements go to the Government. This is a shared, overlapping role.
- s.29: the Government may notify that the Corporation's own powers are exercised by BDA, and s.29(2) then removes them from the Corporation. This mechanism creates overlap.
- s.28A and s.30: BDA maintains streets it forms until they vest in the Corporation, which then maintains them. This is a handover sequence, not a split of the planning or development function. The Corporation is also assigned 'planned development of new areas' in its own Act.
The Statement of Objects (BDA-02 p.5-6) describes BDA as a single authority set up because 'development, planning, etc., are overlapping'. It does not show any division of roles with the ULG.
What I checked to establish that no carve-out exists:
- BDA Act s.2 (definitions, including 'Corporation' = 'Corporation of the City of Bangalore'), s.3, s.13, s.14–16, s.25–32, s.37–41, the arrangement of sections and the Statements of Objects.
- GBA Act s.8, s.14, s.15 and s.111, plus Schedule I as quoted in Step 2.
- KTCP Act s.81B (BDA-03), which names BDA as the Local Planning Authority. GBA Act s.14(2)(a) overrides this 'notwithstanding' other laws. That makes the overlap or conflict stronger and does not create a carve-out.
The rubric asks whether the carve-out is explicit 'in the Parastatal Act', so Act text decides it. The sheet has no BDA Rules or regulations and no GO allocating functions, but those would not supply a carve-out inside the Act.
For the team to check:
(a) The BDA Act still names the predecessor 'Corporation of the City of Bangalore' and the Karnataka Municipal Corporations Act 1976. No official source shows GBA or the City Corporations substituted. This weakens any claimed interface division further.
(b) The GBA Act's commencement date and its transitional or saving clauses about BDA were not found in the sheet. If a transitional provision or GO assigns a specific aspect to BDA, check the scenario again.
(c) Someone could argue that s.30 (BDA forms layouts, the Corporation maintains them) creates a split between creating and maintaining. I rejected that because the GBA Act gives the Corporation the creation side too ('planned development of new areas').
All texts are PRS republications (secondary), not official gazette copies.
Quote: "The objects of the Authority shall be to promote  and secure the development of the Bangalore Metropolitan Area"</t>
  </si>
  <si>
    <t xml:space="preserve">Chapter III (Greater Bengaluru Authority); also Chapter on City Corporation functions (s.111-113) and Schedule I</t>
  </si>
  <si>
    <t xml:space="preserve">s.14(4); read with s.15(1), s.111, s.112(1), Schedule I</t>
  </si>
  <si>
    <t xml:space="preserve">AI (low confidence), from Step 2 answer (Partially Answered) and BMRCL-34: I left the score blank. The devolution scenario turns on a methodology question the team has not settled, and the carve-out test cannot be run because BMRCL's own founding instrument is not in the Citation Sheet.
What I checked in the city-government law (BMRCL-34, GBA Act 2024, Karnataka Act 36 of 2025, PRS copy, as enacted; GBA era; start date not shown in the sheet):
(1) Schedule I lists the City Corporations' functions under s.111. I read all of the Core Functions (i)-(xviii), all of the General Functions (i)-(xv) and the Sector-wise functions (i)-(xi). Metro rail, mass rapid transit and public transport appear nowhere. The nearest items are core (iv) 'Roads including flyover, underpass, subway...' and core (xvii) 'parking spaces for vehicles, bus stops'. Sector-wise (vi) Public Works covers roads only.
(2) Under s.112(1), a City Corporation 'may', with the cost underwritten and approved by the Central or State Government, take on functions 'belonging to the functional domain of the Central Government or the State Government', including 'urban transport'. So urban transport is treated as a State or Central function, not a devolved one.
Read against the rubric text alone, this points to Scenario A (not devolved), which would score 5.
Why I did not enter 5:
- s.14(4) gives the Greater Bengaluru Authority (GBA) a binding power to integrate, supervise and direct 'Bengaluru Metro Rail Corporation Limited' by name.
- s.15(1) makes GBA responsible for 'master plan and mobility plans'.
- s.8(3) makes GBA the coordinator 'among all the City Corporations and other agencies'.
- The Step 2 answer says the section guidance treats even a coordination or supervision role in the city-government law as Scenario B or C, not A. I cannot see that guidance in the sheet to confirm it.
- It is also unresolved whether GBA counts as part of the city government (ULG) at all. GBA is chaired by the Chief Minister and made up largely of state ministers and agency heads. The rubric's ULG may mean only the City Corporations.
- If GBA's role does trigger B or C, the score depends on whether BMRCL's own instrument explicitly carves out its role. BMRCL is a Companies Act company (BMRCL-01), not a body set up by a state Act. Its Memorandum and Articles of Association are not in the sheet. Neither are the notifications applying the Metro Railways (Operation and Maintenance) Act 2002 (BMRCL-15) or the Metro Railways (Construction of Works) Act 1978 to Bengaluru or naming BMRCL. So the carve-out test cannot be applied.
RUBRIC-GAP/CONFIRM for the team:
(a) Does GBA's coordination and supervision role under s.14(4) and s.15(1) make this Scenario B/C? If not, the evidence supports Scenario A and a score of 5.
(b) If B/C, which instrument stands in for the 'Parastatal Act': the MoA, or the central Metro Acts as applied to Bengaluru? That instrument needs to be sourced.
(c) Confirm that 'Bengaluru Metro Rail Corporation Limited' in s.14(4) is the same entity as 'Bangalore Metro Rail Corporation Limited' in BMRCL-01.
(d) Was the amendment Bill in BMRCL-46 (LA Bill 58 of 2025) enacted? It changes s.8(2) and s.14(1), not s.14(4).
I also reviewed BMRCL-35 (BMLTA Act; BMLTA is a state transport authority, not the city government), BMRCL-01 and BMRCL-15.
Quote: "Integrating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
"Score" left blank: the Citation Sheet doesn't decide it.</t>
  </si>
  <si>
    <t xml:space="preserve">Chapter II (Greater Bengaluru Authority); Chapter XVII (Regulation of Buildings and Town Planning)</t>
  </si>
  <si>
    <t xml:space="preserve">s.14(2)(a)-(c) GBG Act 2024 (Act 36 of 2025); s.111 read with Schedule I; s.223</t>
  </si>
  <si>
    <t xml:space="preserve">s.14(2)(a): GBA is the Planning Authority for the Greater Bengaluru Area. s.14(2)(c): Bengaluru Metropolitan Planning Committee (BMPC) for an area 'including but not limited to' the Greater Bengaluru Area</t>
  </si>
  <si>
    <t xml:space="preserve">14</t>
  </si>
  <si>
    <t xml:space="preserve">AI (low confidence), from Step 2 answer (Partially Answered) and BMRDA-10: I left the score blank because the parastatal's own Act is not in the Citation Sheet.
1. Why the score can't be set: the method needs two Acts. Step 1 sets the devolution status from the city government's Act. Steps 2B and 2C then turn on whether the BMRDA Act itself separates BMRDA's role from the city government's ('explicit in the Parastatal Act'). The Step 2 answer relied on BMRDA-08 for the BMRDA Act 1985. BMRDA-08 is not in this Citation Sheet: read_citation returned 'No Citation Sheet source BMRDA-08'. It seems to have been dropped, likely because its host was unofficial (India Water Portal S3). The available IDs are BMRDA-01, 02, 04, 05, 10, 11, 12, 13 and 14. A search of the sheet for the BMRDA Act's functions and structure-plan provisions found only BMRDA-05, a draft structure-plan report on a third-party host. It also found BMRDA-11, the KTCP Act, and BMRDA-02, the website. Neither gives the text of s.9, s.10 or s.18 of the BMRDA Act. So I cannot check whether the BMRDA Act has a carve-out or simply overlaps.
2. Why I did not score 0: a 0 needs affirmative absence, meaning every relevant instrument was read, and the parastatal Act could not be read. No Rules, Regulations or s.10 notifications under the BMRDA Act are in the sheet either.
3. City-government side (BMRDA-10, PRS secondary copy, Act 36 of 2025, gazetted 24.04.2025, GBA era):
- s.14(2)(a), which starts 'Notwithstanding anything contained in any other law', makes GBA the Planning Authority under KTCP for the Greater Bengaluru Area.
- s.14(2)(c) sets up the BMPC for an area 'including but not limited to' the Greater Bengaluru Area.
- s.111 with Schedule I gives the City Corporations urban planning and land-use regulation, plus integration of their plans with the 'district or regional development plan'.
- s.223 requires the Corporations to follow KTCP and the Planning Authority on land use.
This points to Scenario C, possibly B; the team should confirm which.
4. Step 2 used the 'Corporation of the City of Bangalore' wording and s.9, s.10, s.18, s.28 and s.31 of the BMRDA Act. I could not check these against any citation in this sheet. The commencement date of the GBG Act is also not established; s.1(3) says it comes into force on a date the Government notifies.
5. Also check: LA Bill 55 of 2025 (BMRDA-12) is only a bill, and whether it was enacted is unknown.
To score this, the team needs an official copy of the current, consolidated BMRDA Act 1985 (from the DPAL or e-Gazette site, or PRS), including any amendments made in the GBA era. With that, decide B vs C and whether the BMRDA Act's assignments are explicit and non-overlapping.
Quote: "the Greater Bengaluru Authority shall be the “Planning Authority” as defined under the Karnataka Town and Country Planning Act, 1961, for the areas comprising of the Greater Bengaluru Area;"
"Score" left blank: the Citation Sheet doesn't decide it.</t>
  </si>
  <si>
    <t xml:space="preserve">Chapter I – Preliminary</t>
  </si>
  <si>
    <t xml:space="preserve">Section 2 (Definitions)</t>
  </si>
  <si>
    <t xml:space="preserve">Section 2(1); read with Section 15(1)-(3) (general duties of the Board in the Bangalore Metropolitan Area)</t>
  </si>
  <si>
    <t xml:space="preserve">7</t>
  </si>
  <si>
    <t xml:space="preserve">AI: left for a person. Step 2 found no evidence (Insufficient Evidence). Source needed: Needed: (1) the Karnataka Government notification that established BMTC (and set its area of operation), with any later notifications or gazette orders changing that area; (2) the full text of the parent law BMTC is constituted under, reportedly the Road Transport Corporations Act, 1950 (the section on setting up a corporation for an area), from an official .gov.in/.nic.in source; (3) any Rules or Regulations covering BMTC's area of operation; (4) BMTC's official website page describing its jurisdiction or service area, as a cross-check of the current boundary; (5) the Greater Bengaluru Governance Act, 2024, for the ULG-side (municipal law) check the methodology requires; (6) the BDA Act, 1976, s.2(c) (Bengaluru Metropolitan Area), if BMTC's area is defined by reference to it.</t>
  </si>
  <si>
    <t xml:space="preserve">Section 2(c), read with Section 3(1)</t>
  </si>
  <si>
    <t xml:space="preserve">s.2(c) definition of 'Bangalore Metropolitan Area'</t>
  </si>
  <si>
    <t xml:space="preserve">AI (medium confidence), from Step 2 answer (Answered — Verified Source) and BDA-02: Score: 2.5 (jurisdiction defined only in general terms). I checked the Step 2 answer against the source and agree with it.
What the BDA Act says (BDA-02):
- Section 2(c) defines BDA's area, the 'Bangalore Metropolitan Area', only by pointing to boundaries set under two older statutes. One is the City of Bangalore Municipal Corporation Act, 1949. The other is the City of Bangalore Improvement Act, 1945, which the BDA Act's own s.76 repeals. The definition also covers 'such other areas adjacent ... as the Government may from time to time by notification specify'.
- The Act itself gives no boundary description, schedule or map. Its arrangement of sections (ss.1-77) lists no schedule describing the area.
- Section 3(1) constitutes BDA 'for the Bangalore Metropolitan Area'.
Other layers checked:
- Planning law (BDA-03, KTCP Act, 1961): s.81-B, inserted by BDA Act s.67, makes BDA the local planning authority over the area the old City Planning Authority covered just before BDA was constituted. That is again a definition by reference. KTCP s.4A(2) says every notification declaring a local planning area 'shall define the limits of the area'. That is a general rule for later notifications, not a schedule in the enabling Act.
- City government law (BDA-11, Greater Bengaluru Governance Act): s.2(30) defines the 'Greater Bengaluru Area' through a notification too. In the parts available, it does not redefine BDA's area.
- Neither the 2020 nor the 2026 amendment changes s.2(c) or s.3.
Why not 5 or 0: the Act has no specific boundary description, schedule or map, so the 5 band is not met. A definition does exist, so 0 does not apply.
For the team to check:
1. Whether a definition that relies on other statutes' city limits could count as a 'specific boundary description'. I read it cautiously as 2.5.
2. The Citation Sheet has no gazette notification under s.2(c) adding adjacent areas and no BDA jurisdiction map. The current boundary could not be cross-checked, but the score rests on the Act wording.
3. All legal texts are PRS copies (secondary source). Official gazette copies would be better.
4. The Act still uses the old names 'City of Bangalore' and 'Corporation'. No source in the sheet shows the Greater Bengaluru Authority or the City Corporations substituted for them.
Quote: "(c) ‘Bangalore Metropolitan Area’ means the area comprising the City of Bangalore as defined in the City of Bangalore Municipal Corporation Act, 1949 (Mysore Act 69 of 1949), the areas where the City of Bangalore Improvement Act, 1945 (Mysore Act 5 of 1945) was immediately before the commencement  of this Act in force and such other areas adjacent to the aforesaid as the Government may from time to time by notification specify;"</t>
  </si>
  <si>
    <t xml:space="preserve">The Metro Railways (Operation and Maintenance) Act, 2002 (updated text, hosted by the Commission of Railway Safety, Government of India) [BMRCL-15]</t>
  </si>
  <si>
    <t xml:space="preserve">Section 1(2) (extent, as substituted by Act 34 of 2009); also Section 2(1)(h), 2(1)(ha), 2(1)(i)(A); Sections 3(1) and 5</t>
  </si>
  <si>
    <t xml:space="preserve">Section 1(2)</t>
  </si>
  <si>
    <t xml:space="preserve">https://crs.gov.in/wp-content/uploads/2024/03/THE-METRO-RAILWAYS-OPERATION-AND-MAINTENANCE-ACT-2002.pdf</t>
  </si>
  <si>
    <t xml:space="preserve">AI: left for a person. Step 2 found no evidence (Insufficient Evidence). Source needed: Any one of these could decide the question: (1) BMRCL's Memorandum of Association (objects and area of operation); (2) the Gazette of India notification extending the Metro Railways (O&amp;M) Act, 2002 to the Bengaluru metropolitan area, and any notification under the Metro Railways (Construction of Works) Act, 1978 for Bengaluru, checking whether either has a boundary schedule or map; (3) any GoK order or gazette notice defining the metro project or corridor area; (4) BMRCL's official website page on its network or jurisdiction, to check the current position.</t>
  </si>
  <si>
    <t xml:space="preserve">Section 2(c) (definition of 'Bangalore Metropolitan Region'), read with Section 3(1)</t>
  </si>
  <si>
    <t xml:space="preserve">2(c), as substituted by Karnataka Act 8 of 2005 w.e.f. 23.03.2005</t>
  </si>
  <si>
    <t xml:space="preserve">Chapter II – Establishment of the Board</t>
  </si>
  <si>
    <t xml:space="preserve">Section 3 – Constitution and composition of the Bangalore Water Supply and Sewerage Board</t>
  </si>
  <si>
    <t xml:space="preserve">Section 3(2), 3(3), 3(5)</t>
  </si>
  <si>
    <t xml:space="preserve">AI: left for a person. Step 2 found no evidence (Insufficient Evidence). Source needed: (1) Full text of the Road Transport Corporations Act, 1950, s.5 (board composition), current amended version, from an official copy such as India Code's PDF or the Karnataka Transport Department; (2) the Karnataka Government notification(s) constituting BMTC and nominating its directors, ideally the latest one, from the eGazette or Transport Department orders; (3) BMTC's current Board of Directors list with each director's designation, from BMTC's official website or its latest annual report or administration report; (4) the Greater Bengaluru Governance Act, 2024, to check for any provision giving the GBA or City Corporations a seat on BMTC's board.</t>
  </si>
  <si>
    <t xml:space="preserve">Chapter II – The Bangalore Development Authority</t>
  </si>
  <si>
    <t xml:space="preserve">Section 3(3) (constitution of the Authority), read with s.2(i), s.3(6), s.4(1)(f), s.5(1) proviso and s.8(4)</t>
  </si>
  <si>
    <t xml:space="preserve">s.3(3)(l) and its proviso; s.3(3)(f)</t>
  </si>
  <si>
    <t xml:space="preserve">AI (low confidence), from Step 2 answer (Partially Answered) and BDA-02: I left the score blank. As written, the BDA Act (BDA-02, PRS consolidated text with amendments up to Act 42 of 2026, dated 7.9.2026) points to the 5-point band, but the Citation Sheet cannot show that this applies to today's city government.
What the Act says:
- s.3(3)(l): the councillors of the 'Bangalore City Corporation' elect 2 members from among themselves.
- s.8(4): every question is decided by a majority of the members present and voting. No member category is excluded, so these members can vote.
- s.3(3)(f): the Commissioner of the Corporation of the City of Bangalore sits ex-officio. He is an official, not an elected representative.
- s.2(i): 'Corporation' means the 'Corporation of the City of Bangalore' (substituted by Act 34 of 1986).
- The Act 42 of 2026 text shown amends only ss.10 and 38D. I saw no amendment to s.3.
Why no score:
(1) PREDECESSOR NAMING: The Greater Bengaluru Governance Act (BDA-11) sets up the GBA and up to 7 City Corporations, and s.361 repeals the BBMP Act 2020. I read s.360 (transitory provisions), s.361 (repeal and savings) and the dissolution provisions. None of them says that references in other laws to the Corporation of the City of Bangalore / BBMP now mean the GBA or a City Corporation. So it is not shown which body's councillors fill the s.3(3)(l) seats, or whether any do.
(2) ADMINISTRATOR PROVISO: If the corporation is superseded or run by an Administrator, the 2 seats go to Corporation officers nominated by the Administrator, not to elected councillors. That would fit the 2.5 band (non-elected) at best, or arguably neither band. Whether the councils are elected now is not in the sheet.
(3) NO BOARD LIST: The scorer notes ask for the current board member list. None is in the sheet: no s.3(6) notification of members, no BDA Rules under s.69(2)(b) on how councillors elect members, and no current member list in BDA-37 or BDA-38.
Other sources checked:
- KTCP Act s.4C (BDA-03): covers Planning Authorities set up under that Act, not the BDA board.
- GBA Act ss.95-96: coordination committees, not the BDA board.
A 0 is not justified, because the Act does provide representation in law.
For the team: if you confirm that the GBA/City Corporation councillors are the s.3(3)(l) electorate and that elected councils exist, the law supports a score of 5. If the city is under an Administrator, consider 2.5 or a RUBRIC-GAP.
RTI target: BDA PIO / Urban Development Department, Govt of Karnataka. Ask for the latest s.3(6) notification of BDA members.
Note: both Acts in the sheet are PRS (secondary) copies.
Quote: "(l) two persons elected by the councillors of  the Bangalore  City Corporation from among themselves in the prescribed manner : Provided that during the period of supersession of the Corporation or where any Administrator has been appointed, the two persons shall be nominated by the Administrator from among the  officers of the Corporations."
"Score" left blank: the Citation Sheet doesn't decide it.</t>
  </si>
  <si>
    <t xml:space="preserve">Corporate Governance Report (annexed to Board's Report), Annual Report 2020-21</t>
  </si>
  <si>
    <t xml:space="preserve">Board of Directors / Constitution of the Board / Composition of the Board</t>
  </si>
  <si>
    <t xml:space="preserve">Report pp. 45-46 (PDF pages 47-48): Articles of Association board strength and promoter-government nomination rights; board as on 31.03.2021</t>
  </si>
  <si>
    <t xml:space="preserve">47</t>
  </si>
  <si>
    <t xml:space="preserve">AI (low confidence), from Step 2 answer (Partially Answered) and BMRCL-01: I left the score blank. The evidence on the sheet points to 0, but it does not establish affirmative absence for the current period.
What the evidence shows:
- BMRCL is a company under the Companies Act and a 50:50 joint venture of the Government of India (GoI) and the Government of Karnataka (GoK). It was not set up by a statute.
- BMRCL-01 (Annual Report FY 2020-21) quotes the Articles of Association. Directors are 'either whole-time functional Directors or Part-time Directors nominated by the Promoter Government(s)'. GoI and GoK may each nominate five directors.
- On 31.03.2021 the board had 12 directors: 2 functional directors, 5 GoI nominees and 5 GoK nominees. All the named nominees are GoI or GoK officials. None is a BBMP official or councillor, or anyone from another city-government (ULG) body.
- Nothing in the report gives the city government any right to nominate a director.
What I checked:
- BMRCL-01.
- BMRCL-34, the GBA Act 2024 (Act 36 of 2025). This law works the other way round. BMRCL's MD sits on the Greater Bengaluru Authority (GBA) under s.9(3)(j) and on its Executive Committee under s.13(1)(j). Under s.14(4), GBA supervises BMRCL and its directions are binding. s.14(4) also requires BESCOM and BMTC to amend their Memorandum of Association, but not BMRCL. No section gives GBA or City Corporation members a seat on BMRCL's board. None of this counts as the city government being on BMRCL's board.
- BMRCL-46, the GBA (Amendment) Bill 2025. It amends only s.8(2) and s.14(1) and says nothing about BMRCL's board.
- BMRCL-35, the BMLTA Act. It gives the city a seat on BMLTA, which is a different body.
- BMRCL-18, Metro Rail Policy 2017. It only says a local-body stake is 'worth considering'. That is advisory, not binding.
- BMRCL-15, the Metro Railways O&amp;M Act. I found nothing in it on BMRCL's board composition.
- A sheet-wide search for any nomination of a city-corporation member to BMRCL's board found nothing.
Why the score is still blank:
1. BMRCL's own Memorandum and Articles of Association, which hold the governing composition clause, are not on the sheet. The only account of them is BMRCL-01's summary.
2. The only board list is from FY 2020-21, before the GBA was created. There is no current board list for the GBA era (FY 2024-25 or 2025-26).
3. The GBA Act is a PRS secondary copy.
So a 0 cannot meet the affirmative-absence rule. The indicative band is 0 (no representation). A person should confirm by getting the current Articles of Association director-nomination clause and the current list of directors with their nominating authorities, for example by an RTI request to the BMRCL Company Secretary or PIO.
One more point: even if a city official appointed by the state government sat on the board, the rubric's 5 needs elected city representatives.
Quote: "Both the Governments have the right to nominate five (5) Directors each on the Board of Directors."
"Score" left blank: the Citation Sheet doesn't decide it.</t>
  </si>
  <si>
    <t xml:space="preserve">Chapter II – The Bangalore Metropolitan Region Development Authority</t>
  </si>
  <si>
    <t xml:space="preserve">Section 3(3)(d), read with Section 5(4)</t>
  </si>
  <si>
    <t xml:space="preserve">Section 3(3)(d): the Mayor is an ex-officio member of the Authority. Section 5(4): questions are decided by majority vote of members present and voting. Also Section 6(1)(e): the Mayor sits on the Executive Committee.</t>
  </si>
  <si>
    <t xml:space="preserve">6</t>
  </si>
  <si>
    <t xml:space="preserve">Chapter III (The Board's Finance, Accounts and Audit); Chapter VI (Miscellaneous)</t>
  </si>
  <si>
    <t xml:space="preserve">Sections 17(1), 17(3), 86(1), 86(2), 86(3), 14(5)</t>
  </si>
  <si>
    <t xml:space="preserve">s.17(1) budget goes to the State Government; s.17(3) the State Government lays it before the State Legislature; s.86(1)-(2) annual and activities reports go to the State Government and the Legislature; s.86(3) scheme particulars go to the State Government</t>
  </si>
  <si>
    <t xml:space="preserve">AI: left for a person. Step 2 found no evidence (Insufficient Evidence). Source needed: Four documents are needed. (1) The full current text of BMTC's enabling Act, i.e. the law under which the Karnataka state transport corporations are constituted: its provisions on capital expenditure programme/budget, annual report and accounts, and to whom each is submitted. (2) Any Karnataka Rules and BMTC regulations made under it. (3) The Karnataka notification establishing BMTC. (4) The Greater Bengaluru Governance Act, 2024 and its Rules, checked for any provision requiring public authorities or parastatals such as BMTC to submit or table plans, budgets or reports before GBA or the City Corporations or their councils. All should be official copies (Karnataka law department / eGazette / India Code full text).</t>
  </si>
  <si>
    <t xml:space="preserve">Chapter III (Development Schemes); Chapter on Finance, Accounts and Audit</t>
  </si>
  <si>
    <t xml:space="preserve">BDA Act 1976 s.17(2)-(4); ss.42-46; s.47(5); s.47A</t>
  </si>
  <si>
    <t xml:space="preserve">s.17(2) copy of scheme notification sent to 'the Corporation'; s.17(4) concurrence deemed given; s.44 budget estimate submitted to 'the Government'; s.47(5) and s.47A audited accounts and reports go to the State Government and the Legislature</t>
  </si>
  <si>
    <t xml:space="preserve">AI (low confidence), from Step 2 answer (Partially Answered) and BDA-02: Score left blank. I checked the Step 2 reading against BDA-02, BDA-03 and BDA-11, and it holds up. (1) PLANS: Under BDA Act s.17(2), BDA 'shall' send a copy of each development-scheme notification to 'the Corporation'. The Corporation may make representations within 30 days, and if it does not, s.17(4) treats it as agreeing. This could earn 1.67, but only if sending a scheme notification for comment counts as plans being 'submitted/tabled' before the ULG. It covers individual schemes only, not a city-wide plan. Also, s.2 defines 'Corporation' as the old Corporation of the City of Bangalore. The Citation Sheet has no official source showing that BBMP, the GBA or the City Corporations took its place in this Act, and the GBA Act's effective date is not confirmed. The team needs to decide both points. (2) BUDGETS: Under ss.42-45, the Commissioner lays the estimate before the Authority, the Authority approves it, and s.44 says it 'shall be submitted to the Government'. Supplementary estimates also go to the Government. The Corporation is not mentioned. KTCP s.68B and its rule-making power send planning-authority budgets to 'the Board and the State Government' (BDA-03). (3) REPORTS: Under s.47(5), audited accounts and the auditor's report go to the State Government and are laid before the Legislature. Under s.47A, reports go to the State Government and the Legislature. KTCP s.68D sends annual reports to 'the State Government and the Board'. The methodology says submission only to the State Government does not count. (4) CITY-GOVERNMENT SIDE: I searched BDA-11, the Greater Bengaluru Governance Act. s.14(4) lets the GBA supervise and direct public authorities. s.19 lets 'the Government' (the State Government) call for reports. s.22(2) sends the GBA's own report and budget to the City Corporations. I found nothing requiring BDA to submit its plans, budget or reports to the GBA or the City Corporations. Why there is no 0 for budgets and reports: the BDA Rules and Regulations (ss.69-70, including the s.47A rules on report form and matters), the KTCP Rules and the GBA Rules and Regulations are not in the Citation Sheet. So affirmative absence across all instrument layers cannot be confirmed, even though the Acts name only the State Government, the Legislature and the Board. Indicative score: 1.67 if the team accepts s.17(2) as plan submission and confirms the successor body. Otherwise 0, if the Rules layer is checked and adds nothing. All three Acts are PRS copies (secondary source): BDA Act consolidated up to the 2020 Amendment; KTCP consolidated; GBA Act 2024, Karnataka Act 36 of 2025.
Quote: "(2) A copy of the said notification shall be sent to the Corporation which shall, within thirty days from the date of  receipt thereof, forward to the Authority for transmission to the Government as hereinafter  provided, any representation which the Corporation may think fit to  make with regard to the scheme."
"Score" left blank: the Citation Sheet doesn't decide it.</t>
  </si>
  <si>
    <t xml:space="preserve">Chapter III (Greater Bengaluru Authority)</t>
  </si>
  <si>
    <t xml:space="preserve">Section 19(1); read with ss.14(4), 15, 21-22, 95-96</t>
  </si>
  <si>
    <t xml:space="preserve">s.19(1)</t>
  </si>
  <si>
    <t xml:space="preserve">17</t>
  </si>
  <si>
    <t xml:space="preserve">AI (low confidence), from Step 2 answer (Partially Answered) and BMRCL-34: I left the score blank. Nothing in the Citation Sheet requires BMRCL to submit or table its plans, budgets or annual/performance reports before the Greater Bengaluru Authority (GBA), a City Corporation or its council. But I cannot give 0, because affirmative absence is not established: BMRCL's own founding instruments are not in the sheet.
I checked the Step 2 answer against the sources and it holds.
City-government side, GBG Act 2024 (BMRCL-34, PRS copy, as enacted; GBA era):
- s.2(54) names BMRCL as a 'Public authority'.
- s.13(1)(j) puts BMRCL's MD on the GBA Executive Committee. That is membership, not a duty to submit documents.
- s.14(4) lets the GBA 'integrate and supervise' public authorities including BMRCL and issue binding directions. That is a power to direct, not a mandated submission of plans, budgets or reports.
- s.14(4) also requires BESCOM and BMTC, not BMRCL, to put the GBA's coordinating role into their Memorandum of Association.
- s.15: the GBA makes the master plan and mobility plans. BMRCL is not required to submit its own plans.
- s.19(1): periodic reports go to 'the Government' (the State), which the methodology excludes.
- ss.21-22: the budget and annual report duties are the GBA's own. s.22(2) has the GBA send its own report and budget to the City Corporations, not BMRCL's.
- ss.95-96: the Assembly Constituency committees only coordinate and monitor.
Other instruments in the sheet:
- BMRCL-46 (Amendment Bill 2025) does not touch these sections.
- BMRCL-15 (Metro Railways (Operation and Maintenance) Act): ss.12-13 cover the Commission of Railway Safety's report to the Central Government and Parliament; s.46 sends accident returns to the Central Government.
- BMRCL-01 (Annual Report 2020-21): BMRCL is a Government Company under Companies Act s.2(45), governed by its Memorandum and Articles. The CAG letter refers to forwarding the Annual Report to the Central Government to be placed before Parliament. The sheet's copy was laid before the Karnataka Legislative Council. That is the legislature, not the city government.
- BMRCL-35 (BMLTA Act) and BMRCL-31 (Karnataka Town and Country Planning Act) put no such duty on BMRCL.
Missing for affirmative absence: BMRCL's Memorandum and Articles of Association, the Companies Act 2013 provisions on government-company reports (ss.394-395), any GoK/GoI orders forming BMRCL, and any Rules under the GBG Act.
The team should confirm two things:
- (a) which instrument counts as the 'enabling Act' for a Companies Act company;
- (b) that a s.14(4) power to supervise and direct does not count as submission.
If those instruments are added and show no such duty, the score is likely 0 (0+0+0). That is not established yet.
Quote: "The Government shall be entitled to call for periodic reports from such Public Authorities, agencies and departments of the Government discharging municipal functions in the Greater Bengaluru Area, and shall be further entitled to issue instructions and recommendations to those regarding the performance of any of their functions contained in the provisions of their constituent statutes."
"Score" left blank: the Citation Sheet doesn't decide it.</t>
  </si>
  <si>
    <t xml:space="preserve">Chapter III (Powers and Functions); Chapter IV (Finance, Accounts and Audit); Chapter V (Miscellaneous)</t>
  </si>
  <si>
    <t xml:space="preserve">Sections 9(1)(ii), 12, 13, 16(3), 19 and 31 (inserting Section 81-C into the Karnataka Town and Country Planning Act, 1961), BMRDA Act, 1985</t>
  </si>
  <si>
    <t xml:space="preserve">Section 12 (Budget); Section 13 (Annual report)</t>
  </si>
  <si>
    <t xml:space="preserve">12</t>
  </si>
  <si>
    <t xml:space="preserve">ENTER A NUMBER 0 TO 10</t>
  </si>
  <si>
    <t xml:space="preserve">Why Use KarnatakaOne for Water Bill Payment in Bangalore?</t>
  </si>
  <si>
    <t xml:space="preserve">KarnatakaOne 'BWSSB Service' page: closing line pointing to BWSSB's website</t>
  </si>
  <si>
    <t xml:space="preserve">Page footer: 'Last reviewed and updated on 14 July, 2026' (this date is for the KarnatakaOne page)</t>
  </si>
  <si>
    <t xml:space="preserve">AI (low confidence), from Step 2 answer (Partially Answered) and BWSSB-25: Score left blank because of a VERIFICATION-LIMIT. A score of 10 needs three things: the official site exists, it opens without error, and it has content dated within the last 12 months. The Citation Sheet holds no copy of BWSSB's own website: no home page, no dated notice or circular, no 'last updated' stamp and no web-archive capture. So we can't check whether the site opens or how recent its content is.
A score of 0 is also wrong. That score applies only when no official website is found. BWSSB-25 is a Government of Karnataka portal (karnatakaone.gov.in, run by EDCS, DPAR (e-Governance)), and it links to www.bwssb.org as BWSSB's site. The footer date '14 July, 2026' belongs to the KarnatakaOne page, not to BWSSB's website, so it can't show that BWSSB's site is current.
Other sources checked:
- BWSSB-12, the Chief Engineer's presentation (about 2023), lists '5. WEBSITE' among BWSSB's IT initiatives. It is not a capture of the site.
- BWSSB-32, the Public Affairs Centre assessment (2016), says the website existed then. It is old and not an official source.
- BWSSB-22 and BWSSB-23 (JICA, 2017), BWSSB-28 (Town and Country Planning Act), BWSSB-29 (GBA Act) and BWSSB-30 (GBA Amendment Bill) say nothing about the website's current status.
- A search of the whole Citation Sheet for a BWSSB website notice or circular found no capture.
The Step 2 answer ('Partially Answered', score blank) matches the sources.
To do: a reviewer should open BWSSB's official website and confirm which domain is current (the only domain in the Citation Sheet is www.bwssb.org). They should then record the check date, find a dated notice or circular from the last 12 months, and save a screenshot or web-archive capture. If all of that holds, score 10.
Quote: "Visit [http://www.bwssb.org/] www.bwssb.org for more details."
"Score" left blank: the Citation Sheet doesn't decide it.</t>
  </si>
  <si>
    <t xml:space="preserve">Screen Reader Access</t>
  </si>
  <si>
    <t xml:space="preserve">Site footer, BMTC 'Contact Us' page (https://mybmtc.karnataka.gov.in/page/Contact+Us/en)</t>
  </si>
  <si>
    <t xml:space="preserve">Footer: 'Last Updated' date and 'Content Owned and maintained by' line</t>
  </si>
  <si>
    <t xml:space="preserve">AI (medium confidence), from Step 2 answer (Answered — Verified Source) and BMTC-44: I checked the Step 2 answer against BMTC-44 and BMTC-46. Both support a score of 10 under the rule's three tests. (1) An official website exists. BMTC-44 is on mybmtc.karnataka.gov.in, a karnataka.gov.in subdomain (allowed category A). Its footer says 'Content Owned and maintained by: Bengaluru Metropolitan Transport Corporation, Government of Karnataka' and 'Designed , Developed &amp; Hosted by: Centre for e-governance - Webportal karnataka government © 2026'. (2) It opens without error. Two inner pages were saved in full and are readable. BMTC-44 shows the head-office address (K H Road, Shanthinagar, Bangalore - 560027) and the helpline 080 22483777. BMTC-46 (Rules And Regulations) lists regulation PDFs. Both have working menus for Complaints, the Public Grievance Dashboard, Recruitment, fares, timetables and RTI 4(1)(a)/(b). (3) It was updated within 12 months. Both pages show a footer reading 'Last Updated: 30-09-2026'. The rule accepts a 'verifiable "last updated" date' as one way to show this, so that alone meets the test for a check in the September 2026 cycle.
Please check these points:
(a) The 'Last Updated' date is in a site-wide footer from the Centre for e-governance (CeG) template, version 'CeG/KRN 4.0'. It may be generated automatically and not reflect real BMTC edits. No dated BMTC notice, circular or tender is in the Citation Sheet to back it up. There are some indirect signs of recent content, but none is a stated date. Upload file names end in what look like Unix timestamps (e.g. 'Vayuvajra Form-3 @17_1789716606.pdf', which works out to about September 2026). KSRTC tour links carry 'departDate=26-07-2025'. Some items are older, such as the PIO list 'RTIPIOENGupdated04-6-24.pdf'.
(b) Only two inner pages are in the Citation Sheet. The home page and any notices/tenders page were not saved.
(c) The question asks for a recorded date of check and an archived screenshot or web-archive link. The Citation Sheet has neither. A reviewer should capture both and confirm there is at least one dated BMTC notice from the last 12 months on the live site.
If the footer date turns out to be automatic and no dated content from the last 12 months is found, do not score 0. The rubric has no band for a stale site (RUBRIC-GAP), so the score would become blank pending confirmation. Note also that BMTC-13 (KarnatakaOne) mentions www.mybmtc.com, but that domain was not checked and is not relied on here.
Quote: "Last Updated: 30-09-2026"</t>
  </si>
  <si>
    <t xml:space="preserve">AI: left for a person. Step 2 found no evidence (Insufficient Evidence). Source needed: Three things are needed: (1) BDA's official website, shown to be official by a link from a .gov.in or .nic.in page or by an official instrument; (2) a dated point-in-time check that the site opens without error; (3) a saved copy or screenshot showing dated content from the last 12 months, such as a recent notice, circular or tender, or a 'last updated' date. A web-archive capture with the date of the check would also be needed, as the question bank requires.</t>
  </si>
  <si>
    <t xml:space="preserve">Board's Report; Corporate Governance Report</t>
  </si>
  <si>
    <t xml:space="preserve">Corporate Governance Report, item 7 'Company's Website'; Board's Report sections on Risk Management, Vigil Mechanism and BMRC Newsletter</t>
  </si>
  <si>
    <t xml:space="preserve">Annual Report FY 2020-21, pp. 40, 42, 55-56</t>
  </si>
  <si>
    <t xml:space="preserve">42</t>
  </si>
  <si>
    <t xml:space="preserve">AI: left for a person. The AI's quote couldn't be found word for word in BMRCL-01, so its answer was discarded. AI comments: Score left blank because of a VERIFICATION-LIMIT. A score of 0 is not possible because the website exists.
What the sources show: BMRCL has an official website. BMRCL-01 is the company's own Annual Report for FY 2020-21. It names 'www.bmrc.co.in' as the official website, says tenders, the monthly newsletter and the Whistle Blower Policy are posted there, and says the site is 'continuously updated'. BMRCL-47 is the DULT Government of Karnataka page (dult.karnataka.gov.in). I read it again: its 'BMRCL' link points to https://kannada.bmrc.co.in/, so an official government page links to the domain. That page's 'Last Updated: 2026-10-09' stamp is for the DULT site, not for BMRCL's site.
Why no score: a 10 needs three things, and the sheet supports none of them. The site must open without error, and nothing in the Citation Sheet shows that it does. It must show dated content from the last 12 months; the only claim of 'continuously updated' is the company describing itself in FY 2020-21, about 5 years old, so it does not meet the 12-month test. The methodology also asks for a dated, point-in-time check with a screenshot or archive capture, and none was made.
Sources checked:
- BMRCL-01 and BMRCL-47: read.
- BMRCL-15, 18, 21, 31, 34 and 35: checked in Step 2; none has evidence about BMRCL's website.
- BMRCL-46: an amendment bill to the Greater Bengaluru governance law; not relevant to the website.
I agree with the Step 2 answer: existence is shown, but whether the site opens and is current cannot be checked.
For the reviewer:
- Open BMRCL's website and record the date of the check.
- Confirm which address is the main site: www.bmrc.co.in (named in the annual report) or kannada.bmrc.co.in (linked from DULT).
- Confirm it opens without error and has a dated notice, tender or circular from the last 12 months. If so, score 10.
- Save a screenshot or web-archive capture as the question requires.</t>
  </si>
  <si>
    <t xml:space="preserve">BMRDA official website, English home page (bmrda.karnataka.gov.in/english)</t>
  </si>
  <si>
    <t xml:space="preserve">Home page: 'Department Documents' &gt; 'Acts and Rules'; 'Notifications' &gt; 'CA Site Paper Notifications'; 'Latest News'; footer</t>
  </si>
  <si>
    <t xml:space="preserve">Department Documents list item: Rules, 2026; Latest News item 1: 'CA Site Paper Notification – 2 months ago'</t>
  </si>
  <si>
    <t xml:space="preserve">AI (medium confidence), from Step 2 answer (Answered — Verified Source) and BMRDA-02: I scored 10 because all three parts of the 10-point band are met in the saved copy of BMRDA-02, which I read again myself. (1) The site exists and is official. It is on a Karnataka government (*.gov.in) address. The footer says 'Content Owned and maintained by: Bengaluru Metropolitan Region Development Authority(BMRDA), Government of Karnataka' and 'Designed, Developed &amp; Hosted by: Centre for e-governance ... © 2026'. (2) It opens without error. The saved home page shows its full content: menus, the Introduction (which cites the BMRDA Act, 1985), the Metropolitan Commissioner's name, Services, Department Documents, RTI pages and Gallery. BMRDA-04 (Kannada home page), BMRDA-13 (Local Planning Areas) and BMRDA-01 (Contact Us) are other pages of the same site that also loaded. (3) Content was updated within the last 12 months. The page text includes the title 'The Karnataka Planning Authorities (Allotment of Civic Amenity Sites within the Bengaluru Metropolitan Region) Rules, 2026.' 'Latest News' shows 'CA Site Paper Notification – 2 months ago'. The newspaper notices for each local planning authority have file names dated 29 and 30 July 2026 (e.g. 'DH_Bengaluru _20260729', 'EPaper-Bangalore_30-07-2026', 'NIE Bengaluru 29-07-2026'). There is also a new 'Proposed Draft Mobility Plan' section covering 9 local planning authorities. The photo gallery has 'INDEPENDENCE DAY 2025'. With this rules version dated September 2026, this content falls inside the 12-month window. The Step 2 answer matches what the source says.
Caveats for the reviewer:
(a) The footer's 'Last Updated:' field is blank, so currency rests on the dated content. The July 2026 dates come from file names and a relative '2 months ago' label, not from a date printed on the page. The '2026' in the Rules title is explicit text.
(b) The Citation Sheet records no date of check and no screenshot or web-archive capture, both of which the question bank requires as evidence. A person should record the date of verification, take a dated screenshot or archive capture of https://bmrda.karnataka.gov.in/english, and open at least one CA site notice PDF to confirm the date printed in it. If the check is made after about July 2027, the 12-month test must be applied again.
(c) Some older items remain on the site (Citizen Charter 2020-21, RTI 4(1)(b) 2019-20, Annual Report 2023-24). They do not change the DPG 4 band.
Confidence is medium, not high, because currency rests on file-name dates and a relative label, not an explicit 'last updated' stamp, and the date of check is missing.
Quote: "The Karnataka Planning Authorities (Allotment of Civic Amenity Sites within the Bengaluru Metropolitan Region) Rules, 2026."</t>
  </si>
  <si>
    <t xml:space="preserve">ENTER A NUMBER 0 TO 1</t>
  </si>
  <si>
    <t xml:space="preserve">AI: left for a person. Step 2 found no evidence (Insufficient Evidence). Source needed: A dated capture of BWSSB's official website page (finance/budget/publications, or the RTI s.4(1)(b) disclosure) showing the Board's budget estimates for FY 2026-27 or FY 2025-26, with the file type recorded (XLS/CSV/structured HTML vs text PDF vs scanned PDF). Failing that, BWSSB's annual financial statement under s.17 of the BWSSB Act as laid before the Karnataka Legislature, if published on an official Karnataka legislature or Urban Development Department page.</t>
  </si>
  <si>
    <t xml:space="preserve">AI: left for a person. Step 2 found no evidence (Insufficient Evidence). Source needed: BMTC's official website section on finance, budget or RTI s.4(1)(b) proactive disclosure, fetched and saved with the date of access. It should show the BMTC budget, or the board-approved budget estimates, for FY2025-26 or FY2024-25, and the file type (XLSX/CSV/structured HTML vs text PDF vs scanned PDF). Other sources that would answer it: the Karnataka Transport Department or state budget documents showing BMTC's budget, or a BMTC annual report or budget tabled in the Karnataka Legislature that holds the budget estimates.</t>
  </si>
  <si>
    <t xml:space="preserve">AI: left for a person. Step 2 found no evidence (Insufficient Evidence). Source needed: Needed: BDA's approved budget estimate for FY 2026-27 or FY 2025-26 (prepared under ss.42-44 of the BDA Act), as published on BDA's official website or a Karnataka government (.gov.in/.nic.in) portal. It should be saved with the date it was accessed and its actual file type (XLS/CSV/structured HTML vs text PDF vs scanned PDF), so both availability/currency and format can be assessed.</t>
  </si>
  <si>
    <t xml:space="preserve">AI: left for a person. Step 2 found no evidence (Insufficient Evidence). Source needed: Needed: (1) BMRCL's budget (Board-approved budget estimates, BE/RE) for FY 2025-26 or FY 2026-27, published online, e.g. on the finance or disclosure page of BMRCL's official website, or as a dated proactive disclosure under RTI s.4(1)(b) giving the budget allocated to each unit; (2) saved copies of the pages, with dates, showing the file format (XLS/CSV/structured HTML vs text or scanned PDF). As a fallback, the Karnataka Urban Development Department's budget or demand-for-grants documents for those years with a line item for BMRCL would show what the state allocates to BMRCL, but they are not BMRCL's own budget.</t>
  </si>
  <si>
    <t xml:space="preserve">AI: left for a person. Step 2 found no evidence (Insufficient Evidence). Source needed: A saved, dated copy of BMRDA's 'Budget' page on its official website, with the latest budget document it links to. That copy must show the FY covered (FY 2025-26 or 2026-27 for credit) and the file type (spreadsheet/CSV/structured HTML vs text PDF vs scanned PDF). If BMRDA does not publish its budget, a tabled budget estimate on a Karnataka government (.gov.in) page would also answer it, for example from the Urban Development Department or the Legislature's papers-laid pages.</t>
  </si>
  <si>
    <t xml:space="preserve">AI: left for a person. Step 2 found no evidence (Insufficient Evidence). Source needed: Needed: BWSSB's official website pages (Finance/Accounts/Annual Report section) showing its audited annual accounts for FY2024-25, or FY2023-24 if the one-FY lag applies, with the file type (XLSX/CSV/structured HTML vs text PDF vs scanned PDF) and a dated access record. Alternatively, BWSSB audited accounts and audit report laid before the Karnataka Legislature under BWSS Act s.25(5)(a) and published on an official Karnataka (.gov.in / .nic.in) portal. Also useful: any BWSSB regulations or Rules under s.25(5)(b) / s.87(2)(f) that set how accounts are published.</t>
  </si>
  <si>
    <t xml:space="preserve">AI: left for a person. Step 2 found no evidence (Insufficient Evidence). Source needed: Any one of these: BMTC's official website page for annual reports or financial statements, showing its audited accounts (balance sheet, profit and loss, auditor's/CAG comments) for FY 2023-24 or FY 2024-25, with the file type; the Karnataka Legislature papers-laid record of BMTC's annual report and audited accounts; or the CAG/AG Karnataka audit report on BMTC's accounts. A dated screenshot or archived copy with the access date is needed for each.</t>
  </si>
  <si>
    <t xml:space="preserve">AI: left for a person. Step 2 found no evidence (Human Verification Required). Source needed: Any of these would decide the availability part: (a) BDA's official website page for annual accounts or finance, with any audited accounts for FY 2023-24, 2024-25 or 2025-26; (b) Karnataka Legislative Council and Assembly lists of papers laid after the 139th session showing later BDA audited accounts; (c) the CAG's Separate Audit Reports on BDA after FY 2016-17. The format part needs the actual file type of the latest audited accounts (XLS/CSV/structured HTML vs PDF). The 'prescribed manner' of publication under BDA Act s.47(5) is in the BDA Rules, which are not in the Citation Sheet.</t>
  </si>
  <si>
    <t xml:space="preserve">Financial Statements (Annual Report 2020-21)</t>
  </si>
  <si>
    <t xml:space="preserve">Balance Sheet, Statement of Profit and Loss, Cash Flow Statement; Independent Auditor's Report; C&amp;AG comments under s.143(6)(b) Companies Act 2013</t>
  </si>
  <si>
    <t xml:space="preserve">PDF pages 83-89 (balance sheet to cash flow); auditor's report dated 24-08-2021; C&amp;AG letter dated 22 October 2021 (page 78)</t>
  </si>
  <si>
    <t xml:space="preserve">83</t>
  </si>
  <si>
    <t xml:space="preserve">AI (low confidence), from Step 2 answer (Partially Answered) and BMRCL-01: I left the score blank. Neither half of the rubric can be decided from the Citation Sheet.
(1) Whether current accounts are online (0.5). The newest audited accounts in the sheet are for FY 2020-21: year ended 31 March 2021, auditor's report dated 24-08-2021, C&amp;AG comments dated 22-10-2021, Board's reply dated 09-11-2021. They appear in BMRCL-01, the Annual Report 2020-21 laid before the Karnataka Legislative Council (kla.kar.nic.in). For a September 2026 assessment, the window is FY 2025-26, or FY 2024-25 with the one-year lag. FY 2020-21 is well outside it and cannot earn the 0.5. A 0 would need proof that nothing newer is online. The sheet does not include:
- BMRCL's own website, which the Board's Report names as www.bmrc.co.in, or its annual-reports or financials pages;
- the stock-exchange financial results filed under SEBI LODR Reg. 52, which the Board's Report mentions;
- MCA filings;
- any papers laid in the legislature after FY 2020-21.
I searched the sheet for later accounts (FY 2023-25) and found nothing. The other sources in the sheet are BMRCL-15, -18, -21, -31, -34, -35, -46 and -47. Going by their titles and the Step 2 review, none of them contains BMRCL's accounts. So newer accounts are 'not found', not proven absent. VERIFICATION-LIMIT: the agency's own website could not be checked.
(2) Format (0.5). The only copy seen is a PDF. Its text can be extracted, but the table text comes out broken and spaced oddly (for example 'Audit or's R eport' and '567 54.51'). That points to 0 for format. However, I could not check whether BMRCL publishes a structured XLS, CSV or HTML version, so this half is undetermined too.
Evidence field (latest year found): FY 2020-21.
For a human reviewer:
(a) Check bmrc.co.in, after confirming it is BMRCL's official domain through a link from a .gov.in page, for audited accounts for FY 2024-25 and FY 2025-26, and note the file type.
(b) Check stock-exchange and MCA disclosures.
(c) Decide whether accounts on the legislature's website count as 'publicly available online'.
(d) Take dated screenshots, as the Notes for scorers require.
Quote: "Balance Sheet As at 31st March 2021"
"Score" left blank: the Citation Sheet doesn't decide it.</t>
  </si>
  <si>
    <t xml:space="preserve">AI: left for a person. Step 2 found no evidence (Insufficient Evidence). Source needed: (1) A saved copy of BMRDA's 'Budget and Annual Reports' page and the documents it links, especially the latest annual report or audited statement of accounts. This would show whether the auditor's report and financial statements are included, which FY they cover (2025-26, or 2024-25 under the one-FY lag), and the file format (XLS/CSV/structured HTML vs. text or scanned PDF). (2) The BMRDA Rules setting out how and when audited accounts are published under s.16(3). (3) Karnataka Legislature papers-laid records, or the State Audit / CAG audit report on BMRDA's accounts, showing the latest audited FY. Record the FY of the latest audited accounts found, even if the score turns out to be 0.</t>
  </si>
  <si>
    <t xml:space="preserve">AI: left for a person. Step 2 found no evidence (Insufficient Evidence). Source needed: Needed: the latest BWSSB annual report (FY 2025-26, or the latest one due) from BWSSB's official website, saved with a date of access and its file type recorded (text-searchable vs scanned PDF). Alternatively, the Karnataka Legislature's papers-laid listing, or the Karnataka eGazette entry, for the BWSSB annual report under s.86 of the BWSSB Act 1964, with a copy that can be downloaded. Also useful: the BWSSB Rules setting the form and due date of the annual report (s.87(2)(g)), to decide which report is 'latest due'.</t>
  </si>
  <si>
    <t xml:space="preserve">AI: left for a person. Step 2 found no evidence (Insufficient Evidence). Source needed: Needed: a saved copy of BMTC's official website section that lists annual reports or annual administration reports (for example a 'Reports' or 'Publications' page on mybmtc.karnataka.gov.in, or its sitemap), together with the latest annual report file itself, ideally for FY 2024-25 or 2025-26. That would settle both currency and format (text-searchable PDF or scanned). Alternatively, the Karnataka Legislature papers-laid pages showing BMTC annual reports tabled, with downloadable copies.</t>
  </si>
  <si>
    <t xml:space="preserve">AI: left for a person. Step 2 found no evidence (Insufficient Evidence). Source needed: Needed: a dated, saved copy of BDA's official website annual report or publications page showing its latest annual report (FY 2025-26, or FY 2024-25 if that is the latest due), with the file type recorded (searchable PDF, HTML or scanned image). Also useful: Karnataka Legislature papers-laid lists from recent sessions showing BDA annual reports with a working link to the document on a .gov.in or .nic.in site.</t>
  </si>
  <si>
    <t xml:space="preserve">CAG covering letter (Comments under Section 143(6)(b), Companies Act, 2013)</t>
  </si>
  <si>
    <t xml:space="preserve">Letter No. DGCA/A/c/Desk/2020-21/BMRCL/1.59/212 dated 22 October 2021, para 4</t>
  </si>
  <si>
    <t xml:space="preserve">Annual Report FY 2020-21, page 76 (PDF page 78)</t>
  </si>
  <si>
    <t xml:space="preserve">78</t>
  </si>
  <si>
    <t xml:space="preserve">AI (low confidence), from Step 2 answer (Partially Answered) and BMRCL-01: I left the Score blank. It needs a reviewer to check BMRCL's own website, which the Citation Sheet does not cover (VERIFICATION-LIMIT).
What the sheet shows: the most recent BMRCL annual report anywhere in the Citation Sheet is for FY 2020-21 (BMRCL-01). It is a PDF laid before the Karnataka Legislative Council, hosted on kla.kar.nic.in. It contains:
- the AGM notice dated 09-11-2021
- the Board's Report
- the Secretarial Audit dated 14-07-2021
- the statutory auditor's report dated 24-08-2021
- the CAG comments dated 22-10-2021
- the audited financial statements for the year ended 31 March 2021
Currency (worth 0.5): the question is assessed as of September 2026. The report needed is for the immediately preceding year, FY 2025-26, or the latest report due, probably FY 2024-25. FY 2020-21 is well outside that window. I still cannot give 0 for currency, because absence is not shown. BMRCL's own website (annual reports / investor pages) is not in the Citation Sheet, and neither are later papers laid before the Karnataka legislature. A search of the sheet for later reports found nothing beyond BMRCL-01. None of the other sources (BMRCL-15, -18, -21, -31, -34, -35, -46, -47) is an annual report: they are Acts, policies, a bill, an EIA and an index page. The Board's Report (p.40) says the annual return is placed at www.bmrc.co.in. That is the annual return under Companies Act s.92(3), not the annual report, so it is not evidence either way.
Format (worth 0.5): the FY 2020-21 PDF has extractable, searchable text and can be downloaded, so it meets the format standard. But the format of the current or latest-due report is unknown. Since the Score is one combined number and the currency part is undetermined, I did not enter a partial score.
Recorded per the methodology: latest information found is FY 2020-21 (Apr 2020 to Mar 2021). Documents in it are dated up to 09-11-2021.
For the reviewer:
1. Check BMRCL's official website and Karnataka papers-laid pages for the FY 2021-22 to FY 2025-26 annual reports, and capture dated screenshots as the scorer notes require.
2. Confirm whether a report hosted on the state legislature site counts as 'publicly available online' for BMRCL.
3. BMRCL's eligibility as a parastatal (it is a company) is still pending team confirmation.
If the reviewer finds no current report: currency scores 0, and format can only score 0.5 if the team decides format is judged on the latest report found. That would give a total of 0.5 on the FY 2020-21 report. If a current text-searchable report is found, the score would be 1.
Quote: "4. Ten copies of the Annual Report for the year 2020-21 may please be furnished in due course."
"Score" left blank: the Citation Sheet doesn't decide it.</t>
  </si>
  <si>
    <t xml:space="preserve">BMRDA official website, English home page, 'Department Documents' menu</t>
  </si>
  <si>
    <t xml:space="preserve">Budget and Annual Reports &gt; Annual Report link</t>
  </si>
  <si>
    <t xml:space="preserve">Annual Report link (file '2023-24 Anual Report.pdf')</t>
  </si>
  <si>
    <t xml:space="preserve">AI (low confidence), from Step 2 answer (Partially Answered) and BMRDA-02: Score left blank. The Citation Sheet doesn't settle either half (availability/currency 0.5 or format 0.5). Checked: BMRDA-02 (English home page) and BMRDA-04 (Kannada home page). Both link to an 'Annual Report' PDF whose file name says '2023-24 Anual Report.pdf', from the menu item 'Budget and Annual Reports' (/40/budget-and-annual-reports/en). A search of the whole Citation Sheet for newer annual reports (2024-25, 2025-26) found nothing. BMRDA-01 (Contact Us page) has only the same menu. BMRDA-11 (KTCP Act s.68D) and BMRDA-13 cover reports by Local Planning Authorities, not BMRDA's own. (1) Currency: the year 2023-24 comes only from the file name. The PDF itself and the 'Budget and Annual Reports' page, which may list newer years, are not in the Citation Sheet and were not read. Dates on the site (uploads of July 2026 notices, the '© 2026' footer) suggest the immediately preceding FY is 2025-26, so a 2023-24 report would probably be out of date. But the sheet has no due date under the BMRDA Act 1985 or its Rules, and no confirmation that nothing newer exists. A 0 needs proof of absence, so I can't give one. (2) Format: the PDF was not opened, so I can't tell whether it is searchable text or a scanned image. VERIFICATION-LIMIT. A reviewer should: open the /40/budget-and-annual-reports/en page and the annual report PDF; record the latest FY actually covered; check whether the PDF is searchable text or scanned; take dated screenshots, as the question bank asks; and confirm which report counts as the latest one due. If 2023-24 is the latest report and it is out of date, currency = 0. Format then gets 0.5 if the PDF is searchable text, 0 if it is scanned.
Quote: "[https://bmrda.karnataka.gov.in/40/budget-and-annual-reports/en] Budget and Annual Reports [https://bmrda.karnataka.gov.in/storage/pdf-files/2023-24 Anual Report.pdf] Annual Report"
"Score" left blank: the Citation Sheet doesn't decide it.</t>
  </si>
  <si>
    <t xml:space="preserve">AI: left for a person. Step 2 found no evidence (Insufficient Evidence). Source needed: Saved copies, with access dates, of BWSSB's official website pages that publish governing board minutes or proceedings: a 'Board meetings/Proceedings' page or the RTI Act s.4(1)(b) proactive-disclosure page. They must show at least one set of minutes dated in FY 2025-26 or FY 2026-27, and record the file format (searchable PDF/HTML/DOC versus scanned image). If BWSSB does not publish them, an RTI reply from the BWSSB PIO would confirm that, but it would not make the minutes count as published online.</t>
  </si>
  <si>
    <t xml:space="preserve">AI: left for a person. Step 2 found no evidence (Insufficient Evidence). Source needed: BMTC's own website section holding Board of Directors meeting minutes or proceedings (or its RTI s.4(1)(b) proactive-disclosure page listing board decisions), with dated minutes from FY 2025-26 or FY 2026-27. Each document should be opened to record its file type (searchable PDF/HTML/DOC versus scanned image). A BMTC annual report tabled in the Karnataka legislature that lists board meetings could add context but would not replace published minutes.</t>
  </si>
  <si>
    <t xml:space="preserve">AI: left for a person. Step 2 found no evidence (Insufficient Evidence). Source needed: BDA's official website page (or a state-government page) that publishes the minutes or proceedings of Authority/board meetings, with dates. We need at least one set from FY 2025-26 or FY 2026-27, a saved copy of the document so its format can be checked (searchable PDF/HTML/DOC vs scanned image), and a dated screenshot. BDA's RTI s.4(1)(b) proactive disclosure page may also list board proceedings.</t>
  </si>
  <si>
    <t xml:space="preserve">AI: left for a person. Step 2 found no evidence (Insufficient Evidence). Source needed: Saved, dated copies of BMRCL's official website pages where Board minutes or decisions would be published (Board of Directors / disclosures / RTI Act s.4(1)(b) proactive disclosure pages), showing any minutes from FY 2025-26 or FY 2026-27 and their file type (searchable PDF/HTML/DOC versus scanned). Alternatively, a BMRCL statement or RTI reply confirming whether Board minutes are published online.</t>
  </si>
  <si>
    <t xml:space="preserve">AI: left for a person. Step 2 found no evidence (Insufficient Evidence). Source needed: Any of these, saved and dated: BMRDA's minutes or proceedings of Authority / Executive Committee meetings from FY 2025-26 or FY 2026-27 on bmrda.karnataka.gov.in; or the full sitemap and RTI s.4(1)(b) disclosure PDFs, read through to show whether proceedings are published or not. If they are not published, the minutes can be obtained from BMRDA's PIO.</t>
  </si>
  <si>
    <t xml:space="preserve">AI: left for a person. Step 2 found no evidence (Insufficient Evidence). Source needed: A dated saved copy of BWSSB's official website pages showing its current organisational structure, from FY2025-26 or FY2026-27. Examples: an organisation chart, an officers'/staff directory with designations and contacts, or the RTI Act s.4(1)(b) proactive disclosure (manual) listing posts and officers. The copy should record the file format (HTML, searchable PDF, image-only, or XLS/CSV) and the date of access.</t>
  </si>
  <si>
    <t xml:space="preserve">AI: left for a person. Step 2 found no evidence (Insufficient Evidence). Source needed: Pages from BMTC's official website (mybmtc.karnataka.gov.in) showing its current organisational structure, each saved with the date of access: (a) an organisation chart (note whether it is searchable PDF/HTML or image-only); (b) an officers/staff directory with posts and officials; (c) the RTI Act Section 4(1)(b) proactive-disclosure manual (organisation, functions, duties; directory of officers and employees), with its date or FY of update. Or: BMTC's latest annual report listing sanctioned and working posts, if published on an official site.</t>
  </si>
  <si>
    <t xml:space="preserve">AI: left for a person. Step 2 found no evidence (Insufficient Evidence). Source needed: A dated, saved copy of BDA's official website page (with an access date) showing its current organisational structure: an organisation chart, an officers/staff directory with designations, or a list of sanctioned and working posts (HTML, searchable PDF or XLS/CSV). Alternatively, BDA's latest RTI Act s.4(1)(b) proactive-disclosure manual listing officers and employees, dated within the current or preceding FY. Note the file type (HTML/searchable PDF/scanned/image) for the format part of the rubric.</t>
  </si>
  <si>
    <t xml:space="preserve">AI: left for a person. Step 2 found no evidence (Insufficient Evidence). Source needed: A dated saved copy of BMRCL's own web page showing its current structure: an organisation chart, an officers/staff directory, or the RTI Section 4(1)(b) disclosures (organisation, functions, officers' directory, staff numbers) updated in FY 2025-26 or FY 2026-27. Note its format (HTML, searchable PDF, XLS/CSV, or image/scanned). A recent BMRCL Annual Report (FY 2024-25 or FY 2025-26) giving manpower and Board composition would also help with currency.</t>
  </si>
  <si>
    <t xml:space="preserve">BMRDA official website</t>
  </si>
  <si>
    <t xml:space="preserve">Contact Us page (staff directory table: Name / Designation / Office Number)</t>
  </si>
  <si>
    <t xml:space="preserve">AI (low confidence), from Step 2 answer (Partially Answered) and BMRDA-01: Score left blank because the currency half cannot be decided from the Citation Sheet. This does not mean the score is 0.
(1) Minimum format/accessibility: met (0.5). BMRDA-01 is BMRDA's official Contact Us page on bmrda.karnataka.gov.in. It is a searchable HTML staff directory showing posts, the officials holding them and posts marked 'Vacant'. The posts run from Metropolitan Commissioner through Metropolitan Planner and Director, Additional and Joint Metropolitan Commissioner, Joint Directors, Deputy and Assistant Directors and Accounts Officer, down to Account Superintendant. That meets the 'HTML organisation/staff directory with identifiable posts/officials' standard.
(2) Availability and currency: cannot be decided. The directory has no date, and the footer field 'Last Updated:' is blank. BMRDA-02 (home page) names the same Metropolitan Commissioner, and the site shows 2025 activity ('INDEPENDENCE DAY 2025', 'republic day 26/01/2025', '© 2026'). That shows the website is maintained, but not that the directory itself was updated in FY 2025-26 or FY 2024-25. No dated appointment or posting order for current officers is in the Citation Sheet. I searched for this and found none. The linked organisation-chart PDF (ORGNenglish.pdf) and the RTI 4(1)(b) PDF (whose file name says 2019-20) are not captured, so their date and format are unknown.
Since currency is undecided, the total cannot be computed. The only possible totals are 0.5 (if not current) or 1.0 (if current), and I won't guess between them. Latest information found: the directory is undated; the surrounding site shows activity in 2025 and a © 2026 notice.
For a human reviewer: (a) take a dated screenshot of the Contact Us page, as the Notes for scorers require; (b) check the current Metropolitan Commissioner, Additional Metropolitan Commissioner and Metropolitan Planner against a dated Karnataka government posting order; (c) open ORGNenglish.pdf and record its date and whether it is searchable or image-only. If the directory is confirmed current, the score is 1.0; if not, 0.5.
Quote: "Sri. Rajendra P Cholan
Metropolitan Commissioner
080-22255493"
"Score" left blank: the Citation Sheet doesn't decide it.</t>
  </si>
  <si>
    <t xml:space="preserve">AI: left for a person. Step 2 found no evidence (Insufficient Evidence). Source needed: A dated, saved copy of BWSSB's own official website pages (projects or ongoing-works page, project dashboard or list in HTML/XLS/CSV, and any searchable plan PDF such as a current water-supply/sewerage master plan, Stage V/VI project pages or the latest annual report) showing content for FY 2025-26 or FY 2026-27, with the date of access. The site must also be shown to be official via a link from a .gov.in page (KarnatakaOne links to www.bwssb.org).</t>
  </si>
  <si>
    <t xml:space="preserve">AI: left for a person. Step 2 found no evidence (Insufficient Evidence). Source needed: Saved copies of the BMTC website's projects or plans section (e.g. a project list or dashboard, a fleet-induction or e-bus project status page, a depot/TTMC works page), plus any BMTC plan document for FY 2025-26 or FY 2026-27 (e.g. an Annual Implementation Plan under BMLTA Act s.25, an annual plan or budget with a capital works list, or the latest annual administration report). Each needs a date of access and its file type recorded (text PDF, scanned PDF, HTML table, XLS/CSV).</t>
  </si>
  <si>
    <t xml:space="preserve">AI: left for a person. Step 2 found no evidence (Insufficient Evidence). Source needed: A dated, saved copy of BDA's official website pages, with the domain shown to be official through a link from a .gov.in/.nic.in page. Needed: (a) the major-plans page (e.g. the current Revised Master Plan or development-scheme documents), recording whether they are text-searchable or scanned PDFs and their date; (b) the ongoing-projects page, dashboard or list (HTML table / XLS / CSV vs images), with dates in FY 2025-26 or FY 2026-27. Each needs a dated screenshot or archived URL.</t>
  </si>
  <si>
    <t xml:space="preserve">Board's Report</t>
  </si>
  <si>
    <t xml:space="preserve">Physical progress as on August 2021 &amp; Status of implementation of Phase-2</t>
  </si>
  <si>
    <t xml:space="preserve">Annual Report 2020-21, PDF page 26 (printed page 24); see also Phase-2A/2B financial progress on PDF page 37 (printed page 35)</t>
  </si>
  <si>
    <t xml:space="preserve">AI (low confidence), from Step 2 answer (Partially Answered) and BMRCL-01: I left the score blank because the Citation Sheet can't settle either component. I agree with Step 2's 'Undetermined'.
**Latest information found:** FY 2020-21. Physical progress runs to August 2021 and financial progress to 31.03.2021. It comes from BMRCL-01, the Annual Report 2020-21 laid before the Karnataka Legislative Council. It is not on BMRCL's own website.
**Currency (0.5):** The rubric window is FY 2026-27 or FY 2025-26, so the latest information found is too old. But none of BMRCL's own web pages are in the Citation Sheet: no project-status page, ongoing-works page, Phase-2A/2B/3 page, plan or recent annual report. BMRCL-01 (Board's Report, item 7, Company's Website) says its official website, www.bmrc.co.in, carries 'new project, project status, contracts…'. That site was never captured or read. So I can't establish affirmative absence, and a 0 for currency is not justified (VERIFICATION-LIMIT).
**Format (0.5):** BMRCL-01 has extractable text. However, it is an outdated annual report hosted by a third party, not a current plan or project dashboard. I can't assess the format of BMRCL's current online material.
**Other sources checked:**
- BMRCL-21 (EIA for Line 6, Phase II, from the EIB register) is a lender safeguard document. It is not hosted by BMRCL, has no date in the excerpts read, and is not current project status.
- BMRCL-15, BMRCL-18, BMRCL-31, BMRCL-34, BMRCL-35 and BMRCL-46 are laws, bills and policies. They set mandates but don't show anything was published.
- BMRCL-47 is DULT's index page.
- A search of the whole sheet for current or Phase-3 project status found nothing newer than FY 2020-21.
**Reviewer action:** Open BMRCL's official website and capture dated screenshots of:
1. the project/ongoing-works pages (Phase-2A/2B/3);
2. any plan documents;
3. the latest annual report.
Then record the FY of the latest information and check the format: a searchable PDF, an HTML dashboard or table, or XLS/CSV. That is the evidence the question bank asks for. BMRCL-01 also predates the Greater Bengaluru Governance Act (BBMP era), so treat it as historical only.
Quote: "The Physical progress of Phase-2 upto August, 2021 was 58%. The construction of Phase-2 is under progress in all the Reaches."
"Score" left blank: the Citation Sheet doesn't decide it.</t>
  </si>
  <si>
    <t xml:space="preserve">Official BMRDA English homepage, 'Department Documents' section</t>
  </si>
  <si>
    <t xml:space="preserve">Notifications &gt; Proposed Draft Mobility Plan (links for 9 Local Planning Authorities); also 'GBIT BROCHURE', 'Structure Plan', 'Reports'</t>
  </si>
  <si>
    <t xml:space="preserve">AI: left for a person. Step 2 found no evidence (Insufficient Evidence). Source needed: Saved, dated copies of: (1) BMRDA's current major plan documents as published on bmrda.karnataka.gov.in (Structure Plan 'Reports' PDF, the LPA 'Proposed Draft Mobility Plan' PDFs, the Land Utilization Plan 2031 and Transport Networks 2031 pages), with their dates and a check that the text is searchable rather than scanned; (2) any BMRDA page, table or downloadable list of ongoing projects (e.g. GBIT or regional infrastructure projects), or the FY 2025-26 / 2026-27 annual report or budget listing ongoing projects; (3) dated screenshots of each.</t>
  </si>
  <si>
    <t xml:space="preserve">AI: left for a person. Step 2 found no evidence (Insufficient Evidence). Source needed: Needed: BWSSB's own official web pages (or an official .gov.in / .nic.in page) carrying FY 2025-26 or FY 2026-27 performance information, such as an SLB report (water coverage, per-capita supply, NRW, metering, cost recovery, sewerage coverage, complaint redress), a BWSSB annual report or administration report, or a performance dashboard. Each should be saved with its access date and its file format recorded (XLSX/CSV/structured HTML vs text PDF vs scanned PDF). A state SLB gazette or MoHUA SLB publication for Bengaluru would also help.</t>
  </si>
  <si>
    <t xml:space="preserve">AI: left for a person. Step 2 found no evidence (Insufficient Evidence). Source needed: Needed: BMTC's own current publications, with access dates. Specifically: the latest Annual Administration Report or Annual Report (FY 2024-25 or 2025-26) on the BMTC website or tabled in the Karnataka Legislature; any operational-statistics, MIS or performance page or dashboard (fleet, effective km, ridership, EPKM/CPKM, cancellations, punctuality), with its file format (XLS/CSV/HTML table vs PDF or scanned); and any open-data listing (e.g. on a Government of India or Karnataka open-data portal) of BMTC performance datasets. A dated screenshot of each page type is also needed.</t>
  </si>
  <si>
    <t xml:space="preserve">AI: left for a person. Step 2 found no evidence (Insufficient Evidence). Source needed: Needed: (a) BDA's official website (domain shown to be official from a gov.in or nic.in page) and any performance, service-level, MIS or dashboard page or annual report for FY 2025-26 or 2026-27, with the date accessed and the file format recorded; (b) recent BDA annual reports or accounts tabled in the Karnataka Legislature (papers-laid pages for recent sessions), with the readable report text; (c) any Sakala or open-data portal listing BDA service performance statistics in CSV/XLS or downloadable form.</t>
  </si>
  <si>
    <t xml:space="preserve">AI: left for a person. Step 2 found no evidence (Insufficient Evidence). Source needed: BMRCL's official website pages for FY 2025-26 or 2026-27, saved with access dates. These would be ridership and operating statistics pages, any service-level benchmark or KPI dashboard (punctuality, train availability, trips run), and the Annual Report for FY 2024-25 or 2025-26. For the format part, we would need any CSV/XLS/ODS downloads or structured HTML tables of that data. The current-FY BMRCL annual report tabled in the Karnataka Legislature would also show what is published.</t>
  </si>
  <si>
    <t xml:space="preserve">BMRDA official website, English home page</t>
  </si>
  <si>
    <t xml:space="preserve">Department Documents &gt; Budget and Annual Reports</t>
  </si>
  <si>
    <t xml:space="preserve">Annual Report link (file name '2023-24 Anual Report.pdf')</t>
  </si>
  <si>
    <t xml:space="preserve">AI: left for a person. Step 2 found no evidence (Insufficient Evidence). Source needed: Saved, dated copies of four things: (a) BMRDA's 'Budget and Annual Reports' page and Budget page, to show whether a 2024-25 or 2025-26 annual or performance report is published; (b) the 2023-24 Annual Report PDF itself, to check whether it holds performance or service-level information and whether it is text, scanned or structured data; (c) any BMRDA service-level or performance dashboard or data file, for example service delivery statistics for change of land use and layout approvals, in CSV/XLSX or as an HTML table; (d) a current Citizen Charter with service time limits.</t>
  </si>
  <si>
    <t xml:space="preserve">AI: left for a person. Step 2 found no evidence (Insufficient Evidence). Source needed: BWSSB's current Citizen/Consumer Charter as published on BWSSB's official website (or a Government of Karnataka .gov.in page), fetched and saved with an access date, with the document type recorded (HTML / searchable PDF / scanned PDF) and its date or version. The Sakala service-guarantee schedule entries for BWSSB services would add supporting context.</t>
  </si>
  <si>
    <t xml:space="preserve">AI: left for a person. Step 2 found no evidence (Insufficient Evidence). Source needed: Needed: a saved, dated copy of BMTC's Citizen or Service Charter, either as a page or a downloadable file on BMTC's official website, with its date of issue or the period it covers. A saved copy is needed to judge the format: a searchable page or text PDF versus a scanned image. Alternatively, a saved copy of the Karnataka Sakala service-guarantee schedule listing BMTC services, if the team counts that as a Charter. Failing that, a full saved copy of the BMTC website's menus and downloads pages, to support a finding that no Charter is published.</t>
  </si>
  <si>
    <t xml:space="preserve">AI: left for a person. Step 2 found no evidence (Insufficient Evidence). Source needed: BDA's currently applicable Citizen/Service Charter as published on its official website (a webpage or downloadable document), with its date or version and its file type: HTML, searchable PDF or scanned PDF. Also a dated screenshot or archived URL with the access date. As a supporting source, the Karnataka Sakala service-guarantee schedule entries for BDA services.</t>
  </si>
  <si>
    <t xml:space="preserve">AI: left for a person. Step 2 found no evidence (Insufficient Evidence). Source needed: A dated, saved copy of the BMRCL Citizen or Service Charter as currently published on BMRCL's official website (or on a Karnataka government .gov.in or .nic.in page, e.g. Sakala listing BMRCL services). It should show the charter's date or version, that it is still in force, and its file type (HTML, searchable PDF or scanned image), plus the access date.</t>
  </si>
  <si>
    <t xml:space="preserve">Website home page, INTRODUCTION menu</t>
  </si>
  <si>
    <t xml:space="preserve">Link labelled 'Citizen Charter'</t>
  </si>
  <si>
    <t xml:space="preserve">PDF named 'CITIZEN CHARTER-2020-21 eng.pdf' (the Kannada home page, BMRDA-04, links to 'CITIZEN CHARTER-2020-21 ka.pdf')</t>
  </si>
  <si>
    <t xml:space="preserve">AI (low confidence), from Step 2 answer (Partially Answered) and BMRDA-02: I left the score blank because of a VERIFICATION-LIMIT. BMRDA's official home page (BMRDA-02, bmrda.karnataka.gov.in) links to a Citizen Charter PDF in its INTRODUCTION menu. The Kannada home page (BMRDA-04) links to a matching Kannada PDF. The charter itself was never fetched into the Citation Sheet. I searched the sheet for 'Citizen Charter services time limit'. It turned up only the home-page menus and unrelated parts of the 2031 structure plan draft (BMRDA-05). No source in the sheet contains the charter text.
Why neither half can be scored:
(1) Availability and currency (0.5): a link exists, but no source shows that the document opens, that it is a citizen or service charter, or that it is still in force. The only date is '2020-21' in the filename, and a filename is metadata. Latest date found: FY 2020-21, from the filename only.
(2) Format (0.5): no source shows whether the PDF is searchable text or a scanned image.
A 0 is not allowed: a link to a charter exists, so absence is not shown, and a page that could not be opened is a verification limit, not a negative finding. I agree with the Step 2 answer.
For the reviewer: open both charter PDFs from the BMRDA home page and check (a) the document opens and is a charter, (b) its date and whether it is still in force, and (c) whether you can select or search its text. Capture dated screenshots, as the notes for scorers require.
Quote: "[https://bmrda.karnataka.gov.in/storage/pdf-files/CITIZEN CHARTER-2020-21 eng.pdf] Citizen Charter"
"Score" left blank: the Citation Sheet doesn't decide it.</t>
  </si>
  <si>
    <t xml:space="preserve">AI: left for a person. Step 2 found no evidence (Insufficient Evidence). Source needed: Saved copies of these, with the date each was opened: (1) BWSSB's RTI page, or its proactive disclosure document under RTI Act s.4(1)(b), naming the current PIOs, APIOs and First Appellate Authorities, with their addresses, phone numbers and emails, plus the procedure and fee for filing a request. (2) A record of the format, i.e. an HTML page or searchable PDF vs an image or scanned PDF. (3) Any proof that the named office-holders are current, for example cross-checked against recent transfer or posting orders. A Karnataka government RTI portal listing BWSSB's PIOs would also count.</t>
  </si>
  <si>
    <t xml:space="preserve">AI: left for a person. Step 2 found no evidence (Human Verification Required). Source needed: Saved, dated copies of three things: (a) BMTC's RTI webpage; (b) the 'List of PIO-APIO-AA' document on BMTC's official site, showing PIO/APIO/Appellate Authority names, designations and contact details, its date, and whether it is a searchable text PDF/HTML or a scanned image; (c) the Karnataka RTI Online portal's public-authority list or PIO/FAA details page showing BMTC. A reviewer should also check that the named office-holders are still in post (for example against recent BMTC transfer or posting orders).</t>
  </si>
  <si>
    <t xml:space="preserve">AI: left for a person. Step 2 found no evidence (Insufficient Evidence). Source needed: BDA's current RTI page or Section 4(1)(b) proactive disclosure from its official website (or an official Karnataka government page), listing the current PIO/APIO and appellate authority names, designations and contacts, and how to file a request and pay the fee. Record the date of access and the file type (HTML page, searchable PDF, or scanned/image-only) for each document.</t>
  </si>
  <si>
    <t xml:space="preserve">AI: left for a person. Step 2 found no evidence (Insufficient Evidence). Source needed: A dated saved copy of BMRCL's official website RTI page, or its RTI/Section 4(1)(b) disclosure document. It should list the current PIO(s), APIO(s) and First Appellate Authority with names, designations and contact details, plus the RTI application procedure (fee, mode, address). It should also show its file type (HTML or searchable PDF vs scanned or image-only) and the date it was accessed. The website must be shown to be BMRCL's official domain, e.g. by a link from a .gov.in/.nic.in page.</t>
  </si>
  <si>
    <t xml:space="preserve">BMRDA official website – English home page (top menu and News and Events)</t>
  </si>
  <si>
    <t xml:space="preserve">RTI menu links (Right To Information, Online R T I, RTI 4(1) A, RTI 4(1) B, RTI 26 (3) (B)) and the news item 'RTI ONLINE SERVICES ARE AVAILABLE FOR BMRDA'</t>
  </si>
  <si>
    <t xml:space="preserve">AI: left for a person. Step 2 found no evidence (Insufficient Evidence). Source needed: Saved, dated copies of: (a) BMRDA's 'Right To Information' web page; (b) the current RTI Act s.4(1)(b) disclosure (English and Kannada PDFs), which normally lists the PIO, APIO and Appellate Authority with contacts and the procedure and fee for applying; (c) BMRDA's entry on the Karnataka online RTI portal. For each, record whether it is HTML, a searchable PDF or a scanned/image PDF, and whether the named officers match current office-holders (for example against the Contact Us page or a recent order).</t>
  </si>
  <si>
    <t xml:space="preserve">AI: left for a person. Step 2 found no evidence (Insufficient Evidence). Source needed: Two things would answer this. (1) A dated saved copy or screenshot of BWSSB's official tenders/procurement web page, showing tender notices and awarded contracts with their dates (current FY 2026-27 or FY 2025-26). (2) The Karnataka Public Procurement Portal (state e-procurement) listing filtered for BWSSB, showing published tenders and award/contract details, with the format recorded (searchable table, HTML register, CSV/XLSX, or individual or scanned PDFs).</t>
  </si>
  <si>
    <t xml:space="preserve">AI: left for a person. Step 2 found no evidence (Insufficient Evidence). Source needed: Three things are needed: (1) BMTC's official tenders page (and any awarded-contracts or work-order page), saved with the access date, showing the dates of the latest tenders and awards; (2) a filtered listing of BMTC tenders and awards from the Karnataka state public-procurement (e-procurement) portal, showing whether it is a searchable table or downloadable dataset, or only individual PDFs; (3) dated screenshots of each.</t>
  </si>
  <si>
    <t xml:space="preserve">AI: left for a person. Step 2 found no evidence (Insufficient Evidence). Source needed: Two kinds of saved, dated copy are needed. First, BDA's own official website section for tenders, notices or awarded contracts. Second, the Karnataka state e-procurement portal's search results filtered to BDA. Both should show tender notices and award details dated in the current or preceding FY. They should also record the format of the listing: a searchable HTML table or register, a CSV or XLS download, or individual or scanned PDFs. Each needs a dated screenshot or archived copy and the date of access.</t>
  </si>
  <si>
    <t xml:space="preserve">AI: left for a person. Step 2 found no evidence (Insufficient Evidence). Source needed: Dated, saved copies (with access date) of: BMRCL's own tender-notice page and its contract-award or awarded-tenders page, and BMRCL's listings on the Karnataka public e-procurement portal. These would show the latest tender and award dates (FY 2025-26 or 2026-27) and the format: a searchable table or HTML register or CSV/XLS download, versus individual or scanned PDFs.</t>
  </si>
  <si>
    <t xml:space="preserve">AI: left for a person. Step 2 found no evidence (Insufficient Evidence). Source needed: Any of these would answer it: (1) a dated capture of the Karnataka Public Procurement (e-procurement) portal search results for BMRDA as the tendering department, showing tenders or awards from the current or previous FY and whether it is a searchable table; (2) a BMRDA tenders or contract-awards page, if one exists, with the dates of its notices and its file format; (3) the full text of the BMRDA Notifications and Circulars sub-pages and the 2023-24 Annual Report, to check for tender or award notices.</t>
  </si>
  <si>
    <t xml:space="preserve">Chapter IV (Water Supply), applied to Chapter V (Sewers and Sewerage) by Section 82(2)</t>
  </si>
  <si>
    <t xml:space="preserve">Section 59(7)</t>
  </si>
  <si>
    <t xml:space="preserve">Section 59(7)(c), read with Section 82(2)</t>
  </si>
  <si>
    <t xml:space="preserve">AI: left for a person. Step 2 found no evidence (Insufficient Evidence). Source needed: Any one of these would answer the question: (a) the Road Transport Corporations Act, 1950 and any Karnataka rules under it as applied to BMTC, checked for a passenger-grievance provision; (b) BMTC's Citizen's Charter or service charter, if one has been published, showing complaint channels and timelines; (c) the Karnataka Sakala (Guarantee of Services to Citizens) Act schedule or notification, if it lists BMTC services with time limits and appeals; (d) any BMTC board resolution or state government order setting up the complaint system (crm.mybmtc.com) or a public grievance officer.</t>
  </si>
  <si>
    <t xml:space="preserve">Chapter VIII (Miscellaneous)</t>
  </si>
  <si>
    <t xml:space="preserve">Section 62A (Appeal against assessment etc.), inserted by Act 6 of 1993; read with Sections 63, 17(5), 18(1), 70 and 71</t>
  </si>
  <si>
    <t xml:space="preserve">s.62A(1), s.62A(3)</t>
  </si>
  <si>
    <t xml:space="preserve">50</t>
  </si>
  <si>
    <t xml:space="preserve">AI (low confidence), from Step 2 answer (Partially Answered) and BDA-02: I left the score blank. It can't be 5 or 0 on this Citation Sheet.
Why not 5: the Step 2 answer is supported by the source. I re-read BDA-02, the PRS consolidated copy as amended up to Karnataka Act 42 of 2026. Nothing in it requires BDA to provide a general grievance-redressal mechanism. The only candidate is s.62A, an appeal against BDA property-tax assessments under s.28B. Two things count against it:
(a) It covers tax assessments only.
(b) The appeal goes to an Appellate Authority that the Government names by notification ('appeal to such authority as the Government may, by notification, specify'). BDA does not provide it.
Other provisions don't qualify either:
- s.63 (Revision) is a discretionary power of the Government ('may call for the records').
- s.17(5) and s.18(1) are show-cause and representation steps for individual development schemes.
- s.33 is a show-cause notice before demolition.
- The matters listed for regulations (s.70(1)(f)-(g)) and bye-laws (s.71(1)(a)-(c)) include no grievance matter.
None of these is a grievance-redressal mandate on BDA. If the team decides that a single-issue statutory appeal meets the 'any channel' test, the score could become 5 at medium confidence. That needs a team ruling.
Why not 0: a 0 needs affirmative absence, and these layers are not in the Citation Sheet:
- BDA Rules under s.69
- Regulations actually made under s.70
- bye-laws actually made under s.71
- any BDA citizen or service charter
- the schedule of BDA services under the Karnataka Guarantee of Services to Citizens Act (Sakala)
- any Government Order setting up a BDA grievance cell
What else I checked:
- BDA-11 (GBA Act 2024): s.96(c) lets a city-government constituency committee receive grievances about 'any authority empowered under this Act'. That is a duty of the city government's committees, not of BDA, so I gave it no credit.
- BDA-03 (Karnataka Town and Country Planning Act): no grievance provision found in the passages read.
- BDA-37 (papers-laid list) and BDA-38 (2016-17 accounts) are not legal instruments for this question.
- search_citation_sheet for 'grievance complaint redressal Bangalore Development Authority' found nothing new.
For the team: source BDA-02 is a PRS copy, which is secondary. Please confirm against the official Karnataka gazette text. Then add the BDA citizen charter, the Sakala schedule for BDA and the BDA Regulations so this can be scored.
Quote: "Any person aggrieved by the assessment, levy  or imposition of any tax  under section  28B may, within a period  of one month  next after service of notice of demand, appeal to such authority  as the Government may, by notification, specify"
"Score" left blank: the Citation Sheet doesn't decide it.</t>
  </si>
  <si>
    <t xml:space="preserve">AI: left for a person. Step 2 found no evidence (Insufficient Evidence). Source needed: Any of these would decide the question: a BMRCL citizen or passenger charter; the Karnataka Sakala Services Act schedule or notification listing BMRCL services with time limits and redress; Rules or regulations under the Metro Railways (O&amp;M) Act, 2002 that apply to Bengaluru, together with the notification extending the Act to Bengaluru; BMRCL's Memorandum and Articles of Association; any GoK or MoHUA order requiring metro operators to maintain a public grievance-redressal system.</t>
  </si>
  <si>
    <t xml:space="preserve">Chapter III (powers and functions of the Authority; s.10 is just before Chapter IV, Finance, Accounts and Audit)</t>
  </si>
  <si>
    <t xml:space="preserve">Section 10(5); see also Section 26(3)</t>
  </si>
  <si>
    <t xml:space="preserve">s.10(5): appeal to the State Government against BMRDA's decision on development permission under s.10(4)</t>
  </si>
  <si>
    <t xml:space="preserve">11</t>
  </si>
  <si>
    <t xml:space="preserve">AI: left for a person. Step 2 found no evidence (Insufficient Evidence). Source needed: To answer this, the sheet needs: (a) the text of BMRDA's Citizen Charter (the 2020-21 English PDF linked from the official BMRDA site, or a later version), to see whether it names a grievance channel or officer; (b) the BMRDA Rules made under s.29 and any Regulations made under s.30 of the 1985 Act, from the DPAL portal or the eGazette; (c) the Karnataka Sakala (Guarantee of Services to Citizens) Act and its schedule of notified services, to see whether any BMRDA service (for example change of land use) is listed with a redress or appeal path; (d) an official (DPAL or gazette) copy of the BMRDA Act to replace the non-official host.</t>
  </si>
  <si>
    <t xml:space="preserve">AI: left for a person. Step 2 found no evidence (Insufficient Evidence). Source needed: A current saved copy of BWSSB's official website showing: (a) an online complaint form or grievance portal that works (or a link to a state grievance portal, with that portal's BWSSB page); (b) a designated grievance email, WhatsApp number or mobile app, with its official app-store listing; (c) the grievance helpline/call-centre number, explicitly marked as taking complaints; (d) a Citizen/Service Charter or office order naming where complaints can be made in person (helpdesk, service station or designated officer); (e) a screenshot of a complaint acknowledgement/reference number or a status-tracking page. Each item needs a dated screenshot.</t>
  </si>
  <si>
    <t xml:space="preserve">BMTC Contact Us page (mybmtc.karnataka.gov.in/page/Contact+Us/en), contact block and site menu</t>
  </si>
  <si>
    <t xml:space="preserve">Contact address block ('Helpline Number: 080 22483777'); menu entries 'Complaints', 'New Complaint' (crm.mybmtc.com), 'Public Grievance Dashboard' (crm.mybmtc.com/All_module)</t>
  </si>
  <si>
    <t xml:space="preserve">AI (low confidence), from Step 2 answer (Partially Answered) and BMTC-44: I left the Score blank. Only 1 of the 5 components (1 point each) has supporting evidence. The other 4 are undetermined, not shown to be absent. Entering 1 would wrongly score those 4 as 0. Each component:
(1) Web channel, undetermined. BMTC-44 and BMTC-46 are pages on BMTC's official site (karnataka.gov.in, 'Last Updated: 30-09-2026'). Their menus link to 'Complaints' (https://mybmtc.karnataka.gov.in/10/complaints/en), 'New Complaint' (http://crm.mybmtc.com) and 'Public Grievance Dashboard' (http://crm.mybmtc.com/All_module). None of these target pages is saved in the Citation Sheet. The methodology needs a live URL and a dated screenshot showing that a complaint can be submitted. A link alone does not show the feature works. VERIFICATION-LIMIT.
(2) Mobile/electronic channel, undetermined. No source names a BMTC app, grievance email, WhatsApp number or other notified channel. The 'e-mail login' link (outlook.office365.com/owa/mybmtc.com) is staff webmail, not a citizen channel. The Complaints page, which may list these channels, is not in the sheet, so absence is not shown.
(3) Telephone channel, likely met. BMTC-44 lists 'Helpline Number: 080 22483777' in the head-office contact block. It is labelled a helpline, not a switchboard, but the page does not say it takes grievances. A reviewer should confirm before awarding the point.
(4) In-person channel, undetermined. The only physical detail is the head-office address (K H Road, Shanthinagar, Bangalore - 560027). No source names a grievance counter, helpdesk or designated grievance officer. An address alone does not meet the qualification.
(5) Acknowledgement/tracking, undetermined. The 5th component is labelled 'in-person' in the question bank, but I applied its stated qualification, which is about acknowledgement and tracking. A 'Public Grievance Dashboard' link exists, but no saved page shows complaint reference numbers or status tracking. Please confirm this reading of the label.
What I checked: BMTC-44 (full Contact Us page), BMTC-46 (Rules and Regulations page, same menu, nothing more on grievances), BMTC-13 (KarnatakaOne page; its 'Grievance' link and helpdesk 080-42474411 and onehelpdesk@karnataka.gov.in belong to KarnatakaOne, not BMTC, so they don't count), and BMTC-41 (RTI Online, which handles information requests, not grievances). BMTC-23, BMTC-25 and BMTC-36 are laws or resources pages with nothing on BMTC grievance channels. I also searched the whole sheet for complaint, helpline, app, WhatsApp, email and tracking terms and found nothing more. The Step 2 answer matches the sources.
To score this, a reviewer needs dated screenshots of: mybmtc.karnataka.gov.in/10/complaints/en, the crm.mybmtc.com complaint form and the acknowledgement it returns, the Public Grievance Dashboard, any BMTC app store listing or grievance email/WhatsApp notice, and the Citizen's Charter or a grievance-officer order for the in-person channel. Then add up the points for the components confirmed (0-5).
Quote: "Helpline Number: 080 22483777"
"Score" left blank: the Citation Sheet doesn't decide it.</t>
  </si>
  <si>
    <t xml:space="preserve">AI: left for a person. Step 2 found no evidence (Insufficient Evidence). Source needed: Dated saved copies of BDA's official website showing: (a) an online grievance form, or a link to an integrated state grievance portal plus that portal's page; (b) a designated grievance email, WhatsApp number or mobile app, with an app-store listing; (c) a dedicated grievance helpline number; (d) a Citizen/Service Charter, office notice or order naming an in-person grievance counter or officer; (e) a portal screen showing a complaint/reference number and status tracking.</t>
  </si>
  <si>
    <t xml:space="preserve">AI: left for a person. Step 2 found no evidence (Insufficient Evidence). Source needed: Pages from BMRCL's official website (bmrc.co.in), saved with dates, that show: (a) an online grievance form or a link to a state/central grievance portal; (b) a designated grievance e-mail, app or WhatsApp channel, with its app-store listing; (c) a passenger helpline or complaint number named as such; (d) a citizen charter or office notice naming the station or office where a grievance can be lodged in person; (e) a complaint reference number or status-tracking facility. A recent BMRCL annual report describing its passenger grievance system would also help as background.</t>
  </si>
  <si>
    <t xml:space="preserve">AI: left for a person. Step 2 found no evidence (Insufficient Evidence). Source needed: Saved, dated copies of: (a) BMRDA's Feedback page, showing whether a form accepts grievances and gives a reference number; (b) BMRDA's current Citizen Charter, or an office order naming a grievance officer, helpdesk or helpline; (c) any notice that BMRDA uses a state grievance portal (e.g. IPGRS/Janaspandana/CPGRAMS/Sakala), with BMRDA listed as a department and a tracking page; (d) any official notice of a grievance email, WhatsApp channel or app.</t>
  </si>
  <si>
    <t xml:space="preserve">Chapter II (Board, Consultative Committee and general duties)</t>
  </si>
  <si>
    <t xml:space="preserve">Section 15(2)(b)-(c) and proviso; Section 14</t>
  </si>
  <si>
    <t xml:space="preserve">s.15(2)(b), s.15(2)(c), proviso to s.15(2); s.14(1) and s.14(4)(i)</t>
  </si>
  <si>
    <t xml:space="preserve">13</t>
  </si>
  <si>
    <t xml:space="preserve">Chapter V (Preparation of policies and Comprehensive Mobility Plan); Chapter VI (Sectoral and City Mobility Investment Program and Annual Implementation Plan)</t>
  </si>
  <si>
    <t xml:space="preserve">BMLTA Act, 2022 (Karnataka Act 6 of 2023), s.21(3), read with ss.21(2)(l), 23, 24(b), (c), (e) and 25(1)-(2)</t>
  </si>
  <si>
    <t xml:space="preserve">s.21(3) draft plan and objections/suggestions; s.24(e) City Mobility Investment Program 'shall be part of the Comprehensive Mobility Plan'</t>
  </si>
  <si>
    <t xml:space="preserve">AI (low confidence), from Step 2 answer (Partially Answered) and BMTC-23: I left the score blank. The Citation Sheet does not contain BMTC's own parent law, so I can't pick a band. Missing: the Road Transport Corporations Act, 1950 and any Karnataka rules under it. Without that law I can neither rule out the 5 band (a direct duty on BMTC) nor confirm 2.5.
What I checked:
(1) BMLTA Act (BMTC-23, PRS copy, as enacted and gazetted 12.01.2023, with Amendment Act 10 of 2026 appended). PRS says its copies are not authoritative. Era: current/GBA-era law.
- s.21(3) is mandatory: 'shall cause to publish a draft plan'. It requires a notice 'inviting objections and suggestions from any person' with a deadline of up to two months, and the plan is finalised after considering them. The hearing step is discretionary ('adequate opportunity, as deemed appropriate').
- This duty falls on the Authority (BMLTA), not on BMTC. It applies to the Comprehensive Mobility Plan and its revisions (s.23).
- BMTC is an Urban Transport Agency (s.2(ff); the Schedule lists bus systems). Its Sectoral Mobility Investment Program 'shall be prepared in consultation with the Authority' (s.24(b)). That is consultation between agencies, not with citizens. BMLTA then folds the program into the City Mobility Investment Program, which 'shall be part of the Comprehensive Mobility Plan' (s.24(c), (e); s.21(2)(l)).
- BMTC's Annual Implementation Plan (s.25) is reviewed and approved by BMLTA. The Act gives it no public step.
- s.20(1) requires BMLTA's policies (not plans) to be placed in the public domain for feedback.
- So under this Act, public participation reaches BMTC's investment programming only indirectly, through BMLTA's plan and at BMLTA's stage. That fits the 2.5 band ('applies only to specified plan types/stages'). The Step 2 answer gives the same candidate band, and I checked it against the source text.
(2) KTCP Act s.10 (BMTC-25), as summarised in Step 2: the public-suggestions duty applies to Planning Authorities' Master Plans, not to BMTC.
(3) BMTC-46 (BMTC 'Rules And Regulations' web page): the text I could read showed only navigation and policy boilerplate, with no legal provision on plans.
(4) A sheet-wide search for the Road Transport Corporations Act found no text of it.
Also missing: BMLTA regulations under s.54(1)(viii), which set the form of the draft-plan notice, and the Greater Bengaluru Governance Act, 2024 (the city government's law).
For the reviewer: 2.5 is the minimum the BMLTA Act supports, and 0 is not supportable. Read the RTC Act, 1950 and the Karnataka rules under it to check for a direct duty on BMTC. If there is none, 2.5 is the likely score. Also decide whether indirect coverage, through BMLTA's Comprehensive Mobility Plan, should count for BMTC's plans.
Quote: "Before finalizing any plan as under this Act, the Authority shall cause to pu blish a draft plan by making a copy thereof available for inspection and publis"
"Score" left blank: the Citation Sheet doesn't decide it.</t>
  </si>
  <si>
    <t xml:space="preserve">BMLTA Act 2022, s.21(3), read with s.21(2)(l), s.23, s.24(b), (c), (e) and s.25</t>
  </si>
  <si>
    <t xml:space="preserve">s.21(3) draft plan published for objections and suggestions (maximum two months); s.24(c) Sectoral Mobility Investment Programs (SMIPs) built into the City Mobility Investment Program (CMIP); s.24(e) CMIP is part of the CMP</t>
  </si>
  <si>
    <t xml:space="preserve">AI (low confidence), from Step 2 answer (Partially Answered) and BMRCL-35: I gave 2.5 because the law makes citizen participation mandatory, but only at one stage of BMRCL's planning. Step 2 left the score blank; I checked its reading against the source and it holds.
What the law requires:
(1) BMRCL is an 'Urban Transport Agency' under s.2(ff), and 'Metro Railway' is in the Schedule. BMRCL must prepare a Sectoral Mobility Investment Program (SMIP).
(2) Under s.24(b), the SMIP is prepared 'in consultation with the Authority', meaning BMLTA. This is consultation with BMLTA only, with no public step.
(3) Under s.24(c) and s.21(2)(l), BMLTA folds the SMIPs into the City Mobility Investment Program (CMIP). Under s.24(e), the CMIP 'shall be part of the Comprehensive Mobility Plan' (CMP).
(4) Under s.21(3), before finalising 'any plan as under this Act', BMLTA 'shall' publish a draft, make it available for inspection and invite objections and suggestions from any person within a maximum of two months. It must consider them before finalising. Under s.23, the CMP must be revised at least every five years, and s.21 applies to each revision.
Why 2.5 and not 5:
- The participation is mandatory ('shall'). But the duty falls on BMLTA, and BMRCL's sectoral programme reaches the public only as part of BMLTA's CMP/CMIP.
- BMRCL's Annual Implementation Plan (s.25) is approved by BMLTA with no citizen step written into the Act.
- That matches the rubric's 2.5 band: participation 'applies only to specified plan types/stages'. The methodology also says to count requirements that apply to 'all authorities preparing the relevant category of plan'.
Other sources checked (from Step 2 and the sheet), none of which adds a participation duty for BMRCL's plans:
- Metro Railways (Operation and Maintenance) Act 2002 (BMRCL-15): its rule-making powers (ss.100-101) cover operations, fares and security.
- KTCP Act s.10 (BMRCL-31): applies to Planning Authorities' Master Plans.
- GBG Act 2024 (BMRCL-34): covers the city government's own plans.
- Metro Rail Policy 2017 (BMRCL-18) and Annual Report 2020-21 (BMRCL-01): nothing found on citizen participation.
For the reviewer to confirm:
(a) Does a public step on BMLTA's CMP/CMIP count as participation in 'the parastatal's plans'? If not, the score falls to blank, not 0, because affirmative absence cannot be shown.
(b) Several instruments are not in the Citation Sheet: the Metro Railways (Construction of Works) Act 1978, BMRCL's Memorandum and Articles of Association, BMLTA regulations under s.54, the text of Amendment Act 10 of 2026, and any Karnataka GO on preparing metro plans or detailed project reports (DPRs). Any of these could change the band.
(c) The BMLTA Act copy is a secondary PRS copy. It still names BBMP as the urban local body. The sheet does not show whether BMLTA has been constituted (this affects implementation, not the law score).
(d) Whether BMRCL, as a company, counts as a parastatal is still pending team confirmation.
Quote: "Before finalizing any plan as under this Act, the Authority shall cause to pu blish a draft plan by making a copy thereof available for inspection"</t>
  </si>
  <si>
    <t xml:space="preserve">Chapter 14 Environmental and Social Considerations</t>
  </si>
  <si>
    <t xml:space="preserve">p. 14-100 / PDF page ~135 of the JICA Phase 3 Final Report (NJS Consultants, November 2017)</t>
  </si>
  <si>
    <t xml:space="preserve">AI: left for a person. Step 2 found no evidence (Insufficient Evidence). Source needed: BWSSB's latest plan document (e.g. the current water supply/sewerage master plan or the CWSS Stage VI DPR) and any related public notices inviting objections or suggestions, public hearing or consultation proceedings or minutes, or consultation reports posted on BWSSB's official website, with dates showing they came before the plan was finalised.</t>
  </si>
  <si>
    <t xml:space="preserve">AI: left for a person. Step 2 found no evidence (Insufficient Evidence). Source needed: BMTC's latest plan document (for example a fleet, business or route plan, or its Sectoral Mobility Investment Program or Annual Implementation Plan under the BMLTA Act), together with any public notice inviting objections or suggestions, consultation reports, or minutes of public hearings or consultations published on BMTC's official website or a Government of Karnataka (.gov.in) site, dated within the period being assessed.</t>
  </si>
  <si>
    <t xml:space="preserve">G. Consultations, Participation and Information Disclosure</t>
  </si>
  <si>
    <t xml:space="preserve">Section G.1 Consultations, paras 220-225; Table 28 (p.62); Appendix 4 'Record of Public Consultations' (pp.104-105)</t>
  </si>
  <si>
    <t xml:space="preserve">Para 223</t>
  </si>
  <si>
    <t xml:space="preserve">66</t>
  </si>
  <si>
    <t xml:space="preserve">AI (low confidence), from Step 2 answer (Partially Answered) and BMRCL-21: I left the score blank on purpose. It is RUBRIC-GAP / not found, not a 0, and a person needs to score it.
(1) The question asks about the parastatal's 'latest applicable plan/planning exercise', checked on BMRCL's official website. The Citation Sheet has no BMRCL website pages and no current plan, such as a DPR for Phase 2A, Phase 3 or later work. It also has no consultation notices or minutes for any such plan. So I cannot tell what the latest applicable plan is.
(2) The only evidence of consultation in practice is BMRCL-21. This is the Line 6 (Gottigere–Nagavara) EIA, dated August 2017 and hosted on the EIB register. Several limits apply:
(a) It is a project safeguard report written for lenders (EIB/AIIB), not a BMRCL plan. Para 20 says it was 'prepared to fulfill policy requirements of EIB'.
(b) The consultation was mainly with Project Affected People. Para 222 says it was 'mostly involving PAPs', and Table 28 records '70 PAPs'. It was not an objections/suggestions process open to all citizens.
(c) The date is inconsistent: para 223 says 18 May 2017, Table 28 says 15 May 2017.
(d) Para 223 says the public notice, participant list and Q&amp;A are in Appendix 4. In the saved copy, Appendix 4 (pp.109-110 of the file) is blank or has no extractable text, so those records cannot be checked.
(e) The evidence is from 2017, so at best it is partial evidence of current practice.
If the team decides a 2017 project-level EIA counts as an applicable 'planning exercise', the 2.5 band (credible but not fully verifiable consultation, where only a reference in the final document exists) could fit. The 5 band is not met, because there is no verifiable official record on BMRCL's site. DPG 7b has no explicit 0 band, and I could not establish affirmative absence: the BMRCL website was not in the sheet, which is a VERIFICATION-LIMIT. That is why I left the score blank rather than entering 0.
What else I checked:
- BMRCL-01 (Annual Report FY2020-21): no record of consultation on a plan.
- BMRCL-15 (Metro Railways O&amp;M Act 2002), BMRCL-18 (Metro Rail Policy 2017), BMRCL-31 (KTCP Act), BMRCL-34 (GBA Act 2024) and BMRCL-46 (GBA Amendment Bill 2025): these are law and policy texts, not records of BMRCL practice.
- BMRCL-35 (BMLTA Act 2022): its objections/suggestions provision applies to BMLTA's draft plans, not to BMRCL.
- BMRCL-47 (DULT index): nothing relevant.
The question is labelled Law/Policy, but the methodology asks about practice, so I assessed practice.
For the team:
- Confirm whether the Line 6 EIA counts as a plan and whether PAP consultation counts as citizen consultation.
- Get a readable copy of Appendix 4.
- Fetch BMRCL's website or DPR consultation records for the latest phase.
Quote: "A formal public consultation session was held on 18 May 2017 at BMRCL Byappanahalli Training Institute, Bangalore to inform the people about project and discuss the resettlement policy framework."
"Score" left blank: the Citation Sheet doesn't decide it.</t>
  </si>
  <si>
    <t xml:space="preserve">Chapter 16 Financial and Economic Considerations, 16.1.1 Financial Capability of the BWSSB</t>
  </si>
  <si>
    <t xml:space="preserve">Table 16.1.1 Income and Expenditure Statement in FY2013-2015 (p.16-2, PDF page 181); income breakdown text at p.16-3 (PDF page 182)</t>
  </si>
  <si>
    <t xml:space="preserve">Rows A (Total Income) and B (Total Expenditure), unit 10 Million INR, source 'BWSSB Annual Accounts'</t>
  </si>
  <si>
    <t xml:space="preserve">181</t>
  </si>
  <si>
    <t xml:space="preserve">AI (low confidence), from Step 2 answer (Partially Answered) and BWSSB-23: I left the score blank because the Citation Sheet has no evidence for the current period. This is an Implementation question, and the scorer notes call for 'Annual budget of the last three financial years'. The only figures for BWSSB are in the JICA Phase 3 Final Report (Nov 2017, BWSSB-23). Its Table 16.1.1 reproduces BWSSB's audited Income and Expenditure Statement for FY2013, FY2014 and FY2015. These are probably 2012-13 to 2014-15, since the report calls FY2015 'FY2014-15' at p.16-12. Those years are about ten years old, so they are at most partial evidence of current practice.
I checked the Step 2 arithmetic against the source and it is correct. Total Income is 583, 741 and 1,141, and Total Expenditure is 781, 1155 and 1490, giving 74.65%, 64.16% and 76.58%. The 3-year mean is 71.80% (the Step 2 answer says 71.79%), which would be about 7.18/10 if the data were current. This is for reference only and is not proposed as a score.
The source supports treating that income as own revenue. On p.16-3, income is water revenue (water and sewerage charges, including new connections) plus other income, which is about 96% interest and 4% rent. No grants appear in income; grants appear only as balance-sheet liabilities. However, the denominator covers revenue-account expenditure only (O&amp;M, depreciation, accrued interest and provisions) and leaves out capital expenditure. On p.17 the report also says that in FY2015-16 current expenditure was about INR 16 bn against current revenue of about INR 12.2 bn, but it gives no full-budget totals.
What I checked: two searches of the whole Citation Sheet for recent budget, revenue and expenditure figures and for grants in the accounts. Neither found any BWSSB budget, annual financial statement or audited accounts after FY2015. Of the other sources, BWSSB-12 gives only an average cost per kL. BWSSB-29 is the Greater Bengaluru Governance Act and covers the city corporation's finances, not BWSSB's. The Step 2 answer also reviewed BWSSB-22, BWSSB-32 and BWSSB-28, and none of them had current figures.
The team needs to: (1) get BWSSB's budgets or audited I&amp;E statements for the last three completed financial years (e.g. FY2022-23 to FY2024-25), through RTI to the BWSSB PIO (Finance/Accounts) if needed, with own revenue shown separately from GoK grants and loans; (2) confirm whether 'total expenditure' means revenue-account expenditure or total budget expenditure including capital; (3) confirm whether a consultant report counts as acceptable evidence for SC-1.
Quote: "According to the Income and Expenditure Statement, the BWSSB has suffered deficits in these years. Table 16.1.1 shows a summary of the Income and Expenditure Statement for last three years."
"Score" left blank: the Citation Sheet doesn't decide it.</t>
  </si>
  <si>
    <t xml:space="preserve">AI: left for a person. Step 2 found no evidence (Insufficient Evidence). Source needed: BMTC's annual budgets and audited annual accounts or annual administration reports for the latest three completed FYs. They need to show revenue split into traffic/fare, non-traffic, government reimbursements or subsidies (e.g. student/concession and Shakti scheme reimbursements) and grants, plus total revenue and capital expenditure. Possible places: BMTC's own reports, papers laid before the Karnataka Legislature, or CAG/AG Karnataka audit reports.</t>
  </si>
  <si>
    <t xml:space="preserve">Separate Audit Report of the Accountant General on BDA Annual Accounts 2016-17 (Part C, Grants, p.86); Income and Expenditure Account for the year ended 31.03.2017 (p.118)</t>
  </si>
  <si>
    <t xml:space="preserve">Income &amp; Expenditure Account FY 2016-17 with FY 2015-16 comparatives; Schedules 13-15</t>
  </si>
  <si>
    <t xml:space="preserve">Total (A) income and Total (B) expenditure, Rs lakh</t>
  </si>
  <si>
    <t xml:space="preserve">86</t>
  </si>
  <si>
    <t xml:space="preserve">AI (low confidence), from Step 2 answer (Partially Answered) and BDA-38: I left the score blank because the evidence is too old. I re-read BDA-38 and the figures in the Step 2 answer are correct. Income &amp; Expenditure Account (p.118, Rs lakh): FY 2016-17 total income (A) = 93,389.56 (allotment of sites and flats 78,220.23 + taxes 3,427.29 + other income 11,742.04) against total expenditure (B) = 93,926.58, so 99.43%. FY 2015-16 (previous-year column) income = 52,282.97 against expenditure = 47,325.29, so 110.48%. The audit report (p.86) says no grant was received in 2016-17, and the income heads are all own-source. The two-year average is 104.95%, which would give 10 out of 10 (capped). That score is only indicative and I have not entered it, for four reasons. (1) This is an Implementation question, and the notes for scorers ask for the 'Annual budget of the last three financial years'. The Citation Sheet only has FY 2015-16 and FY 2016-17, which are about 9-10 years old, from the BBMP era, and historical. Old documents are at most partial evidence of current practice. (2) The FY 2015-16 figures are regrouped previous-year comparatives (Note 14, p.116). The statement that no grant was received covers 2016-17 only. (3) What counts as 'total expenditure' is unclear. The I&amp;E expenditure is accrual-based. Development cost is charged at preset rates: 95% of sale value for allotted sites, Rs 24,000/sqm for auction sites, and 90% for houses and flats (accounting policy, p.107). The Accountant General says these rates include profit and overheads (p.85). Capital work-in-progress and fixed-asset spending fall outside the I&amp;E account, so the ratio changes with the definition used. (4) I searched the Citation Sheet for recent BDA budgets or accounts and found none. BDA-37 (papers laid in the 139th Council session) lists no BDA accounts, and BDA-02, BDA-03 and BDA-11 are Acts with no figures. To score this, a person needs BDA's budgets or audited accounts for the last 3 years (e.g. FY 2022-23 to 2024-25), and needs to confirm which expenditure definition to use. A person should also confirm the official URL for BDA-38.
Quote: "C.  GRANTS 
The Authority did not receive any grant during the year."
"Score" left blank: the Citation Sheet doesn't decide it.</t>
  </si>
  <si>
    <t xml:space="preserve">AI: left for a person. Step 2 found no evidence (Insufficient Evidence). Source needed: Two things are needed. (1) BWSSB's audited annual accounts, or its budget showing actual capital expenditure, for the latest completed FY (FY2024-25 or FY2025-26), with the total capital spend on capital works and assets. Repayment of loan principal should be shown separately, not counted as capital expenditure. These could come from the BWSSB Board's budget book, the annual report tabled in the Karnataka Legislature, or the audit report under s.25 of the BWSSB Act. (2) A current official population figure for BWSSB's service area, from Census 2011 or an official projection, with its source cited. This needs to match the current boundaries under the Greater Bengaluru Authority (GBA).</t>
  </si>
  <si>
    <t xml:space="preserve">AI: left for a person. Step 2 found no evidence (Insufficient Evidence). Source needed: Two things are needed. (1) BMTC's capital expenditure for the latest completed FY, from its audited annual accounts or annual report (capital works and fleet purchases, e.g. additions to fixed assets) or its budget showing capital-account actuals. (2) The population of BMTC's service area from the Census 2011 or an official Government of Karnataka/GoI projection, with the area defined.</t>
  </si>
  <si>
    <t xml:space="preserve">AI: left for a person. Step 2 found no evidence (Insufficient Evidence). Source needed: Needed: (1) BDA's audited annual accounts for the latest completed FY (e.g. 2024-25), or its budget with actuals, showing capital expenditure for the year (gross additions to fixed assets and capital works, with a note on how development works are treated). (2) An official population figure for BDA's jurisdiction (the Bangalore Metropolitan Area as notified under the BDA Act): a Census 2011 count for the jurisdiction or a recent official state projection, with its source.</t>
  </si>
  <si>
    <t xml:space="preserve">Audited Financial Statements FY 2020-21: Statement of Cash Flow</t>
  </si>
  <si>
    <t xml:space="preserve">Cash flows from Investing Activities (report p.87, PDF page 89)</t>
  </si>
  <si>
    <t xml:space="preserve">Purchase of fixed assets, including CWIP and capital advances (Net), Rs in lakh, year ended 31 March 2021</t>
  </si>
  <si>
    <t xml:space="preserve">89</t>
  </si>
  <si>
    <t xml:space="preserve">AI (low confidence), from Step 2 answer (Partially Answered) and BMRCL-01: I left the score blank. There are five reasons.
(1) The rule needs a peer comparison. The Detailed Methodology says to report the per-capita figure as an absolute number and to score it only by percentile or decile rank against other assessed transport parastatals. The Citation Sheet has no figures for any peer parastatal, so I cannot rank BMRCL. This is a RUBRIC-GAP, and the absolute figure does not fall into any band on the 0-10 scale.
(2) The year is out of date. The rule asks for the latest completed financial year. The newest audited BMRCL accounts in the sheet are in BMRCL-01, the Annual Report for FY 2020-21. I searched the sheet for later annual reports or capital-spending figures (for example FY 2024-25) and found only BMRCL-01.
(3) The population figure is secondary and the area served is undefined. The only population figures are in BMRCL-21, an environmental impact report filed with the European Investment Bank for Line 6. It quotes the Census 2011 population of Bangalore district as 96,21,551, and 8.4 million for the city. This is not a primary Census or official projection. No source says which area BMRCL serves: the metro network, the Greater Bengaluru Authority area, the district, or the metropolitan region.
(4) The capital-spending figure is uncertain. The cash-flow line is a net number that includes capital advances. The CAG also commented on how the cash-flow statement is presented, and found capital work-in-progress overstated by Rs 294.49 crore.
(5) I checked Step 2's arithmetic against the source. The FY 2020-21 cash-flow line of Rs 4,65,409.46 lakh (about Rs 4,654 crore) matches BMRCL-01. Dividing it by the district population gives about Rs 4,837 per person; dividing by 8.4 million gives about Rs 5,541. These are for illustration only and should not be scored.
A person needs to:
(a) get BMRCL's audited accounts for the latest completed FY;
(b) confirm the area served and get an official Census figure or projection for it;
(c) choose the capital-spending measure: the cash-flow line, or additions to fixed assets plus capital work-in-progress;
(d) supply per-capita figures for the peer transport parastatals so a rank can be computed.
Quote: "Purchase of fixed assets, including CWIP and capital advances (Net) (465409.46) (631413.09)"
"Score" left blank: the Citation Sheet doesn't decide it.</t>
  </si>
  <si>
    <t xml:space="preserve">AI: left for a person. Step 2 found no evidence (Insufficient Evidence). Source needed: For at least 2 (ideally the latest 3) completed financial years: BWSSB's annual budget or annual financial statement under s.17 of the BWSS Act (budget estimates of total expenditure), and BWSSB's audited annual accounts or annual report (actual total expenditure) for the same years. Budget documents that show the budget estimate and the actuals side by side would also work, as would audit reports (CAG / State Accounts) that give both figures.</t>
  </si>
  <si>
    <t xml:space="preserve">AI: left for a person. Step 2 found no evidence (Insufficient Evidence). Source needed: Three things are needed for the same 2-5 recent completed FYs (preferably the latest 3), side by side: (1) BMTC's annual budget documents with budgeted total expenditure (BE, and RE if used), for example as approved by the BMTC Board or Government of Karnataka; (2) BMTC's audited annual accounts or annual administration reports, or a CAG/Accountant General audit report, with actual total expenditure; (3) any state legislature papers-laid copies of BMTC annual reports and accounts.</t>
  </si>
  <si>
    <t xml:space="preserve">AI: left for a person. Step 2 found no evidence (Insufficient Evidence). Source needed: Two things for the same 2–5 recent completed financial years (preferably the latest 3): (a) BDA's budget estimates as sanctioned by Government under BDA Act s.44, plus any supplementary estimates under s.45, giving budgeted total expenditure; and (b) BDA's audited annual accounts certified by the Accountant General, giving actual total expenditure. A budget document that shows prior-year actuals next to budget estimates would also work, and should be checked against the audited accounts.</t>
  </si>
  <si>
    <t xml:space="preserve">AI: left for a person. Step 2 found no evidence (Insufficient Evidence). Source needed: Two things for at least 2 (ideally 3) recent completed financial years for the same years: (1) BMRCL's approved annual budgets (Budget Estimates and/or Revised Estimates of expenditure, as approved by the Board or submitted to GoK/GoI), and (2) its audited annual accounts or annual reports. Possible sources are Karnataka budget papers or Urban Development Department demand documents showing allocations to BMRCL, or Board-approved budget statements.</t>
  </si>
  <si>
    <t xml:space="preserve">AI: left for a person. Step 2 found no evidence (Insufficient Evidence). Source needed: Two things are needed for at least 2 (ideally 3) completed FYs: BMRDA's budget estimates showing total budgeted expenditure, and its audited annual accounts or annual reports showing actual expenditure for the same years. The 'Budget' and 'Budget and Annual Reports' pages linked from BMRDA's official website, including the 2023-24 Annual Report, should be fetched and added to the Citation Sheet. If they don't give budget and actual figures side by side, the same figures may be in the annual reports tabled in the Karnataka Legislature, or in the State Government's audit reports on BMRDA.</t>
  </si>
  <si>
    <t xml:space="preserve">Chapter III – The Board's Finance, Accounts and Audit</t>
  </si>
  <si>
    <t xml:space="preserve">Section 17</t>
  </si>
  <si>
    <t xml:space="preserve">Sub-section (1)</t>
  </si>
  <si>
    <t xml:space="preserve">AI: left for a person. Step 2 found no evidence (Insufficient Evidence). Source needed: An official current, consolidated text of the Bangalore Water Supply and Sewerage Act, 1964 with all amendments to date, from the Karnataka legislation portal, the eGazette or PRS. Also any Rules made under s.87 and Regulations made under s.88 (especially on the form of the annual financial statement and on administering funds), and any Government Order requiring BWSSB to prepare a multi-year fiscal or business plan.</t>
  </si>
  <si>
    <t xml:space="preserve">Financial Brief on Bangalore Metropolitan Transport Corporation – Janaagraha [BMTC-22]</t>
  </si>
  <si>
    <t xml:space="preserve">Insight 5 (page 4)</t>
  </si>
  <si>
    <t xml:space="preserve">Discussion of the Road Transport Corporations Act, 1950 as BMTC's governing Act</t>
  </si>
  <si>
    <t xml:space="preserve">https://www.janaagraha.org/files/publications/Financial-Brief-on-BMTC.pdf</t>
  </si>
  <si>
    <t xml:space="preserve">AI: left for a person. Step 2 found no evidence (Insufficient Evidence). Source needed: The full official text of the Road Transport Corporations Act, 1950, current amended version (from India Code's Act PDF or the central or state law department), especially its financial provisions: financial programme, budget and capital expenditure. The text of the Karnataka State Road Transport Corporation Rules, 1961, which BMTC lists on its website. Any BMLTA regulations specifying the Sectoral Mobility Investment Program for Urban Transport Agencies. The State notification bringing the BMLTA Act into force.</t>
  </si>
  <si>
    <t xml:space="preserve">Chapter V (Property and Finance)</t>
  </si>
  <si>
    <t xml:space="preserve">Sections 42-46 (annual estimate, approval, Government sanction, supplementary estimates, expenditure); also ss.39-41, 69, 70</t>
  </si>
  <si>
    <t xml:space="preserve">s.42(1)</t>
  </si>
  <si>
    <t xml:space="preserve">43</t>
  </si>
  <si>
    <t xml:space="preserve">AI (low confidence), from Step 2 answer (Partially Answered) and BDA-02: I left the score blank because the evidence is not complete enough to give a 0 under the v2 affirmative-absence rule. The likely result is 0.
What I checked in the BDA Act, 1976 (BDA-02, PRS copy, amendments up to Act 42 of 2026):
- Budget sections. s.42(1) requires the Commissioner to lay an estimate of income and expenditure for the year starting the next 1 April. Under ss.43-44 the Authority approves it and the Government sanctions it. Under s.45 supplementary estimates 'may' be prepared during the year. Under s.46 no money can be spent unless it is in a sanctioned estimate.
- Borrowing and the Development Fund. s.39 lets BDA borrow with Government sanction 'subject to such conditions as may be prescribed'. ss.40-41 set out what goes into and comes out of the Bangalore Development Fund. Neither requires a multi-year plan.
- Rule-making. The topics listed for rules (s.69(2)(a)-(j)) and regulations (s.70(1)(a)-(g)) include nothing about a medium-term or long-term fiscal plan.
- s.27 (a scheme must be carried out within five years) is a deadline for development schemes, not a fiscal plan.
The Act therefore requires annual estimates only. It has no 3-5 year or longer fiscal plan.
Other laws in the Citation Sheet:
- The Town and Country Planning Act (BDA-03), s.68B, requires an annual budget only.
- The Greater Bengaluru Governance Act (BDA-11), ss.2(42), 187 and 189, requires a medium-term fiscal plan from the City Corporations, not from BDA. I did not credit it to BDA. Step 2 also points out that BDA-11 contradicts itself: the definition says five years, s.187 says three-year projections.
Why the score is blank:
- The Detailed Methodology tests only the 'enabling act', and on that test the evidence supports 0.
- But the v2 rules for law questions say to check every layer and to give a 0 only on affirmative absence. The BDA Rules (under s.69) and BDA Regulations (under s.70) are not in the Citation Sheet. s.39 also refers to 'prescribed' borrowing conditions, which would be in those Rules.
- The Act text is a PRS copy (secondary source), not an official consolidation.
CONFIRM: if the team confirms that SC-4a is scored on the enabling Act alone, enter Score = 0, resting on BDA-02 ss.42-46. Otherwise, collect the BDA Rules and Regulations and an official Act text, then score. The Step 2 answer matches the source.
Quote: "The 1[Commissioner]1 shall, at a special meeting to be held not later than the first day of February in each year, lay before the Authority an estimate of the income and  of the expenditure of the Authority for the year commencing on the first  day of April then next ensuing in such detail and form as the Authority shall, from time to time, direct."
"Score" left blank: the Citation Sheet doesn't decide it.</t>
  </si>
  <si>
    <t xml:space="preserve">Chapter VI – Sectoral and City Mobility Investment Program and Annual Implementation Plan (also Chapter I, s.2 Definitions)</t>
  </si>
  <si>
    <t xml:space="preserve">Section 24 (read with s.2(g), s.2(o), s.2(v) and s.25)</t>
  </si>
  <si>
    <t xml:space="preserve">s.24(d); s.2(g)</t>
  </si>
  <si>
    <t xml:space="preserve">AI (low confidence), from Step 2 answer (Partially Answered) and BMRCL-35: SCORE LEFT BLANK. I could not give 5, and I could not give 0. Why not 5: the method gives 5 only if the parastatal's own enabling act requires a fiscal plan with a defined horizon. Nothing in the Citation Sheet does this for BMRCL. Why not 0: a 0 needs proof of absence, and BMRCL's own constituting instruments are not in the Sheet. BMRCL is a company. The Annual Report 2020-21 (BMRCL-01) cites the Companies Act, 2013 and its Articles of Association. But the Sheet has no Memorandum or Articles, no GoK constitution order and no shareholder agreement. A search of the Sheet for 'Memorandum of Association Articles corporate plan' found only Annual Report pages that mention these, not their text. CORRECTION TO STEP 2: Step 2 said the BMLTA programme has 'no horizon in years'. That is not right. Two definitions in the BMLTA Act set horizons. First, s.2(g) defines the City Mobility Investment Program as 'a five-year (or such period as decided by the State Government) comprehensive investment program ... prepared by the Authority as provided in section 24'. Second, s.2(o) defines 'Medium Term' as 'up to five years or as specified by the Authority'. Under s.24(a)-(b), each urban transport agency, which would include BMRCL, prepares a Sectoral Mobility Investment Program in consultation with the Authority. Under s.25(1)(b), it 'shall' prepare a one-year Annual Implementation Plan with yearly spending estimates and funding sources. My view is that this still does not earn 5, for three reasons: (i) the BMLTA Act is a cross-cutting state law, not BMRCL's enabling act; (ii) the five-year horizon in s.2(g) attaches to the Authority's City Mobility Investment Program, and the Act sets no horizon for BMRCL's own sectoral programme; (iii) an investment programme for mobility projects is not clearly a fiscal plan for the agency. The team should confirm this. OTHER SOURCES CHECKED: The Metro Railways (O&amp;M) Act, 2002 (BMRCL-15; ss.12, 100 and 101, seen only in excerpts) has no fiscal-plan provision. The GBG Act 2024 (BMRCL-34), ss.2(42), 187 and 189, requires a medium-term fiscal plan only of the City Corporation, not BMRCL. Metro Rail Policy 2017 (BMRCL-18) is a GoI policy: its 30-year horizon is for project appraisal and is not a legal mandate on BMRCL. BMRCL-21, BMRCL-31 and BMRCL-46 are not relevant to this question. TEAM PLEASE CONFIRM: (a) Which instrument is BMRCL's 'enabling act': the Companies Act 2013 plus the Memorandum and Articles, or the Metro Railways (O&amp;M) Act 2002? (b) Can the cross-cutting BMLTA Act's s.2(g)/s.24 programme count as a fiscal plan with a defined horizon? (c) Please obtain BMRCL's Memorandum and Articles and any GoK order that constitutes BMRCL. The BMLTA text is the PRS copy, as enacted, notified in the Gazette on 12.01.2023. It shows an amendment appended (Act 10 of 2026) that I have not reviewed. Era: n/a.
Quote: "(d) The City Mobility Investment Program shall be for short to medium term planning horizon towards achieving the objects of Compreh ensive Mobility Plan; and"
"Score" left blank: the Citation Sheet doesn't decide it.</t>
  </si>
  <si>
    <t xml:space="preserve">Chapter IV (Finance)</t>
  </si>
  <si>
    <t xml:space="preserve">Section 12 (Budget); also Sections 11, 13-16 and Section 9(1)(ii),(vi)</t>
  </si>
  <si>
    <t xml:space="preserve">AI: left for a person. Step 2 found no evidence (Insufficient Evidence). Source needed: Pages fetched from BWSSB's official website (finance, budget, publications or reports sections), with a dated record of whether a medium- or long-term fiscal plan is posted. This could be a multi-year financial plan, corporate or business plan, or 3-5 year revenue and expenditure projections. If none is posted, the full list of website sections checked is needed to show affirmative absence.</t>
  </si>
  <si>
    <t xml:space="preserve">AI: left for a person. Step 2 found no evidence (Insufficient Evidence). Source needed: A dated check of BMTC's official website (its finance, budget, reports or publications sections) for any 3-5 year medium-term fiscal plan, business plan or corporate plan that BMTC itself published. If none is published there, a BMTC or Transport Department statement on whether such a plan exists would also help.</t>
  </si>
  <si>
    <t xml:space="preserve">AI: left for a person. Step 2 found no evidence (Insufficient Evidence). Source needed: A dated capture of BDA's own official website (its budget, finance or publications page) that shows whether a 3-5 year or longer fiscal plan is posted, or confirms after a full check that none is. A copy of any BDA multi-year fiscal or financial plan document hosted on BDA's domain would also answer it.</t>
  </si>
  <si>
    <t xml:space="preserve">AI: left for a person. Step 2 found no evidence (Insufficient Evidence). Source needed: The sections of BMRCL's own official website where a fiscal plan would appear (finance, corporate plan, publications or disclosures pages), fetched and dated, showing either a published medium- or long-term fiscal or business plan (e.g. a multi-year corporate plan or financial projections), or that none is published. Supporting documents could include a recent BMRCL annual report or Board document that refers to an approved multi-year corporate or financial plan.</t>
  </si>
  <si>
    <t xml:space="preserve">Menu items 'Budget and Annual Reports' and 'Budget' (https://bmrda.karnataka.gov.in/44/budget/en)</t>
  </si>
  <si>
    <t xml:space="preserve">AI: left for a person. Step 2 found no evidence (Insufficient Evidence). Source needed: The text of BMRDA's website 'Budget' and 'Budget and Annual Reports' pages, and any documents posted there. These would show whether BMRDA publishes a medium- or long-term fiscal plan, i.e. multi-year receipts and expenditure projections, or only annual budget estimates. Also helpful: BMRDA's sitemap page and the 2023-24 Annual Report, to confirm no fiscal plan is posted elsewhere on the site.</t>
  </si>
  <si>
    <t xml:space="preserve">Chapter II (Constitution of the Board)</t>
  </si>
  <si>
    <t xml:space="preserve">Section 4 (term of office); also Section 3(4), Section 6 and Section 87(2)(a)</t>
  </si>
  <si>
    <t xml:space="preserve">Section 4; Section 6(1)(e) and 6(5) cover removal</t>
  </si>
  <si>
    <t xml:space="preserve">AI: left for a person. Step 2 found no evidence (Insufficient Evidence). Source needed: Full text of the law BMTC is constituted under (current amended text), especially the provisions on the corporation's composition, appointment of the managing director/chief executive, term of office and removal. Also needed: the text of the KSRTC Rules, 1961 (or any rules applied to BMTC) on the MD's tenure and removal, the 1997 Government of Karnataka order/notification constituting BMTC, and any GO or appointment order fixing the MD's term.</t>
  </si>
  <si>
    <t xml:space="preserve">Section 12 (Appointment of Commissioner), read with ss.13(1), 3(3)(m), 5(1), 6 and 69(2)(c)</t>
  </si>
  <si>
    <t xml:space="preserve">s.12(1)-(3), substituted by Act 18 of 1981 w.e.f. 30-12-1980; s.12(3) amended by Act 22 of 2000</t>
  </si>
  <si>
    <t xml:space="preserve">23</t>
  </si>
  <si>
    <t xml:space="preserve">AI (low confidence), from Step 2 answer (Partially Answered) and BDA-02: I left the score blank. The Act does not set a minimum tenure for the Commissioner, but I could not check every layer of law the methodology asks for, so this is 'not found' rather than 0.
Who the executive authority is: s.13(1) says 'The Commissioner shall be the Chief Executive and Administrative Officer of the Authority', so the Commissioner is the post assessed here. The Chairman is not assessed.
Act layer (BDA-02, PRS consolidated copy, amended up to Act 42 of 2026; a secondary source, not the official gazette text). I read:
- s.12. The State Government appoints the Commissioner (s.12(1)). Salary and allowances are set by the State Government (s.12(2)), and so is leave (s.12(3)). The section says nothing on term, minimum tenure or removal.
- s.3(3)(m), which makes the Commissioner an ex-officio member of the Authority.
- s.5(1). The Chairman and other members hold office for three years 'Subject to the pleasure of the Government and the provisions of section 6'.
- s.6. Removal grounds for members, including clause (d): removal 'in the opinion of the Government' for abuse of position.
- s.69(2)(c), the rule-making power, which covers 'the conditions of service of the Chairman and other members of the Authority'.
- s.70(1)(f), the regulation-making power, which excludes officers in Government service lent to the Authority.
Even if the three-year term in s.5(1) applies to the ex-officio Commissioner (which is uncertain), it is held at the Government's pleasure. That is not a guaranteed minimum term with removal limited to defined grounds, so it fits neither the 10 band nor the 5 band. Nothing in the Act points towards 5 or 10.
Why I did not score 0: a 0 needs proof of absence in every layer. These are not in the Citation Sheet:
- the Rules made under s.69, which could cover conditions of service of members, including the ex-officio Commissioner;
- any BDA regulations;
- any Karnataka or all-India service rules on minimum posting tenure. The Commissioner is a Government officer, so these would apply.
Other sources checked:
- BDA-11 (Greater Bengaluru Governance Act) only names the BDA Commissioner as a member of the GBA Executive Committee. It says nothing on tenure.
- BDA-03 (KTCP Act) s.4H covers the Member-Secretary of planning authorities set up under s.4C, not BDA.
- BDA-37 and BDA-38 are not tenure law.
The Step 2 answer matches the source. To score this, a person needs to:
(a) get the BDA Rules made under s.69 and check whether they set a term for the Commissioner;
(b) check Karnataka or IAS minimum-tenure rules for posts of this kind;
(c) confirm whether s.5 applies to ex-officio members.
If none of these sets a tenure, the score would be 0.
Quote: "(1) The State  Government shall appoint an officer, not  below the rank of Divisional Commissioner, to be the Commissioner  for  the Authority. (2) The Commissioner shall receive such  monthly salary  and other allowances as the State Government may, from time to time determine."
"Score" left blank: the Citation Sheet doesn't decide it.</t>
  </si>
  <si>
    <t xml:space="preserve">Corporate Governance Report (Board's Report, BMRCL Annual Report 2020-21)</t>
  </si>
  <si>
    <t xml:space="preserve">Constitution of the Board</t>
  </si>
  <si>
    <t xml:space="preserve">Summary of the Articles of Association on rights to nominate and appoint the Chairman and the MD &amp; CEO (about pages 47-48 of the PDF)</t>
  </si>
  <si>
    <t xml:space="preserve">AI: left for a person. Step 2 found no evidence (Insufficient Evidence). Source needed: BMRCL's Articles of Association, especially the clauses on appointing, setting the term of and removing the Managing Director. The Companies Act, 2013 provisions on managing directors (s.196 and Schedule V) and the related Rules. Any GoI-GoK joint venture agreement or GoK/GoI order setting the MD's term. The current GoK order appointing the MD, showing the stated term (fixed period or 'until further orders') and the removal conditions.</t>
  </si>
  <si>
    <t xml:space="preserve">AI: left for a person. Step 2 found no evidence (Insufficient Evidence). Source needed: Official orders from the Karnataka Government (Urban Development Department or DPAR) or Karnataka Gazette notifications appointing or transferring the BWSSB Chairman (or any other officer confirmed as the executive head) over the last five years, with dates of joining and relieving. Each should say whether the officer held full, additional or acting charge. An official list of past Chairmen with dates on BWSSB's own site, or a BWSSB annual report naming the Chairman each year, would back these up. An official copy of the BWSSB Act and its Rules is also needed to confirm the post.</t>
  </si>
  <si>
    <t xml:space="preserve">AI: left for a person. Step 2 found no evidence (Insufficient Evidence). Source needed: Official Karnataka DPAR (IAS) posting and transfer orders or Karnataka Gazette notifications that name each person posted as BMTC's executive head (Managing Director) from about 2021 to 2026, with dates, and that separate acting or additional-charge arrangements. Alternatively, a dated list of past managing directors on BMTC's official website or in its annual administration reports. Also needed: the Road Transport Corporations Act, 1950 together with the GO that set up BMTC, to confirm which post is the executive head.</t>
  </si>
  <si>
    <t xml:space="preserve">AI: left for a person. Step 2 found no evidence (Insufficient Evidence). Source needed: Official Karnataka government orders (DPAR notifications or eGazette entries) appointing and transferring the Commissioner, BDA, from about Sept 2021 to date, with dates of taking and handing over charge and a note of any additional or acting charge. A dated list of past Commissioners on BDA's official website would also work, or an annual report from the period naming the Commissioners.</t>
  </si>
  <si>
    <t xml:space="preserve">Board's Report – General Information</t>
  </si>
  <si>
    <t xml:space="preserve">Appointment of Managing Director and Director after the end of the Financial year 31.03.2021</t>
  </si>
  <si>
    <t xml:space="preserve">Annual Report 2020-21, report p.37 (PDF page 39); Organizational set-up, same page; directors list p.4</t>
  </si>
  <si>
    <t xml:space="preserve">39</t>
  </si>
  <si>
    <t xml:space="preserve">AI (low confidence), from Step 2 answer (Partially Answered) and BMRCL-01: Score left blank because the sheet doesn't cover most of the five-year window. This is not a 0.
Who counts as chief executive: BMRCL-01 says 'The Managing Dir ector is the Chie f Executive Officer of the Company'. The chairman is a part-time, non-executive Government of India Secretary, so the Managing Director (MD) is the post to count.
What the sheet shows (BMRCL-01, Annual Report FY 2020-21, with events up to 21 August 2021):
- Shri Ajay Seth was MD until 9 April 2021, when he left on a central posting.
- Shri Rakesh Singh, Additional Chief Secretary, Urban Development Department, held the post on concurrent charge from 9 April 2021 to 15 July 2021. This was additional/acting charge. Per the methodology it is recorded separately and not counted.
- Shri Anjum Parwez was nominated MD from 15 July 2021.
The window for a September 2026 assessment runs roughly from September 2021 to September 2026. The sheet has no record of whether Anjum Parwez stayed in post or who followed him. So I can't tell whether one MD served (score 10), 2–3 served (score 5) or more than 3 served (score 0).
What I checked:
- BMRCL-01: Board's Report, Key Managerial Personnel list, directors list.
- A search across the whole sheet for MD appointments.
- BMRCL-46 (Greater Bengaluru Governance Amendment Bill 2025): no MD names.
- Also covered in Step 2: BMRCL-15, -18, -21, -31, -34 (s.13(1)(j) names the post only, with no person or date), -35 and -47. None has an MD appointment or transfer record after 2021.
I agree with the Step 2 answer.
For the team:
1. Add BMRCL annual reports for FY 2021-22 to 2025-26, or Government of Karnataka Urban Development Department orders or eGazette notices appointing the MD or giving additional charge.
2. Failing that, file an RTI request with the PIO at BMRCL's Company Secretariat or the PIO of the Urban Development Department.
3. Confirm the exact window dates. They decide whether Ajay Seth and the Rakesh Singh charge fall inside it.
Quote: "on concurrent charge with effect from 9th April 2021 in place of Shri Aja y Seth proceeded on Central posting."
"Score" left blank: the Citation Sheet doesn't decide it.</t>
  </si>
  <si>
    <t xml:space="preserve">AI: left for a person. Step 2 found no evidence (Insufficient Evidence). Source needed: Official Government of Karnataka DPAR (All India Services) notifications or Karnataka Gazette notifications posting or transferring officers as Metropolitan Commissioner, BMRDA, over the last five years, showing whether each posting was substantive or additional/acting charge; or a dated official BMRDA list of past Metropolitan Commissioners with dates of taking and handing over charge; or BMRDA annual reports for each year naming the Metropolitan Commissioner.</t>
  </si>
  <si>
    <t xml:space="preserve">Chapter 2, section 2.2.3 Relevant Organizations to the Sectors, (3) BWSSB</t>
  </si>
  <si>
    <t xml:space="preserve">Table 2.2.11 Present Number of BWSSB Permanent Staff (Source: BWSSB as of August, 2017), report p.2-38 / PDF p.116</t>
  </si>
  <si>
    <t xml:space="preserve">Total row: Sanctioned 3,501 / Working 2,157 / Vacancy 1,344</t>
  </si>
  <si>
    <t xml:space="preserve">116</t>
  </si>
  <si>
    <t xml:space="preserve">AI (low confidence), from Step 2 answer (Partially Answered) and BWSSB-22: Score left blank. Staffing data does exist, but the newest figures are from 2017, and this question is about how staffing works now. I checked the 2017 numbers against the sources and they are correct. (1) BWSSB-22, Table 2.2.11, 'Source: BWSSB as of August, 2017': 3,501 posts sanctioned and 2,157 filled, so 2,157/3,501 = 61.6%. (2) BWSSB-23, Table 17.1.1, 'as of 25 Jan 2017', source given as the Office of Secretary cum CAO, BWSSB: 3,500 sanctioned and 2,203 regular staff in post, so 62.9%. Both would fall in the 60–74% band (Score 3), but only for 2017. They are not evidence of current staffing. Under the methodology an old document is at most partial evidence of current practice, so I give no score. Score 0 does not apply either: the rubric gives 0 only when there is no staffing data or no sanctioned structure, and here a sanctioned structure is shown (sanctioned 'as per Reorganization'). Not finding current data in the Citation Sheet does not prove it is absent. Points for the reviewer: (a) BWSSB-22 says Table 2.2.11 shows 'the status of BWSSB permanent staff as of year 2015', but the table's own source line says August 2017. This needs checking. (b) Both sources are JICA/NJS consultant reports quoting BWSSB data. They are not on a gov.in/nic.in site or BWSSB's own domain, so the team must decide whether they meet the allow-list. (c) About 2,000 outsourced staff (2017) are hired through private service providers. Nothing shows they are part of the approved staffing structure, so I left them out. (d) An extra 211 posts were approved in 2016-17 and are not in either sanctioned total. (e) BWSSB-23 p.260 says about 52% of staff are regular and about 47% are on contract or casual. This is a staff-profile share, not a sanctioned-versus-filled figure. What I checked: BWSSB-22, BWSSB-23, and BWSSB-32 (the 2016 PAC sample survey, p.57: AEE interviews report vacancies, with no Board-wide totals). BWSSB-12, -25, -28, -29 and -30 are presentations, a portal page and Acts, and carry no staffing data. Searches for current (2024–2026) staffing figures found nothing. Evidence still needed: BWSSB's current sanctioned and working strength by group (A/B/C/D), from an annual report, the budget establishment schedule, the RTI s.4(1)(b) disclosure, or an RTI reply or data request to the Secretary cum CAO, BWSSB, as of 31 March 2025 or later.
Quote: "A total of 3,501 persons with positions were approved by GoK, however, only 2,157 persons were employed and there are still vacant staff, as shown in the balance column (total of 1,344)."
"Score" left blank: the Citation Sheet doesn't decide it.</t>
  </si>
  <si>
    <t xml:space="preserve">AI: left for a person. Step 2 found no evidence (Insufficient Evidence). Source needed: BMTC's latest Annual Administration Report or Annual Report, or an official staffing statement or RTI reply, giving sanctioned posts and filled (working) posts by cadre, including contractual staff who are part of the approved structure, for the latest financial year.</t>
  </si>
  <si>
    <t xml:space="preserve">AI: left for a person. Step 2 found no evidence (Insufficient Evidence). Source needed: A recent, dated official staffing record for BDA showing sanctioned posts and filled (working) posts, ideally by cadre and including contractual or outsourced posts that are part of the approved structure. Possible sources: BDA's latest annual report (laid before the Legislature under s.47A); BDA's RTI s.4(1)(b) disclosure of its employees; the Government order sanctioning the current s.49 staff schedule, plus a current working-strength statement; or an RTI or formal data request reply from BDA.</t>
  </si>
  <si>
    <t xml:space="preserve">AI: left for a person. Step 2 found no evidence (Insufficient Evidence). Source needed: Any of these would answer it: BMRCL's latest annual report or Board's Report with a sanctioned-versus-working table; a state government order or Board resolution sanctioning BMRCL's posts (Phase-1 O&amp;M, Phase-2 and later); or an RTI or formal data reply giving sanctioned and filled posts, split into permanent, contract and deputation, for a recent date.</t>
  </si>
  <si>
    <t xml:space="preserve">Contact Us page (official BMRDA website)</t>
  </si>
  <si>
    <t xml:space="preserve">Officer directory table (Name / Designation / Office Number)</t>
  </si>
  <si>
    <t xml:space="preserve">AI: left for a person. Step 2 found no evidence (Insufficient Evidence). Source needed: BMRDA's current sanctioned vs working strength by post, permanent and contractual. This could come from the latest RTI s.4(1)(b) proactive disclosure (list of officers and employees, with the sanctioned establishment), BMRDA's annual report under s.13 of the BMRDA Act (laid before the State Legislature), the Government order or Authority resolution sanctioning posts under s.8(3), or a formal data request or RTI to BMRDA.</t>
  </si>
  <si>
    <t xml:space="preserve">AI: left for a person. Step 2 found no evidence (Insufficient Evidence). Source needed: Current staffing data from BWSSB that splits filled posts by sex, ideally also by cadre and grade: e.g. the Board's latest annual report or establishment statement of sanctioned vs working strength (men/women by Group A/B/C/D and by engineering/technical cadres), an HRMS extract, a statement tabled in the Karnataka Legislature, or a reply to an RTI or formal data request from BWSSB's Administration wing (Secretary cum CAO).</t>
  </si>
  <si>
    <t xml:space="preserve">AI: left for a person. Step 2 found no evidence (Insufficient Evidence). Source needed: Something from BMTC that gives the number of women alongside total filled posts. Any of these would do: the latest BMTC Annual Administration Report with a sanctioned-versus-working-strength table split by gender and cadre; a staff statement on BMTC's website under RTI s.4(1)(b); or an RTI reply or formal data request giving filled posts and women employees by category (officers/senior posts, technical/mechanical, drivers, conductors, administration) as of a stated date.</t>
  </si>
  <si>
    <t xml:space="preserve">AI: left for a person. Step 2 found no evidence (Insufficient Evidence). Source needed: A recent, dated BDA staffing record that shows total filled posts and the number of women, ideally also by cadre and by grade (senior, technical/professional). This could be the 'sanctioned vs working strength' table in a BDA Annual Report (e.g. the reports laid before the Karnataka Legislature), a staff list published under RTI Act s.4(1)(b) on BDA's official site, or an RTI reply or formal data request answered by BDA.</t>
  </si>
  <si>
    <t xml:space="preserve">AI: left for a person. Step 2 found no evidence (Insufficient Evidence). Source needed: A gender-disaggregated staffing statement for BMRCL for the latest year (FY 2024-25 or 2025-26), covering both the Project Wing and the O&amp;M Wing. It should give the number of women among all filled posts (regular, contract and deputation), and the split for senior/Executive Director-and-above posts and for engineering/technical cadres. Possible sources: a recent BMRCL Annual Report with an HR gender table, a disclosure under Section 4(1)(b) of the RTI Act, or a formal data request or RTI reply from BMRCL.</t>
  </si>
  <si>
    <t xml:space="preserve">AI: left for a person. Step 2 found no evidence (Insufficient Evidence). Source needed: Current, dated staffing data from BMRDA showing total filled posts and the number of women employees, ideally broken down by cadre (senior/decision-making, technical/professional, ministerial). Possible sources: an updated RTI s.4(1)(b) proactive disclosure (staff directory), BMRDA's annual report under s.13 of the BMRDA Act, a sanctioned vs working strength table, or an RTI reply from BMRDA.</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</si>
</sst>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u val="single"/>
      <sz val="11"/>
      <color rgb="FF1F4E9C"/>
      <name val="Cambria"/>
      <family val="0"/>
      <charset val="1"/>
    </font>
    <font>
      <sz val="11"/>
      <color theme="1"/>
      <name val="Noto Sans"/>
      <family val="2"/>
    </font>
    <font>
      <b val="true"/>
      <sz val="14"/>
      <name val="Cambria"/>
      <family val="0"/>
      <charset val="1"/>
    </font>
    <font>
      <i val="true"/>
      <sz val="11"/>
      <name val="Cambria"/>
      <family val="0"/>
      <charset val="1"/>
    </font>
    <font>
      <b val="true"/>
      <u val="single"/>
      <sz val="11"/>
      <color rgb="FF1F4E9C"/>
      <name val="Cambria"/>
      <family val="0"/>
      <charset val="1"/>
    </font>
    <font>
      <b val="true"/>
      <sz val="9"/>
      <name val="Cambria"/>
      <family val="0"/>
      <charset val="1"/>
    </font>
    <font>
      <sz val="11"/>
      <color theme="1"/>
      <name val="Noto Sans"/>
      <family val="2"/>
      <charset val="1"/>
    </font>
  </fonts>
  <fills count="7">
    <fill>
      <patternFill patternType="none"/>
    </fill>
    <fill>
      <patternFill patternType="gray125"/>
    </fill>
    <fill>
      <patternFill patternType="solid">
        <fgColor rgb="FFDDE7F0"/>
        <bgColor rgb="FFE7E6E6"/>
      </patternFill>
    </fill>
    <fill>
      <patternFill patternType="solid">
        <fgColor rgb="FFF2C200"/>
        <bgColor rgb="FFFF9900"/>
      </patternFill>
    </fill>
    <fill>
      <patternFill patternType="solid">
        <fgColor rgb="FFFFF2B3"/>
        <bgColor rgb="FFFFF6D5"/>
      </patternFill>
    </fill>
    <fill>
      <patternFill patternType="solid">
        <fgColor rgb="FFFFF6D5"/>
        <bgColor rgb="FFFFF2B3"/>
      </patternFill>
    </fill>
    <fill>
      <patternFill patternType="solid">
        <fgColor rgb="FFE7E6E6"/>
        <bgColor rgb="FFDDE7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DDE7F0"/>
          <bgColor rgb="FF000000"/>
        </patternFill>
      </fill>
    </dxf>
    <dxf>
      <fill>
        <patternFill patternType="solid">
          <bgColor rgb="FF000000"/>
        </patternFill>
      </fill>
    </dxf>
    <dxf>
      <fill>
        <patternFill patternType="solid">
          <fgColor rgb="FF1F4E9C"/>
          <bgColor rgb="FF000000"/>
        </patternFill>
      </fill>
    </dxf>
    <dxf>
      <fill>
        <patternFill patternType="solid">
          <fgColor rgb="FF000000"/>
          <bgColor rgb="FF000000"/>
        </patternFill>
      </fill>
    </dxf>
    <dxf>
      <fill>
        <patternFill patternType="solid">
          <fgColor rgb="FFF2C200"/>
          <bgColor rgb="FF000000"/>
        </patternFill>
      </fill>
    </dxf>
    <dxf>
      <fill>
        <patternFill patternType="solid">
          <fgColor rgb="FFFFF2B3"/>
          <bgColor rgb="FF000000"/>
        </patternFill>
      </fill>
    </dxf>
    <dxf>
      <fill>
        <patternFill patternType="solid">
          <fgColor rgb="FFFBD5B5"/>
          <bgColor rgb="FF000000"/>
        </patternFill>
      </fill>
    </dxf>
    <dxf>
      <fill>
        <patternFill>
          <bgColor rgb="FFC6E7C1"/>
        </patternFill>
      </fill>
    </dxf>
    <dxf>
      <fill>
        <patternFill>
          <bgColor rgb="FFFBD5B5"/>
        </patternFill>
      </fill>
    </dxf>
    <dxf>
      <fill>
        <patternFill>
          <bgColor rgb="FFF4B6B6"/>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D5"/>
      <rgbColor rgb="FFDDE7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7C1"/>
      <rgbColor rgb="FFFFF2B3"/>
      <rgbColor rgb="FF99CCFF"/>
      <rgbColor rgb="FFF4B6B6"/>
      <rgbColor rgb="FFCC99FF"/>
      <rgbColor rgb="FFFBD5B5"/>
      <rgbColor rgb="FF3366FF"/>
      <rgbColor rgb="FF33CCCC"/>
      <rgbColor rgb="FF99CC00"/>
      <rgbColor rgb="FFF2C200"/>
      <rgbColor rgb="FFFF9900"/>
      <rgbColor rgb="FFFF6600"/>
      <rgbColor rgb="FF666699"/>
      <rgbColor rgb="FF969696"/>
      <rgbColor rgb="FF003366"/>
      <rgbColor rgb="FF2E9C5A"/>
      <rgbColor rgb="FF003300"/>
      <rgbColor rgb="FF333300"/>
      <rgbColor rgb="FF993300"/>
      <rgbColor rgb="FF993366"/>
      <rgbColor rgb="FF1F4E9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C5A"/>
    <pageSetUpPr fitToPage="false"/>
  </sheetPr>
  <dimension ref="A1:R1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50"/>
    <col collapsed="false" customWidth="true" hidden="false" outlineLevel="0" max="4" min="4" style="0" width="9"/>
    <col collapsed="false" customWidth="true" hidden="false" outlineLevel="0" max="5" min="5" style="0" width="8"/>
    <col collapsed="false" customWidth="true" hidden="false" outlineLevel="0" max="6" min="6" style="0" width="12"/>
    <col collapsed="false" customWidth="true" hidden="false" outlineLevel="0" max="7" min="7" style="0" width="30"/>
    <col collapsed="false" customWidth="true" hidden="false" outlineLevel="0" max="8" min="8" style="0" width="10"/>
    <col collapsed="false" customWidth="true" hidden="false" outlineLevel="0" max="9" min="9" style="0" width="9"/>
    <col collapsed="false" customWidth="true" hidden="false" outlineLevel="0" max="10" min="10" style="0" width="14"/>
    <col collapsed="false" customWidth="true" hidden="false" outlineLevel="0" max="11" min="11" style="0" width="16"/>
    <col collapsed="false" customWidth="true" hidden="false" outlineLevel="0" max="12" min="12" style="0" width="20"/>
    <col collapsed="false" customWidth="true" hidden="false" outlineLevel="0" max="13" min="13" style="0" width="60"/>
    <col collapsed="false" customWidth="true" hidden="false" outlineLevel="0" max="14" min="14" style="0" width="36"/>
    <col collapsed="false" customWidth="true" hidden="false" outlineLevel="0" max="15" min="15" style="0" width="30"/>
    <col collapsed="false" customWidth="true" hidden="false" outlineLevel="0" max="16" min="16" style="0" width="50"/>
    <col collapsed="false" customWidth="true" hidden="false" outlineLevel="0" max="17" min="17" style="0" width="70"/>
    <col collapsed="false" customWidth="true" hidden="false" outlineLevel="0" max="18" min="18" style="0" width="50"/>
  </cols>
  <sheetData>
    <row r="1" customFormat="false" ht="31.5" hidden="false" customHeight="true" outlineLevel="0" collapsed="false">
      <c r="A1" s="1" t="s">
        <v>0</v>
      </c>
      <c r="B1" s="1" t="s">
        <v>1</v>
      </c>
      <c r="C1" s="1" t="s">
        <v>2</v>
      </c>
      <c r="D1" s="1" t="s">
        <v>3</v>
      </c>
      <c r="E1" s="1" t="s">
        <v>4</v>
      </c>
      <c r="F1" s="2" t="s">
        <v>5</v>
      </c>
      <c r="G1" s="2" t="s">
        <v>6</v>
      </c>
      <c r="H1" s="1" t="s">
        <v>7</v>
      </c>
      <c r="I1" s="1" t="s">
        <v>8</v>
      </c>
      <c r="J1" s="1" t="s">
        <v>9</v>
      </c>
      <c r="K1" s="1" t="s">
        <v>10</v>
      </c>
      <c r="L1" s="1" t="s">
        <v>11</v>
      </c>
      <c r="M1" s="1" t="s">
        <v>12</v>
      </c>
      <c r="N1" s="1" t="s">
        <v>13</v>
      </c>
      <c r="O1" s="1" t="s">
        <v>14</v>
      </c>
      <c r="P1" s="1" t="s">
        <v>15</v>
      </c>
      <c r="Q1" s="1" t="s">
        <v>16</v>
      </c>
      <c r="R1" s="1" t="s">
        <v>17</v>
      </c>
    </row>
    <row r="2" customFormat="false" ht="93" hidden="false" customHeight="true" outlineLevel="0" collapsed="false">
      <c r="A2" s="3" t="s">
        <v>18</v>
      </c>
      <c r="B2" s="4" t="s">
        <v>19</v>
      </c>
      <c r="C2" s="4" t="s">
        <v>20</v>
      </c>
      <c r="D2" s="4" t="n">
        <f aca="false">IFERROR(UPD1a!L13,"")</f>
        <v>1.25</v>
      </c>
      <c r="E2" s="4" t="s">
        <v>21</v>
      </c>
      <c r="F2" s="5"/>
      <c r="G2" s="5"/>
      <c r="H2" s="6" t="str">
        <f aca="false">IF(OR(F2="",NOT(ISNUMBER(D2))),"",IF(ABS(F2-D2)&lt;0.001,"Yes","No"))</f>
        <v/>
      </c>
      <c r="I2" s="7" t="n">
        <f aca="false">IF(ISNUMBER(F2),F2,D2)</f>
        <v>1.25</v>
      </c>
      <c r="J2" s="6" t="str">
        <f aca="false">IF(ISNUMBER(F2),"Expert (overrides AI)",IF(ISNUMBER(D2),"AI","Not scored yet"))</f>
        <v>AI</v>
      </c>
      <c r="K2" s="4" t="s">
        <v>22</v>
      </c>
      <c r="L2" s="4" t="s">
        <v>23</v>
      </c>
      <c r="M2" s="4" t="s">
        <v>24</v>
      </c>
      <c r="N2" s="4" t="s">
        <v>25</v>
      </c>
      <c r="O2" s="4" t="s">
        <v>26</v>
      </c>
      <c r="P2" s="4" t="s">
        <v>27</v>
      </c>
      <c r="Q2" s="4" t="s">
        <v>28</v>
      </c>
      <c r="R2" s="4" t="s">
        <v>29</v>
      </c>
    </row>
    <row r="3" customFormat="false" ht="93" hidden="false" customHeight="true" outlineLevel="0" collapsed="false">
      <c r="A3" s="3" t="s">
        <v>18</v>
      </c>
      <c r="B3" s="4" t="s">
        <v>30</v>
      </c>
      <c r="C3" s="4" t="s">
        <v>20</v>
      </c>
      <c r="D3" s="4" t="str">
        <f aca="false">IFERROR(UPD1a!L14,"")</f>
        <v/>
      </c>
      <c r="E3" s="4" t="s">
        <v>21</v>
      </c>
      <c r="F3" s="5"/>
      <c r="G3" s="5"/>
      <c r="H3" s="6" t="str">
        <f aca="false">IF(OR(F3="",NOT(ISNUMBER(D3))),"",IF(ABS(F3-D3)&lt;0.001,"Yes","No"))</f>
        <v/>
      </c>
      <c r="I3" s="7" t="str">
        <f aca="false">IF(ISNUMBER(F3),F3,D3)</f>
        <v/>
      </c>
      <c r="J3" s="6" t="str">
        <f aca="false">IF(ISNUMBER(F3),"Expert (overrides AI)",IF(ISNUMBER(D3),"AI","Not scored yet"))</f>
        <v>Not scored yet</v>
      </c>
      <c r="K3" s="4" t="s">
        <v>22</v>
      </c>
      <c r="L3" s="4" t="s">
        <v>23</v>
      </c>
      <c r="M3" s="4" t="s">
        <v>31</v>
      </c>
      <c r="N3" s="4" t="s">
        <v>32</v>
      </c>
      <c r="O3" s="4" t="s">
        <v>33</v>
      </c>
      <c r="P3" s="4" t="s">
        <v>34</v>
      </c>
      <c r="Q3" s="4" t="s">
        <v>35</v>
      </c>
      <c r="R3" s="4" t="s">
        <v>29</v>
      </c>
    </row>
    <row r="4" customFormat="false" ht="93" hidden="false" customHeight="true" outlineLevel="0" collapsed="false">
      <c r="A4" s="3" t="s">
        <v>18</v>
      </c>
      <c r="B4" s="4" t="s">
        <v>36</v>
      </c>
      <c r="C4" s="4" t="s">
        <v>20</v>
      </c>
      <c r="D4" s="4" t="n">
        <f aca="false">IFERROR(UPD1a!L15,"")</f>
        <v>3.75</v>
      </c>
      <c r="E4" s="4" t="s">
        <v>21</v>
      </c>
      <c r="F4" s="5"/>
      <c r="G4" s="5"/>
      <c r="H4" s="6" t="str">
        <f aca="false">IF(OR(F4="",NOT(ISNUMBER(D4))),"",IF(ABS(F4-D4)&lt;0.001,"Yes","No"))</f>
        <v/>
      </c>
      <c r="I4" s="7" t="n">
        <f aca="false">IF(ISNUMBER(F4),F4,D4)</f>
        <v>3.75</v>
      </c>
      <c r="J4" s="6" t="str">
        <f aca="false">IF(ISNUMBER(F4),"Expert (overrides AI)",IF(ISNUMBER(D4),"AI","Not scored yet"))</f>
        <v>AI</v>
      </c>
      <c r="K4" s="4" t="s">
        <v>22</v>
      </c>
      <c r="L4" s="4" t="s">
        <v>23</v>
      </c>
      <c r="M4" s="4" t="s">
        <v>37</v>
      </c>
      <c r="N4" s="4" t="s">
        <v>38</v>
      </c>
      <c r="O4" s="4" t="s">
        <v>39</v>
      </c>
      <c r="P4" s="4" t="s">
        <v>40</v>
      </c>
      <c r="Q4" s="4" t="s">
        <v>41</v>
      </c>
      <c r="R4" s="4" t="s">
        <v>29</v>
      </c>
    </row>
    <row r="5" customFormat="false" ht="93" hidden="false" customHeight="true" outlineLevel="0" collapsed="false">
      <c r="A5" s="3" t="s">
        <v>18</v>
      </c>
      <c r="B5" s="4" t="s">
        <v>42</v>
      </c>
      <c r="C5" s="4" t="s">
        <v>20</v>
      </c>
      <c r="D5" s="4" t="n">
        <f aca="false">IFERROR(UPD1a!L16,"")</f>
        <v>0</v>
      </c>
      <c r="E5" s="4" t="s">
        <v>21</v>
      </c>
      <c r="F5" s="5"/>
      <c r="G5" s="5"/>
      <c r="H5" s="6" t="str">
        <f aca="false">IF(OR(F5="",NOT(ISNUMBER(D5))),"",IF(ABS(F5-D5)&lt;0.001,"Yes","No"))</f>
        <v/>
      </c>
      <c r="I5" s="7" t="n">
        <f aca="false">IF(ISNUMBER(F5),F5,D5)</f>
        <v>0</v>
      </c>
      <c r="J5" s="6" t="str">
        <f aca="false">IF(ISNUMBER(F5),"Expert (overrides AI)",IF(ISNUMBER(D5),"AI","Not scored yet"))</f>
        <v>AI</v>
      </c>
      <c r="K5" s="4" t="s">
        <v>22</v>
      </c>
      <c r="L5" s="4" t="s">
        <v>23</v>
      </c>
      <c r="M5" s="4" t="s">
        <v>43</v>
      </c>
      <c r="N5" s="4" t="s">
        <v>44</v>
      </c>
      <c r="O5" s="4" t="s">
        <v>26</v>
      </c>
      <c r="P5" s="4" t="s">
        <v>45</v>
      </c>
      <c r="Q5" s="4" t="s">
        <v>46</v>
      </c>
      <c r="R5" s="4" t="s">
        <v>29</v>
      </c>
    </row>
    <row r="6" customFormat="false" ht="93" hidden="false" customHeight="true" outlineLevel="0" collapsed="false">
      <c r="A6" s="3" t="s">
        <v>18</v>
      </c>
      <c r="B6" s="4" t="s">
        <v>47</v>
      </c>
      <c r="C6" s="4" t="s">
        <v>20</v>
      </c>
      <c r="D6" s="4" t="n">
        <f aca="false">IFERROR(UPD1a!L17,"")</f>
        <v>0</v>
      </c>
      <c r="E6" s="4" t="s">
        <v>21</v>
      </c>
      <c r="F6" s="5"/>
      <c r="G6" s="5"/>
      <c r="H6" s="6" t="str">
        <f aca="false">IF(OR(F6="",NOT(ISNUMBER(D6))),"",IF(ABS(F6-D6)&lt;0.001,"Yes","No"))</f>
        <v/>
      </c>
      <c r="I6" s="7" t="n">
        <f aca="false">IF(ISNUMBER(F6),F6,D6)</f>
        <v>0</v>
      </c>
      <c r="J6" s="6" t="str">
        <f aca="false">IF(ISNUMBER(F6),"Expert (overrides AI)",IF(ISNUMBER(D6),"AI","Not scored yet"))</f>
        <v>AI</v>
      </c>
      <c r="K6" s="4" t="s">
        <v>22</v>
      </c>
      <c r="L6" s="4" t="s">
        <v>23</v>
      </c>
      <c r="M6" s="4" t="s">
        <v>48</v>
      </c>
      <c r="N6" s="4"/>
      <c r="O6" s="4"/>
      <c r="P6" s="4"/>
      <c r="Q6" s="4"/>
      <c r="R6" s="4" t="s">
        <v>49</v>
      </c>
    </row>
    <row r="7" customFormat="false" ht="93" hidden="false" customHeight="true" outlineLevel="0" collapsed="false">
      <c r="A7" s="3" t="s">
        <v>50</v>
      </c>
      <c r="B7" s="4" t="s">
        <v>19</v>
      </c>
      <c r="C7" s="4" t="s">
        <v>51</v>
      </c>
      <c r="D7" s="4" t="n">
        <f aca="false">IFERROR(UPD1b!L13,"")</f>
        <v>5</v>
      </c>
      <c r="E7" s="4" t="s">
        <v>21</v>
      </c>
      <c r="F7" s="5"/>
      <c r="G7" s="5"/>
      <c r="H7" s="6" t="str">
        <f aca="false">IF(OR(F7="",NOT(ISNUMBER(D7))),"",IF(ABS(F7-D7)&lt;0.001,"Yes","No"))</f>
        <v/>
      </c>
      <c r="I7" s="7" t="n">
        <f aca="false">IF(ISNUMBER(F7),F7,D7)</f>
        <v>5</v>
      </c>
      <c r="J7" s="6" t="str">
        <f aca="false">IF(ISNUMBER(F7),"Expert (overrides AI)",IF(ISNUMBER(D7),"AI","Not scored yet"))</f>
        <v>AI</v>
      </c>
      <c r="K7" s="4" t="s">
        <v>22</v>
      </c>
      <c r="L7" s="4" t="s">
        <v>23</v>
      </c>
      <c r="M7" s="4" t="s">
        <v>52</v>
      </c>
      <c r="N7" s="4" t="s">
        <v>53</v>
      </c>
      <c r="O7" s="4" t="s">
        <v>54</v>
      </c>
      <c r="P7" s="4" t="s">
        <v>55</v>
      </c>
      <c r="Q7" s="4" t="s">
        <v>56</v>
      </c>
      <c r="R7" s="4" t="s">
        <v>29</v>
      </c>
    </row>
    <row r="8" customFormat="false" ht="93" hidden="false" customHeight="true" outlineLevel="0" collapsed="false">
      <c r="A8" s="3" t="s">
        <v>50</v>
      </c>
      <c r="B8" s="4" t="s">
        <v>30</v>
      </c>
      <c r="C8" s="4" t="s">
        <v>51</v>
      </c>
      <c r="D8" s="4" t="str">
        <f aca="false">IFERROR(UPD1b!L14,"")</f>
        <v/>
      </c>
      <c r="E8" s="4" t="s">
        <v>21</v>
      </c>
      <c r="F8" s="5"/>
      <c r="G8" s="5"/>
      <c r="H8" s="6" t="str">
        <f aca="false">IF(OR(F8="",NOT(ISNUMBER(D8))),"",IF(ABS(F8-D8)&lt;0.001,"Yes","No"))</f>
        <v/>
      </c>
      <c r="I8" s="7" t="str">
        <f aca="false">IF(ISNUMBER(F8),F8,D8)</f>
        <v/>
      </c>
      <c r="J8" s="6" t="str">
        <f aca="false">IF(ISNUMBER(F8),"Expert (overrides AI)",IF(ISNUMBER(D8),"AI","Not scored yet"))</f>
        <v>Not scored yet</v>
      </c>
      <c r="K8" s="4" t="s">
        <v>22</v>
      </c>
      <c r="L8" s="4" t="s">
        <v>57</v>
      </c>
      <c r="M8" s="4"/>
      <c r="N8" s="4"/>
      <c r="O8" s="4"/>
      <c r="P8" s="4"/>
      <c r="Q8" s="4"/>
      <c r="R8" s="4" t="s">
        <v>58</v>
      </c>
    </row>
    <row r="9" customFormat="false" ht="93" hidden="false" customHeight="true" outlineLevel="0" collapsed="false">
      <c r="A9" s="3" t="s">
        <v>50</v>
      </c>
      <c r="B9" s="4" t="s">
        <v>36</v>
      </c>
      <c r="C9" s="4" t="s">
        <v>51</v>
      </c>
      <c r="D9" s="4" t="str">
        <f aca="false">IFERROR(UPD1b!L15,"")</f>
        <v/>
      </c>
      <c r="E9" s="4" t="s">
        <v>21</v>
      </c>
      <c r="F9" s="5"/>
      <c r="G9" s="5"/>
      <c r="H9" s="6" t="str">
        <f aca="false">IF(OR(F9="",NOT(ISNUMBER(D9))),"",IF(ABS(F9-D9)&lt;0.001,"Yes","No"))</f>
        <v/>
      </c>
      <c r="I9" s="7" t="str">
        <f aca="false">IF(ISNUMBER(F9),F9,D9)</f>
        <v/>
      </c>
      <c r="J9" s="6" t="str">
        <f aca="false">IF(ISNUMBER(F9),"Expert (overrides AI)",IF(ISNUMBER(D9),"AI","Not scored yet"))</f>
        <v>Not scored yet</v>
      </c>
      <c r="K9" s="4" t="s">
        <v>22</v>
      </c>
      <c r="L9" s="4" t="s">
        <v>57</v>
      </c>
      <c r="M9" s="4"/>
      <c r="N9" s="4"/>
      <c r="O9" s="4"/>
      <c r="P9" s="4"/>
      <c r="Q9" s="4"/>
      <c r="R9" s="4" t="s">
        <v>59</v>
      </c>
    </row>
    <row r="10" customFormat="false" ht="93" hidden="false" customHeight="true" outlineLevel="0" collapsed="false">
      <c r="A10" s="3" t="s">
        <v>50</v>
      </c>
      <c r="B10" s="4" t="s">
        <v>42</v>
      </c>
      <c r="C10" s="4" t="s">
        <v>51</v>
      </c>
      <c r="D10" s="4" t="str">
        <f aca="false">IFERROR(UPD1b!L16,"")</f>
        <v/>
      </c>
      <c r="E10" s="4" t="s">
        <v>21</v>
      </c>
      <c r="F10" s="5"/>
      <c r="G10" s="5"/>
      <c r="H10" s="6" t="str">
        <f aca="false">IF(OR(F10="",NOT(ISNUMBER(D10))),"",IF(ABS(F10-D10)&lt;0.001,"Yes","No"))</f>
        <v/>
      </c>
      <c r="I10" s="7" t="str">
        <f aca="false">IF(ISNUMBER(F10),F10,D10)</f>
        <v/>
      </c>
      <c r="J10" s="6" t="str">
        <f aca="false">IF(ISNUMBER(F10),"Expert (overrides AI)",IF(ISNUMBER(D10),"AI","Not scored yet"))</f>
        <v>Not scored yet</v>
      </c>
      <c r="K10" s="4" t="s">
        <v>22</v>
      </c>
      <c r="L10" s="4" t="s">
        <v>57</v>
      </c>
      <c r="M10" s="4"/>
      <c r="N10" s="4"/>
      <c r="O10" s="4"/>
      <c r="P10" s="4"/>
      <c r="Q10" s="4"/>
      <c r="R10" s="4" t="s">
        <v>60</v>
      </c>
    </row>
    <row r="11" customFormat="false" ht="93" hidden="false" customHeight="true" outlineLevel="0" collapsed="false">
      <c r="A11" s="3" t="s">
        <v>50</v>
      </c>
      <c r="B11" s="4" t="s">
        <v>47</v>
      </c>
      <c r="C11" s="4" t="s">
        <v>51</v>
      </c>
      <c r="D11" s="4" t="str">
        <f aca="false">IFERROR(UPD1b!L17,"")</f>
        <v/>
      </c>
      <c r="E11" s="4" t="s">
        <v>21</v>
      </c>
      <c r="F11" s="5"/>
      <c r="G11" s="5"/>
      <c r="H11" s="6" t="str">
        <f aca="false">IF(OR(F11="",NOT(ISNUMBER(D11))),"",IF(ABS(F11-D11)&lt;0.001,"Yes","No"))</f>
        <v/>
      </c>
      <c r="I11" s="7" t="str">
        <f aca="false">IF(ISNUMBER(F11),F11,D11)</f>
        <v/>
      </c>
      <c r="J11" s="6" t="str">
        <f aca="false">IF(ISNUMBER(F11),"Expert (overrides AI)",IF(ISNUMBER(D11),"AI","Not scored yet"))</f>
        <v>Not scored yet</v>
      </c>
      <c r="K11" s="4" t="s">
        <v>22</v>
      </c>
      <c r="L11" s="4" t="s">
        <v>57</v>
      </c>
      <c r="M11" s="4"/>
      <c r="N11" s="4"/>
      <c r="O11" s="4"/>
      <c r="P11" s="4"/>
      <c r="Q11" s="4"/>
      <c r="R11" s="4" t="s">
        <v>61</v>
      </c>
    </row>
    <row r="12" customFormat="false" ht="93" hidden="false" customHeight="true" outlineLevel="0" collapsed="false">
      <c r="A12" s="3" t="s">
        <v>62</v>
      </c>
      <c r="B12" s="4" t="s">
        <v>19</v>
      </c>
      <c r="C12" s="4" t="s">
        <v>63</v>
      </c>
      <c r="D12" s="4" t="n">
        <f aca="false">IFERROR(UPD2a!L13,"")</f>
        <v>0</v>
      </c>
      <c r="E12" s="4" t="s">
        <v>64</v>
      </c>
      <c r="F12" s="5"/>
      <c r="G12" s="5"/>
      <c r="H12" s="6" t="str">
        <f aca="false">IF(OR(F12="",NOT(ISNUMBER(D12))),"",IF(ABS(F12-D12)&lt;0.001,"Yes","No"))</f>
        <v/>
      </c>
      <c r="I12" s="7" t="n">
        <f aca="false">IF(ISNUMBER(F12),F12,D12)</f>
        <v>0</v>
      </c>
      <c r="J12" s="6" t="str">
        <f aca="false">IF(ISNUMBER(F12),"Expert (overrides AI)",IF(ISNUMBER(D12),"AI","Not scored yet"))</f>
        <v>AI</v>
      </c>
      <c r="K12" s="4" t="s">
        <v>22</v>
      </c>
      <c r="L12" s="4" t="s">
        <v>23</v>
      </c>
      <c r="M12" s="4" t="s">
        <v>65</v>
      </c>
      <c r="N12" s="4" t="s">
        <v>66</v>
      </c>
      <c r="O12" s="4" t="s">
        <v>67</v>
      </c>
      <c r="P12" s="4" t="s">
        <v>68</v>
      </c>
      <c r="Q12" s="4" t="s">
        <v>69</v>
      </c>
      <c r="R12" s="4" t="s">
        <v>29</v>
      </c>
    </row>
    <row r="13" customFormat="false" ht="93" hidden="false" customHeight="true" outlineLevel="0" collapsed="false">
      <c r="A13" s="3" t="s">
        <v>70</v>
      </c>
      <c r="B13" s="4" t="s">
        <v>19</v>
      </c>
      <c r="C13" s="4" t="s">
        <v>71</v>
      </c>
      <c r="D13" s="4" t="str">
        <f aca="false">IFERROR(UPD2b!L13,"")</f>
        <v/>
      </c>
      <c r="E13" s="4" t="s">
        <v>64</v>
      </c>
      <c r="F13" s="5"/>
      <c r="G13" s="5"/>
      <c r="H13" s="6" t="str">
        <f aca="false">IF(OR(F13="",NOT(ISNUMBER(D13))),"",IF(ABS(F13-D13)&lt;0.001,"Yes","No"))</f>
        <v/>
      </c>
      <c r="I13" s="7" t="str">
        <f aca="false">IF(ISNUMBER(F13),F13,D13)</f>
        <v/>
      </c>
      <c r="J13" s="6" t="str">
        <f aca="false">IF(ISNUMBER(F13),"Expert (overrides AI)",IF(ISNUMBER(D13),"AI","Not scored yet"))</f>
        <v>Not scored yet</v>
      </c>
      <c r="K13" s="4" t="s">
        <v>22</v>
      </c>
      <c r="L13" s="4" t="s">
        <v>23</v>
      </c>
      <c r="M13" s="4" t="s">
        <v>72</v>
      </c>
      <c r="N13" s="4" t="s">
        <v>73</v>
      </c>
      <c r="O13" s="4" t="s">
        <v>74</v>
      </c>
      <c r="P13" s="4" t="s">
        <v>75</v>
      </c>
      <c r="Q13" s="4" t="s">
        <v>76</v>
      </c>
      <c r="R13" s="4" t="s">
        <v>29</v>
      </c>
    </row>
    <row r="14" customFormat="false" ht="93" hidden="false" customHeight="true" outlineLevel="0" collapsed="false">
      <c r="A14" s="3" t="s">
        <v>77</v>
      </c>
      <c r="B14" s="4" t="s">
        <v>30</v>
      </c>
      <c r="C14" s="4" t="s">
        <v>78</v>
      </c>
      <c r="D14" s="4" t="n">
        <f aca="false">IFERROR(UPD2c!L14,"")</f>
        <v>2.5</v>
      </c>
      <c r="E14" s="4" t="s">
        <v>64</v>
      </c>
      <c r="F14" s="5"/>
      <c r="G14" s="5"/>
      <c r="H14" s="6" t="str">
        <f aca="false">IF(OR(F14="",NOT(ISNUMBER(D14))),"",IF(ABS(F14-D14)&lt;0.001,"Yes","No"))</f>
        <v/>
      </c>
      <c r="I14" s="7" t="n">
        <f aca="false">IF(ISNUMBER(F14),F14,D14)</f>
        <v>2.5</v>
      </c>
      <c r="J14" s="6" t="str">
        <f aca="false">IF(ISNUMBER(F14),"Expert (overrides AI)",IF(ISNUMBER(D14),"AI","Not scored yet"))</f>
        <v>AI</v>
      </c>
      <c r="K14" s="4" t="s">
        <v>22</v>
      </c>
      <c r="L14" s="4" t="s">
        <v>23</v>
      </c>
      <c r="M14" s="4" t="s">
        <v>79</v>
      </c>
      <c r="N14" s="4" t="s">
        <v>32</v>
      </c>
      <c r="O14" s="4" t="s">
        <v>33</v>
      </c>
      <c r="P14" s="4" t="s">
        <v>80</v>
      </c>
      <c r="Q14" s="4" t="s">
        <v>81</v>
      </c>
      <c r="R14" s="4" t="s">
        <v>29</v>
      </c>
    </row>
    <row r="15" customFormat="false" ht="93" hidden="false" customHeight="true" outlineLevel="0" collapsed="false">
      <c r="A15" s="3" t="s">
        <v>82</v>
      </c>
      <c r="B15" s="4" t="s">
        <v>30</v>
      </c>
      <c r="C15" s="4" t="s">
        <v>83</v>
      </c>
      <c r="D15" s="4" t="str">
        <f aca="false">IFERROR(UPD2d!L14,"")</f>
        <v/>
      </c>
      <c r="E15" s="4" t="s">
        <v>64</v>
      </c>
      <c r="F15" s="5"/>
      <c r="G15" s="5"/>
      <c r="H15" s="6" t="str">
        <f aca="false">IF(OR(F15="",NOT(ISNUMBER(D15))),"",IF(ABS(F15-D15)&lt;0.001,"Yes","No"))</f>
        <v/>
      </c>
      <c r="I15" s="7" t="str">
        <f aca="false">IF(ISNUMBER(F15),F15,D15)</f>
        <v/>
      </c>
      <c r="J15" s="6" t="str">
        <f aca="false">IF(ISNUMBER(F15),"Expert (overrides AI)",IF(ISNUMBER(D15),"AI","Not scored yet"))</f>
        <v>Not scored yet</v>
      </c>
      <c r="K15" s="4" t="s">
        <v>22</v>
      </c>
      <c r="L15" s="4" t="s">
        <v>57</v>
      </c>
      <c r="M15" s="4"/>
      <c r="N15" s="4"/>
      <c r="O15" s="4"/>
      <c r="P15" s="4"/>
      <c r="Q15" s="4"/>
      <c r="R15" s="4" t="s">
        <v>84</v>
      </c>
    </row>
    <row r="16" customFormat="false" ht="93" hidden="false" customHeight="true" outlineLevel="0" collapsed="false">
      <c r="A16" s="3" t="s">
        <v>85</v>
      </c>
      <c r="B16" s="4" t="s">
        <v>19</v>
      </c>
      <c r="C16" s="4" t="s">
        <v>86</v>
      </c>
      <c r="D16" s="4" t="n">
        <f aca="false">IFERROR(UPD3a!L13,"")</f>
        <v>2.5</v>
      </c>
      <c r="E16" s="4" t="s">
        <v>21</v>
      </c>
      <c r="F16" s="5"/>
      <c r="G16" s="5"/>
      <c r="H16" s="6" t="str">
        <f aca="false">IF(OR(F16="",NOT(ISNUMBER(D16))),"",IF(ABS(F16-D16)&lt;0.001,"Yes","No"))</f>
        <v/>
      </c>
      <c r="I16" s="7" t="n">
        <f aca="false">IF(ISNUMBER(F16),F16,D16)</f>
        <v>2.5</v>
      </c>
      <c r="J16" s="6" t="str">
        <f aca="false">IF(ISNUMBER(F16),"Expert (overrides AI)",IF(ISNUMBER(D16),"AI","Not scored yet"))</f>
        <v>AI</v>
      </c>
      <c r="K16" s="4" t="s">
        <v>22</v>
      </c>
      <c r="L16" s="4" t="s">
        <v>23</v>
      </c>
      <c r="M16" s="4" t="s">
        <v>87</v>
      </c>
      <c r="N16" s="4"/>
      <c r="O16" s="4"/>
      <c r="P16" s="4"/>
      <c r="Q16" s="4"/>
      <c r="R16" s="4" t="s">
        <v>88</v>
      </c>
    </row>
    <row r="17" customFormat="false" ht="93" hidden="false" customHeight="true" outlineLevel="0" collapsed="false">
      <c r="A17" s="3" t="s">
        <v>89</v>
      </c>
      <c r="B17" s="4" t="s">
        <v>19</v>
      </c>
      <c r="C17" s="4" t="s">
        <v>90</v>
      </c>
      <c r="D17" s="4" t="n">
        <f aca="false">IFERROR(UPD3b!L13,"")</f>
        <v>2.5</v>
      </c>
      <c r="E17" s="4" t="s">
        <v>21</v>
      </c>
      <c r="F17" s="5"/>
      <c r="G17" s="5"/>
      <c r="H17" s="6" t="str">
        <f aca="false">IF(OR(F17="",NOT(ISNUMBER(D17))),"",IF(ABS(F17-D17)&lt;0.001,"Yes","No"))</f>
        <v/>
      </c>
      <c r="I17" s="7" t="n">
        <f aca="false">IF(ISNUMBER(F17),F17,D17)</f>
        <v>2.5</v>
      </c>
      <c r="J17" s="6" t="str">
        <f aca="false">IF(ISNUMBER(F17),"Expert (overrides AI)",IF(ISNUMBER(D17),"AI","Not scored yet"))</f>
        <v>AI</v>
      </c>
      <c r="K17" s="4" t="s">
        <v>22</v>
      </c>
      <c r="L17" s="4" t="s">
        <v>23</v>
      </c>
      <c r="M17" s="4" t="s">
        <v>91</v>
      </c>
      <c r="N17" s="4"/>
      <c r="O17" s="4"/>
      <c r="P17" s="4"/>
      <c r="Q17" s="4" t="s">
        <v>92</v>
      </c>
      <c r="R17" s="4" t="s">
        <v>93</v>
      </c>
    </row>
    <row r="18" customFormat="false" ht="93" hidden="false" customHeight="true" outlineLevel="0" collapsed="false">
      <c r="A18" s="3" t="s">
        <v>94</v>
      </c>
      <c r="B18" s="4" t="s">
        <v>30</v>
      </c>
      <c r="C18" s="4" t="s">
        <v>95</v>
      </c>
      <c r="D18" s="4" t="str">
        <f aca="false">IFERROR(UPD4a!L14,"")</f>
        <v/>
      </c>
      <c r="E18" s="4" t="s">
        <v>21</v>
      </c>
      <c r="F18" s="5"/>
      <c r="G18" s="5"/>
      <c r="H18" s="6" t="str">
        <f aca="false">IF(OR(F18="",NOT(ISNUMBER(D18))),"",IF(ABS(F18-D18)&lt;0.001,"Yes","No"))</f>
        <v/>
      </c>
      <c r="I18" s="7" t="str">
        <f aca="false">IF(ISNUMBER(F18),F18,D18)</f>
        <v/>
      </c>
      <c r="J18" s="6" t="str">
        <f aca="false">IF(ISNUMBER(F18),"Expert (overrides AI)",IF(ISNUMBER(D18),"AI","Not scored yet"))</f>
        <v>Not scored yet</v>
      </c>
      <c r="K18" s="4" t="s">
        <v>22</v>
      </c>
      <c r="L18" s="4" t="s">
        <v>57</v>
      </c>
      <c r="M18" s="4"/>
      <c r="N18" s="4"/>
      <c r="O18" s="4"/>
      <c r="P18" s="4"/>
      <c r="Q18" s="4"/>
      <c r="R18" s="4" t="s">
        <v>96</v>
      </c>
    </row>
    <row r="19" customFormat="false" ht="93" hidden="false" customHeight="true" outlineLevel="0" collapsed="false">
      <c r="A19" s="3" t="s">
        <v>97</v>
      </c>
      <c r="B19" s="4" t="s">
        <v>30</v>
      </c>
      <c r="C19" s="4" t="s">
        <v>98</v>
      </c>
      <c r="D19" s="4" t="n">
        <f aca="false">IFERROR(UPD4b!L14,"")</f>
        <v>1.25</v>
      </c>
      <c r="E19" s="4" t="s">
        <v>21</v>
      </c>
      <c r="F19" s="5"/>
      <c r="G19" s="5"/>
      <c r="H19" s="6" t="str">
        <f aca="false">IF(OR(F19="",NOT(ISNUMBER(D19))),"",IF(ABS(F19-D19)&lt;0.001,"Yes","No"))</f>
        <v/>
      </c>
      <c r="I19" s="7" t="n">
        <f aca="false">IF(ISNUMBER(F19),F19,D19)</f>
        <v>1.25</v>
      </c>
      <c r="J19" s="6" t="str">
        <f aca="false">IF(ISNUMBER(F19),"Expert (overrides AI)",IF(ISNUMBER(D19),"AI","Not scored yet"))</f>
        <v>AI</v>
      </c>
      <c r="K19" s="4" t="s">
        <v>22</v>
      </c>
      <c r="L19" s="4" t="s">
        <v>23</v>
      </c>
      <c r="M19" s="4" t="s">
        <v>99</v>
      </c>
      <c r="N19" s="4" t="s">
        <v>100</v>
      </c>
      <c r="O19" s="4" t="s">
        <v>101</v>
      </c>
      <c r="P19" s="4" t="s">
        <v>102</v>
      </c>
      <c r="Q19" s="4" t="s">
        <v>103</v>
      </c>
      <c r="R19" s="4" t="s">
        <v>29</v>
      </c>
    </row>
    <row r="20" customFormat="false" ht="93" hidden="false" customHeight="true" outlineLevel="0" collapsed="false">
      <c r="A20" s="3" t="s">
        <v>104</v>
      </c>
      <c r="B20" s="4" t="s">
        <v>19</v>
      </c>
      <c r="C20" s="4" t="s">
        <v>105</v>
      </c>
      <c r="D20" s="4" t="n">
        <f aca="false">IFERROR(UPD5a!L13,"")</f>
        <v>2.5</v>
      </c>
      <c r="E20" s="4" t="s">
        <v>21</v>
      </c>
      <c r="F20" s="5"/>
      <c r="G20" s="5"/>
      <c r="H20" s="6" t="str">
        <f aca="false">IF(OR(F20="",NOT(ISNUMBER(D20))),"",IF(ABS(F20-D20)&lt;0.001,"Yes","No"))</f>
        <v/>
      </c>
      <c r="I20" s="7" t="n">
        <f aca="false">IF(ISNUMBER(F20),F20,D20)</f>
        <v>2.5</v>
      </c>
      <c r="J20" s="6" t="str">
        <f aca="false">IF(ISNUMBER(F20),"Expert (overrides AI)",IF(ISNUMBER(D20),"AI","Not scored yet"))</f>
        <v>AI</v>
      </c>
      <c r="K20" s="4" t="s">
        <v>22</v>
      </c>
      <c r="L20" s="4" t="s">
        <v>23</v>
      </c>
      <c r="M20" s="4" t="s">
        <v>106</v>
      </c>
      <c r="N20" s="4"/>
      <c r="O20" s="4"/>
      <c r="P20" s="4"/>
      <c r="Q20" s="4"/>
      <c r="R20" s="4" t="s">
        <v>88</v>
      </c>
    </row>
    <row r="21" customFormat="false" ht="93" hidden="false" customHeight="true" outlineLevel="0" collapsed="false">
      <c r="A21" s="3" t="s">
        <v>107</v>
      </c>
      <c r="B21" s="4" t="s">
        <v>19</v>
      </c>
      <c r="C21" s="4" t="s">
        <v>108</v>
      </c>
      <c r="D21" s="4" t="n">
        <f aca="false">IFERROR(UPD5b!L13,"")</f>
        <v>5</v>
      </c>
      <c r="E21" s="4" t="s">
        <v>21</v>
      </c>
      <c r="F21" s="5"/>
      <c r="G21" s="5"/>
      <c r="H21" s="6" t="str">
        <f aca="false">IF(OR(F21="",NOT(ISNUMBER(D21))),"",IF(ABS(F21-D21)&lt;0.001,"Yes","No"))</f>
        <v/>
      </c>
      <c r="I21" s="7" t="n">
        <f aca="false">IF(ISNUMBER(F21),F21,D21)</f>
        <v>5</v>
      </c>
      <c r="J21" s="6" t="str">
        <f aca="false">IF(ISNUMBER(F21),"Expert (overrides AI)",IF(ISNUMBER(D21),"AI","Not scored yet"))</f>
        <v>AI</v>
      </c>
      <c r="K21" s="4" t="s">
        <v>22</v>
      </c>
      <c r="L21" s="4" t="s">
        <v>23</v>
      </c>
      <c r="M21" s="4" t="s">
        <v>109</v>
      </c>
      <c r="N21" s="4" t="s">
        <v>110</v>
      </c>
      <c r="O21" s="4" t="s">
        <v>111</v>
      </c>
      <c r="P21" s="4" t="s">
        <v>112</v>
      </c>
      <c r="Q21" s="4" t="s">
        <v>113</v>
      </c>
      <c r="R21" s="4" t="s">
        <v>29</v>
      </c>
    </row>
    <row r="22" customFormat="false" ht="93" hidden="false" customHeight="true" outlineLevel="0" collapsed="false">
      <c r="A22" s="3" t="s">
        <v>114</v>
      </c>
      <c r="B22" s="4" t="s">
        <v>30</v>
      </c>
      <c r="C22" s="4" t="s">
        <v>115</v>
      </c>
      <c r="D22" s="4" t="n">
        <f aca="false">IFERROR(UPD6a!L14,"")</f>
        <v>2.5</v>
      </c>
      <c r="E22" s="4" t="s">
        <v>21</v>
      </c>
      <c r="F22" s="5"/>
      <c r="G22" s="5"/>
      <c r="H22" s="6" t="str">
        <f aca="false">IF(OR(F22="",NOT(ISNUMBER(D22))),"",IF(ABS(F22-D22)&lt;0.001,"Yes","No"))</f>
        <v/>
      </c>
      <c r="I22" s="7" t="n">
        <f aca="false">IF(ISNUMBER(F22),F22,D22)</f>
        <v>2.5</v>
      </c>
      <c r="J22" s="6" t="str">
        <f aca="false">IF(ISNUMBER(F22),"Expert (overrides AI)",IF(ISNUMBER(D22),"AI","Not scored yet"))</f>
        <v>AI</v>
      </c>
      <c r="K22" s="4" t="s">
        <v>22</v>
      </c>
      <c r="L22" s="4" t="s">
        <v>23</v>
      </c>
      <c r="M22" s="4" t="s">
        <v>116</v>
      </c>
      <c r="N22" s="4" t="s">
        <v>32</v>
      </c>
      <c r="O22" s="4" t="s">
        <v>33</v>
      </c>
      <c r="P22" s="4" t="s">
        <v>117</v>
      </c>
      <c r="Q22" s="4" t="s">
        <v>118</v>
      </c>
      <c r="R22" s="4" t="s">
        <v>29</v>
      </c>
    </row>
    <row r="23" customFormat="false" ht="93" hidden="false" customHeight="true" outlineLevel="0" collapsed="false">
      <c r="A23" s="3" t="s">
        <v>119</v>
      </c>
      <c r="B23" s="4" t="s">
        <v>30</v>
      </c>
      <c r="C23" s="4" t="s">
        <v>120</v>
      </c>
      <c r="D23" s="4" t="n">
        <f aca="false">IFERROR(UPD6b!L14,"")</f>
        <v>1.25</v>
      </c>
      <c r="E23" s="4" t="s">
        <v>21</v>
      </c>
      <c r="F23" s="5"/>
      <c r="G23" s="5"/>
      <c r="H23" s="6" t="str">
        <f aca="false">IF(OR(F23="",NOT(ISNUMBER(D23))),"",IF(ABS(F23-D23)&lt;0.001,"Yes","No"))</f>
        <v/>
      </c>
      <c r="I23" s="7" t="n">
        <f aca="false">IF(ISNUMBER(F23),F23,D23)</f>
        <v>1.25</v>
      </c>
      <c r="J23" s="6" t="str">
        <f aca="false">IF(ISNUMBER(F23),"Expert (overrides AI)",IF(ISNUMBER(D23),"AI","Not scored yet"))</f>
        <v>AI</v>
      </c>
      <c r="K23" s="4" t="s">
        <v>22</v>
      </c>
      <c r="L23" s="4" t="s">
        <v>23</v>
      </c>
      <c r="M23" s="4" t="s">
        <v>121</v>
      </c>
      <c r="N23" s="4"/>
      <c r="O23" s="4"/>
      <c r="P23" s="4"/>
      <c r="Q23" s="4"/>
      <c r="R23" s="4" t="s">
        <v>122</v>
      </c>
    </row>
    <row r="24" customFormat="false" ht="93" hidden="false" customHeight="true" outlineLevel="0" collapsed="false">
      <c r="A24" s="3" t="s">
        <v>123</v>
      </c>
      <c r="B24" s="4" t="s">
        <v>19</v>
      </c>
      <c r="C24" s="4" t="s">
        <v>124</v>
      </c>
      <c r="D24" s="4" t="n">
        <f aca="false">IFERROR(DPG1a!L13,"")</f>
        <v>0</v>
      </c>
      <c r="E24" s="4" t="s">
        <v>21</v>
      </c>
      <c r="F24" s="5"/>
      <c r="G24" s="5"/>
      <c r="H24" s="6" t="str">
        <f aca="false">IF(OR(F24="",NOT(ISNUMBER(D24))),"",IF(ABS(F24-D24)&lt;0.001,"Yes","No"))</f>
        <v/>
      </c>
      <c r="I24" s="7" t="n">
        <f aca="false">IF(ISNUMBER(F24),F24,D24)</f>
        <v>0</v>
      </c>
      <c r="J24" s="6" t="str">
        <f aca="false">IF(ISNUMBER(F24),"Expert (overrides AI)",IF(ISNUMBER(D24),"AI","Not scored yet"))</f>
        <v>AI</v>
      </c>
      <c r="K24" s="4" t="s">
        <v>22</v>
      </c>
      <c r="L24" s="4" t="s">
        <v>23</v>
      </c>
      <c r="M24" s="4" t="s">
        <v>125</v>
      </c>
      <c r="N24" s="4" t="s">
        <v>25</v>
      </c>
      <c r="O24" s="4" t="s">
        <v>26</v>
      </c>
      <c r="P24" s="4" t="s">
        <v>126</v>
      </c>
      <c r="Q24" s="4" t="s">
        <v>127</v>
      </c>
      <c r="R24" s="4" t="s">
        <v>29</v>
      </c>
    </row>
    <row r="25" customFormat="false" ht="93" hidden="false" customHeight="true" outlineLevel="0" collapsed="false">
      <c r="A25" s="3" t="s">
        <v>123</v>
      </c>
      <c r="B25" s="4" t="s">
        <v>30</v>
      </c>
      <c r="C25" s="4" t="s">
        <v>124</v>
      </c>
      <c r="D25" s="4" t="str">
        <f aca="false">IFERROR(DPG1a!L14,"")</f>
        <v/>
      </c>
      <c r="E25" s="4" t="s">
        <v>21</v>
      </c>
      <c r="F25" s="5"/>
      <c r="G25" s="5"/>
      <c r="H25" s="6" t="str">
        <f aca="false">IF(OR(F25="",NOT(ISNUMBER(D25))),"",IF(ABS(F25-D25)&lt;0.001,"Yes","No"))</f>
        <v/>
      </c>
      <c r="I25" s="7" t="str">
        <f aca="false">IF(ISNUMBER(F25),F25,D25)</f>
        <v/>
      </c>
      <c r="J25" s="6" t="str">
        <f aca="false">IF(ISNUMBER(F25),"Expert (overrides AI)",IF(ISNUMBER(D25),"AI","Not scored yet"))</f>
        <v>Not scored yet</v>
      </c>
      <c r="K25" s="4" t="s">
        <v>22</v>
      </c>
      <c r="L25" s="4" t="s">
        <v>57</v>
      </c>
      <c r="M25" s="4"/>
      <c r="N25" s="4"/>
      <c r="O25" s="4"/>
      <c r="P25" s="4"/>
      <c r="Q25" s="4"/>
      <c r="R25" s="4" t="s">
        <v>128</v>
      </c>
    </row>
    <row r="26" customFormat="false" ht="93" hidden="false" customHeight="true" outlineLevel="0" collapsed="false">
      <c r="A26" s="3" t="s">
        <v>123</v>
      </c>
      <c r="B26" s="4" t="s">
        <v>36</v>
      </c>
      <c r="C26" s="4" t="s">
        <v>124</v>
      </c>
      <c r="D26" s="4" t="n">
        <f aca="false">IFERROR(DPG1a!L15,"")</f>
        <v>0</v>
      </c>
      <c r="E26" s="4" t="s">
        <v>21</v>
      </c>
      <c r="F26" s="5"/>
      <c r="G26" s="5"/>
      <c r="H26" s="6" t="str">
        <f aca="false">IF(OR(F26="",NOT(ISNUMBER(D26))),"",IF(ABS(F26-D26)&lt;0.001,"Yes","No"))</f>
        <v/>
      </c>
      <c r="I26" s="7" t="n">
        <f aca="false">IF(ISNUMBER(F26),F26,D26)</f>
        <v>0</v>
      </c>
      <c r="J26" s="6" t="str">
        <f aca="false">IF(ISNUMBER(F26),"Expert (overrides AI)",IF(ISNUMBER(D26),"AI","Not scored yet"))</f>
        <v>AI</v>
      </c>
      <c r="K26" s="4" t="s">
        <v>129</v>
      </c>
      <c r="L26" s="4" t="s">
        <v>23</v>
      </c>
      <c r="M26" s="4" t="s">
        <v>130</v>
      </c>
      <c r="N26" s="4" t="s">
        <v>38</v>
      </c>
      <c r="O26" s="4" t="s">
        <v>39</v>
      </c>
      <c r="P26" s="4" t="s">
        <v>131</v>
      </c>
      <c r="Q26" s="4" t="s">
        <v>132</v>
      </c>
      <c r="R26" s="4"/>
    </row>
    <row r="27" customFormat="false" ht="93" hidden="false" customHeight="true" outlineLevel="0" collapsed="false">
      <c r="A27" s="3" t="s">
        <v>123</v>
      </c>
      <c r="B27" s="4" t="s">
        <v>42</v>
      </c>
      <c r="C27" s="4" t="s">
        <v>124</v>
      </c>
      <c r="D27" s="4" t="n">
        <f aca="false">IFERROR(DPG1a!L16,"")</f>
        <v>5</v>
      </c>
      <c r="E27" s="4" t="s">
        <v>21</v>
      </c>
      <c r="F27" s="5"/>
      <c r="G27" s="5"/>
      <c r="H27" s="6" t="str">
        <f aca="false">IF(OR(F27="",NOT(ISNUMBER(D27))),"",IF(ABS(F27-D27)&lt;0.001,"Yes","No"))</f>
        <v/>
      </c>
      <c r="I27" s="7" t="n">
        <f aca="false">IF(ISNUMBER(F27),F27,D27)</f>
        <v>5</v>
      </c>
      <c r="J27" s="6" t="str">
        <f aca="false">IF(ISNUMBER(F27),"Expert (overrides AI)",IF(ISNUMBER(D27),"AI","Not scored yet"))</f>
        <v>AI</v>
      </c>
      <c r="K27" s="4" t="s">
        <v>22</v>
      </c>
      <c r="L27" s="4" t="s">
        <v>23</v>
      </c>
      <c r="M27" s="4" t="s">
        <v>133</v>
      </c>
      <c r="N27" s="4" t="s">
        <v>44</v>
      </c>
      <c r="O27" s="4" t="s">
        <v>26</v>
      </c>
      <c r="P27" s="4" t="s">
        <v>134</v>
      </c>
      <c r="Q27" s="4" t="s">
        <v>135</v>
      </c>
      <c r="R27" s="4" t="s">
        <v>29</v>
      </c>
    </row>
    <row r="28" customFormat="false" ht="93" hidden="false" customHeight="true" outlineLevel="0" collapsed="false">
      <c r="A28" s="3" t="s">
        <v>123</v>
      </c>
      <c r="B28" s="4" t="s">
        <v>47</v>
      </c>
      <c r="C28" s="4" t="s">
        <v>124</v>
      </c>
      <c r="D28" s="4" t="str">
        <f aca="false">IFERROR(DPG1a!L17,"")</f>
        <v/>
      </c>
      <c r="E28" s="4" t="s">
        <v>21</v>
      </c>
      <c r="F28" s="5"/>
      <c r="G28" s="5"/>
      <c r="H28" s="6" t="str">
        <f aca="false">IF(OR(F28="",NOT(ISNUMBER(D28))),"",IF(ABS(F28-D28)&lt;0.001,"Yes","No"))</f>
        <v/>
      </c>
      <c r="I28" s="7" t="str">
        <f aca="false">IF(ISNUMBER(F28),F28,D28)</f>
        <v/>
      </c>
      <c r="J28" s="6" t="str">
        <f aca="false">IF(ISNUMBER(F28),"Expert (overrides AI)",IF(ISNUMBER(D28),"AI","Not scored yet"))</f>
        <v>Not scored yet</v>
      </c>
      <c r="K28" s="4" t="s">
        <v>22</v>
      </c>
      <c r="L28" s="4" t="s">
        <v>23</v>
      </c>
      <c r="M28" s="4" t="s">
        <v>136</v>
      </c>
      <c r="N28" s="4" t="s">
        <v>137</v>
      </c>
      <c r="O28" s="4" t="s">
        <v>26</v>
      </c>
      <c r="P28" s="4" t="s">
        <v>138</v>
      </c>
      <c r="Q28" s="4" t="s">
        <v>139</v>
      </c>
      <c r="R28" s="4" t="s">
        <v>29</v>
      </c>
    </row>
    <row r="29" customFormat="false" ht="93" hidden="false" customHeight="true" outlineLevel="0" collapsed="false">
      <c r="A29" s="3" t="s">
        <v>140</v>
      </c>
      <c r="B29" s="4" t="s">
        <v>19</v>
      </c>
      <c r="C29" s="4" t="s">
        <v>141</v>
      </c>
      <c r="D29" s="4" t="n">
        <f aca="false">IFERROR(DPG1b!L13,"")</f>
        <v>2.5</v>
      </c>
      <c r="E29" s="4" t="s">
        <v>21</v>
      </c>
      <c r="F29" s="5"/>
      <c r="G29" s="5"/>
      <c r="H29" s="6" t="str">
        <f aca="false">IF(OR(F29="",NOT(ISNUMBER(D29))),"",IF(ABS(F29-D29)&lt;0.001,"Yes","No"))</f>
        <v/>
      </c>
      <c r="I29" s="7" t="n">
        <f aca="false">IF(ISNUMBER(F29),F29,D29)</f>
        <v>2.5</v>
      </c>
      <c r="J29" s="6" t="str">
        <f aca="false">IF(ISNUMBER(F29),"Expert (overrides AI)",IF(ISNUMBER(D29),"AI","Not scored yet"))</f>
        <v>AI</v>
      </c>
      <c r="K29" s="4" t="s">
        <v>22</v>
      </c>
      <c r="L29" s="4" t="s">
        <v>23</v>
      </c>
      <c r="M29" s="4" t="s">
        <v>142</v>
      </c>
      <c r="N29" s="4"/>
      <c r="O29" s="4"/>
      <c r="P29" s="4"/>
      <c r="Q29" s="4"/>
      <c r="R29" s="4" t="s">
        <v>88</v>
      </c>
    </row>
    <row r="30" customFormat="false" ht="93" hidden="false" customHeight="true" outlineLevel="0" collapsed="false">
      <c r="A30" s="3" t="s">
        <v>140</v>
      </c>
      <c r="B30" s="4" t="s">
        <v>30</v>
      </c>
      <c r="C30" s="4" t="s">
        <v>141</v>
      </c>
      <c r="D30" s="4" t="str">
        <f aca="false">IFERROR(DPG1b!L14,"")</f>
        <v/>
      </c>
      <c r="E30" s="4" t="s">
        <v>21</v>
      </c>
      <c r="F30" s="5"/>
      <c r="G30" s="5"/>
      <c r="H30" s="6" t="str">
        <f aca="false">IF(OR(F30="",NOT(ISNUMBER(D30))),"",IF(ABS(F30-D30)&lt;0.001,"Yes","No"))</f>
        <v/>
      </c>
      <c r="I30" s="7" t="str">
        <f aca="false">IF(ISNUMBER(F30),F30,D30)</f>
        <v/>
      </c>
      <c r="J30" s="6" t="str">
        <f aca="false">IF(ISNUMBER(F30),"Expert (overrides AI)",IF(ISNUMBER(D30),"AI","Not scored yet"))</f>
        <v>Not scored yet</v>
      </c>
      <c r="K30" s="4" t="s">
        <v>22</v>
      </c>
      <c r="L30" s="4" t="s">
        <v>57</v>
      </c>
      <c r="M30" s="4"/>
      <c r="N30" s="4"/>
      <c r="O30" s="4"/>
      <c r="P30" s="4"/>
      <c r="Q30" s="4"/>
      <c r="R30" s="4" t="s">
        <v>143</v>
      </c>
    </row>
    <row r="31" customFormat="false" ht="93" hidden="false" customHeight="true" outlineLevel="0" collapsed="false">
      <c r="A31" s="3" t="s">
        <v>140</v>
      </c>
      <c r="B31" s="4" t="s">
        <v>36</v>
      </c>
      <c r="C31" s="4" t="s">
        <v>141</v>
      </c>
      <c r="D31" s="4" t="n">
        <f aca="false">IFERROR(DPG1b!L15,"")</f>
        <v>2.5</v>
      </c>
      <c r="E31" s="4" t="s">
        <v>21</v>
      </c>
      <c r="F31" s="5"/>
      <c r="G31" s="5"/>
      <c r="H31" s="6" t="str">
        <f aca="false">IF(OR(F31="",NOT(ISNUMBER(D31))),"",IF(ABS(F31-D31)&lt;0.001,"Yes","No"))</f>
        <v/>
      </c>
      <c r="I31" s="7" t="n">
        <f aca="false">IF(ISNUMBER(F31),F31,D31)</f>
        <v>2.5</v>
      </c>
      <c r="J31" s="6" t="str">
        <f aca="false">IF(ISNUMBER(F31),"Expert (overrides AI)",IF(ISNUMBER(D31),"AI","Not scored yet"))</f>
        <v>AI</v>
      </c>
      <c r="K31" s="4" t="s">
        <v>129</v>
      </c>
      <c r="L31" s="4" t="s">
        <v>144</v>
      </c>
      <c r="M31" s="4" t="s">
        <v>145</v>
      </c>
      <c r="N31" s="4" t="s">
        <v>38</v>
      </c>
      <c r="O31" s="4" t="s">
        <v>39</v>
      </c>
      <c r="P31" s="4" t="s">
        <v>146</v>
      </c>
      <c r="Q31" s="4" t="s">
        <v>147</v>
      </c>
      <c r="R31" s="4"/>
    </row>
    <row r="32" customFormat="false" ht="93" hidden="false" customHeight="true" outlineLevel="0" collapsed="false">
      <c r="A32" s="3" t="s">
        <v>140</v>
      </c>
      <c r="B32" s="4" t="s">
        <v>42</v>
      </c>
      <c r="C32" s="4" t="s">
        <v>141</v>
      </c>
      <c r="D32" s="4" t="n">
        <f aca="false">IFERROR(DPG1b!L16,"")</f>
        <v>2.5</v>
      </c>
      <c r="E32" s="4" t="s">
        <v>21</v>
      </c>
      <c r="F32" s="5"/>
      <c r="G32" s="5"/>
      <c r="H32" s="6" t="str">
        <f aca="false">IF(OR(F32="",NOT(ISNUMBER(D32))),"",IF(ABS(F32-D32)&lt;0.001,"Yes","No"))</f>
        <v/>
      </c>
      <c r="I32" s="7" t="n">
        <f aca="false">IF(ISNUMBER(F32),F32,D32)</f>
        <v>2.5</v>
      </c>
      <c r="J32" s="6" t="str">
        <f aca="false">IF(ISNUMBER(F32),"Expert (overrides AI)",IF(ISNUMBER(D32),"AI","Not scored yet"))</f>
        <v>AI</v>
      </c>
      <c r="K32" s="4" t="s">
        <v>22</v>
      </c>
      <c r="L32" s="4" t="s">
        <v>57</v>
      </c>
      <c r="M32" s="4"/>
      <c r="N32" s="4"/>
      <c r="O32" s="4"/>
      <c r="P32" s="4"/>
      <c r="Q32" s="4"/>
      <c r="R32" s="4" t="s">
        <v>148</v>
      </c>
    </row>
    <row r="33" customFormat="false" ht="93" hidden="false" customHeight="true" outlineLevel="0" collapsed="false">
      <c r="A33" s="3" t="s">
        <v>140</v>
      </c>
      <c r="B33" s="4" t="s">
        <v>47</v>
      </c>
      <c r="C33" s="4" t="s">
        <v>141</v>
      </c>
      <c r="D33" s="4" t="n">
        <f aca="false">IFERROR(DPG1b!L17,"")</f>
        <v>5</v>
      </c>
      <c r="E33" s="4" t="s">
        <v>21</v>
      </c>
      <c r="F33" s="5"/>
      <c r="G33" s="5"/>
      <c r="H33" s="6" t="str">
        <f aca="false">IF(OR(F33="",NOT(ISNUMBER(D33))),"",IF(ABS(F33-D33)&lt;0.001,"Yes","No"))</f>
        <v/>
      </c>
      <c r="I33" s="7" t="n">
        <f aca="false">IF(ISNUMBER(F33),F33,D33)</f>
        <v>5</v>
      </c>
      <c r="J33" s="6" t="str">
        <f aca="false">IF(ISNUMBER(F33),"Expert (overrides AI)",IF(ISNUMBER(D33),"AI","Not scored yet"))</f>
        <v>AI</v>
      </c>
      <c r="K33" s="4" t="s">
        <v>22</v>
      </c>
      <c r="L33" s="4" t="s">
        <v>144</v>
      </c>
      <c r="M33" s="4" t="s">
        <v>149</v>
      </c>
      <c r="N33" s="4"/>
      <c r="O33" s="4"/>
      <c r="P33" s="4"/>
      <c r="Q33" s="4"/>
      <c r="R33" s="4" t="s">
        <v>49</v>
      </c>
    </row>
    <row r="34" customFormat="false" ht="93" hidden="false" customHeight="true" outlineLevel="0" collapsed="false">
      <c r="A34" s="3" t="s">
        <v>150</v>
      </c>
      <c r="B34" s="4" t="s">
        <v>19</v>
      </c>
      <c r="C34" s="4" t="s">
        <v>151</v>
      </c>
      <c r="D34" s="4" t="n">
        <f aca="false">IFERROR(DPG2a!L13,"")</f>
        <v>0</v>
      </c>
      <c r="E34" s="4" t="s">
        <v>21</v>
      </c>
      <c r="F34" s="5"/>
      <c r="G34" s="5"/>
      <c r="H34" s="6" t="str">
        <f aca="false">IF(OR(F34="",NOT(ISNUMBER(D34))),"",IF(ABS(F34-D34)&lt;0.001,"Yes","No"))</f>
        <v/>
      </c>
      <c r="I34" s="7" t="n">
        <f aca="false">IF(ISNUMBER(F34),F34,D34)</f>
        <v>0</v>
      </c>
      <c r="J34" s="6" t="str">
        <f aca="false">IF(ISNUMBER(F34),"Expert (overrides AI)",IF(ISNUMBER(D34),"AI","Not scored yet"))</f>
        <v>AI</v>
      </c>
      <c r="K34" s="4" t="s">
        <v>22</v>
      </c>
      <c r="L34" s="4" t="s">
        <v>23</v>
      </c>
      <c r="M34" s="4" t="s">
        <v>152</v>
      </c>
      <c r="N34" s="4"/>
      <c r="O34" s="4"/>
      <c r="P34" s="4"/>
      <c r="Q34" s="4"/>
      <c r="R34" s="4" t="s">
        <v>88</v>
      </c>
    </row>
    <row r="35" customFormat="false" ht="93" hidden="false" customHeight="true" outlineLevel="0" collapsed="false">
      <c r="A35" s="3" t="s">
        <v>150</v>
      </c>
      <c r="B35" s="4" t="s">
        <v>30</v>
      </c>
      <c r="C35" s="4" t="s">
        <v>151</v>
      </c>
      <c r="D35" s="4" t="str">
        <f aca="false">IFERROR(DPG2a!L14,"")</f>
        <v/>
      </c>
      <c r="E35" s="4" t="s">
        <v>21</v>
      </c>
      <c r="F35" s="5"/>
      <c r="G35" s="5"/>
      <c r="H35" s="6" t="str">
        <f aca="false">IF(OR(F35="",NOT(ISNUMBER(D35))),"",IF(ABS(F35-D35)&lt;0.001,"Yes","No"))</f>
        <v/>
      </c>
      <c r="I35" s="7" t="str">
        <f aca="false">IF(ISNUMBER(F35),F35,D35)</f>
        <v/>
      </c>
      <c r="J35" s="6" t="str">
        <f aca="false">IF(ISNUMBER(F35),"Expert (overrides AI)",IF(ISNUMBER(D35),"AI","Not scored yet"))</f>
        <v>Not scored yet</v>
      </c>
      <c r="K35" s="4" t="s">
        <v>22</v>
      </c>
      <c r="L35" s="4" t="s">
        <v>57</v>
      </c>
      <c r="M35" s="4"/>
      <c r="N35" s="4"/>
      <c r="O35" s="4"/>
      <c r="P35" s="4"/>
      <c r="Q35" s="4"/>
      <c r="R35" s="4" t="s">
        <v>153</v>
      </c>
    </row>
    <row r="36" customFormat="false" ht="93" hidden="false" customHeight="true" outlineLevel="0" collapsed="false">
      <c r="A36" s="3" t="s">
        <v>150</v>
      </c>
      <c r="B36" s="4" t="s">
        <v>36</v>
      </c>
      <c r="C36" s="4" t="s">
        <v>151</v>
      </c>
      <c r="D36" s="4" t="n">
        <f aca="false">IFERROR(DPG2a!L15,"")</f>
        <v>5</v>
      </c>
      <c r="E36" s="4" t="s">
        <v>21</v>
      </c>
      <c r="F36" s="5"/>
      <c r="G36" s="5"/>
      <c r="H36" s="6" t="str">
        <f aca="false">IF(OR(F36="",NOT(ISNUMBER(D36))),"",IF(ABS(F36-D36)&lt;0.001,"Yes","No"))</f>
        <v/>
      </c>
      <c r="I36" s="7" t="n">
        <f aca="false">IF(ISNUMBER(F36),F36,D36)</f>
        <v>5</v>
      </c>
      <c r="J36" s="6" t="str">
        <f aca="false">IF(ISNUMBER(F36),"Expert (overrides AI)",IF(ISNUMBER(D36),"AI","Not scored yet"))</f>
        <v>AI</v>
      </c>
      <c r="K36" s="4" t="s">
        <v>22</v>
      </c>
      <c r="L36" s="4" t="s">
        <v>23</v>
      </c>
      <c r="M36" s="4" t="s">
        <v>154</v>
      </c>
      <c r="N36" s="4" t="s">
        <v>38</v>
      </c>
      <c r="O36" s="4" t="s">
        <v>39</v>
      </c>
      <c r="P36" s="4" t="s">
        <v>155</v>
      </c>
      <c r="Q36" s="4" t="s">
        <v>156</v>
      </c>
      <c r="R36" s="4" t="s">
        <v>29</v>
      </c>
    </row>
    <row r="37" customFormat="false" ht="93" hidden="false" customHeight="true" outlineLevel="0" collapsed="false">
      <c r="A37" s="3" t="s">
        <v>150</v>
      </c>
      <c r="B37" s="4" t="s">
        <v>42</v>
      </c>
      <c r="C37" s="4" t="s">
        <v>151</v>
      </c>
      <c r="D37" s="4" t="n">
        <f aca="false">IFERROR(DPG2a!L16,"")</f>
        <v>0</v>
      </c>
      <c r="E37" s="4" t="s">
        <v>21</v>
      </c>
      <c r="F37" s="5"/>
      <c r="G37" s="5"/>
      <c r="H37" s="6" t="str">
        <f aca="false">IF(OR(F37="",NOT(ISNUMBER(D37))),"",IF(ABS(F37-D37)&lt;0.001,"Yes","No"))</f>
        <v/>
      </c>
      <c r="I37" s="7" t="n">
        <f aca="false">IF(ISNUMBER(F37),F37,D37)</f>
        <v>0</v>
      </c>
      <c r="J37" s="6" t="str">
        <f aca="false">IF(ISNUMBER(F37),"Expert (overrides AI)",IF(ISNUMBER(D37),"AI","Not scored yet"))</f>
        <v>AI</v>
      </c>
      <c r="K37" s="4" t="s">
        <v>22</v>
      </c>
      <c r="L37" s="4" t="s">
        <v>23</v>
      </c>
      <c r="M37" s="4" t="s">
        <v>157</v>
      </c>
      <c r="N37" s="4" t="s">
        <v>158</v>
      </c>
      <c r="O37" s="4" t="s">
        <v>159</v>
      </c>
      <c r="P37" s="4" t="s">
        <v>160</v>
      </c>
      <c r="Q37" s="4" t="s">
        <v>161</v>
      </c>
      <c r="R37" s="4" t="s">
        <v>29</v>
      </c>
    </row>
    <row r="38" customFormat="false" ht="93" hidden="false" customHeight="true" outlineLevel="0" collapsed="false">
      <c r="A38" s="3" t="s">
        <v>150</v>
      </c>
      <c r="B38" s="4" t="s">
        <v>47</v>
      </c>
      <c r="C38" s="4" t="s">
        <v>151</v>
      </c>
      <c r="D38" s="4" t="n">
        <f aca="false">IFERROR(DPG2a!L17,"")</f>
        <v>5</v>
      </c>
      <c r="E38" s="4" t="s">
        <v>21</v>
      </c>
      <c r="F38" s="5"/>
      <c r="G38" s="5"/>
      <c r="H38" s="6" t="str">
        <f aca="false">IF(OR(F38="",NOT(ISNUMBER(D38))),"",IF(ABS(F38-D38)&lt;0.001,"Yes","No"))</f>
        <v/>
      </c>
      <c r="I38" s="7" t="n">
        <f aca="false">IF(ISNUMBER(F38),F38,D38)</f>
        <v>5</v>
      </c>
      <c r="J38" s="6" t="str">
        <f aca="false">IF(ISNUMBER(F38),"Expert (overrides AI)",IF(ISNUMBER(D38),"AI","Not scored yet"))</f>
        <v>AI</v>
      </c>
      <c r="K38" s="4" t="s">
        <v>22</v>
      </c>
      <c r="L38" s="4" t="s">
        <v>23</v>
      </c>
      <c r="M38" s="4" t="s">
        <v>162</v>
      </c>
      <c r="N38" s="4"/>
      <c r="O38" s="4"/>
      <c r="P38" s="4"/>
      <c r="Q38" s="4"/>
      <c r="R38" s="4" t="s">
        <v>49</v>
      </c>
    </row>
    <row r="39" customFormat="false" ht="93" hidden="false" customHeight="true" outlineLevel="0" collapsed="false">
      <c r="A39" s="3" t="s">
        <v>163</v>
      </c>
      <c r="B39" s="4" t="s">
        <v>19</v>
      </c>
      <c r="C39" s="4" t="s">
        <v>164</v>
      </c>
      <c r="D39" s="4" t="n">
        <f aca="false">IFERROR(DPG2b!L13,"")</f>
        <v>0</v>
      </c>
      <c r="E39" s="4" t="s">
        <v>21</v>
      </c>
      <c r="F39" s="5"/>
      <c r="G39" s="5"/>
      <c r="H39" s="6" t="str">
        <f aca="false">IF(OR(F39="",NOT(ISNUMBER(D39))),"",IF(ABS(F39-D39)&lt;0.001,"Yes","No"))</f>
        <v/>
      </c>
      <c r="I39" s="7" t="n">
        <f aca="false">IF(ISNUMBER(F39),F39,D39)</f>
        <v>0</v>
      </c>
      <c r="J39" s="6" t="str">
        <f aca="false">IF(ISNUMBER(F39),"Expert (overrides AI)",IF(ISNUMBER(D39),"AI","Not scored yet"))</f>
        <v>AI</v>
      </c>
      <c r="K39" s="4" t="s">
        <v>22</v>
      </c>
      <c r="L39" s="4" t="s">
        <v>23</v>
      </c>
      <c r="M39" s="4" t="s">
        <v>165</v>
      </c>
      <c r="N39" s="4"/>
      <c r="O39" s="4"/>
      <c r="P39" s="4"/>
      <c r="Q39" s="4"/>
      <c r="R39" s="4" t="s">
        <v>88</v>
      </c>
    </row>
    <row r="40" customFormat="false" ht="93" hidden="false" customHeight="true" outlineLevel="0" collapsed="false">
      <c r="A40" s="3" t="s">
        <v>163</v>
      </c>
      <c r="B40" s="4" t="s">
        <v>30</v>
      </c>
      <c r="C40" s="4" t="s">
        <v>164</v>
      </c>
      <c r="D40" s="4" t="str">
        <f aca="false">IFERROR(DPG2b!L14,"")</f>
        <v/>
      </c>
      <c r="E40" s="4" t="s">
        <v>21</v>
      </c>
      <c r="F40" s="5"/>
      <c r="G40" s="5"/>
      <c r="H40" s="6" t="str">
        <f aca="false">IF(OR(F40="",NOT(ISNUMBER(D40))),"",IF(ABS(F40-D40)&lt;0.001,"Yes","No"))</f>
        <v/>
      </c>
      <c r="I40" s="7" t="str">
        <f aca="false">IF(ISNUMBER(F40),F40,D40)</f>
        <v/>
      </c>
      <c r="J40" s="6" t="str">
        <f aca="false">IF(ISNUMBER(F40),"Expert (overrides AI)",IF(ISNUMBER(D40),"AI","Not scored yet"))</f>
        <v>Not scored yet</v>
      </c>
      <c r="K40" s="4" t="s">
        <v>22</v>
      </c>
      <c r="L40" s="4" t="s">
        <v>57</v>
      </c>
      <c r="M40" s="4"/>
      <c r="N40" s="4"/>
      <c r="O40" s="4"/>
      <c r="P40" s="4"/>
      <c r="Q40" s="4"/>
      <c r="R40" s="4" t="s">
        <v>166</v>
      </c>
    </row>
    <row r="41" customFormat="false" ht="93" hidden="false" customHeight="true" outlineLevel="0" collapsed="false">
      <c r="A41" s="3" t="s">
        <v>163</v>
      </c>
      <c r="B41" s="4" t="s">
        <v>36</v>
      </c>
      <c r="C41" s="4" t="s">
        <v>164</v>
      </c>
      <c r="D41" s="4" t="n">
        <f aca="false">IFERROR(DPG2b!L15,"")</f>
        <v>0</v>
      </c>
      <c r="E41" s="4" t="s">
        <v>21</v>
      </c>
      <c r="F41" s="5"/>
      <c r="G41" s="5"/>
      <c r="H41" s="6" t="str">
        <f aca="false">IF(OR(F41="",NOT(ISNUMBER(D41))),"",IF(ABS(F41-D41)&lt;0.001,"Yes","No"))</f>
        <v/>
      </c>
      <c r="I41" s="7" t="n">
        <f aca="false">IF(ISNUMBER(F41),F41,D41)</f>
        <v>0</v>
      </c>
      <c r="J41" s="6" t="str">
        <f aca="false">IF(ISNUMBER(F41),"Expert (overrides AI)",IF(ISNUMBER(D41),"AI","Not scored yet"))</f>
        <v>AI</v>
      </c>
      <c r="K41" s="4" t="s">
        <v>22</v>
      </c>
      <c r="L41" s="4" t="s">
        <v>23</v>
      </c>
      <c r="M41" s="4" t="s">
        <v>167</v>
      </c>
      <c r="N41" s="4" t="s">
        <v>38</v>
      </c>
      <c r="O41" s="4" t="s">
        <v>39</v>
      </c>
      <c r="P41" s="4" t="s">
        <v>40</v>
      </c>
      <c r="Q41" s="4" t="s">
        <v>168</v>
      </c>
      <c r="R41" s="4" t="s">
        <v>29</v>
      </c>
    </row>
    <row r="42" customFormat="false" ht="93" hidden="false" customHeight="true" outlineLevel="0" collapsed="false">
      <c r="A42" s="3" t="s">
        <v>163</v>
      </c>
      <c r="B42" s="4" t="s">
        <v>42</v>
      </c>
      <c r="C42" s="4" t="s">
        <v>164</v>
      </c>
      <c r="D42" s="4" t="n">
        <f aca="false">IFERROR(DPG2b!L16,"")</f>
        <v>0</v>
      </c>
      <c r="E42" s="4" t="s">
        <v>21</v>
      </c>
      <c r="F42" s="5"/>
      <c r="G42" s="5"/>
      <c r="H42" s="6" t="str">
        <f aca="false">IF(OR(F42="",NOT(ISNUMBER(D42))),"",IF(ABS(F42-D42)&lt;0.001,"Yes","No"))</f>
        <v/>
      </c>
      <c r="I42" s="7" t="n">
        <f aca="false">IF(ISNUMBER(F42),F42,D42)</f>
        <v>0</v>
      </c>
      <c r="J42" s="6" t="str">
        <f aca="false">IF(ISNUMBER(F42),"Expert (overrides AI)",IF(ISNUMBER(D42),"AI","Not scored yet"))</f>
        <v>AI</v>
      </c>
      <c r="K42" s="4" t="s">
        <v>22</v>
      </c>
      <c r="L42" s="4" t="s">
        <v>23</v>
      </c>
      <c r="M42" s="4" t="s">
        <v>169</v>
      </c>
      <c r="N42" s="4" t="s">
        <v>44</v>
      </c>
      <c r="O42" s="4" t="s">
        <v>26</v>
      </c>
      <c r="P42" s="4" t="s">
        <v>170</v>
      </c>
      <c r="Q42" s="4" t="s">
        <v>171</v>
      </c>
      <c r="R42" s="4" t="s">
        <v>29</v>
      </c>
    </row>
    <row r="43" customFormat="false" ht="93" hidden="false" customHeight="true" outlineLevel="0" collapsed="false">
      <c r="A43" s="3" t="s">
        <v>163</v>
      </c>
      <c r="B43" s="4" t="s">
        <v>47</v>
      </c>
      <c r="C43" s="4" t="s">
        <v>164</v>
      </c>
      <c r="D43" s="4" t="n">
        <f aca="false">IFERROR(DPG2b!L17,"")</f>
        <v>0</v>
      </c>
      <c r="E43" s="4" t="s">
        <v>21</v>
      </c>
      <c r="F43" s="5"/>
      <c r="G43" s="5"/>
      <c r="H43" s="6" t="str">
        <f aca="false">IF(OR(F43="",NOT(ISNUMBER(D43))),"",IF(ABS(F43-D43)&lt;0.001,"Yes","No"))</f>
        <v/>
      </c>
      <c r="I43" s="7" t="n">
        <f aca="false">IF(ISNUMBER(F43),F43,D43)</f>
        <v>0</v>
      </c>
      <c r="J43" s="6" t="str">
        <f aca="false">IF(ISNUMBER(F43),"Expert (overrides AI)",IF(ISNUMBER(D43),"AI","Not scored yet"))</f>
        <v>AI</v>
      </c>
      <c r="K43" s="4" t="s">
        <v>22</v>
      </c>
      <c r="L43" s="4" t="s">
        <v>23</v>
      </c>
      <c r="M43" s="4" t="s">
        <v>172</v>
      </c>
      <c r="N43" s="4"/>
      <c r="O43" s="4"/>
      <c r="P43" s="4"/>
      <c r="Q43" s="4"/>
      <c r="R43" s="4" t="s">
        <v>49</v>
      </c>
    </row>
    <row r="44" customFormat="false" ht="93" hidden="false" customHeight="true" outlineLevel="0" collapsed="false">
      <c r="A44" s="3" t="s">
        <v>173</v>
      </c>
      <c r="B44" s="4" t="s">
        <v>19</v>
      </c>
      <c r="C44" s="4" t="s">
        <v>174</v>
      </c>
      <c r="D44" s="4" t="str">
        <f aca="false">IFERROR('DPG4'!L13,"")</f>
        <v/>
      </c>
      <c r="E44" s="4" t="s">
        <v>175</v>
      </c>
      <c r="F44" s="5"/>
      <c r="G44" s="5"/>
      <c r="H44" s="6" t="str">
        <f aca="false">IF(OR(F44="",NOT(ISNUMBER(D44))),"",IF(ABS(F44-D44)&lt;0.001,"Yes","No"))</f>
        <v/>
      </c>
      <c r="I44" s="7" t="str">
        <f aca="false">IF(ISNUMBER(F44),F44,D44)</f>
        <v/>
      </c>
      <c r="J44" s="6" t="str">
        <f aca="false">IF(ISNUMBER(F44),"Expert (overrides AI)",IF(ISNUMBER(D44),"AI","Not scored yet"))</f>
        <v>Not scored yet</v>
      </c>
      <c r="K44" s="4" t="s">
        <v>22</v>
      </c>
      <c r="L44" s="4" t="s">
        <v>23</v>
      </c>
      <c r="M44" s="4" t="s">
        <v>176</v>
      </c>
      <c r="N44" s="4" t="s">
        <v>177</v>
      </c>
      <c r="O44" s="4" t="s">
        <v>178</v>
      </c>
      <c r="P44" s="4" t="s">
        <v>179</v>
      </c>
      <c r="Q44" s="4" t="s">
        <v>180</v>
      </c>
      <c r="R44" s="4" t="s">
        <v>29</v>
      </c>
    </row>
    <row r="45" customFormat="false" ht="93" hidden="false" customHeight="true" outlineLevel="0" collapsed="false">
      <c r="A45" s="3" t="s">
        <v>173</v>
      </c>
      <c r="B45" s="4" t="s">
        <v>30</v>
      </c>
      <c r="C45" s="4" t="s">
        <v>174</v>
      </c>
      <c r="D45" s="4" t="n">
        <f aca="false">IFERROR('DPG4'!L14,"")</f>
        <v>10</v>
      </c>
      <c r="E45" s="4" t="s">
        <v>175</v>
      </c>
      <c r="F45" s="5"/>
      <c r="G45" s="5"/>
      <c r="H45" s="6" t="str">
        <f aca="false">IF(OR(F45="",NOT(ISNUMBER(D45))),"",IF(ABS(F45-D45)&lt;0.001,"Yes","No"))</f>
        <v/>
      </c>
      <c r="I45" s="7" t="n">
        <f aca="false">IF(ISNUMBER(F45),F45,D45)</f>
        <v>10</v>
      </c>
      <c r="J45" s="6" t="str">
        <f aca="false">IF(ISNUMBER(F45),"Expert (overrides AI)",IF(ISNUMBER(D45),"AI","Not scored yet"))</f>
        <v>AI</v>
      </c>
      <c r="K45" s="4" t="s">
        <v>129</v>
      </c>
      <c r="L45" s="4" t="s">
        <v>144</v>
      </c>
      <c r="M45" s="4" t="s">
        <v>181</v>
      </c>
      <c r="N45" s="4" t="s">
        <v>182</v>
      </c>
      <c r="O45" s="4" t="s">
        <v>183</v>
      </c>
      <c r="P45" s="4" t="s">
        <v>184</v>
      </c>
      <c r="Q45" s="4" t="s">
        <v>185</v>
      </c>
      <c r="R45" s="4"/>
    </row>
    <row r="46" customFormat="false" ht="93" hidden="false" customHeight="true" outlineLevel="0" collapsed="false">
      <c r="A46" s="3" t="s">
        <v>173</v>
      </c>
      <c r="B46" s="4" t="s">
        <v>36</v>
      </c>
      <c r="C46" s="4" t="s">
        <v>174</v>
      </c>
      <c r="D46" s="4" t="str">
        <f aca="false">IFERROR('DPG4'!L15,"")</f>
        <v/>
      </c>
      <c r="E46" s="4" t="s">
        <v>175</v>
      </c>
      <c r="F46" s="5"/>
      <c r="G46" s="5"/>
      <c r="H46" s="6" t="str">
        <f aca="false">IF(OR(F46="",NOT(ISNUMBER(D46))),"",IF(ABS(F46-D46)&lt;0.001,"Yes","No"))</f>
        <v/>
      </c>
      <c r="I46" s="7" t="str">
        <f aca="false">IF(ISNUMBER(F46),F46,D46)</f>
        <v/>
      </c>
      <c r="J46" s="6" t="str">
        <f aca="false">IF(ISNUMBER(F46),"Expert (overrides AI)",IF(ISNUMBER(D46),"AI","Not scored yet"))</f>
        <v>Not scored yet</v>
      </c>
      <c r="K46" s="4" t="s">
        <v>22</v>
      </c>
      <c r="L46" s="4" t="s">
        <v>57</v>
      </c>
      <c r="M46" s="4"/>
      <c r="N46" s="4"/>
      <c r="O46" s="4"/>
      <c r="P46" s="4"/>
      <c r="Q46" s="4"/>
      <c r="R46" s="4" t="s">
        <v>186</v>
      </c>
    </row>
    <row r="47" customFormat="false" ht="93" hidden="false" customHeight="true" outlineLevel="0" collapsed="false">
      <c r="A47" s="3" t="s">
        <v>173</v>
      </c>
      <c r="B47" s="4" t="s">
        <v>42</v>
      </c>
      <c r="C47" s="4" t="s">
        <v>174</v>
      </c>
      <c r="D47" s="4" t="str">
        <f aca="false">IFERROR('DPG4'!L16,"")</f>
        <v/>
      </c>
      <c r="E47" s="4" t="s">
        <v>175</v>
      </c>
      <c r="F47" s="5"/>
      <c r="G47" s="5"/>
      <c r="H47" s="6" t="str">
        <f aca="false">IF(OR(F47="",NOT(ISNUMBER(D47))),"",IF(ABS(F47-D47)&lt;0.001,"Yes","No"))</f>
        <v/>
      </c>
      <c r="I47" s="7" t="str">
        <f aca="false">IF(ISNUMBER(F47),F47,D47)</f>
        <v/>
      </c>
      <c r="J47" s="6" t="str">
        <f aca="false">IF(ISNUMBER(F47),"Expert (overrides AI)",IF(ISNUMBER(D47),"AI","Not scored yet"))</f>
        <v>Not scored yet</v>
      </c>
      <c r="K47" s="4" t="s">
        <v>22</v>
      </c>
      <c r="L47" s="4" t="s">
        <v>23</v>
      </c>
      <c r="M47" s="4" t="s">
        <v>187</v>
      </c>
      <c r="N47" s="4"/>
      <c r="O47" s="4"/>
      <c r="P47" s="4"/>
      <c r="Q47" s="4" t="s">
        <v>188</v>
      </c>
      <c r="R47" s="4" t="s">
        <v>189</v>
      </c>
    </row>
    <row r="48" customFormat="false" ht="93" hidden="false" customHeight="true" outlineLevel="0" collapsed="false">
      <c r="A48" s="3" t="s">
        <v>173</v>
      </c>
      <c r="B48" s="4" t="s">
        <v>47</v>
      </c>
      <c r="C48" s="4" t="s">
        <v>174</v>
      </c>
      <c r="D48" s="4" t="n">
        <f aca="false">IFERROR('DPG4'!L17,"")</f>
        <v>10</v>
      </c>
      <c r="E48" s="4" t="s">
        <v>175</v>
      </c>
      <c r="F48" s="5"/>
      <c r="G48" s="5"/>
      <c r="H48" s="6" t="str">
        <f aca="false">IF(OR(F48="",NOT(ISNUMBER(D48))),"",IF(ABS(F48-D48)&lt;0.001,"Yes","No"))</f>
        <v/>
      </c>
      <c r="I48" s="7" t="n">
        <f aca="false">IF(ISNUMBER(F48),F48,D48)</f>
        <v>10</v>
      </c>
      <c r="J48" s="6" t="str">
        <f aca="false">IF(ISNUMBER(F48),"Expert (overrides AI)",IF(ISNUMBER(D48),"AI","Not scored yet"))</f>
        <v>AI</v>
      </c>
      <c r="K48" s="4" t="s">
        <v>129</v>
      </c>
      <c r="L48" s="4" t="s">
        <v>144</v>
      </c>
      <c r="M48" s="4" t="s">
        <v>190</v>
      </c>
      <c r="N48" s="4" t="s">
        <v>191</v>
      </c>
      <c r="O48" s="4" t="s">
        <v>192</v>
      </c>
      <c r="P48" s="4" t="s">
        <v>193</v>
      </c>
      <c r="Q48" s="4" t="s">
        <v>194</v>
      </c>
      <c r="R48" s="4"/>
    </row>
    <row r="49" customFormat="false" ht="93" hidden="false" customHeight="true" outlineLevel="0" collapsed="false">
      <c r="A49" s="3" t="s">
        <v>195</v>
      </c>
      <c r="B49" s="4" t="s">
        <v>19</v>
      </c>
      <c r="C49" s="4" t="s">
        <v>196</v>
      </c>
      <c r="D49" s="4" t="str">
        <f aca="false">IFERROR(DPG5a!L13,"")</f>
        <v/>
      </c>
      <c r="E49" s="4" t="s">
        <v>197</v>
      </c>
      <c r="F49" s="5"/>
      <c r="G49" s="5"/>
      <c r="H49" s="6" t="str">
        <f aca="false">IF(OR(F49="",NOT(ISNUMBER(D49))),"",IF(ABS(F49-D49)&lt;0.001,"Yes","No"))</f>
        <v/>
      </c>
      <c r="I49" s="7" t="str">
        <f aca="false">IF(ISNUMBER(F49),F49,D49)</f>
        <v/>
      </c>
      <c r="J49" s="6" t="str">
        <f aca="false">IF(ISNUMBER(F49),"Expert (overrides AI)",IF(ISNUMBER(D49),"AI","Not scored yet"))</f>
        <v>Not scored yet</v>
      </c>
      <c r="K49" s="4" t="s">
        <v>22</v>
      </c>
      <c r="L49" s="4" t="s">
        <v>57</v>
      </c>
      <c r="M49" s="4"/>
      <c r="N49" s="4"/>
      <c r="O49" s="4"/>
      <c r="P49" s="4"/>
      <c r="Q49" s="4"/>
      <c r="R49" s="4" t="s">
        <v>198</v>
      </c>
    </row>
    <row r="50" customFormat="false" ht="93" hidden="false" customHeight="true" outlineLevel="0" collapsed="false">
      <c r="A50" s="3" t="s">
        <v>195</v>
      </c>
      <c r="B50" s="4" t="s">
        <v>30</v>
      </c>
      <c r="C50" s="4" t="s">
        <v>196</v>
      </c>
      <c r="D50" s="4" t="str">
        <f aca="false">IFERROR(DPG5a!L14,"")</f>
        <v/>
      </c>
      <c r="E50" s="4" t="s">
        <v>197</v>
      </c>
      <c r="F50" s="5"/>
      <c r="G50" s="5"/>
      <c r="H50" s="6" t="str">
        <f aca="false">IF(OR(F50="",NOT(ISNUMBER(D50))),"",IF(ABS(F50-D50)&lt;0.001,"Yes","No"))</f>
        <v/>
      </c>
      <c r="I50" s="7" t="str">
        <f aca="false">IF(ISNUMBER(F50),F50,D50)</f>
        <v/>
      </c>
      <c r="J50" s="6" t="str">
        <f aca="false">IF(ISNUMBER(F50),"Expert (overrides AI)",IF(ISNUMBER(D50),"AI","Not scored yet"))</f>
        <v>Not scored yet</v>
      </c>
      <c r="K50" s="4" t="s">
        <v>22</v>
      </c>
      <c r="L50" s="4" t="s">
        <v>57</v>
      </c>
      <c r="M50" s="4"/>
      <c r="N50" s="4"/>
      <c r="O50" s="4"/>
      <c r="P50" s="4"/>
      <c r="Q50" s="4"/>
      <c r="R50" s="4" t="s">
        <v>199</v>
      </c>
    </row>
    <row r="51" customFormat="false" ht="93" hidden="false" customHeight="true" outlineLevel="0" collapsed="false">
      <c r="A51" s="3" t="s">
        <v>195</v>
      </c>
      <c r="B51" s="4" t="s">
        <v>36</v>
      </c>
      <c r="C51" s="4" t="s">
        <v>196</v>
      </c>
      <c r="D51" s="4" t="str">
        <f aca="false">IFERROR(DPG5a!L15,"")</f>
        <v/>
      </c>
      <c r="E51" s="4" t="s">
        <v>197</v>
      </c>
      <c r="F51" s="5"/>
      <c r="G51" s="5"/>
      <c r="H51" s="6" t="str">
        <f aca="false">IF(OR(F51="",NOT(ISNUMBER(D51))),"",IF(ABS(F51-D51)&lt;0.001,"Yes","No"))</f>
        <v/>
      </c>
      <c r="I51" s="7" t="str">
        <f aca="false">IF(ISNUMBER(F51),F51,D51)</f>
        <v/>
      </c>
      <c r="J51" s="6" t="str">
        <f aca="false">IF(ISNUMBER(F51),"Expert (overrides AI)",IF(ISNUMBER(D51),"AI","Not scored yet"))</f>
        <v>Not scored yet</v>
      </c>
      <c r="K51" s="4" t="s">
        <v>22</v>
      </c>
      <c r="L51" s="4" t="s">
        <v>57</v>
      </c>
      <c r="M51" s="4"/>
      <c r="N51" s="4"/>
      <c r="O51" s="4"/>
      <c r="P51" s="4"/>
      <c r="Q51" s="4"/>
      <c r="R51" s="4" t="s">
        <v>200</v>
      </c>
    </row>
    <row r="52" customFormat="false" ht="93" hidden="false" customHeight="true" outlineLevel="0" collapsed="false">
      <c r="A52" s="3" t="s">
        <v>195</v>
      </c>
      <c r="B52" s="4" t="s">
        <v>42</v>
      </c>
      <c r="C52" s="4" t="s">
        <v>196</v>
      </c>
      <c r="D52" s="4" t="str">
        <f aca="false">IFERROR(DPG5a!L16,"")</f>
        <v/>
      </c>
      <c r="E52" s="4" t="s">
        <v>197</v>
      </c>
      <c r="F52" s="5"/>
      <c r="G52" s="5"/>
      <c r="H52" s="6" t="str">
        <f aca="false">IF(OR(F52="",NOT(ISNUMBER(D52))),"",IF(ABS(F52-D52)&lt;0.001,"Yes","No"))</f>
        <v/>
      </c>
      <c r="I52" s="7" t="str">
        <f aca="false">IF(ISNUMBER(F52),F52,D52)</f>
        <v/>
      </c>
      <c r="J52" s="6" t="str">
        <f aca="false">IF(ISNUMBER(F52),"Expert (overrides AI)",IF(ISNUMBER(D52),"AI","Not scored yet"))</f>
        <v>Not scored yet</v>
      </c>
      <c r="K52" s="4" t="s">
        <v>22</v>
      </c>
      <c r="L52" s="4" t="s">
        <v>57</v>
      </c>
      <c r="M52" s="4"/>
      <c r="N52" s="4"/>
      <c r="O52" s="4"/>
      <c r="P52" s="4"/>
      <c r="Q52" s="4"/>
      <c r="R52" s="4" t="s">
        <v>201</v>
      </c>
    </row>
    <row r="53" customFormat="false" ht="93" hidden="false" customHeight="true" outlineLevel="0" collapsed="false">
      <c r="A53" s="3" t="s">
        <v>195</v>
      </c>
      <c r="B53" s="4" t="s">
        <v>47</v>
      </c>
      <c r="C53" s="4" t="s">
        <v>196</v>
      </c>
      <c r="D53" s="4" t="str">
        <f aca="false">IFERROR(DPG5a!L17,"")</f>
        <v/>
      </c>
      <c r="E53" s="4" t="s">
        <v>197</v>
      </c>
      <c r="F53" s="5"/>
      <c r="G53" s="5"/>
      <c r="H53" s="6" t="str">
        <f aca="false">IF(OR(F53="",NOT(ISNUMBER(D53))),"",IF(ABS(F53-D53)&lt;0.001,"Yes","No"))</f>
        <v/>
      </c>
      <c r="I53" s="7" t="str">
        <f aca="false">IF(ISNUMBER(F53),F53,D53)</f>
        <v/>
      </c>
      <c r="J53" s="6" t="str">
        <f aca="false">IF(ISNUMBER(F53),"Expert (overrides AI)",IF(ISNUMBER(D53),"AI","Not scored yet"))</f>
        <v>Not scored yet</v>
      </c>
      <c r="K53" s="4" t="s">
        <v>22</v>
      </c>
      <c r="L53" s="4" t="s">
        <v>57</v>
      </c>
      <c r="M53" s="4"/>
      <c r="N53" s="4"/>
      <c r="O53" s="4"/>
      <c r="P53" s="4"/>
      <c r="Q53" s="4"/>
      <c r="R53" s="4" t="s">
        <v>202</v>
      </c>
    </row>
    <row r="54" customFormat="false" ht="93" hidden="false" customHeight="true" outlineLevel="0" collapsed="false">
      <c r="A54" s="3" t="s">
        <v>203</v>
      </c>
      <c r="B54" s="4" t="s">
        <v>19</v>
      </c>
      <c r="C54" s="4" t="s">
        <v>204</v>
      </c>
      <c r="D54" s="4" t="str">
        <f aca="false">IFERROR(DPG5b!L13,"")</f>
        <v/>
      </c>
      <c r="E54" s="4" t="s">
        <v>197</v>
      </c>
      <c r="F54" s="5"/>
      <c r="G54" s="5"/>
      <c r="H54" s="6" t="str">
        <f aca="false">IF(OR(F54="",NOT(ISNUMBER(D54))),"",IF(ABS(F54-D54)&lt;0.001,"Yes","No"))</f>
        <v/>
      </c>
      <c r="I54" s="7" t="str">
        <f aca="false">IF(ISNUMBER(F54),F54,D54)</f>
        <v/>
      </c>
      <c r="J54" s="6" t="str">
        <f aca="false">IF(ISNUMBER(F54),"Expert (overrides AI)",IF(ISNUMBER(D54),"AI","Not scored yet"))</f>
        <v>Not scored yet</v>
      </c>
      <c r="K54" s="4" t="s">
        <v>22</v>
      </c>
      <c r="L54" s="4" t="s">
        <v>57</v>
      </c>
      <c r="M54" s="4"/>
      <c r="N54" s="4"/>
      <c r="O54" s="4"/>
      <c r="P54" s="4"/>
      <c r="Q54" s="4"/>
      <c r="R54" s="4" t="s">
        <v>205</v>
      </c>
    </row>
    <row r="55" customFormat="false" ht="93" hidden="false" customHeight="true" outlineLevel="0" collapsed="false">
      <c r="A55" s="3" t="s">
        <v>203</v>
      </c>
      <c r="B55" s="4" t="s">
        <v>30</v>
      </c>
      <c r="C55" s="4" t="s">
        <v>204</v>
      </c>
      <c r="D55" s="4" t="str">
        <f aca="false">IFERROR(DPG5b!L14,"")</f>
        <v/>
      </c>
      <c r="E55" s="4" t="s">
        <v>197</v>
      </c>
      <c r="F55" s="5"/>
      <c r="G55" s="5"/>
      <c r="H55" s="6" t="str">
        <f aca="false">IF(OR(F55="",NOT(ISNUMBER(D55))),"",IF(ABS(F55-D55)&lt;0.001,"Yes","No"))</f>
        <v/>
      </c>
      <c r="I55" s="7" t="str">
        <f aca="false">IF(ISNUMBER(F55),F55,D55)</f>
        <v/>
      </c>
      <c r="J55" s="6" t="str">
        <f aca="false">IF(ISNUMBER(F55),"Expert (overrides AI)",IF(ISNUMBER(D55),"AI","Not scored yet"))</f>
        <v>Not scored yet</v>
      </c>
      <c r="K55" s="4" t="s">
        <v>22</v>
      </c>
      <c r="L55" s="4" t="s">
        <v>57</v>
      </c>
      <c r="M55" s="4"/>
      <c r="N55" s="4"/>
      <c r="O55" s="4"/>
      <c r="P55" s="4"/>
      <c r="Q55" s="4"/>
      <c r="R55" s="4" t="s">
        <v>206</v>
      </c>
    </row>
    <row r="56" customFormat="false" ht="93" hidden="false" customHeight="true" outlineLevel="0" collapsed="false">
      <c r="A56" s="3" t="s">
        <v>203</v>
      </c>
      <c r="B56" s="4" t="s">
        <v>36</v>
      </c>
      <c r="C56" s="4" t="s">
        <v>204</v>
      </c>
      <c r="D56" s="4" t="str">
        <f aca="false">IFERROR(DPG5b!L15,"")</f>
        <v/>
      </c>
      <c r="E56" s="4" t="s">
        <v>197</v>
      </c>
      <c r="F56" s="5"/>
      <c r="G56" s="5"/>
      <c r="H56" s="6" t="str">
        <f aca="false">IF(OR(F56="",NOT(ISNUMBER(D56))),"",IF(ABS(F56-D56)&lt;0.001,"Yes","No"))</f>
        <v/>
      </c>
      <c r="I56" s="7" t="str">
        <f aca="false">IF(ISNUMBER(F56),F56,D56)</f>
        <v/>
      </c>
      <c r="J56" s="6" t="str">
        <f aca="false">IF(ISNUMBER(F56),"Expert (overrides AI)",IF(ISNUMBER(D56),"AI","Not scored yet"))</f>
        <v>Not scored yet</v>
      </c>
      <c r="K56" s="4" t="s">
        <v>22</v>
      </c>
      <c r="L56" s="4" t="s">
        <v>207</v>
      </c>
      <c r="M56" s="4" t="s">
        <v>208</v>
      </c>
      <c r="N56" s="4"/>
      <c r="O56" s="4"/>
      <c r="P56" s="4"/>
      <c r="Q56" s="4"/>
      <c r="R56" s="4" t="s">
        <v>209</v>
      </c>
    </row>
    <row r="57" customFormat="false" ht="93" hidden="false" customHeight="true" outlineLevel="0" collapsed="false">
      <c r="A57" s="3" t="s">
        <v>203</v>
      </c>
      <c r="B57" s="4" t="s">
        <v>42</v>
      </c>
      <c r="C57" s="4" t="s">
        <v>204</v>
      </c>
      <c r="D57" s="4" t="n">
        <f aca="false">IFERROR(DPG5b!L16,"")</f>
        <v>0</v>
      </c>
      <c r="E57" s="4" t="s">
        <v>197</v>
      </c>
      <c r="F57" s="5"/>
      <c r="G57" s="5"/>
      <c r="H57" s="6" t="str">
        <f aca="false">IF(OR(F57="",NOT(ISNUMBER(D57))),"",IF(ABS(F57-D57)&lt;0.001,"Yes","No"))</f>
        <v/>
      </c>
      <c r="I57" s="7" t="n">
        <f aca="false">IF(ISNUMBER(F57),F57,D57)</f>
        <v>0</v>
      </c>
      <c r="J57" s="6" t="str">
        <f aca="false">IF(ISNUMBER(F57),"Expert (overrides AI)",IF(ISNUMBER(D57),"AI","Not scored yet"))</f>
        <v>AI</v>
      </c>
      <c r="K57" s="4" t="s">
        <v>22</v>
      </c>
      <c r="L57" s="4" t="s">
        <v>23</v>
      </c>
      <c r="M57" s="4" t="s">
        <v>210</v>
      </c>
      <c r="N57" s="4" t="s">
        <v>158</v>
      </c>
      <c r="O57" s="4" t="s">
        <v>159</v>
      </c>
      <c r="P57" s="4" t="s">
        <v>211</v>
      </c>
      <c r="Q57" s="4" t="s">
        <v>212</v>
      </c>
      <c r="R57" s="4" t="s">
        <v>29</v>
      </c>
    </row>
    <row r="58" customFormat="false" ht="93" hidden="false" customHeight="true" outlineLevel="0" collapsed="false">
      <c r="A58" s="3" t="s">
        <v>203</v>
      </c>
      <c r="B58" s="4" t="s">
        <v>47</v>
      </c>
      <c r="C58" s="4" t="s">
        <v>204</v>
      </c>
      <c r="D58" s="4" t="str">
        <f aca="false">IFERROR(DPG5b!L17,"")</f>
        <v/>
      </c>
      <c r="E58" s="4" t="s">
        <v>197</v>
      </c>
      <c r="F58" s="5"/>
      <c r="G58" s="5"/>
      <c r="H58" s="6" t="str">
        <f aca="false">IF(OR(F58="",NOT(ISNUMBER(D58))),"",IF(ABS(F58-D58)&lt;0.001,"Yes","No"))</f>
        <v/>
      </c>
      <c r="I58" s="7" t="str">
        <f aca="false">IF(ISNUMBER(F58),F58,D58)</f>
        <v/>
      </c>
      <c r="J58" s="6" t="str">
        <f aca="false">IF(ISNUMBER(F58),"Expert (overrides AI)",IF(ISNUMBER(D58),"AI","Not scored yet"))</f>
        <v>Not scored yet</v>
      </c>
      <c r="K58" s="4" t="s">
        <v>22</v>
      </c>
      <c r="L58" s="4" t="s">
        <v>57</v>
      </c>
      <c r="M58" s="4"/>
      <c r="N58" s="4"/>
      <c r="O58" s="4"/>
      <c r="P58" s="4"/>
      <c r="Q58" s="4"/>
      <c r="R58" s="4" t="s">
        <v>213</v>
      </c>
    </row>
    <row r="59" customFormat="false" ht="93" hidden="false" customHeight="true" outlineLevel="0" collapsed="false">
      <c r="A59" s="3" t="s">
        <v>214</v>
      </c>
      <c r="B59" s="4" t="s">
        <v>19</v>
      </c>
      <c r="C59" s="4" t="s">
        <v>215</v>
      </c>
      <c r="D59" s="4" t="str">
        <f aca="false">IFERROR(DPG5c!L13,"")</f>
        <v/>
      </c>
      <c r="E59" s="4" t="s">
        <v>197</v>
      </c>
      <c r="F59" s="5"/>
      <c r="G59" s="5"/>
      <c r="H59" s="6" t="str">
        <f aca="false">IF(OR(F59="",NOT(ISNUMBER(D59))),"",IF(ABS(F59-D59)&lt;0.001,"Yes","No"))</f>
        <v/>
      </c>
      <c r="I59" s="7" t="str">
        <f aca="false">IF(ISNUMBER(F59),F59,D59)</f>
        <v/>
      </c>
      <c r="J59" s="6" t="str">
        <f aca="false">IF(ISNUMBER(F59),"Expert (overrides AI)",IF(ISNUMBER(D59),"AI","Not scored yet"))</f>
        <v>Not scored yet</v>
      </c>
      <c r="K59" s="4" t="s">
        <v>22</v>
      </c>
      <c r="L59" s="4" t="s">
        <v>57</v>
      </c>
      <c r="M59" s="4"/>
      <c r="N59" s="4"/>
      <c r="O59" s="4"/>
      <c r="P59" s="4"/>
      <c r="Q59" s="4"/>
      <c r="R59" s="4" t="s">
        <v>216</v>
      </c>
    </row>
    <row r="60" customFormat="false" ht="93" hidden="false" customHeight="true" outlineLevel="0" collapsed="false">
      <c r="A60" s="3" t="s">
        <v>214</v>
      </c>
      <c r="B60" s="4" t="s">
        <v>30</v>
      </c>
      <c r="C60" s="4" t="s">
        <v>215</v>
      </c>
      <c r="D60" s="4" t="str">
        <f aca="false">IFERROR(DPG5c!L14,"")</f>
        <v/>
      </c>
      <c r="E60" s="4" t="s">
        <v>197</v>
      </c>
      <c r="F60" s="5"/>
      <c r="G60" s="5"/>
      <c r="H60" s="6" t="str">
        <f aca="false">IF(OR(F60="",NOT(ISNUMBER(D60))),"",IF(ABS(F60-D60)&lt;0.001,"Yes","No"))</f>
        <v/>
      </c>
      <c r="I60" s="7" t="str">
        <f aca="false">IF(ISNUMBER(F60),F60,D60)</f>
        <v/>
      </c>
      <c r="J60" s="6" t="str">
        <f aca="false">IF(ISNUMBER(F60),"Expert (overrides AI)",IF(ISNUMBER(D60),"AI","Not scored yet"))</f>
        <v>Not scored yet</v>
      </c>
      <c r="K60" s="4" t="s">
        <v>22</v>
      </c>
      <c r="L60" s="4" t="s">
        <v>57</v>
      </c>
      <c r="M60" s="4"/>
      <c r="N60" s="4"/>
      <c r="O60" s="4"/>
      <c r="P60" s="4"/>
      <c r="Q60" s="4"/>
      <c r="R60" s="4" t="s">
        <v>217</v>
      </c>
    </row>
    <row r="61" customFormat="false" ht="93" hidden="false" customHeight="true" outlineLevel="0" collapsed="false">
      <c r="A61" s="3" t="s">
        <v>214</v>
      </c>
      <c r="B61" s="4" t="s">
        <v>36</v>
      </c>
      <c r="C61" s="4" t="s">
        <v>215</v>
      </c>
      <c r="D61" s="4" t="str">
        <f aca="false">IFERROR(DPG5c!L15,"")</f>
        <v/>
      </c>
      <c r="E61" s="4" t="s">
        <v>197</v>
      </c>
      <c r="F61" s="5"/>
      <c r="G61" s="5"/>
      <c r="H61" s="6" t="str">
        <f aca="false">IF(OR(F61="",NOT(ISNUMBER(D61))),"",IF(ABS(F61-D61)&lt;0.001,"Yes","No"))</f>
        <v/>
      </c>
      <c r="I61" s="7" t="str">
        <f aca="false">IF(ISNUMBER(F61),F61,D61)</f>
        <v/>
      </c>
      <c r="J61" s="6" t="str">
        <f aca="false">IF(ISNUMBER(F61),"Expert (overrides AI)",IF(ISNUMBER(D61),"AI","Not scored yet"))</f>
        <v>Not scored yet</v>
      </c>
      <c r="K61" s="4" t="s">
        <v>22</v>
      </c>
      <c r="L61" s="4" t="s">
        <v>57</v>
      </c>
      <c r="M61" s="4"/>
      <c r="N61" s="4"/>
      <c r="O61" s="4"/>
      <c r="P61" s="4"/>
      <c r="Q61" s="4"/>
      <c r="R61" s="4" t="s">
        <v>218</v>
      </c>
    </row>
    <row r="62" customFormat="false" ht="93" hidden="false" customHeight="true" outlineLevel="0" collapsed="false">
      <c r="A62" s="3" t="s">
        <v>214</v>
      </c>
      <c r="B62" s="4" t="s">
        <v>42</v>
      </c>
      <c r="C62" s="4" t="s">
        <v>215</v>
      </c>
      <c r="D62" s="4" t="str">
        <f aca="false">IFERROR(DPG5c!L16,"")</f>
        <v/>
      </c>
      <c r="E62" s="4" t="s">
        <v>197</v>
      </c>
      <c r="F62" s="5"/>
      <c r="G62" s="5"/>
      <c r="H62" s="6" t="str">
        <f aca="false">IF(OR(F62="",NOT(ISNUMBER(D62))),"",IF(ABS(F62-D62)&lt;0.001,"Yes","No"))</f>
        <v/>
      </c>
      <c r="I62" s="7" t="str">
        <f aca="false">IF(ISNUMBER(F62),F62,D62)</f>
        <v/>
      </c>
      <c r="J62" s="6" t="str">
        <f aca="false">IF(ISNUMBER(F62),"Expert (overrides AI)",IF(ISNUMBER(D62),"AI","Not scored yet"))</f>
        <v>Not scored yet</v>
      </c>
      <c r="K62" s="4" t="s">
        <v>22</v>
      </c>
      <c r="L62" s="4" t="s">
        <v>23</v>
      </c>
      <c r="M62" s="4" t="s">
        <v>219</v>
      </c>
      <c r="N62" s="4" t="s">
        <v>158</v>
      </c>
      <c r="O62" s="4" t="s">
        <v>159</v>
      </c>
      <c r="P62" s="4" t="s">
        <v>220</v>
      </c>
      <c r="Q62" s="4" t="s">
        <v>221</v>
      </c>
      <c r="R62" s="4" t="s">
        <v>29</v>
      </c>
    </row>
    <row r="63" customFormat="false" ht="93" hidden="false" customHeight="true" outlineLevel="0" collapsed="false">
      <c r="A63" s="3" t="s">
        <v>214</v>
      </c>
      <c r="B63" s="4" t="s">
        <v>47</v>
      </c>
      <c r="C63" s="4" t="s">
        <v>215</v>
      </c>
      <c r="D63" s="4" t="str">
        <f aca="false">IFERROR(DPG5c!L17,"")</f>
        <v/>
      </c>
      <c r="E63" s="4" t="s">
        <v>197</v>
      </c>
      <c r="F63" s="5"/>
      <c r="G63" s="5"/>
      <c r="H63" s="6" t="str">
        <f aca="false">IF(OR(F63="",NOT(ISNUMBER(D63))),"",IF(ABS(F63-D63)&lt;0.001,"Yes","No"))</f>
        <v/>
      </c>
      <c r="I63" s="7" t="str">
        <f aca="false">IF(ISNUMBER(F63),F63,D63)</f>
        <v/>
      </c>
      <c r="J63" s="6" t="str">
        <f aca="false">IF(ISNUMBER(F63),"Expert (overrides AI)",IF(ISNUMBER(D63),"AI","Not scored yet"))</f>
        <v>Not scored yet</v>
      </c>
      <c r="K63" s="4" t="s">
        <v>22</v>
      </c>
      <c r="L63" s="4" t="s">
        <v>23</v>
      </c>
      <c r="M63" s="4" t="s">
        <v>222</v>
      </c>
      <c r="N63" s="4" t="s">
        <v>191</v>
      </c>
      <c r="O63" s="4" t="s">
        <v>192</v>
      </c>
      <c r="P63" s="4" t="s">
        <v>223</v>
      </c>
      <c r="Q63" s="4" t="s">
        <v>224</v>
      </c>
      <c r="R63" s="4" t="s">
        <v>29</v>
      </c>
    </row>
    <row r="64" customFormat="false" ht="93" hidden="false" customHeight="true" outlineLevel="0" collapsed="false">
      <c r="A64" s="3" t="s">
        <v>225</v>
      </c>
      <c r="B64" s="4" t="s">
        <v>19</v>
      </c>
      <c r="C64" s="4" t="s">
        <v>226</v>
      </c>
      <c r="D64" s="4" t="str">
        <f aca="false">IFERROR(DPG5d!L13,"")</f>
        <v/>
      </c>
      <c r="E64" s="4" t="s">
        <v>197</v>
      </c>
      <c r="F64" s="5"/>
      <c r="G64" s="5"/>
      <c r="H64" s="6" t="str">
        <f aca="false">IF(OR(F64="",NOT(ISNUMBER(D64))),"",IF(ABS(F64-D64)&lt;0.001,"Yes","No"))</f>
        <v/>
      </c>
      <c r="I64" s="7" t="str">
        <f aca="false">IF(ISNUMBER(F64),F64,D64)</f>
        <v/>
      </c>
      <c r="J64" s="6" t="str">
        <f aca="false">IF(ISNUMBER(F64),"Expert (overrides AI)",IF(ISNUMBER(D64),"AI","Not scored yet"))</f>
        <v>Not scored yet</v>
      </c>
      <c r="K64" s="4" t="s">
        <v>22</v>
      </c>
      <c r="L64" s="4" t="s">
        <v>57</v>
      </c>
      <c r="M64" s="4"/>
      <c r="N64" s="4"/>
      <c r="O64" s="4"/>
      <c r="P64" s="4"/>
      <c r="Q64" s="4"/>
      <c r="R64" s="4" t="s">
        <v>227</v>
      </c>
    </row>
    <row r="65" customFormat="false" ht="93" hidden="false" customHeight="true" outlineLevel="0" collapsed="false">
      <c r="A65" s="3" t="s">
        <v>225</v>
      </c>
      <c r="B65" s="4" t="s">
        <v>30</v>
      </c>
      <c r="C65" s="4" t="s">
        <v>226</v>
      </c>
      <c r="D65" s="4" t="str">
        <f aca="false">IFERROR(DPG5d!L14,"")</f>
        <v/>
      </c>
      <c r="E65" s="4" t="s">
        <v>197</v>
      </c>
      <c r="F65" s="5"/>
      <c r="G65" s="5"/>
      <c r="H65" s="6" t="str">
        <f aca="false">IF(OR(F65="",NOT(ISNUMBER(D65))),"",IF(ABS(F65-D65)&lt;0.001,"Yes","No"))</f>
        <v/>
      </c>
      <c r="I65" s="7" t="str">
        <f aca="false">IF(ISNUMBER(F65),F65,D65)</f>
        <v/>
      </c>
      <c r="J65" s="6" t="str">
        <f aca="false">IF(ISNUMBER(F65),"Expert (overrides AI)",IF(ISNUMBER(D65),"AI","Not scored yet"))</f>
        <v>Not scored yet</v>
      </c>
      <c r="K65" s="4" t="s">
        <v>22</v>
      </c>
      <c r="L65" s="4" t="s">
        <v>57</v>
      </c>
      <c r="M65" s="4"/>
      <c r="N65" s="4"/>
      <c r="O65" s="4"/>
      <c r="P65" s="4"/>
      <c r="Q65" s="4"/>
      <c r="R65" s="4" t="s">
        <v>228</v>
      </c>
    </row>
    <row r="66" customFormat="false" ht="93" hidden="false" customHeight="true" outlineLevel="0" collapsed="false">
      <c r="A66" s="3" t="s">
        <v>225</v>
      </c>
      <c r="B66" s="4" t="s">
        <v>36</v>
      </c>
      <c r="C66" s="4" t="s">
        <v>226</v>
      </c>
      <c r="D66" s="4" t="str">
        <f aca="false">IFERROR(DPG5d!L15,"")</f>
        <v/>
      </c>
      <c r="E66" s="4" t="s">
        <v>197</v>
      </c>
      <c r="F66" s="5"/>
      <c r="G66" s="5"/>
      <c r="H66" s="6" t="str">
        <f aca="false">IF(OR(F66="",NOT(ISNUMBER(D66))),"",IF(ABS(F66-D66)&lt;0.001,"Yes","No"))</f>
        <v/>
      </c>
      <c r="I66" s="7" t="str">
        <f aca="false">IF(ISNUMBER(F66),F66,D66)</f>
        <v/>
      </c>
      <c r="J66" s="6" t="str">
        <f aca="false">IF(ISNUMBER(F66),"Expert (overrides AI)",IF(ISNUMBER(D66),"AI","Not scored yet"))</f>
        <v>Not scored yet</v>
      </c>
      <c r="K66" s="4" t="s">
        <v>22</v>
      </c>
      <c r="L66" s="4" t="s">
        <v>57</v>
      </c>
      <c r="M66" s="4"/>
      <c r="N66" s="4"/>
      <c r="O66" s="4"/>
      <c r="P66" s="4"/>
      <c r="Q66" s="4"/>
      <c r="R66" s="4" t="s">
        <v>229</v>
      </c>
    </row>
    <row r="67" customFormat="false" ht="93" hidden="false" customHeight="true" outlineLevel="0" collapsed="false">
      <c r="A67" s="3" t="s">
        <v>225</v>
      </c>
      <c r="B67" s="4" t="s">
        <v>42</v>
      </c>
      <c r="C67" s="4" t="s">
        <v>226</v>
      </c>
      <c r="D67" s="4" t="str">
        <f aca="false">IFERROR(DPG5d!L16,"")</f>
        <v/>
      </c>
      <c r="E67" s="4" t="s">
        <v>197</v>
      </c>
      <c r="F67" s="5"/>
      <c r="G67" s="5"/>
      <c r="H67" s="6" t="str">
        <f aca="false">IF(OR(F67="",NOT(ISNUMBER(D67))),"",IF(ABS(F67-D67)&lt;0.001,"Yes","No"))</f>
        <v/>
      </c>
      <c r="I67" s="7" t="str">
        <f aca="false">IF(ISNUMBER(F67),F67,D67)</f>
        <v/>
      </c>
      <c r="J67" s="6" t="str">
        <f aca="false">IF(ISNUMBER(F67),"Expert (overrides AI)",IF(ISNUMBER(D67),"AI","Not scored yet"))</f>
        <v>Not scored yet</v>
      </c>
      <c r="K67" s="4" t="s">
        <v>22</v>
      </c>
      <c r="L67" s="4" t="s">
        <v>57</v>
      </c>
      <c r="M67" s="4"/>
      <c r="N67" s="4"/>
      <c r="O67" s="4"/>
      <c r="P67" s="4"/>
      <c r="Q67" s="4"/>
      <c r="R67" s="4" t="s">
        <v>230</v>
      </c>
    </row>
    <row r="68" customFormat="false" ht="93" hidden="false" customHeight="true" outlineLevel="0" collapsed="false">
      <c r="A68" s="3" t="s">
        <v>225</v>
      </c>
      <c r="B68" s="4" t="s">
        <v>47</v>
      </c>
      <c r="C68" s="4" t="s">
        <v>226</v>
      </c>
      <c r="D68" s="4" t="str">
        <f aca="false">IFERROR(DPG5d!L17,"")</f>
        <v/>
      </c>
      <c r="E68" s="4" t="s">
        <v>197</v>
      </c>
      <c r="F68" s="5"/>
      <c r="G68" s="5"/>
      <c r="H68" s="6" t="str">
        <f aca="false">IF(OR(F68="",NOT(ISNUMBER(D68))),"",IF(ABS(F68-D68)&lt;0.001,"Yes","No"))</f>
        <v/>
      </c>
      <c r="I68" s="7" t="str">
        <f aca="false">IF(ISNUMBER(F68),F68,D68)</f>
        <v/>
      </c>
      <c r="J68" s="6" t="str">
        <f aca="false">IF(ISNUMBER(F68),"Expert (overrides AI)",IF(ISNUMBER(D68),"AI","Not scored yet"))</f>
        <v>Not scored yet</v>
      </c>
      <c r="K68" s="4" t="s">
        <v>22</v>
      </c>
      <c r="L68" s="4" t="s">
        <v>57</v>
      </c>
      <c r="M68" s="4"/>
      <c r="N68" s="4"/>
      <c r="O68" s="4"/>
      <c r="P68" s="4"/>
      <c r="Q68" s="4"/>
      <c r="R68" s="4" t="s">
        <v>231</v>
      </c>
    </row>
    <row r="69" customFormat="false" ht="93" hidden="false" customHeight="true" outlineLevel="0" collapsed="false">
      <c r="A69" s="3" t="s">
        <v>232</v>
      </c>
      <c r="B69" s="4" t="s">
        <v>19</v>
      </c>
      <c r="C69" s="4" t="s">
        <v>233</v>
      </c>
      <c r="D69" s="4" t="str">
        <f aca="false">IFERROR(DPG5f!L13,"")</f>
        <v/>
      </c>
      <c r="E69" s="4" t="s">
        <v>197</v>
      </c>
      <c r="F69" s="5"/>
      <c r="G69" s="5"/>
      <c r="H69" s="6" t="str">
        <f aca="false">IF(OR(F69="",NOT(ISNUMBER(D69))),"",IF(ABS(F69-D69)&lt;0.001,"Yes","No"))</f>
        <v/>
      </c>
      <c r="I69" s="7" t="str">
        <f aca="false">IF(ISNUMBER(F69),F69,D69)</f>
        <v/>
      </c>
      <c r="J69" s="6" t="str">
        <f aca="false">IF(ISNUMBER(F69),"Expert (overrides AI)",IF(ISNUMBER(D69),"AI","Not scored yet"))</f>
        <v>Not scored yet</v>
      </c>
      <c r="K69" s="4" t="s">
        <v>22</v>
      </c>
      <c r="L69" s="4" t="s">
        <v>57</v>
      </c>
      <c r="M69" s="4"/>
      <c r="N69" s="4"/>
      <c r="O69" s="4"/>
      <c r="P69" s="4"/>
      <c r="Q69" s="4"/>
      <c r="R69" s="4" t="s">
        <v>234</v>
      </c>
    </row>
    <row r="70" customFormat="false" ht="93" hidden="false" customHeight="true" outlineLevel="0" collapsed="false">
      <c r="A70" s="3" t="s">
        <v>232</v>
      </c>
      <c r="B70" s="4" t="s">
        <v>30</v>
      </c>
      <c r="C70" s="4" t="s">
        <v>233</v>
      </c>
      <c r="D70" s="4" t="str">
        <f aca="false">IFERROR(DPG5f!L14,"")</f>
        <v/>
      </c>
      <c r="E70" s="4" t="s">
        <v>197</v>
      </c>
      <c r="F70" s="5"/>
      <c r="G70" s="5"/>
      <c r="H70" s="6" t="str">
        <f aca="false">IF(OR(F70="",NOT(ISNUMBER(D70))),"",IF(ABS(F70-D70)&lt;0.001,"Yes","No"))</f>
        <v/>
      </c>
      <c r="I70" s="7" t="str">
        <f aca="false">IF(ISNUMBER(F70),F70,D70)</f>
        <v/>
      </c>
      <c r="J70" s="6" t="str">
        <f aca="false">IF(ISNUMBER(F70),"Expert (overrides AI)",IF(ISNUMBER(D70),"AI","Not scored yet"))</f>
        <v>Not scored yet</v>
      </c>
      <c r="K70" s="4" t="s">
        <v>22</v>
      </c>
      <c r="L70" s="4" t="s">
        <v>57</v>
      </c>
      <c r="M70" s="4"/>
      <c r="N70" s="4"/>
      <c r="O70" s="4"/>
      <c r="P70" s="4"/>
      <c r="Q70" s="4"/>
      <c r="R70" s="4" t="s">
        <v>235</v>
      </c>
    </row>
    <row r="71" customFormat="false" ht="93" hidden="false" customHeight="true" outlineLevel="0" collapsed="false">
      <c r="A71" s="3" t="s">
        <v>232</v>
      </c>
      <c r="B71" s="4" t="s">
        <v>36</v>
      </c>
      <c r="C71" s="4" t="s">
        <v>233</v>
      </c>
      <c r="D71" s="4" t="str">
        <f aca="false">IFERROR(DPG5f!L15,"")</f>
        <v/>
      </c>
      <c r="E71" s="4" t="s">
        <v>197</v>
      </c>
      <c r="F71" s="5"/>
      <c r="G71" s="5"/>
      <c r="H71" s="6" t="str">
        <f aca="false">IF(OR(F71="",NOT(ISNUMBER(D71))),"",IF(ABS(F71-D71)&lt;0.001,"Yes","No"))</f>
        <v/>
      </c>
      <c r="I71" s="7" t="str">
        <f aca="false">IF(ISNUMBER(F71),F71,D71)</f>
        <v/>
      </c>
      <c r="J71" s="6" t="str">
        <f aca="false">IF(ISNUMBER(F71),"Expert (overrides AI)",IF(ISNUMBER(D71),"AI","Not scored yet"))</f>
        <v>Not scored yet</v>
      </c>
      <c r="K71" s="4" t="s">
        <v>22</v>
      </c>
      <c r="L71" s="4" t="s">
        <v>57</v>
      </c>
      <c r="M71" s="4"/>
      <c r="N71" s="4"/>
      <c r="O71" s="4"/>
      <c r="P71" s="4"/>
      <c r="Q71" s="4"/>
      <c r="R71" s="4" t="s">
        <v>236</v>
      </c>
    </row>
    <row r="72" customFormat="false" ht="93" hidden="false" customHeight="true" outlineLevel="0" collapsed="false">
      <c r="A72" s="3" t="s">
        <v>232</v>
      </c>
      <c r="B72" s="4" t="s">
        <v>42</v>
      </c>
      <c r="C72" s="4" t="s">
        <v>233</v>
      </c>
      <c r="D72" s="4" t="str">
        <f aca="false">IFERROR(DPG5f!L16,"")</f>
        <v/>
      </c>
      <c r="E72" s="4" t="s">
        <v>197</v>
      </c>
      <c r="F72" s="5"/>
      <c r="G72" s="5"/>
      <c r="H72" s="6" t="str">
        <f aca="false">IF(OR(F72="",NOT(ISNUMBER(D72))),"",IF(ABS(F72-D72)&lt;0.001,"Yes","No"))</f>
        <v/>
      </c>
      <c r="I72" s="7" t="str">
        <f aca="false">IF(ISNUMBER(F72),F72,D72)</f>
        <v/>
      </c>
      <c r="J72" s="6" t="str">
        <f aca="false">IF(ISNUMBER(F72),"Expert (overrides AI)",IF(ISNUMBER(D72),"AI","Not scored yet"))</f>
        <v>Not scored yet</v>
      </c>
      <c r="K72" s="4" t="s">
        <v>22</v>
      </c>
      <c r="L72" s="4" t="s">
        <v>57</v>
      </c>
      <c r="M72" s="4"/>
      <c r="N72" s="4"/>
      <c r="O72" s="4"/>
      <c r="P72" s="4"/>
      <c r="Q72" s="4"/>
      <c r="R72" s="4" t="s">
        <v>237</v>
      </c>
    </row>
    <row r="73" customFormat="false" ht="93" hidden="false" customHeight="true" outlineLevel="0" collapsed="false">
      <c r="A73" s="3" t="s">
        <v>232</v>
      </c>
      <c r="B73" s="4" t="s">
        <v>47</v>
      </c>
      <c r="C73" s="4" t="s">
        <v>233</v>
      </c>
      <c r="D73" s="4" t="n">
        <f aca="false">IFERROR(DPG5f!L17,"")</f>
        <v>1</v>
      </c>
      <c r="E73" s="4" t="s">
        <v>197</v>
      </c>
      <c r="F73" s="5"/>
      <c r="G73" s="5"/>
      <c r="H73" s="6" t="str">
        <f aca="false">IF(OR(F73="",NOT(ISNUMBER(D73))),"",IF(ABS(F73-D73)&lt;0.001,"Yes","No"))</f>
        <v/>
      </c>
      <c r="I73" s="7" t="n">
        <f aca="false">IF(ISNUMBER(F73),F73,D73)</f>
        <v>1</v>
      </c>
      <c r="J73" s="6" t="str">
        <f aca="false">IF(ISNUMBER(F73),"Expert (overrides AI)",IF(ISNUMBER(D73),"AI","Not scored yet"))</f>
        <v>AI</v>
      </c>
      <c r="K73" s="4" t="s">
        <v>22</v>
      </c>
      <c r="L73" s="4" t="s">
        <v>23</v>
      </c>
      <c r="M73" s="4" t="s">
        <v>238</v>
      </c>
      <c r="N73" s="4" t="s">
        <v>239</v>
      </c>
      <c r="O73" s="4" t="s">
        <v>240</v>
      </c>
      <c r="P73" s="4" t="s">
        <v>241</v>
      </c>
      <c r="Q73" s="4" t="s">
        <v>242</v>
      </c>
      <c r="R73" s="4" t="s">
        <v>29</v>
      </c>
    </row>
    <row r="74" customFormat="false" ht="93" hidden="false" customHeight="true" outlineLevel="0" collapsed="false">
      <c r="A74" s="3" t="s">
        <v>243</v>
      </c>
      <c r="B74" s="4" t="s">
        <v>19</v>
      </c>
      <c r="C74" s="4" t="s">
        <v>244</v>
      </c>
      <c r="D74" s="4" t="str">
        <f aca="false">IFERROR(DPG5g!L13,"")</f>
        <v/>
      </c>
      <c r="E74" s="4" t="s">
        <v>197</v>
      </c>
      <c r="F74" s="5"/>
      <c r="G74" s="5"/>
      <c r="H74" s="6" t="str">
        <f aca="false">IF(OR(F74="",NOT(ISNUMBER(D74))),"",IF(ABS(F74-D74)&lt;0.001,"Yes","No"))</f>
        <v/>
      </c>
      <c r="I74" s="7" t="str">
        <f aca="false">IF(ISNUMBER(F74),F74,D74)</f>
        <v/>
      </c>
      <c r="J74" s="6" t="str">
        <f aca="false">IF(ISNUMBER(F74),"Expert (overrides AI)",IF(ISNUMBER(D74),"AI","Not scored yet"))</f>
        <v>Not scored yet</v>
      </c>
      <c r="K74" s="4" t="s">
        <v>22</v>
      </c>
      <c r="L74" s="4" t="s">
        <v>57</v>
      </c>
      <c r="M74" s="4"/>
      <c r="N74" s="4"/>
      <c r="O74" s="4"/>
      <c r="P74" s="4"/>
      <c r="Q74" s="4"/>
      <c r="R74" s="4" t="s">
        <v>245</v>
      </c>
    </row>
    <row r="75" customFormat="false" ht="93" hidden="false" customHeight="true" outlineLevel="0" collapsed="false">
      <c r="A75" s="3" t="s">
        <v>243</v>
      </c>
      <c r="B75" s="4" t="s">
        <v>30</v>
      </c>
      <c r="C75" s="4" t="s">
        <v>244</v>
      </c>
      <c r="D75" s="4" t="str">
        <f aca="false">IFERROR(DPG5g!L14,"")</f>
        <v/>
      </c>
      <c r="E75" s="4" t="s">
        <v>197</v>
      </c>
      <c r="F75" s="5"/>
      <c r="G75" s="5"/>
      <c r="H75" s="6" t="str">
        <f aca="false">IF(OR(F75="",NOT(ISNUMBER(D75))),"",IF(ABS(F75-D75)&lt;0.001,"Yes","No"))</f>
        <v/>
      </c>
      <c r="I75" s="7" t="str">
        <f aca="false">IF(ISNUMBER(F75),F75,D75)</f>
        <v/>
      </c>
      <c r="J75" s="6" t="str">
        <f aca="false">IF(ISNUMBER(F75),"Expert (overrides AI)",IF(ISNUMBER(D75),"AI","Not scored yet"))</f>
        <v>Not scored yet</v>
      </c>
      <c r="K75" s="4" t="s">
        <v>22</v>
      </c>
      <c r="L75" s="4" t="s">
        <v>57</v>
      </c>
      <c r="M75" s="4"/>
      <c r="N75" s="4"/>
      <c r="O75" s="4"/>
      <c r="P75" s="4"/>
      <c r="Q75" s="4"/>
      <c r="R75" s="4" t="s">
        <v>246</v>
      </c>
    </row>
    <row r="76" customFormat="false" ht="93" hidden="false" customHeight="true" outlineLevel="0" collapsed="false">
      <c r="A76" s="3" t="s">
        <v>243</v>
      </c>
      <c r="B76" s="4" t="s">
        <v>36</v>
      </c>
      <c r="C76" s="4" t="s">
        <v>244</v>
      </c>
      <c r="D76" s="4" t="str">
        <f aca="false">IFERROR(DPG5g!L15,"")</f>
        <v/>
      </c>
      <c r="E76" s="4" t="s">
        <v>197</v>
      </c>
      <c r="F76" s="5"/>
      <c r="G76" s="5"/>
      <c r="H76" s="6" t="str">
        <f aca="false">IF(OR(F76="",NOT(ISNUMBER(D76))),"",IF(ABS(F76-D76)&lt;0.001,"Yes","No"))</f>
        <v/>
      </c>
      <c r="I76" s="7" t="str">
        <f aca="false">IF(ISNUMBER(F76),F76,D76)</f>
        <v/>
      </c>
      <c r="J76" s="6" t="str">
        <f aca="false">IF(ISNUMBER(F76),"Expert (overrides AI)",IF(ISNUMBER(D76),"AI","Not scored yet"))</f>
        <v>Not scored yet</v>
      </c>
      <c r="K76" s="4" t="s">
        <v>22</v>
      </c>
      <c r="L76" s="4" t="s">
        <v>57</v>
      </c>
      <c r="M76" s="4"/>
      <c r="N76" s="4"/>
      <c r="O76" s="4"/>
      <c r="P76" s="4"/>
      <c r="Q76" s="4"/>
      <c r="R76" s="4" t="s">
        <v>247</v>
      </c>
    </row>
    <row r="77" customFormat="false" ht="93" hidden="false" customHeight="true" outlineLevel="0" collapsed="false">
      <c r="A77" s="3" t="s">
        <v>243</v>
      </c>
      <c r="B77" s="4" t="s">
        <v>42</v>
      </c>
      <c r="C77" s="4" t="s">
        <v>244</v>
      </c>
      <c r="D77" s="4" t="str">
        <f aca="false">IFERROR(DPG5g!L16,"")</f>
        <v/>
      </c>
      <c r="E77" s="4" t="s">
        <v>197</v>
      </c>
      <c r="F77" s="5"/>
      <c r="G77" s="5"/>
      <c r="H77" s="6" t="str">
        <f aca="false">IF(OR(F77="",NOT(ISNUMBER(D77))),"",IF(ABS(F77-D77)&lt;0.001,"Yes","No"))</f>
        <v/>
      </c>
      <c r="I77" s="7" t="str">
        <f aca="false">IF(ISNUMBER(F77),F77,D77)</f>
        <v/>
      </c>
      <c r="J77" s="6" t="str">
        <f aca="false">IF(ISNUMBER(F77),"Expert (overrides AI)",IF(ISNUMBER(D77),"AI","Not scored yet"))</f>
        <v>Not scored yet</v>
      </c>
      <c r="K77" s="4" t="s">
        <v>22</v>
      </c>
      <c r="L77" s="4" t="s">
        <v>23</v>
      </c>
      <c r="M77" s="4" t="s">
        <v>248</v>
      </c>
      <c r="N77" s="4" t="s">
        <v>158</v>
      </c>
      <c r="O77" s="4" t="s">
        <v>159</v>
      </c>
      <c r="P77" s="4" t="s">
        <v>249</v>
      </c>
      <c r="Q77" s="4" t="s">
        <v>250</v>
      </c>
      <c r="R77" s="4" t="s">
        <v>29</v>
      </c>
    </row>
    <row r="78" customFormat="false" ht="93" hidden="false" customHeight="true" outlineLevel="0" collapsed="false">
      <c r="A78" s="3" t="s">
        <v>243</v>
      </c>
      <c r="B78" s="4" t="s">
        <v>47</v>
      </c>
      <c r="C78" s="4" t="s">
        <v>244</v>
      </c>
      <c r="D78" s="4" t="str">
        <f aca="false">IFERROR(DPG5g!L17,"")</f>
        <v/>
      </c>
      <c r="E78" s="4" t="s">
        <v>197</v>
      </c>
      <c r="F78" s="5"/>
      <c r="G78" s="5"/>
      <c r="H78" s="6" t="str">
        <f aca="false">IF(OR(F78="",NOT(ISNUMBER(D78))),"",IF(ABS(F78-D78)&lt;0.001,"Yes","No"))</f>
        <v/>
      </c>
      <c r="I78" s="7" t="str">
        <f aca="false">IF(ISNUMBER(F78),F78,D78)</f>
        <v/>
      </c>
      <c r="J78" s="6" t="str">
        <f aca="false">IF(ISNUMBER(F78),"Expert (overrides AI)",IF(ISNUMBER(D78),"AI","Not scored yet"))</f>
        <v>Not scored yet</v>
      </c>
      <c r="K78" s="4" t="s">
        <v>22</v>
      </c>
      <c r="L78" s="4" t="s">
        <v>57</v>
      </c>
      <c r="M78" s="4"/>
      <c r="N78" s="4"/>
      <c r="O78" s="4"/>
      <c r="P78" s="4"/>
      <c r="Q78" s="4"/>
      <c r="R78" s="4" t="s">
        <v>251</v>
      </c>
    </row>
    <row r="79" customFormat="false" ht="93" hidden="false" customHeight="true" outlineLevel="0" collapsed="false">
      <c r="A79" s="3" t="s">
        <v>252</v>
      </c>
      <c r="B79" s="4" t="s">
        <v>19</v>
      </c>
      <c r="C79" s="4" t="s">
        <v>253</v>
      </c>
      <c r="D79" s="4" t="str">
        <f aca="false">IFERROR(DPG5h!L13,"")</f>
        <v/>
      </c>
      <c r="E79" s="4" t="s">
        <v>197</v>
      </c>
      <c r="F79" s="5"/>
      <c r="G79" s="5"/>
      <c r="H79" s="6" t="str">
        <f aca="false">IF(OR(F79="",NOT(ISNUMBER(D79))),"",IF(ABS(F79-D79)&lt;0.001,"Yes","No"))</f>
        <v/>
      </c>
      <c r="I79" s="7" t="str">
        <f aca="false">IF(ISNUMBER(F79),F79,D79)</f>
        <v/>
      </c>
      <c r="J79" s="6" t="str">
        <f aca="false">IF(ISNUMBER(F79),"Expert (overrides AI)",IF(ISNUMBER(D79),"AI","Not scored yet"))</f>
        <v>Not scored yet</v>
      </c>
      <c r="K79" s="4" t="s">
        <v>22</v>
      </c>
      <c r="L79" s="4" t="s">
        <v>57</v>
      </c>
      <c r="M79" s="4"/>
      <c r="N79" s="4"/>
      <c r="O79" s="4"/>
      <c r="P79" s="4"/>
      <c r="Q79" s="4"/>
      <c r="R79" s="4" t="s">
        <v>254</v>
      </c>
    </row>
    <row r="80" customFormat="false" ht="93" hidden="false" customHeight="true" outlineLevel="0" collapsed="false">
      <c r="A80" s="3" t="s">
        <v>252</v>
      </c>
      <c r="B80" s="4" t="s">
        <v>30</v>
      </c>
      <c r="C80" s="4" t="s">
        <v>253</v>
      </c>
      <c r="D80" s="4" t="str">
        <f aca="false">IFERROR(DPG5h!L14,"")</f>
        <v/>
      </c>
      <c r="E80" s="4" t="s">
        <v>197</v>
      </c>
      <c r="F80" s="5"/>
      <c r="G80" s="5"/>
      <c r="H80" s="6" t="str">
        <f aca="false">IF(OR(F80="",NOT(ISNUMBER(D80))),"",IF(ABS(F80-D80)&lt;0.001,"Yes","No"))</f>
        <v/>
      </c>
      <c r="I80" s="7" t="str">
        <f aca="false">IF(ISNUMBER(F80),F80,D80)</f>
        <v/>
      </c>
      <c r="J80" s="6" t="str">
        <f aca="false">IF(ISNUMBER(F80),"Expert (overrides AI)",IF(ISNUMBER(D80),"AI","Not scored yet"))</f>
        <v>Not scored yet</v>
      </c>
      <c r="K80" s="4" t="s">
        <v>22</v>
      </c>
      <c r="L80" s="4" t="s">
        <v>57</v>
      </c>
      <c r="M80" s="4"/>
      <c r="N80" s="4"/>
      <c r="O80" s="4"/>
      <c r="P80" s="4"/>
      <c r="Q80" s="4"/>
      <c r="R80" s="4" t="s">
        <v>255</v>
      </c>
    </row>
    <row r="81" customFormat="false" ht="93" hidden="false" customHeight="true" outlineLevel="0" collapsed="false">
      <c r="A81" s="3" t="s">
        <v>252</v>
      </c>
      <c r="B81" s="4" t="s">
        <v>36</v>
      </c>
      <c r="C81" s="4" t="s">
        <v>253</v>
      </c>
      <c r="D81" s="4" t="str">
        <f aca="false">IFERROR(DPG5h!L15,"")</f>
        <v/>
      </c>
      <c r="E81" s="4" t="s">
        <v>197</v>
      </c>
      <c r="F81" s="5"/>
      <c r="G81" s="5"/>
      <c r="H81" s="6" t="str">
        <f aca="false">IF(OR(F81="",NOT(ISNUMBER(D81))),"",IF(ABS(F81-D81)&lt;0.001,"Yes","No"))</f>
        <v/>
      </c>
      <c r="I81" s="7" t="str">
        <f aca="false">IF(ISNUMBER(F81),F81,D81)</f>
        <v/>
      </c>
      <c r="J81" s="6" t="str">
        <f aca="false">IF(ISNUMBER(F81),"Expert (overrides AI)",IF(ISNUMBER(D81),"AI","Not scored yet"))</f>
        <v>Not scored yet</v>
      </c>
      <c r="K81" s="4" t="s">
        <v>22</v>
      </c>
      <c r="L81" s="4" t="s">
        <v>57</v>
      </c>
      <c r="M81" s="4"/>
      <c r="N81" s="4"/>
      <c r="O81" s="4"/>
      <c r="P81" s="4"/>
      <c r="Q81" s="4"/>
      <c r="R81" s="4" t="s">
        <v>256</v>
      </c>
    </row>
    <row r="82" customFormat="false" ht="93" hidden="false" customHeight="true" outlineLevel="0" collapsed="false">
      <c r="A82" s="3" t="s">
        <v>252</v>
      </c>
      <c r="B82" s="4" t="s">
        <v>42</v>
      </c>
      <c r="C82" s="4" t="s">
        <v>253</v>
      </c>
      <c r="D82" s="4" t="str">
        <f aca="false">IFERROR(DPG5h!L16,"")</f>
        <v/>
      </c>
      <c r="E82" s="4" t="s">
        <v>197</v>
      </c>
      <c r="F82" s="5"/>
      <c r="G82" s="5"/>
      <c r="H82" s="6" t="str">
        <f aca="false">IF(OR(F82="",NOT(ISNUMBER(D82))),"",IF(ABS(F82-D82)&lt;0.001,"Yes","No"))</f>
        <v/>
      </c>
      <c r="I82" s="7" t="str">
        <f aca="false">IF(ISNUMBER(F82),F82,D82)</f>
        <v/>
      </c>
      <c r="J82" s="6" t="str">
        <f aca="false">IF(ISNUMBER(F82),"Expert (overrides AI)",IF(ISNUMBER(D82),"AI","Not scored yet"))</f>
        <v>Not scored yet</v>
      </c>
      <c r="K82" s="4" t="s">
        <v>22</v>
      </c>
      <c r="L82" s="4" t="s">
        <v>57</v>
      </c>
      <c r="M82" s="4"/>
      <c r="N82" s="4"/>
      <c r="O82" s="4"/>
      <c r="P82" s="4"/>
      <c r="Q82" s="4"/>
      <c r="R82" s="4" t="s">
        <v>257</v>
      </c>
    </row>
    <row r="83" customFormat="false" ht="93" hidden="false" customHeight="true" outlineLevel="0" collapsed="false">
      <c r="A83" s="3" t="s">
        <v>252</v>
      </c>
      <c r="B83" s="4" t="s">
        <v>47</v>
      </c>
      <c r="C83" s="4" t="s">
        <v>253</v>
      </c>
      <c r="D83" s="4" t="n">
        <f aca="false">IFERROR(DPG5h!L17,"")</f>
        <v>0</v>
      </c>
      <c r="E83" s="4" t="s">
        <v>197</v>
      </c>
      <c r="F83" s="5"/>
      <c r="G83" s="5"/>
      <c r="H83" s="6" t="str">
        <f aca="false">IF(OR(F83="",NOT(ISNUMBER(D83))),"",IF(ABS(F83-D83)&lt;0.001,"Yes","No"))</f>
        <v/>
      </c>
      <c r="I83" s="7" t="n">
        <f aca="false">IF(ISNUMBER(F83),F83,D83)</f>
        <v>0</v>
      </c>
      <c r="J83" s="6" t="str">
        <f aca="false">IF(ISNUMBER(F83),"Expert (overrides AI)",IF(ISNUMBER(D83),"AI","Not scored yet"))</f>
        <v>AI</v>
      </c>
      <c r="K83" s="4" t="s">
        <v>22</v>
      </c>
      <c r="L83" s="4" t="s">
        <v>57</v>
      </c>
      <c r="M83" s="4"/>
      <c r="N83" s="4"/>
      <c r="O83" s="4"/>
      <c r="P83" s="4"/>
      <c r="Q83" s="4"/>
      <c r="R83" s="4" t="s">
        <v>258</v>
      </c>
    </row>
    <row r="84" customFormat="false" ht="93" hidden="false" customHeight="true" outlineLevel="0" collapsed="false">
      <c r="A84" s="3" t="s">
        <v>259</v>
      </c>
      <c r="B84" s="4" t="s">
        <v>19</v>
      </c>
      <c r="C84" s="4" t="s">
        <v>260</v>
      </c>
      <c r="D84" s="4" t="str">
        <f aca="false">IFERROR(DPG5i!L13,"")</f>
        <v/>
      </c>
      <c r="E84" s="4" t="s">
        <v>197</v>
      </c>
      <c r="F84" s="5"/>
      <c r="G84" s="5"/>
      <c r="H84" s="6" t="str">
        <f aca="false">IF(OR(F84="",NOT(ISNUMBER(D84))),"",IF(ABS(F84-D84)&lt;0.001,"Yes","No"))</f>
        <v/>
      </c>
      <c r="I84" s="7" t="str">
        <f aca="false">IF(ISNUMBER(F84),F84,D84)</f>
        <v/>
      </c>
      <c r="J84" s="6" t="str">
        <f aca="false">IF(ISNUMBER(F84),"Expert (overrides AI)",IF(ISNUMBER(D84),"AI","Not scored yet"))</f>
        <v>Not scored yet</v>
      </c>
      <c r="K84" s="4" t="s">
        <v>22</v>
      </c>
      <c r="L84" s="4" t="s">
        <v>57</v>
      </c>
      <c r="M84" s="4"/>
      <c r="N84" s="4"/>
      <c r="O84" s="4"/>
      <c r="P84" s="4"/>
      <c r="Q84" s="4"/>
      <c r="R84" s="4" t="s">
        <v>261</v>
      </c>
    </row>
    <row r="85" customFormat="false" ht="93" hidden="false" customHeight="true" outlineLevel="0" collapsed="false">
      <c r="A85" s="3" t="s">
        <v>259</v>
      </c>
      <c r="B85" s="4" t="s">
        <v>30</v>
      </c>
      <c r="C85" s="4" t="s">
        <v>260</v>
      </c>
      <c r="D85" s="4" t="str">
        <f aca="false">IFERROR(DPG5i!L14,"")</f>
        <v/>
      </c>
      <c r="E85" s="4" t="s">
        <v>197</v>
      </c>
      <c r="F85" s="5"/>
      <c r="G85" s="5"/>
      <c r="H85" s="6" t="str">
        <f aca="false">IF(OR(F85="",NOT(ISNUMBER(D85))),"",IF(ABS(F85-D85)&lt;0.001,"Yes","No"))</f>
        <v/>
      </c>
      <c r="I85" s="7" t="str">
        <f aca="false">IF(ISNUMBER(F85),F85,D85)</f>
        <v/>
      </c>
      <c r="J85" s="6" t="str">
        <f aca="false">IF(ISNUMBER(F85),"Expert (overrides AI)",IF(ISNUMBER(D85),"AI","Not scored yet"))</f>
        <v>Not scored yet</v>
      </c>
      <c r="K85" s="4" t="s">
        <v>22</v>
      </c>
      <c r="L85" s="4" t="s">
        <v>57</v>
      </c>
      <c r="M85" s="4"/>
      <c r="N85" s="4"/>
      <c r="O85" s="4"/>
      <c r="P85" s="4"/>
      <c r="Q85" s="4"/>
      <c r="R85" s="4" t="s">
        <v>262</v>
      </c>
    </row>
    <row r="86" customFormat="false" ht="93" hidden="false" customHeight="true" outlineLevel="0" collapsed="false">
      <c r="A86" s="3" t="s">
        <v>259</v>
      </c>
      <c r="B86" s="4" t="s">
        <v>36</v>
      </c>
      <c r="C86" s="4" t="s">
        <v>260</v>
      </c>
      <c r="D86" s="4" t="str">
        <f aca="false">IFERROR(DPG5i!L15,"")</f>
        <v/>
      </c>
      <c r="E86" s="4" t="s">
        <v>197</v>
      </c>
      <c r="F86" s="5"/>
      <c r="G86" s="5"/>
      <c r="H86" s="6" t="str">
        <f aca="false">IF(OR(F86="",NOT(ISNUMBER(D86))),"",IF(ABS(F86-D86)&lt;0.001,"Yes","No"))</f>
        <v/>
      </c>
      <c r="I86" s="7" t="str">
        <f aca="false">IF(ISNUMBER(F86),F86,D86)</f>
        <v/>
      </c>
      <c r="J86" s="6" t="str">
        <f aca="false">IF(ISNUMBER(F86),"Expert (overrides AI)",IF(ISNUMBER(D86),"AI","Not scored yet"))</f>
        <v>Not scored yet</v>
      </c>
      <c r="K86" s="4" t="s">
        <v>22</v>
      </c>
      <c r="L86" s="4" t="s">
        <v>57</v>
      </c>
      <c r="M86" s="4"/>
      <c r="N86" s="4"/>
      <c r="O86" s="4"/>
      <c r="P86" s="4"/>
      <c r="Q86" s="4"/>
      <c r="R86" s="4" t="s">
        <v>263</v>
      </c>
    </row>
    <row r="87" customFormat="false" ht="93" hidden="false" customHeight="true" outlineLevel="0" collapsed="false">
      <c r="A87" s="3" t="s">
        <v>259</v>
      </c>
      <c r="B87" s="4" t="s">
        <v>42</v>
      </c>
      <c r="C87" s="4" t="s">
        <v>260</v>
      </c>
      <c r="D87" s="4" t="str">
        <f aca="false">IFERROR(DPG5i!L16,"")</f>
        <v/>
      </c>
      <c r="E87" s="4" t="s">
        <v>197</v>
      </c>
      <c r="F87" s="5"/>
      <c r="G87" s="5"/>
      <c r="H87" s="6" t="str">
        <f aca="false">IF(OR(F87="",NOT(ISNUMBER(D87))),"",IF(ABS(F87-D87)&lt;0.001,"Yes","No"))</f>
        <v/>
      </c>
      <c r="I87" s="7" t="str">
        <f aca="false">IF(ISNUMBER(F87),F87,D87)</f>
        <v/>
      </c>
      <c r="J87" s="6" t="str">
        <f aca="false">IF(ISNUMBER(F87),"Expert (overrides AI)",IF(ISNUMBER(D87),"AI","Not scored yet"))</f>
        <v>Not scored yet</v>
      </c>
      <c r="K87" s="4" t="s">
        <v>22</v>
      </c>
      <c r="L87" s="4" t="s">
        <v>57</v>
      </c>
      <c r="M87" s="4"/>
      <c r="N87" s="4"/>
      <c r="O87" s="4"/>
      <c r="P87" s="4"/>
      <c r="Q87" s="4"/>
      <c r="R87" s="4" t="s">
        <v>264</v>
      </c>
    </row>
    <row r="88" customFormat="false" ht="93" hidden="false" customHeight="true" outlineLevel="0" collapsed="false">
      <c r="A88" s="3" t="s">
        <v>259</v>
      </c>
      <c r="B88" s="4" t="s">
        <v>47</v>
      </c>
      <c r="C88" s="4" t="s">
        <v>260</v>
      </c>
      <c r="D88" s="4" t="str">
        <f aca="false">IFERROR(DPG5i!L17,"")</f>
        <v/>
      </c>
      <c r="E88" s="4" t="s">
        <v>197</v>
      </c>
      <c r="F88" s="5"/>
      <c r="G88" s="5"/>
      <c r="H88" s="6" t="str">
        <f aca="false">IF(OR(F88="",NOT(ISNUMBER(D88))),"",IF(ABS(F88-D88)&lt;0.001,"Yes","No"))</f>
        <v/>
      </c>
      <c r="I88" s="7" t="str">
        <f aca="false">IF(ISNUMBER(F88),F88,D88)</f>
        <v/>
      </c>
      <c r="J88" s="6" t="str">
        <f aca="false">IF(ISNUMBER(F88),"Expert (overrides AI)",IF(ISNUMBER(D88),"AI","Not scored yet"))</f>
        <v>Not scored yet</v>
      </c>
      <c r="K88" s="4" t="s">
        <v>22</v>
      </c>
      <c r="L88" s="4" t="s">
        <v>23</v>
      </c>
      <c r="M88" s="4" t="s">
        <v>265</v>
      </c>
      <c r="N88" s="4" t="s">
        <v>191</v>
      </c>
      <c r="O88" s="4" t="s">
        <v>192</v>
      </c>
      <c r="P88" s="4" t="s">
        <v>266</v>
      </c>
      <c r="Q88" s="4" t="s">
        <v>267</v>
      </c>
      <c r="R88" s="4" t="s">
        <v>29</v>
      </c>
    </row>
    <row r="89" customFormat="false" ht="93" hidden="false" customHeight="true" outlineLevel="0" collapsed="false">
      <c r="A89" s="3" t="s">
        <v>268</v>
      </c>
      <c r="B89" s="4" t="s">
        <v>19</v>
      </c>
      <c r="C89" s="4" t="s">
        <v>269</v>
      </c>
      <c r="D89" s="4" t="str">
        <f aca="false">IFERROR(DPG5j!L13,"")</f>
        <v/>
      </c>
      <c r="E89" s="4" t="s">
        <v>197</v>
      </c>
      <c r="F89" s="5"/>
      <c r="G89" s="5"/>
      <c r="H89" s="6" t="str">
        <f aca="false">IF(OR(F89="",NOT(ISNUMBER(D89))),"",IF(ABS(F89-D89)&lt;0.001,"Yes","No"))</f>
        <v/>
      </c>
      <c r="I89" s="7" t="str">
        <f aca="false">IF(ISNUMBER(F89),F89,D89)</f>
        <v/>
      </c>
      <c r="J89" s="6" t="str">
        <f aca="false">IF(ISNUMBER(F89),"Expert (overrides AI)",IF(ISNUMBER(D89),"AI","Not scored yet"))</f>
        <v>Not scored yet</v>
      </c>
      <c r="K89" s="4" t="s">
        <v>22</v>
      </c>
      <c r="L89" s="4" t="s">
        <v>57</v>
      </c>
      <c r="M89" s="4"/>
      <c r="N89" s="4"/>
      <c r="O89" s="4"/>
      <c r="P89" s="4"/>
      <c r="Q89" s="4"/>
      <c r="R89" s="4" t="s">
        <v>270</v>
      </c>
    </row>
    <row r="90" customFormat="false" ht="93" hidden="false" customHeight="true" outlineLevel="0" collapsed="false">
      <c r="A90" s="3" t="s">
        <v>268</v>
      </c>
      <c r="B90" s="4" t="s">
        <v>30</v>
      </c>
      <c r="C90" s="4" t="s">
        <v>269</v>
      </c>
      <c r="D90" s="4" t="str">
        <f aca="false">IFERROR(DPG5j!L14,"")</f>
        <v/>
      </c>
      <c r="E90" s="4" t="s">
        <v>197</v>
      </c>
      <c r="F90" s="5"/>
      <c r="G90" s="5"/>
      <c r="H90" s="6" t="str">
        <f aca="false">IF(OR(F90="",NOT(ISNUMBER(D90))),"",IF(ABS(F90-D90)&lt;0.001,"Yes","No"))</f>
        <v/>
      </c>
      <c r="I90" s="7" t="str">
        <f aca="false">IF(ISNUMBER(F90),F90,D90)</f>
        <v/>
      </c>
      <c r="J90" s="6" t="str">
        <f aca="false">IF(ISNUMBER(F90),"Expert (overrides AI)",IF(ISNUMBER(D90),"AI","Not scored yet"))</f>
        <v>Not scored yet</v>
      </c>
      <c r="K90" s="4" t="s">
        <v>22</v>
      </c>
      <c r="L90" s="4" t="s">
        <v>207</v>
      </c>
      <c r="M90" s="4" t="s">
        <v>271</v>
      </c>
      <c r="N90" s="4"/>
      <c r="O90" s="4"/>
      <c r="P90" s="4"/>
      <c r="Q90" s="4"/>
      <c r="R90" s="4" t="s">
        <v>272</v>
      </c>
    </row>
    <row r="91" customFormat="false" ht="93" hidden="false" customHeight="true" outlineLevel="0" collapsed="false">
      <c r="A91" s="3" t="s">
        <v>268</v>
      </c>
      <c r="B91" s="4" t="s">
        <v>36</v>
      </c>
      <c r="C91" s="4" t="s">
        <v>269</v>
      </c>
      <c r="D91" s="4" t="str">
        <f aca="false">IFERROR(DPG5j!L15,"")</f>
        <v/>
      </c>
      <c r="E91" s="4" t="s">
        <v>197</v>
      </c>
      <c r="F91" s="5"/>
      <c r="G91" s="5"/>
      <c r="H91" s="6" t="str">
        <f aca="false">IF(OR(F91="",NOT(ISNUMBER(D91))),"",IF(ABS(F91-D91)&lt;0.001,"Yes","No"))</f>
        <v/>
      </c>
      <c r="I91" s="7" t="str">
        <f aca="false">IF(ISNUMBER(F91),F91,D91)</f>
        <v/>
      </c>
      <c r="J91" s="6" t="str">
        <f aca="false">IF(ISNUMBER(F91),"Expert (overrides AI)",IF(ISNUMBER(D91),"AI","Not scored yet"))</f>
        <v>Not scored yet</v>
      </c>
      <c r="K91" s="4" t="s">
        <v>22</v>
      </c>
      <c r="L91" s="4" t="s">
        <v>57</v>
      </c>
      <c r="M91" s="4"/>
      <c r="N91" s="4"/>
      <c r="O91" s="4"/>
      <c r="P91" s="4"/>
      <c r="Q91" s="4"/>
      <c r="R91" s="4" t="s">
        <v>273</v>
      </c>
    </row>
    <row r="92" customFormat="false" ht="93" hidden="false" customHeight="true" outlineLevel="0" collapsed="false">
      <c r="A92" s="3" t="s">
        <v>268</v>
      </c>
      <c r="B92" s="4" t="s">
        <v>42</v>
      </c>
      <c r="C92" s="4" t="s">
        <v>269</v>
      </c>
      <c r="D92" s="4" t="str">
        <f aca="false">IFERROR(DPG5j!L16,"")</f>
        <v/>
      </c>
      <c r="E92" s="4" t="s">
        <v>197</v>
      </c>
      <c r="F92" s="5"/>
      <c r="G92" s="5"/>
      <c r="H92" s="6" t="str">
        <f aca="false">IF(OR(F92="",NOT(ISNUMBER(D92))),"",IF(ABS(F92-D92)&lt;0.001,"Yes","No"))</f>
        <v/>
      </c>
      <c r="I92" s="7" t="str">
        <f aca="false">IF(ISNUMBER(F92),F92,D92)</f>
        <v/>
      </c>
      <c r="J92" s="6" t="str">
        <f aca="false">IF(ISNUMBER(F92),"Expert (overrides AI)",IF(ISNUMBER(D92),"AI","Not scored yet"))</f>
        <v>Not scored yet</v>
      </c>
      <c r="K92" s="4" t="s">
        <v>22</v>
      </c>
      <c r="L92" s="4" t="s">
        <v>57</v>
      </c>
      <c r="M92" s="4"/>
      <c r="N92" s="4"/>
      <c r="O92" s="4"/>
      <c r="P92" s="4"/>
      <c r="Q92" s="4"/>
      <c r="R92" s="4" t="s">
        <v>274</v>
      </c>
    </row>
    <row r="93" customFormat="false" ht="93" hidden="false" customHeight="true" outlineLevel="0" collapsed="false">
      <c r="A93" s="3" t="s">
        <v>268</v>
      </c>
      <c r="B93" s="4" t="s">
        <v>47</v>
      </c>
      <c r="C93" s="4" t="s">
        <v>269</v>
      </c>
      <c r="D93" s="4" t="str">
        <f aca="false">IFERROR(DPG5j!L17,"")</f>
        <v/>
      </c>
      <c r="E93" s="4" t="s">
        <v>197</v>
      </c>
      <c r="F93" s="5"/>
      <c r="G93" s="5"/>
      <c r="H93" s="6" t="str">
        <f aca="false">IF(OR(F93="",NOT(ISNUMBER(D93))),"",IF(ABS(F93-D93)&lt;0.001,"Yes","No"))</f>
        <v/>
      </c>
      <c r="I93" s="7" t="str">
        <f aca="false">IF(ISNUMBER(F93),F93,D93)</f>
        <v/>
      </c>
      <c r="J93" s="6" t="str">
        <f aca="false">IF(ISNUMBER(F93),"Expert (overrides AI)",IF(ISNUMBER(D93),"AI","Not scored yet"))</f>
        <v>Not scored yet</v>
      </c>
      <c r="K93" s="4" t="s">
        <v>22</v>
      </c>
      <c r="L93" s="4" t="s">
        <v>57</v>
      </c>
      <c r="M93" s="4"/>
      <c r="N93" s="4"/>
      <c r="O93" s="4"/>
      <c r="P93" s="4"/>
      <c r="Q93" s="4"/>
      <c r="R93" s="4" t="s">
        <v>275</v>
      </c>
    </row>
    <row r="94" customFormat="false" ht="93" hidden="false" customHeight="true" outlineLevel="0" collapsed="false">
      <c r="A94" s="3" t="s">
        <v>276</v>
      </c>
      <c r="B94" s="4" t="s">
        <v>19</v>
      </c>
      <c r="C94" s="4" t="s">
        <v>277</v>
      </c>
      <c r="D94" s="4" t="str">
        <f aca="false">IFERROR(DPG5k!L13,"")</f>
        <v/>
      </c>
      <c r="E94" s="4" t="s">
        <v>197</v>
      </c>
      <c r="F94" s="5"/>
      <c r="G94" s="5"/>
      <c r="H94" s="6" t="str">
        <f aca="false">IF(OR(F94="",NOT(ISNUMBER(D94))),"",IF(ABS(F94-D94)&lt;0.001,"Yes","No"))</f>
        <v/>
      </c>
      <c r="I94" s="7" t="str">
        <f aca="false">IF(ISNUMBER(F94),F94,D94)</f>
        <v/>
      </c>
      <c r="J94" s="6" t="str">
        <f aca="false">IF(ISNUMBER(F94),"Expert (overrides AI)",IF(ISNUMBER(D94),"AI","Not scored yet"))</f>
        <v>Not scored yet</v>
      </c>
      <c r="K94" s="4" t="s">
        <v>22</v>
      </c>
      <c r="L94" s="4" t="s">
        <v>57</v>
      </c>
      <c r="M94" s="4"/>
      <c r="N94" s="4"/>
      <c r="O94" s="4"/>
      <c r="P94" s="4"/>
      <c r="Q94" s="4"/>
      <c r="R94" s="4" t="s">
        <v>278</v>
      </c>
    </row>
    <row r="95" customFormat="false" ht="93" hidden="false" customHeight="true" outlineLevel="0" collapsed="false">
      <c r="A95" s="3" t="s">
        <v>276</v>
      </c>
      <c r="B95" s="4" t="s">
        <v>30</v>
      </c>
      <c r="C95" s="4" t="s">
        <v>277</v>
      </c>
      <c r="D95" s="4" t="str">
        <f aca="false">IFERROR(DPG5k!L14,"")</f>
        <v/>
      </c>
      <c r="E95" s="4" t="s">
        <v>197</v>
      </c>
      <c r="F95" s="5"/>
      <c r="G95" s="5"/>
      <c r="H95" s="6" t="str">
        <f aca="false">IF(OR(F95="",NOT(ISNUMBER(D95))),"",IF(ABS(F95-D95)&lt;0.001,"Yes","No"))</f>
        <v/>
      </c>
      <c r="I95" s="7" t="str">
        <f aca="false">IF(ISNUMBER(F95),F95,D95)</f>
        <v/>
      </c>
      <c r="J95" s="6" t="str">
        <f aca="false">IF(ISNUMBER(F95),"Expert (overrides AI)",IF(ISNUMBER(D95),"AI","Not scored yet"))</f>
        <v>Not scored yet</v>
      </c>
      <c r="K95" s="4" t="s">
        <v>22</v>
      </c>
      <c r="L95" s="4" t="s">
        <v>57</v>
      </c>
      <c r="M95" s="4"/>
      <c r="N95" s="4"/>
      <c r="O95" s="4"/>
      <c r="P95" s="4"/>
      <c r="Q95" s="4"/>
      <c r="R95" s="4" t="s">
        <v>279</v>
      </c>
    </row>
    <row r="96" customFormat="false" ht="93" hidden="false" customHeight="true" outlineLevel="0" collapsed="false">
      <c r="A96" s="3" t="s">
        <v>276</v>
      </c>
      <c r="B96" s="4" t="s">
        <v>36</v>
      </c>
      <c r="C96" s="4" t="s">
        <v>277</v>
      </c>
      <c r="D96" s="4" t="str">
        <f aca="false">IFERROR(DPG5k!L15,"")</f>
        <v/>
      </c>
      <c r="E96" s="4" t="s">
        <v>197</v>
      </c>
      <c r="F96" s="5"/>
      <c r="G96" s="5"/>
      <c r="H96" s="6" t="str">
        <f aca="false">IF(OR(F96="",NOT(ISNUMBER(D96))),"",IF(ABS(F96-D96)&lt;0.001,"Yes","No"))</f>
        <v/>
      </c>
      <c r="I96" s="7" t="str">
        <f aca="false">IF(ISNUMBER(F96),F96,D96)</f>
        <v/>
      </c>
      <c r="J96" s="6" t="str">
        <f aca="false">IF(ISNUMBER(F96),"Expert (overrides AI)",IF(ISNUMBER(D96),"AI","Not scored yet"))</f>
        <v>Not scored yet</v>
      </c>
      <c r="K96" s="4" t="s">
        <v>22</v>
      </c>
      <c r="L96" s="4" t="s">
        <v>57</v>
      </c>
      <c r="M96" s="4"/>
      <c r="N96" s="4"/>
      <c r="O96" s="4"/>
      <c r="P96" s="4"/>
      <c r="Q96" s="4"/>
      <c r="R96" s="4" t="s">
        <v>280</v>
      </c>
    </row>
    <row r="97" customFormat="false" ht="93" hidden="false" customHeight="true" outlineLevel="0" collapsed="false">
      <c r="A97" s="3" t="s">
        <v>276</v>
      </c>
      <c r="B97" s="4" t="s">
        <v>42</v>
      </c>
      <c r="C97" s="4" t="s">
        <v>277</v>
      </c>
      <c r="D97" s="4" t="str">
        <f aca="false">IFERROR(DPG5k!L16,"")</f>
        <v/>
      </c>
      <c r="E97" s="4" t="s">
        <v>197</v>
      </c>
      <c r="F97" s="5"/>
      <c r="G97" s="5"/>
      <c r="H97" s="6" t="str">
        <f aca="false">IF(OR(F97="",NOT(ISNUMBER(D97))),"",IF(ABS(F97-D97)&lt;0.001,"Yes","No"))</f>
        <v/>
      </c>
      <c r="I97" s="7" t="str">
        <f aca="false">IF(ISNUMBER(F97),F97,D97)</f>
        <v/>
      </c>
      <c r="J97" s="6" t="str">
        <f aca="false">IF(ISNUMBER(F97),"Expert (overrides AI)",IF(ISNUMBER(D97),"AI","Not scored yet"))</f>
        <v>Not scored yet</v>
      </c>
      <c r="K97" s="4" t="s">
        <v>22</v>
      </c>
      <c r="L97" s="4" t="s">
        <v>57</v>
      </c>
      <c r="M97" s="4"/>
      <c r="N97" s="4"/>
      <c r="O97" s="4"/>
      <c r="P97" s="4"/>
      <c r="Q97" s="4"/>
      <c r="R97" s="4" t="s">
        <v>281</v>
      </c>
    </row>
    <row r="98" customFormat="false" ht="93" hidden="false" customHeight="true" outlineLevel="0" collapsed="false">
      <c r="A98" s="3" t="s">
        <v>276</v>
      </c>
      <c r="B98" s="4" t="s">
        <v>47</v>
      </c>
      <c r="C98" s="4" t="s">
        <v>277</v>
      </c>
      <c r="D98" s="4" t="str">
        <f aca="false">IFERROR(DPG5k!L17,"")</f>
        <v/>
      </c>
      <c r="E98" s="4" t="s">
        <v>197</v>
      </c>
      <c r="F98" s="5"/>
      <c r="G98" s="5"/>
      <c r="H98" s="6" t="str">
        <f aca="false">IF(OR(F98="",NOT(ISNUMBER(D98))),"",IF(ABS(F98-D98)&lt;0.001,"Yes","No"))</f>
        <v/>
      </c>
      <c r="I98" s="7" t="str">
        <f aca="false">IF(ISNUMBER(F98),F98,D98)</f>
        <v/>
      </c>
      <c r="J98" s="6" t="str">
        <f aca="false">IF(ISNUMBER(F98),"Expert (overrides AI)",IF(ISNUMBER(D98),"AI","Not scored yet"))</f>
        <v>Not scored yet</v>
      </c>
      <c r="K98" s="4" t="s">
        <v>22</v>
      </c>
      <c r="L98" s="4" t="s">
        <v>57</v>
      </c>
      <c r="M98" s="4"/>
      <c r="N98" s="4"/>
      <c r="O98" s="4"/>
      <c r="P98" s="4"/>
      <c r="Q98" s="4"/>
      <c r="R98" s="4" t="s">
        <v>282</v>
      </c>
    </row>
    <row r="99" customFormat="false" ht="93" hidden="false" customHeight="true" outlineLevel="0" collapsed="false">
      <c r="A99" s="3" t="s">
        <v>283</v>
      </c>
      <c r="B99" s="4" t="s">
        <v>19</v>
      </c>
      <c r="C99" s="4" t="s">
        <v>284</v>
      </c>
      <c r="D99" s="4" t="n">
        <f aca="false">IFERROR(DPG6a!L13,"")</f>
        <v>5</v>
      </c>
      <c r="E99" s="4" t="s">
        <v>21</v>
      </c>
      <c r="F99" s="5"/>
      <c r="G99" s="5"/>
      <c r="H99" s="6" t="str">
        <f aca="false">IF(OR(F99="",NOT(ISNUMBER(D99))),"",IF(ABS(F99-D99)&lt;0.001,"Yes","No"))</f>
        <v/>
      </c>
      <c r="I99" s="7" t="n">
        <f aca="false">IF(ISNUMBER(F99),F99,D99)</f>
        <v>5</v>
      </c>
      <c r="J99" s="6" t="str">
        <f aca="false">IF(ISNUMBER(F99),"Expert (overrides AI)",IF(ISNUMBER(D99),"AI","Not scored yet"))</f>
        <v>AI</v>
      </c>
      <c r="K99" s="4" t="s">
        <v>22</v>
      </c>
      <c r="L99" s="4" t="s">
        <v>23</v>
      </c>
      <c r="M99" s="4" t="s">
        <v>285</v>
      </c>
      <c r="N99" s="4"/>
      <c r="O99" s="4"/>
      <c r="P99" s="4"/>
      <c r="Q99" s="4"/>
      <c r="R99" s="4" t="s">
        <v>88</v>
      </c>
    </row>
    <row r="100" customFormat="false" ht="93" hidden="false" customHeight="true" outlineLevel="0" collapsed="false">
      <c r="A100" s="3" t="s">
        <v>283</v>
      </c>
      <c r="B100" s="4" t="s">
        <v>30</v>
      </c>
      <c r="C100" s="4" t="s">
        <v>284</v>
      </c>
      <c r="D100" s="4" t="str">
        <f aca="false">IFERROR(DPG6a!L14,"")</f>
        <v/>
      </c>
      <c r="E100" s="4" t="s">
        <v>21</v>
      </c>
      <c r="F100" s="5"/>
      <c r="G100" s="5"/>
      <c r="H100" s="6" t="str">
        <f aca="false">IF(OR(F100="",NOT(ISNUMBER(D100))),"",IF(ABS(F100-D100)&lt;0.001,"Yes","No"))</f>
        <v/>
      </c>
      <c r="I100" s="7" t="str">
        <f aca="false">IF(ISNUMBER(F100),F100,D100)</f>
        <v/>
      </c>
      <c r="J100" s="6" t="str">
        <f aca="false">IF(ISNUMBER(F100),"Expert (overrides AI)",IF(ISNUMBER(D100),"AI","Not scored yet"))</f>
        <v>Not scored yet</v>
      </c>
      <c r="K100" s="4" t="s">
        <v>22</v>
      </c>
      <c r="L100" s="4" t="s">
        <v>57</v>
      </c>
      <c r="M100" s="4"/>
      <c r="N100" s="4"/>
      <c r="O100" s="4"/>
      <c r="P100" s="4"/>
      <c r="Q100" s="4"/>
      <c r="R100" s="4" t="s">
        <v>286</v>
      </c>
    </row>
    <row r="101" customFormat="false" ht="93" hidden="false" customHeight="true" outlineLevel="0" collapsed="false">
      <c r="A101" s="3" t="s">
        <v>283</v>
      </c>
      <c r="B101" s="4" t="s">
        <v>36</v>
      </c>
      <c r="C101" s="4" t="s">
        <v>284</v>
      </c>
      <c r="D101" s="4" t="n">
        <f aca="false">IFERROR(DPG6a!L15,"")</f>
        <v>0</v>
      </c>
      <c r="E101" s="4" t="s">
        <v>21</v>
      </c>
      <c r="F101" s="5"/>
      <c r="G101" s="5"/>
      <c r="H101" s="6" t="str">
        <f aca="false">IF(OR(F101="",NOT(ISNUMBER(D101))),"",IF(ABS(F101-D101)&lt;0.001,"Yes","No"))</f>
        <v/>
      </c>
      <c r="I101" s="7" t="n">
        <f aca="false">IF(ISNUMBER(F101),F101,D101)</f>
        <v>0</v>
      </c>
      <c r="J101" s="6" t="str">
        <f aca="false">IF(ISNUMBER(F101),"Expert (overrides AI)",IF(ISNUMBER(D101),"AI","Not scored yet"))</f>
        <v>AI</v>
      </c>
      <c r="K101" s="4" t="s">
        <v>22</v>
      </c>
      <c r="L101" s="4" t="s">
        <v>23</v>
      </c>
      <c r="M101" s="4" t="s">
        <v>287</v>
      </c>
      <c r="N101" s="4" t="s">
        <v>38</v>
      </c>
      <c r="O101" s="4" t="s">
        <v>39</v>
      </c>
      <c r="P101" s="4" t="s">
        <v>288</v>
      </c>
      <c r="Q101" s="4" t="s">
        <v>289</v>
      </c>
      <c r="R101" s="4" t="s">
        <v>29</v>
      </c>
    </row>
    <row r="102" customFormat="false" ht="93" hidden="false" customHeight="true" outlineLevel="0" collapsed="false">
      <c r="A102" s="3" t="s">
        <v>283</v>
      </c>
      <c r="B102" s="4" t="s">
        <v>42</v>
      </c>
      <c r="C102" s="4" t="s">
        <v>284</v>
      </c>
      <c r="D102" s="4" t="str">
        <f aca="false">IFERROR(DPG6a!L16,"")</f>
        <v/>
      </c>
      <c r="E102" s="4" t="s">
        <v>21</v>
      </c>
      <c r="F102" s="5"/>
      <c r="G102" s="5"/>
      <c r="H102" s="6" t="str">
        <f aca="false">IF(OR(F102="",NOT(ISNUMBER(D102))),"",IF(ABS(F102-D102)&lt;0.001,"Yes","No"))</f>
        <v/>
      </c>
      <c r="I102" s="7" t="str">
        <f aca="false">IF(ISNUMBER(F102),F102,D102)</f>
        <v/>
      </c>
      <c r="J102" s="6" t="str">
        <f aca="false">IF(ISNUMBER(F102),"Expert (overrides AI)",IF(ISNUMBER(D102),"AI","Not scored yet"))</f>
        <v>Not scored yet</v>
      </c>
      <c r="K102" s="4" t="s">
        <v>22</v>
      </c>
      <c r="L102" s="4" t="s">
        <v>57</v>
      </c>
      <c r="M102" s="4"/>
      <c r="N102" s="4"/>
      <c r="O102" s="4"/>
      <c r="P102" s="4"/>
      <c r="Q102" s="4"/>
      <c r="R102" s="4" t="s">
        <v>290</v>
      </c>
    </row>
    <row r="103" customFormat="false" ht="93" hidden="false" customHeight="true" outlineLevel="0" collapsed="false">
      <c r="A103" s="3" t="s">
        <v>283</v>
      </c>
      <c r="B103" s="4" t="s">
        <v>47</v>
      </c>
      <c r="C103" s="4" t="s">
        <v>284</v>
      </c>
      <c r="D103" s="4" t="str">
        <f aca="false">IFERROR(DPG6a!L17,"")</f>
        <v/>
      </c>
      <c r="E103" s="4" t="s">
        <v>21</v>
      </c>
      <c r="F103" s="5"/>
      <c r="G103" s="5"/>
      <c r="H103" s="6" t="str">
        <f aca="false">IF(OR(F103="",NOT(ISNUMBER(D103))),"",IF(ABS(F103-D103)&lt;0.001,"Yes","No"))</f>
        <v/>
      </c>
      <c r="I103" s="7" t="str">
        <f aca="false">IF(ISNUMBER(F103),F103,D103)</f>
        <v/>
      </c>
      <c r="J103" s="6" t="str">
        <f aca="false">IF(ISNUMBER(F103),"Expert (overrides AI)",IF(ISNUMBER(D103),"AI","Not scored yet"))</f>
        <v>Not scored yet</v>
      </c>
      <c r="K103" s="4" t="s">
        <v>22</v>
      </c>
      <c r="L103" s="4" t="s">
        <v>57</v>
      </c>
      <c r="M103" s="4"/>
      <c r="N103" s="4"/>
      <c r="O103" s="4"/>
      <c r="P103" s="4"/>
      <c r="Q103" s="4"/>
      <c r="R103" s="4" t="s">
        <v>291</v>
      </c>
    </row>
    <row r="104" customFormat="false" ht="93" hidden="false" customHeight="true" outlineLevel="0" collapsed="false">
      <c r="A104" s="3" t="s">
        <v>292</v>
      </c>
      <c r="B104" s="4" t="s">
        <v>19</v>
      </c>
      <c r="C104" s="4" t="s">
        <v>293</v>
      </c>
      <c r="D104" s="4" t="str">
        <f aca="false">IFERROR(DPG6b!L13,"")</f>
        <v/>
      </c>
      <c r="E104" s="4" t="s">
        <v>21</v>
      </c>
      <c r="F104" s="5"/>
      <c r="G104" s="5"/>
      <c r="H104" s="6" t="str">
        <f aca="false">IF(OR(F104="",NOT(ISNUMBER(D104))),"",IF(ABS(F104-D104)&lt;0.001,"Yes","No"))</f>
        <v/>
      </c>
      <c r="I104" s="7" t="str">
        <f aca="false">IF(ISNUMBER(F104),F104,D104)</f>
        <v/>
      </c>
      <c r="J104" s="6" t="str">
        <f aca="false">IF(ISNUMBER(F104),"Expert (overrides AI)",IF(ISNUMBER(D104),"AI","Not scored yet"))</f>
        <v>Not scored yet</v>
      </c>
      <c r="K104" s="4" t="s">
        <v>22</v>
      </c>
      <c r="L104" s="4" t="s">
        <v>57</v>
      </c>
      <c r="M104" s="4"/>
      <c r="N104" s="4"/>
      <c r="O104" s="4"/>
      <c r="P104" s="4"/>
      <c r="Q104" s="4"/>
      <c r="R104" s="4" t="s">
        <v>294</v>
      </c>
    </row>
    <row r="105" customFormat="false" ht="93" hidden="false" customHeight="true" outlineLevel="0" collapsed="false">
      <c r="A105" s="3" t="s">
        <v>292</v>
      </c>
      <c r="B105" s="4" t="s">
        <v>30</v>
      </c>
      <c r="C105" s="4" t="s">
        <v>293</v>
      </c>
      <c r="D105" s="4" t="str">
        <f aca="false">IFERROR(DPG6b!L14,"")</f>
        <v/>
      </c>
      <c r="E105" s="4" t="s">
        <v>21</v>
      </c>
      <c r="F105" s="5"/>
      <c r="G105" s="5"/>
      <c r="H105" s="6" t="str">
        <f aca="false">IF(OR(F105="",NOT(ISNUMBER(D105))),"",IF(ABS(F105-D105)&lt;0.001,"Yes","No"))</f>
        <v/>
      </c>
      <c r="I105" s="7" t="str">
        <f aca="false">IF(ISNUMBER(F105),F105,D105)</f>
        <v/>
      </c>
      <c r="J105" s="6" t="str">
        <f aca="false">IF(ISNUMBER(F105),"Expert (overrides AI)",IF(ISNUMBER(D105),"AI","Not scored yet"))</f>
        <v>Not scored yet</v>
      </c>
      <c r="K105" s="4" t="s">
        <v>22</v>
      </c>
      <c r="L105" s="4" t="s">
        <v>23</v>
      </c>
      <c r="M105" s="4" t="s">
        <v>295</v>
      </c>
      <c r="N105" s="4" t="s">
        <v>182</v>
      </c>
      <c r="O105" s="4" t="s">
        <v>183</v>
      </c>
      <c r="P105" s="4" t="s">
        <v>296</v>
      </c>
      <c r="Q105" s="4" t="s">
        <v>297</v>
      </c>
      <c r="R105" s="4" t="s">
        <v>29</v>
      </c>
    </row>
    <row r="106" customFormat="false" ht="93" hidden="false" customHeight="true" outlineLevel="0" collapsed="false">
      <c r="A106" s="3" t="s">
        <v>292</v>
      </c>
      <c r="B106" s="4" t="s">
        <v>36</v>
      </c>
      <c r="C106" s="4" t="s">
        <v>293</v>
      </c>
      <c r="D106" s="4" t="str">
        <f aca="false">IFERROR(DPG6b!L15,"")</f>
        <v/>
      </c>
      <c r="E106" s="4" t="s">
        <v>21</v>
      </c>
      <c r="F106" s="5"/>
      <c r="G106" s="5"/>
      <c r="H106" s="6" t="str">
        <f aca="false">IF(OR(F106="",NOT(ISNUMBER(D106))),"",IF(ABS(F106-D106)&lt;0.001,"Yes","No"))</f>
        <v/>
      </c>
      <c r="I106" s="7" t="str">
        <f aca="false">IF(ISNUMBER(F106),F106,D106)</f>
        <v/>
      </c>
      <c r="J106" s="6" t="str">
        <f aca="false">IF(ISNUMBER(F106),"Expert (overrides AI)",IF(ISNUMBER(D106),"AI","Not scored yet"))</f>
        <v>Not scored yet</v>
      </c>
      <c r="K106" s="4" t="s">
        <v>22</v>
      </c>
      <c r="L106" s="4" t="s">
        <v>57</v>
      </c>
      <c r="M106" s="4"/>
      <c r="N106" s="4"/>
      <c r="O106" s="4"/>
      <c r="P106" s="4"/>
      <c r="Q106" s="4"/>
      <c r="R106" s="4" t="s">
        <v>298</v>
      </c>
    </row>
    <row r="107" customFormat="false" ht="93" hidden="false" customHeight="true" outlineLevel="0" collapsed="false">
      <c r="A107" s="3" t="s">
        <v>292</v>
      </c>
      <c r="B107" s="4" t="s">
        <v>42</v>
      </c>
      <c r="C107" s="4" t="s">
        <v>293</v>
      </c>
      <c r="D107" s="4" t="str">
        <f aca="false">IFERROR(DPG6b!L16,"")</f>
        <v/>
      </c>
      <c r="E107" s="4" t="s">
        <v>21</v>
      </c>
      <c r="F107" s="5"/>
      <c r="G107" s="5"/>
      <c r="H107" s="6" t="str">
        <f aca="false">IF(OR(F107="",NOT(ISNUMBER(D107))),"",IF(ABS(F107-D107)&lt;0.001,"Yes","No"))</f>
        <v/>
      </c>
      <c r="I107" s="7" t="str">
        <f aca="false">IF(ISNUMBER(F107),F107,D107)</f>
        <v/>
      </c>
      <c r="J107" s="6" t="str">
        <f aca="false">IF(ISNUMBER(F107),"Expert (overrides AI)",IF(ISNUMBER(D107),"AI","Not scored yet"))</f>
        <v>Not scored yet</v>
      </c>
      <c r="K107" s="4" t="s">
        <v>22</v>
      </c>
      <c r="L107" s="4" t="s">
        <v>57</v>
      </c>
      <c r="M107" s="4"/>
      <c r="N107" s="4"/>
      <c r="O107" s="4"/>
      <c r="P107" s="4"/>
      <c r="Q107" s="4"/>
      <c r="R107" s="4" t="s">
        <v>299</v>
      </c>
    </row>
    <row r="108" customFormat="false" ht="93" hidden="false" customHeight="true" outlineLevel="0" collapsed="false">
      <c r="A108" s="3" t="s">
        <v>292</v>
      </c>
      <c r="B108" s="4" t="s">
        <v>47</v>
      </c>
      <c r="C108" s="4" t="s">
        <v>293</v>
      </c>
      <c r="D108" s="4" t="str">
        <f aca="false">IFERROR(DPG6b!L17,"")</f>
        <v/>
      </c>
      <c r="E108" s="4" t="s">
        <v>21</v>
      </c>
      <c r="F108" s="5"/>
      <c r="G108" s="5"/>
      <c r="H108" s="6" t="str">
        <f aca="false">IF(OR(F108="",NOT(ISNUMBER(D108))),"",IF(ABS(F108-D108)&lt;0.001,"Yes","No"))</f>
        <v/>
      </c>
      <c r="I108" s="7" t="str">
        <f aca="false">IF(ISNUMBER(F108),F108,D108)</f>
        <v/>
      </c>
      <c r="J108" s="6" t="str">
        <f aca="false">IF(ISNUMBER(F108),"Expert (overrides AI)",IF(ISNUMBER(D108),"AI","Not scored yet"))</f>
        <v>Not scored yet</v>
      </c>
      <c r="K108" s="4" t="s">
        <v>22</v>
      </c>
      <c r="L108" s="4" t="s">
        <v>57</v>
      </c>
      <c r="M108" s="4"/>
      <c r="N108" s="4"/>
      <c r="O108" s="4"/>
      <c r="P108" s="4"/>
      <c r="Q108" s="4"/>
      <c r="R108" s="4" t="s">
        <v>300</v>
      </c>
    </row>
    <row r="109" customFormat="false" ht="93" hidden="false" customHeight="true" outlineLevel="0" collapsed="false">
      <c r="A109" s="3" t="s">
        <v>301</v>
      </c>
      <c r="B109" s="4" t="s">
        <v>19</v>
      </c>
      <c r="C109" s="4" t="s">
        <v>302</v>
      </c>
      <c r="D109" s="4" t="n">
        <f aca="false">IFERROR(DPG7a!L13,"")</f>
        <v>0</v>
      </c>
      <c r="E109" s="4" t="s">
        <v>21</v>
      </c>
      <c r="F109" s="5"/>
      <c r="G109" s="5"/>
      <c r="H109" s="6" t="str">
        <f aca="false">IF(OR(F109="",NOT(ISNUMBER(D109))),"",IF(ABS(F109-D109)&lt;0.001,"Yes","No"))</f>
        <v/>
      </c>
      <c r="I109" s="7" t="n">
        <f aca="false">IF(ISNUMBER(F109),F109,D109)</f>
        <v>0</v>
      </c>
      <c r="J109" s="6" t="str">
        <f aca="false">IF(ISNUMBER(F109),"Expert (overrides AI)",IF(ISNUMBER(D109),"AI","Not scored yet"))</f>
        <v>AI</v>
      </c>
      <c r="K109" s="4" t="s">
        <v>22</v>
      </c>
      <c r="L109" s="4" t="s">
        <v>23</v>
      </c>
      <c r="M109" s="4" t="s">
        <v>303</v>
      </c>
      <c r="N109" s="4"/>
      <c r="O109" s="4"/>
      <c r="P109" s="4"/>
      <c r="Q109" s="4"/>
      <c r="R109" s="4" t="s">
        <v>88</v>
      </c>
    </row>
    <row r="110" customFormat="false" ht="93" hidden="false" customHeight="true" outlineLevel="0" collapsed="false">
      <c r="A110" s="3" t="s">
        <v>301</v>
      </c>
      <c r="B110" s="4" t="s">
        <v>30</v>
      </c>
      <c r="C110" s="4" t="s">
        <v>302</v>
      </c>
      <c r="D110" s="4" t="n">
        <f aca="false">IFERROR(DPG7a!L14,"")</f>
        <v>2.5</v>
      </c>
      <c r="E110" s="4" t="s">
        <v>21</v>
      </c>
      <c r="F110" s="5"/>
      <c r="G110" s="5"/>
      <c r="H110" s="6" t="str">
        <f aca="false">IF(OR(F110="",NOT(ISNUMBER(D110))),"",IF(ABS(F110-D110)&lt;0.001,"Yes","No"))</f>
        <v/>
      </c>
      <c r="I110" s="7" t="n">
        <f aca="false">IF(ISNUMBER(F110),F110,D110)</f>
        <v>2.5</v>
      </c>
      <c r="J110" s="6" t="str">
        <f aca="false">IF(ISNUMBER(F110),"Expert (overrides AI)",IF(ISNUMBER(D110),"AI","Not scored yet"))</f>
        <v>AI</v>
      </c>
      <c r="K110" s="4" t="s">
        <v>22</v>
      </c>
      <c r="L110" s="4" t="s">
        <v>23</v>
      </c>
      <c r="M110" s="4" t="s">
        <v>304</v>
      </c>
      <c r="N110" s="4" t="s">
        <v>32</v>
      </c>
      <c r="O110" s="4" t="s">
        <v>33</v>
      </c>
      <c r="P110" s="4" t="s">
        <v>305</v>
      </c>
      <c r="Q110" s="4" t="s">
        <v>306</v>
      </c>
      <c r="R110" s="4" t="s">
        <v>29</v>
      </c>
    </row>
    <row r="111" customFormat="false" ht="93" hidden="false" customHeight="true" outlineLevel="0" collapsed="false">
      <c r="A111" s="3" t="s">
        <v>301</v>
      </c>
      <c r="B111" s="4" t="s">
        <v>42</v>
      </c>
      <c r="C111" s="4" t="s">
        <v>302</v>
      </c>
      <c r="D111" s="4" t="n">
        <f aca="false">IFERROR(DPG7a!L16,"")</f>
        <v>2.5</v>
      </c>
      <c r="E111" s="4" t="s">
        <v>21</v>
      </c>
      <c r="F111" s="5"/>
      <c r="G111" s="5"/>
      <c r="H111" s="6" t="str">
        <f aca="false">IF(OR(F111="",NOT(ISNUMBER(D111))),"",IF(ABS(F111-D111)&lt;0.001,"Yes","No"))</f>
        <v/>
      </c>
      <c r="I111" s="7" t="n">
        <f aca="false">IF(ISNUMBER(F111),F111,D111)</f>
        <v>2.5</v>
      </c>
      <c r="J111" s="6" t="str">
        <f aca="false">IF(ISNUMBER(F111),"Expert (overrides AI)",IF(ISNUMBER(D111),"AI","Not scored yet"))</f>
        <v>AI</v>
      </c>
      <c r="K111" s="4" t="s">
        <v>129</v>
      </c>
      <c r="L111" s="4" t="s">
        <v>23</v>
      </c>
      <c r="M111" s="4" t="s">
        <v>307</v>
      </c>
      <c r="N111" s="4" t="s">
        <v>308</v>
      </c>
      <c r="O111" s="4" t="s">
        <v>33</v>
      </c>
      <c r="P111" s="4" t="s">
        <v>309</v>
      </c>
      <c r="Q111" s="4" t="s">
        <v>310</v>
      </c>
      <c r="R111" s="4"/>
    </row>
    <row r="112" customFormat="false" ht="93" hidden="false" customHeight="true" outlineLevel="0" collapsed="false">
      <c r="A112" s="3" t="s">
        <v>311</v>
      </c>
      <c r="B112" s="4" t="s">
        <v>19</v>
      </c>
      <c r="C112" s="4" t="s">
        <v>312</v>
      </c>
      <c r="D112" s="4" t="n">
        <f aca="false">IFERROR(DPG7b!L13,"")</f>
        <v>2.5</v>
      </c>
      <c r="E112" s="4" t="s">
        <v>21</v>
      </c>
      <c r="F112" s="5"/>
      <c r="G112" s="5"/>
      <c r="H112" s="6" t="str">
        <f aca="false">IF(OR(F112="",NOT(ISNUMBER(D112))),"",IF(ABS(F112-D112)&lt;0.001,"Yes","No"))</f>
        <v/>
      </c>
      <c r="I112" s="7" t="n">
        <f aca="false">IF(ISNUMBER(F112),F112,D112)</f>
        <v>2.5</v>
      </c>
      <c r="J112" s="6" t="str">
        <f aca="false">IF(ISNUMBER(F112),"Expert (overrides AI)",IF(ISNUMBER(D112),"AI","Not scored yet"))</f>
        <v>AI</v>
      </c>
      <c r="K112" s="4" t="s">
        <v>22</v>
      </c>
      <c r="L112" s="4" t="s">
        <v>57</v>
      </c>
      <c r="M112" s="4"/>
      <c r="N112" s="4"/>
      <c r="O112" s="4"/>
      <c r="P112" s="4"/>
      <c r="Q112" s="4"/>
      <c r="R112" s="4" t="s">
        <v>313</v>
      </c>
    </row>
    <row r="113" customFormat="false" ht="93" hidden="false" customHeight="true" outlineLevel="0" collapsed="false">
      <c r="A113" s="3" t="s">
        <v>311</v>
      </c>
      <c r="B113" s="4" t="s">
        <v>30</v>
      </c>
      <c r="C113" s="4" t="s">
        <v>312</v>
      </c>
      <c r="D113" s="4" t="str">
        <f aca="false">IFERROR(DPG7b!L14,"")</f>
        <v/>
      </c>
      <c r="E113" s="4" t="s">
        <v>21</v>
      </c>
      <c r="F113" s="5"/>
      <c r="G113" s="5"/>
      <c r="H113" s="6" t="str">
        <f aca="false">IF(OR(F113="",NOT(ISNUMBER(D113))),"",IF(ABS(F113-D113)&lt;0.001,"Yes","No"))</f>
        <v/>
      </c>
      <c r="I113" s="7" t="str">
        <f aca="false">IF(ISNUMBER(F113),F113,D113)</f>
        <v/>
      </c>
      <c r="J113" s="6" t="str">
        <f aca="false">IF(ISNUMBER(F113),"Expert (overrides AI)",IF(ISNUMBER(D113),"AI","Not scored yet"))</f>
        <v>Not scored yet</v>
      </c>
      <c r="K113" s="4" t="s">
        <v>22</v>
      </c>
      <c r="L113" s="4" t="s">
        <v>57</v>
      </c>
      <c r="M113" s="4"/>
      <c r="N113" s="4"/>
      <c r="O113" s="4"/>
      <c r="P113" s="4"/>
      <c r="Q113" s="4"/>
      <c r="R113" s="4" t="s">
        <v>314</v>
      </c>
    </row>
    <row r="114" customFormat="false" ht="93" hidden="false" customHeight="true" outlineLevel="0" collapsed="false">
      <c r="A114" s="3" t="s">
        <v>311</v>
      </c>
      <c r="B114" s="4" t="s">
        <v>42</v>
      </c>
      <c r="C114" s="4" t="s">
        <v>312</v>
      </c>
      <c r="D114" s="4" t="n">
        <f aca="false">IFERROR(DPG7b!L16,"")</f>
        <v>2.5</v>
      </c>
      <c r="E114" s="4" t="s">
        <v>21</v>
      </c>
      <c r="F114" s="5"/>
      <c r="G114" s="5"/>
      <c r="H114" s="6" t="str">
        <f aca="false">IF(OR(F114="",NOT(ISNUMBER(D114))),"",IF(ABS(F114-D114)&lt;0.001,"Yes","No"))</f>
        <v/>
      </c>
      <c r="I114" s="7" t="n">
        <f aca="false">IF(ISNUMBER(F114),F114,D114)</f>
        <v>2.5</v>
      </c>
      <c r="J114" s="6" t="str">
        <f aca="false">IF(ISNUMBER(F114),"Expert (overrides AI)",IF(ISNUMBER(D114),"AI","Not scored yet"))</f>
        <v>AI</v>
      </c>
      <c r="K114" s="4" t="s">
        <v>22</v>
      </c>
      <c r="L114" s="4" t="s">
        <v>23</v>
      </c>
      <c r="M114" s="4" t="s">
        <v>315</v>
      </c>
      <c r="N114" s="4" t="s">
        <v>316</v>
      </c>
      <c r="O114" s="4" t="s">
        <v>317</v>
      </c>
      <c r="P114" s="4" t="s">
        <v>318</v>
      </c>
      <c r="Q114" s="4" t="s">
        <v>319</v>
      </c>
      <c r="R114" s="4" t="s">
        <v>29</v>
      </c>
    </row>
    <row r="115" customFormat="false" ht="93" hidden="false" customHeight="true" outlineLevel="0" collapsed="false">
      <c r="A115" s="3" t="s">
        <v>320</v>
      </c>
      <c r="B115" s="4" t="s">
        <v>19</v>
      </c>
      <c r="C115" s="4" t="s">
        <v>321</v>
      </c>
      <c r="D115" s="4" t="str">
        <f aca="false">IFERROR('SC1'!L13,"")</f>
        <v/>
      </c>
      <c r="E115" s="4" t="s">
        <v>175</v>
      </c>
      <c r="F115" s="5"/>
      <c r="G115" s="5"/>
      <c r="H115" s="6" t="str">
        <f aca="false">IF(OR(F115="",NOT(ISNUMBER(D115))),"",IF(ABS(F115-D115)&lt;0.001,"Yes","No"))</f>
        <v/>
      </c>
      <c r="I115" s="7" t="str">
        <f aca="false">IF(ISNUMBER(F115),F115,D115)</f>
        <v/>
      </c>
      <c r="J115" s="6" t="str">
        <f aca="false">IF(ISNUMBER(F115),"Expert (overrides AI)",IF(ISNUMBER(D115),"AI","Not scored yet"))</f>
        <v>Not scored yet</v>
      </c>
      <c r="K115" s="4" t="s">
        <v>22</v>
      </c>
      <c r="L115" s="4" t="s">
        <v>23</v>
      </c>
      <c r="M115" s="4" t="s">
        <v>322</v>
      </c>
      <c r="N115" s="4" t="s">
        <v>53</v>
      </c>
      <c r="O115" s="4" t="s">
        <v>54</v>
      </c>
      <c r="P115" s="4" t="s">
        <v>323</v>
      </c>
      <c r="Q115" s="4" t="s">
        <v>324</v>
      </c>
      <c r="R115" s="4" t="s">
        <v>29</v>
      </c>
    </row>
    <row r="116" customFormat="false" ht="93" hidden="false" customHeight="true" outlineLevel="0" collapsed="false">
      <c r="A116" s="3" t="s">
        <v>320</v>
      </c>
      <c r="B116" s="4" t="s">
        <v>30</v>
      </c>
      <c r="C116" s="4" t="s">
        <v>321</v>
      </c>
      <c r="D116" s="4" t="str">
        <f aca="false">IFERROR('SC1'!L14,"")</f>
        <v/>
      </c>
      <c r="E116" s="4" t="s">
        <v>175</v>
      </c>
      <c r="F116" s="5"/>
      <c r="G116" s="5"/>
      <c r="H116" s="6" t="str">
        <f aca="false">IF(OR(F116="",NOT(ISNUMBER(D116))),"",IF(ABS(F116-D116)&lt;0.001,"Yes","No"))</f>
        <v/>
      </c>
      <c r="I116" s="7" t="str">
        <f aca="false">IF(ISNUMBER(F116),F116,D116)</f>
        <v/>
      </c>
      <c r="J116" s="6" t="str">
        <f aca="false">IF(ISNUMBER(F116),"Expert (overrides AI)",IF(ISNUMBER(D116),"AI","Not scored yet"))</f>
        <v>Not scored yet</v>
      </c>
      <c r="K116" s="4" t="s">
        <v>22</v>
      </c>
      <c r="L116" s="4" t="s">
        <v>57</v>
      </c>
      <c r="M116" s="4"/>
      <c r="N116" s="4"/>
      <c r="O116" s="4"/>
      <c r="P116" s="4"/>
      <c r="Q116" s="4"/>
      <c r="R116" s="4" t="s">
        <v>325</v>
      </c>
    </row>
    <row r="117" customFormat="false" ht="93" hidden="false" customHeight="true" outlineLevel="0" collapsed="false">
      <c r="A117" s="3" t="s">
        <v>320</v>
      </c>
      <c r="B117" s="4" t="s">
        <v>36</v>
      </c>
      <c r="C117" s="4" t="s">
        <v>321</v>
      </c>
      <c r="D117" s="4" t="str">
        <f aca="false">IFERROR('SC1'!L15,"")</f>
        <v/>
      </c>
      <c r="E117" s="4" t="s">
        <v>175</v>
      </c>
      <c r="F117" s="5"/>
      <c r="G117" s="5"/>
      <c r="H117" s="6" t="str">
        <f aca="false">IF(OR(F117="",NOT(ISNUMBER(D117))),"",IF(ABS(F117-D117)&lt;0.001,"Yes","No"))</f>
        <v/>
      </c>
      <c r="I117" s="7" t="str">
        <f aca="false">IF(ISNUMBER(F117),F117,D117)</f>
        <v/>
      </c>
      <c r="J117" s="6" t="str">
        <f aca="false">IF(ISNUMBER(F117),"Expert (overrides AI)",IF(ISNUMBER(D117),"AI","Not scored yet"))</f>
        <v>Not scored yet</v>
      </c>
      <c r="K117" s="4" t="s">
        <v>22</v>
      </c>
      <c r="L117" s="4" t="s">
        <v>23</v>
      </c>
      <c r="M117" s="4" t="s">
        <v>326</v>
      </c>
      <c r="N117" s="8" t="s">
        <v>327</v>
      </c>
      <c r="O117" s="4" t="s">
        <v>328</v>
      </c>
      <c r="P117" s="4" t="s">
        <v>329</v>
      </c>
      <c r="Q117" s="4" t="s">
        <v>330</v>
      </c>
      <c r="R117" s="4" t="s">
        <v>29</v>
      </c>
    </row>
    <row r="118" customFormat="false" ht="93" hidden="false" customHeight="true" outlineLevel="0" collapsed="false">
      <c r="A118" s="3" t="s">
        <v>331</v>
      </c>
      <c r="B118" s="4" t="s">
        <v>19</v>
      </c>
      <c r="C118" s="4" t="s">
        <v>332</v>
      </c>
      <c r="D118" s="4" t="str">
        <f aca="false">IFERROR('SC2'!L13,"")</f>
        <v/>
      </c>
      <c r="E118" s="4" t="s">
        <v>175</v>
      </c>
      <c r="F118" s="5"/>
      <c r="G118" s="5"/>
      <c r="H118" s="6" t="str">
        <f aca="false">IF(OR(F118="",NOT(ISNUMBER(D118))),"",IF(ABS(F118-D118)&lt;0.001,"Yes","No"))</f>
        <v/>
      </c>
      <c r="I118" s="7" t="str">
        <f aca="false">IF(ISNUMBER(F118),F118,D118)</f>
        <v/>
      </c>
      <c r="J118" s="6" t="str">
        <f aca="false">IF(ISNUMBER(F118),"Expert (overrides AI)",IF(ISNUMBER(D118),"AI","Not scored yet"))</f>
        <v>Not scored yet</v>
      </c>
      <c r="K118" s="4" t="s">
        <v>22</v>
      </c>
      <c r="L118" s="4" t="s">
        <v>57</v>
      </c>
      <c r="M118" s="4"/>
      <c r="N118" s="4"/>
      <c r="O118" s="4"/>
      <c r="P118" s="4"/>
      <c r="Q118" s="4"/>
      <c r="R118" s="4" t="s">
        <v>333</v>
      </c>
    </row>
    <row r="119" customFormat="false" ht="93" hidden="false" customHeight="true" outlineLevel="0" collapsed="false">
      <c r="A119" s="3" t="s">
        <v>331</v>
      </c>
      <c r="B119" s="4" t="s">
        <v>30</v>
      </c>
      <c r="C119" s="4" t="s">
        <v>332</v>
      </c>
      <c r="D119" s="4" t="str">
        <f aca="false">IFERROR('SC2'!L14,"")</f>
        <v/>
      </c>
      <c r="E119" s="4" t="s">
        <v>175</v>
      </c>
      <c r="F119" s="5"/>
      <c r="G119" s="5"/>
      <c r="H119" s="6" t="str">
        <f aca="false">IF(OR(F119="",NOT(ISNUMBER(D119))),"",IF(ABS(F119-D119)&lt;0.001,"Yes","No"))</f>
        <v/>
      </c>
      <c r="I119" s="7" t="str">
        <f aca="false">IF(ISNUMBER(F119),F119,D119)</f>
        <v/>
      </c>
      <c r="J119" s="6" t="str">
        <f aca="false">IF(ISNUMBER(F119),"Expert (overrides AI)",IF(ISNUMBER(D119),"AI","Not scored yet"))</f>
        <v>Not scored yet</v>
      </c>
      <c r="K119" s="4" t="s">
        <v>22</v>
      </c>
      <c r="L119" s="4" t="s">
        <v>57</v>
      </c>
      <c r="M119" s="4"/>
      <c r="N119" s="4"/>
      <c r="O119" s="4"/>
      <c r="P119" s="4"/>
      <c r="Q119" s="4"/>
      <c r="R119" s="4" t="s">
        <v>334</v>
      </c>
    </row>
    <row r="120" customFormat="false" ht="93" hidden="false" customHeight="true" outlineLevel="0" collapsed="false">
      <c r="A120" s="3" t="s">
        <v>331</v>
      </c>
      <c r="B120" s="4" t="s">
        <v>36</v>
      </c>
      <c r="C120" s="4" t="s">
        <v>332</v>
      </c>
      <c r="D120" s="4" t="str">
        <f aca="false">IFERROR('SC2'!L15,"")</f>
        <v/>
      </c>
      <c r="E120" s="4" t="s">
        <v>175</v>
      </c>
      <c r="F120" s="5"/>
      <c r="G120" s="5"/>
      <c r="H120" s="6" t="str">
        <f aca="false">IF(OR(F120="",NOT(ISNUMBER(D120))),"",IF(ABS(F120-D120)&lt;0.001,"Yes","No"))</f>
        <v/>
      </c>
      <c r="I120" s="7" t="str">
        <f aca="false">IF(ISNUMBER(F120),F120,D120)</f>
        <v/>
      </c>
      <c r="J120" s="6" t="str">
        <f aca="false">IF(ISNUMBER(F120),"Expert (overrides AI)",IF(ISNUMBER(D120),"AI","Not scored yet"))</f>
        <v>Not scored yet</v>
      </c>
      <c r="K120" s="4" t="s">
        <v>22</v>
      </c>
      <c r="L120" s="4" t="s">
        <v>57</v>
      </c>
      <c r="M120" s="4"/>
      <c r="N120" s="4"/>
      <c r="O120" s="4"/>
      <c r="P120" s="4"/>
      <c r="Q120" s="4"/>
      <c r="R120" s="4" t="s">
        <v>335</v>
      </c>
    </row>
    <row r="121" customFormat="false" ht="93" hidden="false" customHeight="true" outlineLevel="0" collapsed="false">
      <c r="A121" s="3" t="s">
        <v>331</v>
      </c>
      <c r="B121" s="4" t="s">
        <v>42</v>
      </c>
      <c r="C121" s="4" t="s">
        <v>332</v>
      </c>
      <c r="D121" s="4" t="str">
        <f aca="false">IFERROR('SC2'!L16,"")</f>
        <v/>
      </c>
      <c r="E121" s="4" t="s">
        <v>175</v>
      </c>
      <c r="F121" s="5"/>
      <c r="G121" s="5"/>
      <c r="H121" s="6" t="str">
        <f aca="false">IF(OR(F121="",NOT(ISNUMBER(D121))),"",IF(ABS(F121-D121)&lt;0.001,"Yes","No"))</f>
        <v/>
      </c>
      <c r="I121" s="7" t="str">
        <f aca="false">IF(ISNUMBER(F121),F121,D121)</f>
        <v/>
      </c>
      <c r="J121" s="6" t="str">
        <f aca="false">IF(ISNUMBER(F121),"Expert (overrides AI)",IF(ISNUMBER(D121),"AI","Not scored yet"))</f>
        <v>Not scored yet</v>
      </c>
      <c r="K121" s="4" t="s">
        <v>22</v>
      </c>
      <c r="L121" s="4" t="s">
        <v>23</v>
      </c>
      <c r="M121" s="4" t="s">
        <v>336</v>
      </c>
      <c r="N121" s="4" t="s">
        <v>158</v>
      </c>
      <c r="O121" s="4" t="s">
        <v>159</v>
      </c>
      <c r="P121" s="4" t="s">
        <v>337</v>
      </c>
      <c r="Q121" s="4" t="s">
        <v>338</v>
      </c>
      <c r="R121" s="4" t="s">
        <v>29</v>
      </c>
    </row>
    <row r="122" customFormat="false" ht="93" hidden="false" customHeight="true" outlineLevel="0" collapsed="false">
      <c r="A122" s="3" t="s">
        <v>339</v>
      </c>
      <c r="B122" s="4" t="s">
        <v>19</v>
      </c>
      <c r="C122" s="4" t="s">
        <v>340</v>
      </c>
      <c r="D122" s="4" t="str">
        <f aca="false">IFERROR('SC3'!L13,"")</f>
        <v/>
      </c>
      <c r="E122" s="4" t="s">
        <v>175</v>
      </c>
      <c r="F122" s="5"/>
      <c r="G122" s="5"/>
      <c r="H122" s="6" t="str">
        <f aca="false">IF(OR(F122="",NOT(ISNUMBER(D122))),"",IF(ABS(F122-D122)&lt;0.001,"Yes","No"))</f>
        <v/>
      </c>
      <c r="I122" s="7" t="str">
        <f aca="false">IF(ISNUMBER(F122),F122,D122)</f>
        <v/>
      </c>
      <c r="J122" s="6" t="str">
        <f aca="false">IF(ISNUMBER(F122),"Expert (overrides AI)",IF(ISNUMBER(D122),"AI","Not scored yet"))</f>
        <v>Not scored yet</v>
      </c>
      <c r="K122" s="4" t="s">
        <v>22</v>
      </c>
      <c r="L122" s="4" t="s">
        <v>57</v>
      </c>
      <c r="M122" s="4"/>
      <c r="N122" s="4"/>
      <c r="O122" s="4"/>
      <c r="P122" s="4"/>
      <c r="Q122" s="4"/>
      <c r="R122" s="4" t="s">
        <v>341</v>
      </c>
    </row>
    <row r="123" customFormat="false" ht="93" hidden="false" customHeight="true" outlineLevel="0" collapsed="false">
      <c r="A123" s="3" t="s">
        <v>339</v>
      </c>
      <c r="B123" s="4" t="s">
        <v>30</v>
      </c>
      <c r="C123" s="4" t="s">
        <v>340</v>
      </c>
      <c r="D123" s="4" t="str">
        <f aca="false">IFERROR('SC3'!L14,"")</f>
        <v/>
      </c>
      <c r="E123" s="4" t="s">
        <v>175</v>
      </c>
      <c r="F123" s="5"/>
      <c r="G123" s="5"/>
      <c r="H123" s="6" t="str">
        <f aca="false">IF(OR(F123="",NOT(ISNUMBER(D123))),"",IF(ABS(F123-D123)&lt;0.001,"Yes","No"))</f>
        <v/>
      </c>
      <c r="I123" s="7" t="str">
        <f aca="false">IF(ISNUMBER(F123),F123,D123)</f>
        <v/>
      </c>
      <c r="J123" s="6" t="str">
        <f aca="false">IF(ISNUMBER(F123),"Expert (overrides AI)",IF(ISNUMBER(D123),"AI","Not scored yet"))</f>
        <v>Not scored yet</v>
      </c>
      <c r="K123" s="4" t="s">
        <v>22</v>
      </c>
      <c r="L123" s="4" t="s">
        <v>57</v>
      </c>
      <c r="M123" s="4"/>
      <c r="N123" s="4"/>
      <c r="O123" s="4"/>
      <c r="P123" s="4"/>
      <c r="Q123" s="4"/>
      <c r="R123" s="4" t="s">
        <v>342</v>
      </c>
    </row>
    <row r="124" customFormat="false" ht="93" hidden="false" customHeight="true" outlineLevel="0" collapsed="false">
      <c r="A124" s="3" t="s">
        <v>339</v>
      </c>
      <c r="B124" s="4" t="s">
        <v>36</v>
      </c>
      <c r="C124" s="4" t="s">
        <v>340</v>
      </c>
      <c r="D124" s="4" t="str">
        <f aca="false">IFERROR('SC3'!L15,"")</f>
        <v/>
      </c>
      <c r="E124" s="4" t="s">
        <v>175</v>
      </c>
      <c r="F124" s="5"/>
      <c r="G124" s="5"/>
      <c r="H124" s="6" t="str">
        <f aca="false">IF(OR(F124="",NOT(ISNUMBER(D124))),"",IF(ABS(F124-D124)&lt;0.001,"Yes","No"))</f>
        <v/>
      </c>
      <c r="I124" s="7" t="str">
        <f aca="false">IF(ISNUMBER(F124),F124,D124)</f>
        <v/>
      </c>
      <c r="J124" s="6" t="str">
        <f aca="false">IF(ISNUMBER(F124),"Expert (overrides AI)",IF(ISNUMBER(D124),"AI","Not scored yet"))</f>
        <v>Not scored yet</v>
      </c>
      <c r="K124" s="4" t="s">
        <v>22</v>
      </c>
      <c r="L124" s="4" t="s">
        <v>57</v>
      </c>
      <c r="M124" s="4"/>
      <c r="N124" s="4"/>
      <c r="O124" s="4"/>
      <c r="P124" s="4"/>
      <c r="Q124" s="4"/>
      <c r="R124" s="4" t="s">
        <v>343</v>
      </c>
    </row>
    <row r="125" customFormat="false" ht="93" hidden="false" customHeight="true" outlineLevel="0" collapsed="false">
      <c r="A125" s="3" t="s">
        <v>339</v>
      </c>
      <c r="B125" s="4" t="s">
        <v>42</v>
      </c>
      <c r="C125" s="4" t="s">
        <v>340</v>
      </c>
      <c r="D125" s="4" t="str">
        <f aca="false">IFERROR('SC3'!L16,"")</f>
        <v/>
      </c>
      <c r="E125" s="4" t="s">
        <v>175</v>
      </c>
      <c r="F125" s="5"/>
      <c r="G125" s="5"/>
      <c r="H125" s="6" t="str">
        <f aca="false">IF(OR(F125="",NOT(ISNUMBER(D125))),"",IF(ABS(F125-D125)&lt;0.001,"Yes","No"))</f>
        <v/>
      </c>
      <c r="I125" s="7" t="str">
        <f aca="false">IF(ISNUMBER(F125),F125,D125)</f>
        <v/>
      </c>
      <c r="J125" s="6" t="str">
        <f aca="false">IF(ISNUMBER(F125),"Expert (overrides AI)",IF(ISNUMBER(D125),"AI","Not scored yet"))</f>
        <v>Not scored yet</v>
      </c>
      <c r="K125" s="4" t="s">
        <v>22</v>
      </c>
      <c r="L125" s="4" t="s">
        <v>57</v>
      </c>
      <c r="M125" s="4"/>
      <c r="N125" s="4"/>
      <c r="O125" s="4"/>
      <c r="P125" s="4"/>
      <c r="Q125" s="4"/>
      <c r="R125" s="4" t="s">
        <v>344</v>
      </c>
    </row>
    <row r="126" customFormat="false" ht="93" hidden="false" customHeight="true" outlineLevel="0" collapsed="false">
      <c r="A126" s="3" t="s">
        <v>339</v>
      </c>
      <c r="B126" s="4" t="s">
        <v>47</v>
      </c>
      <c r="C126" s="4" t="s">
        <v>340</v>
      </c>
      <c r="D126" s="4" t="str">
        <f aca="false">IFERROR('SC3'!L17,"")</f>
        <v/>
      </c>
      <c r="E126" s="4" t="s">
        <v>175</v>
      </c>
      <c r="F126" s="5"/>
      <c r="G126" s="5"/>
      <c r="H126" s="6" t="str">
        <f aca="false">IF(OR(F126="",NOT(ISNUMBER(D126))),"",IF(ABS(F126-D126)&lt;0.001,"Yes","No"))</f>
        <v/>
      </c>
      <c r="I126" s="7" t="str">
        <f aca="false">IF(ISNUMBER(F126),F126,D126)</f>
        <v/>
      </c>
      <c r="J126" s="6" t="str">
        <f aca="false">IF(ISNUMBER(F126),"Expert (overrides AI)",IF(ISNUMBER(D126),"AI","Not scored yet"))</f>
        <v>Not scored yet</v>
      </c>
      <c r="K126" s="4" t="s">
        <v>22</v>
      </c>
      <c r="L126" s="4" t="s">
        <v>57</v>
      </c>
      <c r="M126" s="4"/>
      <c r="N126" s="4"/>
      <c r="O126" s="4"/>
      <c r="P126" s="4"/>
      <c r="Q126" s="4"/>
      <c r="R126" s="4" t="s">
        <v>345</v>
      </c>
    </row>
    <row r="127" customFormat="false" ht="93" hidden="false" customHeight="true" outlineLevel="0" collapsed="false">
      <c r="A127" s="3" t="s">
        <v>346</v>
      </c>
      <c r="B127" s="4" t="s">
        <v>19</v>
      </c>
      <c r="C127" s="4" t="s">
        <v>347</v>
      </c>
      <c r="D127" s="4" t="n">
        <f aca="false">IFERROR(SC4a!L13,"")</f>
        <v>0</v>
      </c>
      <c r="E127" s="4" t="s">
        <v>21</v>
      </c>
      <c r="F127" s="5"/>
      <c r="G127" s="5"/>
      <c r="H127" s="6" t="str">
        <f aca="false">IF(OR(F127="",NOT(ISNUMBER(D127))),"",IF(ABS(F127-D127)&lt;0.001,"Yes","No"))</f>
        <v/>
      </c>
      <c r="I127" s="7" t="n">
        <f aca="false">IF(ISNUMBER(F127),F127,D127)</f>
        <v>0</v>
      </c>
      <c r="J127" s="6" t="str">
        <f aca="false">IF(ISNUMBER(F127),"Expert (overrides AI)",IF(ISNUMBER(D127),"AI","Not scored yet"))</f>
        <v>AI</v>
      </c>
      <c r="K127" s="4" t="s">
        <v>22</v>
      </c>
      <c r="L127" s="4" t="s">
        <v>57</v>
      </c>
      <c r="M127" s="4"/>
      <c r="N127" s="4"/>
      <c r="O127" s="4"/>
      <c r="P127" s="4"/>
      <c r="Q127" s="4"/>
      <c r="R127" s="4" t="s">
        <v>348</v>
      </c>
    </row>
    <row r="128" customFormat="false" ht="93" hidden="false" customHeight="true" outlineLevel="0" collapsed="false">
      <c r="A128" s="3" t="s">
        <v>346</v>
      </c>
      <c r="B128" s="4" t="s">
        <v>30</v>
      </c>
      <c r="C128" s="4" t="s">
        <v>347</v>
      </c>
      <c r="D128" s="4" t="n">
        <f aca="false">IFERROR(SC4a!L14,"")</f>
        <v>0</v>
      </c>
      <c r="E128" s="4" t="s">
        <v>21</v>
      </c>
      <c r="F128" s="5"/>
      <c r="G128" s="5"/>
      <c r="H128" s="6" t="str">
        <f aca="false">IF(OR(F128="",NOT(ISNUMBER(D128))),"",IF(ABS(F128-D128)&lt;0.001,"Yes","No"))</f>
        <v/>
      </c>
      <c r="I128" s="7" t="n">
        <f aca="false">IF(ISNUMBER(F128),F128,D128)</f>
        <v>0</v>
      </c>
      <c r="J128" s="6" t="str">
        <f aca="false">IF(ISNUMBER(F128),"Expert (overrides AI)",IF(ISNUMBER(D128),"AI","Not scored yet"))</f>
        <v>AI</v>
      </c>
      <c r="K128" s="4" t="s">
        <v>22</v>
      </c>
      <c r="L128" s="4" t="s">
        <v>57</v>
      </c>
      <c r="M128" s="4"/>
      <c r="N128" s="4"/>
      <c r="O128" s="4"/>
      <c r="P128" s="4"/>
      <c r="Q128" s="4"/>
      <c r="R128" s="4" t="s">
        <v>349</v>
      </c>
    </row>
    <row r="129" customFormat="false" ht="93" hidden="false" customHeight="true" outlineLevel="0" collapsed="false">
      <c r="A129" s="3" t="s">
        <v>346</v>
      </c>
      <c r="B129" s="4" t="s">
        <v>36</v>
      </c>
      <c r="C129" s="4" t="s">
        <v>347</v>
      </c>
      <c r="D129" s="4" t="n">
        <f aca="false">IFERROR(SC4a!L15,"")</f>
        <v>0</v>
      </c>
      <c r="E129" s="4" t="s">
        <v>21</v>
      </c>
      <c r="F129" s="5"/>
      <c r="G129" s="5"/>
      <c r="H129" s="6" t="str">
        <f aca="false">IF(OR(F129="",NOT(ISNUMBER(D129))),"",IF(ABS(F129-D129)&lt;0.001,"Yes","No"))</f>
        <v/>
      </c>
      <c r="I129" s="7" t="n">
        <f aca="false">IF(ISNUMBER(F129),F129,D129)</f>
        <v>0</v>
      </c>
      <c r="J129" s="6" t="str">
        <f aca="false">IF(ISNUMBER(F129),"Expert (overrides AI)",IF(ISNUMBER(D129),"AI","Not scored yet"))</f>
        <v>AI</v>
      </c>
      <c r="K129" s="4" t="s">
        <v>22</v>
      </c>
      <c r="L129" s="4" t="s">
        <v>23</v>
      </c>
      <c r="M129" s="4" t="s">
        <v>350</v>
      </c>
      <c r="N129" s="4" t="s">
        <v>38</v>
      </c>
      <c r="O129" s="4" t="s">
        <v>39</v>
      </c>
      <c r="P129" s="4" t="s">
        <v>351</v>
      </c>
      <c r="Q129" s="4" t="s">
        <v>352</v>
      </c>
      <c r="R129" s="4" t="s">
        <v>29</v>
      </c>
    </row>
    <row r="130" customFormat="false" ht="93" hidden="false" customHeight="true" outlineLevel="0" collapsed="false">
      <c r="A130" s="3" t="s">
        <v>346</v>
      </c>
      <c r="B130" s="4" t="s">
        <v>42</v>
      </c>
      <c r="C130" s="4" t="s">
        <v>347</v>
      </c>
      <c r="D130" s="4" t="n">
        <f aca="false">IFERROR(SC4a!L16,"")</f>
        <v>0</v>
      </c>
      <c r="E130" s="4" t="s">
        <v>21</v>
      </c>
      <c r="F130" s="5"/>
      <c r="G130" s="5"/>
      <c r="H130" s="6" t="str">
        <f aca="false">IF(OR(F130="",NOT(ISNUMBER(D130))),"",IF(ABS(F130-D130)&lt;0.001,"Yes","No"))</f>
        <v/>
      </c>
      <c r="I130" s="7" t="n">
        <f aca="false">IF(ISNUMBER(F130),F130,D130)</f>
        <v>0</v>
      </c>
      <c r="J130" s="6" t="str">
        <f aca="false">IF(ISNUMBER(F130),"Expert (overrides AI)",IF(ISNUMBER(D130),"AI","Not scored yet"))</f>
        <v>AI</v>
      </c>
      <c r="K130" s="4" t="s">
        <v>22</v>
      </c>
      <c r="L130" s="4" t="s">
        <v>23</v>
      </c>
      <c r="M130" s="4" t="s">
        <v>353</v>
      </c>
      <c r="N130" s="4" t="s">
        <v>308</v>
      </c>
      <c r="O130" s="4" t="s">
        <v>33</v>
      </c>
      <c r="P130" s="4" t="s">
        <v>354</v>
      </c>
      <c r="Q130" s="4" t="s">
        <v>355</v>
      </c>
      <c r="R130" s="4" t="s">
        <v>29</v>
      </c>
    </row>
    <row r="131" customFormat="false" ht="93" hidden="false" customHeight="true" outlineLevel="0" collapsed="false">
      <c r="A131" s="3" t="s">
        <v>346</v>
      </c>
      <c r="B131" s="4" t="s">
        <v>47</v>
      </c>
      <c r="C131" s="4" t="s">
        <v>347</v>
      </c>
      <c r="D131" s="4" t="n">
        <f aca="false">IFERROR(SC4a!L17,"")</f>
        <v>0</v>
      </c>
      <c r="E131" s="4" t="s">
        <v>21</v>
      </c>
      <c r="F131" s="5"/>
      <c r="G131" s="5"/>
      <c r="H131" s="6" t="str">
        <f aca="false">IF(OR(F131="",NOT(ISNUMBER(D131))),"",IF(ABS(F131-D131)&lt;0.001,"Yes","No"))</f>
        <v/>
      </c>
      <c r="I131" s="7" t="n">
        <f aca="false">IF(ISNUMBER(F131),F131,D131)</f>
        <v>0</v>
      </c>
      <c r="J131" s="6" t="str">
        <f aca="false">IF(ISNUMBER(F131),"Expert (overrides AI)",IF(ISNUMBER(D131),"AI","Not scored yet"))</f>
        <v>AI</v>
      </c>
      <c r="K131" s="4" t="s">
        <v>22</v>
      </c>
      <c r="L131" s="4" t="s">
        <v>23</v>
      </c>
      <c r="M131" s="4" t="s">
        <v>356</v>
      </c>
      <c r="N131" s="4"/>
      <c r="O131" s="4"/>
      <c r="P131" s="4"/>
      <c r="Q131" s="4"/>
      <c r="R131" s="4" t="s">
        <v>49</v>
      </c>
    </row>
    <row r="132" customFormat="false" ht="93" hidden="false" customHeight="true" outlineLevel="0" collapsed="false">
      <c r="A132" s="3" t="s">
        <v>357</v>
      </c>
      <c r="B132" s="4" t="s">
        <v>19</v>
      </c>
      <c r="C132" s="4" t="s">
        <v>358</v>
      </c>
      <c r="D132" s="4" t="str">
        <f aca="false">IFERROR(SC4b!L13,"")</f>
        <v/>
      </c>
      <c r="E132" s="4" t="s">
        <v>21</v>
      </c>
      <c r="F132" s="5"/>
      <c r="G132" s="5"/>
      <c r="H132" s="6" t="str">
        <f aca="false">IF(OR(F132="",NOT(ISNUMBER(D132))),"",IF(ABS(F132-D132)&lt;0.001,"Yes","No"))</f>
        <v/>
      </c>
      <c r="I132" s="7" t="str">
        <f aca="false">IF(ISNUMBER(F132),F132,D132)</f>
        <v/>
      </c>
      <c r="J132" s="6" t="str">
        <f aca="false">IF(ISNUMBER(F132),"Expert (overrides AI)",IF(ISNUMBER(D132),"AI","Not scored yet"))</f>
        <v>Not scored yet</v>
      </c>
      <c r="K132" s="4" t="s">
        <v>22</v>
      </c>
      <c r="L132" s="4" t="s">
        <v>57</v>
      </c>
      <c r="M132" s="4"/>
      <c r="N132" s="4"/>
      <c r="O132" s="4"/>
      <c r="P132" s="4"/>
      <c r="Q132" s="4"/>
      <c r="R132" s="4" t="s">
        <v>359</v>
      </c>
    </row>
    <row r="133" customFormat="false" ht="93" hidden="false" customHeight="true" outlineLevel="0" collapsed="false">
      <c r="A133" s="3" t="s">
        <v>357</v>
      </c>
      <c r="B133" s="4" t="s">
        <v>30</v>
      </c>
      <c r="C133" s="4" t="s">
        <v>358</v>
      </c>
      <c r="D133" s="4" t="str">
        <f aca="false">IFERROR(SC4b!L14,"")</f>
        <v/>
      </c>
      <c r="E133" s="4" t="s">
        <v>21</v>
      </c>
      <c r="F133" s="5"/>
      <c r="G133" s="5"/>
      <c r="H133" s="6" t="str">
        <f aca="false">IF(OR(F133="",NOT(ISNUMBER(D133))),"",IF(ABS(F133-D133)&lt;0.001,"Yes","No"))</f>
        <v/>
      </c>
      <c r="I133" s="7" t="str">
        <f aca="false">IF(ISNUMBER(F133),F133,D133)</f>
        <v/>
      </c>
      <c r="J133" s="6" t="str">
        <f aca="false">IF(ISNUMBER(F133),"Expert (overrides AI)",IF(ISNUMBER(D133),"AI","Not scored yet"))</f>
        <v>Not scored yet</v>
      </c>
      <c r="K133" s="4" t="s">
        <v>22</v>
      </c>
      <c r="L133" s="4" t="s">
        <v>57</v>
      </c>
      <c r="M133" s="4"/>
      <c r="N133" s="4"/>
      <c r="O133" s="4"/>
      <c r="P133" s="4"/>
      <c r="Q133" s="4"/>
      <c r="R133" s="4" t="s">
        <v>360</v>
      </c>
    </row>
    <row r="134" customFormat="false" ht="93" hidden="false" customHeight="true" outlineLevel="0" collapsed="false">
      <c r="A134" s="3" t="s">
        <v>357</v>
      </c>
      <c r="B134" s="4" t="s">
        <v>36</v>
      </c>
      <c r="C134" s="4" t="s">
        <v>358</v>
      </c>
      <c r="D134" s="4" t="str">
        <f aca="false">IFERROR(SC4b!L15,"")</f>
        <v/>
      </c>
      <c r="E134" s="4" t="s">
        <v>21</v>
      </c>
      <c r="F134" s="5"/>
      <c r="G134" s="5"/>
      <c r="H134" s="6" t="str">
        <f aca="false">IF(OR(F134="",NOT(ISNUMBER(D134))),"",IF(ABS(F134-D134)&lt;0.001,"Yes","No"))</f>
        <v/>
      </c>
      <c r="I134" s="7" t="str">
        <f aca="false">IF(ISNUMBER(F134),F134,D134)</f>
        <v/>
      </c>
      <c r="J134" s="6" t="str">
        <f aca="false">IF(ISNUMBER(F134),"Expert (overrides AI)",IF(ISNUMBER(D134),"AI","Not scored yet"))</f>
        <v>Not scored yet</v>
      </c>
      <c r="K134" s="4" t="s">
        <v>22</v>
      </c>
      <c r="L134" s="4" t="s">
        <v>57</v>
      </c>
      <c r="M134" s="4"/>
      <c r="N134" s="4"/>
      <c r="O134" s="4"/>
      <c r="P134" s="4"/>
      <c r="Q134" s="4"/>
      <c r="R134" s="4" t="s">
        <v>361</v>
      </c>
    </row>
    <row r="135" customFormat="false" ht="93" hidden="false" customHeight="true" outlineLevel="0" collapsed="false">
      <c r="A135" s="3" t="s">
        <v>357</v>
      </c>
      <c r="B135" s="4" t="s">
        <v>42</v>
      </c>
      <c r="C135" s="4" t="s">
        <v>358</v>
      </c>
      <c r="D135" s="4" t="str">
        <f aca="false">IFERROR(SC4b!L16,"")</f>
        <v/>
      </c>
      <c r="E135" s="4" t="s">
        <v>21</v>
      </c>
      <c r="F135" s="5"/>
      <c r="G135" s="5"/>
      <c r="H135" s="6" t="str">
        <f aca="false">IF(OR(F135="",NOT(ISNUMBER(D135))),"",IF(ABS(F135-D135)&lt;0.001,"Yes","No"))</f>
        <v/>
      </c>
      <c r="I135" s="7" t="str">
        <f aca="false">IF(ISNUMBER(F135),F135,D135)</f>
        <v/>
      </c>
      <c r="J135" s="6" t="str">
        <f aca="false">IF(ISNUMBER(F135),"Expert (overrides AI)",IF(ISNUMBER(D135),"AI","Not scored yet"))</f>
        <v>Not scored yet</v>
      </c>
      <c r="K135" s="4" t="s">
        <v>22</v>
      </c>
      <c r="L135" s="4" t="s">
        <v>57</v>
      </c>
      <c r="M135" s="4"/>
      <c r="N135" s="4"/>
      <c r="O135" s="4"/>
      <c r="P135" s="4"/>
      <c r="Q135" s="4"/>
      <c r="R135" s="4" t="s">
        <v>362</v>
      </c>
    </row>
    <row r="136" customFormat="false" ht="93" hidden="false" customHeight="true" outlineLevel="0" collapsed="false">
      <c r="A136" s="3" t="s">
        <v>357</v>
      </c>
      <c r="B136" s="4" t="s">
        <v>47</v>
      </c>
      <c r="C136" s="4" t="s">
        <v>358</v>
      </c>
      <c r="D136" s="4" t="str">
        <f aca="false">IFERROR(SC4b!L17,"")</f>
        <v/>
      </c>
      <c r="E136" s="4" t="s">
        <v>21</v>
      </c>
      <c r="F136" s="5"/>
      <c r="G136" s="5"/>
      <c r="H136" s="6" t="str">
        <f aca="false">IF(OR(F136="",NOT(ISNUMBER(D136))),"",IF(ABS(F136-D136)&lt;0.001,"Yes","No"))</f>
        <v/>
      </c>
      <c r="I136" s="7" t="str">
        <f aca="false">IF(ISNUMBER(F136),F136,D136)</f>
        <v/>
      </c>
      <c r="J136" s="6" t="str">
        <f aca="false">IF(ISNUMBER(F136),"Expert (overrides AI)",IF(ISNUMBER(D136),"AI","Not scored yet"))</f>
        <v>Not scored yet</v>
      </c>
      <c r="K136" s="4" t="s">
        <v>22</v>
      </c>
      <c r="L136" s="4" t="s">
        <v>57</v>
      </c>
      <c r="M136" s="4"/>
      <c r="N136" s="4"/>
      <c r="O136" s="4"/>
      <c r="P136" s="4"/>
      <c r="Q136" s="4"/>
      <c r="R136" s="4" t="s">
        <v>363</v>
      </c>
    </row>
    <row r="137" customFormat="false" ht="93" hidden="false" customHeight="true" outlineLevel="0" collapsed="false">
      <c r="A137" s="3" t="s">
        <v>364</v>
      </c>
      <c r="B137" s="4" t="s">
        <v>19</v>
      </c>
      <c r="C137" s="4" t="s">
        <v>365</v>
      </c>
      <c r="D137" s="4" t="n">
        <f aca="false">IFERROR('SC5'!L13,"")</f>
        <v>0</v>
      </c>
      <c r="E137" s="4" t="s">
        <v>175</v>
      </c>
      <c r="F137" s="5"/>
      <c r="G137" s="5"/>
      <c r="H137" s="6" t="str">
        <f aca="false">IF(OR(F137="",NOT(ISNUMBER(D137))),"",IF(ABS(F137-D137)&lt;0.001,"Yes","No"))</f>
        <v/>
      </c>
      <c r="I137" s="7" t="n">
        <f aca="false">IF(ISNUMBER(F137),F137,D137)</f>
        <v>0</v>
      </c>
      <c r="J137" s="6" t="str">
        <f aca="false">IF(ISNUMBER(F137),"Expert (overrides AI)",IF(ISNUMBER(D137),"AI","Not scored yet"))</f>
        <v>AI</v>
      </c>
      <c r="K137" s="4" t="s">
        <v>22</v>
      </c>
      <c r="L137" s="4" t="s">
        <v>23</v>
      </c>
      <c r="M137" s="4" t="s">
        <v>366</v>
      </c>
      <c r="N137" s="4"/>
      <c r="O137" s="4"/>
      <c r="P137" s="4"/>
      <c r="Q137" s="4"/>
      <c r="R137" s="4" t="s">
        <v>88</v>
      </c>
    </row>
    <row r="138" customFormat="false" ht="93" hidden="false" customHeight="true" outlineLevel="0" collapsed="false">
      <c r="A138" s="3" t="s">
        <v>364</v>
      </c>
      <c r="B138" s="4" t="s">
        <v>30</v>
      </c>
      <c r="C138" s="4" t="s">
        <v>365</v>
      </c>
      <c r="D138" s="4" t="str">
        <f aca="false">IFERROR('SC5'!L14,"")</f>
        <v/>
      </c>
      <c r="E138" s="4" t="s">
        <v>175</v>
      </c>
      <c r="F138" s="5"/>
      <c r="G138" s="5"/>
      <c r="H138" s="6" t="str">
        <f aca="false">IF(OR(F138="",NOT(ISNUMBER(D138))),"",IF(ABS(F138-D138)&lt;0.001,"Yes","No"))</f>
        <v/>
      </c>
      <c r="I138" s="7" t="str">
        <f aca="false">IF(ISNUMBER(F138),F138,D138)</f>
        <v/>
      </c>
      <c r="J138" s="6" t="str">
        <f aca="false">IF(ISNUMBER(F138),"Expert (overrides AI)",IF(ISNUMBER(D138),"AI","Not scored yet"))</f>
        <v>Not scored yet</v>
      </c>
      <c r="K138" s="4" t="s">
        <v>22</v>
      </c>
      <c r="L138" s="4" t="s">
        <v>57</v>
      </c>
      <c r="M138" s="4"/>
      <c r="N138" s="4"/>
      <c r="O138" s="4"/>
      <c r="P138" s="4"/>
      <c r="Q138" s="4"/>
      <c r="R138" s="4" t="s">
        <v>367</v>
      </c>
    </row>
    <row r="139" customFormat="false" ht="93" hidden="false" customHeight="true" outlineLevel="0" collapsed="false">
      <c r="A139" s="3" t="s">
        <v>364</v>
      </c>
      <c r="B139" s="4" t="s">
        <v>36</v>
      </c>
      <c r="C139" s="4" t="s">
        <v>365</v>
      </c>
      <c r="D139" s="4" t="n">
        <f aca="false">IFERROR('SC5'!L15,"")</f>
        <v>0</v>
      </c>
      <c r="E139" s="4" t="s">
        <v>175</v>
      </c>
      <c r="F139" s="5"/>
      <c r="G139" s="5"/>
      <c r="H139" s="6" t="str">
        <f aca="false">IF(OR(F139="",NOT(ISNUMBER(D139))),"",IF(ABS(F139-D139)&lt;0.001,"Yes","No"))</f>
        <v/>
      </c>
      <c r="I139" s="7" t="n">
        <f aca="false">IF(ISNUMBER(F139),F139,D139)</f>
        <v>0</v>
      </c>
      <c r="J139" s="6" t="str">
        <f aca="false">IF(ISNUMBER(F139),"Expert (overrides AI)",IF(ISNUMBER(D139),"AI","Not scored yet"))</f>
        <v>AI</v>
      </c>
      <c r="K139" s="4" t="s">
        <v>22</v>
      </c>
      <c r="L139" s="4" t="s">
        <v>23</v>
      </c>
      <c r="M139" s="4" t="s">
        <v>368</v>
      </c>
      <c r="N139" s="4" t="s">
        <v>38</v>
      </c>
      <c r="O139" s="4" t="s">
        <v>39</v>
      </c>
      <c r="P139" s="4" t="s">
        <v>369</v>
      </c>
      <c r="Q139" s="4" t="s">
        <v>370</v>
      </c>
      <c r="R139" s="4" t="s">
        <v>29</v>
      </c>
    </row>
    <row r="140" customFormat="false" ht="93" hidden="false" customHeight="true" outlineLevel="0" collapsed="false">
      <c r="A140" s="3" t="s">
        <v>364</v>
      </c>
      <c r="B140" s="4" t="s">
        <v>42</v>
      </c>
      <c r="C140" s="4" t="s">
        <v>365</v>
      </c>
      <c r="D140" s="4" t="n">
        <f aca="false">IFERROR('SC5'!L16,"")</f>
        <v>0</v>
      </c>
      <c r="E140" s="4" t="s">
        <v>175</v>
      </c>
      <c r="F140" s="5"/>
      <c r="G140" s="5"/>
      <c r="H140" s="6" t="str">
        <f aca="false">IF(OR(F140="",NOT(ISNUMBER(D140))),"",IF(ABS(F140-D140)&lt;0.001,"Yes","No"))</f>
        <v/>
      </c>
      <c r="I140" s="7" t="n">
        <f aca="false">IF(ISNUMBER(F140),F140,D140)</f>
        <v>0</v>
      </c>
      <c r="J140" s="6" t="str">
        <f aca="false">IF(ISNUMBER(F140),"Expert (overrides AI)",IF(ISNUMBER(D140),"AI","Not scored yet"))</f>
        <v>AI</v>
      </c>
      <c r="K140" s="4" t="s">
        <v>22</v>
      </c>
      <c r="L140" s="4" t="s">
        <v>57</v>
      </c>
      <c r="M140" s="4"/>
      <c r="N140" s="4"/>
      <c r="O140" s="4"/>
      <c r="P140" s="4"/>
      <c r="Q140" s="4"/>
      <c r="R140" s="4" t="s">
        <v>371</v>
      </c>
    </row>
    <row r="141" customFormat="false" ht="93" hidden="false" customHeight="true" outlineLevel="0" collapsed="false">
      <c r="A141" s="3" t="s">
        <v>364</v>
      </c>
      <c r="B141" s="4" t="s">
        <v>47</v>
      </c>
      <c r="C141" s="4" t="s">
        <v>365</v>
      </c>
      <c r="D141" s="4" t="str">
        <f aca="false">IFERROR('SC5'!L17,"")</f>
        <v/>
      </c>
      <c r="E141" s="4" t="s">
        <v>175</v>
      </c>
      <c r="F141" s="5"/>
      <c r="G141" s="5"/>
      <c r="H141" s="6" t="str">
        <f aca="false">IF(OR(F141="",NOT(ISNUMBER(D141))),"",IF(ABS(F141-D141)&lt;0.001,"Yes","No"))</f>
        <v/>
      </c>
      <c r="I141" s="7" t="str">
        <f aca="false">IF(ISNUMBER(F141),F141,D141)</f>
        <v/>
      </c>
      <c r="J141" s="6" t="str">
        <f aca="false">IF(ISNUMBER(F141),"Expert (overrides AI)",IF(ISNUMBER(D141),"AI","Not scored yet"))</f>
        <v>Not scored yet</v>
      </c>
      <c r="K141" s="4" t="s">
        <v>22</v>
      </c>
      <c r="L141" s="4" t="s">
        <v>23</v>
      </c>
      <c r="M141" s="4" t="s">
        <v>372</v>
      </c>
      <c r="N141" s="4"/>
      <c r="O141" s="4"/>
      <c r="P141" s="4"/>
      <c r="Q141" s="4"/>
      <c r="R141" s="4" t="s">
        <v>49</v>
      </c>
    </row>
    <row r="142" customFormat="false" ht="93" hidden="false" customHeight="true" outlineLevel="0" collapsed="false">
      <c r="A142" s="3" t="s">
        <v>373</v>
      </c>
      <c r="B142" s="4" t="s">
        <v>19</v>
      </c>
      <c r="C142" s="4" t="s">
        <v>374</v>
      </c>
      <c r="D142" s="4" t="str">
        <f aca="false">IFERROR('SC6'!L13,"")</f>
        <v/>
      </c>
      <c r="E142" s="4" t="s">
        <v>175</v>
      </c>
      <c r="F142" s="5"/>
      <c r="G142" s="5"/>
      <c r="H142" s="6" t="str">
        <f aca="false">IF(OR(F142="",NOT(ISNUMBER(D142))),"",IF(ABS(F142-D142)&lt;0.001,"Yes","No"))</f>
        <v/>
      </c>
      <c r="I142" s="7" t="str">
        <f aca="false">IF(ISNUMBER(F142),F142,D142)</f>
        <v/>
      </c>
      <c r="J142" s="6" t="str">
        <f aca="false">IF(ISNUMBER(F142),"Expert (overrides AI)",IF(ISNUMBER(D142),"AI","Not scored yet"))</f>
        <v>Not scored yet</v>
      </c>
      <c r="K142" s="4" t="s">
        <v>22</v>
      </c>
      <c r="L142" s="4" t="s">
        <v>57</v>
      </c>
      <c r="M142" s="4"/>
      <c r="N142" s="4"/>
      <c r="O142" s="4"/>
      <c r="P142" s="4"/>
      <c r="Q142" s="4"/>
      <c r="R142" s="4" t="s">
        <v>375</v>
      </c>
    </row>
    <row r="143" customFormat="false" ht="93" hidden="false" customHeight="true" outlineLevel="0" collapsed="false">
      <c r="A143" s="3" t="s">
        <v>373</v>
      </c>
      <c r="B143" s="4" t="s">
        <v>30</v>
      </c>
      <c r="C143" s="4" t="s">
        <v>374</v>
      </c>
      <c r="D143" s="4" t="str">
        <f aca="false">IFERROR('SC6'!L14,"")</f>
        <v/>
      </c>
      <c r="E143" s="4" t="s">
        <v>175</v>
      </c>
      <c r="F143" s="5"/>
      <c r="G143" s="5"/>
      <c r="H143" s="6" t="str">
        <f aca="false">IF(OR(F143="",NOT(ISNUMBER(D143))),"",IF(ABS(F143-D143)&lt;0.001,"Yes","No"))</f>
        <v/>
      </c>
      <c r="I143" s="7" t="str">
        <f aca="false">IF(ISNUMBER(F143),F143,D143)</f>
        <v/>
      </c>
      <c r="J143" s="6" t="str">
        <f aca="false">IF(ISNUMBER(F143),"Expert (overrides AI)",IF(ISNUMBER(D143),"AI","Not scored yet"))</f>
        <v>Not scored yet</v>
      </c>
      <c r="K143" s="4" t="s">
        <v>22</v>
      </c>
      <c r="L143" s="4" t="s">
        <v>57</v>
      </c>
      <c r="M143" s="4"/>
      <c r="N143" s="4"/>
      <c r="O143" s="4"/>
      <c r="P143" s="4"/>
      <c r="Q143" s="4"/>
      <c r="R143" s="4" t="s">
        <v>376</v>
      </c>
    </row>
    <row r="144" customFormat="false" ht="93" hidden="false" customHeight="true" outlineLevel="0" collapsed="false">
      <c r="A144" s="3" t="s">
        <v>373</v>
      </c>
      <c r="B144" s="4" t="s">
        <v>36</v>
      </c>
      <c r="C144" s="4" t="s">
        <v>374</v>
      </c>
      <c r="D144" s="4" t="str">
        <f aca="false">IFERROR('SC6'!L15,"")</f>
        <v/>
      </c>
      <c r="E144" s="4" t="s">
        <v>175</v>
      </c>
      <c r="F144" s="5"/>
      <c r="G144" s="5"/>
      <c r="H144" s="6" t="str">
        <f aca="false">IF(OR(F144="",NOT(ISNUMBER(D144))),"",IF(ABS(F144-D144)&lt;0.001,"Yes","No"))</f>
        <v/>
      </c>
      <c r="I144" s="7" t="str">
        <f aca="false">IF(ISNUMBER(F144),F144,D144)</f>
        <v/>
      </c>
      <c r="J144" s="6" t="str">
        <f aca="false">IF(ISNUMBER(F144),"Expert (overrides AI)",IF(ISNUMBER(D144),"AI","Not scored yet"))</f>
        <v>Not scored yet</v>
      </c>
      <c r="K144" s="4" t="s">
        <v>22</v>
      </c>
      <c r="L144" s="4" t="s">
        <v>57</v>
      </c>
      <c r="M144" s="4"/>
      <c r="N144" s="4"/>
      <c r="O144" s="4"/>
      <c r="P144" s="4"/>
      <c r="Q144" s="4"/>
      <c r="R144" s="4" t="s">
        <v>377</v>
      </c>
    </row>
    <row r="145" customFormat="false" ht="93" hidden="false" customHeight="true" outlineLevel="0" collapsed="false">
      <c r="A145" s="3" t="s">
        <v>373</v>
      </c>
      <c r="B145" s="4" t="s">
        <v>42</v>
      </c>
      <c r="C145" s="4" t="s">
        <v>374</v>
      </c>
      <c r="D145" s="4" t="str">
        <f aca="false">IFERROR('SC6'!L16,"")</f>
        <v/>
      </c>
      <c r="E145" s="4" t="s">
        <v>175</v>
      </c>
      <c r="F145" s="5"/>
      <c r="G145" s="5"/>
      <c r="H145" s="6" t="str">
        <f aca="false">IF(OR(F145="",NOT(ISNUMBER(D145))),"",IF(ABS(F145-D145)&lt;0.001,"Yes","No"))</f>
        <v/>
      </c>
      <c r="I145" s="7" t="str">
        <f aca="false">IF(ISNUMBER(F145),F145,D145)</f>
        <v/>
      </c>
      <c r="J145" s="6" t="str">
        <f aca="false">IF(ISNUMBER(F145),"Expert (overrides AI)",IF(ISNUMBER(D145),"AI","Not scored yet"))</f>
        <v>Not scored yet</v>
      </c>
      <c r="K145" s="4" t="s">
        <v>22</v>
      </c>
      <c r="L145" s="4" t="s">
        <v>23</v>
      </c>
      <c r="M145" s="4" t="s">
        <v>378</v>
      </c>
      <c r="N145" s="4" t="s">
        <v>158</v>
      </c>
      <c r="O145" s="4" t="s">
        <v>159</v>
      </c>
      <c r="P145" s="4" t="s">
        <v>379</v>
      </c>
      <c r="Q145" s="4" t="s">
        <v>380</v>
      </c>
      <c r="R145" s="4" t="s">
        <v>29</v>
      </c>
    </row>
    <row r="146" customFormat="false" ht="93" hidden="false" customHeight="true" outlineLevel="0" collapsed="false">
      <c r="A146" s="3" t="s">
        <v>373</v>
      </c>
      <c r="B146" s="4" t="s">
        <v>47</v>
      </c>
      <c r="C146" s="4" t="s">
        <v>374</v>
      </c>
      <c r="D146" s="4" t="str">
        <f aca="false">IFERROR('SC6'!L17,"")</f>
        <v/>
      </c>
      <c r="E146" s="4" t="s">
        <v>175</v>
      </c>
      <c r="F146" s="5"/>
      <c r="G146" s="5"/>
      <c r="H146" s="6" t="str">
        <f aca="false">IF(OR(F146="",NOT(ISNUMBER(D146))),"",IF(ABS(F146-D146)&lt;0.001,"Yes","No"))</f>
        <v/>
      </c>
      <c r="I146" s="7" t="str">
        <f aca="false">IF(ISNUMBER(F146),F146,D146)</f>
        <v/>
      </c>
      <c r="J146" s="6" t="str">
        <f aca="false">IF(ISNUMBER(F146),"Expert (overrides AI)",IF(ISNUMBER(D146),"AI","Not scored yet"))</f>
        <v>Not scored yet</v>
      </c>
      <c r="K146" s="4" t="s">
        <v>22</v>
      </c>
      <c r="L146" s="4" t="s">
        <v>57</v>
      </c>
      <c r="M146" s="4"/>
      <c r="N146" s="4"/>
      <c r="O146" s="4"/>
      <c r="P146" s="4"/>
      <c r="Q146" s="4"/>
      <c r="R146" s="4" t="s">
        <v>381</v>
      </c>
    </row>
    <row r="147" customFormat="false" ht="93" hidden="false" customHeight="true" outlineLevel="0" collapsed="false">
      <c r="A147" s="3" t="s">
        <v>382</v>
      </c>
      <c r="B147" s="4" t="s">
        <v>19</v>
      </c>
      <c r="C147" s="4" t="s">
        <v>383</v>
      </c>
      <c r="D147" s="4" t="n">
        <f aca="false">IFERROR(SC7a!L13,"")</f>
        <v>3</v>
      </c>
      <c r="E147" s="4" t="s">
        <v>21</v>
      </c>
      <c r="F147" s="5"/>
      <c r="G147" s="5"/>
      <c r="H147" s="6" t="str">
        <f aca="false">IF(OR(F147="",NOT(ISNUMBER(D147))),"",IF(ABS(F147-D147)&lt;0.001,"Yes","No"))</f>
        <v/>
      </c>
      <c r="I147" s="7" t="n">
        <f aca="false">IF(ISNUMBER(F147),F147,D147)</f>
        <v>3</v>
      </c>
      <c r="J147" s="6" t="str">
        <f aca="false">IF(ISNUMBER(F147),"Expert (overrides AI)",IF(ISNUMBER(D147),"AI","Not scored yet"))</f>
        <v>AI</v>
      </c>
      <c r="K147" s="4" t="s">
        <v>22</v>
      </c>
      <c r="L147" s="4" t="s">
        <v>23</v>
      </c>
      <c r="M147" s="4" t="s">
        <v>384</v>
      </c>
      <c r="N147" s="4" t="s">
        <v>73</v>
      </c>
      <c r="O147" s="4" t="s">
        <v>74</v>
      </c>
      <c r="P147" s="4" t="s">
        <v>385</v>
      </c>
      <c r="Q147" s="4" t="s">
        <v>386</v>
      </c>
      <c r="R147" s="4" t="s">
        <v>29</v>
      </c>
    </row>
    <row r="148" customFormat="false" ht="93" hidden="false" customHeight="true" outlineLevel="0" collapsed="false">
      <c r="A148" s="3" t="s">
        <v>382</v>
      </c>
      <c r="B148" s="4" t="s">
        <v>30</v>
      </c>
      <c r="C148" s="4" t="s">
        <v>383</v>
      </c>
      <c r="D148" s="4" t="str">
        <f aca="false">IFERROR(SC7a!L14,"")</f>
        <v/>
      </c>
      <c r="E148" s="4" t="s">
        <v>21</v>
      </c>
      <c r="F148" s="5"/>
      <c r="G148" s="5"/>
      <c r="H148" s="6" t="str">
        <f aca="false">IF(OR(F148="",NOT(ISNUMBER(D148))),"",IF(ABS(F148-D148)&lt;0.001,"Yes","No"))</f>
        <v/>
      </c>
      <c r="I148" s="7" t="str">
        <f aca="false">IF(ISNUMBER(F148),F148,D148)</f>
        <v/>
      </c>
      <c r="J148" s="6" t="str">
        <f aca="false">IF(ISNUMBER(F148),"Expert (overrides AI)",IF(ISNUMBER(D148),"AI","Not scored yet"))</f>
        <v>Not scored yet</v>
      </c>
      <c r="K148" s="4" t="s">
        <v>22</v>
      </c>
      <c r="L148" s="4" t="s">
        <v>57</v>
      </c>
      <c r="M148" s="4"/>
      <c r="N148" s="4"/>
      <c r="O148" s="4"/>
      <c r="P148" s="4"/>
      <c r="Q148" s="4"/>
      <c r="R148" s="4" t="s">
        <v>387</v>
      </c>
    </row>
    <row r="149" customFormat="false" ht="93" hidden="false" customHeight="true" outlineLevel="0" collapsed="false">
      <c r="A149" s="3" t="s">
        <v>382</v>
      </c>
      <c r="B149" s="4" t="s">
        <v>36</v>
      </c>
      <c r="C149" s="4" t="s">
        <v>383</v>
      </c>
      <c r="D149" s="4" t="str">
        <f aca="false">IFERROR(SC7a!L15,"")</f>
        <v/>
      </c>
      <c r="E149" s="4" t="s">
        <v>21</v>
      </c>
      <c r="F149" s="5"/>
      <c r="G149" s="5"/>
      <c r="H149" s="6" t="str">
        <f aca="false">IF(OR(F149="",NOT(ISNUMBER(D149))),"",IF(ABS(F149-D149)&lt;0.001,"Yes","No"))</f>
        <v/>
      </c>
      <c r="I149" s="7" t="str">
        <f aca="false">IF(ISNUMBER(F149),F149,D149)</f>
        <v/>
      </c>
      <c r="J149" s="6" t="str">
        <f aca="false">IF(ISNUMBER(F149),"Expert (overrides AI)",IF(ISNUMBER(D149),"AI","Not scored yet"))</f>
        <v>Not scored yet</v>
      </c>
      <c r="K149" s="4" t="s">
        <v>22</v>
      </c>
      <c r="L149" s="4" t="s">
        <v>57</v>
      </c>
      <c r="M149" s="4"/>
      <c r="N149" s="4"/>
      <c r="O149" s="4"/>
      <c r="P149" s="4"/>
      <c r="Q149" s="4"/>
      <c r="R149" s="4" t="s">
        <v>388</v>
      </c>
    </row>
    <row r="150" customFormat="false" ht="93" hidden="false" customHeight="true" outlineLevel="0" collapsed="false">
      <c r="A150" s="3" t="s">
        <v>382</v>
      </c>
      <c r="B150" s="4" t="s">
        <v>42</v>
      </c>
      <c r="C150" s="4" t="s">
        <v>383</v>
      </c>
      <c r="D150" s="4" t="str">
        <f aca="false">IFERROR(SC7a!L16,"")</f>
        <v/>
      </c>
      <c r="E150" s="4" t="s">
        <v>21</v>
      </c>
      <c r="F150" s="5"/>
      <c r="G150" s="5"/>
      <c r="H150" s="6" t="str">
        <f aca="false">IF(OR(F150="",NOT(ISNUMBER(D150))),"",IF(ABS(F150-D150)&lt;0.001,"Yes","No"))</f>
        <v/>
      </c>
      <c r="I150" s="7" t="str">
        <f aca="false">IF(ISNUMBER(F150),F150,D150)</f>
        <v/>
      </c>
      <c r="J150" s="6" t="str">
        <f aca="false">IF(ISNUMBER(F150),"Expert (overrides AI)",IF(ISNUMBER(D150),"AI","Not scored yet"))</f>
        <v>Not scored yet</v>
      </c>
      <c r="K150" s="4" t="s">
        <v>22</v>
      </c>
      <c r="L150" s="4" t="s">
        <v>57</v>
      </c>
      <c r="M150" s="4"/>
      <c r="N150" s="4"/>
      <c r="O150" s="4"/>
      <c r="P150" s="4"/>
      <c r="Q150" s="4"/>
      <c r="R150" s="4" t="s">
        <v>389</v>
      </c>
    </row>
    <row r="151" customFormat="false" ht="93" hidden="false" customHeight="true" outlineLevel="0" collapsed="false">
      <c r="A151" s="3" t="s">
        <v>382</v>
      </c>
      <c r="B151" s="4" t="s">
        <v>47</v>
      </c>
      <c r="C151" s="4" t="s">
        <v>383</v>
      </c>
      <c r="D151" s="4" t="str">
        <f aca="false">IFERROR(SC7a!L17,"")</f>
        <v/>
      </c>
      <c r="E151" s="4" t="s">
        <v>21</v>
      </c>
      <c r="F151" s="5"/>
      <c r="G151" s="5"/>
      <c r="H151" s="6" t="str">
        <f aca="false">IF(OR(F151="",NOT(ISNUMBER(D151))),"",IF(ABS(F151-D151)&lt;0.001,"Yes","No"))</f>
        <v/>
      </c>
      <c r="I151" s="7" t="str">
        <f aca="false">IF(ISNUMBER(F151),F151,D151)</f>
        <v/>
      </c>
      <c r="J151" s="6" t="str">
        <f aca="false">IF(ISNUMBER(F151),"Expert (overrides AI)",IF(ISNUMBER(D151),"AI","Not scored yet"))</f>
        <v>Not scored yet</v>
      </c>
      <c r="K151" s="4" t="s">
        <v>22</v>
      </c>
      <c r="L151" s="4" t="s">
        <v>57</v>
      </c>
      <c r="M151" s="4"/>
      <c r="N151" s="4"/>
      <c r="O151" s="4"/>
      <c r="P151" s="4"/>
      <c r="Q151" s="4"/>
      <c r="R151" s="4" t="s">
        <v>390</v>
      </c>
    </row>
    <row r="152" customFormat="false" ht="93" hidden="false" customHeight="true" outlineLevel="0" collapsed="false">
      <c r="A152" s="3" t="s">
        <v>391</v>
      </c>
      <c r="B152" s="4" t="s">
        <v>19</v>
      </c>
      <c r="C152" s="4" t="s">
        <v>392</v>
      </c>
      <c r="D152" s="4" t="str">
        <f aca="false">IFERROR(SC7b!L13,"")</f>
        <v/>
      </c>
      <c r="E152" s="4" t="s">
        <v>21</v>
      </c>
      <c r="F152" s="5"/>
      <c r="G152" s="5"/>
      <c r="H152" s="6" t="str">
        <f aca="false">IF(OR(F152="",NOT(ISNUMBER(D152))),"",IF(ABS(F152-D152)&lt;0.001,"Yes","No"))</f>
        <v/>
      </c>
      <c r="I152" s="7" t="str">
        <f aca="false">IF(ISNUMBER(F152),F152,D152)</f>
        <v/>
      </c>
      <c r="J152" s="6" t="str">
        <f aca="false">IF(ISNUMBER(F152),"Expert (overrides AI)",IF(ISNUMBER(D152),"AI","Not scored yet"))</f>
        <v>Not scored yet</v>
      </c>
      <c r="K152" s="4" t="s">
        <v>22</v>
      </c>
      <c r="L152" s="4" t="s">
        <v>57</v>
      </c>
      <c r="M152" s="4"/>
      <c r="N152" s="4"/>
      <c r="O152" s="4"/>
      <c r="P152" s="4"/>
      <c r="Q152" s="4"/>
      <c r="R152" s="4" t="s">
        <v>393</v>
      </c>
    </row>
    <row r="153" customFormat="false" ht="93" hidden="false" customHeight="true" outlineLevel="0" collapsed="false">
      <c r="A153" s="3" t="s">
        <v>391</v>
      </c>
      <c r="B153" s="4" t="s">
        <v>30</v>
      </c>
      <c r="C153" s="4" t="s">
        <v>392</v>
      </c>
      <c r="D153" s="4" t="str">
        <f aca="false">IFERROR(SC7b!L14,"")</f>
        <v/>
      </c>
      <c r="E153" s="4" t="s">
        <v>21</v>
      </c>
      <c r="F153" s="5"/>
      <c r="G153" s="5"/>
      <c r="H153" s="6" t="str">
        <f aca="false">IF(OR(F153="",NOT(ISNUMBER(D153))),"",IF(ABS(F153-D153)&lt;0.001,"Yes","No"))</f>
        <v/>
      </c>
      <c r="I153" s="7" t="str">
        <f aca="false">IF(ISNUMBER(F153),F153,D153)</f>
        <v/>
      </c>
      <c r="J153" s="6" t="str">
        <f aca="false">IF(ISNUMBER(F153),"Expert (overrides AI)",IF(ISNUMBER(D153),"AI","Not scored yet"))</f>
        <v>Not scored yet</v>
      </c>
      <c r="K153" s="4" t="s">
        <v>22</v>
      </c>
      <c r="L153" s="4" t="s">
        <v>57</v>
      </c>
      <c r="M153" s="4"/>
      <c r="N153" s="4"/>
      <c r="O153" s="4"/>
      <c r="P153" s="4"/>
      <c r="Q153" s="4"/>
      <c r="R153" s="4" t="s">
        <v>394</v>
      </c>
    </row>
    <row r="154" customFormat="false" ht="93" hidden="false" customHeight="true" outlineLevel="0" collapsed="false">
      <c r="A154" s="3" t="s">
        <v>391</v>
      </c>
      <c r="B154" s="4" t="s">
        <v>36</v>
      </c>
      <c r="C154" s="4" t="s">
        <v>392</v>
      </c>
      <c r="D154" s="4" t="str">
        <f aca="false">IFERROR(SC7b!L15,"")</f>
        <v/>
      </c>
      <c r="E154" s="4" t="s">
        <v>21</v>
      </c>
      <c r="F154" s="5"/>
      <c r="G154" s="5"/>
      <c r="H154" s="6" t="str">
        <f aca="false">IF(OR(F154="",NOT(ISNUMBER(D154))),"",IF(ABS(F154-D154)&lt;0.001,"Yes","No"))</f>
        <v/>
      </c>
      <c r="I154" s="7" t="str">
        <f aca="false">IF(ISNUMBER(F154),F154,D154)</f>
        <v/>
      </c>
      <c r="J154" s="6" t="str">
        <f aca="false">IF(ISNUMBER(F154),"Expert (overrides AI)",IF(ISNUMBER(D154),"AI","Not scored yet"))</f>
        <v>Not scored yet</v>
      </c>
      <c r="K154" s="4" t="s">
        <v>22</v>
      </c>
      <c r="L154" s="4" t="s">
        <v>57</v>
      </c>
      <c r="M154" s="4"/>
      <c r="N154" s="4"/>
      <c r="O154" s="4"/>
      <c r="P154" s="4"/>
      <c r="Q154" s="4"/>
      <c r="R154" s="4" t="s">
        <v>395</v>
      </c>
    </row>
    <row r="155" customFormat="false" ht="93" hidden="false" customHeight="true" outlineLevel="0" collapsed="false">
      <c r="A155" s="3" t="s">
        <v>391</v>
      </c>
      <c r="B155" s="4" t="s">
        <v>42</v>
      </c>
      <c r="C155" s="4" t="s">
        <v>392</v>
      </c>
      <c r="D155" s="4" t="str">
        <f aca="false">IFERROR(SC7b!L16,"")</f>
        <v/>
      </c>
      <c r="E155" s="4" t="s">
        <v>21</v>
      </c>
      <c r="F155" s="5"/>
      <c r="G155" s="5"/>
      <c r="H155" s="6" t="str">
        <f aca="false">IF(OR(F155="",NOT(ISNUMBER(D155))),"",IF(ABS(F155-D155)&lt;0.001,"Yes","No"))</f>
        <v/>
      </c>
      <c r="I155" s="7" t="str">
        <f aca="false">IF(ISNUMBER(F155),F155,D155)</f>
        <v/>
      </c>
      <c r="J155" s="6" t="str">
        <f aca="false">IF(ISNUMBER(F155),"Expert (overrides AI)",IF(ISNUMBER(D155),"AI","Not scored yet"))</f>
        <v>Not scored yet</v>
      </c>
      <c r="K155" s="4" t="s">
        <v>22</v>
      </c>
      <c r="L155" s="4" t="s">
        <v>57</v>
      </c>
      <c r="M155" s="4"/>
      <c r="N155" s="4"/>
      <c r="O155" s="4"/>
      <c r="P155" s="4"/>
      <c r="Q155" s="4"/>
      <c r="R155" s="4" t="s">
        <v>396</v>
      </c>
    </row>
    <row r="156" customFormat="false" ht="93" hidden="false" customHeight="true" outlineLevel="0" collapsed="false">
      <c r="A156" s="3" t="s">
        <v>391</v>
      </c>
      <c r="B156" s="4" t="s">
        <v>47</v>
      </c>
      <c r="C156" s="4" t="s">
        <v>392</v>
      </c>
      <c r="D156" s="4" t="str">
        <f aca="false">IFERROR(SC7b!L17,"")</f>
        <v/>
      </c>
      <c r="E156" s="4" t="s">
        <v>21</v>
      </c>
      <c r="F156" s="5"/>
      <c r="G156" s="5"/>
      <c r="H156" s="6" t="str">
        <f aca="false">IF(OR(F156="",NOT(ISNUMBER(D156))),"",IF(ABS(F156-D156)&lt;0.001,"Yes","No"))</f>
        <v/>
      </c>
      <c r="I156" s="7" t="str">
        <f aca="false">IF(ISNUMBER(F156),F156,D156)</f>
        <v/>
      </c>
      <c r="J156" s="6" t="str">
        <f aca="false">IF(ISNUMBER(F156),"Expert (overrides AI)",IF(ISNUMBER(D156),"AI","Not scored yet"))</f>
        <v>Not scored yet</v>
      </c>
      <c r="K156" s="4" t="s">
        <v>22</v>
      </c>
      <c r="L156" s="4" t="s">
        <v>57</v>
      </c>
      <c r="M156" s="4"/>
      <c r="N156" s="4"/>
      <c r="O156" s="4"/>
      <c r="P156" s="4"/>
      <c r="Q156" s="4"/>
      <c r="R156" s="4" t="s">
        <v>397</v>
      </c>
    </row>
  </sheetData>
  <autoFilter ref="A1:R156"/>
  <conditionalFormatting sqref="I2:J156">
    <cfRule type="expression" priority="2" aboveAverage="0" equalAverage="0" bottom="0" percent="0" rank="0" text="" dxfId="7">
      <formula>$J2="Expert (overrides AI)"</formula>
    </cfRule>
  </conditionalFormatting>
  <conditionalFormatting sqref="K2:K156">
    <cfRule type="expression" priority="3" aboveAverage="0" equalAverage="0" bottom="0" percent="0" rank="0" text="" dxfId="8">
      <formula>$K2="Left for a person"</formula>
    </cfRule>
  </conditionalFormatting>
  <conditionalFormatting sqref="H2:H156">
    <cfRule type="expression" priority="4" aboveAverage="0" equalAverage="0" bottom="0" percent="0" rank="0" text="" dxfId="9">
      <formula>$H2="No"</formula>
    </cfRule>
  </conditionalFormatting>
  <hyperlinks>
    <hyperlink ref="A2" location="'UPD1a'!A1" display="UPD1a"/>
    <hyperlink ref="A3" location="'UPD1a'!A1" display="UPD1a"/>
    <hyperlink ref="A4" location="'UPD1a'!A1" display="UPD1a"/>
    <hyperlink ref="A5" location="'UPD1a'!A1" display="UPD1a"/>
    <hyperlink ref="A6" location="'UPD1a'!A1" display="UPD1a"/>
    <hyperlink ref="A7" location="'UPD1b'!A1" display="UPD1b"/>
    <hyperlink ref="A8" location="'UPD1b'!A1" display="UPD1b"/>
    <hyperlink ref="A9" location="'UPD1b'!A1" display="UPD1b"/>
    <hyperlink ref="A10" location="'UPD1b'!A1" display="UPD1b"/>
    <hyperlink ref="A11" location="'UPD1b'!A1" display="UPD1b"/>
    <hyperlink ref="A12" location="'UPD2a'!A1" display="UPD2a"/>
    <hyperlink ref="A13" location="'UPD2b'!A1" display="UPD2b"/>
    <hyperlink ref="A14" location="'UPD2c'!A1" display="UPD2c"/>
    <hyperlink ref="A15" location="'UPD2d'!A1" display="UPD2d"/>
    <hyperlink ref="A16" location="'UPD3a'!A1" display="UPD3a"/>
    <hyperlink ref="A17" location="'UPD3b'!A1" display="UPD3b"/>
    <hyperlink ref="A18" location="'UPD4a'!A1" display="UPD4a"/>
    <hyperlink ref="A19" location="'UPD4b'!A1" display="UPD4b"/>
    <hyperlink ref="A20" location="'UPD5a'!A1" display="UPD5a"/>
    <hyperlink ref="A21" location="'UPD5b'!A1" display="UPD5b"/>
    <hyperlink ref="A22" location="'UPD6a'!A1" display="UPD6a"/>
    <hyperlink ref="A23" location="'UPD6b'!A1" display="UPD6b"/>
    <hyperlink ref="A24" location="'DPG1a'!A1" display="DPG1a"/>
    <hyperlink ref="A25" location="'DPG1a'!A1" display="DPG1a"/>
    <hyperlink ref="A26" location="'DPG1a'!A1" display="DPG1a"/>
    <hyperlink ref="A27" location="'DPG1a'!A1" display="DPG1a"/>
    <hyperlink ref="A28" location="'DPG1a'!A1" display="DPG1a"/>
    <hyperlink ref="A29" location="'DPG1b'!A1" display="DPG1b"/>
    <hyperlink ref="A30" location="'DPG1b'!A1" display="DPG1b"/>
    <hyperlink ref="A31" location="'DPG1b'!A1" display="DPG1b"/>
    <hyperlink ref="A32" location="'DPG1b'!A1" display="DPG1b"/>
    <hyperlink ref="A33" location="'DPG1b'!A1" display="DPG1b"/>
    <hyperlink ref="A34" location="'DPG2a'!A1" display="DPG2a"/>
    <hyperlink ref="A35" location="'DPG2a'!A1" display="DPG2a"/>
    <hyperlink ref="A36" location="'DPG2a'!A1" display="DPG2a"/>
    <hyperlink ref="A37" location="'DPG2a'!A1" display="DPG2a"/>
    <hyperlink ref="A38" location="'DPG2a'!A1" display="DPG2a"/>
    <hyperlink ref="A39" location="'DPG2b'!A1" display="DPG2b"/>
    <hyperlink ref="A40" location="'DPG2b'!A1" display="DPG2b"/>
    <hyperlink ref="A41" location="'DPG2b'!A1" display="DPG2b"/>
    <hyperlink ref="A42" location="'DPG2b'!A1" display="DPG2b"/>
    <hyperlink ref="A43" location="'DPG2b'!A1" display="DPG2b"/>
    <hyperlink ref="A44" location="'DPG4'!A1" display="DPG4"/>
    <hyperlink ref="A45" location="'DPG4'!A1" display="DPG4"/>
    <hyperlink ref="A46" location="'DPG4'!A1" display="DPG4"/>
    <hyperlink ref="A47" location="'DPG4'!A1" display="DPG4"/>
    <hyperlink ref="A48" location="'DPG4'!A1" display="DPG4"/>
    <hyperlink ref="A49" location="'DPG5a'!A1" display="DPG5a"/>
    <hyperlink ref="A50" location="'DPG5a'!A1" display="DPG5a"/>
    <hyperlink ref="A51" location="'DPG5a'!A1" display="DPG5a"/>
    <hyperlink ref="A52" location="'DPG5a'!A1" display="DPG5a"/>
    <hyperlink ref="A53" location="'DPG5a'!A1" display="DPG5a"/>
    <hyperlink ref="A54" location="'DPG5b'!A1" display="DPG5b"/>
    <hyperlink ref="A55" location="'DPG5b'!A1" display="DPG5b"/>
    <hyperlink ref="A56" location="'DPG5b'!A1" display="DPG5b"/>
    <hyperlink ref="A57" location="'DPG5b'!A1" display="DPG5b"/>
    <hyperlink ref="A58" location="'DPG5b'!A1" display="DPG5b"/>
    <hyperlink ref="A59" location="'DPG5c'!A1" display="DPG5c"/>
    <hyperlink ref="A60" location="'DPG5c'!A1" display="DPG5c"/>
    <hyperlink ref="A61" location="'DPG5c'!A1" display="DPG5c"/>
    <hyperlink ref="A62" location="'DPG5c'!A1" display="DPG5c"/>
    <hyperlink ref="A63" location="'DPG5c'!A1" display="DPG5c"/>
    <hyperlink ref="A64" location="'DPG5d'!A1" display="DPG5d"/>
    <hyperlink ref="A65" location="'DPG5d'!A1" display="DPG5d"/>
    <hyperlink ref="A66" location="'DPG5d'!A1" display="DPG5d"/>
    <hyperlink ref="A67" location="'DPG5d'!A1" display="DPG5d"/>
    <hyperlink ref="A68" location="'DPG5d'!A1" display="DPG5d"/>
    <hyperlink ref="A69" location="'DPG5f'!A1" display="DPG5f"/>
    <hyperlink ref="A70" location="'DPG5f'!A1" display="DPG5f"/>
    <hyperlink ref="A71" location="'DPG5f'!A1" display="DPG5f"/>
    <hyperlink ref="A72" location="'DPG5f'!A1" display="DPG5f"/>
    <hyperlink ref="A73" location="'DPG5f'!A1" display="DPG5f"/>
    <hyperlink ref="A74" location="'DPG5g'!A1" display="DPG5g"/>
    <hyperlink ref="A75" location="'DPG5g'!A1" display="DPG5g"/>
    <hyperlink ref="A76" location="'DPG5g'!A1" display="DPG5g"/>
    <hyperlink ref="A77" location="'DPG5g'!A1" display="DPG5g"/>
    <hyperlink ref="A78" location="'DPG5g'!A1" display="DPG5g"/>
    <hyperlink ref="A79" location="'DPG5h'!A1" display="DPG5h"/>
    <hyperlink ref="A80" location="'DPG5h'!A1" display="DPG5h"/>
    <hyperlink ref="A81" location="'DPG5h'!A1" display="DPG5h"/>
    <hyperlink ref="A82" location="'DPG5h'!A1" display="DPG5h"/>
    <hyperlink ref="A83" location="'DPG5h'!A1" display="DPG5h"/>
    <hyperlink ref="A84" location="'DPG5i'!A1" display="DPG5i"/>
    <hyperlink ref="A85" location="'DPG5i'!A1" display="DPG5i"/>
    <hyperlink ref="A86" location="'DPG5i'!A1" display="DPG5i"/>
    <hyperlink ref="A87" location="'DPG5i'!A1" display="DPG5i"/>
    <hyperlink ref="A88" location="'DPG5i'!A1" display="DPG5i"/>
    <hyperlink ref="A89" location="'DPG5j'!A1" display="DPG5j"/>
    <hyperlink ref="A90" location="'DPG5j'!A1" display="DPG5j"/>
    <hyperlink ref="A91" location="'DPG5j'!A1" display="DPG5j"/>
    <hyperlink ref="A92" location="'DPG5j'!A1" display="DPG5j"/>
    <hyperlink ref="A93" location="'DPG5j'!A1" display="DPG5j"/>
    <hyperlink ref="A94" location="'DPG5k'!A1" display="DPG5k"/>
    <hyperlink ref="A95" location="'DPG5k'!A1" display="DPG5k"/>
    <hyperlink ref="A96" location="'DPG5k'!A1" display="DPG5k"/>
    <hyperlink ref="A97" location="'DPG5k'!A1" display="DPG5k"/>
    <hyperlink ref="A98" location="'DPG5k'!A1" display="DPG5k"/>
    <hyperlink ref="A99" location="'DPG6a'!A1" display="DPG6a"/>
    <hyperlink ref="A100" location="'DPG6a'!A1" display="DPG6a"/>
    <hyperlink ref="A101" location="'DPG6a'!A1" display="DPG6a"/>
    <hyperlink ref="A102" location="'DPG6a'!A1" display="DPG6a"/>
    <hyperlink ref="A103" location="'DPG6a'!A1" display="DPG6a"/>
    <hyperlink ref="A104" location="'DPG6b'!A1" display="DPG6b"/>
    <hyperlink ref="A105" location="'DPG6b'!A1" display="DPG6b"/>
    <hyperlink ref="A106" location="'DPG6b'!A1" display="DPG6b"/>
    <hyperlink ref="A107" location="'DPG6b'!A1" display="DPG6b"/>
    <hyperlink ref="A108" location="'DPG6b'!A1" display="DPG6b"/>
    <hyperlink ref="A109" location="'DPG7a'!A1" display="DPG7a"/>
    <hyperlink ref="A110" location="'DPG7a'!A1" display="DPG7a"/>
    <hyperlink ref="A111" location="'DPG7a'!A1" display="DPG7a"/>
    <hyperlink ref="A112" location="'DPG7b'!A1" display="DPG7b"/>
    <hyperlink ref="A113" location="'DPG7b'!A1" display="DPG7b"/>
    <hyperlink ref="A114" location="'DPG7b'!A1" display="DPG7b"/>
    <hyperlink ref="A115" location="'SC1'!A1" display="SC1"/>
    <hyperlink ref="A116" location="'SC1'!A1" display="SC1"/>
    <hyperlink ref="A117" location="'SC1'!A1" display="SC1"/>
    <hyperlink ref="A118" location="'SC2'!A1" display="SC2"/>
    <hyperlink ref="A119" location="'SC2'!A1" display="SC2"/>
    <hyperlink ref="A120" location="'SC2'!A1" display="SC2"/>
    <hyperlink ref="A121" location="'SC2'!A1" display="SC2"/>
    <hyperlink ref="A122" location="'SC3'!A1" display="SC3"/>
    <hyperlink ref="A123" location="'SC3'!A1" display="SC3"/>
    <hyperlink ref="A124" location="'SC3'!A1" display="SC3"/>
    <hyperlink ref="A125" location="'SC3'!A1" display="SC3"/>
    <hyperlink ref="A126" location="'SC3'!A1" display="SC3"/>
    <hyperlink ref="A127" location="'SC4a'!A1" display="SC4a"/>
    <hyperlink ref="A128" location="'SC4a'!A1" display="SC4a"/>
    <hyperlink ref="A129" location="'SC4a'!A1" display="SC4a"/>
    <hyperlink ref="A130" location="'SC4a'!A1" display="SC4a"/>
    <hyperlink ref="A131" location="'SC4a'!A1" display="SC4a"/>
    <hyperlink ref="A132" location="'SC4b'!A1" display="SC4b"/>
    <hyperlink ref="A133" location="'SC4b'!A1" display="SC4b"/>
    <hyperlink ref="A134" location="'SC4b'!A1" display="SC4b"/>
    <hyperlink ref="A135" location="'SC4b'!A1" display="SC4b"/>
    <hyperlink ref="A136" location="'SC4b'!A1" display="SC4b"/>
    <hyperlink ref="A137" location="'SC5'!A1" display="SC5"/>
    <hyperlink ref="A138" location="'SC5'!A1" display="SC5"/>
    <hyperlink ref="A139" location="'SC5'!A1" display="SC5"/>
    <hyperlink ref="A140" location="'SC5'!A1" display="SC5"/>
    <hyperlink ref="A141" location="'SC5'!A1" display="SC5"/>
    <hyperlink ref="A142" location="'SC6'!A1" display="SC6"/>
    <hyperlink ref="A143" location="'SC6'!A1" display="SC6"/>
    <hyperlink ref="A144" location="'SC6'!A1" display="SC6"/>
    <hyperlink ref="A145" location="'SC6'!A1" display="SC6"/>
    <hyperlink ref="A146" location="'SC6'!A1" display="SC6"/>
    <hyperlink ref="A147" location="'SC7a'!A1" display="SC7a"/>
    <hyperlink ref="A148" location="'SC7a'!A1" display="SC7a"/>
    <hyperlink ref="A149" location="'SC7a'!A1" display="SC7a"/>
    <hyperlink ref="A150" location="'SC7a'!A1" display="SC7a"/>
    <hyperlink ref="A151" location="'SC7a'!A1" display="SC7a"/>
    <hyperlink ref="A152" location="'SC7b'!A1" display="SC7b"/>
    <hyperlink ref="A153" location="'SC7b'!A1" display="SC7b"/>
    <hyperlink ref="A154" location="'SC7b'!A1" display="SC7b"/>
    <hyperlink ref="A155" location="'SC7b'!A1" display="SC7b"/>
    <hyperlink ref="A156" location="'SC7b'!A1" display="SC7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9" width="120"/>
  </cols>
  <sheetData>
    <row r="1" customFormat="false" ht="17.25" hidden="false" customHeight="true" outlineLevel="0" collapsed="false">
      <c r="A1" s="10" t="s">
        <v>398</v>
      </c>
    </row>
    <row r="2" customFormat="false" ht="15" hidden="false" customHeight="true" outlineLevel="0" collapsed="false">
      <c r="A2" s="4"/>
    </row>
    <row r="3" customFormat="false" ht="15" hidden="false" customHeight="true" outlineLevel="0" collapsed="false">
      <c r="A3" s="4" t="s">
        <v>399</v>
      </c>
    </row>
    <row r="4" customFormat="false" ht="23.25" hidden="false" customHeight="true" outlineLevel="0" collapsed="false">
      <c r="A4" s="4" t="s">
        <v>400</v>
      </c>
    </row>
    <row r="5" customFormat="false" ht="23.25" hidden="false" customHeight="true" outlineLevel="0" collapsed="false">
      <c r="A5" s="4" t="s">
        <v>401</v>
      </c>
    </row>
    <row r="6" customFormat="false" ht="15" hidden="false" customHeight="true" outlineLevel="0" collapsed="false">
      <c r="A6" s="4" t="s">
        <v>402</v>
      </c>
    </row>
    <row r="7" customFormat="false" ht="15" hidden="false" customHeight="true" outlineLevel="0" collapsed="false">
      <c r="A7" s="4"/>
    </row>
    <row r="8" customFormat="false" ht="15" hidden="false" customHeight="true" outlineLevel="0" collapsed="false">
      <c r="A8" s="4" t="s">
        <v>403</v>
      </c>
    </row>
    <row r="9" customFormat="false" ht="15" hidden="false" customHeight="true" outlineLevel="0" collapsed="false">
      <c r="A9" s="4" t="s">
        <v>404</v>
      </c>
    </row>
    <row r="10" customFormat="false" ht="15" hidden="false" customHeight="true" outlineLevel="0" collapsed="false">
      <c r="A10" s="4" t="s">
        <v>405</v>
      </c>
    </row>
    <row r="11" customFormat="false" ht="15" hidden="false" customHeight="true" outlineLevel="0" collapsed="false">
      <c r="A11" s="4" t="s">
        <v>406</v>
      </c>
    </row>
    <row r="12" customFormat="false" ht="15" hidden="false" customHeight="true" outlineLevel="0" collapsed="false">
      <c r="A12" s="4" t="s">
        <v>407</v>
      </c>
    </row>
    <row r="13" customFormat="false" ht="15" hidden="false" customHeight="true" outlineLevel="0" collapsed="false">
      <c r="A13" s="4" t="s">
        <v>408</v>
      </c>
    </row>
    <row r="14" customFormat="false" ht="15" hidden="false" customHeight="true" outlineLevel="0" collapsed="false">
      <c r="A14" s="4"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14"/>
    <col collapsed="false" customWidth="true" hidden="false" outlineLevel="0" max="2" min="2" style="9" width="24"/>
    <col collapsed="false" customWidth="true" hidden="false" outlineLevel="0" max="4" min="4" style="9" width="50"/>
    <col collapsed="false" customWidth="true" hidden="false" outlineLevel="0" max="5" min="5" style="9" width="18"/>
  </cols>
  <sheetData>
    <row r="1" customFormat="false" ht="39" hidden="false" customHeight="true" outlineLevel="0" collapsed="false">
      <c r="A1" s="1" t="s">
        <v>410</v>
      </c>
      <c r="B1" s="1" t="s">
        <v>411</v>
      </c>
      <c r="C1" s="1" t="s">
        <v>412</v>
      </c>
      <c r="D1" s="1" t="s">
        <v>0</v>
      </c>
      <c r="E1" s="1" t="s">
        <v>413</v>
      </c>
      <c r="F1" s="1" t="s">
        <v>414</v>
      </c>
      <c r="G1" s="1" t="s">
        <v>19</v>
      </c>
      <c r="H1" s="1" t="s">
        <v>30</v>
      </c>
      <c r="I1" s="1" t="s">
        <v>36</v>
      </c>
      <c r="J1" s="1" t="s">
        <v>42</v>
      </c>
      <c r="K1" s="1" t="s">
        <v>47</v>
      </c>
      <c r="L1" s="1" t="s">
        <v>415</v>
      </c>
      <c r="M1" s="1" t="s">
        <v>416</v>
      </c>
    </row>
    <row r="2" customFormat="false" ht="15" hidden="false" customHeight="true" outlineLevel="0" collapsed="false">
      <c r="A2" s="9" t="s">
        <v>417</v>
      </c>
      <c r="B2" s="9" t="s">
        <v>418</v>
      </c>
      <c r="C2" s="9" t="s">
        <v>418</v>
      </c>
      <c r="D2" s="9" t="s">
        <v>418</v>
      </c>
      <c r="E2" s="9" t="s">
        <v>418</v>
      </c>
      <c r="F2" s="9" t="s">
        <v>418</v>
      </c>
      <c r="G2" s="9" t="s">
        <v>418</v>
      </c>
      <c r="H2" s="9" t="s">
        <v>418</v>
      </c>
      <c r="I2" s="9" t="s">
        <v>418</v>
      </c>
      <c r="J2" s="9" t="s">
        <v>418</v>
      </c>
      <c r="K2" s="9" t="s">
        <v>418</v>
      </c>
      <c r="L2" s="9" t="s">
        <v>418</v>
      </c>
      <c r="M2" s="9" t="s">
        <v>418</v>
      </c>
    </row>
    <row r="3" customFormat="false" ht="15" hidden="false" customHeight="true" outlineLevel="0" collapsed="false">
      <c r="A3" s="11" t="s">
        <v>419</v>
      </c>
      <c r="B3" s="11" t="str">
        <f aca="false">VLOOKUP($A3,'PARASTATAL Questions'!$A:$J,3,0)&amp;""</f>
        <v>Urban Planning &amp; Design (UPD)</v>
      </c>
      <c r="C3" s="11" t="str">
        <f aca="false">VLOOKUP($A3,'PARASTATAL Questions'!$A:$J,4,0)&amp;""</f>
        <v>MQ</v>
      </c>
      <c r="D3" s="11" t="str">
        <f aca="false">VLOOKUP($A3,'PARASTATAL Questions'!$A:$J,5,0)&amp;""</f>
        <v>Does the parastatal coordinate with the ULG(s) in preparing its spatial and/or sectoral plans?</v>
      </c>
      <c r="E3" s="11" t="str">
        <f aca="false">VLOOKUP($A3,'PARASTATAL Questions'!$A:$J,7,0)&amp;""</f>
        <v/>
      </c>
      <c r="F3" s="11" t="n">
        <f aca="false">VLOOKUP($A3,'PARASTATAL Questions'!$A:$J,6,0)</f>
        <v>10</v>
      </c>
      <c r="G3" s="11" t="n">
        <f aca="false">IF(OR(G4="ER",G5="ER"),"ER",IF(OR(G4="?",G5="?"),"?",IF(AND(G4="NA",G5="NA"),"NA",SUM(G4,G5)/((G4&lt;&gt;"NA")*$F$4+(G5&lt;&gt;"NA")*$F$5)*$F3)))</f>
        <v>6.25</v>
      </c>
      <c r="H3" s="11" t="str">
        <f aca="false">IF(OR(H4="ER",H5="ER"),"ER",IF(OR(H4="?",H5="?"),"?",IF(AND(H4="NA",H5="NA"),"NA",SUM(H4,H5)/((H4&lt;&gt;"NA")*$F$4+(H5&lt;&gt;"NA")*$F$5)*$F3)))</f>
        <v>?</v>
      </c>
      <c r="I3" s="11" t="str">
        <f aca="false">IF(OR(I4="ER",I5="ER"),"ER",IF(OR(I4="?",I5="?"),"?",IF(AND(I4="NA",I5="NA"),"NA",SUM(I4,I5)/((I4&lt;&gt;"NA")*$F$4+(I5&lt;&gt;"NA")*$F$5)*$F3)))</f>
        <v>?</v>
      </c>
      <c r="J3" s="11" t="str">
        <f aca="false">IF(OR(J4="ER",J5="ER"),"ER",IF(OR(J4="?",J5="?"),"?",IF(AND(J4="NA",J5="NA"),"NA",SUM(J4,J5)/((J4&lt;&gt;"NA")*$F$4+(J5&lt;&gt;"NA")*$F$5)*$F3)))</f>
        <v>?</v>
      </c>
      <c r="K3" s="11" t="str">
        <f aca="false">IF(OR(K4="ER",K5="ER"),"ER",IF(OR(K4="?",K5="?"),"?",IF(AND(K4="NA",K5="NA"),"NA",SUM(K4,K5)/((K4&lt;&gt;"NA")*$F$4+(K5&lt;&gt;"NA")*$F$5)*$F3)))</f>
        <v>?</v>
      </c>
      <c r="L3" s="11" t="str">
        <f aca="false">IF(OR(L4="ER",L5="ER"),"ER",IF(OR(L4="?",L5="?"),"?",IF(AND(L4="NA",L5="NA"),"NA",SUM(L4,L5)/((L4&lt;&gt;"NA")*$F$4+(L5&lt;&gt;"NA")*$F$5)*$F3)))</f>
        <v>?</v>
      </c>
      <c r="M3" s="11" t="str">
        <f aca="false">IF(OR(M4="ER",M5="ER"),"ER",IF(OR(M4="?",M5="?"),"?",IF(AND(M4="NA",M5="NA"),"NA",SUM(M4,M5)/((M4&lt;&gt;"NA")*$F$4+(M5&lt;&gt;"NA")*$F$5)*$F3)))</f>
        <v>?</v>
      </c>
    </row>
    <row r="4" customFormat="false" ht="15" hidden="false" customHeight="true" outlineLevel="0" collapsed="false">
      <c r="A4" s="9" t="s">
        <v>18</v>
      </c>
      <c r="B4" s="9" t="str">
        <f aca="false">VLOOKUP($A4,'PARASTATAL Questions'!$A:$J,3,0)&amp;""</f>
        <v>Urban Planning &amp; Design (UPD)</v>
      </c>
      <c r="C4" s="9" t="str">
        <f aca="false">VLOOKUP($A4,'PARASTATAL Questions'!$A:$J,4,0)&amp;""</f>
        <v>SQ</v>
      </c>
      <c r="D4" s="9" t="str">
        <f aca="false">VLOOKUP($A4,'PARASTATAL Questions'!$A:$J,5,0)&amp;""</f>
        <v>Is the parastatal mandated to prepare its spatial and/or sectoral plans in coordination with the ULG(s) within its jurisdiction?</v>
      </c>
      <c r="E4" s="9" t="str">
        <f aca="false">VLOOKUP($A4,'PARASTATAL Questions'!$A:$J,7,0)&amp;""</f>
        <v>Law/Policy</v>
      </c>
      <c r="F4" s="9" t="n">
        <f aca="false">VLOOKUP($A4,'PARASTATAL Questions'!$A:$J,6,0)</f>
        <v>5</v>
      </c>
      <c r="G4" s="9" t="n">
        <f aca="true">IF($F4=0,"NA",IF($A4=INDIRECT("'"&amp;$A4&amp;"'!$B$1"),IF(VLOOKUP(G$1,INDIRECT("'"&amp;$A4&amp;"'!$A$12:$Z$19"),MATCH("Points (Auto-generate)",INDIRECT("'"&amp;$A4&amp;"'!$A$12:$Z$12"),0),0)="","?",VLOOKUP(G$1,INDIRECT("'"&amp;$A4&amp;"'!$A$12:$Z$19"),MATCH("Points (Auto-generate)",INDIRECT("'"&amp;$A4&amp;"'!$A$12:$Z$12"),0),0)),"ER"))</f>
        <v>1.25</v>
      </c>
      <c r="H4" s="9" t="str">
        <f aca="true">IF($F4=0,"NA",IF($A4=INDIRECT("'"&amp;$A4&amp;"'!$B$1"),IF(VLOOKUP(H$1,INDIRECT("'"&amp;$A4&amp;"'!$A$12:$Z$19"),MATCH("Points (Auto-generate)",INDIRECT("'"&amp;$A4&amp;"'!$A$12:$Z$12"),0),0)="","?",VLOOKUP(H$1,INDIRECT("'"&amp;$A4&amp;"'!$A$12:$Z$19"),MATCH("Points (Auto-generate)",INDIRECT("'"&amp;$A4&amp;"'!$A$12:$Z$12"),0),0)),"ER"))</f>
        <v>?</v>
      </c>
      <c r="I4" s="9" t="n">
        <f aca="true">IF($F4=0,"NA",IF($A4=INDIRECT("'"&amp;$A4&amp;"'!$B$1"),IF(VLOOKUP(I$1,INDIRECT("'"&amp;$A4&amp;"'!$A$12:$Z$19"),MATCH("Points (Auto-generate)",INDIRECT("'"&amp;$A4&amp;"'!$A$12:$Z$12"),0),0)="","?",VLOOKUP(I$1,INDIRECT("'"&amp;$A4&amp;"'!$A$12:$Z$19"),MATCH("Points (Auto-generate)",INDIRECT("'"&amp;$A4&amp;"'!$A$12:$Z$12"),0),0)),"ER"))</f>
        <v>3.75</v>
      </c>
      <c r="J4" s="9" t="n">
        <f aca="true">IF($F4=0,"NA",IF($A4=INDIRECT("'"&amp;$A4&amp;"'!$B$1"),IF(VLOOKUP(J$1,INDIRECT("'"&amp;$A4&amp;"'!$A$12:$Z$19"),MATCH("Points (Auto-generate)",INDIRECT("'"&amp;$A4&amp;"'!$A$12:$Z$12"),0),0)="","?",VLOOKUP(J$1,INDIRECT("'"&amp;$A4&amp;"'!$A$12:$Z$19"),MATCH("Points (Auto-generate)",INDIRECT("'"&amp;$A4&amp;"'!$A$12:$Z$12"),0),0)),"ER"))</f>
        <v>0</v>
      </c>
      <c r="K4" s="9" t="n">
        <f aca="true">IF($F4=0,"NA",IF($A4=INDIRECT("'"&amp;$A4&amp;"'!$B$1"),IF(VLOOKUP(K$1,INDIRECT("'"&amp;$A4&amp;"'!$A$12:$Z$19"),MATCH("Points (Auto-generate)",INDIRECT("'"&amp;$A4&amp;"'!$A$12:$Z$12"),0),0)="","?",VLOOKUP(K$1,INDIRECT("'"&amp;$A4&amp;"'!$A$12:$Z$19"),MATCH("Points (Auto-generate)",INDIRECT("'"&amp;$A4&amp;"'!$A$12:$Z$12"),0),0)),"ER"))</f>
        <v>0</v>
      </c>
      <c r="L4" s="9" t="str">
        <f aca="true">IF($F4=0,"NA",IF($A4=INDIRECT("'"&amp;$A4&amp;"'!$B$1"),IF(VLOOKUP(L$1,INDIRECT("'"&amp;$A4&amp;"'!$A$12:$Z$19"),MATCH("Points (Auto-generate)",INDIRECT("'"&amp;$A4&amp;"'!$A$12:$Z$12"),0),0)="","?",VLOOKUP(L$1,INDIRECT("'"&amp;$A4&amp;"'!$A$12:$Z$19"),MATCH("Points (Auto-generate)",INDIRECT("'"&amp;$A4&amp;"'!$A$12:$Z$12"),0),0)),"ER"))</f>
        <v>?</v>
      </c>
      <c r="M4" s="9" t="str">
        <f aca="true">IF($F4=0,"NA",IF($A4=INDIRECT("'"&amp;$A4&amp;"'!$B$1"),IF(VLOOKUP(M$1,INDIRECT("'"&amp;$A4&amp;"'!$A$12:$Z$19"),MATCH("Points (Auto-generate)",INDIRECT("'"&amp;$A4&amp;"'!$A$12:$Z$12"),0),0)="","?",VLOOKUP(M$1,INDIRECT("'"&amp;$A4&amp;"'!$A$12:$Z$19"),MATCH("Points (Auto-generate)",INDIRECT("'"&amp;$A4&amp;"'!$A$12:$Z$12"),0),0)),"ER"))</f>
        <v>?</v>
      </c>
    </row>
    <row r="5" customFormat="false" ht="15" hidden="false" customHeight="true" outlineLevel="0" collapsed="false">
      <c r="A5" s="9" t="s">
        <v>50</v>
      </c>
      <c r="B5" s="9" t="str">
        <f aca="false">VLOOKUP($A5,'PARASTATAL Questions'!$A:$J,3,0)&amp;""</f>
        <v>Urban Planning &amp; Design (UPD)</v>
      </c>
      <c r="C5" s="9" t="str">
        <f aca="false">VLOOKUP($A5,'PARASTATAL Questions'!$A:$J,4,0)&amp;""</f>
        <v>SQ</v>
      </c>
      <c r="D5" s="9" t="str">
        <f aca="false">VLOOKUP($A5,'PARASTATAL Questions'!$A:$J,5,0)&amp;""</f>
        <v>Has the ULG participated in the parastatal’s plan-making process?</v>
      </c>
      <c r="E5" s="9" t="str">
        <f aca="false">VLOOKUP($A5,'PARASTATAL Questions'!$A:$J,7,0)&amp;""</f>
        <v>Implementation</v>
      </c>
      <c r="F5" s="9" t="n">
        <f aca="false">VLOOKUP($A5,'PARASTATAL Questions'!$A:$J,6,0)</f>
        <v>5</v>
      </c>
      <c r="G5" s="9" t="n">
        <f aca="true">IF($F5=0,"NA",IF($A5=INDIRECT("'"&amp;$A5&amp;"'!$B$1"),IF(VLOOKUP(G$1,INDIRECT("'"&amp;$A5&amp;"'!$A$12:$Z$19"),MATCH("Points (Auto-generate)",INDIRECT("'"&amp;$A5&amp;"'!$A$12:$Z$12"),0),0)="","?",VLOOKUP(G$1,INDIRECT("'"&amp;$A5&amp;"'!$A$12:$Z$19"),MATCH("Points (Auto-generate)",INDIRECT("'"&amp;$A5&amp;"'!$A$12:$Z$12"),0),0)),"ER"))</f>
        <v>5</v>
      </c>
      <c r="H5" s="9" t="str">
        <f aca="true">IF($F5=0,"NA",IF($A5=INDIRECT("'"&amp;$A5&amp;"'!$B$1"),IF(VLOOKUP(H$1,INDIRECT("'"&amp;$A5&amp;"'!$A$12:$Z$19"),MATCH("Points (Auto-generate)",INDIRECT("'"&amp;$A5&amp;"'!$A$12:$Z$12"),0),0)="","?",VLOOKUP(H$1,INDIRECT("'"&amp;$A5&amp;"'!$A$12:$Z$19"),MATCH("Points (Auto-generate)",INDIRECT("'"&amp;$A5&amp;"'!$A$12:$Z$12"),0),0)),"ER"))</f>
        <v>?</v>
      </c>
      <c r="I5" s="9" t="str">
        <f aca="true">IF($F5=0,"NA",IF($A5=INDIRECT("'"&amp;$A5&amp;"'!$B$1"),IF(VLOOKUP(I$1,INDIRECT("'"&amp;$A5&amp;"'!$A$12:$Z$19"),MATCH("Points (Auto-generate)",INDIRECT("'"&amp;$A5&amp;"'!$A$12:$Z$12"),0),0)="","?",VLOOKUP(I$1,INDIRECT("'"&amp;$A5&amp;"'!$A$12:$Z$19"),MATCH("Points (Auto-generate)",INDIRECT("'"&amp;$A5&amp;"'!$A$12:$Z$12"),0),0)),"ER"))</f>
        <v>?</v>
      </c>
      <c r="J5" s="9" t="str">
        <f aca="true">IF($F5=0,"NA",IF($A5=INDIRECT("'"&amp;$A5&amp;"'!$B$1"),IF(VLOOKUP(J$1,INDIRECT("'"&amp;$A5&amp;"'!$A$12:$Z$19"),MATCH("Points (Auto-generate)",INDIRECT("'"&amp;$A5&amp;"'!$A$12:$Z$12"),0),0)="","?",VLOOKUP(J$1,INDIRECT("'"&amp;$A5&amp;"'!$A$12:$Z$19"),MATCH("Points (Auto-generate)",INDIRECT("'"&amp;$A5&amp;"'!$A$12:$Z$12"),0),0)),"ER"))</f>
        <v>?</v>
      </c>
      <c r="K5" s="9" t="str">
        <f aca="true">IF($F5=0,"NA",IF($A5=INDIRECT("'"&amp;$A5&amp;"'!$B$1"),IF(VLOOKUP(K$1,INDIRECT("'"&amp;$A5&amp;"'!$A$12:$Z$19"),MATCH("Points (Auto-generate)",INDIRECT("'"&amp;$A5&amp;"'!$A$12:$Z$12"),0),0)="","?",VLOOKUP(K$1,INDIRECT("'"&amp;$A5&amp;"'!$A$12:$Z$19"),MATCH("Points (Auto-generate)",INDIRECT("'"&amp;$A5&amp;"'!$A$12:$Z$12"),0),0)),"ER"))</f>
        <v>?</v>
      </c>
      <c r="L5" s="9" t="str">
        <f aca="true">IF($F5=0,"NA",IF($A5=INDIRECT("'"&amp;$A5&amp;"'!$B$1"),IF(VLOOKUP(L$1,INDIRECT("'"&amp;$A5&amp;"'!$A$12:$Z$19"),MATCH("Points (Auto-generate)",INDIRECT("'"&amp;$A5&amp;"'!$A$12:$Z$12"),0),0)="","?",VLOOKUP(L$1,INDIRECT("'"&amp;$A5&amp;"'!$A$12:$Z$19"),MATCH("Points (Auto-generate)",INDIRECT("'"&amp;$A5&amp;"'!$A$12:$Z$12"),0),0)),"ER"))</f>
        <v>?</v>
      </c>
      <c r="M5" s="9" t="str">
        <f aca="true">IF($F5=0,"NA",IF($A5=INDIRECT("'"&amp;$A5&amp;"'!$B$1"),IF(VLOOKUP(M$1,INDIRECT("'"&amp;$A5&amp;"'!$A$12:$Z$19"),MATCH("Points (Auto-generate)",INDIRECT("'"&amp;$A5&amp;"'!$A$12:$Z$12"),0),0)="","?",VLOOKUP(M$1,INDIRECT("'"&amp;$A5&amp;"'!$A$12:$Z$19"),MATCH("Points (Auto-generate)",INDIRECT("'"&amp;$A5&amp;"'!$A$12:$Z$12"),0),0)),"ER"))</f>
        <v>?</v>
      </c>
    </row>
    <row r="6" customFormat="false" ht="15" hidden="false" customHeight="true" outlineLevel="0" collapsed="false">
      <c r="A6" s="11" t="s">
        <v>420</v>
      </c>
      <c r="B6" s="11" t="str">
        <f aca="false">VLOOKUP($A6,'PARASTATAL Questions'!$A:$J,3,0)&amp;""</f>
        <v>Urban Planning &amp; Design (UPD)</v>
      </c>
      <c r="C6" s="11" t="str">
        <f aca="false">VLOOKUP($A6,'PARASTATAL Questions'!$A:$J,4,0)&amp;""</f>
        <v>MQ</v>
      </c>
      <c r="D6" s="11" t="str">
        <f aca="false">VLOOKUP($A6,'PARASTATAL Questions'!$A:$J,5,0)&amp;""</f>
        <v>Where multiple statutory or sectoral plans apply to the same territory, does the water supply board and transport corporation ensure consistency with the applicable metropolitan/regional or city master plan/strategic plan for the city?</v>
      </c>
      <c r="E6" s="11" t="str">
        <f aca="false">VLOOKUP($A6,'PARASTATAL Questions'!$A:$J,7,0)&amp;""</f>
        <v/>
      </c>
      <c r="F6" s="11" t="n">
        <f aca="false">VLOOKUP($A6,'PARASTATAL Questions'!$A:$J,6,0)</f>
        <v>10</v>
      </c>
      <c r="G6" s="11" t="str">
        <f aca="false">IF(OR(G7="ER",G8="ER",G9="ER",G10="ER"),"ER",IF(OR(G7="?",G8="?",G9="?",G10="?"),"?",IF(AND(G7="NA",G8="NA",G9="NA",G10="NA"),"NA",SUM(G7,G8,G9,G10)/((G7&lt;&gt;"NA")*$F$7+(G8&lt;&gt;"NA")*$F$8+(G9&lt;&gt;"NA")*$F$9+(G10&lt;&gt;"NA")*$F$10)*$F6)))</f>
        <v>?</v>
      </c>
      <c r="H6" s="11" t="str">
        <f aca="false">IF(OR(H7="ER",H8="ER",H9="ER",H10="ER"),"ER",IF(OR(H7="?",H8="?",H9="?",H10="?"),"?",IF(AND(H7="NA",H8="NA",H9="NA",H10="NA"),"NA",SUM(H7,H8,H9,H10)/((H7&lt;&gt;"NA")*$F$7+(H8&lt;&gt;"NA")*$F$8+(H9&lt;&gt;"NA")*$F$9+(H10&lt;&gt;"NA")*$F$10)*$F6)))</f>
        <v>?</v>
      </c>
      <c r="I6" s="11" t="str">
        <f aca="false">IF(OR(I7="ER",I8="ER",I9="ER",I10="ER"),"ER",IF(OR(I7="?",I8="?",I9="?",I10="?"),"?",IF(AND(I7="NA",I8="NA",I9="NA",I10="NA"),"NA",SUM(I7,I8,I9,I10)/((I7&lt;&gt;"NA")*$F$7+(I8&lt;&gt;"NA")*$F$8+(I9&lt;&gt;"NA")*$F$9+(I10&lt;&gt;"NA")*$F$10)*$F6)))</f>
        <v>NA</v>
      </c>
      <c r="J6" s="11" t="str">
        <f aca="false">IF(OR(J7="ER",J8="ER",J9="ER",J10="ER"),"ER",IF(OR(J7="?",J8="?",J9="?",J10="?"),"?",IF(AND(J7="NA",J8="NA",J9="NA",J10="NA"),"NA",SUM(J7,J8,J9,J10)/((J7&lt;&gt;"NA")*$F$7+(J8&lt;&gt;"NA")*$F$8+(J9&lt;&gt;"NA")*$F$9+(J10&lt;&gt;"NA")*$F$10)*$F6)))</f>
        <v>NA</v>
      </c>
      <c r="K6" s="11" t="str">
        <f aca="false">IF(OR(K7="ER",K8="ER",K9="ER",K10="ER"),"ER",IF(OR(K7="?",K8="?",K9="?",K10="?"),"?",IF(AND(K7="NA",K8="NA",K9="NA",K10="NA"),"NA",SUM(K7,K8,K9,K10)/((K7&lt;&gt;"NA")*$F$7+(K8&lt;&gt;"NA")*$F$8+(K9&lt;&gt;"NA")*$F$9+(K10&lt;&gt;"NA")*$F$10)*$F6)))</f>
        <v>NA</v>
      </c>
      <c r="L6" s="11" t="str">
        <f aca="false">IF(OR(L7="ER",L8="ER",L9="ER",L10="ER"),"ER",IF(OR(L7="?",L8="?",L9="?",L10="?"),"?",IF(AND(L7="NA",L8="NA",L9="NA",L10="NA"),"NA",SUM(L7,L8,L9,L10)/((L7&lt;&gt;"NA")*$F$7+(L8&lt;&gt;"NA")*$F$8+(L9&lt;&gt;"NA")*$F$9+(L10&lt;&gt;"NA")*$F$10)*$F6)))</f>
        <v>NA</v>
      </c>
      <c r="M6" s="11" t="str">
        <f aca="false">IF(OR(M7="ER",M8="ER",M9="ER",M10="ER"),"ER",IF(OR(M7="?",M8="?",M9="?",M10="?"),"?",IF(AND(M7="NA",M8="NA",M9="NA",M10="NA"),"NA",SUM(M7,M8,M9,M10)/((M7&lt;&gt;"NA")*$F$7+(M8&lt;&gt;"NA")*$F$8+(M9&lt;&gt;"NA")*$F$9+(M10&lt;&gt;"NA")*$F$10)*$F6)))</f>
        <v>NA</v>
      </c>
    </row>
    <row r="7" customFormat="false" ht="15" hidden="false" customHeight="true" outlineLevel="0" collapsed="false">
      <c r="A7" s="9" t="s">
        <v>62</v>
      </c>
      <c r="B7" s="9" t="str">
        <f aca="false">VLOOKUP($A7,'PARASTATAL Questions'!$A:$J,3,0)&amp;""</f>
        <v>Urban Planning &amp; Design (UPD)</v>
      </c>
      <c r="C7" s="9" t="str">
        <f aca="false">VLOOKUP($A7,'PARASTATAL Questions'!$A:$J,4,0)&amp;""</f>
        <v>SQ</v>
      </c>
      <c r="D7" s="9" t="str">
        <f aca="false">VLOOKUP($A7,'PARASTATAL Questions'!$A:$J,5,0)&amp;""</f>
        <v>Where multiple statutory or sectoral plans apply to the same territory, is the water board mandated to ensure consistency with the applicable metropolitan/regional or city master plan/strategic plan for the city?</v>
      </c>
      <c r="E7" s="9" t="str">
        <f aca="false">VLOOKUP($A7,'PARASTATAL Questions'!$A:$J,7,0)&amp;""</f>
        <v>Law/Policy</v>
      </c>
      <c r="F7" s="9" t="n">
        <f aca="false">VLOOKUP($A7,'PARASTATAL Questions'!$A:$J,6,0)</f>
        <v>2.5</v>
      </c>
      <c r="G7" s="9" t="n">
        <f aca="true">IF($F7=0,"NA",IF($A7=INDIRECT("'"&amp;$A7&amp;"'!$B$1"),IF(VLOOKUP(G$1,INDIRECT("'"&amp;$A7&amp;"'!$A$12:$Z$19"),MATCH("Points (Auto-generate)",INDIRECT("'"&amp;$A7&amp;"'!$A$12:$Z$12"),0),0)="","?",VLOOKUP(G$1,INDIRECT("'"&amp;$A7&amp;"'!$A$12:$Z$19"),MATCH("Points (Auto-generate)",INDIRECT("'"&amp;$A7&amp;"'!$A$12:$Z$12"),0),0)),"ER"))</f>
        <v>0</v>
      </c>
      <c r="H7" s="9" t="str">
        <f aca="true">IF($F7=0,"NA",IF($A7=INDIRECT("'"&amp;$A7&amp;"'!$B$1"),IF(VLOOKUP(H$1,INDIRECT("'"&amp;$A7&amp;"'!$A$12:$Z$19"),MATCH("Points (Auto-generate)",INDIRECT("'"&amp;$A7&amp;"'!$A$12:$Z$12"),0),0)="","?",VLOOKUP(H$1,INDIRECT("'"&amp;$A7&amp;"'!$A$12:$Z$19"),MATCH("Points (Auto-generate)",INDIRECT("'"&amp;$A7&amp;"'!$A$12:$Z$12"),0),0)),"ER"))</f>
        <v>NA</v>
      </c>
      <c r="I7" s="9" t="str">
        <f aca="true">IF($F7=0,"NA",IF($A7=INDIRECT("'"&amp;$A7&amp;"'!$B$1"),IF(VLOOKUP(I$1,INDIRECT("'"&amp;$A7&amp;"'!$A$12:$Z$19"),MATCH("Points (Auto-generate)",INDIRECT("'"&amp;$A7&amp;"'!$A$12:$Z$12"),0),0)="","?",VLOOKUP(I$1,INDIRECT("'"&amp;$A7&amp;"'!$A$12:$Z$19"),MATCH("Points (Auto-generate)",INDIRECT("'"&amp;$A7&amp;"'!$A$12:$Z$12"),0),0)),"ER"))</f>
        <v>NA</v>
      </c>
      <c r="J7" s="9" t="str">
        <f aca="true">IF($F7=0,"NA",IF($A7=INDIRECT("'"&amp;$A7&amp;"'!$B$1"),IF(VLOOKUP(J$1,INDIRECT("'"&amp;$A7&amp;"'!$A$12:$Z$19"),MATCH("Points (Auto-generate)",INDIRECT("'"&amp;$A7&amp;"'!$A$12:$Z$12"),0),0)="","?",VLOOKUP(J$1,INDIRECT("'"&amp;$A7&amp;"'!$A$12:$Z$19"),MATCH("Points (Auto-generate)",INDIRECT("'"&amp;$A7&amp;"'!$A$12:$Z$12"),0),0)),"ER"))</f>
        <v>NA</v>
      </c>
      <c r="K7" s="9" t="str">
        <f aca="true">IF($F7=0,"NA",IF($A7=INDIRECT("'"&amp;$A7&amp;"'!$B$1"),IF(VLOOKUP(K$1,INDIRECT("'"&amp;$A7&amp;"'!$A$12:$Z$19"),MATCH("Points (Auto-generate)",INDIRECT("'"&amp;$A7&amp;"'!$A$12:$Z$12"),0),0)="","?",VLOOKUP(K$1,INDIRECT("'"&amp;$A7&amp;"'!$A$12:$Z$19"),MATCH("Points (Auto-generate)",INDIRECT("'"&amp;$A7&amp;"'!$A$12:$Z$12"),0),0)),"ER"))</f>
        <v>NA</v>
      </c>
      <c r="L7" s="9" t="str">
        <f aca="true">IF($F7=0,"NA",IF($A7=INDIRECT("'"&amp;$A7&amp;"'!$B$1"),IF(VLOOKUP(L$1,INDIRECT("'"&amp;$A7&amp;"'!$A$12:$Z$19"),MATCH("Points (Auto-generate)",INDIRECT("'"&amp;$A7&amp;"'!$A$12:$Z$12"),0),0)="","?",VLOOKUP(L$1,INDIRECT("'"&amp;$A7&amp;"'!$A$12:$Z$19"),MATCH("Points (Auto-generate)",INDIRECT("'"&amp;$A7&amp;"'!$A$12:$Z$12"),0),0)),"ER"))</f>
        <v>NA</v>
      </c>
      <c r="M7" s="9" t="str">
        <f aca="true">IF($F7=0,"NA",IF($A7=INDIRECT("'"&amp;$A7&amp;"'!$B$1"),IF(VLOOKUP(M$1,INDIRECT("'"&amp;$A7&amp;"'!$A$12:$Z$19"),MATCH("Points (Auto-generate)",INDIRECT("'"&amp;$A7&amp;"'!$A$12:$Z$12"),0),0)="","?",VLOOKUP(M$1,INDIRECT("'"&amp;$A7&amp;"'!$A$12:$Z$19"),MATCH("Points (Auto-generate)",INDIRECT("'"&amp;$A7&amp;"'!$A$12:$Z$12"),0),0)),"ER"))</f>
        <v>NA</v>
      </c>
    </row>
    <row r="8" customFormat="false" ht="15" hidden="false" customHeight="true" outlineLevel="0" collapsed="false">
      <c r="A8" s="9" t="s">
        <v>70</v>
      </c>
      <c r="B8" s="9" t="str">
        <f aca="false">VLOOKUP($A8,'PARASTATAL Questions'!$A:$J,3,0)&amp;""</f>
        <v>Urban Planning &amp; Design (UPD)</v>
      </c>
      <c r="C8" s="9" t="str">
        <f aca="false">VLOOKUP($A8,'PARASTATAL Questions'!$A:$J,4,0)&amp;""</f>
        <v>SQ</v>
      </c>
      <c r="D8" s="9" t="str">
        <f aca="false">VLOOKUP($A8,'PARASTATAL Questions'!$A:$J,5,0)&amp;""</f>
        <v>Where multiple statutory or sectoral plans apply to the same territory, does the water supply board ensure consistency with the applicable metropolitan/regional or city master plan/strategic plan for the city?</v>
      </c>
      <c r="E8" s="9" t="str">
        <f aca="false">VLOOKUP($A8,'PARASTATAL Questions'!$A:$J,7,0)&amp;""</f>
        <v>Implementation</v>
      </c>
      <c r="F8" s="9" t="n">
        <f aca="false">VLOOKUP($A8,'PARASTATAL Questions'!$A:$J,6,0)</f>
        <v>2.5</v>
      </c>
      <c r="G8" s="9" t="str">
        <f aca="true">IF($F8=0,"NA",IF($A8=INDIRECT("'"&amp;$A8&amp;"'!$B$1"),IF(VLOOKUP(G$1,INDIRECT("'"&amp;$A8&amp;"'!$A$12:$Z$19"),MATCH("Points (Auto-generate)",INDIRECT("'"&amp;$A8&amp;"'!$A$12:$Z$12"),0),0)="","?",VLOOKUP(G$1,INDIRECT("'"&amp;$A8&amp;"'!$A$12:$Z$19"),MATCH("Points (Auto-generate)",INDIRECT("'"&amp;$A8&amp;"'!$A$12:$Z$12"),0),0)),"ER"))</f>
        <v>?</v>
      </c>
      <c r="H8" s="9" t="str">
        <f aca="true">IF($F8=0,"NA",IF($A8=INDIRECT("'"&amp;$A8&amp;"'!$B$1"),IF(VLOOKUP(H$1,INDIRECT("'"&amp;$A8&amp;"'!$A$12:$Z$19"),MATCH("Points (Auto-generate)",INDIRECT("'"&amp;$A8&amp;"'!$A$12:$Z$12"),0),0)="","?",VLOOKUP(H$1,INDIRECT("'"&amp;$A8&amp;"'!$A$12:$Z$19"),MATCH("Points (Auto-generate)",INDIRECT("'"&amp;$A8&amp;"'!$A$12:$Z$12"),0),0)),"ER"))</f>
        <v>NA</v>
      </c>
      <c r="I8" s="9" t="str">
        <f aca="true">IF($F8=0,"NA",IF($A8=INDIRECT("'"&amp;$A8&amp;"'!$B$1"),IF(VLOOKUP(I$1,INDIRECT("'"&amp;$A8&amp;"'!$A$12:$Z$19"),MATCH("Points (Auto-generate)",INDIRECT("'"&amp;$A8&amp;"'!$A$12:$Z$12"),0),0)="","?",VLOOKUP(I$1,INDIRECT("'"&amp;$A8&amp;"'!$A$12:$Z$19"),MATCH("Points (Auto-generate)",INDIRECT("'"&amp;$A8&amp;"'!$A$12:$Z$12"),0),0)),"ER"))</f>
        <v>NA</v>
      </c>
      <c r="J8" s="9" t="str">
        <f aca="true">IF($F8=0,"NA",IF($A8=INDIRECT("'"&amp;$A8&amp;"'!$B$1"),IF(VLOOKUP(J$1,INDIRECT("'"&amp;$A8&amp;"'!$A$12:$Z$19"),MATCH("Points (Auto-generate)",INDIRECT("'"&amp;$A8&amp;"'!$A$12:$Z$12"),0),0)="","?",VLOOKUP(J$1,INDIRECT("'"&amp;$A8&amp;"'!$A$12:$Z$19"),MATCH("Points (Auto-generate)",INDIRECT("'"&amp;$A8&amp;"'!$A$12:$Z$12"),0),0)),"ER"))</f>
        <v>NA</v>
      </c>
      <c r="K8" s="9" t="str">
        <f aca="true">IF($F8=0,"NA",IF($A8=INDIRECT("'"&amp;$A8&amp;"'!$B$1"),IF(VLOOKUP(K$1,INDIRECT("'"&amp;$A8&amp;"'!$A$12:$Z$19"),MATCH("Points (Auto-generate)",INDIRECT("'"&amp;$A8&amp;"'!$A$12:$Z$12"),0),0)="","?",VLOOKUP(K$1,INDIRECT("'"&amp;$A8&amp;"'!$A$12:$Z$19"),MATCH("Points (Auto-generate)",INDIRECT("'"&amp;$A8&amp;"'!$A$12:$Z$12"),0),0)),"ER"))</f>
        <v>NA</v>
      </c>
      <c r="L8" s="9" t="str">
        <f aca="true">IF($F8=0,"NA",IF($A8=INDIRECT("'"&amp;$A8&amp;"'!$B$1"),IF(VLOOKUP(L$1,INDIRECT("'"&amp;$A8&amp;"'!$A$12:$Z$19"),MATCH("Points (Auto-generate)",INDIRECT("'"&amp;$A8&amp;"'!$A$12:$Z$12"),0),0)="","?",VLOOKUP(L$1,INDIRECT("'"&amp;$A8&amp;"'!$A$12:$Z$19"),MATCH("Points (Auto-generate)",INDIRECT("'"&amp;$A8&amp;"'!$A$12:$Z$12"),0),0)),"ER"))</f>
        <v>NA</v>
      </c>
      <c r="M8" s="9" t="str">
        <f aca="true">IF($F8=0,"NA",IF($A8=INDIRECT("'"&amp;$A8&amp;"'!$B$1"),IF(VLOOKUP(M$1,INDIRECT("'"&amp;$A8&amp;"'!$A$12:$Z$19"),MATCH("Points (Auto-generate)",INDIRECT("'"&amp;$A8&amp;"'!$A$12:$Z$12"),0),0)="","?",VLOOKUP(M$1,INDIRECT("'"&amp;$A8&amp;"'!$A$12:$Z$19"),MATCH("Points (Auto-generate)",INDIRECT("'"&amp;$A8&amp;"'!$A$12:$Z$12"),0),0)),"ER"))</f>
        <v>NA</v>
      </c>
    </row>
    <row r="9" customFormat="false" ht="15" hidden="false" customHeight="true" outlineLevel="0" collapsed="false">
      <c r="A9" s="9" t="s">
        <v>77</v>
      </c>
      <c r="B9" s="9" t="str">
        <f aca="false">VLOOKUP($A9,'PARASTATAL Questions'!$A:$J,3,0)&amp;""</f>
        <v>Urban Planning &amp; Design (UPD)</v>
      </c>
      <c r="C9" s="9" t="str">
        <f aca="false">VLOOKUP($A9,'PARASTATAL Questions'!$A:$J,4,0)&amp;""</f>
        <v>SQ</v>
      </c>
      <c r="D9" s="9" t="str">
        <f aca="false">VLOOKUP($A9,'PARASTATAL Questions'!$A:$J,5,0)&amp;""</f>
        <v>Where multiple statutory or sectoral plans apply to the same territory, is the transport corporation mandated to ensure consistency with the applicable metropolitan/regional or city master plan/strategic plan for the city?</v>
      </c>
      <c r="E9" s="9" t="str">
        <f aca="false">VLOOKUP($A9,'PARASTATAL Questions'!$A:$J,7,0)&amp;""</f>
        <v>Law/Policy</v>
      </c>
      <c r="F9" s="9" t="n">
        <f aca="false">VLOOKUP($A9,'PARASTATAL Questions'!$A:$J,6,0)</f>
        <v>2.5</v>
      </c>
      <c r="G9" s="9" t="str">
        <f aca="true">IF($F9=0,"NA",IF($A9=INDIRECT("'"&amp;$A9&amp;"'!$B$1"),IF(VLOOKUP(G$1,INDIRECT("'"&amp;$A9&amp;"'!$A$12:$Z$19"),MATCH("Points (Auto-generate)",INDIRECT("'"&amp;$A9&amp;"'!$A$12:$Z$12"),0),0)="","?",VLOOKUP(G$1,INDIRECT("'"&amp;$A9&amp;"'!$A$12:$Z$19"),MATCH("Points (Auto-generate)",INDIRECT("'"&amp;$A9&amp;"'!$A$12:$Z$12"),0),0)),"ER"))</f>
        <v>NA</v>
      </c>
      <c r="H9" s="9" t="n">
        <f aca="true">IF($F9=0,"NA",IF($A9=INDIRECT("'"&amp;$A9&amp;"'!$B$1"),IF(VLOOKUP(H$1,INDIRECT("'"&amp;$A9&amp;"'!$A$12:$Z$19"),MATCH("Points (Auto-generate)",INDIRECT("'"&amp;$A9&amp;"'!$A$12:$Z$12"),0),0)="","?",VLOOKUP(H$1,INDIRECT("'"&amp;$A9&amp;"'!$A$12:$Z$19"),MATCH("Points (Auto-generate)",INDIRECT("'"&amp;$A9&amp;"'!$A$12:$Z$12"),0),0)),"ER"))</f>
        <v>2.5</v>
      </c>
      <c r="I9" s="9" t="str">
        <f aca="true">IF($F9=0,"NA",IF($A9=INDIRECT("'"&amp;$A9&amp;"'!$B$1"),IF(VLOOKUP(I$1,INDIRECT("'"&amp;$A9&amp;"'!$A$12:$Z$19"),MATCH("Points (Auto-generate)",INDIRECT("'"&amp;$A9&amp;"'!$A$12:$Z$12"),0),0)="","?",VLOOKUP(I$1,INDIRECT("'"&amp;$A9&amp;"'!$A$12:$Z$19"),MATCH("Points (Auto-generate)",INDIRECT("'"&amp;$A9&amp;"'!$A$12:$Z$12"),0),0)),"ER"))</f>
        <v>NA</v>
      </c>
      <c r="J9" s="9" t="str">
        <f aca="true">IF($F9=0,"NA",IF($A9=INDIRECT("'"&amp;$A9&amp;"'!$B$1"),IF(VLOOKUP(J$1,INDIRECT("'"&amp;$A9&amp;"'!$A$12:$Z$19"),MATCH("Points (Auto-generate)",INDIRECT("'"&amp;$A9&amp;"'!$A$12:$Z$12"),0),0)="","?",VLOOKUP(J$1,INDIRECT("'"&amp;$A9&amp;"'!$A$12:$Z$19"),MATCH("Points (Auto-generate)",INDIRECT("'"&amp;$A9&amp;"'!$A$12:$Z$12"),0),0)),"ER"))</f>
        <v>NA</v>
      </c>
      <c r="K9" s="9" t="str">
        <f aca="true">IF($F9=0,"NA",IF($A9=INDIRECT("'"&amp;$A9&amp;"'!$B$1"),IF(VLOOKUP(K$1,INDIRECT("'"&amp;$A9&amp;"'!$A$12:$Z$19"),MATCH("Points (Auto-generate)",INDIRECT("'"&amp;$A9&amp;"'!$A$12:$Z$12"),0),0)="","?",VLOOKUP(K$1,INDIRECT("'"&amp;$A9&amp;"'!$A$12:$Z$19"),MATCH("Points (Auto-generate)",INDIRECT("'"&amp;$A9&amp;"'!$A$12:$Z$12"),0),0)),"ER"))</f>
        <v>NA</v>
      </c>
      <c r="L9" s="9" t="str">
        <f aca="true">IF($F9=0,"NA",IF($A9=INDIRECT("'"&amp;$A9&amp;"'!$B$1"),IF(VLOOKUP(L$1,INDIRECT("'"&amp;$A9&amp;"'!$A$12:$Z$19"),MATCH("Points (Auto-generate)",INDIRECT("'"&amp;$A9&amp;"'!$A$12:$Z$12"),0),0)="","?",VLOOKUP(L$1,INDIRECT("'"&amp;$A9&amp;"'!$A$12:$Z$19"),MATCH("Points (Auto-generate)",INDIRECT("'"&amp;$A9&amp;"'!$A$12:$Z$12"),0),0)),"ER"))</f>
        <v>NA</v>
      </c>
      <c r="M9" s="9" t="str">
        <f aca="true">IF($F9=0,"NA",IF($A9=INDIRECT("'"&amp;$A9&amp;"'!$B$1"),IF(VLOOKUP(M$1,INDIRECT("'"&amp;$A9&amp;"'!$A$12:$Z$19"),MATCH("Points (Auto-generate)",INDIRECT("'"&amp;$A9&amp;"'!$A$12:$Z$12"),0),0)="","?",VLOOKUP(M$1,INDIRECT("'"&amp;$A9&amp;"'!$A$12:$Z$19"),MATCH("Points (Auto-generate)",INDIRECT("'"&amp;$A9&amp;"'!$A$12:$Z$12"),0),0)),"ER"))</f>
        <v>NA</v>
      </c>
    </row>
    <row r="10" customFormat="false" ht="15" hidden="false" customHeight="true" outlineLevel="0" collapsed="false">
      <c r="A10" s="9" t="s">
        <v>82</v>
      </c>
      <c r="B10" s="9" t="str">
        <f aca="false">VLOOKUP($A10,'PARASTATAL Questions'!$A:$J,3,0)&amp;""</f>
        <v>Urban Planning &amp; Design (UPD)</v>
      </c>
      <c r="C10" s="9" t="str">
        <f aca="false">VLOOKUP($A10,'PARASTATAL Questions'!$A:$J,4,0)&amp;""</f>
        <v>SQ</v>
      </c>
      <c r="D10" s="9" t="str">
        <f aca="false">VLOOKUP($A10,'PARASTATAL Questions'!$A:$J,5,0)&amp;""</f>
        <v>Where multiple statutory or sectoral plans apply to the same territory, does the transport corporation ensure consistency with the applicable metropolitan/regional or city master plan/strategic plan for the city?</v>
      </c>
      <c r="E10" s="9" t="str">
        <f aca="false">VLOOKUP($A10,'PARASTATAL Questions'!$A:$J,7,0)&amp;""</f>
        <v>Implementation</v>
      </c>
      <c r="F10" s="9" t="n">
        <f aca="false">VLOOKUP($A10,'PARASTATAL Questions'!$A:$J,6,0)</f>
        <v>2.5</v>
      </c>
      <c r="G10" s="9" t="str">
        <f aca="true">IF($F10=0,"NA",IF($A10=INDIRECT("'"&amp;$A10&amp;"'!$B$1"),IF(VLOOKUP(G$1,INDIRECT("'"&amp;$A10&amp;"'!$A$12:$Z$19"),MATCH("Points (Auto-generate)",INDIRECT("'"&amp;$A10&amp;"'!$A$12:$Z$12"),0),0)="","?",VLOOKUP(G$1,INDIRECT("'"&amp;$A10&amp;"'!$A$12:$Z$19"),MATCH("Points (Auto-generate)",INDIRECT("'"&amp;$A10&amp;"'!$A$12:$Z$12"),0),0)),"ER"))</f>
        <v>NA</v>
      </c>
      <c r="H10" s="9" t="str">
        <f aca="true">IF($F10=0,"NA",IF($A10=INDIRECT("'"&amp;$A10&amp;"'!$B$1"),IF(VLOOKUP(H$1,INDIRECT("'"&amp;$A10&amp;"'!$A$12:$Z$19"),MATCH("Points (Auto-generate)",INDIRECT("'"&amp;$A10&amp;"'!$A$12:$Z$12"),0),0)="","?",VLOOKUP(H$1,INDIRECT("'"&amp;$A10&amp;"'!$A$12:$Z$19"),MATCH("Points (Auto-generate)",INDIRECT("'"&amp;$A10&amp;"'!$A$12:$Z$12"),0),0)),"ER"))</f>
        <v>?</v>
      </c>
      <c r="I10" s="9" t="str">
        <f aca="true">IF($F10=0,"NA",IF($A10=INDIRECT("'"&amp;$A10&amp;"'!$B$1"),IF(VLOOKUP(I$1,INDIRECT("'"&amp;$A10&amp;"'!$A$12:$Z$19"),MATCH("Points (Auto-generate)",INDIRECT("'"&amp;$A10&amp;"'!$A$12:$Z$12"),0),0)="","?",VLOOKUP(I$1,INDIRECT("'"&amp;$A10&amp;"'!$A$12:$Z$19"),MATCH("Points (Auto-generate)",INDIRECT("'"&amp;$A10&amp;"'!$A$12:$Z$12"),0),0)),"ER"))</f>
        <v>NA</v>
      </c>
      <c r="J10" s="9" t="str">
        <f aca="true">IF($F10=0,"NA",IF($A10=INDIRECT("'"&amp;$A10&amp;"'!$B$1"),IF(VLOOKUP(J$1,INDIRECT("'"&amp;$A10&amp;"'!$A$12:$Z$19"),MATCH("Points (Auto-generate)",INDIRECT("'"&amp;$A10&amp;"'!$A$12:$Z$12"),0),0)="","?",VLOOKUP(J$1,INDIRECT("'"&amp;$A10&amp;"'!$A$12:$Z$19"),MATCH("Points (Auto-generate)",INDIRECT("'"&amp;$A10&amp;"'!$A$12:$Z$12"),0),0)),"ER"))</f>
        <v>NA</v>
      </c>
      <c r="K10" s="9" t="str">
        <f aca="true">IF($F10=0,"NA",IF($A10=INDIRECT("'"&amp;$A10&amp;"'!$B$1"),IF(VLOOKUP(K$1,INDIRECT("'"&amp;$A10&amp;"'!$A$12:$Z$19"),MATCH("Points (Auto-generate)",INDIRECT("'"&amp;$A10&amp;"'!$A$12:$Z$12"),0),0)="","?",VLOOKUP(K$1,INDIRECT("'"&amp;$A10&amp;"'!$A$12:$Z$19"),MATCH("Points (Auto-generate)",INDIRECT("'"&amp;$A10&amp;"'!$A$12:$Z$12"),0),0)),"ER"))</f>
        <v>NA</v>
      </c>
      <c r="L10" s="9" t="str">
        <f aca="true">IF($F10=0,"NA",IF($A10=INDIRECT("'"&amp;$A10&amp;"'!$B$1"),IF(VLOOKUP(L$1,INDIRECT("'"&amp;$A10&amp;"'!$A$12:$Z$19"),MATCH("Points (Auto-generate)",INDIRECT("'"&amp;$A10&amp;"'!$A$12:$Z$12"),0),0)="","?",VLOOKUP(L$1,INDIRECT("'"&amp;$A10&amp;"'!$A$12:$Z$19"),MATCH("Points (Auto-generate)",INDIRECT("'"&amp;$A10&amp;"'!$A$12:$Z$12"),0),0)),"ER"))</f>
        <v>NA</v>
      </c>
      <c r="M10" s="9" t="str">
        <f aca="true">IF($F10=0,"NA",IF($A10=INDIRECT("'"&amp;$A10&amp;"'!$B$1"),IF(VLOOKUP(M$1,INDIRECT("'"&amp;$A10&amp;"'!$A$12:$Z$19"),MATCH("Points (Auto-generate)",INDIRECT("'"&amp;$A10&amp;"'!$A$12:$Z$12"),0),0)="","?",VLOOKUP(M$1,INDIRECT("'"&amp;$A10&amp;"'!$A$12:$Z$19"),MATCH("Points (Auto-generate)",INDIRECT("'"&amp;$A10&amp;"'!$A$12:$Z$12"),0),0)),"ER"))</f>
        <v>NA</v>
      </c>
    </row>
    <row r="11" customFormat="false" ht="15" hidden="false" customHeight="true" outlineLevel="0" collapsed="false">
      <c r="A11" s="11" t="s">
        <v>421</v>
      </c>
      <c r="B11" s="11" t="str">
        <f aca="false">VLOOKUP($A11,'PARASTATAL Questions'!$A:$J,3,0)&amp;""</f>
        <v>Urban Planning &amp; Design (UPD)</v>
      </c>
      <c r="C11" s="11" t="str">
        <f aca="false">VLOOKUP($A11,'PARASTATAL Questions'!$A:$J,4,0)&amp;""</f>
        <v>MQ</v>
      </c>
      <c r="D11" s="11" t="str">
        <f aca="false">VLOOKUP($A11,'PARASTATAL Questions'!$A:$J,5,0)&amp;""</f>
        <v>Are the needs of women, the urban poor, and other vulnerable groups explicitly considered in the water board’s planning, service delivery or major investment decisions?</v>
      </c>
      <c r="E11" s="11" t="str">
        <f aca="false">VLOOKUP($A11,'PARASTATAL Questions'!$A:$J,7,0)&amp;""</f>
        <v>Law/Policy</v>
      </c>
      <c r="F11" s="11" t="n">
        <f aca="false">VLOOKUP($A11,'PARASTATAL Questions'!$A:$J,6,0)</f>
        <v>10</v>
      </c>
      <c r="G11" s="11" t="n">
        <f aca="false">IF(OR(G12="ER",G13="ER"),"ER",IF(OR(G12="?",G13="?"),"?",IF(AND(G12="NA",G13="NA"),"NA",SUM(G12,G13)/((G12&lt;&gt;"NA")*$F$12+(G13&lt;&gt;"NA")*$F$13)*$F11)))</f>
        <v>5</v>
      </c>
      <c r="H11" s="11" t="str">
        <f aca="false">IF(OR(H12="ER",H13="ER"),"ER",IF(OR(H12="?",H13="?"),"?",IF(AND(H12="NA",H13="NA"),"NA",SUM(H12,H13)/((H12&lt;&gt;"NA")*$F$12+(H13&lt;&gt;"NA")*$F$13)*$F11)))</f>
        <v>NA</v>
      </c>
      <c r="I11" s="11" t="str">
        <f aca="false">IF(OR(I12="ER",I13="ER"),"ER",IF(OR(I12="?",I13="?"),"?",IF(AND(I12="NA",I13="NA"),"NA",SUM(I12,I13)/((I12&lt;&gt;"NA")*$F$12+(I13&lt;&gt;"NA")*$F$13)*$F11)))</f>
        <v>NA</v>
      </c>
      <c r="J11" s="11" t="str">
        <f aca="false">IF(OR(J12="ER",J13="ER"),"ER",IF(OR(J12="?",J13="?"),"?",IF(AND(J12="NA",J13="NA"),"NA",SUM(J12,J13)/((J12&lt;&gt;"NA")*$F$12+(J13&lt;&gt;"NA")*$F$13)*$F11)))</f>
        <v>NA</v>
      </c>
      <c r="K11" s="11" t="str">
        <f aca="false">IF(OR(K12="ER",K13="ER"),"ER",IF(OR(K12="?",K13="?"),"?",IF(AND(K12="NA",K13="NA"),"NA",SUM(K12,K13)/((K12&lt;&gt;"NA")*$F$12+(K13&lt;&gt;"NA")*$F$13)*$F11)))</f>
        <v>NA</v>
      </c>
      <c r="L11" s="11" t="str">
        <f aca="false">IF(OR(L12="ER",L13="ER"),"ER",IF(OR(L12="?",L13="?"),"?",IF(AND(L12="NA",L13="NA"),"NA",SUM(L12,L13)/((L12&lt;&gt;"NA")*$F$12+(L13&lt;&gt;"NA")*$F$13)*$F11)))</f>
        <v>NA</v>
      </c>
      <c r="M11" s="11" t="str">
        <f aca="false">IF(OR(M12="ER",M13="ER"),"ER",IF(OR(M12="?",M13="?"),"?",IF(AND(M12="NA",M13="NA"),"NA",SUM(M12,M13)/((M12&lt;&gt;"NA")*$F$12+(M13&lt;&gt;"NA")*$F$13)*$F11)))</f>
        <v>NA</v>
      </c>
    </row>
    <row r="12" customFormat="false" ht="15" hidden="false" customHeight="true" outlineLevel="0" collapsed="false">
      <c r="A12" s="9" t="s">
        <v>85</v>
      </c>
      <c r="B12" s="9" t="str">
        <f aca="false">VLOOKUP($A12,'PARASTATAL Questions'!$A:$J,3,0)&amp;""</f>
        <v>Urban Planning &amp; Design (UPD)</v>
      </c>
      <c r="C12" s="9" t="str">
        <f aca="false">VLOOKUP($A12,'PARASTATAL Questions'!$A:$J,4,0)&amp;""</f>
        <v>SQ</v>
      </c>
      <c r="D12" s="9" t="str">
        <f aca="false">VLOOKUP($A12,'PARASTATAL Questions'!$A:$J,5,0)&amp;""</f>
        <v>Is the water supply board mandated to consider the needs of women, the urban poor and other vulnerable groups in decisions relating to access, affordability and delivery of water and sanitation services?</v>
      </c>
      <c r="E12" s="9" t="str">
        <f aca="false">VLOOKUP($A12,'PARASTATAL Questions'!$A:$J,7,0)&amp;""</f>
        <v>Law/Policy</v>
      </c>
      <c r="F12" s="9" t="n">
        <f aca="false">VLOOKUP($A12,'PARASTATAL Questions'!$A:$J,6,0)</f>
        <v>5</v>
      </c>
      <c r="G12" s="9" t="n">
        <f aca="true">IF($F12=0,"NA",IF($A12=INDIRECT("'"&amp;$A12&amp;"'!$B$1"),IF(VLOOKUP(G$1,INDIRECT("'"&amp;$A12&amp;"'!$A$12:$Z$19"),MATCH("Points (Auto-generate)",INDIRECT("'"&amp;$A12&amp;"'!$A$12:$Z$12"),0),0)="","?",VLOOKUP(G$1,INDIRECT("'"&amp;$A12&amp;"'!$A$12:$Z$19"),MATCH("Points (Auto-generate)",INDIRECT("'"&amp;$A12&amp;"'!$A$12:$Z$12"),0),0)),"ER"))</f>
        <v>2.5</v>
      </c>
      <c r="H12" s="9" t="str">
        <f aca="true">IF($F12=0,"NA",IF($A12=INDIRECT("'"&amp;$A12&amp;"'!$B$1"),IF(VLOOKUP(H$1,INDIRECT("'"&amp;$A12&amp;"'!$A$12:$Z$19"),MATCH("Points (Auto-generate)",INDIRECT("'"&amp;$A12&amp;"'!$A$12:$Z$12"),0),0)="","?",VLOOKUP(H$1,INDIRECT("'"&amp;$A12&amp;"'!$A$12:$Z$19"),MATCH("Points (Auto-generate)",INDIRECT("'"&amp;$A12&amp;"'!$A$12:$Z$12"),0),0)),"ER"))</f>
        <v>NA</v>
      </c>
      <c r="I12" s="9" t="str">
        <f aca="true">IF($F12=0,"NA",IF($A12=INDIRECT("'"&amp;$A12&amp;"'!$B$1"),IF(VLOOKUP(I$1,INDIRECT("'"&amp;$A12&amp;"'!$A$12:$Z$19"),MATCH("Points (Auto-generate)",INDIRECT("'"&amp;$A12&amp;"'!$A$12:$Z$12"),0),0)="","?",VLOOKUP(I$1,INDIRECT("'"&amp;$A12&amp;"'!$A$12:$Z$19"),MATCH("Points (Auto-generate)",INDIRECT("'"&amp;$A12&amp;"'!$A$12:$Z$12"),0),0)),"ER"))</f>
        <v>NA</v>
      </c>
      <c r="J12" s="9" t="str">
        <f aca="true">IF($F12=0,"NA",IF($A12=INDIRECT("'"&amp;$A12&amp;"'!$B$1"),IF(VLOOKUP(J$1,INDIRECT("'"&amp;$A12&amp;"'!$A$12:$Z$19"),MATCH("Points (Auto-generate)",INDIRECT("'"&amp;$A12&amp;"'!$A$12:$Z$12"),0),0)="","?",VLOOKUP(J$1,INDIRECT("'"&amp;$A12&amp;"'!$A$12:$Z$19"),MATCH("Points (Auto-generate)",INDIRECT("'"&amp;$A12&amp;"'!$A$12:$Z$12"),0),0)),"ER"))</f>
        <v>NA</v>
      </c>
      <c r="K12" s="9" t="str">
        <f aca="true">IF($F12=0,"NA",IF($A12=INDIRECT("'"&amp;$A12&amp;"'!$B$1"),IF(VLOOKUP(K$1,INDIRECT("'"&amp;$A12&amp;"'!$A$12:$Z$19"),MATCH("Points (Auto-generate)",INDIRECT("'"&amp;$A12&amp;"'!$A$12:$Z$12"),0),0)="","?",VLOOKUP(K$1,INDIRECT("'"&amp;$A12&amp;"'!$A$12:$Z$19"),MATCH("Points (Auto-generate)",INDIRECT("'"&amp;$A12&amp;"'!$A$12:$Z$12"),0),0)),"ER"))</f>
        <v>NA</v>
      </c>
      <c r="L12" s="9" t="str">
        <f aca="true">IF($F12=0,"NA",IF($A12=INDIRECT("'"&amp;$A12&amp;"'!$B$1"),IF(VLOOKUP(L$1,INDIRECT("'"&amp;$A12&amp;"'!$A$12:$Z$19"),MATCH("Points (Auto-generate)",INDIRECT("'"&amp;$A12&amp;"'!$A$12:$Z$12"),0),0)="","?",VLOOKUP(L$1,INDIRECT("'"&amp;$A12&amp;"'!$A$12:$Z$19"),MATCH("Points (Auto-generate)",INDIRECT("'"&amp;$A12&amp;"'!$A$12:$Z$12"),0),0)),"ER"))</f>
        <v>NA</v>
      </c>
      <c r="M12" s="9" t="str">
        <f aca="true">IF($F12=0,"NA",IF($A12=INDIRECT("'"&amp;$A12&amp;"'!$B$1"),IF(VLOOKUP(M$1,INDIRECT("'"&amp;$A12&amp;"'!$A$12:$Z$19"),MATCH("Points (Auto-generate)",INDIRECT("'"&amp;$A12&amp;"'!$A$12:$Z$12"),0),0)="","?",VLOOKUP(M$1,INDIRECT("'"&amp;$A12&amp;"'!$A$12:$Z$19"),MATCH("Points (Auto-generate)",INDIRECT("'"&amp;$A12&amp;"'!$A$12:$Z$12"),0),0)),"ER"))</f>
        <v>NA</v>
      </c>
    </row>
    <row r="13" customFormat="false" ht="15" hidden="false" customHeight="true" outlineLevel="0" collapsed="false">
      <c r="A13" s="9" t="s">
        <v>89</v>
      </c>
      <c r="B13" s="9" t="str">
        <f aca="false">VLOOKUP($A13,'PARASTATAL Questions'!$A:$J,3,0)&amp;""</f>
        <v>Urban Planning &amp; Design (UPD)</v>
      </c>
      <c r="C13" s="9" t="str">
        <f aca="false">VLOOKUP($A13,'PARASTATAL Questions'!$A:$J,4,0)&amp;""</f>
        <v>SQ</v>
      </c>
      <c r="D13" s="9" t="str">
        <f aca="false">VLOOKUP($A13,'PARASTATAL Questions'!$A:$J,5,0)&amp;""</f>
        <v>Does the water supply board actually consider the needs of women, the urban poor and other vulnerable groups in decisions relating to access, affordability and delivery of water and sanitation services?</v>
      </c>
      <c r="E13" s="9" t="str">
        <f aca="false">VLOOKUP($A13,'PARASTATAL Questions'!$A:$J,7,0)&amp;""</f>
        <v>Implementation</v>
      </c>
      <c r="F13" s="9" t="n">
        <f aca="false">VLOOKUP($A13,'PARASTATAL Questions'!$A:$J,6,0)</f>
        <v>5</v>
      </c>
      <c r="G13" s="9" t="n">
        <f aca="true">IF($F13=0,"NA",IF($A13=INDIRECT("'"&amp;$A13&amp;"'!$B$1"),IF(VLOOKUP(G$1,INDIRECT("'"&amp;$A13&amp;"'!$A$12:$Z$19"),MATCH("Points (Auto-generate)",INDIRECT("'"&amp;$A13&amp;"'!$A$12:$Z$12"),0),0)="","?",VLOOKUP(G$1,INDIRECT("'"&amp;$A13&amp;"'!$A$12:$Z$19"),MATCH("Points (Auto-generate)",INDIRECT("'"&amp;$A13&amp;"'!$A$12:$Z$12"),0),0)),"ER"))</f>
        <v>2.5</v>
      </c>
      <c r="H13" s="9" t="str">
        <f aca="true">IF($F13=0,"NA",IF($A13=INDIRECT("'"&amp;$A13&amp;"'!$B$1"),IF(VLOOKUP(H$1,INDIRECT("'"&amp;$A13&amp;"'!$A$12:$Z$19"),MATCH("Points (Auto-generate)",INDIRECT("'"&amp;$A13&amp;"'!$A$12:$Z$12"),0),0)="","?",VLOOKUP(H$1,INDIRECT("'"&amp;$A13&amp;"'!$A$12:$Z$19"),MATCH("Points (Auto-generate)",INDIRECT("'"&amp;$A13&amp;"'!$A$12:$Z$12"),0),0)),"ER"))</f>
        <v>NA</v>
      </c>
      <c r="I13" s="9" t="str">
        <f aca="true">IF($F13=0,"NA",IF($A13=INDIRECT("'"&amp;$A13&amp;"'!$B$1"),IF(VLOOKUP(I$1,INDIRECT("'"&amp;$A13&amp;"'!$A$12:$Z$19"),MATCH("Points (Auto-generate)",INDIRECT("'"&amp;$A13&amp;"'!$A$12:$Z$12"),0),0)="","?",VLOOKUP(I$1,INDIRECT("'"&amp;$A13&amp;"'!$A$12:$Z$19"),MATCH("Points (Auto-generate)",INDIRECT("'"&amp;$A13&amp;"'!$A$12:$Z$12"),0),0)),"ER"))</f>
        <v>NA</v>
      </c>
      <c r="J13" s="9" t="str">
        <f aca="true">IF($F13=0,"NA",IF($A13=INDIRECT("'"&amp;$A13&amp;"'!$B$1"),IF(VLOOKUP(J$1,INDIRECT("'"&amp;$A13&amp;"'!$A$12:$Z$19"),MATCH("Points (Auto-generate)",INDIRECT("'"&amp;$A13&amp;"'!$A$12:$Z$12"),0),0)="","?",VLOOKUP(J$1,INDIRECT("'"&amp;$A13&amp;"'!$A$12:$Z$19"),MATCH("Points (Auto-generate)",INDIRECT("'"&amp;$A13&amp;"'!$A$12:$Z$12"),0),0)),"ER"))</f>
        <v>NA</v>
      </c>
      <c r="K13" s="9" t="str">
        <f aca="true">IF($F13=0,"NA",IF($A13=INDIRECT("'"&amp;$A13&amp;"'!$B$1"),IF(VLOOKUP(K$1,INDIRECT("'"&amp;$A13&amp;"'!$A$12:$Z$19"),MATCH("Points (Auto-generate)",INDIRECT("'"&amp;$A13&amp;"'!$A$12:$Z$12"),0),0)="","?",VLOOKUP(K$1,INDIRECT("'"&amp;$A13&amp;"'!$A$12:$Z$19"),MATCH("Points (Auto-generate)",INDIRECT("'"&amp;$A13&amp;"'!$A$12:$Z$12"),0),0)),"ER"))</f>
        <v>NA</v>
      </c>
      <c r="L13" s="9" t="str">
        <f aca="true">IF($F13=0,"NA",IF($A13=INDIRECT("'"&amp;$A13&amp;"'!$B$1"),IF(VLOOKUP(L$1,INDIRECT("'"&amp;$A13&amp;"'!$A$12:$Z$19"),MATCH("Points (Auto-generate)",INDIRECT("'"&amp;$A13&amp;"'!$A$12:$Z$12"),0),0)="","?",VLOOKUP(L$1,INDIRECT("'"&amp;$A13&amp;"'!$A$12:$Z$19"),MATCH("Points (Auto-generate)",INDIRECT("'"&amp;$A13&amp;"'!$A$12:$Z$12"),0),0)),"ER"))</f>
        <v>NA</v>
      </c>
      <c r="M13" s="9" t="str">
        <f aca="true">IF($F13=0,"NA",IF($A13=INDIRECT("'"&amp;$A13&amp;"'!$B$1"),IF(VLOOKUP(M$1,INDIRECT("'"&amp;$A13&amp;"'!$A$12:$Z$19"),MATCH("Points (Auto-generate)",INDIRECT("'"&amp;$A13&amp;"'!$A$12:$Z$12"),0),0)="","?",VLOOKUP(M$1,INDIRECT("'"&amp;$A13&amp;"'!$A$12:$Z$19"),MATCH("Points (Auto-generate)",INDIRECT("'"&amp;$A13&amp;"'!$A$12:$Z$12"),0),0)),"ER"))</f>
        <v>NA</v>
      </c>
    </row>
    <row r="14" customFormat="false" ht="15" hidden="false" customHeight="true" outlineLevel="0" collapsed="false">
      <c r="A14" s="11" t="s">
        <v>422</v>
      </c>
      <c r="B14" s="11" t="str">
        <f aca="false">VLOOKUP($A14,'PARASTATAL Questions'!$A:$J,3,0)&amp;""</f>
        <v>Urban Planning &amp; Design (UPD)</v>
      </c>
      <c r="C14" s="11" t="str">
        <f aca="false">VLOOKUP($A14,'PARASTATAL Questions'!$A:$J,4,0)&amp;""</f>
        <v>MQ</v>
      </c>
      <c r="D14" s="11" t="str">
        <f aca="false">VLOOKUP($A14,'PARASTATAL Questions'!$A:$J,5,0)&amp;""</f>
        <v>Are the needs of women, the urban poor, and other vulnerable groups explicitly considered in the transport Corporation’s planning, service delivery or major investment decisions?</v>
      </c>
      <c r="E14" s="11" t="str">
        <f aca="false">VLOOKUP($A14,'PARASTATAL Questions'!$A:$J,7,0)&amp;""</f>
        <v/>
      </c>
      <c r="F14" s="11" t="n">
        <f aca="false">VLOOKUP($A14,'PARASTATAL Questions'!$A:$J,6,0)</f>
        <v>10</v>
      </c>
      <c r="G14" s="11" t="str">
        <f aca="false">IF(OR(G15="ER",G16="ER"),"ER",IF(OR(G15="?",G16="?"),"?",IF(AND(G15="NA",G16="NA"),"NA",SUM(G15,G16)/((G15&lt;&gt;"NA")*$F$15+(G16&lt;&gt;"NA")*$F$16)*$F14)))</f>
        <v>NA</v>
      </c>
      <c r="H14" s="11" t="str">
        <f aca="false">IF(OR(H15="ER",H16="ER"),"ER",IF(OR(H15="?",H16="?"),"?",IF(AND(H15="NA",H16="NA"),"NA",SUM(H15,H16)/((H15&lt;&gt;"NA")*$F$15+(H16&lt;&gt;"NA")*$F$16)*$F14)))</f>
        <v>?</v>
      </c>
      <c r="I14" s="11" t="str">
        <f aca="false">IF(OR(I15="ER",I16="ER"),"ER",IF(OR(I15="?",I16="?"),"?",IF(AND(I15="NA",I16="NA"),"NA",SUM(I15,I16)/((I15&lt;&gt;"NA")*$F$15+(I16&lt;&gt;"NA")*$F$16)*$F14)))</f>
        <v>NA</v>
      </c>
      <c r="J14" s="11" t="str">
        <f aca="false">IF(OR(J15="ER",J16="ER"),"ER",IF(OR(J15="?",J16="?"),"?",IF(AND(J15="NA",J16="NA"),"NA",SUM(J15,J16)/((J15&lt;&gt;"NA")*$F$15+(J16&lt;&gt;"NA")*$F$16)*$F14)))</f>
        <v>NA</v>
      </c>
      <c r="K14" s="11" t="str">
        <f aca="false">IF(OR(K15="ER",K16="ER"),"ER",IF(OR(K15="?",K16="?"),"?",IF(AND(K15="NA",K16="NA"),"NA",SUM(K15,K16)/((K15&lt;&gt;"NA")*$F$15+(K16&lt;&gt;"NA")*$F$16)*$F14)))</f>
        <v>NA</v>
      </c>
      <c r="L14" s="11" t="str">
        <f aca="false">IF(OR(L15="ER",L16="ER"),"ER",IF(OR(L15="?",L16="?"),"?",IF(AND(L15="NA",L16="NA"),"NA",SUM(L15,L16)/((L15&lt;&gt;"NA")*$F$15+(L16&lt;&gt;"NA")*$F$16)*$F14)))</f>
        <v>NA</v>
      </c>
      <c r="M14" s="11" t="str">
        <f aca="false">IF(OR(M15="ER",M16="ER"),"ER",IF(OR(M15="?",M16="?"),"?",IF(AND(M15="NA",M16="NA"),"NA",SUM(M15,M16)/((M15&lt;&gt;"NA")*$F$15+(M16&lt;&gt;"NA")*$F$16)*$F14)))</f>
        <v>NA</v>
      </c>
    </row>
    <row r="15" customFormat="false" ht="15" hidden="false" customHeight="true" outlineLevel="0" collapsed="false">
      <c r="A15" s="9" t="s">
        <v>94</v>
      </c>
      <c r="B15" s="9" t="str">
        <f aca="false">VLOOKUP($A15,'PARASTATAL Questions'!$A:$J,3,0)&amp;""</f>
        <v>Urban Planning &amp; Design (UPD)</v>
      </c>
      <c r="C15" s="9" t="str">
        <f aca="false">VLOOKUP($A15,'PARASTATAL Questions'!$A:$J,4,0)&amp;""</f>
        <v>SQ</v>
      </c>
      <c r="D15" s="9" t="str">
        <f aca="false">VLOOKUP($A15,'PARASTATAL Questions'!$A:$J,5,0)&amp;""</f>
        <v>Is the transport corporation mandated to consider the mobility needs of women, the urban poor and other vulnerable groups in planning and delivering public transport services?</v>
      </c>
      <c r="E15" s="9" t="str">
        <f aca="false">VLOOKUP($A15,'PARASTATAL Questions'!$A:$J,7,0)&amp;""</f>
        <v>Law/Policy</v>
      </c>
      <c r="F15" s="9" t="n">
        <f aca="false">VLOOKUP($A15,'PARASTATAL Questions'!$A:$J,6,0)</f>
        <v>5</v>
      </c>
      <c r="G15" s="9" t="str">
        <f aca="true">IF($F15=0,"NA",IF($A15=INDIRECT("'"&amp;$A15&amp;"'!$B$1"),IF(VLOOKUP(G$1,INDIRECT("'"&amp;$A15&amp;"'!$A$12:$Z$19"),MATCH("Points (Auto-generate)",INDIRECT("'"&amp;$A15&amp;"'!$A$12:$Z$12"),0),0)="","?",VLOOKUP(G$1,INDIRECT("'"&amp;$A15&amp;"'!$A$12:$Z$19"),MATCH("Points (Auto-generate)",INDIRECT("'"&amp;$A15&amp;"'!$A$12:$Z$12"),0),0)),"ER"))</f>
        <v>NA</v>
      </c>
      <c r="H15" s="9" t="str">
        <f aca="true">IF($F15=0,"NA",IF($A15=INDIRECT("'"&amp;$A15&amp;"'!$B$1"),IF(VLOOKUP(H$1,INDIRECT("'"&amp;$A15&amp;"'!$A$12:$Z$19"),MATCH("Points (Auto-generate)",INDIRECT("'"&amp;$A15&amp;"'!$A$12:$Z$12"),0),0)="","?",VLOOKUP(H$1,INDIRECT("'"&amp;$A15&amp;"'!$A$12:$Z$19"),MATCH("Points (Auto-generate)",INDIRECT("'"&amp;$A15&amp;"'!$A$12:$Z$12"),0),0)),"ER"))</f>
        <v>?</v>
      </c>
      <c r="I15" s="9" t="str">
        <f aca="true">IF($F15=0,"NA",IF($A15=INDIRECT("'"&amp;$A15&amp;"'!$B$1"),IF(VLOOKUP(I$1,INDIRECT("'"&amp;$A15&amp;"'!$A$12:$Z$19"),MATCH("Points (Auto-generate)",INDIRECT("'"&amp;$A15&amp;"'!$A$12:$Z$12"),0),0)="","?",VLOOKUP(I$1,INDIRECT("'"&amp;$A15&amp;"'!$A$12:$Z$19"),MATCH("Points (Auto-generate)",INDIRECT("'"&amp;$A15&amp;"'!$A$12:$Z$12"),0),0)),"ER"))</f>
        <v>NA</v>
      </c>
      <c r="J15" s="9" t="str">
        <f aca="true">IF($F15=0,"NA",IF($A15=INDIRECT("'"&amp;$A15&amp;"'!$B$1"),IF(VLOOKUP(J$1,INDIRECT("'"&amp;$A15&amp;"'!$A$12:$Z$19"),MATCH("Points (Auto-generate)",INDIRECT("'"&amp;$A15&amp;"'!$A$12:$Z$12"),0),0)="","?",VLOOKUP(J$1,INDIRECT("'"&amp;$A15&amp;"'!$A$12:$Z$19"),MATCH("Points (Auto-generate)",INDIRECT("'"&amp;$A15&amp;"'!$A$12:$Z$12"),0),0)),"ER"))</f>
        <v>NA</v>
      </c>
      <c r="K15" s="9" t="str">
        <f aca="true">IF($F15=0,"NA",IF($A15=INDIRECT("'"&amp;$A15&amp;"'!$B$1"),IF(VLOOKUP(K$1,INDIRECT("'"&amp;$A15&amp;"'!$A$12:$Z$19"),MATCH("Points (Auto-generate)",INDIRECT("'"&amp;$A15&amp;"'!$A$12:$Z$12"),0),0)="","?",VLOOKUP(K$1,INDIRECT("'"&amp;$A15&amp;"'!$A$12:$Z$19"),MATCH("Points (Auto-generate)",INDIRECT("'"&amp;$A15&amp;"'!$A$12:$Z$12"),0),0)),"ER"))</f>
        <v>NA</v>
      </c>
      <c r="L15" s="9" t="str">
        <f aca="true">IF($F15=0,"NA",IF($A15=INDIRECT("'"&amp;$A15&amp;"'!$B$1"),IF(VLOOKUP(L$1,INDIRECT("'"&amp;$A15&amp;"'!$A$12:$Z$19"),MATCH("Points (Auto-generate)",INDIRECT("'"&amp;$A15&amp;"'!$A$12:$Z$12"),0),0)="","?",VLOOKUP(L$1,INDIRECT("'"&amp;$A15&amp;"'!$A$12:$Z$19"),MATCH("Points (Auto-generate)",INDIRECT("'"&amp;$A15&amp;"'!$A$12:$Z$12"),0),0)),"ER"))</f>
        <v>NA</v>
      </c>
      <c r="M15" s="9" t="str">
        <f aca="true">IF($F15=0,"NA",IF($A15=INDIRECT("'"&amp;$A15&amp;"'!$B$1"),IF(VLOOKUP(M$1,INDIRECT("'"&amp;$A15&amp;"'!$A$12:$Z$19"),MATCH("Points (Auto-generate)",INDIRECT("'"&amp;$A15&amp;"'!$A$12:$Z$12"),0),0)="","?",VLOOKUP(M$1,INDIRECT("'"&amp;$A15&amp;"'!$A$12:$Z$19"),MATCH("Points (Auto-generate)",INDIRECT("'"&amp;$A15&amp;"'!$A$12:$Z$12"),0),0)),"ER"))</f>
        <v>NA</v>
      </c>
    </row>
    <row r="16" customFormat="false" ht="15" hidden="false" customHeight="true" outlineLevel="0" collapsed="false">
      <c r="A16" s="9" t="s">
        <v>97</v>
      </c>
      <c r="B16" s="9" t="str">
        <f aca="false">VLOOKUP($A16,'PARASTATAL Questions'!$A:$J,3,0)&amp;""</f>
        <v>Urban Planning &amp; Design (UPD)</v>
      </c>
      <c r="C16" s="9" t="str">
        <f aca="false">VLOOKUP($A16,'PARASTATAL Questions'!$A:$J,4,0)&amp;""</f>
        <v>SQ</v>
      </c>
      <c r="D16" s="9" t="str">
        <f aca="false">VLOOKUP($A16,'PARASTATAL Questions'!$A:$J,5,0)&amp;""</f>
        <v>Does the Transport Corporation actually consider the needs of women, the urban poor and other vulnerable groups in decisions relating to access, affordability and delivery of public transport services?</v>
      </c>
      <c r="E16" s="9" t="str">
        <f aca="false">VLOOKUP($A16,'PARASTATAL Questions'!$A:$J,7,0)&amp;""</f>
        <v>Implementation</v>
      </c>
      <c r="F16" s="9" t="n">
        <f aca="false">VLOOKUP($A16,'PARASTATAL Questions'!$A:$J,6,0)</f>
        <v>5</v>
      </c>
      <c r="G16" s="9" t="str">
        <f aca="true">IF($F16=0,"NA",IF($A16=INDIRECT("'"&amp;$A16&amp;"'!$B$1"),IF(VLOOKUP(G$1,INDIRECT("'"&amp;$A16&amp;"'!$A$12:$Z$19"),MATCH("Points (Auto-generate)",INDIRECT("'"&amp;$A16&amp;"'!$A$12:$Z$12"),0),0)="","?",VLOOKUP(G$1,INDIRECT("'"&amp;$A16&amp;"'!$A$12:$Z$19"),MATCH("Points (Auto-generate)",INDIRECT("'"&amp;$A16&amp;"'!$A$12:$Z$12"),0),0)),"ER"))</f>
        <v>NA</v>
      </c>
      <c r="H16" s="9" t="n">
        <f aca="true">IF($F16=0,"NA",IF($A16=INDIRECT("'"&amp;$A16&amp;"'!$B$1"),IF(VLOOKUP(H$1,INDIRECT("'"&amp;$A16&amp;"'!$A$12:$Z$19"),MATCH("Points (Auto-generate)",INDIRECT("'"&amp;$A16&amp;"'!$A$12:$Z$12"),0),0)="","?",VLOOKUP(H$1,INDIRECT("'"&amp;$A16&amp;"'!$A$12:$Z$19"),MATCH("Points (Auto-generate)",INDIRECT("'"&amp;$A16&amp;"'!$A$12:$Z$12"),0),0)),"ER"))</f>
        <v>1.25</v>
      </c>
      <c r="I16" s="9" t="str">
        <f aca="true">IF($F16=0,"NA",IF($A16=INDIRECT("'"&amp;$A16&amp;"'!$B$1"),IF(VLOOKUP(I$1,INDIRECT("'"&amp;$A16&amp;"'!$A$12:$Z$19"),MATCH("Points (Auto-generate)",INDIRECT("'"&amp;$A16&amp;"'!$A$12:$Z$12"),0),0)="","?",VLOOKUP(I$1,INDIRECT("'"&amp;$A16&amp;"'!$A$12:$Z$19"),MATCH("Points (Auto-generate)",INDIRECT("'"&amp;$A16&amp;"'!$A$12:$Z$12"),0),0)),"ER"))</f>
        <v>NA</v>
      </c>
      <c r="J16" s="9" t="str">
        <f aca="true">IF($F16=0,"NA",IF($A16=INDIRECT("'"&amp;$A16&amp;"'!$B$1"),IF(VLOOKUP(J$1,INDIRECT("'"&amp;$A16&amp;"'!$A$12:$Z$19"),MATCH("Points (Auto-generate)",INDIRECT("'"&amp;$A16&amp;"'!$A$12:$Z$12"),0),0)="","?",VLOOKUP(J$1,INDIRECT("'"&amp;$A16&amp;"'!$A$12:$Z$19"),MATCH("Points (Auto-generate)",INDIRECT("'"&amp;$A16&amp;"'!$A$12:$Z$12"),0),0)),"ER"))</f>
        <v>NA</v>
      </c>
      <c r="K16" s="9" t="str">
        <f aca="true">IF($F16=0,"NA",IF($A16=INDIRECT("'"&amp;$A16&amp;"'!$B$1"),IF(VLOOKUP(K$1,INDIRECT("'"&amp;$A16&amp;"'!$A$12:$Z$19"),MATCH("Points (Auto-generate)",INDIRECT("'"&amp;$A16&amp;"'!$A$12:$Z$12"),0),0)="","?",VLOOKUP(K$1,INDIRECT("'"&amp;$A16&amp;"'!$A$12:$Z$19"),MATCH("Points (Auto-generate)",INDIRECT("'"&amp;$A16&amp;"'!$A$12:$Z$12"),0),0)),"ER"))</f>
        <v>NA</v>
      </c>
      <c r="L16" s="9" t="str">
        <f aca="true">IF($F16=0,"NA",IF($A16=INDIRECT("'"&amp;$A16&amp;"'!$B$1"),IF(VLOOKUP(L$1,INDIRECT("'"&amp;$A16&amp;"'!$A$12:$Z$19"),MATCH("Points (Auto-generate)",INDIRECT("'"&amp;$A16&amp;"'!$A$12:$Z$12"),0),0)="","?",VLOOKUP(L$1,INDIRECT("'"&amp;$A16&amp;"'!$A$12:$Z$19"),MATCH("Points (Auto-generate)",INDIRECT("'"&amp;$A16&amp;"'!$A$12:$Z$12"),0),0)),"ER"))</f>
        <v>NA</v>
      </c>
      <c r="M16" s="9" t="str">
        <f aca="true">IF($F16=0,"NA",IF($A16=INDIRECT("'"&amp;$A16&amp;"'!$B$1"),IF(VLOOKUP(M$1,INDIRECT("'"&amp;$A16&amp;"'!$A$12:$Z$19"),MATCH("Points (Auto-generate)",INDIRECT("'"&amp;$A16&amp;"'!$A$12:$Z$12"),0),0)="","?",VLOOKUP(M$1,INDIRECT("'"&amp;$A16&amp;"'!$A$12:$Z$19"),MATCH("Points (Auto-generate)",INDIRECT("'"&amp;$A16&amp;"'!$A$12:$Z$12"),0),0)),"ER"))</f>
        <v>NA</v>
      </c>
    </row>
    <row r="17" customFormat="false" ht="15" hidden="false" customHeight="true" outlineLevel="0" collapsed="false">
      <c r="A17" s="11" t="s">
        <v>423</v>
      </c>
      <c r="B17" s="11" t="str">
        <f aca="false">VLOOKUP($A17,'PARASTATAL Questions'!$A:$J,3,0)&amp;""</f>
        <v>Urban Planning &amp; Design (UPD)</v>
      </c>
      <c r="C17" s="11" t="str">
        <f aca="false">VLOOKUP($A17,'PARASTATAL Questions'!$A:$J,4,0)&amp;""</f>
        <v>MQ</v>
      </c>
      <c r="D17" s="11" t="str">
        <f aca="false">VLOOKUP($A17,'PARASTATAL Questions'!$A:$J,5,0)&amp;""</f>
        <v>Are environmental considerations explicitly required to be integrated into the water supply board’s planning, service-delivery or major investment decisions?</v>
      </c>
      <c r="E17" s="11" t="str">
        <f aca="false">VLOOKUP($A17,'PARASTATAL Questions'!$A:$J,7,0)&amp;""</f>
        <v>Law/Policy</v>
      </c>
      <c r="F17" s="11" t="n">
        <f aca="false">VLOOKUP($A17,'PARASTATAL Questions'!$A:$J,6,0)</f>
        <v>10</v>
      </c>
      <c r="G17" s="11" t="n">
        <f aca="false">IF(OR(G18="ER",G19="ER"),"ER",IF(OR(G18="?",G19="?"),"?",IF(AND(G18="NA",G19="NA"),"NA",SUM(G18,G19)/((G18&lt;&gt;"NA")*$F$18+(G19&lt;&gt;"NA")*$F$19)*$F17)))</f>
        <v>7.5</v>
      </c>
      <c r="H17" s="11" t="str">
        <f aca="false">IF(OR(H18="ER",H19="ER"),"ER",IF(OR(H18="?",H19="?"),"?",IF(AND(H18="NA",H19="NA"),"NA",SUM(H18,H19)/((H18&lt;&gt;"NA")*$F$18+(H19&lt;&gt;"NA")*$F$19)*$F17)))</f>
        <v>NA</v>
      </c>
      <c r="I17" s="11" t="str">
        <f aca="false">IF(OR(I18="ER",I19="ER"),"ER",IF(OR(I18="?",I19="?"),"?",IF(AND(I18="NA",I19="NA"),"NA",SUM(I18,I19)/((I18&lt;&gt;"NA")*$F$18+(I19&lt;&gt;"NA")*$F$19)*$F17)))</f>
        <v>NA</v>
      </c>
      <c r="J17" s="11" t="str">
        <f aca="false">IF(OR(J18="ER",J19="ER"),"ER",IF(OR(J18="?",J19="?"),"?",IF(AND(J18="NA",J19="NA"),"NA",SUM(J18,J19)/((J18&lt;&gt;"NA")*$F$18+(J19&lt;&gt;"NA")*$F$19)*$F17)))</f>
        <v>NA</v>
      </c>
      <c r="K17" s="11" t="str">
        <f aca="false">IF(OR(K18="ER",K19="ER"),"ER",IF(OR(K18="?",K19="?"),"?",IF(AND(K18="NA",K19="NA"),"NA",SUM(K18,K19)/((K18&lt;&gt;"NA")*$F$18+(K19&lt;&gt;"NA")*$F$19)*$F17)))</f>
        <v>NA</v>
      </c>
      <c r="L17" s="11" t="str">
        <f aca="false">IF(OR(L18="ER",L19="ER"),"ER",IF(OR(L18="?",L19="?"),"?",IF(AND(L18="NA",L19="NA"),"NA",SUM(L18,L19)/((L18&lt;&gt;"NA")*$F$18+(L19&lt;&gt;"NA")*$F$19)*$F17)))</f>
        <v>NA</v>
      </c>
      <c r="M17" s="11" t="str">
        <f aca="false">IF(OR(M18="ER",M19="ER"),"ER",IF(OR(M18="?",M19="?"),"?",IF(AND(M18="NA",M19="NA"),"NA",SUM(M18,M19)/((M18&lt;&gt;"NA")*$F$18+(M19&lt;&gt;"NA")*$F$19)*$F17)))</f>
        <v>NA</v>
      </c>
    </row>
    <row r="18" customFormat="false" ht="15" hidden="false" customHeight="true" outlineLevel="0" collapsed="false">
      <c r="A18" s="9" t="s">
        <v>104</v>
      </c>
      <c r="B18" s="9" t="str">
        <f aca="false">VLOOKUP($A18,'PARASTATAL Questions'!$A:$J,3,0)&amp;""</f>
        <v>Urban Planning &amp; Design (UPD)</v>
      </c>
      <c r="C18" s="9" t="str">
        <f aca="false">VLOOKUP($A18,'PARASTATAL Questions'!$A:$J,4,0)&amp;""</f>
        <v>SQ</v>
      </c>
      <c r="D18" s="9" t="str">
        <f aca="false">VLOOKUP($A18,'PARASTATAL Questions'!$A:$J,5,0)&amp;""</f>
        <v>Is the water supply board mandated to consider environmental sustainability in planning and delivering water and sanitation services?</v>
      </c>
      <c r="E18" s="9" t="str">
        <f aca="false">VLOOKUP($A18,'PARASTATAL Questions'!$A:$J,7,0)&amp;""</f>
        <v>Law/Policy</v>
      </c>
      <c r="F18" s="9" t="n">
        <f aca="false">VLOOKUP($A18,'PARASTATAL Questions'!$A:$J,6,0)</f>
        <v>5</v>
      </c>
      <c r="G18" s="9" t="n">
        <f aca="true">IF($F18=0,"NA",IF($A18=INDIRECT("'"&amp;$A18&amp;"'!$B$1"),IF(VLOOKUP(G$1,INDIRECT("'"&amp;$A18&amp;"'!$A$12:$Z$19"),MATCH("Points (Auto-generate)",INDIRECT("'"&amp;$A18&amp;"'!$A$12:$Z$12"),0),0)="","?",VLOOKUP(G$1,INDIRECT("'"&amp;$A18&amp;"'!$A$12:$Z$19"),MATCH("Points (Auto-generate)",INDIRECT("'"&amp;$A18&amp;"'!$A$12:$Z$12"),0),0)),"ER"))</f>
        <v>2.5</v>
      </c>
      <c r="H18" s="9" t="str">
        <f aca="true">IF($F18=0,"NA",IF($A18=INDIRECT("'"&amp;$A18&amp;"'!$B$1"),IF(VLOOKUP(H$1,INDIRECT("'"&amp;$A18&amp;"'!$A$12:$Z$19"),MATCH("Points (Auto-generate)",INDIRECT("'"&amp;$A18&amp;"'!$A$12:$Z$12"),0),0)="","?",VLOOKUP(H$1,INDIRECT("'"&amp;$A18&amp;"'!$A$12:$Z$19"),MATCH("Points (Auto-generate)",INDIRECT("'"&amp;$A18&amp;"'!$A$12:$Z$12"),0),0)),"ER"))</f>
        <v>NA</v>
      </c>
      <c r="I18" s="9" t="str">
        <f aca="true">IF($F18=0,"NA",IF($A18=INDIRECT("'"&amp;$A18&amp;"'!$B$1"),IF(VLOOKUP(I$1,INDIRECT("'"&amp;$A18&amp;"'!$A$12:$Z$19"),MATCH("Points (Auto-generate)",INDIRECT("'"&amp;$A18&amp;"'!$A$12:$Z$12"),0),0)="","?",VLOOKUP(I$1,INDIRECT("'"&amp;$A18&amp;"'!$A$12:$Z$19"),MATCH("Points (Auto-generate)",INDIRECT("'"&amp;$A18&amp;"'!$A$12:$Z$12"),0),0)),"ER"))</f>
        <v>NA</v>
      </c>
      <c r="J18" s="9" t="str">
        <f aca="true">IF($F18=0,"NA",IF($A18=INDIRECT("'"&amp;$A18&amp;"'!$B$1"),IF(VLOOKUP(J$1,INDIRECT("'"&amp;$A18&amp;"'!$A$12:$Z$19"),MATCH("Points (Auto-generate)",INDIRECT("'"&amp;$A18&amp;"'!$A$12:$Z$12"),0),0)="","?",VLOOKUP(J$1,INDIRECT("'"&amp;$A18&amp;"'!$A$12:$Z$19"),MATCH("Points (Auto-generate)",INDIRECT("'"&amp;$A18&amp;"'!$A$12:$Z$12"),0),0)),"ER"))</f>
        <v>NA</v>
      </c>
      <c r="K18" s="9" t="str">
        <f aca="true">IF($F18=0,"NA",IF($A18=INDIRECT("'"&amp;$A18&amp;"'!$B$1"),IF(VLOOKUP(K$1,INDIRECT("'"&amp;$A18&amp;"'!$A$12:$Z$19"),MATCH("Points (Auto-generate)",INDIRECT("'"&amp;$A18&amp;"'!$A$12:$Z$12"),0),0)="","?",VLOOKUP(K$1,INDIRECT("'"&amp;$A18&amp;"'!$A$12:$Z$19"),MATCH("Points (Auto-generate)",INDIRECT("'"&amp;$A18&amp;"'!$A$12:$Z$12"),0),0)),"ER"))</f>
        <v>NA</v>
      </c>
      <c r="L18" s="9" t="str">
        <f aca="true">IF($F18=0,"NA",IF($A18=INDIRECT("'"&amp;$A18&amp;"'!$B$1"),IF(VLOOKUP(L$1,INDIRECT("'"&amp;$A18&amp;"'!$A$12:$Z$19"),MATCH("Points (Auto-generate)",INDIRECT("'"&amp;$A18&amp;"'!$A$12:$Z$12"),0),0)="","?",VLOOKUP(L$1,INDIRECT("'"&amp;$A18&amp;"'!$A$12:$Z$19"),MATCH("Points (Auto-generate)",INDIRECT("'"&amp;$A18&amp;"'!$A$12:$Z$12"),0),0)),"ER"))</f>
        <v>NA</v>
      </c>
      <c r="M18" s="9" t="str">
        <f aca="true">IF($F18=0,"NA",IF($A18=INDIRECT("'"&amp;$A18&amp;"'!$B$1"),IF(VLOOKUP(M$1,INDIRECT("'"&amp;$A18&amp;"'!$A$12:$Z$19"),MATCH("Points (Auto-generate)",INDIRECT("'"&amp;$A18&amp;"'!$A$12:$Z$12"),0),0)="","?",VLOOKUP(M$1,INDIRECT("'"&amp;$A18&amp;"'!$A$12:$Z$19"),MATCH("Points (Auto-generate)",INDIRECT("'"&amp;$A18&amp;"'!$A$12:$Z$12"),0),0)),"ER"))</f>
        <v>NA</v>
      </c>
    </row>
    <row r="19" customFormat="false" ht="15" hidden="false" customHeight="true" outlineLevel="0" collapsed="false">
      <c r="A19" s="9" t="s">
        <v>107</v>
      </c>
      <c r="B19" s="9" t="str">
        <f aca="false">VLOOKUP($A19,'PARASTATAL Questions'!$A:$J,3,0)&amp;""</f>
        <v>Urban Planning &amp; Design (UPD)</v>
      </c>
      <c r="C19" s="9" t="str">
        <f aca="false">VLOOKUP($A19,'PARASTATAL Questions'!$A:$J,4,0)&amp;""</f>
        <v>SQ</v>
      </c>
      <c r="D19" s="9" t="str">
        <f aca="false">VLOOKUP($A19,'PARASTATAL Questions'!$A:$J,5,0)&amp;""</f>
        <v>Does the water supply board actually consider environmental sustainability in planning and delivering water and sanitation services?</v>
      </c>
      <c r="E19" s="9" t="str">
        <f aca="false">VLOOKUP($A19,'PARASTATAL Questions'!$A:$J,7,0)&amp;""</f>
        <v>Implementation</v>
      </c>
      <c r="F19" s="9" t="n">
        <f aca="false">VLOOKUP($A19,'PARASTATAL Questions'!$A:$J,6,0)</f>
        <v>5</v>
      </c>
      <c r="G19" s="9" t="n">
        <f aca="true">IF($F19=0,"NA",IF($A19=INDIRECT("'"&amp;$A19&amp;"'!$B$1"),IF(VLOOKUP(G$1,INDIRECT("'"&amp;$A19&amp;"'!$A$12:$Z$19"),MATCH("Points (Auto-generate)",INDIRECT("'"&amp;$A19&amp;"'!$A$12:$Z$12"),0),0)="","?",VLOOKUP(G$1,INDIRECT("'"&amp;$A19&amp;"'!$A$12:$Z$19"),MATCH("Points (Auto-generate)",INDIRECT("'"&amp;$A19&amp;"'!$A$12:$Z$12"),0),0)),"ER"))</f>
        <v>5</v>
      </c>
      <c r="H19" s="9" t="str">
        <f aca="true">IF($F19=0,"NA",IF($A19=INDIRECT("'"&amp;$A19&amp;"'!$B$1"),IF(VLOOKUP(H$1,INDIRECT("'"&amp;$A19&amp;"'!$A$12:$Z$19"),MATCH("Points (Auto-generate)",INDIRECT("'"&amp;$A19&amp;"'!$A$12:$Z$12"),0),0)="","?",VLOOKUP(H$1,INDIRECT("'"&amp;$A19&amp;"'!$A$12:$Z$19"),MATCH("Points (Auto-generate)",INDIRECT("'"&amp;$A19&amp;"'!$A$12:$Z$12"),0),0)),"ER"))</f>
        <v>NA</v>
      </c>
      <c r="I19" s="9" t="str">
        <f aca="true">IF($F19=0,"NA",IF($A19=INDIRECT("'"&amp;$A19&amp;"'!$B$1"),IF(VLOOKUP(I$1,INDIRECT("'"&amp;$A19&amp;"'!$A$12:$Z$19"),MATCH("Points (Auto-generate)",INDIRECT("'"&amp;$A19&amp;"'!$A$12:$Z$12"),0),0)="","?",VLOOKUP(I$1,INDIRECT("'"&amp;$A19&amp;"'!$A$12:$Z$19"),MATCH("Points (Auto-generate)",INDIRECT("'"&amp;$A19&amp;"'!$A$12:$Z$12"),0),0)),"ER"))</f>
        <v>NA</v>
      </c>
      <c r="J19" s="9" t="str">
        <f aca="true">IF($F19=0,"NA",IF($A19=INDIRECT("'"&amp;$A19&amp;"'!$B$1"),IF(VLOOKUP(J$1,INDIRECT("'"&amp;$A19&amp;"'!$A$12:$Z$19"),MATCH("Points (Auto-generate)",INDIRECT("'"&amp;$A19&amp;"'!$A$12:$Z$12"),0),0)="","?",VLOOKUP(J$1,INDIRECT("'"&amp;$A19&amp;"'!$A$12:$Z$19"),MATCH("Points (Auto-generate)",INDIRECT("'"&amp;$A19&amp;"'!$A$12:$Z$12"),0),0)),"ER"))</f>
        <v>NA</v>
      </c>
      <c r="K19" s="9" t="str">
        <f aca="true">IF($F19=0,"NA",IF($A19=INDIRECT("'"&amp;$A19&amp;"'!$B$1"),IF(VLOOKUP(K$1,INDIRECT("'"&amp;$A19&amp;"'!$A$12:$Z$19"),MATCH("Points (Auto-generate)",INDIRECT("'"&amp;$A19&amp;"'!$A$12:$Z$12"),0),0)="","?",VLOOKUP(K$1,INDIRECT("'"&amp;$A19&amp;"'!$A$12:$Z$19"),MATCH("Points (Auto-generate)",INDIRECT("'"&amp;$A19&amp;"'!$A$12:$Z$12"),0),0)),"ER"))</f>
        <v>NA</v>
      </c>
      <c r="L19" s="9" t="str">
        <f aca="true">IF($F19=0,"NA",IF($A19=INDIRECT("'"&amp;$A19&amp;"'!$B$1"),IF(VLOOKUP(L$1,INDIRECT("'"&amp;$A19&amp;"'!$A$12:$Z$19"),MATCH("Points (Auto-generate)",INDIRECT("'"&amp;$A19&amp;"'!$A$12:$Z$12"),0),0)="","?",VLOOKUP(L$1,INDIRECT("'"&amp;$A19&amp;"'!$A$12:$Z$19"),MATCH("Points (Auto-generate)",INDIRECT("'"&amp;$A19&amp;"'!$A$12:$Z$12"),0),0)),"ER"))</f>
        <v>NA</v>
      </c>
      <c r="M19" s="9" t="str">
        <f aca="true">IF($F19=0,"NA",IF($A19=INDIRECT("'"&amp;$A19&amp;"'!$B$1"),IF(VLOOKUP(M$1,INDIRECT("'"&amp;$A19&amp;"'!$A$12:$Z$19"),MATCH("Points (Auto-generate)",INDIRECT("'"&amp;$A19&amp;"'!$A$12:$Z$12"),0),0)="","?",VLOOKUP(M$1,INDIRECT("'"&amp;$A19&amp;"'!$A$12:$Z$19"),MATCH("Points (Auto-generate)",INDIRECT("'"&amp;$A19&amp;"'!$A$12:$Z$12"),0),0)),"ER"))</f>
        <v>NA</v>
      </c>
    </row>
    <row r="20" customFormat="false" ht="15" hidden="false" customHeight="true" outlineLevel="0" collapsed="false">
      <c r="A20" s="11" t="s">
        <v>424</v>
      </c>
      <c r="B20" s="11" t="str">
        <f aca="false">VLOOKUP($A20,'PARASTATAL Questions'!$A:$J,3,0)&amp;""</f>
        <v>Urban Planning &amp; Design (UPD)</v>
      </c>
      <c r="C20" s="11" t="str">
        <f aca="false">VLOOKUP($A20,'PARASTATAL Questions'!$A:$J,4,0)&amp;""</f>
        <v>MQ</v>
      </c>
      <c r="D20" s="11" t="str">
        <f aca="false">VLOOKUP($A20,'PARASTATAL Questions'!$A:$J,5,0)&amp;""</f>
        <v>Are environmental considerations explicitly required to be integrated into the transport corporation’s planning, service-delivery or major investment decisions?</v>
      </c>
      <c r="E20" s="11" t="str">
        <f aca="false">VLOOKUP($A20,'PARASTATAL Questions'!$A:$J,7,0)&amp;""</f>
        <v/>
      </c>
      <c r="F20" s="11" t="n">
        <f aca="false">VLOOKUP($A20,'PARASTATAL Questions'!$A:$J,6,0)</f>
        <v>10</v>
      </c>
      <c r="G20" s="11" t="str">
        <f aca="false">IF(OR(G21="ER",G22="ER"),"ER",IF(OR(G21="?",G22="?"),"?",IF(AND(G21="NA",G22="NA"),"NA",SUM(G21,G22)/((G21&lt;&gt;"NA")*$F$21+(G22&lt;&gt;"NA")*$F$22)*$F20)))</f>
        <v>NA</v>
      </c>
      <c r="H20" s="11" t="n">
        <f aca="false">IF(OR(H21="ER",H22="ER"),"ER",IF(OR(H21="?",H22="?"),"?",IF(AND(H21="NA",H22="NA"),"NA",SUM(H21,H22)/((H21&lt;&gt;"NA")*$F$21+(H22&lt;&gt;"NA")*$F$22)*$F20)))</f>
        <v>3.75</v>
      </c>
      <c r="I20" s="11" t="str">
        <f aca="false">IF(OR(I21="ER",I22="ER"),"ER",IF(OR(I21="?",I22="?"),"?",IF(AND(I21="NA",I22="NA"),"NA",SUM(I21,I22)/((I21&lt;&gt;"NA")*$F$21+(I22&lt;&gt;"NA")*$F$22)*$F20)))</f>
        <v>NA</v>
      </c>
      <c r="J20" s="11" t="str">
        <f aca="false">IF(OR(J21="ER",J22="ER"),"ER",IF(OR(J21="?",J22="?"),"?",IF(AND(J21="NA",J22="NA"),"NA",SUM(J21,J22)/((J21&lt;&gt;"NA")*$F$21+(J22&lt;&gt;"NA")*$F$22)*$F20)))</f>
        <v>NA</v>
      </c>
      <c r="K20" s="11" t="str">
        <f aca="false">IF(OR(K21="ER",K22="ER"),"ER",IF(OR(K21="?",K22="?"),"?",IF(AND(K21="NA",K22="NA"),"NA",SUM(K21,K22)/((K21&lt;&gt;"NA")*$F$21+(K22&lt;&gt;"NA")*$F$22)*$F20)))</f>
        <v>NA</v>
      </c>
      <c r="L20" s="11" t="str">
        <f aca="false">IF(OR(L21="ER",L22="ER"),"ER",IF(OR(L21="?",L22="?"),"?",IF(AND(L21="NA",L22="NA"),"NA",SUM(L21,L22)/((L21&lt;&gt;"NA")*$F$21+(L22&lt;&gt;"NA")*$F$22)*$F20)))</f>
        <v>NA</v>
      </c>
      <c r="M20" s="11" t="str">
        <f aca="false">IF(OR(M21="ER",M22="ER"),"ER",IF(OR(M21="?",M22="?"),"?",IF(AND(M21="NA",M22="NA"),"NA",SUM(M21,M22)/((M21&lt;&gt;"NA")*$F$21+(M22&lt;&gt;"NA")*$F$22)*$F20)))</f>
        <v>NA</v>
      </c>
    </row>
    <row r="21" customFormat="false" ht="15" hidden="false" customHeight="true" outlineLevel="0" collapsed="false">
      <c r="A21" s="9" t="s">
        <v>114</v>
      </c>
      <c r="B21" s="9" t="str">
        <f aca="false">VLOOKUP($A21,'PARASTATAL Questions'!$A:$J,3,0)&amp;""</f>
        <v>Urban Planning &amp; Design (UPD)</v>
      </c>
      <c r="C21" s="9" t="str">
        <f aca="false">VLOOKUP($A21,'PARASTATAL Questions'!$A:$J,4,0)&amp;""</f>
        <v>SQ</v>
      </c>
      <c r="D21" s="9" t="str">
        <f aca="false">VLOOKUP($A21,'PARASTATAL Questions'!$A:$J,5,0)&amp;""</f>
        <v>Is the transport corporation mandated to consider environmental sustainability in planning and delivering urban transport services and investments?</v>
      </c>
      <c r="E21" s="9" t="str">
        <f aca="false">VLOOKUP($A21,'PARASTATAL Questions'!$A:$J,7,0)&amp;""</f>
        <v>Law/Policy</v>
      </c>
      <c r="F21" s="9" t="n">
        <f aca="false">VLOOKUP($A21,'PARASTATAL Questions'!$A:$J,6,0)</f>
        <v>5</v>
      </c>
      <c r="G21" s="9" t="str">
        <f aca="true">IF($F21=0,"NA",IF($A21=INDIRECT("'"&amp;$A21&amp;"'!$B$1"),IF(VLOOKUP(G$1,INDIRECT("'"&amp;$A21&amp;"'!$A$12:$Z$19"),MATCH("Points (Auto-generate)",INDIRECT("'"&amp;$A21&amp;"'!$A$12:$Z$12"),0),0)="","?",VLOOKUP(G$1,INDIRECT("'"&amp;$A21&amp;"'!$A$12:$Z$19"),MATCH("Points (Auto-generate)",INDIRECT("'"&amp;$A21&amp;"'!$A$12:$Z$12"),0),0)),"ER"))</f>
        <v>NA</v>
      </c>
      <c r="H21" s="9" t="n">
        <f aca="true">IF($F21=0,"NA",IF($A21=INDIRECT("'"&amp;$A21&amp;"'!$B$1"),IF(VLOOKUP(H$1,INDIRECT("'"&amp;$A21&amp;"'!$A$12:$Z$19"),MATCH("Points (Auto-generate)",INDIRECT("'"&amp;$A21&amp;"'!$A$12:$Z$12"),0),0)="","?",VLOOKUP(H$1,INDIRECT("'"&amp;$A21&amp;"'!$A$12:$Z$19"),MATCH("Points (Auto-generate)",INDIRECT("'"&amp;$A21&amp;"'!$A$12:$Z$12"),0),0)),"ER"))</f>
        <v>2.5</v>
      </c>
      <c r="I21" s="9" t="str">
        <f aca="true">IF($F21=0,"NA",IF($A21=INDIRECT("'"&amp;$A21&amp;"'!$B$1"),IF(VLOOKUP(I$1,INDIRECT("'"&amp;$A21&amp;"'!$A$12:$Z$19"),MATCH("Points (Auto-generate)",INDIRECT("'"&amp;$A21&amp;"'!$A$12:$Z$12"),0),0)="","?",VLOOKUP(I$1,INDIRECT("'"&amp;$A21&amp;"'!$A$12:$Z$19"),MATCH("Points (Auto-generate)",INDIRECT("'"&amp;$A21&amp;"'!$A$12:$Z$12"),0),0)),"ER"))</f>
        <v>NA</v>
      </c>
      <c r="J21" s="9" t="str">
        <f aca="true">IF($F21=0,"NA",IF($A21=INDIRECT("'"&amp;$A21&amp;"'!$B$1"),IF(VLOOKUP(J$1,INDIRECT("'"&amp;$A21&amp;"'!$A$12:$Z$19"),MATCH("Points (Auto-generate)",INDIRECT("'"&amp;$A21&amp;"'!$A$12:$Z$12"),0),0)="","?",VLOOKUP(J$1,INDIRECT("'"&amp;$A21&amp;"'!$A$12:$Z$19"),MATCH("Points (Auto-generate)",INDIRECT("'"&amp;$A21&amp;"'!$A$12:$Z$12"),0),0)),"ER"))</f>
        <v>NA</v>
      </c>
      <c r="K21" s="9" t="str">
        <f aca="true">IF($F21=0,"NA",IF($A21=INDIRECT("'"&amp;$A21&amp;"'!$B$1"),IF(VLOOKUP(K$1,INDIRECT("'"&amp;$A21&amp;"'!$A$12:$Z$19"),MATCH("Points (Auto-generate)",INDIRECT("'"&amp;$A21&amp;"'!$A$12:$Z$12"),0),0)="","?",VLOOKUP(K$1,INDIRECT("'"&amp;$A21&amp;"'!$A$12:$Z$19"),MATCH("Points (Auto-generate)",INDIRECT("'"&amp;$A21&amp;"'!$A$12:$Z$12"),0),0)),"ER"))</f>
        <v>NA</v>
      </c>
      <c r="L21" s="9" t="str">
        <f aca="true">IF($F21=0,"NA",IF($A21=INDIRECT("'"&amp;$A21&amp;"'!$B$1"),IF(VLOOKUP(L$1,INDIRECT("'"&amp;$A21&amp;"'!$A$12:$Z$19"),MATCH("Points (Auto-generate)",INDIRECT("'"&amp;$A21&amp;"'!$A$12:$Z$12"),0),0)="","?",VLOOKUP(L$1,INDIRECT("'"&amp;$A21&amp;"'!$A$12:$Z$19"),MATCH("Points (Auto-generate)",INDIRECT("'"&amp;$A21&amp;"'!$A$12:$Z$12"),0),0)),"ER"))</f>
        <v>NA</v>
      </c>
      <c r="M21" s="9" t="str">
        <f aca="true">IF($F21=0,"NA",IF($A21=INDIRECT("'"&amp;$A21&amp;"'!$B$1"),IF(VLOOKUP(M$1,INDIRECT("'"&amp;$A21&amp;"'!$A$12:$Z$19"),MATCH("Points (Auto-generate)",INDIRECT("'"&amp;$A21&amp;"'!$A$12:$Z$12"),0),0)="","?",VLOOKUP(M$1,INDIRECT("'"&amp;$A21&amp;"'!$A$12:$Z$19"),MATCH("Points (Auto-generate)",INDIRECT("'"&amp;$A21&amp;"'!$A$12:$Z$12"),0),0)),"ER"))</f>
        <v>NA</v>
      </c>
    </row>
    <row r="22" customFormat="false" ht="15" hidden="false" customHeight="true" outlineLevel="0" collapsed="false">
      <c r="A22" s="9" t="s">
        <v>119</v>
      </c>
      <c r="B22" s="9" t="str">
        <f aca="false">VLOOKUP($A22,'PARASTATAL Questions'!$A:$J,3,0)&amp;""</f>
        <v>Urban Planning &amp; Design (UPD)</v>
      </c>
      <c r="C22" s="9" t="str">
        <f aca="false">VLOOKUP($A22,'PARASTATAL Questions'!$A:$J,4,0)&amp;""</f>
        <v>SQ</v>
      </c>
      <c r="D22" s="9" t="str">
        <f aca="false">VLOOKUP($A22,'PARASTATAL Questions'!$A:$J,5,0)&amp;""</f>
        <v>Does the transport corporation actually considers environmental sustainability in planning and delivering urban transport services and investments?</v>
      </c>
      <c r="E22" s="9" t="str">
        <f aca="false">VLOOKUP($A22,'PARASTATAL Questions'!$A:$J,7,0)&amp;""</f>
        <v>Implementation</v>
      </c>
      <c r="F22" s="9" t="n">
        <f aca="false">VLOOKUP($A22,'PARASTATAL Questions'!$A:$J,6,0)</f>
        <v>5</v>
      </c>
      <c r="G22" s="9" t="str">
        <f aca="true">IF($F22=0,"NA",IF($A22=INDIRECT("'"&amp;$A22&amp;"'!$B$1"),IF(VLOOKUP(G$1,INDIRECT("'"&amp;$A22&amp;"'!$A$12:$Z$19"),MATCH("Points (Auto-generate)",INDIRECT("'"&amp;$A22&amp;"'!$A$12:$Z$12"),0),0)="","?",VLOOKUP(G$1,INDIRECT("'"&amp;$A22&amp;"'!$A$12:$Z$19"),MATCH("Points (Auto-generate)",INDIRECT("'"&amp;$A22&amp;"'!$A$12:$Z$12"),0),0)),"ER"))</f>
        <v>NA</v>
      </c>
      <c r="H22" s="9" t="n">
        <f aca="true">IF($F22=0,"NA",IF($A22=INDIRECT("'"&amp;$A22&amp;"'!$B$1"),IF(VLOOKUP(H$1,INDIRECT("'"&amp;$A22&amp;"'!$A$12:$Z$19"),MATCH("Points (Auto-generate)",INDIRECT("'"&amp;$A22&amp;"'!$A$12:$Z$12"),0),0)="","?",VLOOKUP(H$1,INDIRECT("'"&amp;$A22&amp;"'!$A$12:$Z$19"),MATCH("Points (Auto-generate)",INDIRECT("'"&amp;$A22&amp;"'!$A$12:$Z$12"),0),0)),"ER"))</f>
        <v>1.25</v>
      </c>
      <c r="I22" s="9" t="str">
        <f aca="true">IF($F22=0,"NA",IF($A22=INDIRECT("'"&amp;$A22&amp;"'!$B$1"),IF(VLOOKUP(I$1,INDIRECT("'"&amp;$A22&amp;"'!$A$12:$Z$19"),MATCH("Points (Auto-generate)",INDIRECT("'"&amp;$A22&amp;"'!$A$12:$Z$12"),0),0)="","?",VLOOKUP(I$1,INDIRECT("'"&amp;$A22&amp;"'!$A$12:$Z$19"),MATCH("Points (Auto-generate)",INDIRECT("'"&amp;$A22&amp;"'!$A$12:$Z$12"),0),0)),"ER"))</f>
        <v>NA</v>
      </c>
      <c r="J22" s="9" t="str">
        <f aca="true">IF($F22=0,"NA",IF($A22=INDIRECT("'"&amp;$A22&amp;"'!$B$1"),IF(VLOOKUP(J$1,INDIRECT("'"&amp;$A22&amp;"'!$A$12:$Z$19"),MATCH("Points (Auto-generate)",INDIRECT("'"&amp;$A22&amp;"'!$A$12:$Z$12"),0),0)="","?",VLOOKUP(J$1,INDIRECT("'"&amp;$A22&amp;"'!$A$12:$Z$19"),MATCH("Points (Auto-generate)",INDIRECT("'"&amp;$A22&amp;"'!$A$12:$Z$12"),0),0)),"ER"))</f>
        <v>NA</v>
      </c>
      <c r="K22" s="9" t="str">
        <f aca="true">IF($F22=0,"NA",IF($A22=INDIRECT("'"&amp;$A22&amp;"'!$B$1"),IF(VLOOKUP(K$1,INDIRECT("'"&amp;$A22&amp;"'!$A$12:$Z$19"),MATCH("Points (Auto-generate)",INDIRECT("'"&amp;$A22&amp;"'!$A$12:$Z$12"),0),0)="","?",VLOOKUP(K$1,INDIRECT("'"&amp;$A22&amp;"'!$A$12:$Z$19"),MATCH("Points (Auto-generate)",INDIRECT("'"&amp;$A22&amp;"'!$A$12:$Z$12"),0),0)),"ER"))</f>
        <v>NA</v>
      </c>
      <c r="L22" s="9" t="str">
        <f aca="true">IF($F22=0,"NA",IF($A22=INDIRECT("'"&amp;$A22&amp;"'!$B$1"),IF(VLOOKUP(L$1,INDIRECT("'"&amp;$A22&amp;"'!$A$12:$Z$19"),MATCH("Points (Auto-generate)",INDIRECT("'"&amp;$A22&amp;"'!$A$12:$Z$12"),0),0)="","?",VLOOKUP(L$1,INDIRECT("'"&amp;$A22&amp;"'!$A$12:$Z$19"),MATCH("Points (Auto-generate)",INDIRECT("'"&amp;$A22&amp;"'!$A$12:$Z$12"),0),0)),"ER"))</f>
        <v>NA</v>
      </c>
      <c r="M22" s="9" t="str">
        <f aca="true">IF($F22=0,"NA",IF($A22=INDIRECT("'"&amp;$A22&amp;"'!$B$1"),IF(VLOOKUP(M$1,INDIRECT("'"&amp;$A22&amp;"'!$A$12:$Z$19"),MATCH("Points (Auto-generate)",INDIRECT("'"&amp;$A22&amp;"'!$A$12:$Z$12"),0),0)="","?",VLOOKUP(M$1,INDIRECT("'"&amp;$A22&amp;"'!$A$12:$Z$19"),MATCH("Points (Auto-generate)",INDIRECT("'"&amp;$A22&amp;"'!$A$12:$Z$12"),0),0)),"ER"))</f>
        <v>NA</v>
      </c>
    </row>
    <row r="23" customFormat="false" ht="15" hidden="false" customHeight="true" outlineLevel="0" collapsed="false">
      <c r="A23" s="11" t="s">
        <v>425</v>
      </c>
      <c r="B23" s="11" t="str">
        <f aca="false">VLOOKUP($A23,'PARASTATAL Questions'!$A:$J,3,0)&amp;""</f>
        <v>Decentralised Participatory Governance</v>
      </c>
      <c r="C23" s="11" t="str">
        <f aca="false">VLOOKUP($A23,'PARASTATAL Questions'!$A:$J,4,0)&amp;""</f>
        <v>MQ</v>
      </c>
      <c r="D23" s="11" t="str">
        <f aca="false">VLOOKUP($A23,'PARASTATAL Questions'!$A:$J,5,0)&amp;""</f>
        <v>Are the functions and geographical jurisdiction of the parastatal clearly defined vis-à-vis the ULG and other relevant agencies?</v>
      </c>
      <c r="E23" s="11" t="str">
        <f aca="false">VLOOKUP($A23,'PARASTATAL Questions'!$A:$J,7,0)&amp;""</f>
        <v>Institutional Design</v>
      </c>
      <c r="F23" s="11" t="n">
        <f aca="false">VLOOKUP($A23,'PARASTATAL Questions'!$A:$J,6,0)</f>
        <v>10</v>
      </c>
      <c r="G23" s="11" t="n">
        <f aca="false">IF(OR(G24="ER",G25="ER"),"ER",IF(OR(G24="?",G25="?"),"?",IF(AND(G24="NA",G25="NA"),"NA",SUM(G24,G25)/((G24&lt;&gt;"NA")*$F$24+(G25&lt;&gt;"NA")*$F$25)*$F23)))</f>
        <v>2.5</v>
      </c>
      <c r="H23" s="11" t="str">
        <f aca="false">IF(OR(H24="ER",H25="ER"),"ER",IF(OR(H24="?",H25="?"),"?",IF(AND(H24="NA",H25="NA"),"NA",SUM(H24,H25)/((H24&lt;&gt;"NA")*$F$24+(H25&lt;&gt;"NA")*$F$25)*$F23)))</f>
        <v>?</v>
      </c>
      <c r="I23" s="11" t="n">
        <f aca="false">IF(OR(I24="ER",I25="ER"),"ER",IF(OR(I24="?",I25="?"),"?",IF(AND(I24="NA",I25="NA"),"NA",SUM(I24,I25)/((I24&lt;&gt;"NA")*$F$24+(I25&lt;&gt;"NA")*$F$25)*$F23)))</f>
        <v>2.5</v>
      </c>
      <c r="J23" s="11" t="n">
        <f aca="false">IF(OR(J24="ER",J25="ER"),"ER",IF(OR(J24="?",J25="?"),"?",IF(AND(J24="NA",J25="NA"),"NA",SUM(J24,J25)/((J24&lt;&gt;"NA")*$F$24+(J25&lt;&gt;"NA")*$F$25)*$F23)))</f>
        <v>7.5</v>
      </c>
      <c r="K23" s="11" t="str">
        <f aca="false">IF(OR(K24="ER",K25="ER"),"ER",IF(OR(K24="?",K25="?"),"?",IF(AND(K24="NA",K25="NA"),"NA",SUM(K24,K25)/((K24&lt;&gt;"NA")*$F$24+(K25&lt;&gt;"NA")*$F$25)*$F23)))</f>
        <v>?</v>
      </c>
      <c r="L23" s="11" t="str">
        <f aca="false">IF(OR(L24="ER",L25="ER"),"ER",IF(OR(L24="?",L25="?"),"?",IF(AND(L24="NA",L25="NA"),"NA",SUM(L24,L25)/((L24&lt;&gt;"NA")*$F$24+(L25&lt;&gt;"NA")*$F$25)*$F23)))</f>
        <v>?</v>
      </c>
      <c r="M23" s="11" t="str">
        <f aca="false">IF(OR(M24="ER",M25="ER"),"ER",IF(OR(M24="?",M25="?"),"?",IF(AND(M24="NA",M25="NA"),"NA",SUM(M24,M25)/((M24&lt;&gt;"NA")*$F$24+(M25&lt;&gt;"NA")*$F$25)*$F23)))</f>
        <v>?</v>
      </c>
    </row>
    <row r="24" customFormat="false" ht="15" hidden="false" customHeight="true" outlineLevel="0" collapsed="false">
      <c r="A24" s="9" t="s">
        <v>123</v>
      </c>
      <c r="B24" s="9" t="str">
        <f aca="false">VLOOKUP($A24,'PARASTATAL Questions'!$A:$J,3,0)&amp;""</f>
        <v>Decentralised Participatory Governance</v>
      </c>
      <c r="C24" s="9" t="str">
        <f aca="false">VLOOKUP($A24,'PARASTATAL Questions'!$A:$J,4,0)&amp;""</f>
        <v>SQ</v>
      </c>
      <c r="D24" s="9" t="str">
        <f aca="false">VLOOKUP($A24,'PARASTATAL Questions'!$A:$J,5,0)&amp;""</f>
        <v>Does the legal framework clearly demarcate the functions/responsibilities of the parastatal vis-à-vis the ULG?</v>
      </c>
      <c r="E24" s="9" t="str">
        <f aca="false">VLOOKUP($A24,'PARASTATAL Questions'!$A:$J,7,0)&amp;""</f>
        <v>Institutional Design</v>
      </c>
      <c r="F24" s="9" t="n">
        <f aca="false">VLOOKUP($A24,'PARASTATAL Questions'!$A:$J,6,0)</f>
        <v>5</v>
      </c>
      <c r="G24" s="9" t="n">
        <f aca="true">IF($F24=0,"NA",IF($A24=INDIRECT("'"&amp;$A24&amp;"'!$B$1"),IF(VLOOKUP(G$1,INDIRECT("'"&amp;$A24&amp;"'!$A$12:$Z$19"),MATCH("Points (Auto-generate)",INDIRECT("'"&amp;$A24&amp;"'!$A$12:$Z$12"),0),0)="","?",VLOOKUP(G$1,INDIRECT("'"&amp;$A24&amp;"'!$A$12:$Z$19"),MATCH("Points (Auto-generate)",INDIRECT("'"&amp;$A24&amp;"'!$A$12:$Z$12"),0),0)),"ER"))</f>
        <v>0</v>
      </c>
      <c r="H24" s="9" t="str">
        <f aca="true">IF($F24=0,"NA",IF($A24=INDIRECT("'"&amp;$A24&amp;"'!$B$1"),IF(VLOOKUP(H$1,INDIRECT("'"&amp;$A24&amp;"'!$A$12:$Z$19"),MATCH("Points (Auto-generate)",INDIRECT("'"&amp;$A24&amp;"'!$A$12:$Z$12"),0),0)="","?",VLOOKUP(H$1,INDIRECT("'"&amp;$A24&amp;"'!$A$12:$Z$19"),MATCH("Points (Auto-generate)",INDIRECT("'"&amp;$A24&amp;"'!$A$12:$Z$12"),0),0)),"ER"))</f>
        <v>?</v>
      </c>
      <c r="I24" s="9" t="n">
        <f aca="true">IF($F24=0,"NA",IF($A24=INDIRECT("'"&amp;$A24&amp;"'!$B$1"),IF(VLOOKUP(I$1,INDIRECT("'"&amp;$A24&amp;"'!$A$12:$Z$19"),MATCH("Points (Auto-generate)",INDIRECT("'"&amp;$A24&amp;"'!$A$12:$Z$12"),0),0)="","?",VLOOKUP(I$1,INDIRECT("'"&amp;$A24&amp;"'!$A$12:$Z$19"),MATCH("Points (Auto-generate)",INDIRECT("'"&amp;$A24&amp;"'!$A$12:$Z$12"),0),0)),"ER"))</f>
        <v>0</v>
      </c>
      <c r="J24" s="9" t="n">
        <f aca="true">IF($F24=0,"NA",IF($A24=INDIRECT("'"&amp;$A24&amp;"'!$B$1"),IF(VLOOKUP(J$1,INDIRECT("'"&amp;$A24&amp;"'!$A$12:$Z$19"),MATCH("Points (Auto-generate)",INDIRECT("'"&amp;$A24&amp;"'!$A$12:$Z$12"),0),0)="","?",VLOOKUP(J$1,INDIRECT("'"&amp;$A24&amp;"'!$A$12:$Z$19"),MATCH("Points (Auto-generate)",INDIRECT("'"&amp;$A24&amp;"'!$A$12:$Z$12"),0),0)),"ER"))</f>
        <v>5</v>
      </c>
      <c r="K24" s="9" t="str">
        <f aca="true">IF($F24=0,"NA",IF($A24=INDIRECT("'"&amp;$A24&amp;"'!$B$1"),IF(VLOOKUP(K$1,INDIRECT("'"&amp;$A24&amp;"'!$A$12:$Z$19"),MATCH("Points (Auto-generate)",INDIRECT("'"&amp;$A24&amp;"'!$A$12:$Z$12"),0),0)="","?",VLOOKUP(K$1,INDIRECT("'"&amp;$A24&amp;"'!$A$12:$Z$19"),MATCH("Points (Auto-generate)",INDIRECT("'"&amp;$A24&amp;"'!$A$12:$Z$12"),0),0)),"ER"))</f>
        <v>?</v>
      </c>
      <c r="L24" s="9" t="str">
        <f aca="true">IF($F24=0,"NA",IF($A24=INDIRECT("'"&amp;$A24&amp;"'!$B$1"),IF(VLOOKUP(L$1,INDIRECT("'"&amp;$A24&amp;"'!$A$12:$Z$19"),MATCH("Points (Auto-generate)",INDIRECT("'"&amp;$A24&amp;"'!$A$12:$Z$12"),0),0)="","?",VLOOKUP(L$1,INDIRECT("'"&amp;$A24&amp;"'!$A$12:$Z$19"),MATCH("Points (Auto-generate)",INDIRECT("'"&amp;$A24&amp;"'!$A$12:$Z$12"),0),0)),"ER"))</f>
        <v>?</v>
      </c>
      <c r="M24" s="9" t="str">
        <f aca="true">IF($F24=0,"NA",IF($A24=INDIRECT("'"&amp;$A24&amp;"'!$B$1"),IF(VLOOKUP(M$1,INDIRECT("'"&amp;$A24&amp;"'!$A$12:$Z$19"),MATCH("Points (Auto-generate)",INDIRECT("'"&amp;$A24&amp;"'!$A$12:$Z$12"),0),0)="","?",VLOOKUP(M$1,INDIRECT("'"&amp;$A24&amp;"'!$A$12:$Z$19"),MATCH("Points (Auto-generate)",INDIRECT("'"&amp;$A24&amp;"'!$A$12:$Z$12"),0),0)),"ER"))</f>
        <v>?</v>
      </c>
    </row>
    <row r="25" customFormat="false" ht="15" hidden="false" customHeight="true" outlineLevel="0" collapsed="false">
      <c r="A25" s="9" t="s">
        <v>140</v>
      </c>
      <c r="B25" s="9" t="str">
        <f aca="false">VLOOKUP($A25,'PARASTATAL Questions'!$A:$J,3,0)&amp;""</f>
        <v>Decentralised Participatory Governance</v>
      </c>
      <c r="C25" s="9" t="str">
        <f aca="false">VLOOKUP($A25,'PARASTATAL Questions'!$A:$J,4,0)&amp;""</f>
        <v>SQ</v>
      </c>
      <c r="D25" s="9" t="str">
        <f aca="false">VLOOKUP($A25,'PARASTATAL Questions'!$A:$J,5,0)&amp;""</f>
        <v>Is the parastatal's territorial/geographic jurisdiction clearly and specifically defined in its enabling legal framework?</v>
      </c>
      <c r="E25" s="9" t="str">
        <f aca="false">VLOOKUP($A25,'PARASTATAL Questions'!$A:$J,7,0)&amp;""</f>
        <v>Institutional Design</v>
      </c>
      <c r="F25" s="9" t="n">
        <f aca="false">VLOOKUP($A25,'PARASTATAL Questions'!$A:$J,6,0)</f>
        <v>5</v>
      </c>
      <c r="G25" s="9" t="n">
        <f aca="true">IF($F25=0,"NA",IF($A25=INDIRECT("'"&amp;$A25&amp;"'!$B$1"),IF(VLOOKUP(G$1,INDIRECT("'"&amp;$A25&amp;"'!$A$12:$Z$19"),MATCH("Points (Auto-generate)",INDIRECT("'"&amp;$A25&amp;"'!$A$12:$Z$12"),0),0)="","?",VLOOKUP(G$1,INDIRECT("'"&amp;$A25&amp;"'!$A$12:$Z$19"),MATCH("Points (Auto-generate)",INDIRECT("'"&amp;$A25&amp;"'!$A$12:$Z$12"),0),0)),"ER"))</f>
        <v>2.5</v>
      </c>
      <c r="H25" s="9" t="str">
        <f aca="true">IF($F25=0,"NA",IF($A25=INDIRECT("'"&amp;$A25&amp;"'!$B$1"),IF(VLOOKUP(H$1,INDIRECT("'"&amp;$A25&amp;"'!$A$12:$Z$19"),MATCH("Points (Auto-generate)",INDIRECT("'"&amp;$A25&amp;"'!$A$12:$Z$12"),0),0)="","?",VLOOKUP(H$1,INDIRECT("'"&amp;$A25&amp;"'!$A$12:$Z$19"),MATCH("Points (Auto-generate)",INDIRECT("'"&amp;$A25&amp;"'!$A$12:$Z$12"),0),0)),"ER"))</f>
        <v>?</v>
      </c>
      <c r="I25" s="9" t="n">
        <f aca="true">IF($F25=0,"NA",IF($A25=INDIRECT("'"&amp;$A25&amp;"'!$B$1"),IF(VLOOKUP(I$1,INDIRECT("'"&amp;$A25&amp;"'!$A$12:$Z$19"),MATCH("Points (Auto-generate)",INDIRECT("'"&amp;$A25&amp;"'!$A$12:$Z$12"),0),0)="","?",VLOOKUP(I$1,INDIRECT("'"&amp;$A25&amp;"'!$A$12:$Z$19"),MATCH("Points (Auto-generate)",INDIRECT("'"&amp;$A25&amp;"'!$A$12:$Z$12"),0),0)),"ER"))</f>
        <v>2.5</v>
      </c>
      <c r="J25" s="9" t="n">
        <f aca="true">IF($F25=0,"NA",IF($A25=INDIRECT("'"&amp;$A25&amp;"'!$B$1"),IF(VLOOKUP(J$1,INDIRECT("'"&amp;$A25&amp;"'!$A$12:$Z$19"),MATCH("Points (Auto-generate)",INDIRECT("'"&amp;$A25&amp;"'!$A$12:$Z$12"),0),0)="","?",VLOOKUP(J$1,INDIRECT("'"&amp;$A25&amp;"'!$A$12:$Z$19"),MATCH("Points (Auto-generate)",INDIRECT("'"&amp;$A25&amp;"'!$A$12:$Z$12"),0),0)),"ER"))</f>
        <v>2.5</v>
      </c>
      <c r="K25" s="9" t="n">
        <f aca="true">IF($F25=0,"NA",IF($A25=INDIRECT("'"&amp;$A25&amp;"'!$B$1"),IF(VLOOKUP(K$1,INDIRECT("'"&amp;$A25&amp;"'!$A$12:$Z$19"),MATCH("Points (Auto-generate)",INDIRECT("'"&amp;$A25&amp;"'!$A$12:$Z$12"),0),0)="","?",VLOOKUP(K$1,INDIRECT("'"&amp;$A25&amp;"'!$A$12:$Z$19"),MATCH("Points (Auto-generate)",INDIRECT("'"&amp;$A25&amp;"'!$A$12:$Z$12"),0),0)),"ER"))</f>
        <v>5</v>
      </c>
      <c r="L25" s="9" t="str">
        <f aca="true">IF($F25=0,"NA",IF($A25=INDIRECT("'"&amp;$A25&amp;"'!$B$1"),IF(VLOOKUP(L$1,INDIRECT("'"&amp;$A25&amp;"'!$A$12:$Z$19"),MATCH("Points (Auto-generate)",INDIRECT("'"&amp;$A25&amp;"'!$A$12:$Z$12"),0),0)="","?",VLOOKUP(L$1,INDIRECT("'"&amp;$A25&amp;"'!$A$12:$Z$19"),MATCH("Points (Auto-generate)",INDIRECT("'"&amp;$A25&amp;"'!$A$12:$Z$12"),0),0)),"ER"))</f>
        <v>?</v>
      </c>
      <c r="M25" s="9" t="str">
        <f aca="true">IF($F25=0,"NA",IF($A25=INDIRECT("'"&amp;$A25&amp;"'!$B$1"),IF(VLOOKUP(M$1,INDIRECT("'"&amp;$A25&amp;"'!$A$12:$Z$19"),MATCH("Points (Auto-generate)",INDIRECT("'"&amp;$A25&amp;"'!$A$12:$Z$12"),0),0)="","?",VLOOKUP(M$1,INDIRECT("'"&amp;$A25&amp;"'!$A$12:$Z$19"),MATCH("Points (Auto-generate)",INDIRECT("'"&amp;$A25&amp;"'!$A$12:$Z$12"),0),0)),"ER"))</f>
        <v>?</v>
      </c>
    </row>
    <row r="26" customFormat="false" ht="15" hidden="false" customHeight="true" outlineLevel="0" collapsed="false">
      <c r="A26" s="11" t="s">
        <v>426</v>
      </c>
      <c r="B26" s="11" t="str">
        <f aca="false">VLOOKUP($A26,'PARASTATAL Questions'!$A:$J,3,0)&amp;""</f>
        <v>Decentralised Participatory Governance</v>
      </c>
      <c r="C26" s="11" t="str">
        <f aca="false">VLOOKUP($A26,'PARASTATAL Questions'!$A:$J,4,0)&amp;""</f>
        <v>MQ</v>
      </c>
      <c r="D26" s="11" t="str">
        <f aca="false">VLOOKUP($A26,'PARASTATAL Questions'!$A:$J,5,0)&amp;""</f>
        <v>Is the parastatal accountable to the ULG?</v>
      </c>
      <c r="E26" s="11" t="str">
        <f aca="false">VLOOKUP($A26,'PARASTATAL Questions'!$A:$J,7,0)&amp;""</f>
        <v>Institutional Design</v>
      </c>
      <c r="F26" s="11" t="n">
        <f aca="false">VLOOKUP($A26,'PARASTATAL Questions'!$A:$J,6,0)</f>
        <v>10</v>
      </c>
      <c r="G26" s="11" t="n">
        <f aca="false">IF(OR(G27="ER",G28="ER"),"ER",IF(OR(G27="?",G28="?"),"?",IF(AND(G27="NA",G28="NA"),"NA",SUM(G27,G28)/((G27&lt;&gt;"NA")*$F$27+(G28&lt;&gt;"NA")*$F$28)*$F26)))</f>
        <v>0</v>
      </c>
      <c r="H26" s="11" t="str">
        <f aca="false">IF(OR(H27="ER",H28="ER"),"ER",IF(OR(H27="?",H28="?"),"?",IF(AND(H27="NA",H28="NA"),"NA",SUM(H27,H28)/((H27&lt;&gt;"NA")*$F$27+(H28&lt;&gt;"NA")*$F$28)*$F26)))</f>
        <v>?</v>
      </c>
      <c r="I26" s="11" t="n">
        <f aca="false">IF(OR(I27="ER",I28="ER"),"ER",IF(OR(I27="?",I28="?"),"?",IF(AND(I27="NA",I28="NA"),"NA",SUM(I27,I28)/((I27&lt;&gt;"NA")*$F$27+(I28&lt;&gt;"NA")*$F$28)*$F26)))</f>
        <v>5</v>
      </c>
      <c r="J26" s="11" t="n">
        <f aca="false">IF(OR(J27="ER",J28="ER"),"ER",IF(OR(J27="?",J28="?"),"?",IF(AND(J27="NA",J28="NA"),"NA",SUM(J27,J28)/((J27&lt;&gt;"NA")*$F$27+(J28&lt;&gt;"NA")*$F$28)*$F26)))</f>
        <v>0</v>
      </c>
      <c r="K26" s="11" t="n">
        <f aca="false">IF(OR(K27="ER",K28="ER"),"ER",IF(OR(K27="?",K28="?"),"?",IF(AND(K27="NA",K28="NA"),"NA",SUM(K27,K28)/((K27&lt;&gt;"NA")*$F$27+(K28&lt;&gt;"NA")*$F$28)*$F26)))</f>
        <v>5</v>
      </c>
      <c r="L26" s="11" t="str">
        <f aca="false">IF(OR(L27="ER",L28="ER"),"ER",IF(OR(L27="?",L28="?"),"?",IF(AND(L27="NA",L28="NA"),"NA",SUM(L27,L28)/((L27&lt;&gt;"NA")*$F$27+(L28&lt;&gt;"NA")*$F$28)*$F26)))</f>
        <v>?</v>
      </c>
      <c r="M26" s="11" t="str">
        <f aca="false">IF(OR(M27="ER",M28="ER"),"ER",IF(OR(M27="?",M28="?"),"?",IF(AND(M27="NA",M28="NA"),"NA",SUM(M27,M28)/((M27&lt;&gt;"NA")*$F$27+(M28&lt;&gt;"NA")*$F$28)*$F26)))</f>
        <v>?</v>
      </c>
    </row>
    <row r="27" customFormat="false" ht="15" hidden="false" customHeight="true" outlineLevel="0" collapsed="false">
      <c r="A27" s="9" t="s">
        <v>150</v>
      </c>
      <c r="B27" s="9" t="str">
        <f aca="false">VLOOKUP($A27,'PARASTATAL Questions'!$A:$J,3,0)&amp;""</f>
        <v>Decentralised Participatory Governance</v>
      </c>
      <c r="C27" s="9" t="str">
        <f aca="false">VLOOKUP($A27,'PARASTATAL Questions'!$A:$J,4,0)&amp;""</f>
        <v>SQ</v>
      </c>
      <c r="D27" s="9" t="str">
        <f aca="false">VLOOKUP($A27,'PARASTATAL Questions'!$A:$J,5,0)&amp;""</f>
        <v>Does the ULG have representation on the parastatal's governing board?</v>
      </c>
      <c r="E27" s="9" t="str">
        <f aca="false">VLOOKUP($A27,'PARASTATAL Questions'!$A:$J,7,0)&amp;""</f>
        <v>Institutional Design</v>
      </c>
      <c r="F27" s="9" t="n">
        <f aca="false">VLOOKUP($A27,'PARASTATAL Questions'!$A:$J,6,0)</f>
        <v>5</v>
      </c>
      <c r="G27" s="9" t="n">
        <f aca="true">IF($F27=0,"NA",IF($A27=INDIRECT("'"&amp;$A27&amp;"'!$B$1"),IF(VLOOKUP(G$1,INDIRECT("'"&amp;$A27&amp;"'!$A$12:$Z$19"),MATCH("Points (Auto-generate)",INDIRECT("'"&amp;$A27&amp;"'!$A$12:$Z$12"),0),0)="","?",VLOOKUP(G$1,INDIRECT("'"&amp;$A27&amp;"'!$A$12:$Z$19"),MATCH("Points (Auto-generate)",INDIRECT("'"&amp;$A27&amp;"'!$A$12:$Z$12"),0),0)),"ER"))</f>
        <v>0</v>
      </c>
      <c r="H27" s="9" t="str">
        <f aca="true">IF($F27=0,"NA",IF($A27=INDIRECT("'"&amp;$A27&amp;"'!$B$1"),IF(VLOOKUP(H$1,INDIRECT("'"&amp;$A27&amp;"'!$A$12:$Z$19"),MATCH("Points (Auto-generate)",INDIRECT("'"&amp;$A27&amp;"'!$A$12:$Z$12"),0),0)="","?",VLOOKUP(H$1,INDIRECT("'"&amp;$A27&amp;"'!$A$12:$Z$19"),MATCH("Points (Auto-generate)",INDIRECT("'"&amp;$A27&amp;"'!$A$12:$Z$12"),0),0)),"ER"))</f>
        <v>?</v>
      </c>
      <c r="I27" s="9" t="n">
        <f aca="true">IF($F27=0,"NA",IF($A27=INDIRECT("'"&amp;$A27&amp;"'!$B$1"),IF(VLOOKUP(I$1,INDIRECT("'"&amp;$A27&amp;"'!$A$12:$Z$19"),MATCH("Points (Auto-generate)",INDIRECT("'"&amp;$A27&amp;"'!$A$12:$Z$12"),0),0)="","?",VLOOKUP(I$1,INDIRECT("'"&amp;$A27&amp;"'!$A$12:$Z$19"),MATCH("Points (Auto-generate)",INDIRECT("'"&amp;$A27&amp;"'!$A$12:$Z$12"),0),0)),"ER"))</f>
        <v>5</v>
      </c>
      <c r="J27" s="9" t="n">
        <f aca="true">IF($F27=0,"NA",IF($A27=INDIRECT("'"&amp;$A27&amp;"'!$B$1"),IF(VLOOKUP(J$1,INDIRECT("'"&amp;$A27&amp;"'!$A$12:$Z$19"),MATCH("Points (Auto-generate)",INDIRECT("'"&amp;$A27&amp;"'!$A$12:$Z$12"),0),0)="","?",VLOOKUP(J$1,INDIRECT("'"&amp;$A27&amp;"'!$A$12:$Z$19"),MATCH("Points (Auto-generate)",INDIRECT("'"&amp;$A27&amp;"'!$A$12:$Z$12"),0),0)),"ER"))</f>
        <v>0</v>
      </c>
      <c r="K27" s="9" t="n">
        <f aca="true">IF($F27=0,"NA",IF($A27=INDIRECT("'"&amp;$A27&amp;"'!$B$1"),IF(VLOOKUP(K$1,INDIRECT("'"&amp;$A27&amp;"'!$A$12:$Z$19"),MATCH("Points (Auto-generate)",INDIRECT("'"&amp;$A27&amp;"'!$A$12:$Z$12"),0),0)="","?",VLOOKUP(K$1,INDIRECT("'"&amp;$A27&amp;"'!$A$12:$Z$19"),MATCH("Points (Auto-generate)",INDIRECT("'"&amp;$A27&amp;"'!$A$12:$Z$12"),0),0)),"ER"))</f>
        <v>5</v>
      </c>
      <c r="L27" s="9" t="str">
        <f aca="true">IF($F27=0,"NA",IF($A27=INDIRECT("'"&amp;$A27&amp;"'!$B$1"),IF(VLOOKUP(L$1,INDIRECT("'"&amp;$A27&amp;"'!$A$12:$Z$19"),MATCH("Points (Auto-generate)",INDIRECT("'"&amp;$A27&amp;"'!$A$12:$Z$12"),0),0)="","?",VLOOKUP(L$1,INDIRECT("'"&amp;$A27&amp;"'!$A$12:$Z$19"),MATCH("Points (Auto-generate)",INDIRECT("'"&amp;$A27&amp;"'!$A$12:$Z$12"),0),0)),"ER"))</f>
        <v>?</v>
      </c>
      <c r="M27" s="9" t="str">
        <f aca="true">IF($F27=0,"NA",IF($A27=INDIRECT("'"&amp;$A27&amp;"'!$B$1"),IF(VLOOKUP(M$1,INDIRECT("'"&amp;$A27&amp;"'!$A$12:$Z$19"),MATCH("Points (Auto-generate)",INDIRECT("'"&amp;$A27&amp;"'!$A$12:$Z$12"),0),0)="","?",VLOOKUP(M$1,INDIRECT("'"&amp;$A27&amp;"'!$A$12:$Z$19"),MATCH("Points (Auto-generate)",INDIRECT("'"&amp;$A27&amp;"'!$A$12:$Z$12"),0),0)),"ER"))</f>
        <v>?</v>
      </c>
    </row>
    <row r="28" customFormat="false" ht="15" hidden="false" customHeight="true" outlineLevel="0" collapsed="false">
      <c r="A28" s="9" t="s">
        <v>163</v>
      </c>
      <c r="B28" s="9" t="str">
        <f aca="false">VLOOKUP($A28,'PARASTATAL Questions'!$A:$J,3,0)&amp;""</f>
        <v>Decentralised Participatory Governance</v>
      </c>
      <c r="C28" s="9" t="str">
        <f aca="false">VLOOKUP($A28,'PARASTATAL Questions'!$A:$J,4,0)&amp;""</f>
        <v>SQ</v>
      </c>
      <c r="D28" s="9" t="str">
        <f aca="false">VLOOKUP($A28,'PARASTATAL Questions'!$A:$J,5,0)&amp;""</f>
        <v>Is the parastatal mandated to submit its plans, budgets or reports to the ULG/council?</v>
      </c>
      <c r="E28" s="9" t="str">
        <f aca="false">VLOOKUP($A28,'PARASTATAL Questions'!$A:$J,7,0)&amp;""</f>
        <v>Law/Policy</v>
      </c>
      <c r="F28" s="9" t="n">
        <f aca="false">VLOOKUP($A28,'PARASTATAL Questions'!$A:$J,6,0)</f>
        <v>5</v>
      </c>
      <c r="G28" s="9" t="n">
        <f aca="true">IF($F28=0,"NA",IF($A28=INDIRECT("'"&amp;$A28&amp;"'!$B$1"),IF(VLOOKUP(G$1,INDIRECT("'"&amp;$A28&amp;"'!$A$12:$Z$19"),MATCH("Points (Auto-generate)",INDIRECT("'"&amp;$A28&amp;"'!$A$12:$Z$12"),0),0)="","?",VLOOKUP(G$1,INDIRECT("'"&amp;$A28&amp;"'!$A$12:$Z$19"),MATCH("Points (Auto-generate)",INDIRECT("'"&amp;$A28&amp;"'!$A$12:$Z$12"),0),0)),"ER"))</f>
        <v>0</v>
      </c>
      <c r="H28" s="9" t="str">
        <f aca="true">IF($F28=0,"NA",IF($A28=INDIRECT("'"&amp;$A28&amp;"'!$B$1"),IF(VLOOKUP(H$1,INDIRECT("'"&amp;$A28&amp;"'!$A$12:$Z$19"),MATCH("Points (Auto-generate)",INDIRECT("'"&amp;$A28&amp;"'!$A$12:$Z$12"),0),0)="","?",VLOOKUP(H$1,INDIRECT("'"&amp;$A28&amp;"'!$A$12:$Z$19"),MATCH("Points (Auto-generate)",INDIRECT("'"&amp;$A28&amp;"'!$A$12:$Z$12"),0),0)),"ER"))</f>
        <v>?</v>
      </c>
      <c r="I28" s="9" t="n">
        <f aca="true">IF($F28=0,"NA",IF($A28=INDIRECT("'"&amp;$A28&amp;"'!$B$1"),IF(VLOOKUP(I$1,INDIRECT("'"&amp;$A28&amp;"'!$A$12:$Z$19"),MATCH("Points (Auto-generate)",INDIRECT("'"&amp;$A28&amp;"'!$A$12:$Z$12"),0),0)="","?",VLOOKUP(I$1,INDIRECT("'"&amp;$A28&amp;"'!$A$12:$Z$19"),MATCH("Points (Auto-generate)",INDIRECT("'"&amp;$A28&amp;"'!$A$12:$Z$12"),0),0)),"ER"))</f>
        <v>0</v>
      </c>
      <c r="J28" s="9" t="n">
        <f aca="true">IF($F28=0,"NA",IF($A28=INDIRECT("'"&amp;$A28&amp;"'!$B$1"),IF(VLOOKUP(J$1,INDIRECT("'"&amp;$A28&amp;"'!$A$12:$Z$19"),MATCH("Points (Auto-generate)",INDIRECT("'"&amp;$A28&amp;"'!$A$12:$Z$12"),0),0)="","?",VLOOKUP(J$1,INDIRECT("'"&amp;$A28&amp;"'!$A$12:$Z$19"),MATCH("Points (Auto-generate)",INDIRECT("'"&amp;$A28&amp;"'!$A$12:$Z$12"),0),0)),"ER"))</f>
        <v>0</v>
      </c>
      <c r="K28" s="9" t="n">
        <f aca="true">IF($F28=0,"NA",IF($A28=INDIRECT("'"&amp;$A28&amp;"'!$B$1"),IF(VLOOKUP(K$1,INDIRECT("'"&amp;$A28&amp;"'!$A$12:$Z$19"),MATCH("Points (Auto-generate)",INDIRECT("'"&amp;$A28&amp;"'!$A$12:$Z$12"),0),0)="","?",VLOOKUP(K$1,INDIRECT("'"&amp;$A28&amp;"'!$A$12:$Z$19"),MATCH("Points (Auto-generate)",INDIRECT("'"&amp;$A28&amp;"'!$A$12:$Z$12"),0),0)),"ER"))</f>
        <v>0</v>
      </c>
      <c r="L28" s="9" t="str">
        <f aca="true">IF($F28=0,"NA",IF($A28=INDIRECT("'"&amp;$A28&amp;"'!$B$1"),IF(VLOOKUP(L$1,INDIRECT("'"&amp;$A28&amp;"'!$A$12:$Z$19"),MATCH("Points (Auto-generate)",INDIRECT("'"&amp;$A28&amp;"'!$A$12:$Z$12"),0),0)="","?",VLOOKUP(L$1,INDIRECT("'"&amp;$A28&amp;"'!$A$12:$Z$19"),MATCH("Points (Auto-generate)",INDIRECT("'"&amp;$A28&amp;"'!$A$12:$Z$12"),0),0)),"ER"))</f>
        <v>?</v>
      </c>
      <c r="M28" s="9" t="str">
        <f aca="true">IF($F28=0,"NA",IF($A28=INDIRECT("'"&amp;$A28&amp;"'!$B$1"),IF(VLOOKUP(M$1,INDIRECT("'"&amp;$A28&amp;"'!$A$12:$Z$19"),MATCH("Points (Auto-generate)",INDIRECT("'"&amp;$A28&amp;"'!$A$12:$Z$12"),0),0)="","?",VLOOKUP(M$1,INDIRECT("'"&amp;$A28&amp;"'!$A$12:$Z$19"),MATCH("Points (Auto-generate)",INDIRECT("'"&amp;$A28&amp;"'!$A$12:$Z$12"),0),0)),"ER"))</f>
        <v>?</v>
      </c>
    </row>
    <row r="29" customFormat="false" ht="15" hidden="false" customHeight="true" outlineLevel="0" collapsed="false">
      <c r="A29" s="11" t="s">
        <v>173</v>
      </c>
      <c r="B29" s="11" t="str">
        <f aca="false">VLOOKUP($A29,'PARASTATAL Questions'!$A:$J,3,0)&amp;""</f>
        <v>Decentralised Participatory Governance</v>
      </c>
      <c r="C29" s="11" t="str">
        <f aca="false">VLOOKUP($A29,'PARASTATAL Questions'!$A:$J,4,0)&amp;""</f>
        <v>MQ</v>
      </c>
      <c r="D29" s="11" t="str">
        <f aca="false">VLOOKUP($A29,'PARASTATAL Questions'!$A:$J,5,0)&amp;""</f>
        <v>Does the parastatal maintain an active and functional website?</v>
      </c>
      <c r="E29" s="11" t="str">
        <f aca="false">VLOOKUP($A29,'PARASTATAL Questions'!$A:$J,7,0)&amp;""</f>
        <v>Implementation</v>
      </c>
      <c r="F29" s="11" t="n">
        <f aca="false">VLOOKUP($A29,'PARASTATAL Questions'!$A:$J,6,0)</f>
        <v>10</v>
      </c>
      <c r="G29" s="11" t="str">
        <f aca="true">IF($F29=0,"NA",IF($A29=INDIRECT("'"&amp;$A29&amp;"'!$B$1"),IF(VLOOKUP(G$1,INDIRECT("'"&amp;$A29&amp;"'!$A$12:$Z$19"),MATCH("Points (Auto-generate)",INDIRECT("'"&amp;$A29&amp;"'!$A$12:$Z$12"),0),0)="","?",VLOOKUP(G$1,INDIRECT("'"&amp;$A29&amp;"'!$A$12:$Z$19"),MATCH("Points (Auto-generate)",INDIRECT("'"&amp;$A29&amp;"'!$A$12:$Z$12"),0),0)),"ER"))</f>
        <v>?</v>
      </c>
      <c r="H29" s="11" t="n">
        <f aca="true">IF($F29=0,"NA",IF($A29=INDIRECT("'"&amp;$A29&amp;"'!$B$1"),IF(VLOOKUP(H$1,INDIRECT("'"&amp;$A29&amp;"'!$A$12:$Z$19"),MATCH("Points (Auto-generate)",INDIRECT("'"&amp;$A29&amp;"'!$A$12:$Z$12"),0),0)="","?",VLOOKUP(H$1,INDIRECT("'"&amp;$A29&amp;"'!$A$12:$Z$19"),MATCH("Points (Auto-generate)",INDIRECT("'"&amp;$A29&amp;"'!$A$12:$Z$12"),0),0)),"ER"))</f>
        <v>10</v>
      </c>
      <c r="I29" s="11" t="str">
        <f aca="true">IF($F29=0,"NA",IF($A29=INDIRECT("'"&amp;$A29&amp;"'!$B$1"),IF(VLOOKUP(I$1,INDIRECT("'"&amp;$A29&amp;"'!$A$12:$Z$19"),MATCH("Points (Auto-generate)",INDIRECT("'"&amp;$A29&amp;"'!$A$12:$Z$12"),0),0)="","?",VLOOKUP(I$1,INDIRECT("'"&amp;$A29&amp;"'!$A$12:$Z$19"),MATCH("Points (Auto-generate)",INDIRECT("'"&amp;$A29&amp;"'!$A$12:$Z$12"),0),0)),"ER"))</f>
        <v>?</v>
      </c>
      <c r="J29" s="11" t="str">
        <f aca="true">IF($F29=0,"NA",IF($A29=INDIRECT("'"&amp;$A29&amp;"'!$B$1"),IF(VLOOKUP(J$1,INDIRECT("'"&amp;$A29&amp;"'!$A$12:$Z$19"),MATCH("Points (Auto-generate)",INDIRECT("'"&amp;$A29&amp;"'!$A$12:$Z$12"),0),0)="","?",VLOOKUP(J$1,INDIRECT("'"&amp;$A29&amp;"'!$A$12:$Z$19"),MATCH("Points (Auto-generate)",INDIRECT("'"&amp;$A29&amp;"'!$A$12:$Z$12"),0),0)),"ER"))</f>
        <v>?</v>
      </c>
      <c r="K29" s="11" t="n">
        <f aca="true">IF($F29=0,"NA",IF($A29=INDIRECT("'"&amp;$A29&amp;"'!$B$1"),IF(VLOOKUP(K$1,INDIRECT("'"&amp;$A29&amp;"'!$A$12:$Z$19"),MATCH("Points (Auto-generate)",INDIRECT("'"&amp;$A29&amp;"'!$A$12:$Z$12"),0),0)="","?",VLOOKUP(K$1,INDIRECT("'"&amp;$A29&amp;"'!$A$12:$Z$19"),MATCH("Points (Auto-generate)",INDIRECT("'"&amp;$A29&amp;"'!$A$12:$Z$12"),0),0)),"ER"))</f>
        <v>10</v>
      </c>
      <c r="L29" s="11" t="str">
        <f aca="true">IF($F29=0,"NA",IF($A29=INDIRECT("'"&amp;$A29&amp;"'!$B$1"),IF(VLOOKUP(L$1,INDIRECT("'"&amp;$A29&amp;"'!$A$12:$Z$19"),MATCH("Points (Auto-generate)",INDIRECT("'"&amp;$A29&amp;"'!$A$12:$Z$12"),0),0)="","?",VLOOKUP(L$1,INDIRECT("'"&amp;$A29&amp;"'!$A$12:$Z$19"),MATCH("Points (Auto-generate)",INDIRECT("'"&amp;$A29&amp;"'!$A$12:$Z$12"),0),0)),"ER"))</f>
        <v>?</v>
      </c>
      <c r="M29" s="11" t="str">
        <f aca="true">IF($F29=0,"NA",IF($A29=INDIRECT("'"&amp;$A29&amp;"'!$B$1"),IF(VLOOKUP(M$1,INDIRECT("'"&amp;$A29&amp;"'!$A$12:$Z$19"),MATCH("Points (Auto-generate)",INDIRECT("'"&amp;$A29&amp;"'!$A$12:$Z$12"),0),0)="","?",VLOOKUP(M$1,INDIRECT("'"&amp;$A29&amp;"'!$A$12:$Z$19"),MATCH("Points (Auto-generate)",INDIRECT("'"&amp;$A29&amp;"'!$A$12:$Z$12"),0),0)),"ER"))</f>
        <v>?</v>
      </c>
    </row>
    <row r="30" customFormat="false" ht="15" hidden="false" customHeight="true" outlineLevel="0" collapsed="false">
      <c r="A30" s="11" t="s">
        <v>427</v>
      </c>
      <c r="B30" s="11" t="str">
        <f aca="false">VLOOKUP($A30,'PARASTATAL Questions'!$A:$J,3,0)&amp;""</f>
        <v>Decentralised Participatory Governance</v>
      </c>
      <c r="C30" s="11" t="str">
        <f aca="false">VLOOKUP($A30,'PARASTATAL Questions'!$A:$J,4,0)&amp;""</f>
        <v>MQ</v>
      </c>
      <c r="D30" s="11" t="str">
        <f aca="false">VLOOKUP($A30,'PARASTATAL Questions'!$A:$J,5,0)&amp;""</f>
        <v>Are the parastatal's key financial, governance, and operational documents available on the website and published in accessible, open-data formats?</v>
      </c>
      <c r="E30" s="11" t="str">
        <f aca="false">VLOOKUP($A30,'PARASTATAL Questions'!$A:$J,7,0)&amp;""</f>
        <v>Implementation</v>
      </c>
      <c r="F30" s="11" t="n">
        <f aca="false">VLOOKUP($A30,'PARASTATAL Questions'!$A:$J,6,0)</f>
        <v>10</v>
      </c>
      <c r="G30" s="11" t="str">
        <f aca="false">IF(OR(G31="ER",G32="ER",G33="ER",G34="ER",G35="ER",G36="ER",G37="ER",G38="ER",G39="ER",G40="ER"),"ER",IF(OR(G31="?",G32="?",G33="?",G34="?",G35="?",G36="?",G37="?",G38="?",G39="?",G40="?"),"?",IF(AND(G31="NA",G32="NA",G33="NA",G34="NA",G35="NA",G36="NA",G37="NA",G38="NA",G39="NA",G40="NA"),"NA",SUM(G31,G32,G33,G34,G35,G36,G37,G38,G39,G40)/((G31&lt;&gt;"NA")*$F$31+(G32&lt;&gt;"NA")*$F$32+(G33&lt;&gt;"NA")*$F$33+(G34&lt;&gt;"NA")*$F$34+(G35&lt;&gt;"NA")*$F$35+(G36&lt;&gt;"NA")*$F$36+(G37&lt;&gt;"NA")*$F$37+(G38&lt;&gt;"NA")*$F$38+(G39&lt;&gt;"NA")*$F$39+(G40&lt;&gt;"NA")*$F$40)*$F30)))</f>
        <v>?</v>
      </c>
      <c r="H30" s="11" t="str">
        <f aca="false">IF(OR(H31="ER",H32="ER",H33="ER",H34="ER",H35="ER",H36="ER",H37="ER",H38="ER",H39="ER",H40="ER"),"ER",IF(OR(H31="?",H32="?",H33="?",H34="?",H35="?",H36="?",H37="?",H38="?",H39="?",H40="?"),"?",IF(AND(H31="NA",H32="NA",H33="NA",H34="NA",H35="NA",H36="NA",H37="NA",H38="NA",H39="NA",H40="NA"),"NA",SUM(H31,H32,H33,H34,H35,H36,H37,H38,H39,H40)/((H31&lt;&gt;"NA")*$F$31+(H32&lt;&gt;"NA")*$F$32+(H33&lt;&gt;"NA")*$F$33+(H34&lt;&gt;"NA")*$F$34+(H35&lt;&gt;"NA")*$F$35+(H36&lt;&gt;"NA")*$F$36+(H37&lt;&gt;"NA")*$F$37+(H38&lt;&gt;"NA")*$F$38+(H39&lt;&gt;"NA")*$F$39+(H40&lt;&gt;"NA")*$F$40)*$F30)))</f>
        <v>?</v>
      </c>
      <c r="I30" s="11" t="str">
        <f aca="false">IF(OR(I31="ER",I32="ER",I33="ER",I34="ER",I35="ER",I36="ER",I37="ER",I38="ER",I39="ER",I40="ER"),"ER",IF(OR(I31="?",I32="?",I33="?",I34="?",I35="?",I36="?",I37="?",I38="?",I39="?",I40="?"),"?",IF(AND(I31="NA",I32="NA",I33="NA",I34="NA",I35="NA",I36="NA",I37="NA",I38="NA",I39="NA",I40="NA"),"NA",SUM(I31,I32,I33,I34,I35,I36,I37,I38,I39,I40)/((I31&lt;&gt;"NA")*$F$31+(I32&lt;&gt;"NA")*$F$32+(I33&lt;&gt;"NA")*$F$33+(I34&lt;&gt;"NA")*$F$34+(I35&lt;&gt;"NA")*$F$35+(I36&lt;&gt;"NA")*$F$36+(I37&lt;&gt;"NA")*$F$37+(I38&lt;&gt;"NA")*$F$38+(I39&lt;&gt;"NA")*$F$39+(I40&lt;&gt;"NA")*$F$40)*$F30)))</f>
        <v>?</v>
      </c>
      <c r="J30" s="11" t="str">
        <f aca="false">IF(OR(J31="ER",J32="ER",J33="ER",J34="ER",J35="ER",J36="ER",J37="ER",J38="ER",J39="ER",J40="ER"),"ER",IF(OR(J31="?",J32="?",J33="?",J34="?",J35="?",J36="?",J37="?",J38="?",J39="?",J40="?"),"?",IF(AND(J31="NA",J32="NA",J33="NA",J34="NA",J35="NA",J36="NA",J37="NA",J38="NA",J39="NA",J40="NA"),"NA",SUM(J31,J32,J33,J34,J35,J36,J37,J38,J39,J40)/((J31&lt;&gt;"NA")*$F$31+(J32&lt;&gt;"NA")*$F$32+(J33&lt;&gt;"NA")*$F$33+(J34&lt;&gt;"NA")*$F$34+(J35&lt;&gt;"NA")*$F$35+(J36&lt;&gt;"NA")*$F$36+(J37&lt;&gt;"NA")*$F$37+(J38&lt;&gt;"NA")*$F$38+(J39&lt;&gt;"NA")*$F$39+(J40&lt;&gt;"NA")*$F$40)*$F30)))</f>
        <v>?</v>
      </c>
      <c r="K30" s="11" t="str">
        <f aca="false">IF(OR(K31="ER",K32="ER",K33="ER",K34="ER",K35="ER",K36="ER",K37="ER",K38="ER",K39="ER",K40="ER"),"ER",IF(OR(K31="?",K32="?",K33="?",K34="?",K35="?",K36="?",K37="?",K38="?",K39="?",K40="?"),"?",IF(AND(K31="NA",K32="NA",K33="NA",K34="NA",K35="NA",K36="NA",K37="NA",K38="NA",K39="NA",K40="NA"),"NA",SUM(K31,K32,K33,K34,K35,K36,K37,K38,K39,K40)/((K31&lt;&gt;"NA")*$F$31+(K32&lt;&gt;"NA")*$F$32+(K33&lt;&gt;"NA")*$F$33+(K34&lt;&gt;"NA")*$F$34+(K35&lt;&gt;"NA")*$F$35+(K36&lt;&gt;"NA")*$F$36+(K37&lt;&gt;"NA")*$F$37+(K38&lt;&gt;"NA")*$F$38+(K39&lt;&gt;"NA")*$F$39+(K40&lt;&gt;"NA")*$F$40)*$F30)))</f>
        <v>?</v>
      </c>
      <c r="L30" s="11" t="str">
        <f aca="false">IF(OR(L31="ER",L32="ER",L33="ER",L34="ER",L35="ER",L36="ER",L37="ER",L38="ER",L39="ER",L40="ER"),"ER",IF(OR(L31="?",L32="?",L33="?",L34="?",L35="?",L36="?",L37="?",L38="?",L39="?",L40="?"),"?",IF(AND(L31="NA",L32="NA",L33="NA",L34="NA",L35="NA",L36="NA",L37="NA",L38="NA",L39="NA",L40="NA"),"NA",SUM(L31,L32,L33,L34,L35,L36,L37,L38,L39,L40)/((L31&lt;&gt;"NA")*$F$31+(L32&lt;&gt;"NA")*$F$32+(L33&lt;&gt;"NA")*$F$33+(L34&lt;&gt;"NA")*$F$34+(L35&lt;&gt;"NA")*$F$35+(L36&lt;&gt;"NA")*$F$36+(L37&lt;&gt;"NA")*$F$37+(L38&lt;&gt;"NA")*$F$38+(L39&lt;&gt;"NA")*$F$39+(L40&lt;&gt;"NA")*$F$40)*$F30)))</f>
        <v>?</v>
      </c>
      <c r="M30" s="11" t="str">
        <f aca="false">IF(OR(M31="ER",M32="ER",M33="ER",M34="ER",M35="ER",M36="ER",M37="ER",M38="ER",M39="ER",M40="ER"),"ER",IF(OR(M31="?",M32="?",M33="?",M34="?",M35="?",M36="?",M37="?",M38="?",M39="?",M40="?"),"?",IF(AND(M31="NA",M32="NA",M33="NA",M34="NA",M35="NA",M36="NA",M37="NA",M38="NA",M39="NA",M40="NA"),"NA",SUM(M31,M32,M33,M34,M35,M36,M37,M38,M39,M40)/((M31&lt;&gt;"NA")*$F$31+(M32&lt;&gt;"NA")*$F$32+(M33&lt;&gt;"NA")*$F$33+(M34&lt;&gt;"NA")*$F$34+(M35&lt;&gt;"NA")*$F$35+(M36&lt;&gt;"NA")*$F$36+(M37&lt;&gt;"NA")*$F$37+(M38&lt;&gt;"NA")*$F$38+(M39&lt;&gt;"NA")*$F$39+(M40&lt;&gt;"NA")*$F$40)*$F30)))</f>
        <v>?</v>
      </c>
    </row>
    <row r="31" customFormat="false" ht="15" hidden="false" customHeight="true" outlineLevel="0" collapsed="false">
      <c r="A31" s="9" t="s">
        <v>195</v>
      </c>
      <c r="B31" s="9" t="str">
        <f aca="false">VLOOKUP($A31,'PARASTATAL Questions'!$A:$J,3,0)&amp;""</f>
        <v>Decentralised Participatory Governance</v>
      </c>
      <c r="C31" s="9" t="str">
        <f aca="false">VLOOKUP($A31,'PARASTATAL Questions'!$A:$J,4,0)&amp;""</f>
        <v>SQ</v>
      </c>
      <c r="D31" s="9" t="str">
        <f aca="false">VLOOKUP($A31,'PARASTATAL Questions'!$A:$J,5,0)&amp;""</f>
        <v>Annual budget</v>
      </c>
      <c r="E31" s="9" t="str">
        <f aca="false">VLOOKUP($A31,'PARASTATAL Questions'!$A:$J,7,0)&amp;""</f>
        <v>Implementation</v>
      </c>
      <c r="F31" s="9" t="n">
        <f aca="false">VLOOKUP($A31,'PARASTATAL Questions'!$A:$J,6,0)</f>
        <v>1</v>
      </c>
      <c r="G31" s="9" t="str">
        <f aca="true">IF($F31=0,"NA",IF($A31=INDIRECT("'"&amp;$A31&amp;"'!$B$1"),IF(VLOOKUP(G$1,INDIRECT("'"&amp;$A31&amp;"'!$A$12:$Z$19"),MATCH("Points (Auto-generate)",INDIRECT("'"&amp;$A31&amp;"'!$A$12:$Z$12"),0),0)="","?",VLOOKUP(G$1,INDIRECT("'"&amp;$A31&amp;"'!$A$12:$Z$19"),MATCH("Points (Auto-generate)",INDIRECT("'"&amp;$A31&amp;"'!$A$12:$Z$12"),0),0)),"ER"))</f>
        <v>?</v>
      </c>
      <c r="H31" s="9" t="str">
        <f aca="true">IF($F31=0,"NA",IF($A31=INDIRECT("'"&amp;$A31&amp;"'!$B$1"),IF(VLOOKUP(H$1,INDIRECT("'"&amp;$A31&amp;"'!$A$12:$Z$19"),MATCH("Points (Auto-generate)",INDIRECT("'"&amp;$A31&amp;"'!$A$12:$Z$12"),0),0)="","?",VLOOKUP(H$1,INDIRECT("'"&amp;$A31&amp;"'!$A$12:$Z$19"),MATCH("Points (Auto-generate)",INDIRECT("'"&amp;$A31&amp;"'!$A$12:$Z$12"),0),0)),"ER"))</f>
        <v>?</v>
      </c>
      <c r="I31" s="9" t="str">
        <f aca="true">IF($F31=0,"NA",IF($A31=INDIRECT("'"&amp;$A31&amp;"'!$B$1"),IF(VLOOKUP(I$1,INDIRECT("'"&amp;$A31&amp;"'!$A$12:$Z$19"),MATCH("Points (Auto-generate)",INDIRECT("'"&amp;$A31&amp;"'!$A$12:$Z$12"),0),0)="","?",VLOOKUP(I$1,INDIRECT("'"&amp;$A31&amp;"'!$A$12:$Z$19"),MATCH("Points (Auto-generate)",INDIRECT("'"&amp;$A31&amp;"'!$A$12:$Z$12"),0),0)),"ER"))</f>
        <v>?</v>
      </c>
      <c r="J31" s="9" t="str">
        <f aca="true">IF($F31=0,"NA",IF($A31=INDIRECT("'"&amp;$A31&amp;"'!$B$1"),IF(VLOOKUP(J$1,INDIRECT("'"&amp;$A31&amp;"'!$A$12:$Z$19"),MATCH("Points (Auto-generate)",INDIRECT("'"&amp;$A31&amp;"'!$A$12:$Z$12"),0),0)="","?",VLOOKUP(J$1,INDIRECT("'"&amp;$A31&amp;"'!$A$12:$Z$19"),MATCH("Points (Auto-generate)",INDIRECT("'"&amp;$A31&amp;"'!$A$12:$Z$12"),0),0)),"ER"))</f>
        <v>?</v>
      </c>
      <c r="K31" s="9" t="str">
        <f aca="true">IF($F31=0,"NA",IF($A31=INDIRECT("'"&amp;$A31&amp;"'!$B$1"),IF(VLOOKUP(K$1,INDIRECT("'"&amp;$A31&amp;"'!$A$12:$Z$19"),MATCH("Points (Auto-generate)",INDIRECT("'"&amp;$A31&amp;"'!$A$12:$Z$12"),0),0)="","?",VLOOKUP(K$1,INDIRECT("'"&amp;$A31&amp;"'!$A$12:$Z$19"),MATCH("Points (Auto-generate)",INDIRECT("'"&amp;$A31&amp;"'!$A$12:$Z$12"),0),0)),"ER"))</f>
        <v>?</v>
      </c>
      <c r="L31" s="9" t="str">
        <f aca="true">IF($F31=0,"NA",IF($A31=INDIRECT("'"&amp;$A31&amp;"'!$B$1"),IF(VLOOKUP(L$1,INDIRECT("'"&amp;$A31&amp;"'!$A$12:$Z$19"),MATCH("Points (Auto-generate)",INDIRECT("'"&amp;$A31&amp;"'!$A$12:$Z$12"),0),0)="","?",VLOOKUP(L$1,INDIRECT("'"&amp;$A31&amp;"'!$A$12:$Z$19"),MATCH("Points (Auto-generate)",INDIRECT("'"&amp;$A31&amp;"'!$A$12:$Z$12"),0),0)),"ER"))</f>
        <v>?</v>
      </c>
      <c r="M31" s="9" t="str">
        <f aca="true">IF($F31=0,"NA",IF($A31=INDIRECT("'"&amp;$A31&amp;"'!$B$1"),IF(VLOOKUP(M$1,INDIRECT("'"&amp;$A31&amp;"'!$A$12:$Z$19"),MATCH("Points (Auto-generate)",INDIRECT("'"&amp;$A31&amp;"'!$A$12:$Z$12"),0),0)="","?",VLOOKUP(M$1,INDIRECT("'"&amp;$A31&amp;"'!$A$12:$Z$19"),MATCH("Points (Auto-generate)",INDIRECT("'"&amp;$A31&amp;"'!$A$12:$Z$12"),0),0)),"ER"))</f>
        <v>?</v>
      </c>
    </row>
    <row r="32" customFormat="false" ht="15" hidden="false" customHeight="true" outlineLevel="0" collapsed="false">
      <c r="A32" s="9" t="s">
        <v>203</v>
      </c>
      <c r="B32" s="9" t="str">
        <f aca="false">VLOOKUP($A32,'PARASTATAL Questions'!$A:$J,3,0)&amp;""</f>
        <v>Decentralised Participatory Governance</v>
      </c>
      <c r="C32" s="9" t="str">
        <f aca="false">VLOOKUP($A32,'PARASTATAL Questions'!$A:$J,4,0)&amp;""</f>
        <v>SQ</v>
      </c>
      <c r="D32" s="9" t="str">
        <f aca="false">VLOOKUP($A32,'PARASTATAL Questions'!$A:$J,5,0)&amp;""</f>
        <v>Audited annual accounts</v>
      </c>
      <c r="E32" s="9" t="str">
        <f aca="false">VLOOKUP($A32,'PARASTATAL Questions'!$A:$J,7,0)&amp;""</f>
        <v>Implementation</v>
      </c>
      <c r="F32" s="9" t="n">
        <f aca="false">VLOOKUP($A32,'PARASTATAL Questions'!$A:$J,6,0)</f>
        <v>1</v>
      </c>
      <c r="G32" s="9" t="str">
        <f aca="true">IF($F32=0,"NA",IF($A32=INDIRECT("'"&amp;$A32&amp;"'!$B$1"),IF(VLOOKUP(G$1,INDIRECT("'"&amp;$A32&amp;"'!$A$12:$Z$19"),MATCH("Points (Auto-generate)",INDIRECT("'"&amp;$A32&amp;"'!$A$12:$Z$12"),0),0)="","?",VLOOKUP(G$1,INDIRECT("'"&amp;$A32&amp;"'!$A$12:$Z$19"),MATCH("Points (Auto-generate)",INDIRECT("'"&amp;$A32&amp;"'!$A$12:$Z$12"),0),0)),"ER"))</f>
        <v>?</v>
      </c>
      <c r="H32" s="9" t="str">
        <f aca="true">IF($F32=0,"NA",IF($A32=INDIRECT("'"&amp;$A32&amp;"'!$B$1"),IF(VLOOKUP(H$1,INDIRECT("'"&amp;$A32&amp;"'!$A$12:$Z$19"),MATCH("Points (Auto-generate)",INDIRECT("'"&amp;$A32&amp;"'!$A$12:$Z$12"),0),0)="","?",VLOOKUP(H$1,INDIRECT("'"&amp;$A32&amp;"'!$A$12:$Z$19"),MATCH("Points (Auto-generate)",INDIRECT("'"&amp;$A32&amp;"'!$A$12:$Z$12"),0),0)),"ER"))</f>
        <v>?</v>
      </c>
      <c r="I32" s="9" t="str">
        <f aca="true">IF($F32=0,"NA",IF($A32=INDIRECT("'"&amp;$A32&amp;"'!$B$1"),IF(VLOOKUP(I$1,INDIRECT("'"&amp;$A32&amp;"'!$A$12:$Z$19"),MATCH("Points (Auto-generate)",INDIRECT("'"&amp;$A32&amp;"'!$A$12:$Z$12"),0),0)="","?",VLOOKUP(I$1,INDIRECT("'"&amp;$A32&amp;"'!$A$12:$Z$19"),MATCH("Points (Auto-generate)",INDIRECT("'"&amp;$A32&amp;"'!$A$12:$Z$12"),0),0)),"ER"))</f>
        <v>?</v>
      </c>
      <c r="J32" s="9" t="n">
        <f aca="true">IF($F32=0,"NA",IF($A32=INDIRECT("'"&amp;$A32&amp;"'!$B$1"),IF(VLOOKUP(J$1,INDIRECT("'"&amp;$A32&amp;"'!$A$12:$Z$19"),MATCH("Points (Auto-generate)",INDIRECT("'"&amp;$A32&amp;"'!$A$12:$Z$12"),0),0)="","?",VLOOKUP(J$1,INDIRECT("'"&amp;$A32&amp;"'!$A$12:$Z$19"),MATCH("Points (Auto-generate)",INDIRECT("'"&amp;$A32&amp;"'!$A$12:$Z$12"),0),0)),"ER"))</f>
        <v>0</v>
      </c>
      <c r="K32" s="9" t="str">
        <f aca="true">IF($F32=0,"NA",IF($A32=INDIRECT("'"&amp;$A32&amp;"'!$B$1"),IF(VLOOKUP(K$1,INDIRECT("'"&amp;$A32&amp;"'!$A$12:$Z$19"),MATCH("Points (Auto-generate)",INDIRECT("'"&amp;$A32&amp;"'!$A$12:$Z$12"),0),0)="","?",VLOOKUP(K$1,INDIRECT("'"&amp;$A32&amp;"'!$A$12:$Z$19"),MATCH("Points (Auto-generate)",INDIRECT("'"&amp;$A32&amp;"'!$A$12:$Z$12"),0),0)),"ER"))</f>
        <v>?</v>
      </c>
      <c r="L32" s="9" t="str">
        <f aca="true">IF($F32=0,"NA",IF($A32=INDIRECT("'"&amp;$A32&amp;"'!$B$1"),IF(VLOOKUP(L$1,INDIRECT("'"&amp;$A32&amp;"'!$A$12:$Z$19"),MATCH("Points (Auto-generate)",INDIRECT("'"&amp;$A32&amp;"'!$A$12:$Z$12"),0),0)="","?",VLOOKUP(L$1,INDIRECT("'"&amp;$A32&amp;"'!$A$12:$Z$19"),MATCH("Points (Auto-generate)",INDIRECT("'"&amp;$A32&amp;"'!$A$12:$Z$12"),0),0)),"ER"))</f>
        <v>?</v>
      </c>
      <c r="M32" s="9" t="str">
        <f aca="true">IF($F32=0,"NA",IF($A32=INDIRECT("'"&amp;$A32&amp;"'!$B$1"),IF(VLOOKUP(M$1,INDIRECT("'"&amp;$A32&amp;"'!$A$12:$Z$19"),MATCH("Points (Auto-generate)",INDIRECT("'"&amp;$A32&amp;"'!$A$12:$Z$12"),0),0)="","?",VLOOKUP(M$1,INDIRECT("'"&amp;$A32&amp;"'!$A$12:$Z$19"),MATCH("Points (Auto-generate)",INDIRECT("'"&amp;$A32&amp;"'!$A$12:$Z$12"),0),0)),"ER"))</f>
        <v>?</v>
      </c>
    </row>
    <row r="33" customFormat="false" ht="15" hidden="false" customHeight="true" outlineLevel="0" collapsed="false">
      <c r="A33" s="9" t="s">
        <v>214</v>
      </c>
      <c r="B33" s="9" t="str">
        <f aca="false">VLOOKUP($A33,'PARASTATAL Questions'!$A:$J,3,0)&amp;""</f>
        <v>Decentralised Participatory Governance</v>
      </c>
      <c r="C33" s="9" t="str">
        <f aca="false">VLOOKUP($A33,'PARASTATAL Questions'!$A:$J,4,0)&amp;""</f>
        <v>SQ</v>
      </c>
      <c r="D33" s="9" t="str">
        <f aca="false">VLOOKUP($A33,'PARASTATAL Questions'!$A:$J,5,0)&amp;""</f>
        <v>Annual report</v>
      </c>
      <c r="E33" s="9" t="str">
        <f aca="false">VLOOKUP($A33,'PARASTATAL Questions'!$A:$J,7,0)&amp;""</f>
        <v>Implementation</v>
      </c>
      <c r="F33" s="9" t="n">
        <f aca="false">VLOOKUP($A33,'PARASTATAL Questions'!$A:$J,6,0)</f>
        <v>1</v>
      </c>
      <c r="G33" s="9" t="str">
        <f aca="true">IF($F33=0,"NA",IF($A33=INDIRECT("'"&amp;$A33&amp;"'!$B$1"),IF(VLOOKUP(G$1,INDIRECT("'"&amp;$A33&amp;"'!$A$12:$Z$19"),MATCH("Points (Auto-generate)",INDIRECT("'"&amp;$A33&amp;"'!$A$12:$Z$12"),0),0)="","?",VLOOKUP(G$1,INDIRECT("'"&amp;$A33&amp;"'!$A$12:$Z$19"),MATCH("Points (Auto-generate)",INDIRECT("'"&amp;$A33&amp;"'!$A$12:$Z$12"),0),0)),"ER"))</f>
        <v>?</v>
      </c>
      <c r="H33" s="9" t="str">
        <f aca="true">IF($F33=0,"NA",IF($A33=INDIRECT("'"&amp;$A33&amp;"'!$B$1"),IF(VLOOKUP(H$1,INDIRECT("'"&amp;$A33&amp;"'!$A$12:$Z$19"),MATCH("Points (Auto-generate)",INDIRECT("'"&amp;$A33&amp;"'!$A$12:$Z$12"),0),0)="","?",VLOOKUP(H$1,INDIRECT("'"&amp;$A33&amp;"'!$A$12:$Z$19"),MATCH("Points (Auto-generate)",INDIRECT("'"&amp;$A33&amp;"'!$A$12:$Z$12"),0),0)),"ER"))</f>
        <v>?</v>
      </c>
      <c r="I33" s="9" t="str">
        <f aca="true">IF($F33=0,"NA",IF($A33=INDIRECT("'"&amp;$A33&amp;"'!$B$1"),IF(VLOOKUP(I$1,INDIRECT("'"&amp;$A33&amp;"'!$A$12:$Z$19"),MATCH("Points (Auto-generate)",INDIRECT("'"&amp;$A33&amp;"'!$A$12:$Z$12"),0),0)="","?",VLOOKUP(I$1,INDIRECT("'"&amp;$A33&amp;"'!$A$12:$Z$19"),MATCH("Points (Auto-generate)",INDIRECT("'"&amp;$A33&amp;"'!$A$12:$Z$12"),0),0)),"ER"))</f>
        <v>?</v>
      </c>
      <c r="J33" s="9" t="str">
        <f aca="true">IF($F33=0,"NA",IF($A33=INDIRECT("'"&amp;$A33&amp;"'!$B$1"),IF(VLOOKUP(J$1,INDIRECT("'"&amp;$A33&amp;"'!$A$12:$Z$19"),MATCH("Points (Auto-generate)",INDIRECT("'"&amp;$A33&amp;"'!$A$12:$Z$12"),0),0)="","?",VLOOKUP(J$1,INDIRECT("'"&amp;$A33&amp;"'!$A$12:$Z$19"),MATCH("Points (Auto-generate)",INDIRECT("'"&amp;$A33&amp;"'!$A$12:$Z$12"),0),0)),"ER"))</f>
        <v>?</v>
      </c>
      <c r="K33" s="9" t="str">
        <f aca="true">IF($F33=0,"NA",IF($A33=INDIRECT("'"&amp;$A33&amp;"'!$B$1"),IF(VLOOKUP(K$1,INDIRECT("'"&amp;$A33&amp;"'!$A$12:$Z$19"),MATCH("Points (Auto-generate)",INDIRECT("'"&amp;$A33&amp;"'!$A$12:$Z$12"),0),0)="","?",VLOOKUP(K$1,INDIRECT("'"&amp;$A33&amp;"'!$A$12:$Z$19"),MATCH("Points (Auto-generate)",INDIRECT("'"&amp;$A33&amp;"'!$A$12:$Z$12"),0),0)),"ER"))</f>
        <v>?</v>
      </c>
      <c r="L33" s="9" t="str">
        <f aca="true">IF($F33=0,"NA",IF($A33=INDIRECT("'"&amp;$A33&amp;"'!$B$1"),IF(VLOOKUP(L$1,INDIRECT("'"&amp;$A33&amp;"'!$A$12:$Z$19"),MATCH("Points (Auto-generate)",INDIRECT("'"&amp;$A33&amp;"'!$A$12:$Z$12"),0),0)="","?",VLOOKUP(L$1,INDIRECT("'"&amp;$A33&amp;"'!$A$12:$Z$19"),MATCH("Points (Auto-generate)",INDIRECT("'"&amp;$A33&amp;"'!$A$12:$Z$12"),0),0)),"ER"))</f>
        <v>?</v>
      </c>
      <c r="M33" s="9" t="str">
        <f aca="true">IF($F33=0,"NA",IF($A33=INDIRECT("'"&amp;$A33&amp;"'!$B$1"),IF(VLOOKUP(M$1,INDIRECT("'"&amp;$A33&amp;"'!$A$12:$Z$19"),MATCH("Points (Auto-generate)",INDIRECT("'"&amp;$A33&amp;"'!$A$12:$Z$12"),0),0)="","?",VLOOKUP(M$1,INDIRECT("'"&amp;$A33&amp;"'!$A$12:$Z$19"),MATCH("Points (Auto-generate)",INDIRECT("'"&amp;$A33&amp;"'!$A$12:$Z$12"),0),0)),"ER"))</f>
        <v>?</v>
      </c>
    </row>
    <row r="34" customFormat="false" ht="15" hidden="false" customHeight="true" outlineLevel="0" collapsed="false">
      <c r="A34" s="9" t="s">
        <v>225</v>
      </c>
      <c r="B34" s="9" t="str">
        <f aca="false">VLOOKUP($A34,'PARASTATAL Questions'!$A:$J,3,0)&amp;""</f>
        <v>Decentralised Participatory Governance</v>
      </c>
      <c r="C34" s="9" t="str">
        <f aca="false">VLOOKUP($A34,'PARASTATAL Questions'!$A:$J,4,0)&amp;""</f>
        <v>SQ</v>
      </c>
      <c r="D34" s="9" t="str">
        <f aca="false">VLOOKUP($A34,'PARASTATAL Questions'!$A:$J,5,0)&amp;""</f>
        <v>Meeting minutes of governing board</v>
      </c>
      <c r="E34" s="9" t="str">
        <f aca="false">VLOOKUP($A34,'PARASTATAL Questions'!$A:$J,7,0)&amp;""</f>
        <v>Implementation</v>
      </c>
      <c r="F34" s="9" t="n">
        <f aca="false">VLOOKUP($A34,'PARASTATAL Questions'!$A:$J,6,0)</f>
        <v>1</v>
      </c>
      <c r="G34" s="9" t="str">
        <f aca="true">IF($F34=0,"NA",IF($A34=INDIRECT("'"&amp;$A34&amp;"'!$B$1"),IF(VLOOKUP(G$1,INDIRECT("'"&amp;$A34&amp;"'!$A$12:$Z$19"),MATCH("Points (Auto-generate)",INDIRECT("'"&amp;$A34&amp;"'!$A$12:$Z$12"),0),0)="","?",VLOOKUP(G$1,INDIRECT("'"&amp;$A34&amp;"'!$A$12:$Z$19"),MATCH("Points (Auto-generate)",INDIRECT("'"&amp;$A34&amp;"'!$A$12:$Z$12"),0),0)),"ER"))</f>
        <v>?</v>
      </c>
      <c r="H34" s="9" t="str">
        <f aca="true">IF($F34=0,"NA",IF($A34=INDIRECT("'"&amp;$A34&amp;"'!$B$1"),IF(VLOOKUP(H$1,INDIRECT("'"&amp;$A34&amp;"'!$A$12:$Z$19"),MATCH("Points (Auto-generate)",INDIRECT("'"&amp;$A34&amp;"'!$A$12:$Z$12"),0),0)="","?",VLOOKUP(H$1,INDIRECT("'"&amp;$A34&amp;"'!$A$12:$Z$19"),MATCH("Points (Auto-generate)",INDIRECT("'"&amp;$A34&amp;"'!$A$12:$Z$12"),0),0)),"ER"))</f>
        <v>?</v>
      </c>
      <c r="I34" s="9" t="str">
        <f aca="true">IF($F34=0,"NA",IF($A34=INDIRECT("'"&amp;$A34&amp;"'!$B$1"),IF(VLOOKUP(I$1,INDIRECT("'"&amp;$A34&amp;"'!$A$12:$Z$19"),MATCH("Points (Auto-generate)",INDIRECT("'"&amp;$A34&amp;"'!$A$12:$Z$12"),0),0)="","?",VLOOKUP(I$1,INDIRECT("'"&amp;$A34&amp;"'!$A$12:$Z$19"),MATCH("Points (Auto-generate)",INDIRECT("'"&amp;$A34&amp;"'!$A$12:$Z$12"),0),0)),"ER"))</f>
        <v>?</v>
      </c>
      <c r="J34" s="9" t="str">
        <f aca="true">IF($F34=0,"NA",IF($A34=INDIRECT("'"&amp;$A34&amp;"'!$B$1"),IF(VLOOKUP(J$1,INDIRECT("'"&amp;$A34&amp;"'!$A$12:$Z$19"),MATCH("Points (Auto-generate)",INDIRECT("'"&amp;$A34&amp;"'!$A$12:$Z$12"),0),0)="","?",VLOOKUP(J$1,INDIRECT("'"&amp;$A34&amp;"'!$A$12:$Z$19"),MATCH("Points (Auto-generate)",INDIRECT("'"&amp;$A34&amp;"'!$A$12:$Z$12"),0),0)),"ER"))</f>
        <v>?</v>
      </c>
      <c r="K34" s="9" t="str">
        <f aca="true">IF($F34=0,"NA",IF($A34=INDIRECT("'"&amp;$A34&amp;"'!$B$1"),IF(VLOOKUP(K$1,INDIRECT("'"&amp;$A34&amp;"'!$A$12:$Z$19"),MATCH("Points (Auto-generate)",INDIRECT("'"&amp;$A34&amp;"'!$A$12:$Z$12"),0),0)="","?",VLOOKUP(K$1,INDIRECT("'"&amp;$A34&amp;"'!$A$12:$Z$19"),MATCH("Points (Auto-generate)",INDIRECT("'"&amp;$A34&amp;"'!$A$12:$Z$12"),0),0)),"ER"))</f>
        <v>?</v>
      </c>
      <c r="L34" s="9" t="str">
        <f aca="true">IF($F34=0,"NA",IF($A34=INDIRECT("'"&amp;$A34&amp;"'!$B$1"),IF(VLOOKUP(L$1,INDIRECT("'"&amp;$A34&amp;"'!$A$12:$Z$19"),MATCH("Points (Auto-generate)",INDIRECT("'"&amp;$A34&amp;"'!$A$12:$Z$12"),0),0)="","?",VLOOKUP(L$1,INDIRECT("'"&amp;$A34&amp;"'!$A$12:$Z$19"),MATCH("Points (Auto-generate)",INDIRECT("'"&amp;$A34&amp;"'!$A$12:$Z$12"),0),0)),"ER"))</f>
        <v>?</v>
      </c>
      <c r="M34" s="9" t="str">
        <f aca="true">IF($F34=0,"NA",IF($A34=INDIRECT("'"&amp;$A34&amp;"'!$B$1"),IF(VLOOKUP(M$1,INDIRECT("'"&amp;$A34&amp;"'!$A$12:$Z$19"),MATCH("Points (Auto-generate)",INDIRECT("'"&amp;$A34&amp;"'!$A$12:$Z$12"),0),0)="","?",VLOOKUP(M$1,INDIRECT("'"&amp;$A34&amp;"'!$A$12:$Z$19"),MATCH("Points (Auto-generate)",INDIRECT("'"&amp;$A34&amp;"'!$A$12:$Z$12"),0),0)),"ER"))</f>
        <v>?</v>
      </c>
    </row>
    <row r="35" customFormat="false" ht="15" hidden="false" customHeight="true" outlineLevel="0" collapsed="false">
      <c r="A35" s="9" t="s">
        <v>232</v>
      </c>
      <c r="B35" s="9" t="str">
        <f aca="false">VLOOKUP($A35,'PARASTATAL Questions'!$A:$J,3,0)&amp;""</f>
        <v>Decentralised Participatory Governance</v>
      </c>
      <c r="C35" s="9" t="str">
        <f aca="false">VLOOKUP($A35,'PARASTATAL Questions'!$A:$J,4,0)&amp;""</f>
        <v>SQ</v>
      </c>
      <c r="D35" s="9" t="str">
        <f aca="false">VLOOKUP($A35,'PARASTATAL Questions'!$A:$J,5,0)&amp;""</f>
        <v>Organisation and staffing information</v>
      </c>
      <c r="E35" s="9" t="str">
        <f aca="false">VLOOKUP($A35,'PARASTATAL Questions'!$A:$J,7,0)&amp;""</f>
        <v>Implementation</v>
      </c>
      <c r="F35" s="9" t="n">
        <f aca="false">VLOOKUP($A35,'PARASTATAL Questions'!$A:$J,6,0)</f>
        <v>1</v>
      </c>
      <c r="G35" s="9" t="str">
        <f aca="true">IF($F35=0,"NA",IF($A35=INDIRECT("'"&amp;$A35&amp;"'!$B$1"),IF(VLOOKUP(G$1,INDIRECT("'"&amp;$A35&amp;"'!$A$12:$Z$19"),MATCH("Points (Auto-generate)",INDIRECT("'"&amp;$A35&amp;"'!$A$12:$Z$12"),0),0)="","?",VLOOKUP(G$1,INDIRECT("'"&amp;$A35&amp;"'!$A$12:$Z$19"),MATCH("Points (Auto-generate)",INDIRECT("'"&amp;$A35&amp;"'!$A$12:$Z$12"),0),0)),"ER"))</f>
        <v>?</v>
      </c>
      <c r="H35" s="9" t="str">
        <f aca="true">IF($F35=0,"NA",IF($A35=INDIRECT("'"&amp;$A35&amp;"'!$B$1"),IF(VLOOKUP(H$1,INDIRECT("'"&amp;$A35&amp;"'!$A$12:$Z$19"),MATCH("Points (Auto-generate)",INDIRECT("'"&amp;$A35&amp;"'!$A$12:$Z$12"),0),0)="","?",VLOOKUP(H$1,INDIRECT("'"&amp;$A35&amp;"'!$A$12:$Z$19"),MATCH("Points (Auto-generate)",INDIRECT("'"&amp;$A35&amp;"'!$A$12:$Z$12"),0),0)),"ER"))</f>
        <v>?</v>
      </c>
      <c r="I35" s="9" t="str">
        <f aca="true">IF($F35=0,"NA",IF($A35=INDIRECT("'"&amp;$A35&amp;"'!$B$1"),IF(VLOOKUP(I$1,INDIRECT("'"&amp;$A35&amp;"'!$A$12:$Z$19"),MATCH("Points (Auto-generate)",INDIRECT("'"&amp;$A35&amp;"'!$A$12:$Z$12"),0),0)="","?",VLOOKUP(I$1,INDIRECT("'"&amp;$A35&amp;"'!$A$12:$Z$19"),MATCH("Points (Auto-generate)",INDIRECT("'"&amp;$A35&amp;"'!$A$12:$Z$12"),0),0)),"ER"))</f>
        <v>?</v>
      </c>
      <c r="J35" s="9" t="str">
        <f aca="true">IF($F35=0,"NA",IF($A35=INDIRECT("'"&amp;$A35&amp;"'!$B$1"),IF(VLOOKUP(J$1,INDIRECT("'"&amp;$A35&amp;"'!$A$12:$Z$19"),MATCH("Points (Auto-generate)",INDIRECT("'"&amp;$A35&amp;"'!$A$12:$Z$12"),0),0)="","?",VLOOKUP(J$1,INDIRECT("'"&amp;$A35&amp;"'!$A$12:$Z$19"),MATCH("Points (Auto-generate)",INDIRECT("'"&amp;$A35&amp;"'!$A$12:$Z$12"),0),0)),"ER"))</f>
        <v>?</v>
      </c>
      <c r="K35" s="9" t="n">
        <f aca="true">IF($F35=0,"NA",IF($A35=INDIRECT("'"&amp;$A35&amp;"'!$B$1"),IF(VLOOKUP(K$1,INDIRECT("'"&amp;$A35&amp;"'!$A$12:$Z$19"),MATCH("Points (Auto-generate)",INDIRECT("'"&amp;$A35&amp;"'!$A$12:$Z$12"),0),0)="","?",VLOOKUP(K$1,INDIRECT("'"&amp;$A35&amp;"'!$A$12:$Z$19"),MATCH("Points (Auto-generate)",INDIRECT("'"&amp;$A35&amp;"'!$A$12:$Z$12"),0),0)),"ER"))</f>
        <v>1</v>
      </c>
      <c r="L35" s="9" t="str">
        <f aca="true">IF($F35=0,"NA",IF($A35=INDIRECT("'"&amp;$A35&amp;"'!$B$1"),IF(VLOOKUP(L$1,INDIRECT("'"&amp;$A35&amp;"'!$A$12:$Z$19"),MATCH("Points (Auto-generate)",INDIRECT("'"&amp;$A35&amp;"'!$A$12:$Z$12"),0),0)="","?",VLOOKUP(L$1,INDIRECT("'"&amp;$A35&amp;"'!$A$12:$Z$19"),MATCH("Points (Auto-generate)",INDIRECT("'"&amp;$A35&amp;"'!$A$12:$Z$12"),0),0)),"ER"))</f>
        <v>?</v>
      </c>
      <c r="M35" s="9" t="str">
        <f aca="true">IF($F35=0,"NA",IF($A35=INDIRECT("'"&amp;$A35&amp;"'!$B$1"),IF(VLOOKUP(M$1,INDIRECT("'"&amp;$A35&amp;"'!$A$12:$Z$19"),MATCH("Points (Auto-generate)",INDIRECT("'"&amp;$A35&amp;"'!$A$12:$Z$12"),0),0)="","?",VLOOKUP(M$1,INDIRECT("'"&amp;$A35&amp;"'!$A$12:$Z$19"),MATCH("Points (Auto-generate)",INDIRECT("'"&amp;$A35&amp;"'!$A$12:$Z$12"),0),0)),"ER"))</f>
        <v>?</v>
      </c>
    </row>
    <row r="36" customFormat="false" ht="15" hidden="false" customHeight="true" outlineLevel="0" collapsed="false">
      <c r="A36" s="9" t="s">
        <v>243</v>
      </c>
      <c r="B36" s="9" t="str">
        <f aca="false">VLOOKUP($A36,'PARASTATAL Questions'!$A:$J,3,0)&amp;""</f>
        <v>Decentralised Participatory Governance</v>
      </c>
      <c r="C36" s="9" t="str">
        <f aca="false">VLOOKUP($A36,'PARASTATAL Questions'!$A:$J,4,0)&amp;""</f>
        <v>SQ</v>
      </c>
      <c r="D36" s="9" t="str">
        <f aca="false">VLOOKUP($A36,'PARASTATAL Questions'!$A:$J,5,0)&amp;""</f>
        <v>Major plans / projects</v>
      </c>
      <c r="E36" s="9" t="str">
        <f aca="false">VLOOKUP($A36,'PARASTATAL Questions'!$A:$J,7,0)&amp;""</f>
        <v>Implementation</v>
      </c>
      <c r="F36" s="9" t="n">
        <f aca="false">VLOOKUP($A36,'PARASTATAL Questions'!$A:$J,6,0)</f>
        <v>1</v>
      </c>
      <c r="G36" s="9" t="str">
        <f aca="true">IF($F36=0,"NA",IF($A36=INDIRECT("'"&amp;$A36&amp;"'!$B$1"),IF(VLOOKUP(G$1,INDIRECT("'"&amp;$A36&amp;"'!$A$12:$Z$19"),MATCH("Points (Auto-generate)",INDIRECT("'"&amp;$A36&amp;"'!$A$12:$Z$12"),0),0)="","?",VLOOKUP(G$1,INDIRECT("'"&amp;$A36&amp;"'!$A$12:$Z$19"),MATCH("Points (Auto-generate)",INDIRECT("'"&amp;$A36&amp;"'!$A$12:$Z$12"),0),0)),"ER"))</f>
        <v>?</v>
      </c>
      <c r="H36" s="9" t="str">
        <f aca="true">IF($F36=0,"NA",IF($A36=INDIRECT("'"&amp;$A36&amp;"'!$B$1"),IF(VLOOKUP(H$1,INDIRECT("'"&amp;$A36&amp;"'!$A$12:$Z$19"),MATCH("Points (Auto-generate)",INDIRECT("'"&amp;$A36&amp;"'!$A$12:$Z$12"),0),0)="","?",VLOOKUP(H$1,INDIRECT("'"&amp;$A36&amp;"'!$A$12:$Z$19"),MATCH("Points (Auto-generate)",INDIRECT("'"&amp;$A36&amp;"'!$A$12:$Z$12"),0),0)),"ER"))</f>
        <v>?</v>
      </c>
      <c r="I36" s="9" t="str">
        <f aca="true">IF($F36=0,"NA",IF($A36=INDIRECT("'"&amp;$A36&amp;"'!$B$1"),IF(VLOOKUP(I$1,INDIRECT("'"&amp;$A36&amp;"'!$A$12:$Z$19"),MATCH("Points (Auto-generate)",INDIRECT("'"&amp;$A36&amp;"'!$A$12:$Z$12"),0),0)="","?",VLOOKUP(I$1,INDIRECT("'"&amp;$A36&amp;"'!$A$12:$Z$19"),MATCH("Points (Auto-generate)",INDIRECT("'"&amp;$A36&amp;"'!$A$12:$Z$12"),0),0)),"ER"))</f>
        <v>?</v>
      </c>
      <c r="J36" s="9" t="str">
        <f aca="true">IF($F36=0,"NA",IF($A36=INDIRECT("'"&amp;$A36&amp;"'!$B$1"),IF(VLOOKUP(J$1,INDIRECT("'"&amp;$A36&amp;"'!$A$12:$Z$19"),MATCH("Points (Auto-generate)",INDIRECT("'"&amp;$A36&amp;"'!$A$12:$Z$12"),0),0)="","?",VLOOKUP(J$1,INDIRECT("'"&amp;$A36&amp;"'!$A$12:$Z$19"),MATCH("Points (Auto-generate)",INDIRECT("'"&amp;$A36&amp;"'!$A$12:$Z$12"),0),0)),"ER"))</f>
        <v>?</v>
      </c>
      <c r="K36" s="9" t="str">
        <f aca="true">IF($F36=0,"NA",IF($A36=INDIRECT("'"&amp;$A36&amp;"'!$B$1"),IF(VLOOKUP(K$1,INDIRECT("'"&amp;$A36&amp;"'!$A$12:$Z$19"),MATCH("Points (Auto-generate)",INDIRECT("'"&amp;$A36&amp;"'!$A$12:$Z$12"),0),0)="","?",VLOOKUP(K$1,INDIRECT("'"&amp;$A36&amp;"'!$A$12:$Z$19"),MATCH("Points (Auto-generate)",INDIRECT("'"&amp;$A36&amp;"'!$A$12:$Z$12"),0),0)),"ER"))</f>
        <v>?</v>
      </c>
      <c r="L36" s="9" t="str">
        <f aca="true">IF($F36=0,"NA",IF($A36=INDIRECT("'"&amp;$A36&amp;"'!$B$1"),IF(VLOOKUP(L$1,INDIRECT("'"&amp;$A36&amp;"'!$A$12:$Z$19"),MATCH("Points (Auto-generate)",INDIRECT("'"&amp;$A36&amp;"'!$A$12:$Z$12"),0),0)="","?",VLOOKUP(L$1,INDIRECT("'"&amp;$A36&amp;"'!$A$12:$Z$19"),MATCH("Points (Auto-generate)",INDIRECT("'"&amp;$A36&amp;"'!$A$12:$Z$12"),0),0)),"ER"))</f>
        <v>?</v>
      </c>
      <c r="M36" s="9" t="str">
        <f aca="true">IF($F36=0,"NA",IF($A36=INDIRECT("'"&amp;$A36&amp;"'!$B$1"),IF(VLOOKUP(M$1,INDIRECT("'"&amp;$A36&amp;"'!$A$12:$Z$19"),MATCH("Points (Auto-generate)",INDIRECT("'"&amp;$A36&amp;"'!$A$12:$Z$12"),0),0)="","?",VLOOKUP(M$1,INDIRECT("'"&amp;$A36&amp;"'!$A$12:$Z$19"),MATCH("Points (Auto-generate)",INDIRECT("'"&amp;$A36&amp;"'!$A$12:$Z$12"),0),0)),"ER"))</f>
        <v>?</v>
      </c>
    </row>
    <row r="37" customFormat="false" ht="15" hidden="false" customHeight="true" outlineLevel="0" collapsed="false">
      <c r="A37" s="9" t="s">
        <v>252</v>
      </c>
      <c r="B37" s="9" t="str">
        <f aca="false">VLOOKUP($A37,'PARASTATAL Questions'!$A:$J,3,0)&amp;""</f>
        <v>Decentralised Participatory Governance</v>
      </c>
      <c r="C37" s="9" t="str">
        <f aca="false">VLOOKUP($A37,'PARASTATAL Questions'!$A:$J,4,0)&amp;""</f>
        <v>SQ</v>
      </c>
      <c r="D37" s="9" t="str">
        <f aca="false">VLOOKUP($A37,'PARASTATAL Questions'!$A:$J,5,0)&amp;""</f>
        <v>Service-level benchmarks and performance reports</v>
      </c>
      <c r="E37" s="9" t="str">
        <f aca="false">VLOOKUP($A37,'PARASTATAL Questions'!$A:$J,7,0)&amp;""</f>
        <v>Implementation</v>
      </c>
      <c r="F37" s="9" t="n">
        <f aca="false">VLOOKUP($A37,'PARASTATAL Questions'!$A:$J,6,0)</f>
        <v>1</v>
      </c>
      <c r="G37" s="9" t="str">
        <f aca="true">IF($F37=0,"NA",IF($A37=INDIRECT("'"&amp;$A37&amp;"'!$B$1"),IF(VLOOKUP(G$1,INDIRECT("'"&amp;$A37&amp;"'!$A$12:$Z$19"),MATCH("Points (Auto-generate)",INDIRECT("'"&amp;$A37&amp;"'!$A$12:$Z$12"),0),0)="","?",VLOOKUP(G$1,INDIRECT("'"&amp;$A37&amp;"'!$A$12:$Z$19"),MATCH("Points (Auto-generate)",INDIRECT("'"&amp;$A37&amp;"'!$A$12:$Z$12"),0),0)),"ER"))</f>
        <v>?</v>
      </c>
      <c r="H37" s="9" t="str">
        <f aca="true">IF($F37=0,"NA",IF($A37=INDIRECT("'"&amp;$A37&amp;"'!$B$1"),IF(VLOOKUP(H$1,INDIRECT("'"&amp;$A37&amp;"'!$A$12:$Z$19"),MATCH("Points (Auto-generate)",INDIRECT("'"&amp;$A37&amp;"'!$A$12:$Z$12"),0),0)="","?",VLOOKUP(H$1,INDIRECT("'"&amp;$A37&amp;"'!$A$12:$Z$19"),MATCH("Points (Auto-generate)",INDIRECT("'"&amp;$A37&amp;"'!$A$12:$Z$12"),0),0)),"ER"))</f>
        <v>?</v>
      </c>
      <c r="I37" s="9" t="str">
        <f aca="true">IF($F37=0,"NA",IF($A37=INDIRECT("'"&amp;$A37&amp;"'!$B$1"),IF(VLOOKUP(I$1,INDIRECT("'"&amp;$A37&amp;"'!$A$12:$Z$19"),MATCH("Points (Auto-generate)",INDIRECT("'"&amp;$A37&amp;"'!$A$12:$Z$12"),0),0)="","?",VLOOKUP(I$1,INDIRECT("'"&amp;$A37&amp;"'!$A$12:$Z$19"),MATCH("Points (Auto-generate)",INDIRECT("'"&amp;$A37&amp;"'!$A$12:$Z$12"),0),0)),"ER"))</f>
        <v>?</v>
      </c>
      <c r="J37" s="9" t="str">
        <f aca="true">IF($F37=0,"NA",IF($A37=INDIRECT("'"&amp;$A37&amp;"'!$B$1"),IF(VLOOKUP(J$1,INDIRECT("'"&amp;$A37&amp;"'!$A$12:$Z$19"),MATCH("Points (Auto-generate)",INDIRECT("'"&amp;$A37&amp;"'!$A$12:$Z$12"),0),0)="","?",VLOOKUP(J$1,INDIRECT("'"&amp;$A37&amp;"'!$A$12:$Z$19"),MATCH("Points (Auto-generate)",INDIRECT("'"&amp;$A37&amp;"'!$A$12:$Z$12"),0),0)),"ER"))</f>
        <v>?</v>
      </c>
      <c r="K37" s="9" t="n">
        <f aca="true">IF($F37=0,"NA",IF($A37=INDIRECT("'"&amp;$A37&amp;"'!$B$1"),IF(VLOOKUP(K$1,INDIRECT("'"&amp;$A37&amp;"'!$A$12:$Z$19"),MATCH("Points (Auto-generate)",INDIRECT("'"&amp;$A37&amp;"'!$A$12:$Z$12"),0),0)="","?",VLOOKUP(K$1,INDIRECT("'"&amp;$A37&amp;"'!$A$12:$Z$19"),MATCH("Points (Auto-generate)",INDIRECT("'"&amp;$A37&amp;"'!$A$12:$Z$12"),0),0)),"ER"))</f>
        <v>0</v>
      </c>
      <c r="L37" s="9" t="str">
        <f aca="true">IF($F37=0,"NA",IF($A37=INDIRECT("'"&amp;$A37&amp;"'!$B$1"),IF(VLOOKUP(L$1,INDIRECT("'"&amp;$A37&amp;"'!$A$12:$Z$19"),MATCH("Points (Auto-generate)",INDIRECT("'"&amp;$A37&amp;"'!$A$12:$Z$12"),0),0)="","?",VLOOKUP(L$1,INDIRECT("'"&amp;$A37&amp;"'!$A$12:$Z$19"),MATCH("Points (Auto-generate)",INDIRECT("'"&amp;$A37&amp;"'!$A$12:$Z$12"),0),0)),"ER"))</f>
        <v>?</v>
      </c>
      <c r="M37" s="9" t="str">
        <f aca="true">IF($F37=0,"NA",IF($A37=INDIRECT("'"&amp;$A37&amp;"'!$B$1"),IF(VLOOKUP(M$1,INDIRECT("'"&amp;$A37&amp;"'!$A$12:$Z$19"),MATCH("Points (Auto-generate)",INDIRECT("'"&amp;$A37&amp;"'!$A$12:$Z$12"),0),0)="","?",VLOOKUP(M$1,INDIRECT("'"&amp;$A37&amp;"'!$A$12:$Z$19"),MATCH("Points (Auto-generate)",INDIRECT("'"&amp;$A37&amp;"'!$A$12:$Z$12"),0),0)),"ER"))</f>
        <v>?</v>
      </c>
    </row>
    <row r="38" customFormat="false" ht="15" hidden="false" customHeight="true" outlineLevel="0" collapsed="false">
      <c r="A38" s="9" t="s">
        <v>259</v>
      </c>
      <c r="B38" s="9" t="str">
        <f aca="false">VLOOKUP($A38,'PARASTATAL Questions'!$A:$J,3,0)&amp;""</f>
        <v>Decentralised Participatory Governance</v>
      </c>
      <c r="C38" s="9" t="str">
        <f aca="false">VLOOKUP($A38,'PARASTATAL Questions'!$A:$J,4,0)&amp;""</f>
        <v>SQ</v>
      </c>
      <c r="D38" s="9" t="str">
        <f aca="false">VLOOKUP($A38,'PARASTATAL Questions'!$A:$J,5,0)&amp;""</f>
        <v>Citizen / Service Charter</v>
      </c>
      <c r="E38" s="9" t="str">
        <f aca="false">VLOOKUP($A38,'PARASTATAL Questions'!$A:$J,7,0)&amp;""</f>
        <v>Implementation</v>
      </c>
      <c r="F38" s="9" t="n">
        <f aca="false">VLOOKUP($A38,'PARASTATAL Questions'!$A:$J,6,0)</f>
        <v>1</v>
      </c>
      <c r="G38" s="9" t="str">
        <f aca="true">IF($F38=0,"NA",IF($A38=INDIRECT("'"&amp;$A38&amp;"'!$B$1"),IF(VLOOKUP(G$1,INDIRECT("'"&amp;$A38&amp;"'!$A$12:$Z$19"),MATCH("Points (Auto-generate)",INDIRECT("'"&amp;$A38&amp;"'!$A$12:$Z$12"),0),0)="","?",VLOOKUP(G$1,INDIRECT("'"&amp;$A38&amp;"'!$A$12:$Z$19"),MATCH("Points (Auto-generate)",INDIRECT("'"&amp;$A38&amp;"'!$A$12:$Z$12"),0),0)),"ER"))</f>
        <v>?</v>
      </c>
      <c r="H38" s="9" t="str">
        <f aca="true">IF($F38=0,"NA",IF($A38=INDIRECT("'"&amp;$A38&amp;"'!$B$1"),IF(VLOOKUP(H$1,INDIRECT("'"&amp;$A38&amp;"'!$A$12:$Z$19"),MATCH("Points (Auto-generate)",INDIRECT("'"&amp;$A38&amp;"'!$A$12:$Z$12"),0),0)="","?",VLOOKUP(H$1,INDIRECT("'"&amp;$A38&amp;"'!$A$12:$Z$19"),MATCH("Points (Auto-generate)",INDIRECT("'"&amp;$A38&amp;"'!$A$12:$Z$12"),0),0)),"ER"))</f>
        <v>?</v>
      </c>
      <c r="I38" s="9" t="str">
        <f aca="true">IF($F38=0,"NA",IF($A38=INDIRECT("'"&amp;$A38&amp;"'!$B$1"),IF(VLOOKUP(I$1,INDIRECT("'"&amp;$A38&amp;"'!$A$12:$Z$19"),MATCH("Points (Auto-generate)",INDIRECT("'"&amp;$A38&amp;"'!$A$12:$Z$12"),0),0)="","?",VLOOKUP(I$1,INDIRECT("'"&amp;$A38&amp;"'!$A$12:$Z$19"),MATCH("Points (Auto-generate)",INDIRECT("'"&amp;$A38&amp;"'!$A$12:$Z$12"),0),0)),"ER"))</f>
        <v>?</v>
      </c>
      <c r="J38" s="9" t="str">
        <f aca="true">IF($F38=0,"NA",IF($A38=INDIRECT("'"&amp;$A38&amp;"'!$B$1"),IF(VLOOKUP(J$1,INDIRECT("'"&amp;$A38&amp;"'!$A$12:$Z$19"),MATCH("Points (Auto-generate)",INDIRECT("'"&amp;$A38&amp;"'!$A$12:$Z$12"),0),0)="","?",VLOOKUP(J$1,INDIRECT("'"&amp;$A38&amp;"'!$A$12:$Z$19"),MATCH("Points (Auto-generate)",INDIRECT("'"&amp;$A38&amp;"'!$A$12:$Z$12"),0),0)),"ER"))</f>
        <v>?</v>
      </c>
      <c r="K38" s="9" t="str">
        <f aca="true">IF($F38=0,"NA",IF($A38=INDIRECT("'"&amp;$A38&amp;"'!$B$1"),IF(VLOOKUP(K$1,INDIRECT("'"&amp;$A38&amp;"'!$A$12:$Z$19"),MATCH("Points (Auto-generate)",INDIRECT("'"&amp;$A38&amp;"'!$A$12:$Z$12"),0),0)="","?",VLOOKUP(K$1,INDIRECT("'"&amp;$A38&amp;"'!$A$12:$Z$19"),MATCH("Points (Auto-generate)",INDIRECT("'"&amp;$A38&amp;"'!$A$12:$Z$12"),0),0)),"ER"))</f>
        <v>?</v>
      </c>
      <c r="L38" s="9" t="str">
        <f aca="true">IF($F38=0,"NA",IF($A38=INDIRECT("'"&amp;$A38&amp;"'!$B$1"),IF(VLOOKUP(L$1,INDIRECT("'"&amp;$A38&amp;"'!$A$12:$Z$19"),MATCH("Points (Auto-generate)",INDIRECT("'"&amp;$A38&amp;"'!$A$12:$Z$12"),0),0)="","?",VLOOKUP(L$1,INDIRECT("'"&amp;$A38&amp;"'!$A$12:$Z$19"),MATCH("Points (Auto-generate)",INDIRECT("'"&amp;$A38&amp;"'!$A$12:$Z$12"),0),0)),"ER"))</f>
        <v>?</v>
      </c>
      <c r="M38" s="9" t="str">
        <f aca="true">IF($F38=0,"NA",IF($A38=INDIRECT("'"&amp;$A38&amp;"'!$B$1"),IF(VLOOKUP(M$1,INDIRECT("'"&amp;$A38&amp;"'!$A$12:$Z$19"),MATCH("Points (Auto-generate)",INDIRECT("'"&amp;$A38&amp;"'!$A$12:$Z$12"),0),0)="","?",VLOOKUP(M$1,INDIRECT("'"&amp;$A38&amp;"'!$A$12:$Z$19"),MATCH("Points (Auto-generate)",INDIRECT("'"&amp;$A38&amp;"'!$A$12:$Z$12"),0),0)),"ER"))</f>
        <v>?</v>
      </c>
    </row>
    <row r="39" customFormat="false" ht="15" hidden="false" customHeight="true" outlineLevel="0" collapsed="false">
      <c r="A39" s="9" t="s">
        <v>268</v>
      </c>
      <c r="B39" s="9" t="str">
        <f aca="false">VLOOKUP($A39,'PARASTATAL Questions'!$A:$J,3,0)&amp;""</f>
        <v>Decentralised Participatory Governance</v>
      </c>
      <c r="C39" s="9" t="str">
        <f aca="false">VLOOKUP($A39,'PARASTATAL Questions'!$A:$J,4,0)&amp;""</f>
        <v>SQ</v>
      </c>
      <c r="D39" s="9" t="str">
        <f aca="false">VLOOKUP($A39,'PARASTATAL Questions'!$A:$J,5,0)&amp;""</f>
        <v>RTI details and designated Public Information Officer contact/procedure</v>
      </c>
      <c r="E39" s="9" t="str">
        <f aca="false">VLOOKUP($A39,'PARASTATAL Questions'!$A:$J,7,0)&amp;""</f>
        <v>Implementation</v>
      </c>
      <c r="F39" s="9" t="n">
        <f aca="false">VLOOKUP($A39,'PARASTATAL Questions'!$A:$J,6,0)</f>
        <v>1</v>
      </c>
      <c r="G39" s="9" t="str">
        <f aca="true">IF($F39=0,"NA",IF($A39=INDIRECT("'"&amp;$A39&amp;"'!$B$1"),IF(VLOOKUP(G$1,INDIRECT("'"&amp;$A39&amp;"'!$A$12:$Z$19"),MATCH("Points (Auto-generate)",INDIRECT("'"&amp;$A39&amp;"'!$A$12:$Z$12"),0),0)="","?",VLOOKUP(G$1,INDIRECT("'"&amp;$A39&amp;"'!$A$12:$Z$19"),MATCH("Points (Auto-generate)",INDIRECT("'"&amp;$A39&amp;"'!$A$12:$Z$12"),0),0)),"ER"))</f>
        <v>?</v>
      </c>
      <c r="H39" s="9" t="str">
        <f aca="true">IF($F39=0,"NA",IF($A39=INDIRECT("'"&amp;$A39&amp;"'!$B$1"),IF(VLOOKUP(H$1,INDIRECT("'"&amp;$A39&amp;"'!$A$12:$Z$19"),MATCH("Points (Auto-generate)",INDIRECT("'"&amp;$A39&amp;"'!$A$12:$Z$12"),0),0)="","?",VLOOKUP(H$1,INDIRECT("'"&amp;$A39&amp;"'!$A$12:$Z$19"),MATCH("Points (Auto-generate)",INDIRECT("'"&amp;$A39&amp;"'!$A$12:$Z$12"),0),0)),"ER"))</f>
        <v>?</v>
      </c>
      <c r="I39" s="9" t="str">
        <f aca="true">IF($F39=0,"NA",IF($A39=INDIRECT("'"&amp;$A39&amp;"'!$B$1"),IF(VLOOKUP(I$1,INDIRECT("'"&amp;$A39&amp;"'!$A$12:$Z$19"),MATCH("Points (Auto-generate)",INDIRECT("'"&amp;$A39&amp;"'!$A$12:$Z$12"),0),0)="","?",VLOOKUP(I$1,INDIRECT("'"&amp;$A39&amp;"'!$A$12:$Z$19"),MATCH("Points (Auto-generate)",INDIRECT("'"&amp;$A39&amp;"'!$A$12:$Z$12"),0),0)),"ER"))</f>
        <v>?</v>
      </c>
      <c r="J39" s="9" t="str">
        <f aca="true">IF($F39=0,"NA",IF($A39=INDIRECT("'"&amp;$A39&amp;"'!$B$1"),IF(VLOOKUP(J$1,INDIRECT("'"&amp;$A39&amp;"'!$A$12:$Z$19"),MATCH("Points (Auto-generate)",INDIRECT("'"&amp;$A39&amp;"'!$A$12:$Z$12"),0),0)="","?",VLOOKUP(J$1,INDIRECT("'"&amp;$A39&amp;"'!$A$12:$Z$19"),MATCH("Points (Auto-generate)",INDIRECT("'"&amp;$A39&amp;"'!$A$12:$Z$12"),0),0)),"ER"))</f>
        <v>?</v>
      </c>
      <c r="K39" s="9" t="str">
        <f aca="true">IF($F39=0,"NA",IF($A39=INDIRECT("'"&amp;$A39&amp;"'!$B$1"),IF(VLOOKUP(K$1,INDIRECT("'"&amp;$A39&amp;"'!$A$12:$Z$19"),MATCH("Points (Auto-generate)",INDIRECT("'"&amp;$A39&amp;"'!$A$12:$Z$12"),0),0)="","?",VLOOKUP(K$1,INDIRECT("'"&amp;$A39&amp;"'!$A$12:$Z$19"),MATCH("Points (Auto-generate)",INDIRECT("'"&amp;$A39&amp;"'!$A$12:$Z$12"),0),0)),"ER"))</f>
        <v>?</v>
      </c>
      <c r="L39" s="9" t="str">
        <f aca="true">IF($F39=0,"NA",IF($A39=INDIRECT("'"&amp;$A39&amp;"'!$B$1"),IF(VLOOKUP(L$1,INDIRECT("'"&amp;$A39&amp;"'!$A$12:$Z$19"),MATCH("Points (Auto-generate)",INDIRECT("'"&amp;$A39&amp;"'!$A$12:$Z$12"),0),0)="","?",VLOOKUP(L$1,INDIRECT("'"&amp;$A39&amp;"'!$A$12:$Z$19"),MATCH("Points (Auto-generate)",INDIRECT("'"&amp;$A39&amp;"'!$A$12:$Z$12"),0),0)),"ER"))</f>
        <v>?</v>
      </c>
      <c r="M39" s="9" t="str">
        <f aca="true">IF($F39=0,"NA",IF($A39=INDIRECT("'"&amp;$A39&amp;"'!$B$1"),IF(VLOOKUP(M$1,INDIRECT("'"&amp;$A39&amp;"'!$A$12:$Z$19"),MATCH("Points (Auto-generate)",INDIRECT("'"&amp;$A39&amp;"'!$A$12:$Z$12"),0),0)="","?",VLOOKUP(M$1,INDIRECT("'"&amp;$A39&amp;"'!$A$12:$Z$19"),MATCH("Points (Auto-generate)",INDIRECT("'"&amp;$A39&amp;"'!$A$12:$Z$12"),0),0)),"ER"))</f>
        <v>?</v>
      </c>
    </row>
    <row r="40" customFormat="false" ht="15" hidden="false" customHeight="true" outlineLevel="0" collapsed="false">
      <c r="A40" s="9" t="s">
        <v>276</v>
      </c>
      <c r="B40" s="9" t="str">
        <f aca="false">VLOOKUP($A40,'PARASTATAL Questions'!$A:$J,3,0)&amp;""</f>
        <v>Decentralised Participatory Governance</v>
      </c>
      <c r="C40" s="9" t="str">
        <f aca="false">VLOOKUP($A40,'PARASTATAL Questions'!$A:$J,4,0)&amp;""</f>
        <v>SQ</v>
      </c>
      <c r="D40" s="9" t="str">
        <f aca="false">VLOOKUP($A40,'PARASTATAL Questions'!$A:$J,5,0)&amp;""</f>
        <v>Procurement / tender notices and awarded-contract details</v>
      </c>
      <c r="E40" s="9" t="str">
        <f aca="false">VLOOKUP($A40,'PARASTATAL Questions'!$A:$J,7,0)&amp;""</f>
        <v>Implementation</v>
      </c>
      <c r="F40" s="9" t="n">
        <f aca="false">VLOOKUP($A40,'PARASTATAL Questions'!$A:$J,6,0)</f>
        <v>1</v>
      </c>
      <c r="G40" s="9" t="str">
        <f aca="true">IF($F40=0,"NA",IF($A40=INDIRECT("'"&amp;$A40&amp;"'!$B$1"),IF(VLOOKUP(G$1,INDIRECT("'"&amp;$A40&amp;"'!$A$12:$Z$19"),MATCH("Points (Auto-generate)",INDIRECT("'"&amp;$A40&amp;"'!$A$12:$Z$12"),0),0)="","?",VLOOKUP(G$1,INDIRECT("'"&amp;$A40&amp;"'!$A$12:$Z$19"),MATCH("Points (Auto-generate)",INDIRECT("'"&amp;$A40&amp;"'!$A$12:$Z$12"),0),0)),"ER"))</f>
        <v>?</v>
      </c>
      <c r="H40" s="9" t="str">
        <f aca="true">IF($F40=0,"NA",IF($A40=INDIRECT("'"&amp;$A40&amp;"'!$B$1"),IF(VLOOKUP(H$1,INDIRECT("'"&amp;$A40&amp;"'!$A$12:$Z$19"),MATCH("Points (Auto-generate)",INDIRECT("'"&amp;$A40&amp;"'!$A$12:$Z$12"),0),0)="","?",VLOOKUP(H$1,INDIRECT("'"&amp;$A40&amp;"'!$A$12:$Z$19"),MATCH("Points (Auto-generate)",INDIRECT("'"&amp;$A40&amp;"'!$A$12:$Z$12"),0),0)),"ER"))</f>
        <v>?</v>
      </c>
      <c r="I40" s="9" t="str">
        <f aca="true">IF($F40=0,"NA",IF($A40=INDIRECT("'"&amp;$A40&amp;"'!$B$1"),IF(VLOOKUP(I$1,INDIRECT("'"&amp;$A40&amp;"'!$A$12:$Z$19"),MATCH("Points (Auto-generate)",INDIRECT("'"&amp;$A40&amp;"'!$A$12:$Z$12"),0),0)="","?",VLOOKUP(I$1,INDIRECT("'"&amp;$A40&amp;"'!$A$12:$Z$19"),MATCH("Points (Auto-generate)",INDIRECT("'"&amp;$A40&amp;"'!$A$12:$Z$12"),0),0)),"ER"))</f>
        <v>?</v>
      </c>
      <c r="J40" s="9" t="str">
        <f aca="true">IF($F40=0,"NA",IF($A40=INDIRECT("'"&amp;$A40&amp;"'!$B$1"),IF(VLOOKUP(J$1,INDIRECT("'"&amp;$A40&amp;"'!$A$12:$Z$19"),MATCH("Points (Auto-generate)",INDIRECT("'"&amp;$A40&amp;"'!$A$12:$Z$12"),0),0)="","?",VLOOKUP(J$1,INDIRECT("'"&amp;$A40&amp;"'!$A$12:$Z$19"),MATCH("Points (Auto-generate)",INDIRECT("'"&amp;$A40&amp;"'!$A$12:$Z$12"),0),0)),"ER"))</f>
        <v>?</v>
      </c>
      <c r="K40" s="9" t="str">
        <f aca="true">IF($F40=0,"NA",IF($A40=INDIRECT("'"&amp;$A40&amp;"'!$B$1"),IF(VLOOKUP(K$1,INDIRECT("'"&amp;$A40&amp;"'!$A$12:$Z$19"),MATCH("Points (Auto-generate)",INDIRECT("'"&amp;$A40&amp;"'!$A$12:$Z$12"),0),0)="","?",VLOOKUP(K$1,INDIRECT("'"&amp;$A40&amp;"'!$A$12:$Z$19"),MATCH("Points (Auto-generate)",INDIRECT("'"&amp;$A40&amp;"'!$A$12:$Z$12"),0),0)),"ER"))</f>
        <v>?</v>
      </c>
      <c r="L40" s="9" t="str">
        <f aca="true">IF($F40=0,"NA",IF($A40=INDIRECT("'"&amp;$A40&amp;"'!$B$1"),IF(VLOOKUP(L$1,INDIRECT("'"&amp;$A40&amp;"'!$A$12:$Z$19"),MATCH("Points (Auto-generate)",INDIRECT("'"&amp;$A40&amp;"'!$A$12:$Z$12"),0),0)="","?",VLOOKUP(L$1,INDIRECT("'"&amp;$A40&amp;"'!$A$12:$Z$19"),MATCH("Points (Auto-generate)",INDIRECT("'"&amp;$A40&amp;"'!$A$12:$Z$12"),0),0)),"ER"))</f>
        <v>?</v>
      </c>
      <c r="M40" s="9" t="str">
        <f aca="true">IF($F40=0,"NA",IF($A40=INDIRECT("'"&amp;$A40&amp;"'!$B$1"),IF(VLOOKUP(M$1,INDIRECT("'"&amp;$A40&amp;"'!$A$12:$Z$19"),MATCH("Points (Auto-generate)",INDIRECT("'"&amp;$A40&amp;"'!$A$12:$Z$12"),0),0)="","?",VLOOKUP(M$1,INDIRECT("'"&amp;$A40&amp;"'!$A$12:$Z$19"),MATCH("Points (Auto-generate)",INDIRECT("'"&amp;$A40&amp;"'!$A$12:$Z$12"),0),0)),"ER"))</f>
        <v>?</v>
      </c>
    </row>
    <row r="41" customFormat="false" ht="15" hidden="false" customHeight="true" outlineLevel="0" collapsed="false">
      <c r="A41" s="11" t="s">
        <v>428</v>
      </c>
      <c r="B41" s="11" t="str">
        <f aca="false">VLOOKUP($A41,'PARASTATAL Questions'!$A:$J,3,0)&amp;""</f>
        <v>Decentralised Participatory Governance</v>
      </c>
      <c r="C41" s="11" t="str">
        <f aca="false">VLOOKUP($A41,'PARASTATAL Questions'!$A:$J,4,0)&amp;""</f>
        <v>MQ</v>
      </c>
      <c r="D41" s="11" t="str">
        <f aca="false">VLOOKUP($A41,'PARASTATAL Questions'!$A:$J,5,0)&amp;""</f>
        <v>Does the parastatal provide for and maintain an accessible grievance-redressal mechanism?</v>
      </c>
      <c r="E41" s="11" t="str">
        <f aca="false">VLOOKUP($A41,'PARASTATAL Questions'!$A:$J,7,0)&amp;""</f>
        <v>Institutional Design</v>
      </c>
      <c r="F41" s="11" t="n">
        <f aca="false">VLOOKUP($A41,'PARASTATAL Questions'!$A:$J,6,0)</f>
        <v>10</v>
      </c>
      <c r="G41" s="11" t="str">
        <f aca="false">IF(OR(G42="ER",G43="ER"),"ER",IF(OR(G42="?",G43="?"),"?",IF(AND(G42="NA",G43="NA"),"NA",SUM(G42,G43)/((G42&lt;&gt;"NA")*$F$42+(G43&lt;&gt;"NA")*$F$43)*$F41)))</f>
        <v>?</v>
      </c>
      <c r="H41" s="11" t="str">
        <f aca="false">IF(OR(H42="ER",H43="ER"),"ER",IF(OR(H42="?",H43="?"),"?",IF(AND(H42="NA",H43="NA"),"NA",SUM(H42,H43)/((H42&lt;&gt;"NA")*$F$42+(H43&lt;&gt;"NA")*$F$43)*$F41)))</f>
        <v>?</v>
      </c>
      <c r="I41" s="11" t="str">
        <f aca="false">IF(OR(I42="ER",I43="ER"),"ER",IF(OR(I42="?",I43="?"),"?",IF(AND(I42="NA",I43="NA"),"NA",SUM(I42,I43)/((I42&lt;&gt;"NA")*$F$42+(I43&lt;&gt;"NA")*$F$43)*$F41)))</f>
        <v>?</v>
      </c>
      <c r="J41" s="11" t="str">
        <f aca="false">IF(OR(J42="ER",J43="ER"),"ER",IF(OR(J42="?",J43="?"),"?",IF(AND(J42="NA",J43="NA"),"NA",SUM(J42,J43)/((J42&lt;&gt;"NA")*$F$42+(J43&lt;&gt;"NA")*$F$43)*$F41)))</f>
        <v>?</v>
      </c>
      <c r="K41" s="11" t="str">
        <f aca="false">IF(OR(K42="ER",K43="ER"),"ER",IF(OR(K42="?",K43="?"),"?",IF(AND(K42="NA",K43="NA"),"NA",SUM(K42,K43)/((K42&lt;&gt;"NA")*$F$42+(K43&lt;&gt;"NA")*$F$43)*$F41)))</f>
        <v>?</v>
      </c>
      <c r="L41" s="11" t="str">
        <f aca="false">IF(OR(L42="ER",L43="ER"),"ER",IF(OR(L42="?",L43="?"),"?",IF(AND(L42="NA",L43="NA"),"NA",SUM(L42,L43)/((L42&lt;&gt;"NA")*$F$42+(L43&lt;&gt;"NA")*$F$43)*$F41)))</f>
        <v>?</v>
      </c>
      <c r="M41" s="11" t="str">
        <f aca="false">IF(OR(M42="ER",M43="ER"),"ER",IF(OR(M42="?",M43="?"),"?",IF(AND(M42="NA",M43="NA"),"NA",SUM(M42,M43)/((M42&lt;&gt;"NA")*$F$42+(M43&lt;&gt;"NA")*$F$43)*$F41)))</f>
        <v>?</v>
      </c>
    </row>
    <row r="42" customFormat="false" ht="15" hidden="false" customHeight="true" outlineLevel="0" collapsed="false">
      <c r="A42" s="9" t="s">
        <v>283</v>
      </c>
      <c r="B42" s="9" t="str">
        <f aca="false">VLOOKUP($A42,'PARASTATAL Questions'!$A:$J,3,0)&amp;""</f>
        <v>Decentralised Participatory Governance</v>
      </c>
      <c r="C42" s="9" t="str">
        <f aca="false">VLOOKUP($A42,'PARASTATAL Questions'!$A:$J,4,0)&amp;""</f>
        <v>SQ</v>
      </c>
      <c r="D42" s="9" t="str">
        <f aca="false">VLOOKUP($A42,'PARASTATAL Questions'!$A:$J,5,0)&amp;""</f>
        <v>Is the parastatal mandated to provide a grievance-redressal mechanism?</v>
      </c>
      <c r="E42" s="9" t="str">
        <f aca="false">VLOOKUP($A42,'PARASTATAL Questions'!$A:$J,7,0)&amp;""</f>
        <v>Law/Policy</v>
      </c>
      <c r="F42" s="9" t="n">
        <f aca="false">VLOOKUP($A42,'PARASTATAL Questions'!$A:$J,6,0)</f>
        <v>5</v>
      </c>
      <c r="G42" s="9" t="n">
        <f aca="true">IF($F42=0,"NA",IF($A42=INDIRECT("'"&amp;$A42&amp;"'!$B$1"),IF(VLOOKUP(G$1,INDIRECT("'"&amp;$A42&amp;"'!$A$12:$Z$19"),MATCH("Points (Auto-generate)",INDIRECT("'"&amp;$A42&amp;"'!$A$12:$Z$12"),0),0)="","?",VLOOKUP(G$1,INDIRECT("'"&amp;$A42&amp;"'!$A$12:$Z$19"),MATCH("Points (Auto-generate)",INDIRECT("'"&amp;$A42&amp;"'!$A$12:$Z$12"),0),0)),"ER"))</f>
        <v>5</v>
      </c>
      <c r="H42" s="9" t="str">
        <f aca="true">IF($F42=0,"NA",IF($A42=INDIRECT("'"&amp;$A42&amp;"'!$B$1"),IF(VLOOKUP(H$1,INDIRECT("'"&amp;$A42&amp;"'!$A$12:$Z$19"),MATCH("Points (Auto-generate)",INDIRECT("'"&amp;$A42&amp;"'!$A$12:$Z$12"),0),0)="","?",VLOOKUP(H$1,INDIRECT("'"&amp;$A42&amp;"'!$A$12:$Z$19"),MATCH("Points (Auto-generate)",INDIRECT("'"&amp;$A42&amp;"'!$A$12:$Z$12"),0),0)),"ER"))</f>
        <v>?</v>
      </c>
      <c r="I42" s="9" t="n">
        <f aca="true">IF($F42=0,"NA",IF($A42=INDIRECT("'"&amp;$A42&amp;"'!$B$1"),IF(VLOOKUP(I$1,INDIRECT("'"&amp;$A42&amp;"'!$A$12:$Z$19"),MATCH("Points (Auto-generate)",INDIRECT("'"&amp;$A42&amp;"'!$A$12:$Z$12"),0),0)="","?",VLOOKUP(I$1,INDIRECT("'"&amp;$A42&amp;"'!$A$12:$Z$19"),MATCH("Points (Auto-generate)",INDIRECT("'"&amp;$A42&amp;"'!$A$12:$Z$12"),0),0)),"ER"))</f>
        <v>0</v>
      </c>
      <c r="J42" s="9" t="str">
        <f aca="true">IF($F42=0,"NA",IF($A42=INDIRECT("'"&amp;$A42&amp;"'!$B$1"),IF(VLOOKUP(J$1,INDIRECT("'"&amp;$A42&amp;"'!$A$12:$Z$19"),MATCH("Points (Auto-generate)",INDIRECT("'"&amp;$A42&amp;"'!$A$12:$Z$12"),0),0)="","?",VLOOKUP(J$1,INDIRECT("'"&amp;$A42&amp;"'!$A$12:$Z$19"),MATCH("Points (Auto-generate)",INDIRECT("'"&amp;$A42&amp;"'!$A$12:$Z$12"),0),0)),"ER"))</f>
        <v>?</v>
      </c>
      <c r="K42" s="9" t="str">
        <f aca="true">IF($F42=0,"NA",IF($A42=INDIRECT("'"&amp;$A42&amp;"'!$B$1"),IF(VLOOKUP(K$1,INDIRECT("'"&amp;$A42&amp;"'!$A$12:$Z$19"),MATCH("Points (Auto-generate)",INDIRECT("'"&amp;$A42&amp;"'!$A$12:$Z$12"),0),0)="","?",VLOOKUP(K$1,INDIRECT("'"&amp;$A42&amp;"'!$A$12:$Z$19"),MATCH("Points (Auto-generate)",INDIRECT("'"&amp;$A42&amp;"'!$A$12:$Z$12"),0),0)),"ER"))</f>
        <v>?</v>
      </c>
      <c r="L42" s="9" t="str">
        <f aca="true">IF($F42=0,"NA",IF($A42=INDIRECT("'"&amp;$A42&amp;"'!$B$1"),IF(VLOOKUP(L$1,INDIRECT("'"&amp;$A42&amp;"'!$A$12:$Z$19"),MATCH("Points (Auto-generate)",INDIRECT("'"&amp;$A42&amp;"'!$A$12:$Z$12"),0),0)="","?",VLOOKUP(L$1,INDIRECT("'"&amp;$A42&amp;"'!$A$12:$Z$19"),MATCH("Points (Auto-generate)",INDIRECT("'"&amp;$A42&amp;"'!$A$12:$Z$12"),0),0)),"ER"))</f>
        <v>?</v>
      </c>
      <c r="M42" s="9" t="str">
        <f aca="true">IF($F42=0,"NA",IF($A42=INDIRECT("'"&amp;$A42&amp;"'!$B$1"),IF(VLOOKUP(M$1,INDIRECT("'"&amp;$A42&amp;"'!$A$12:$Z$19"),MATCH("Points (Auto-generate)",INDIRECT("'"&amp;$A42&amp;"'!$A$12:$Z$12"),0),0)="","?",VLOOKUP(M$1,INDIRECT("'"&amp;$A42&amp;"'!$A$12:$Z$19"),MATCH("Points (Auto-generate)",INDIRECT("'"&amp;$A42&amp;"'!$A$12:$Z$12"),0),0)),"ER"))</f>
        <v>?</v>
      </c>
    </row>
    <row r="43" customFormat="false" ht="15" hidden="false" customHeight="true" outlineLevel="0" collapsed="false">
      <c r="A43" s="9" t="s">
        <v>292</v>
      </c>
      <c r="B43" s="9" t="str">
        <f aca="false">VLOOKUP($A43,'PARASTATAL Questions'!$A:$J,3,0)&amp;""</f>
        <v>Decentralised Participatory Governance</v>
      </c>
      <c r="C43" s="9" t="str">
        <f aca="false">VLOOKUP($A43,'PARASTATAL Questions'!$A:$J,4,0)&amp;""</f>
        <v>SQ</v>
      </c>
      <c r="D43" s="9" t="str">
        <f aca="false">VLOOKUP($A43,'PARASTATAL Questions'!$A:$J,5,0)&amp;""</f>
        <v>Are accessible grievance-redressal channels available and functional in practice?</v>
      </c>
      <c r="E43" s="9" t="str">
        <f aca="false">VLOOKUP($A43,'PARASTATAL Questions'!$A:$J,7,0)&amp;""</f>
        <v>Implementation</v>
      </c>
      <c r="F43" s="9" t="n">
        <f aca="false">VLOOKUP($A43,'PARASTATAL Questions'!$A:$J,6,0)</f>
        <v>5</v>
      </c>
      <c r="G43" s="9" t="str">
        <f aca="true">IF($F43=0,"NA",IF($A43=INDIRECT("'"&amp;$A43&amp;"'!$B$1"),IF(VLOOKUP(G$1,INDIRECT("'"&amp;$A43&amp;"'!$A$12:$Z$19"),MATCH("Points (Auto-generate)",INDIRECT("'"&amp;$A43&amp;"'!$A$12:$Z$12"),0),0)="","?",VLOOKUP(G$1,INDIRECT("'"&amp;$A43&amp;"'!$A$12:$Z$19"),MATCH("Points (Auto-generate)",INDIRECT("'"&amp;$A43&amp;"'!$A$12:$Z$12"),0),0)),"ER"))</f>
        <v>?</v>
      </c>
      <c r="H43" s="9" t="str">
        <f aca="true">IF($F43=0,"NA",IF($A43=INDIRECT("'"&amp;$A43&amp;"'!$B$1"),IF(VLOOKUP(H$1,INDIRECT("'"&amp;$A43&amp;"'!$A$12:$Z$19"),MATCH("Points (Auto-generate)",INDIRECT("'"&amp;$A43&amp;"'!$A$12:$Z$12"),0),0)="","?",VLOOKUP(H$1,INDIRECT("'"&amp;$A43&amp;"'!$A$12:$Z$19"),MATCH("Points (Auto-generate)",INDIRECT("'"&amp;$A43&amp;"'!$A$12:$Z$12"),0),0)),"ER"))</f>
        <v>?</v>
      </c>
      <c r="I43" s="9" t="str">
        <f aca="true">IF($F43=0,"NA",IF($A43=INDIRECT("'"&amp;$A43&amp;"'!$B$1"),IF(VLOOKUP(I$1,INDIRECT("'"&amp;$A43&amp;"'!$A$12:$Z$19"),MATCH("Points (Auto-generate)",INDIRECT("'"&amp;$A43&amp;"'!$A$12:$Z$12"),0),0)="","?",VLOOKUP(I$1,INDIRECT("'"&amp;$A43&amp;"'!$A$12:$Z$19"),MATCH("Points (Auto-generate)",INDIRECT("'"&amp;$A43&amp;"'!$A$12:$Z$12"),0),0)),"ER"))</f>
        <v>?</v>
      </c>
      <c r="J43" s="9" t="str">
        <f aca="true">IF($F43=0,"NA",IF($A43=INDIRECT("'"&amp;$A43&amp;"'!$B$1"),IF(VLOOKUP(J$1,INDIRECT("'"&amp;$A43&amp;"'!$A$12:$Z$19"),MATCH("Points (Auto-generate)",INDIRECT("'"&amp;$A43&amp;"'!$A$12:$Z$12"),0),0)="","?",VLOOKUP(J$1,INDIRECT("'"&amp;$A43&amp;"'!$A$12:$Z$19"),MATCH("Points (Auto-generate)",INDIRECT("'"&amp;$A43&amp;"'!$A$12:$Z$12"),0),0)),"ER"))</f>
        <v>?</v>
      </c>
      <c r="K43" s="9" t="str">
        <f aca="true">IF($F43=0,"NA",IF($A43=INDIRECT("'"&amp;$A43&amp;"'!$B$1"),IF(VLOOKUP(K$1,INDIRECT("'"&amp;$A43&amp;"'!$A$12:$Z$19"),MATCH("Points (Auto-generate)",INDIRECT("'"&amp;$A43&amp;"'!$A$12:$Z$12"),0),0)="","?",VLOOKUP(K$1,INDIRECT("'"&amp;$A43&amp;"'!$A$12:$Z$19"),MATCH("Points (Auto-generate)",INDIRECT("'"&amp;$A43&amp;"'!$A$12:$Z$12"),0),0)),"ER"))</f>
        <v>?</v>
      </c>
      <c r="L43" s="9" t="str">
        <f aca="true">IF($F43=0,"NA",IF($A43=INDIRECT("'"&amp;$A43&amp;"'!$B$1"),IF(VLOOKUP(L$1,INDIRECT("'"&amp;$A43&amp;"'!$A$12:$Z$19"),MATCH("Points (Auto-generate)",INDIRECT("'"&amp;$A43&amp;"'!$A$12:$Z$12"),0),0)="","?",VLOOKUP(L$1,INDIRECT("'"&amp;$A43&amp;"'!$A$12:$Z$19"),MATCH("Points (Auto-generate)",INDIRECT("'"&amp;$A43&amp;"'!$A$12:$Z$12"),0),0)),"ER"))</f>
        <v>?</v>
      </c>
      <c r="M43" s="9" t="str">
        <f aca="true">IF($F43=0,"NA",IF($A43=INDIRECT("'"&amp;$A43&amp;"'!$B$1"),IF(VLOOKUP(M$1,INDIRECT("'"&amp;$A43&amp;"'!$A$12:$Z$19"),MATCH("Points (Auto-generate)",INDIRECT("'"&amp;$A43&amp;"'!$A$12:$Z$12"),0),0)="","?",VLOOKUP(M$1,INDIRECT("'"&amp;$A43&amp;"'!$A$12:$Z$19"),MATCH("Points (Auto-generate)",INDIRECT("'"&amp;$A43&amp;"'!$A$12:$Z$12"),0),0)),"ER"))</f>
        <v>?</v>
      </c>
    </row>
    <row r="44" customFormat="false" ht="15" hidden="false" customHeight="true" outlineLevel="0" collapsed="false">
      <c r="A44" s="11" t="s">
        <v>429</v>
      </c>
      <c r="B44" s="11" t="str">
        <f aca="false">VLOOKUP($A44,'PARASTATAL Questions'!$A:$J,3,0)&amp;""</f>
        <v>Decentralised Participatory Governance</v>
      </c>
      <c r="C44" s="11" t="str">
        <f aca="false">VLOOKUP($A44,'PARASTATAL Questions'!$A:$J,4,0)&amp;""</f>
        <v>MQ</v>
      </c>
      <c r="D44" s="11" t="str">
        <f aca="false">VLOOKUP($A44,'PARASTATAL Questions'!$A:$J,5,0)&amp;""</f>
        <v>Does the law mandate citizen participation in the preparation of plans for which the parastatal is responsible, and does the parastatal provide for such participation in practice?</v>
      </c>
      <c r="E44" s="11" t="str">
        <f aca="false">VLOOKUP($A44,'PARASTATAL Questions'!$A:$J,7,0)&amp;""</f>
        <v>Law/Policy</v>
      </c>
      <c r="F44" s="11" t="n">
        <f aca="false">VLOOKUP($A44,'PARASTATAL Questions'!$A:$J,6,0)</f>
        <v>10</v>
      </c>
      <c r="G44" s="11" t="n">
        <f aca="false">IF(OR(G45="ER",G46="ER"),"ER",IF(OR(G45="?",G46="?"),"?",IF(AND(G45="NA",G46="NA"),"NA",SUM(G45,G46)/((G45&lt;&gt;"NA")*$F$45+(G46&lt;&gt;"NA")*$F$46)*$F44)))</f>
        <v>2.5</v>
      </c>
      <c r="H44" s="11" t="str">
        <f aca="false">IF(OR(H45="ER",H46="ER"),"ER",IF(OR(H45="?",H46="?"),"?",IF(AND(H45="NA",H46="NA"),"NA",SUM(H45,H46)/((H45&lt;&gt;"NA")*$F$45+(H46&lt;&gt;"NA")*$F$46)*$F44)))</f>
        <v>?</v>
      </c>
      <c r="I44" s="11" t="str">
        <f aca="false">IF(OR(I45="ER",I46="ER"),"ER",IF(OR(I45="?",I46="?"),"?",IF(AND(I45="NA",I46="NA"),"NA",SUM(I45,I46)/((I45&lt;&gt;"NA")*$F$45+(I46&lt;&gt;"NA")*$F$46)*$F44)))</f>
        <v>NA</v>
      </c>
      <c r="J44" s="11" t="n">
        <f aca="false">IF(OR(J45="ER",J46="ER"),"ER",IF(OR(J45="?",J46="?"),"?",IF(AND(J45="NA",J46="NA"),"NA",SUM(J45,J46)/((J45&lt;&gt;"NA")*$F$45+(J46&lt;&gt;"NA")*$F$46)*$F44)))</f>
        <v>5</v>
      </c>
      <c r="K44" s="11" t="str">
        <f aca="false">IF(OR(K45="ER",K46="ER"),"ER",IF(OR(K45="?",K46="?"),"?",IF(AND(K45="NA",K46="NA"),"NA",SUM(K45,K46)/((K45&lt;&gt;"NA")*$F$45+(K46&lt;&gt;"NA")*$F$46)*$F44)))</f>
        <v>NA</v>
      </c>
      <c r="L44" s="11" t="str">
        <f aca="false">IF(OR(L45="ER",L46="ER"),"ER",IF(OR(L45="?",L46="?"),"?",IF(AND(L45="NA",L46="NA"),"NA",SUM(L45,L46)/((L45&lt;&gt;"NA")*$F$45+(L46&lt;&gt;"NA")*$F$46)*$F44)))</f>
        <v>NA</v>
      </c>
      <c r="M44" s="11" t="str">
        <f aca="false">IF(OR(M45="ER",M46="ER"),"ER",IF(OR(M45="?",M46="?"),"?",IF(AND(M45="NA",M46="NA"),"NA",SUM(M45,M46)/((M45&lt;&gt;"NA")*$F$45+(M46&lt;&gt;"NA")*$F$46)*$F44)))</f>
        <v>?</v>
      </c>
    </row>
    <row r="45" customFormat="false" ht="15" hidden="false" customHeight="true" outlineLevel="0" collapsed="false">
      <c r="A45" s="9" t="s">
        <v>301</v>
      </c>
      <c r="B45" s="9" t="str">
        <f aca="false">VLOOKUP($A45,'PARASTATAL Questions'!$A:$J,3,0)&amp;""</f>
        <v>Decentralised Participatory Governance</v>
      </c>
      <c r="C45" s="9" t="str">
        <f aca="false">VLOOKUP($A45,'PARASTATAL Questions'!$A:$J,4,0)&amp;""</f>
        <v>SQ</v>
      </c>
      <c r="D45" s="9" t="str">
        <f aca="false">VLOOKUP($A45,'PARASTATAL Questions'!$A:$J,5,0)&amp;""</f>
        <v>Is citizen participation in the preparation of the parastatal's plans mandated?</v>
      </c>
      <c r="E45" s="9" t="str">
        <f aca="false">VLOOKUP($A45,'PARASTATAL Questions'!$A:$J,7,0)&amp;""</f>
        <v>Law/Policy</v>
      </c>
      <c r="F45" s="9" t="n">
        <f aca="false">VLOOKUP($A45,'PARASTATAL Questions'!$A:$J,6,0)</f>
        <v>5</v>
      </c>
      <c r="G45" s="9" t="n">
        <f aca="true">IF($F45=0,"NA",IF($A45=INDIRECT("'"&amp;$A45&amp;"'!$B$1"),IF(VLOOKUP(G$1,INDIRECT("'"&amp;$A45&amp;"'!$A$12:$Z$19"),MATCH("Points (Auto-generate)",INDIRECT("'"&amp;$A45&amp;"'!$A$12:$Z$12"),0),0)="","?",VLOOKUP(G$1,INDIRECT("'"&amp;$A45&amp;"'!$A$12:$Z$19"),MATCH("Points (Auto-generate)",INDIRECT("'"&amp;$A45&amp;"'!$A$12:$Z$12"),0),0)),"ER"))</f>
        <v>0</v>
      </c>
      <c r="H45" s="9" t="n">
        <f aca="true">IF($F45=0,"NA",IF($A45=INDIRECT("'"&amp;$A45&amp;"'!$B$1"),IF(VLOOKUP(H$1,INDIRECT("'"&amp;$A45&amp;"'!$A$12:$Z$19"),MATCH("Points (Auto-generate)",INDIRECT("'"&amp;$A45&amp;"'!$A$12:$Z$12"),0),0)="","?",VLOOKUP(H$1,INDIRECT("'"&amp;$A45&amp;"'!$A$12:$Z$19"),MATCH("Points (Auto-generate)",INDIRECT("'"&amp;$A45&amp;"'!$A$12:$Z$12"),0),0)),"ER"))</f>
        <v>2.5</v>
      </c>
      <c r="I45" s="9" t="str">
        <f aca="true">IF($F45=0,"NA",IF($A45=INDIRECT("'"&amp;$A45&amp;"'!$B$1"),IF(VLOOKUP(I$1,INDIRECT("'"&amp;$A45&amp;"'!$A$12:$Z$19"),MATCH("Points (Auto-generate)",INDIRECT("'"&amp;$A45&amp;"'!$A$12:$Z$12"),0),0)="","?",VLOOKUP(I$1,INDIRECT("'"&amp;$A45&amp;"'!$A$12:$Z$19"),MATCH("Points (Auto-generate)",INDIRECT("'"&amp;$A45&amp;"'!$A$12:$Z$12"),0),0)),"ER"))</f>
        <v>NA</v>
      </c>
      <c r="J45" s="9" t="n">
        <f aca="true">IF($F45=0,"NA",IF($A45=INDIRECT("'"&amp;$A45&amp;"'!$B$1"),IF(VLOOKUP(J$1,INDIRECT("'"&amp;$A45&amp;"'!$A$12:$Z$19"),MATCH("Points (Auto-generate)",INDIRECT("'"&amp;$A45&amp;"'!$A$12:$Z$12"),0),0)="","?",VLOOKUP(J$1,INDIRECT("'"&amp;$A45&amp;"'!$A$12:$Z$19"),MATCH("Points (Auto-generate)",INDIRECT("'"&amp;$A45&amp;"'!$A$12:$Z$12"),0),0)),"ER"))</f>
        <v>2.5</v>
      </c>
      <c r="K45" s="9" t="str">
        <f aca="true">IF($F45=0,"NA",IF($A45=INDIRECT("'"&amp;$A45&amp;"'!$B$1"),IF(VLOOKUP(K$1,INDIRECT("'"&amp;$A45&amp;"'!$A$12:$Z$19"),MATCH("Points (Auto-generate)",INDIRECT("'"&amp;$A45&amp;"'!$A$12:$Z$12"),0),0)="","?",VLOOKUP(K$1,INDIRECT("'"&amp;$A45&amp;"'!$A$12:$Z$19"),MATCH("Points (Auto-generate)",INDIRECT("'"&amp;$A45&amp;"'!$A$12:$Z$12"),0),0)),"ER"))</f>
        <v>NA</v>
      </c>
      <c r="L45" s="9" t="str">
        <f aca="true">IF($F45=0,"NA",IF($A45=INDIRECT("'"&amp;$A45&amp;"'!$B$1"),IF(VLOOKUP(L$1,INDIRECT("'"&amp;$A45&amp;"'!$A$12:$Z$19"),MATCH("Points (Auto-generate)",INDIRECT("'"&amp;$A45&amp;"'!$A$12:$Z$12"),0),0)="","?",VLOOKUP(L$1,INDIRECT("'"&amp;$A45&amp;"'!$A$12:$Z$19"),MATCH("Points (Auto-generate)",INDIRECT("'"&amp;$A45&amp;"'!$A$12:$Z$12"),0),0)),"ER"))</f>
        <v>NA</v>
      </c>
      <c r="M45" s="9" t="str">
        <f aca="true">IF($F45=0,"NA",IF($A45=INDIRECT("'"&amp;$A45&amp;"'!$B$1"),IF(VLOOKUP(M$1,INDIRECT("'"&amp;$A45&amp;"'!$A$12:$Z$19"),MATCH("Points (Auto-generate)",INDIRECT("'"&amp;$A45&amp;"'!$A$12:$Z$12"),0),0)="","?",VLOOKUP(M$1,INDIRECT("'"&amp;$A45&amp;"'!$A$12:$Z$19"),MATCH("Points (Auto-generate)",INDIRECT("'"&amp;$A45&amp;"'!$A$12:$Z$12"),0),0)),"ER"))</f>
        <v>?</v>
      </c>
    </row>
    <row r="46" customFormat="false" ht="15" hidden="false" customHeight="true" outlineLevel="0" collapsed="false">
      <c r="A46" s="9" t="s">
        <v>311</v>
      </c>
      <c r="B46" s="9" t="str">
        <f aca="false">VLOOKUP($A46,'PARASTATAL Questions'!$A:$J,3,0)&amp;""</f>
        <v>Decentralised Participatory Governance</v>
      </c>
      <c r="C46" s="9" t="str">
        <f aca="false">VLOOKUP($A46,'PARASTATAL Questions'!$A:$J,4,0)&amp;""</f>
        <v>SQ</v>
      </c>
      <c r="D46" s="9" t="str">
        <f aca="false">VLOOKUP($A46,'PARASTATAL Questions'!$A:$J,5,0)&amp;""</f>
        <v>Are citizens consulted in practice in the preparation of plans by the parastatal?</v>
      </c>
      <c r="E46" s="9" t="str">
        <f aca="false">VLOOKUP($A46,'PARASTATAL Questions'!$A:$J,7,0)&amp;""</f>
        <v>Law/Policy</v>
      </c>
      <c r="F46" s="9" t="n">
        <f aca="false">VLOOKUP($A46,'PARASTATAL Questions'!$A:$J,6,0)</f>
        <v>5</v>
      </c>
      <c r="G46" s="9" t="n">
        <f aca="true">IF($F46=0,"NA",IF($A46=INDIRECT("'"&amp;$A46&amp;"'!$B$1"),IF(VLOOKUP(G$1,INDIRECT("'"&amp;$A46&amp;"'!$A$12:$Z$19"),MATCH("Points (Auto-generate)",INDIRECT("'"&amp;$A46&amp;"'!$A$12:$Z$12"),0),0)="","?",VLOOKUP(G$1,INDIRECT("'"&amp;$A46&amp;"'!$A$12:$Z$19"),MATCH("Points (Auto-generate)",INDIRECT("'"&amp;$A46&amp;"'!$A$12:$Z$12"),0),0)),"ER"))</f>
        <v>2.5</v>
      </c>
      <c r="H46" s="9" t="str">
        <f aca="true">IF($F46=0,"NA",IF($A46=INDIRECT("'"&amp;$A46&amp;"'!$B$1"),IF(VLOOKUP(H$1,INDIRECT("'"&amp;$A46&amp;"'!$A$12:$Z$19"),MATCH("Points (Auto-generate)",INDIRECT("'"&amp;$A46&amp;"'!$A$12:$Z$12"),0),0)="","?",VLOOKUP(H$1,INDIRECT("'"&amp;$A46&amp;"'!$A$12:$Z$19"),MATCH("Points (Auto-generate)",INDIRECT("'"&amp;$A46&amp;"'!$A$12:$Z$12"),0),0)),"ER"))</f>
        <v>?</v>
      </c>
      <c r="I46" s="9" t="str">
        <f aca="true">IF($F46=0,"NA",IF($A46=INDIRECT("'"&amp;$A46&amp;"'!$B$1"),IF(VLOOKUP(I$1,INDIRECT("'"&amp;$A46&amp;"'!$A$12:$Z$19"),MATCH("Points (Auto-generate)",INDIRECT("'"&amp;$A46&amp;"'!$A$12:$Z$12"),0),0)="","?",VLOOKUP(I$1,INDIRECT("'"&amp;$A46&amp;"'!$A$12:$Z$19"),MATCH("Points (Auto-generate)",INDIRECT("'"&amp;$A46&amp;"'!$A$12:$Z$12"),0),0)),"ER"))</f>
        <v>NA</v>
      </c>
      <c r="J46" s="9" t="n">
        <f aca="true">IF($F46=0,"NA",IF($A46=INDIRECT("'"&amp;$A46&amp;"'!$B$1"),IF(VLOOKUP(J$1,INDIRECT("'"&amp;$A46&amp;"'!$A$12:$Z$19"),MATCH("Points (Auto-generate)",INDIRECT("'"&amp;$A46&amp;"'!$A$12:$Z$12"),0),0)="","?",VLOOKUP(J$1,INDIRECT("'"&amp;$A46&amp;"'!$A$12:$Z$19"),MATCH("Points (Auto-generate)",INDIRECT("'"&amp;$A46&amp;"'!$A$12:$Z$12"),0),0)),"ER"))</f>
        <v>2.5</v>
      </c>
      <c r="K46" s="9" t="str">
        <f aca="true">IF($F46=0,"NA",IF($A46=INDIRECT("'"&amp;$A46&amp;"'!$B$1"),IF(VLOOKUP(K$1,INDIRECT("'"&amp;$A46&amp;"'!$A$12:$Z$19"),MATCH("Points (Auto-generate)",INDIRECT("'"&amp;$A46&amp;"'!$A$12:$Z$12"),0),0)="","?",VLOOKUP(K$1,INDIRECT("'"&amp;$A46&amp;"'!$A$12:$Z$19"),MATCH("Points (Auto-generate)",INDIRECT("'"&amp;$A46&amp;"'!$A$12:$Z$12"),0),0)),"ER"))</f>
        <v>NA</v>
      </c>
      <c r="L46" s="9" t="str">
        <f aca="true">IF($F46=0,"NA",IF($A46=INDIRECT("'"&amp;$A46&amp;"'!$B$1"),IF(VLOOKUP(L$1,INDIRECT("'"&amp;$A46&amp;"'!$A$12:$Z$19"),MATCH("Points (Auto-generate)",INDIRECT("'"&amp;$A46&amp;"'!$A$12:$Z$12"),0),0)="","?",VLOOKUP(L$1,INDIRECT("'"&amp;$A46&amp;"'!$A$12:$Z$19"),MATCH("Points (Auto-generate)",INDIRECT("'"&amp;$A46&amp;"'!$A$12:$Z$12"),0),0)),"ER"))</f>
        <v>NA</v>
      </c>
      <c r="M46" s="9" t="str">
        <f aca="true">IF($F46=0,"NA",IF($A46=INDIRECT("'"&amp;$A46&amp;"'!$B$1"),IF(VLOOKUP(M$1,INDIRECT("'"&amp;$A46&amp;"'!$A$12:$Z$19"),MATCH("Points (Auto-generate)",INDIRECT("'"&amp;$A46&amp;"'!$A$12:$Z$12"),0),0)="","?",VLOOKUP(M$1,INDIRECT("'"&amp;$A46&amp;"'!$A$12:$Z$19"),MATCH("Points (Auto-generate)",INDIRECT("'"&amp;$A46&amp;"'!$A$12:$Z$12"),0),0)),"ER"))</f>
        <v>?</v>
      </c>
    </row>
    <row r="47" customFormat="false" ht="15" hidden="false" customHeight="true" outlineLevel="0" collapsed="false">
      <c r="A47" s="11" t="s">
        <v>320</v>
      </c>
      <c r="B47" s="11" t="str">
        <f aca="false">VLOOKUP($A47,'PARASTATAL Questions'!$A:$J,3,0)&amp;""</f>
        <v>State Capacities</v>
      </c>
      <c r="C47" s="11" t="str">
        <f aca="false">VLOOKUP($A47,'PARASTATAL Questions'!$A:$J,4,0)&amp;""</f>
        <v>MQ</v>
      </c>
      <c r="D47" s="11" t="str">
        <f aca="false">VLOOKUP($A47,'PARASTATAL Questions'!$A:$J,5,0)&amp;""</f>
        <v>What proportion of the parastatal's total expenditure is financed through its own revenues?</v>
      </c>
      <c r="E47" s="11" t="str">
        <f aca="false">VLOOKUP($A47,'PARASTATAL Questions'!$A:$J,7,0)&amp;""</f>
        <v>Implementation (Numeric)</v>
      </c>
      <c r="F47" s="11" t="n">
        <f aca="false">VLOOKUP($A47,'PARASTATAL Questions'!$A:$J,6,0)</f>
        <v>10</v>
      </c>
      <c r="G47" s="11" t="str">
        <f aca="true">IF($F47=0,"NA",IF($A47=INDIRECT("'"&amp;$A47&amp;"'!$B$1"),IF(VLOOKUP(G$1,INDIRECT("'"&amp;$A47&amp;"'!$A$12:$Z$19"),MATCH("Points (Auto-generate)",INDIRECT("'"&amp;$A47&amp;"'!$A$12:$Z$12"),0),0)="","?",VLOOKUP(G$1,INDIRECT("'"&amp;$A47&amp;"'!$A$12:$Z$19"),MATCH("Points (Auto-generate)",INDIRECT("'"&amp;$A47&amp;"'!$A$12:$Z$12"),0),0)),"ER"))</f>
        <v>?</v>
      </c>
      <c r="H47" s="11" t="str">
        <f aca="true">IF($F47=0,"NA",IF($A47=INDIRECT("'"&amp;$A47&amp;"'!$B$1"),IF(VLOOKUP(H$1,INDIRECT("'"&amp;$A47&amp;"'!$A$12:$Z$19"),MATCH("Points (Auto-generate)",INDIRECT("'"&amp;$A47&amp;"'!$A$12:$Z$12"),0),0)="","?",VLOOKUP(H$1,INDIRECT("'"&amp;$A47&amp;"'!$A$12:$Z$19"),MATCH("Points (Auto-generate)",INDIRECT("'"&amp;$A47&amp;"'!$A$12:$Z$12"),0),0)),"ER"))</f>
        <v>?</v>
      </c>
      <c r="I47" s="11" t="str">
        <f aca="true">IF($F47=0,"NA",IF($A47=INDIRECT("'"&amp;$A47&amp;"'!$B$1"),IF(VLOOKUP(I$1,INDIRECT("'"&amp;$A47&amp;"'!$A$12:$Z$19"),MATCH("Points (Auto-generate)",INDIRECT("'"&amp;$A47&amp;"'!$A$12:$Z$12"),0),0)="","?",VLOOKUP(I$1,INDIRECT("'"&amp;$A47&amp;"'!$A$12:$Z$19"),MATCH("Points (Auto-generate)",INDIRECT("'"&amp;$A47&amp;"'!$A$12:$Z$12"),0),0)),"ER"))</f>
        <v>?</v>
      </c>
      <c r="J47" s="11" t="str">
        <f aca="true">IF($F47=0,"NA",IF($A47=INDIRECT("'"&amp;$A47&amp;"'!$B$1"),IF(VLOOKUP(J$1,INDIRECT("'"&amp;$A47&amp;"'!$A$12:$Z$19"),MATCH("Points (Auto-generate)",INDIRECT("'"&amp;$A47&amp;"'!$A$12:$Z$12"),0),0)="","?",VLOOKUP(J$1,INDIRECT("'"&amp;$A47&amp;"'!$A$12:$Z$19"),MATCH("Points (Auto-generate)",INDIRECT("'"&amp;$A47&amp;"'!$A$12:$Z$12"),0),0)),"ER"))</f>
        <v>NA</v>
      </c>
      <c r="K47" s="11" t="str">
        <f aca="true">IF($F47=0,"NA",IF($A47=INDIRECT("'"&amp;$A47&amp;"'!$B$1"),IF(VLOOKUP(K$1,INDIRECT("'"&amp;$A47&amp;"'!$A$12:$Z$19"),MATCH("Points (Auto-generate)",INDIRECT("'"&amp;$A47&amp;"'!$A$12:$Z$12"),0),0)="","?",VLOOKUP(K$1,INDIRECT("'"&amp;$A47&amp;"'!$A$12:$Z$19"),MATCH("Points (Auto-generate)",INDIRECT("'"&amp;$A47&amp;"'!$A$12:$Z$12"),0),0)),"ER"))</f>
        <v>NA</v>
      </c>
      <c r="L47" s="11" t="str">
        <f aca="true">IF($F47=0,"NA",IF($A47=INDIRECT("'"&amp;$A47&amp;"'!$B$1"),IF(VLOOKUP(L$1,INDIRECT("'"&amp;$A47&amp;"'!$A$12:$Z$19"),MATCH("Points (Auto-generate)",INDIRECT("'"&amp;$A47&amp;"'!$A$12:$Z$12"),0),0)="","?",VLOOKUP(L$1,INDIRECT("'"&amp;$A47&amp;"'!$A$12:$Z$19"),MATCH("Points (Auto-generate)",INDIRECT("'"&amp;$A47&amp;"'!$A$12:$Z$12"),0),0)),"ER"))</f>
        <v>NA</v>
      </c>
      <c r="M47" s="11" t="str">
        <f aca="true">IF($F47=0,"NA",IF($A47=INDIRECT("'"&amp;$A47&amp;"'!$B$1"),IF(VLOOKUP(M$1,INDIRECT("'"&amp;$A47&amp;"'!$A$12:$Z$19"),MATCH("Points (Auto-generate)",INDIRECT("'"&amp;$A47&amp;"'!$A$12:$Z$12"),0),0)="","?",VLOOKUP(M$1,INDIRECT("'"&amp;$A47&amp;"'!$A$12:$Z$19"),MATCH("Points (Auto-generate)",INDIRECT("'"&amp;$A47&amp;"'!$A$12:$Z$12"),0),0)),"ER"))</f>
        <v>NA</v>
      </c>
    </row>
    <row r="48" customFormat="false" ht="15" hidden="false" customHeight="true" outlineLevel="0" collapsed="false">
      <c r="A48" s="11" t="s">
        <v>331</v>
      </c>
      <c r="B48" s="11" t="str">
        <f aca="false">VLOOKUP($A48,'PARASTATAL Questions'!$A:$J,3,0)&amp;""</f>
        <v>State Capacities</v>
      </c>
      <c r="C48" s="11" t="str">
        <f aca="false">VLOOKUP($A48,'PARASTATAL Questions'!$A:$J,4,0)&amp;""</f>
        <v>MQ</v>
      </c>
      <c r="D48" s="11" t="str">
        <f aca="false">VLOOKUP($A48,'PARASTATAL Questions'!$A:$J,5,0)&amp;""</f>
        <v>What is the parastatal's per-capita capital expenditure?</v>
      </c>
      <c r="E48" s="11" t="str">
        <f aca="false">VLOOKUP($A48,'PARASTATAL Questions'!$A:$J,7,0)&amp;""</f>
        <v>Implementation (Numeric)</v>
      </c>
      <c r="F48" s="11" t="n">
        <f aca="false">VLOOKUP($A48,'PARASTATAL Questions'!$A:$J,6,0)</f>
        <v>10</v>
      </c>
      <c r="G48" s="11" t="str">
        <f aca="true">IF($F48=0,"NA",IF($A48=INDIRECT("'"&amp;$A48&amp;"'!$B$1"),IF(VLOOKUP(G$1,INDIRECT("'"&amp;$A48&amp;"'!$A$12:$Z$19"),MATCH("Points (Auto-generate)",INDIRECT("'"&amp;$A48&amp;"'!$A$12:$Z$12"),0),0)="","?",VLOOKUP(G$1,INDIRECT("'"&amp;$A48&amp;"'!$A$12:$Z$19"),MATCH("Points (Auto-generate)",INDIRECT("'"&amp;$A48&amp;"'!$A$12:$Z$12"),0),0)),"ER"))</f>
        <v>?</v>
      </c>
      <c r="H48" s="11" t="str">
        <f aca="true">IF($F48=0,"NA",IF($A48=INDIRECT("'"&amp;$A48&amp;"'!$B$1"),IF(VLOOKUP(H$1,INDIRECT("'"&amp;$A48&amp;"'!$A$12:$Z$19"),MATCH("Points (Auto-generate)",INDIRECT("'"&amp;$A48&amp;"'!$A$12:$Z$12"),0),0)="","?",VLOOKUP(H$1,INDIRECT("'"&amp;$A48&amp;"'!$A$12:$Z$19"),MATCH("Points (Auto-generate)",INDIRECT("'"&amp;$A48&amp;"'!$A$12:$Z$12"),0),0)),"ER"))</f>
        <v>?</v>
      </c>
      <c r="I48" s="11" t="str">
        <f aca="true">IF($F48=0,"NA",IF($A48=INDIRECT("'"&amp;$A48&amp;"'!$B$1"),IF(VLOOKUP(I$1,INDIRECT("'"&amp;$A48&amp;"'!$A$12:$Z$19"),MATCH("Points (Auto-generate)",INDIRECT("'"&amp;$A48&amp;"'!$A$12:$Z$12"),0),0)="","?",VLOOKUP(I$1,INDIRECT("'"&amp;$A48&amp;"'!$A$12:$Z$19"),MATCH("Points (Auto-generate)",INDIRECT("'"&amp;$A48&amp;"'!$A$12:$Z$12"),0),0)),"ER"))</f>
        <v>?</v>
      </c>
      <c r="J48" s="11" t="str">
        <f aca="true">IF($F48=0,"NA",IF($A48=INDIRECT("'"&amp;$A48&amp;"'!$B$1"),IF(VLOOKUP(J$1,INDIRECT("'"&amp;$A48&amp;"'!$A$12:$Z$19"),MATCH("Points (Auto-generate)",INDIRECT("'"&amp;$A48&amp;"'!$A$12:$Z$12"),0),0)="","?",VLOOKUP(J$1,INDIRECT("'"&amp;$A48&amp;"'!$A$12:$Z$19"),MATCH("Points (Auto-generate)",INDIRECT("'"&amp;$A48&amp;"'!$A$12:$Z$12"),0),0)),"ER"))</f>
        <v>?</v>
      </c>
      <c r="K48" s="11" t="str">
        <f aca="true">IF($F48=0,"NA",IF($A48=INDIRECT("'"&amp;$A48&amp;"'!$B$1"),IF(VLOOKUP(K$1,INDIRECT("'"&amp;$A48&amp;"'!$A$12:$Z$19"),MATCH("Points (Auto-generate)",INDIRECT("'"&amp;$A48&amp;"'!$A$12:$Z$12"),0),0)="","?",VLOOKUP(K$1,INDIRECT("'"&amp;$A48&amp;"'!$A$12:$Z$19"),MATCH("Points (Auto-generate)",INDIRECT("'"&amp;$A48&amp;"'!$A$12:$Z$12"),0),0)),"ER"))</f>
        <v>NA</v>
      </c>
      <c r="L48" s="11" t="str">
        <f aca="true">IF($F48=0,"NA",IF($A48=INDIRECT("'"&amp;$A48&amp;"'!$B$1"),IF(VLOOKUP(L$1,INDIRECT("'"&amp;$A48&amp;"'!$A$12:$Z$19"),MATCH("Points (Auto-generate)",INDIRECT("'"&amp;$A48&amp;"'!$A$12:$Z$12"),0),0)="","?",VLOOKUP(L$1,INDIRECT("'"&amp;$A48&amp;"'!$A$12:$Z$19"),MATCH("Points (Auto-generate)",INDIRECT("'"&amp;$A48&amp;"'!$A$12:$Z$12"),0),0)),"ER"))</f>
        <v>NA</v>
      </c>
      <c r="M48" s="11" t="str">
        <f aca="true">IF($F48=0,"NA",IF($A48=INDIRECT("'"&amp;$A48&amp;"'!$B$1"),IF(VLOOKUP(M$1,INDIRECT("'"&amp;$A48&amp;"'!$A$12:$Z$19"),MATCH("Points (Auto-generate)",INDIRECT("'"&amp;$A48&amp;"'!$A$12:$Z$12"),0),0)="","?",VLOOKUP(M$1,INDIRECT("'"&amp;$A48&amp;"'!$A$12:$Z$19"),MATCH("Points (Auto-generate)",INDIRECT("'"&amp;$A48&amp;"'!$A$12:$Z$12"),0),0)),"ER"))</f>
        <v>?</v>
      </c>
    </row>
    <row r="49" customFormat="false" ht="15" hidden="false" customHeight="true" outlineLevel="0" collapsed="false">
      <c r="A49" s="11" t="s">
        <v>339</v>
      </c>
      <c r="B49" s="11" t="str">
        <f aca="false">VLOOKUP($A49,'PARASTATAL Questions'!$A:$J,3,0)&amp;""</f>
        <v>State Capacities</v>
      </c>
      <c r="C49" s="11" t="str">
        <f aca="false">VLOOKUP($A49,'PARASTATAL Questions'!$A:$J,4,0)&amp;""</f>
        <v>MQ</v>
      </c>
      <c r="D49" s="11" t="str">
        <f aca="false">VLOOKUP($A49,'PARASTATAL Questions'!$A:$J,5,0)&amp;""</f>
        <v>How realistic is the parastatal's annual budget?</v>
      </c>
      <c r="E49" s="11" t="str">
        <f aca="false">VLOOKUP($A49,'PARASTATAL Questions'!$A:$J,7,0)&amp;""</f>
        <v>Implementation (Numeric)</v>
      </c>
      <c r="F49" s="11" t="n">
        <f aca="false">VLOOKUP($A49,'PARASTATAL Questions'!$A:$J,6,0)</f>
        <v>10</v>
      </c>
      <c r="G49" s="11" t="str">
        <f aca="true">IF($F49=0,"NA",IF($A49=INDIRECT("'"&amp;$A49&amp;"'!$B$1"),IF(VLOOKUP(G$1,INDIRECT("'"&amp;$A49&amp;"'!$A$12:$Z$19"),MATCH("Points (Auto-generate)",INDIRECT("'"&amp;$A49&amp;"'!$A$12:$Z$12"),0),0)="","?",VLOOKUP(G$1,INDIRECT("'"&amp;$A49&amp;"'!$A$12:$Z$19"),MATCH("Points (Auto-generate)",INDIRECT("'"&amp;$A49&amp;"'!$A$12:$Z$12"),0),0)),"ER"))</f>
        <v>?</v>
      </c>
      <c r="H49" s="11" t="str">
        <f aca="true">IF($F49=0,"NA",IF($A49=INDIRECT("'"&amp;$A49&amp;"'!$B$1"),IF(VLOOKUP(H$1,INDIRECT("'"&amp;$A49&amp;"'!$A$12:$Z$19"),MATCH("Points (Auto-generate)",INDIRECT("'"&amp;$A49&amp;"'!$A$12:$Z$12"),0),0)="","?",VLOOKUP(H$1,INDIRECT("'"&amp;$A49&amp;"'!$A$12:$Z$19"),MATCH("Points (Auto-generate)",INDIRECT("'"&amp;$A49&amp;"'!$A$12:$Z$12"),0),0)),"ER"))</f>
        <v>?</v>
      </c>
      <c r="I49" s="11" t="str">
        <f aca="true">IF($F49=0,"NA",IF($A49=INDIRECT("'"&amp;$A49&amp;"'!$B$1"),IF(VLOOKUP(I$1,INDIRECT("'"&amp;$A49&amp;"'!$A$12:$Z$19"),MATCH("Points (Auto-generate)",INDIRECT("'"&amp;$A49&amp;"'!$A$12:$Z$12"),0),0)="","?",VLOOKUP(I$1,INDIRECT("'"&amp;$A49&amp;"'!$A$12:$Z$19"),MATCH("Points (Auto-generate)",INDIRECT("'"&amp;$A49&amp;"'!$A$12:$Z$12"),0),0)),"ER"))</f>
        <v>?</v>
      </c>
      <c r="J49" s="11" t="str">
        <f aca="true">IF($F49=0,"NA",IF($A49=INDIRECT("'"&amp;$A49&amp;"'!$B$1"),IF(VLOOKUP(J$1,INDIRECT("'"&amp;$A49&amp;"'!$A$12:$Z$19"),MATCH("Points (Auto-generate)",INDIRECT("'"&amp;$A49&amp;"'!$A$12:$Z$12"),0),0)="","?",VLOOKUP(J$1,INDIRECT("'"&amp;$A49&amp;"'!$A$12:$Z$19"),MATCH("Points (Auto-generate)",INDIRECT("'"&amp;$A49&amp;"'!$A$12:$Z$12"),0),0)),"ER"))</f>
        <v>?</v>
      </c>
      <c r="K49" s="11" t="str">
        <f aca="true">IF($F49=0,"NA",IF($A49=INDIRECT("'"&amp;$A49&amp;"'!$B$1"),IF(VLOOKUP(K$1,INDIRECT("'"&amp;$A49&amp;"'!$A$12:$Z$19"),MATCH("Points (Auto-generate)",INDIRECT("'"&amp;$A49&amp;"'!$A$12:$Z$12"),0),0)="","?",VLOOKUP(K$1,INDIRECT("'"&amp;$A49&amp;"'!$A$12:$Z$19"),MATCH("Points (Auto-generate)",INDIRECT("'"&amp;$A49&amp;"'!$A$12:$Z$12"),0),0)),"ER"))</f>
        <v>?</v>
      </c>
      <c r="L49" s="11" t="str">
        <f aca="true">IF($F49=0,"NA",IF($A49=INDIRECT("'"&amp;$A49&amp;"'!$B$1"),IF(VLOOKUP(L$1,INDIRECT("'"&amp;$A49&amp;"'!$A$12:$Z$19"),MATCH("Points (Auto-generate)",INDIRECT("'"&amp;$A49&amp;"'!$A$12:$Z$12"),0),0)="","?",VLOOKUP(L$1,INDIRECT("'"&amp;$A49&amp;"'!$A$12:$Z$19"),MATCH("Points (Auto-generate)",INDIRECT("'"&amp;$A49&amp;"'!$A$12:$Z$12"),0),0)),"ER"))</f>
        <v>?</v>
      </c>
      <c r="M49" s="11" t="str">
        <f aca="true">IF($F49=0,"NA",IF($A49=INDIRECT("'"&amp;$A49&amp;"'!$B$1"),IF(VLOOKUP(M$1,INDIRECT("'"&amp;$A49&amp;"'!$A$12:$Z$19"),MATCH("Points (Auto-generate)",INDIRECT("'"&amp;$A49&amp;"'!$A$12:$Z$12"),0),0)="","?",VLOOKUP(M$1,INDIRECT("'"&amp;$A49&amp;"'!$A$12:$Z$19"),MATCH("Points (Auto-generate)",INDIRECT("'"&amp;$A49&amp;"'!$A$12:$Z$12"),0),0)),"ER"))</f>
        <v>?</v>
      </c>
    </row>
    <row r="50" customFormat="false" ht="15" hidden="false" customHeight="true" outlineLevel="0" collapsed="false">
      <c r="A50" s="11" t="s">
        <v>430</v>
      </c>
      <c r="B50" s="11" t="str">
        <f aca="false">VLOOKUP($A50,'PARASTATAL Questions'!$A:$J,3,0)&amp;""</f>
        <v>State Capacities</v>
      </c>
      <c r="C50" s="11" t="str">
        <f aca="false">VLOOKUP($A50,'PARASTATAL Questions'!$A:$J,4,0)&amp;""</f>
        <v>MQ</v>
      </c>
      <c r="D50" s="11" t="str">
        <f aca="false">VLOOKUP($A50,'PARASTATAL Questions'!$A:$J,5,0)&amp;""</f>
        <v>Is the parastatal mandated to prepare a medium-term and/or long-term fiscal plan, and has it prepared a current plan in accordance with that mandate?</v>
      </c>
      <c r="E50" s="11" t="str">
        <f aca="false">VLOOKUP($A50,'PARASTATAL Questions'!$A:$J,7,0)&amp;""</f>
        <v>Law/Policy</v>
      </c>
      <c r="F50" s="11" t="n">
        <f aca="false">VLOOKUP($A50,'PARASTATAL Questions'!$A:$J,6,0)</f>
        <v>10</v>
      </c>
      <c r="G50" s="11" t="str">
        <f aca="false">IF(OR(G51="ER",G52="ER"),"ER",IF(OR(G51="?",G52="?"),"?",IF(AND(G51="NA",G52="NA"),"NA",SUM(G51,G52)/((G51&lt;&gt;"NA")*$F$51+(G52&lt;&gt;"NA")*$F$52)*$F50)))</f>
        <v>?</v>
      </c>
      <c r="H50" s="11" t="str">
        <f aca="false">IF(OR(H51="ER",H52="ER"),"ER",IF(OR(H51="?",H52="?"),"?",IF(AND(H51="NA",H52="NA"),"NA",SUM(H51,H52)/((H51&lt;&gt;"NA")*$F$51+(H52&lt;&gt;"NA")*$F$52)*$F50)))</f>
        <v>?</v>
      </c>
      <c r="I50" s="11" t="str">
        <f aca="false">IF(OR(I51="ER",I52="ER"),"ER",IF(OR(I51="?",I52="?"),"?",IF(AND(I51="NA",I52="NA"),"NA",SUM(I51,I52)/((I51&lt;&gt;"NA")*$F$51+(I52&lt;&gt;"NA")*$F$52)*$F50)))</f>
        <v>?</v>
      </c>
      <c r="J50" s="11" t="str">
        <f aca="false">IF(OR(J51="ER",J52="ER"),"ER",IF(OR(J51="?",J52="?"),"?",IF(AND(J51="NA",J52="NA"),"NA",SUM(J51,J52)/((J51&lt;&gt;"NA")*$F$51+(J52&lt;&gt;"NA")*$F$52)*$F50)))</f>
        <v>?</v>
      </c>
      <c r="K50" s="11" t="str">
        <f aca="false">IF(OR(K51="ER",K52="ER"),"ER",IF(OR(K51="?",K52="?"),"?",IF(AND(K51="NA",K52="NA"),"NA",SUM(K51,K52)/((K51&lt;&gt;"NA")*$F$51+(K52&lt;&gt;"NA")*$F$52)*$F50)))</f>
        <v>?</v>
      </c>
      <c r="L50" s="11" t="str">
        <f aca="false">IF(OR(L51="ER",L52="ER"),"ER",IF(OR(L51="?",L52="?"),"?",IF(AND(L51="NA",L52="NA"),"NA",SUM(L51,L52)/((L51&lt;&gt;"NA")*$F$51+(L52&lt;&gt;"NA")*$F$52)*$F50)))</f>
        <v>?</v>
      </c>
      <c r="M50" s="11" t="str">
        <f aca="false">IF(OR(M51="ER",M52="ER"),"ER",IF(OR(M51="?",M52="?"),"?",IF(AND(M51="NA",M52="NA"),"NA",SUM(M51,M52)/((M51&lt;&gt;"NA")*$F$51+(M52&lt;&gt;"NA")*$F$52)*$F50)))</f>
        <v>?</v>
      </c>
    </row>
    <row r="51" customFormat="false" ht="15" hidden="false" customHeight="true" outlineLevel="0" collapsed="false">
      <c r="A51" s="9" t="s">
        <v>346</v>
      </c>
      <c r="B51" s="9" t="str">
        <f aca="false">VLOOKUP($A51,'PARASTATAL Questions'!$A:$J,3,0)&amp;""</f>
        <v>State Capacities</v>
      </c>
      <c r="C51" s="9" t="str">
        <f aca="false">VLOOKUP($A51,'PARASTATAL Questions'!$A:$J,4,0)&amp;""</f>
        <v>SQ</v>
      </c>
      <c r="D51" s="9" t="str">
        <f aca="false">VLOOKUP($A51,'PARASTATAL Questions'!$A:$J,5,0)&amp;""</f>
        <v>Is a medium-term (3-5 year) and/or long-term (&gt;5 year) fiscal plan legally mandated?</v>
      </c>
      <c r="E51" s="9" t="str">
        <f aca="false">VLOOKUP($A51,'PARASTATAL Questions'!$A:$J,7,0)&amp;""</f>
        <v>Law/Policy</v>
      </c>
      <c r="F51" s="9" t="n">
        <f aca="false">VLOOKUP($A51,'PARASTATAL Questions'!$A:$J,6,0)</f>
        <v>5</v>
      </c>
      <c r="G51" s="9" t="n">
        <f aca="true">IF($F51=0,"NA",IF($A51=INDIRECT("'"&amp;$A51&amp;"'!$B$1"),IF(VLOOKUP(G$1,INDIRECT("'"&amp;$A51&amp;"'!$A$12:$Z$19"),MATCH("Points (Auto-generate)",INDIRECT("'"&amp;$A51&amp;"'!$A$12:$Z$12"),0),0)="","?",VLOOKUP(G$1,INDIRECT("'"&amp;$A51&amp;"'!$A$12:$Z$19"),MATCH("Points (Auto-generate)",INDIRECT("'"&amp;$A51&amp;"'!$A$12:$Z$12"),0),0)),"ER"))</f>
        <v>0</v>
      </c>
      <c r="H51" s="9" t="n">
        <f aca="true">IF($F51=0,"NA",IF($A51=INDIRECT("'"&amp;$A51&amp;"'!$B$1"),IF(VLOOKUP(H$1,INDIRECT("'"&amp;$A51&amp;"'!$A$12:$Z$19"),MATCH("Points (Auto-generate)",INDIRECT("'"&amp;$A51&amp;"'!$A$12:$Z$12"),0),0)="","?",VLOOKUP(H$1,INDIRECT("'"&amp;$A51&amp;"'!$A$12:$Z$19"),MATCH("Points (Auto-generate)",INDIRECT("'"&amp;$A51&amp;"'!$A$12:$Z$12"),0),0)),"ER"))</f>
        <v>0</v>
      </c>
      <c r="I51" s="9" t="n">
        <f aca="true">IF($F51=0,"NA",IF($A51=INDIRECT("'"&amp;$A51&amp;"'!$B$1"),IF(VLOOKUP(I$1,INDIRECT("'"&amp;$A51&amp;"'!$A$12:$Z$19"),MATCH("Points (Auto-generate)",INDIRECT("'"&amp;$A51&amp;"'!$A$12:$Z$12"),0),0)="","?",VLOOKUP(I$1,INDIRECT("'"&amp;$A51&amp;"'!$A$12:$Z$19"),MATCH("Points (Auto-generate)",INDIRECT("'"&amp;$A51&amp;"'!$A$12:$Z$12"),0),0)),"ER"))</f>
        <v>0</v>
      </c>
      <c r="J51" s="9" t="n">
        <f aca="true">IF($F51=0,"NA",IF($A51=INDIRECT("'"&amp;$A51&amp;"'!$B$1"),IF(VLOOKUP(J$1,INDIRECT("'"&amp;$A51&amp;"'!$A$12:$Z$19"),MATCH("Points (Auto-generate)",INDIRECT("'"&amp;$A51&amp;"'!$A$12:$Z$12"),0),0)="","?",VLOOKUP(J$1,INDIRECT("'"&amp;$A51&amp;"'!$A$12:$Z$19"),MATCH("Points (Auto-generate)",INDIRECT("'"&amp;$A51&amp;"'!$A$12:$Z$12"),0),0)),"ER"))</f>
        <v>0</v>
      </c>
      <c r="K51" s="9" t="n">
        <f aca="true">IF($F51=0,"NA",IF($A51=INDIRECT("'"&amp;$A51&amp;"'!$B$1"),IF(VLOOKUP(K$1,INDIRECT("'"&amp;$A51&amp;"'!$A$12:$Z$19"),MATCH("Points (Auto-generate)",INDIRECT("'"&amp;$A51&amp;"'!$A$12:$Z$12"),0),0)="","?",VLOOKUP(K$1,INDIRECT("'"&amp;$A51&amp;"'!$A$12:$Z$19"),MATCH("Points (Auto-generate)",INDIRECT("'"&amp;$A51&amp;"'!$A$12:$Z$12"),0),0)),"ER"))</f>
        <v>0</v>
      </c>
      <c r="L51" s="9" t="str">
        <f aca="true">IF($F51=0,"NA",IF($A51=INDIRECT("'"&amp;$A51&amp;"'!$B$1"),IF(VLOOKUP(L$1,INDIRECT("'"&amp;$A51&amp;"'!$A$12:$Z$19"),MATCH("Points (Auto-generate)",INDIRECT("'"&amp;$A51&amp;"'!$A$12:$Z$12"),0),0)="","?",VLOOKUP(L$1,INDIRECT("'"&amp;$A51&amp;"'!$A$12:$Z$19"),MATCH("Points (Auto-generate)",INDIRECT("'"&amp;$A51&amp;"'!$A$12:$Z$12"),0),0)),"ER"))</f>
        <v>?</v>
      </c>
      <c r="M51" s="9" t="str">
        <f aca="true">IF($F51=0,"NA",IF($A51=INDIRECT("'"&amp;$A51&amp;"'!$B$1"),IF(VLOOKUP(M$1,INDIRECT("'"&amp;$A51&amp;"'!$A$12:$Z$19"),MATCH("Points (Auto-generate)",INDIRECT("'"&amp;$A51&amp;"'!$A$12:$Z$12"),0),0)="","?",VLOOKUP(M$1,INDIRECT("'"&amp;$A51&amp;"'!$A$12:$Z$19"),MATCH("Points (Auto-generate)",INDIRECT("'"&amp;$A51&amp;"'!$A$12:$Z$12"),0),0)),"ER"))</f>
        <v>?</v>
      </c>
    </row>
    <row r="52" customFormat="false" ht="15" hidden="false" customHeight="true" outlineLevel="0" collapsed="false">
      <c r="A52" s="9" t="s">
        <v>357</v>
      </c>
      <c r="B52" s="9" t="str">
        <f aca="false">VLOOKUP($A52,'PARASTATAL Questions'!$A:$J,3,0)&amp;""</f>
        <v>State Capacities</v>
      </c>
      <c r="C52" s="9" t="str">
        <f aca="false">VLOOKUP($A52,'PARASTATAL Questions'!$A:$J,4,0)&amp;""</f>
        <v>SQ</v>
      </c>
      <c r="D52" s="9" t="str">
        <f aca="false">VLOOKUP($A52,'PARASTATAL Questions'!$A:$J,5,0)&amp;""</f>
        <v>Is the medium/long-term fiscal plan publicly available?</v>
      </c>
      <c r="E52" s="9" t="str">
        <f aca="false">VLOOKUP($A52,'PARASTATAL Questions'!$A:$J,7,0)&amp;""</f>
        <v>Implementation</v>
      </c>
      <c r="F52" s="9" t="n">
        <f aca="false">VLOOKUP($A52,'PARASTATAL Questions'!$A:$J,6,0)</f>
        <v>5</v>
      </c>
      <c r="G52" s="9" t="str">
        <f aca="true">IF($F52=0,"NA",IF($A52=INDIRECT("'"&amp;$A52&amp;"'!$B$1"),IF(VLOOKUP(G$1,INDIRECT("'"&amp;$A52&amp;"'!$A$12:$Z$19"),MATCH("Points (Auto-generate)",INDIRECT("'"&amp;$A52&amp;"'!$A$12:$Z$12"),0),0)="","?",VLOOKUP(G$1,INDIRECT("'"&amp;$A52&amp;"'!$A$12:$Z$19"),MATCH("Points (Auto-generate)",INDIRECT("'"&amp;$A52&amp;"'!$A$12:$Z$12"),0),0)),"ER"))</f>
        <v>?</v>
      </c>
      <c r="H52" s="9" t="str">
        <f aca="true">IF($F52=0,"NA",IF($A52=INDIRECT("'"&amp;$A52&amp;"'!$B$1"),IF(VLOOKUP(H$1,INDIRECT("'"&amp;$A52&amp;"'!$A$12:$Z$19"),MATCH("Points (Auto-generate)",INDIRECT("'"&amp;$A52&amp;"'!$A$12:$Z$12"),0),0)="","?",VLOOKUP(H$1,INDIRECT("'"&amp;$A52&amp;"'!$A$12:$Z$19"),MATCH("Points (Auto-generate)",INDIRECT("'"&amp;$A52&amp;"'!$A$12:$Z$12"),0),0)),"ER"))</f>
        <v>?</v>
      </c>
      <c r="I52" s="9" t="str">
        <f aca="true">IF($F52=0,"NA",IF($A52=INDIRECT("'"&amp;$A52&amp;"'!$B$1"),IF(VLOOKUP(I$1,INDIRECT("'"&amp;$A52&amp;"'!$A$12:$Z$19"),MATCH("Points (Auto-generate)",INDIRECT("'"&amp;$A52&amp;"'!$A$12:$Z$12"),0),0)="","?",VLOOKUP(I$1,INDIRECT("'"&amp;$A52&amp;"'!$A$12:$Z$19"),MATCH("Points (Auto-generate)",INDIRECT("'"&amp;$A52&amp;"'!$A$12:$Z$12"),0),0)),"ER"))</f>
        <v>?</v>
      </c>
      <c r="J52" s="9" t="str">
        <f aca="true">IF($F52=0,"NA",IF($A52=INDIRECT("'"&amp;$A52&amp;"'!$B$1"),IF(VLOOKUP(J$1,INDIRECT("'"&amp;$A52&amp;"'!$A$12:$Z$19"),MATCH("Points (Auto-generate)",INDIRECT("'"&amp;$A52&amp;"'!$A$12:$Z$12"),0),0)="","?",VLOOKUP(J$1,INDIRECT("'"&amp;$A52&amp;"'!$A$12:$Z$19"),MATCH("Points (Auto-generate)",INDIRECT("'"&amp;$A52&amp;"'!$A$12:$Z$12"),0),0)),"ER"))</f>
        <v>?</v>
      </c>
      <c r="K52" s="9" t="str">
        <f aca="true">IF($F52=0,"NA",IF($A52=INDIRECT("'"&amp;$A52&amp;"'!$B$1"),IF(VLOOKUP(K$1,INDIRECT("'"&amp;$A52&amp;"'!$A$12:$Z$19"),MATCH("Points (Auto-generate)",INDIRECT("'"&amp;$A52&amp;"'!$A$12:$Z$12"),0),0)="","?",VLOOKUP(K$1,INDIRECT("'"&amp;$A52&amp;"'!$A$12:$Z$19"),MATCH("Points (Auto-generate)",INDIRECT("'"&amp;$A52&amp;"'!$A$12:$Z$12"),0),0)),"ER"))</f>
        <v>?</v>
      </c>
      <c r="L52" s="9" t="str">
        <f aca="true">IF($F52=0,"NA",IF($A52=INDIRECT("'"&amp;$A52&amp;"'!$B$1"),IF(VLOOKUP(L$1,INDIRECT("'"&amp;$A52&amp;"'!$A$12:$Z$19"),MATCH("Points (Auto-generate)",INDIRECT("'"&amp;$A52&amp;"'!$A$12:$Z$12"),0),0)="","?",VLOOKUP(L$1,INDIRECT("'"&amp;$A52&amp;"'!$A$12:$Z$19"),MATCH("Points (Auto-generate)",INDIRECT("'"&amp;$A52&amp;"'!$A$12:$Z$12"),0),0)),"ER"))</f>
        <v>?</v>
      </c>
      <c r="M52" s="9" t="str">
        <f aca="true">IF($F52=0,"NA",IF($A52=INDIRECT("'"&amp;$A52&amp;"'!$B$1"),IF(VLOOKUP(M$1,INDIRECT("'"&amp;$A52&amp;"'!$A$12:$Z$19"),MATCH("Points (Auto-generate)",INDIRECT("'"&amp;$A52&amp;"'!$A$12:$Z$12"),0),0)="","?",VLOOKUP(M$1,INDIRECT("'"&amp;$A52&amp;"'!$A$12:$Z$19"),MATCH("Points (Auto-generate)",INDIRECT("'"&amp;$A52&amp;"'!$A$12:$Z$12"),0),0)),"ER"))</f>
        <v>?</v>
      </c>
    </row>
    <row r="53" customFormat="false" ht="15" hidden="false" customHeight="true" outlineLevel="0" collapsed="false">
      <c r="A53" s="11" t="s">
        <v>364</v>
      </c>
      <c r="B53" s="11" t="str">
        <f aca="false">VLOOKUP($A53,'PARASTATAL Questions'!$A:$J,3,0)&amp;""</f>
        <v>State Capacities</v>
      </c>
      <c r="C53" s="11" t="str">
        <f aca="false">VLOOKUP($A53,'PARASTATAL Questions'!$A:$J,4,0)&amp;""</f>
        <v>MQ</v>
      </c>
      <c r="D53" s="11" t="str">
        <f aca="false">VLOOKUP($A53,'PARASTATAL Questions'!$A:$J,5,0)&amp;""</f>
        <v>Does the law mandate a minimum tenure for the executive authority of the parastatal?</v>
      </c>
      <c r="E53" s="11" t="str">
        <f aca="false">VLOOKUP($A53,'PARASTATAL Questions'!$A:$J,7,0)&amp;""</f>
        <v>Law/Policy</v>
      </c>
      <c r="F53" s="11" t="n">
        <f aca="false">VLOOKUP($A53,'PARASTATAL Questions'!$A:$J,6,0)</f>
        <v>10</v>
      </c>
      <c r="G53" s="11" t="n">
        <f aca="true">IF($F53=0,"NA",IF($A53=INDIRECT("'"&amp;$A53&amp;"'!$B$1"),IF(VLOOKUP(G$1,INDIRECT("'"&amp;$A53&amp;"'!$A$12:$Z$19"),MATCH("Points (Auto-generate)",INDIRECT("'"&amp;$A53&amp;"'!$A$12:$Z$12"),0),0)="","?",VLOOKUP(G$1,INDIRECT("'"&amp;$A53&amp;"'!$A$12:$Z$19"),MATCH("Points (Auto-generate)",INDIRECT("'"&amp;$A53&amp;"'!$A$12:$Z$12"),0),0)),"ER"))</f>
        <v>0</v>
      </c>
      <c r="H53" s="11" t="str">
        <f aca="true">IF($F53=0,"NA",IF($A53=INDIRECT("'"&amp;$A53&amp;"'!$B$1"),IF(VLOOKUP(H$1,INDIRECT("'"&amp;$A53&amp;"'!$A$12:$Z$19"),MATCH("Points (Auto-generate)",INDIRECT("'"&amp;$A53&amp;"'!$A$12:$Z$12"),0),0)="","?",VLOOKUP(H$1,INDIRECT("'"&amp;$A53&amp;"'!$A$12:$Z$19"),MATCH("Points (Auto-generate)",INDIRECT("'"&amp;$A53&amp;"'!$A$12:$Z$12"),0),0)),"ER"))</f>
        <v>?</v>
      </c>
      <c r="I53" s="11" t="n">
        <f aca="true">IF($F53=0,"NA",IF($A53=INDIRECT("'"&amp;$A53&amp;"'!$B$1"),IF(VLOOKUP(I$1,INDIRECT("'"&amp;$A53&amp;"'!$A$12:$Z$19"),MATCH("Points (Auto-generate)",INDIRECT("'"&amp;$A53&amp;"'!$A$12:$Z$12"),0),0)="","?",VLOOKUP(I$1,INDIRECT("'"&amp;$A53&amp;"'!$A$12:$Z$19"),MATCH("Points (Auto-generate)",INDIRECT("'"&amp;$A53&amp;"'!$A$12:$Z$12"),0),0)),"ER"))</f>
        <v>0</v>
      </c>
      <c r="J53" s="11" t="n">
        <f aca="true">IF($F53=0,"NA",IF($A53=INDIRECT("'"&amp;$A53&amp;"'!$B$1"),IF(VLOOKUP(J$1,INDIRECT("'"&amp;$A53&amp;"'!$A$12:$Z$19"),MATCH("Points (Auto-generate)",INDIRECT("'"&amp;$A53&amp;"'!$A$12:$Z$12"),0),0)="","?",VLOOKUP(J$1,INDIRECT("'"&amp;$A53&amp;"'!$A$12:$Z$19"),MATCH("Points (Auto-generate)",INDIRECT("'"&amp;$A53&amp;"'!$A$12:$Z$12"),0),0)),"ER"))</f>
        <v>0</v>
      </c>
      <c r="K53" s="11" t="str">
        <f aca="true">IF($F53=0,"NA",IF($A53=INDIRECT("'"&amp;$A53&amp;"'!$B$1"),IF(VLOOKUP(K$1,INDIRECT("'"&amp;$A53&amp;"'!$A$12:$Z$19"),MATCH("Points (Auto-generate)",INDIRECT("'"&amp;$A53&amp;"'!$A$12:$Z$12"),0),0)="","?",VLOOKUP(K$1,INDIRECT("'"&amp;$A53&amp;"'!$A$12:$Z$19"),MATCH("Points (Auto-generate)",INDIRECT("'"&amp;$A53&amp;"'!$A$12:$Z$12"),0),0)),"ER"))</f>
        <v>?</v>
      </c>
      <c r="L53" s="11" t="str">
        <f aca="true">IF($F53=0,"NA",IF($A53=INDIRECT("'"&amp;$A53&amp;"'!$B$1"),IF(VLOOKUP(L$1,INDIRECT("'"&amp;$A53&amp;"'!$A$12:$Z$19"),MATCH("Points (Auto-generate)",INDIRECT("'"&amp;$A53&amp;"'!$A$12:$Z$12"),0),0)="","?",VLOOKUP(L$1,INDIRECT("'"&amp;$A53&amp;"'!$A$12:$Z$19"),MATCH("Points (Auto-generate)",INDIRECT("'"&amp;$A53&amp;"'!$A$12:$Z$12"),0),0)),"ER"))</f>
        <v>?</v>
      </c>
      <c r="M53" s="11" t="str">
        <f aca="true">IF($F53=0,"NA",IF($A53=INDIRECT("'"&amp;$A53&amp;"'!$B$1"),IF(VLOOKUP(M$1,INDIRECT("'"&amp;$A53&amp;"'!$A$12:$Z$19"),MATCH("Points (Auto-generate)",INDIRECT("'"&amp;$A53&amp;"'!$A$12:$Z$12"),0),0)="","?",VLOOKUP(M$1,INDIRECT("'"&amp;$A53&amp;"'!$A$12:$Z$19"),MATCH("Points (Auto-generate)",INDIRECT("'"&amp;$A53&amp;"'!$A$12:$Z$12"),0),0)),"ER"))</f>
        <v>?</v>
      </c>
    </row>
    <row r="54" customFormat="false" ht="15" hidden="false" customHeight="true" outlineLevel="0" collapsed="false">
      <c r="A54" s="11" t="s">
        <v>373</v>
      </c>
      <c r="B54" s="11" t="str">
        <f aca="false">VLOOKUP($A54,'PARASTATAL Questions'!$A:$J,3,0)&amp;""</f>
        <v>State Capacities</v>
      </c>
      <c r="C54" s="11" t="str">
        <f aca="false">VLOOKUP($A54,'PARASTATAL Questions'!$A:$J,4,0)&amp;""</f>
        <v>MQ</v>
      </c>
      <c r="D54" s="11" t="str">
        <f aca="false">VLOOKUP($A54,'PARASTATAL Questions'!$A:$J,5,0)&amp;""</f>
        <v>What is the average tenure of the chief executive/executive authority of the parastatal?</v>
      </c>
      <c r="E54" s="11" t="str">
        <f aca="false">VLOOKUP($A54,'PARASTATAL Questions'!$A:$J,7,0)&amp;""</f>
        <v>Implementation (Numeric)</v>
      </c>
      <c r="F54" s="11" t="n">
        <f aca="false">VLOOKUP($A54,'PARASTATAL Questions'!$A:$J,6,0)</f>
        <v>10</v>
      </c>
      <c r="G54" s="11" t="str">
        <f aca="true">IF($F54=0,"NA",IF($A54=INDIRECT("'"&amp;$A54&amp;"'!$B$1"),IF(VLOOKUP(G$1,INDIRECT("'"&amp;$A54&amp;"'!$A$12:$Z$19"),MATCH("Points (Auto-generate)",INDIRECT("'"&amp;$A54&amp;"'!$A$12:$Z$12"),0),0)="","?",VLOOKUP(G$1,INDIRECT("'"&amp;$A54&amp;"'!$A$12:$Z$19"),MATCH("Points (Auto-generate)",INDIRECT("'"&amp;$A54&amp;"'!$A$12:$Z$12"),0),0)),"ER"))</f>
        <v>?</v>
      </c>
      <c r="H54" s="11" t="str">
        <f aca="true">IF($F54=0,"NA",IF($A54=INDIRECT("'"&amp;$A54&amp;"'!$B$1"),IF(VLOOKUP(H$1,INDIRECT("'"&amp;$A54&amp;"'!$A$12:$Z$19"),MATCH("Points (Auto-generate)",INDIRECT("'"&amp;$A54&amp;"'!$A$12:$Z$12"),0),0)="","?",VLOOKUP(H$1,INDIRECT("'"&amp;$A54&amp;"'!$A$12:$Z$19"),MATCH("Points (Auto-generate)",INDIRECT("'"&amp;$A54&amp;"'!$A$12:$Z$12"),0),0)),"ER"))</f>
        <v>?</v>
      </c>
      <c r="I54" s="11" t="str">
        <f aca="true">IF($F54=0,"NA",IF($A54=INDIRECT("'"&amp;$A54&amp;"'!$B$1"),IF(VLOOKUP(I$1,INDIRECT("'"&amp;$A54&amp;"'!$A$12:$Z$19"),MATCH("Points (Auto-generate)",INDIRECT("'"&amp;$A54&amp;"'!$A$12:$Z$12"),0),0)="","?",VLOOKUP(I$1,INDIRECT("'"&amp;$A54&amp;"'!$A$12:$Z$19"),MATCH("Points (Auto-generate)",INDIRECT("'"&amp;$A54&amp;"'!$A$12:$Z$12"),0),0)),"ER"))</f>
        <v>?</v>
      </c>
      <c r="J54" s="11" t="str">
        <f aca="true">IF($F54=0,"NA",IF($A54=INDIRECT("'"&amp;$A54&amp;"'!$B$1"),IF(VLOOKUP(J$1,INDIRECT("'"&amp;$A54&amp;"'!$A$12:$Z$19"),MATCH("Points (Auto-generate)",INDIRECT("'"&amp;$A54&amp;"'!$A$12:$Z$12"),0),0)="","?",VLOOKUP(J$1,INDIRECT("'"&amp;$A54&amp;"'!$A$12:$Z$19"),MATCH("Points (Auto-generate)",INDIRECT("'"&amp;$A54&amp;"'!$A$12:$Z$12"),0),0)),"ER"))</f>
        <v>?</v>
      </c>
      <c r="K54" s="11" t="str">
        <f aca="true">IF($F54=0,"NA",IF($A54=INDIRECT("'"&amp;$A54&amp;"'!$B$1"),IF(VLOOKUP(K$1,INDIRECT("'"&amp;$A54&amp;"'!$A$12:$Z$19"),MATCH("Points (Auto-generate)",INDIRECT("'"&amp;$A54&amp;"'!$A$12:$Z$12"),0),0)="","?",VLOOKUP(K$1,INDIRECT("'"&amp;$A54&amp;"'!$A$12:$Z$19"),MATCH("Points (Auto-generate)",INDIRECT("'"&amp;$A54&amp;"'!$A$12:$Z$12"),0),0)),"ER"))</f>
        <v>?</v>
      </c>
      <c r="L54" s="11" t="str">
        <f aca="true">IF($F54=0,"NA",IF($A54=INDIRECT("'"&amp;$A54&amp;"'!$B$1"),IF(VLOOKUP(L$1,INDIRECT("'"&amp;$A54&amp;"'!$A$12:$Z$19"),MATCH("Points (Auto-generate)",INDIRECT("'"&amp;$A54&amp;"'!$A$12:$Z$12"),0),0)="","?",VLOOKUP(L$1,INDIRECT("'"&amp;$A54&amp;"'!$A$12:$Z$19"),MATCH("Points (Auto-generate)",INDIRECT("'"&amp;$A54&amp;"'!$A$12:$Z$12"),0),0)),"ER"))</f>
        <v>?</v>
      </c>
      <c r="M54" s="11" t="str">
        <f aca="true">IF($F54=0,"NA",IF($A54=INDIRECT("'"&amp;$A54&amp;"'!$B$1"),IF(VLOOKUP(M$1,INDIRECT("'"&amp;$A54&amp;"'!$A$12:$Z$19"),MATCH("Points (Auto-generate)",INDIRECT("'"&amp;$A54&amp;"'!$A$12:$Z$12"),0),0)="","?",VLOOKUP(M$1,INDIRECT("'"&amp;$A54&amp;"'!$A$12:$Z$19"),MATCH("Points (Auto-generate)",INDIRECT("'"&amp;$A54&amp;"'!$A$12:$Z$12"),0),0)),"ER"))</f>
        <v>?</v>
      </c>
    </row>
    <row r="55" customFormat="false" ht="15" hidden="false" customHeight="true" outlineLevel="0" collapsed="false">
      <c r="A55" s="11" t="s">
        <v>431</v>
      </c>
      <c r="B55" s="11" t="str">
        <f aca="false">VLOOKUP($A55,'PARASTATAL Questions'!$A:$J,3,0)&amp;""</f>
        <v>State Capacities</v>
      </c>
      <c r="C55" s="11" t="str">
        <f aca="false">VLOOKUP($A55,'PARASTATAL Questions'!$A:$J,4,0)&amp;""</f>
        <v>MQ</v>
      </c>
      <c r="D55" s="11" t="str">
        <f aca="false">VLOOKUP($A55,'PARASTATAL Questions'!$A:$J,5,0)&amp;""</f>
        <v>Does the parastatal have adequate and representative staffing capacity to discharge its mandate?</v>
      </c>
      <c r="E55" s="11" t="str">
        <f aca="false">VLOOKUP($A55,'PARASTATAL Questions'!$A:$J,7,0)&amp;""</f>
        <v>Implementation (Numeric)</v>
      </c>
      <c r="F55" s="11" t="n">
        <f aca="false">VLOOKUP($A55,'PARASTATAL Questions'!$A:$J,6,0)</f>
        <v>10</v>
      </c>
      <c r="G55" s="11" t="str">
        <f aca="false">IF(OR(G56="ER",G57="ER"),"ER",IF(OR(G56="?",G57="?"),"?",IF(AND(G56="NA",G57="NA"),"NA",SUM(G56,G57)/((G56&lt;&gt;"NA")*$F$56+(G57&lt;&gt;"NA")*$F$57)*$F55)))</f>
        <v>?</v>
      </c>
      <c r="H55" s="11" t="str">
        <f aca="false">IF(OR(H56="ER",H57="ER"),"ER",IF(OR(H56="?",H57="?"),"?",IF(AND(H56="NA",H57="NA"),"NA",SUM(H56,H57)/((H56&lt;&gt;"NA")*$F$56+(H57&lt;&gt;"NA")*$F$57)*$F55)))</f>
        <v>?</v>
      </c>
      <c r="I55" s="11" t="str">
        <f aca="false">IF(OR(I56="ER",I57="ER"),"ER",IF(OR(I56="?",I57="?"),"?",IF(AND(I56="NA",I57="NA"),"NA",SUM(I56,I57)/((I56&lt;&gt;"NA")*$F$56+(I57&lt;&gt;"NA")*$F$57)*$F55)))</f>
        <v>?</v>
      </c>
      <c r="J55" s="11" t="str">
        <f aca="false">IF(OR(J56="ER",J57="ER"),"ER",IF(OR(J56="?",J57="?"),"?",IF(AND(J56="NA",J57="NA"),"NA",SUM(J56,J57)/((J56&lt;&gt;"NA")*$F$56+(J57&lt;&gt;"NA")*$F$57)*$F55)))</f>
        <v>?</v>
      </c>
      <c r="K55" s="11" t="str">
        <f aca="false">IF(OR(K56="ER",K57="ER"),"ER",IF(OR(K56="?",K57="?"),"?",IF(AND(K56="NA",K57="NA"),"NA",SUM(K56,K57)/((K56&lt;&gt;"NA")*$F$56+(K57&lt;&gt;"NA")*$F$57)*$F55)))</f>
        <v>?</v>
      </c>
      <c r="L55" s="11" t="str">
        <f aca="false">IF(OR(L56="ER",L57="ER"),"ER",IF(OR(L56="?",L57="?"),"?",IF(AND(L56="NA",L57="NA"),"NA",SUM(L56,L57)/((L56&lt;&gt;"NA")*$F$56+(L57&lt;&gt;"NA")*$F$57)*$F55)))</f>
        <v>?</v>
      </c>
      <c r="M55" s="11" t="str">
        <f aca="false">IF(OR(M56="ER",M57="ER"),"ER",IF(OR(M56="?",M57="?"),"?",IF(AND(M56="NA",M57="NA"),"NA",SUM(M56,M57)/((M56&lt;&gt;"NA")*$F$56+(M57&lt;&gt;"NA")*$F$57)*$F55)))</f>
        <v>?</v>
      </c>
    </row>
    <row r="56" customFormat="false" ht="15" hidden="false" customHeight="true" outlineLevel="0" collapsed="false">
      <c r="A56" s="9" t="s">
        <v>382</v>
      </c>
      <c r="B56" s="9" t="str">
        <f aca="false">VLOOKUP($A56,'PARASTATAL Questions'!$A:$J,3,0)&amp;""</f>
        <v>State Capacities</v>
      </c>
      <c r="C56" s="9" t="str">
        <f aca="false">VLOOKUP($A56,'PARASTATAL Questions'!$A:$J,4,0)&amp;""</f>
        <v>SQ</v>
      </c>
      <c r="D56" s="9" t="str">
        <f aca="false">VLOOKUP($A56,'PARASTATAL Questions'!$A:$J,5,0)&amp;""</f>
        <v>Does the parastatal have adequate staffing capacity to discharge its mandate?</v>
      </c>
      <c r="E56" s="9" t="str">
        <f aca="false">VLOOKUP($A56,'PARASTATAL Questions'!$A:$J,7,0)&amp;""</f>
        <v>Implementation (Numeric)</v>
      </c>
      <c r="F56" s="9" t="n">
        <f aca="false">VLOOKUP($A56,'PARASTATAL Questions'!$A:$J,6,0)</f>
        <v>5</v>
      </c>
      <c r="G56" s="9" t="n">
        <f aca="true">IF($F56=0,"NA",IF($A56=INDIRECT("'"&amp;$A56&amp;"'!$B$1"),IF(VLOOKUP(G$1,INDIRECT("'"&amp;$A56&amp;"'!$A$12:$Z$19"),MATCH("Points (Auto-generate)",INDIRECT("'"&amp;$A56&amp;"'!$A$12:$Z$12"),0),0)="","?",VLOOKUP(G$1,INDIRECT("'"&amp;$A56&amp;"'!$A$12:$Z$19"),MATCH("Points (Auto-generate)",INDIRECT("'"&amp;$A56&amp;"'!$A$12:$Z$12"),0),0)),"ER"))</f>
        <v>3</v>
      </c>
      <c r="H56" s="9" t="str">
        <f aca="true">IF($F56=0,"NA",IF($A56=INDIRECT("'"&amp;$A56&amp;"'!$B$1"),IF(VLOOKUP(H$1,INDIRECT("'"&amp;$A56&amp;"'!$A$12:$Z$19"),MATCH("Points (Auto-generate)",INDIRECT("'"&amp;$A56&amp;"'!$A$12:$Z$12"),0),0)="","?",VLOOKUP(H$1,INDIRECT("'"&amp;$A56&amp;"'!$A$12:$Z$19"),MATCH("Points (Auto-generate)",INDIRECT("'"&amp;$A56&amp;"'!$A$12:$Z$12"),0),0)),"ER"))</f>
        <v>?</v>
      </c>
      <c r="I56" s="9" t="str">
        <f aca="true">IF($F56=0,"NA",IF($A56=INDIRECT("'"&amp;$A56&amp;"'!$B$1"),IF(VLOOKUP(I$1,INDIRECT("'"&amp;$A56&amp;"'!$A$12:$Z$19"),MATCH("Points (Auto-generate)",INDIRECT("'"&amp;$A56&amp;"'!$A$12:$Z$12"),0),0)="","?",VLOOKUP(I$1,INDIRECT("'"&amp;$A56&amp;"'!$A$12:$Z$19"),MATCH("Points (Auto-generate)",INDIRECT("'"&amp;$A56&amp;"'!$A$12:$Z$12"),0),0)),"ER"))</f>
        <v>?</v>
      </c>
      <c r="J56" s="9" t="str">
        <f aca="true">IF($F56=0,"NA",IF($A56=INDIRECT("'"&amp;$A56&amp;"'!$B$1"),IF(VLOOKUP(J$1,INDIRECT("'"&amp;$A56&amp;"'!$A$12:$Z$19"),MATCH("Points (Auto-generate)",INDIRECT("'"&amp;$A56&amp;"'!$A$12:$Z$12"),0),0)="","?",VLOOKUP(J$1,INDIRECT("'"&amp;$A56&amp;"'!$A$12:$Z$19"),MATCH("Points (Auto-generate)",INDIRECT("'"&amp;$A56&amp;"'!$A$12:$Z$12"),0),0)),"ER"))</f>
        <v>?</v>
      </c>
      <c r="K56" s="9" t="str">
        <f aca="true">IF($F56=0,"NA",IF($A56=INDIRECT("'"&amp;$A56&amp;"'!$B$1"),IF(VLOOKUP(K$1,INDIRECT("'"&amp;$A56&amp;"'!$A$12:$Z$19"),MATCH("Points (Auto-generate)",INDIRECT("'"&amp;$A56&amp;"'!$A$12:$Z$12"),0),0)="","?",VLOOKUP(K$1,INDIRECT("'"&amp;$A56&amp;"'!$A$12:$Z$19"),MATCH("Points (Auto-generate)",INDIRECT("'"&amp;$A56&amp;"'!$A$12:$Z$12"),0),0)),"ER"))</f>
        <v>?</v>
      </c>
      <c r="L56" s="9" t="str">
        <f aca="true">IF($F56=0,"NA",IF($A56=INDIRECT("'"&amp;$A56&amp;"'!$B$1"),IF(VLOOKUP(L$1,INDIRECT("'"&amp;$A56&amp;"'!$A$12:$Z$19"),MATCH("Points (Auto-generate)",INDIRECT("'"&amp;$A56&amp;"'!$A$12:$Z$12"),0),0)="","?",VLOOKUP(L$1,INDIRECT("'"&amp;$A56&amp;"'!$A$12:$Z$19"),MATCH("Points (Auto-generate)",INDIRECT("'"&amp;$A56&amp;"'!$A$12:$Z$12"),0),0)),"ER"))</f>
        <v>?</v>
      </c>
      <c r="M56" s="9" t="str">
        <f aca="true">IF($F56=0,"NA",IF($A56=INDIRECT("'"&amp;$A56&amp;"'!$B$1"),IF(VLOOKUP(M$1,INDIRECT("'"&amp;$A56&amp;"'!$A$12:$Z$19"),MATCH("Points (Auto-generate)",INDIRECT("'"&amp;$A56&amp;"'!$A$12:$Z$12"),0),0)="","?",VLOOKUP(M$1,INDIRECT("'"&amp;$A56&amp;"'!$A$12:$Z$19"),MATCH("Points (Auto-generate)",INDIRECT("'"&amp;$A56&amp;"'!$A$12:$Z$12"),0),0)),"ER"))</f>
        <v>?</v>
      </c>
    </row>
    <row r="57" customFormat="false" ht="15" hidden="false" customHeight="true" outlineLevel="0" collapsed="false">
      <c r="A57" s="9" t="s">
        <v>391</v>
      </c>
      <c r="B57" s="9" t="str">
        <f aca="false">VLOOKUP($A57,'PARASTATAL Questions'!$A:$J,3,0)&amp;""</f>
        <v>State Capacities</v>
      </c>
      <c r="C57" s="9" t="str">
        <f aca="false">VLOOKUP($A57,'PARASTATAL Questions'!$A:$J,4,0)&amp;""</f>
        <v>SQ</v>
      </c>
      <c r="D57" s="9" t="str">
        <f aca="false">VLOOKUP($A57,'PARASTATAL Questions'!$A:$J,5,0)&amp;""</f>
        <v>What proportion of the parastatal's workforce is women?</v>
      </c>
      <c r="E57" s="9" t="str">
        <f aca="false">VLOOKUP($A57,'PARASTATAL Questions'!$A:$J,7,0)&amp;""</f>
        <v>Implementation (Numeric)</v>
      </c>
      <c r="F57" s="9" t="n">
        <f aca="false">VLOOKUP($A57,'PARASTATAL Questions'!$A:$J,6,0)</f>
        <v>5</v>
      </c>
      <c r="G57" s="9" t="str">
        <f aca="true">IF($F57=0,"NA",IF($A57=INDIRECT("'"&amp;$A57&amp;"'!$B$1"),IF(VLOOKUP(G$1,INDIRECT("'"&amp;$A57&amp;"'!$A$12:$Z$19"),MATCH("Points (Auto-generate)",INDIRECT("'"&amp;$A57&amp;"'!$A$12:$Z$12"),0),0)="","?",VLOOKUP(G$1,INDIRECT("'"&amp;$A57&amp;"'!$A$12:$Z$19"),MATCH("Points (Auto-generate)",INDIRECT("'"&amp;$A57&amp;"'!$A$12:$Z$12"),0),0)),"ER"))</f>
        <v>?</v>
      </c>
      <c r="H57" s="9" t="str">
        <f aca="true">IF($F57=0,"NA",IF($A57=INDIRECT("'"&amp;$A57&amp;"'!$B$1"),IF(VLOOKUP(H$1,INDIRECT("'"&amp;$A57&amp;"'!$A$12:$Z$19"),MATCH("Points (Auto-generate)",INDIRECT("'"&amp;$A57&amp;"'!$A$12:$Z$12"),0),0)="","?",VLOOKUP(H$1,INDIRECT("'"&amp;$A57&amp;"'!$A$12:$Z$19"),MATCH("Points (Auto-generate)",INDIRECT("'"&amp;$A57&amp;"'!$A$12:$Z$12"),0),0)),"ER"))</f>
        <v>?</v>
      </c>
      <c r="I57" s="9" t="str">
        <f aca="true">IF($F57=0,"NA",IF($A57=INDIRECT("'"&amp;$A57&amp;"'!$B$1"),IF(VLOOKUP(I$1,INDIRECT("'"&amp;$A57&amp;"'!$A$12:$Z$19"),MATCH("Points (Auto-generate)",INDIRECT("'"&amp;$A57&amp;"'!$A$12:$Z$12"),0),0)="","?",VLOOKUP(I$1,INDIRECT("'"&amp;$A57&amp;"'!$A$12:$Z$19"),MATCH("Points (Auto-generate)",INDIRECT("'"&amp;$A57&amp;"'!$A$12:$Z$12"),0),0)),"ER"))</f>
        <v>?</v>
      </c>
      <c r="J57" s="9" t="str">
        <f aca="true">IF($F57=0,"NA",IF($A57=INDIRECT("'"&amp;$A57&amp;"'!$B$1"),IF(VLOOKUP(J$1,INDIRECT("'"&amp;$A57&amp;"'!$A$12:$Z$19"),MATCH("Points (Auto-generate)",INDIRECT("'"&amp;$A57&amp;"'!$A$12:$Z$12"),0),0)="","?",VLOOKUP(J$1,INDIRECT("'"&amp;$A57&amp;"'!$A$12:$Z$19"),MATCH("Points (Auto-generate)",INDIRECT("'"&amp;$A57&amp;"'!$A$12:$Z$12"),0),0)),"ER"))</f>
        <v>?</v>
      </c>
      <c r="K57" s="9" t="str">
        <f aca="true">IF($F57=0,"NA",IF($A57=INDIRECT("'"&amp;$A57&amp;"'!$B$1"),IF(VLOOKUP(K$1,INDIRECT("'"&amp;$A57&amp;"'!$A$12:$Z$19"),MATCH("Points (Auto-generate)",INDIRECT("'"&amp;$A57&amp;"'!$A$12:$Z$12"),0),0)="","?",VLOOKUP(K$1,INDIRECT("'"&amp;$A57&amp;"'!$A$12:$Z$19"),MATCH("Points (Auto-generate)",INDIRECT("'"&amp;$A57&amp;"'!$A$12:$Z$12"),0),0)),"ER"))</f>
        <v>?</v>
      </c>
      <c r="L57" s="9" t="str">
        <f aca="true">IF($F57=0,"NA",IF($A57=INDIRECT("'"&amp;$A57&amp;"'!$B$1"),IF(VLOOKUP(L$1,INDIRECT("'"&amp;$A57&amp;"'!$A$12:$Z$19"),MATCH("Points (Auto-generate)",INDIRECT("'"&amp;$A57&amp;"'!$A$12:$Z$12"),0),0)="","?",VLOOKUP(L$1,INDIRECT("'"&amp;$A57&amp;"'!$A$12:$Z$19"),MATCH("Points (Auto-generate)",INDIRECT("'"&amp;$A57&amp;"'!$A$12:$Z$12"),0),0)),"ER"))</f>
        <v>?</v>
      </c>
      <c r="M57" s="9" t="str">
        <f aca="true">IF($F57=0,"NA",IF($A57=INDIRECT("'"&amp;$A57&amp;"'!$B$1"),IF(VLOOKUP(M$1,INDIRECT("'"&amp;$A57&amp;"'!$A$12:$Z$19"),MATCH("Points (Auto-generate)",INDIRECT("'"&amp;$A57&amp;"'!$A$12:$Z$12"),0),0)="","?",VLOOKUP(M$1,INDIRECT("'"&amp;$A57&amp;"'!$A$12:$Z$19"),MATCH("Points (Auto-generate)",INDIRECT("'"&amp;$A57&amp;"'!$A$12:$Z$12"),0),0)),"ER"))</f>
        <v>?</v>
      </c>
    </row>
    <row r="59" customFormat="false" ht="15" hidden="false" customHeight="true" outlineLevel="0" collapsed="false">
      <c r="D59" s="11" t="s">
        <v>432</v>
      </c>
      <c r="G59" s="11" t="s">
        <v>19</v>
      </c>
      <c r="H59" s="11" t="s">
        <v>30</v>
      </c>
      <c r="I59" s="11" t="s">
        <v>36</v>
      </c>
      <c r="J59" s="11" t="s">
        <v>42</v>
      </c>
      <c r="K59" s="11" t="s">
        <v>47</v>
      </c>
      <c r="L59" s="11" t="s">
        <v>415</v>
      </c>
      <c r="M59" s="11" t="s">
        <v>416</v>
      </c>
    </row>
    <row r="60" customFormat="false" ht="15" hidden="false" customHeight="true" outlineLevel="0" collapsed="false">
      <c r="D60" s="11" t="s">
        <v>433</v>
      </c>
      <c r="G60" s="9" t="n">
        <f aca="false">IFERROR(SUMIFS(G$3:G$57,$C$3:$C$57,"MQ")/(COUNTIFS($C$3:$C$57,"MQ")-COUNTIFS($C$3:$C$57,"MQ",G$3:G$57,"NA")),"NA")</f>
        <v>1.39705882352941</v>
      </c>
      <c r="H60" s="9" t="n">
        <f aca="false">IFERROR(SUMIFS(H$3:H$57,$C$3:$C$57,"MQ")/(COUNTIFS($C$3:$C$57,"MQ")-COUNTIFS($C$3:$C$57,"MQ",H$3:H$57,"NA")),"NA")</f>
        <v>0.808823529411765</v>
      </c>
      <c r="I60" s="9" t="n">
        <f aca="false">IFERROR(SUMIFS(I$3:I$57,$C$3:$C$57,"MQ")/(COUNTIFS($C$3:$C$57,"MQ")-COUNTIFS($C$3:$C$57,"MQ",I$3:I$57,"NA")),"NA")</f>
        <v>0.576923076923077</v>
      </c>
      <c r="J60" s="9" t="n">
        <f aca="false">IFERROR(SUMIFS(J$3:J$57,$C$3:$C$57,"MQ")/(COUNTIFS($C$3:$C$57,"MQ")-COUNTIFS($C$3:$C$57,"MQ",J$3:J$57,"NA")),"NA")</f>
        <v>0.961538461538462</v>
      </c>
      <c r="K60" s="9" t="n">
        <f aca="false">IFERROR(SUMIFS(K$3:K$57,$C$3:$C$57,"MQ")/(COUNTIFS($C$3:$C$57,"MQ")-COUNTIFS($C$3:$C$57,"MQ",K$3:K$57,"NA")),"NA")</f>
        <v>1.36363636363636</v>
      </c>
      <c r="L60" s="9" t="n">
        <f aca="false">IFERROR(SUMIFS(L$3:L$57,$C$3:$C$57,"MQ")/(COUNTIFS($C$3:$C$57,"MQ")-COUNTIFS($C$3:$C$57,"MQ",L$3:L$57,"NA")),"NA")</f>
        <v>0</v>
      </c>
      <c r="M60" s="9" t="n">
        <f aca="false">IFERROR(SUMIFS(M$3:M$57,$C$3:$C$57,"MQ")/(COUNTIFS($C$3:$C$57,"MQ")-COUNTIFS($C$3:$C$57,"MQ",M$3:M$57,"NA")),"NA")</f>
        <v>0</v>
      </c>
    </row>
    <row r="61" customFormat="false" ht="15" hidden="false" customHeight="true" outlineLevel="0" collapsed="false">
      <c r="D61" s="11" t="s">
        <v>434</v>
      </c>
      <c r="G61" s="9" t="n">
        <f aca="false">COUNTIFS($C$3:$C$57,"MQ",G$3:G$57,"?")</f>
        <v>13</v>
      </c>
      <c r="H61" s="9" t="n">
        <f aca="false">COUNTIFS($C$3:$C$57,"MQ",H$3:H$57,"?")</f>
        <v>15</v>
      </c>
      <c r="I61" s="9" t="n">
        <f aca="false">COUNTIFS($C$3:$C$57,"MQ",I$3:I$57,"?")</f>
        <v>12</v>
      </c>
      <c r="J61" s="9" t="n">
        <f aca="false">COUNTIFS($C$3:$C$57,"MQ",J$3:J$57,"?")</f>
        <v>12</v>
      </c>
      <c r="K61" s="9" t="n">
        <f aca="false">COUNTIFS($C$3:$C$57,"MQ",K$3:K$57,"?")</f>
        <v>10</v>
      </c>
      <c r="L61" s="9" t="n">
        <f aca="false">COUNTIFS($C$3:$C$57,"MQ",L$3:L$57,"?")</f>
        <v>11</v>
      </c>
      <c r="M61" s="9" t="n">
        <f aca="false">COUNTIFS($C$3:$C$57,"MQ",M$3:M$57,"?")</f>
        <v>13</v>
      </c>
    </row>
    <row r="62" customFormat="false" ht="15" hidden="false" customHeight="true" outlineLevel="0" collapsed="false">
      <c r="D62" s="11" t="s">
        <v>435</v>
      </c>
      <c r="G62" s="9" t="n">
        <f aca="false">COUNTIFS($C$3:$C$57,"MQ",G$3:G$57,"NA")</f>
        <v>2</v>
      </c>
      <c r="H62" s="9" t="n">
        <f aca="false">COUNTIFS($C$3:$C$57,"MQ",H$3:H$57,"NA")</f>
        <v>2</v>
      </c>
      <c r="I62" s="9" t="n">
        <f aca="false">COUNTIFS($C$3:$C$57,"MQ",I$3:I$57,"NA")</f>
        <v>6</v>
      </c>
      <c r="J62" s="9" t="n">
        <f aca="false">COUNTIFS($C$3:$C$57,"MQ",J$3:J$57,"NA")</f>
        <v>6</v>
      </c>
      <c r="K62" s="9" t="n">
        <f aca="false">COUNTIFS($C$3:$C$57,"MQ",K$3:K$57,"NA")</f>
        <v>8</v>
      </c>
      <c r="L62" s="9" t="n">
        <f aca="false">COUNTIFS($C$3:$C$57,"MQ",L$3:L$57,"NA")</f>
        <v>8</v>
      </c>
      <c r="M62" s="9" t="n">
        <f aca="false">COUNTIFS($C$3:$C$57,"MQ",M$3:M$57,"NA")</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9" width="22"/>
    <col collapsed="false" customWidth="true" hidden="false" outlineLevel="0" max="2" min="2" style="9" width="50"/>
    <col collapsed="false" customWidth="true" hidden="false" outlineLevel="0" max="3" min="3" style="9" width="16"/>
    <col collapsed="false" customWidth="true" hidden="false" outlineLevel="0" max="4" min="4" style="9" width="20"/>
  </cols>
  <sheetData>
    <row r="1" customFormat="false" ht="26.25" hidden="false" customHeight="true" outlineLevel="0" collapsed="false">
      <c r="A1" s="1" t="s">
        <v>436</v>
      </c>
      <c r="B1" s="1" t="s">
        <v>437</v>
      </c>
      <c r="C1" s="1" t="s">
        <v>438</v>
      </c>
      <c r="D1" s="1" t="s">
        <v>439</v>
      </c>
    </row>
    <row r="2" customFormat="false" ht="15" hidden="false" customHeight="true" outlineLevel="0" collapsed="false">
      <c r="A2" s="9" t="s">
        <v>440</v>
      </c>
      <c r="B2" s="9" t="s">
        <v>441</v>
      </c>
      <c r="C2" s="9" t="n">
        <f aca="false">IFERROR(AVERAGEIFS(PARASTATAL_SUMMARY_RAW!$G$60:$M$60,PARASTATAL_SUMMARY_RAW!$G$59:$M$59,$A2&amp;" – *"),"NA")</f>
        <v>1.02159605100782</v>
      </c>
      <c r="D2" s="9" t="n">
        <f aca="false">COUNTIFS(PARASTATAL_SUMMARY_RAW!$G$59:$M$59,$A2&amp;" – *",PARASTATAL_SUMMARY_RAW!$G$60:$M$60,"&gt;=0")</f>
        <v>5</v>
      </c>
    </row>
    <row r="3" customFormat="false" ht="15" hidden="false" customHeight="true" outlineLevel="0" collapsed="false">
      <c r="A3" s="9" t="s">
        <v>442</v>
      </c>
      <c r="B3" s="9" t="s">
        <v>443</v>
      </c>
      <c r="C3" s="9" t="n">
        <f aca="false">IFERROR(AVERAGEIFS(PARASTATAL_SUMMARY_RAW!$G$60:$M$60,PARASTATAL_SUMMARY_RAW!$G$59:$M$59,$A3&amp;" – *"),"NA")</f>
        <v>0</v>
      </c>
      <c r="D3" s="9" t="n">
        <f aca="false">COUNTIFS(PARASTATAL_SUMMARY_RAW!$G$59:$M$59,$A3&amp;" – *",PARASTATAL_SUMMARY_RAW!$G$60:$M$60,"&gt;=0")</f>
        <v>2</v>
      </c>
    </row>
    <row r="5" customFormat="false" ht="15" hidden="false" customHeight="true" outlineLevel="0" collapsed="false">
      <c r="A5" s="12"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9" width="10"/>
    <col collapsed="false" customWidth="true" hidden="false" outlineLevel="0" max="3" min="3" style="9" width="30"/>
    <col collapsed="false" customWidth="true" hidden="false" outlineLevel="0" max="5" min="5" style="9" width="60"/>
    <col collapsed="false" customWidth="true" hidden="false" outlineLevel="0" max="8" min="8" style="9" width="30"/>
    <col collapsed="false" customWidth="true" hidden="false" outlineLevel="0" max="9" min="9" style="9" width="80"/>
    <col collapsed="false" customWidth="true" hidden="false" outlineLevel="0" max="10" min="10" style="9" width="50"/>
  </cols>
  <sheetData>
    <row r="1" customFormat="false" ht="26.25" hidden="false" customHeight="true" outlineLevel="0" collapsed="false">
      <c r="A1" s="1" t="s">
        <v>445</v>
      </c>
      <c r="B1" s="1" t="s">
        <v>446</v>
      </c>
      <c r="C1" s="1" t="s">
        <v>411</v>
      </c>
      <c r="D1" s="1" t="s">
        <v>412</v>
      </c>
      <c r="E1" s="1" t="s">
        <v>0</v>
      </c>
      <c r="F1" s="1" t="s">
        <v>414</v>
      </c>
      <c r="G1" s="1" t="s">
        <v>413</v>
      </c>
      <c r="H1" s="1" t="s">
        <v>447</v>
      </c>
      <c r="I1" s="1" t="s">
        <v>448</v>
      </c>
      <c r="J1" s="1" t="s">
        <v>449</v>
      </c>
    </row>
    <row r="2" customFormat="false" ht="15" hidden="false" customHeight="true" outlineLevel="0" collapsed="false">
      <c r="A2" s="9" t="s">
        <v>419</v>
      </c>
      <c r="B2" s="9" t="s">
        <v>450</v>
      </c>
      <c r="C2" s="9" t="s">
        <v>451</v>
      </c>
      <c r="D2" s="9" t="s">
        <v>452</v>
      </c>
      <c r="E2" s="9" t="s">
        <v>453</v>
      </c>
      <c r="F2" s="9" t="n">
        <v>10</v>
      </c>
      <c r="H2" s="9" t="s">
        <v>454</v>
      </c>
      <c r="I2" s="9" t="s">
        <v>455</v>
      </c>
      <c r="J2" s="9" t="s">
        <v>456</v>
      </c>
    </row>
    <row r="3" customFormat="false" ht="79.5" hidden="false" customHeight="true" outlineLevel="0" collapsed="false">
      <c r="A3" s="9" t="s">
        <v>18</v>
      </c>
      <c r="B3" s="9" t="s">
        <v>457</v>
      </c>
      <c r="C3" s="9" t="s">
        <v>451</v>
      </c>
      <c r="D3" s="9" t="s">
        <v>458</v>
      </c>
      <c r="E3" s="9" t="s">
        <v>20</v>
      </c>
      <c r="F3" s="9" t="n">
        <v>5</v>
      </c>
      <c r="G3" s="9" t="s">
        <v>459</v>
      </c>
      <c r="H3" s="9" t="s">
        <v>454</v>
      </c>
      <c r="I3" s="13" t="s">
        <v>460</v>
      </c>
      <c r="J3" s="9" t="s">
        <v>461</v>
      </c>
    </row>
    <row r="4" customFormat="false" ht="90.75" hidden="false" customHeight="true" outlineLevel="0" collapsed="false">
      <c r="A4" s="9" t="s">
        <v>50</v>
      </c>
      <c r="B4" s="9" t="s">
        <v>462</v>
      </c>
      <c r="C4" s="9" t="s">
        <v>451</v>
      </c>
      <c r="D4" s="9" t="s">
        <v>458</v>
      </c>
      <c r="E4" s="9" t="s">
        <v>51</v>
      </c>
      <c r="F4" s="9" t="n">
        <v>5</v>
      </c>
      <c r="G4" s="9" t="s">
        <v>463</v>
      </c>
      <c r="H4" s="9" t="s">
        <v>454</v>
      </c>
      <c r="I4" s="13" t="s">
        <v>464</v>
      </c>
      <c r="J4" s="9" t="s">
        <v>465</v>
      </c>
    </row>
    <row r="5" customFormat="false" ht="15" hidden="false" customHeight="true" outlineLevel="0" collapsed="false">
      <c r="A5" s="9" t="s">
        <v>420</v>
      </c>
      <c r="B5" s="9" t="s">
        <v>466</v>
      </c>
      <c r="C5" s="9" t="s">
        <v>451</v>
      </c>
      <c r="D5" s="9" t="s">
        <v>452</v>
      </c>
      <c r="E5" s="9" t="s">
        <v>467</v>
      </c>
      <c r="F5" s="9" t="n">
        <v>10</v>
      </c>
      <c r="H5" s="9" t="s">
        <v>468</v>
      </c>
      <c r="I5" s="9" t="s">
        <v>469</v>
      </c>
      <c r="J5" s="9" t="s">
        <v>456</v>
      </c>
    </row>
    <row r="6" customFormat="false" ht="102" hidden="false" customHeight="true" outlineLevel="0" collapsed="false">
      <c r="A6" s="9" t="s">
        <v>62</v>
      </c>
      <c r="B6" s="9" t="s">
        <v>470</v>
      </c>
      <c r="C6" s="9" t="s">
        <v>451</v>
      </c>
      <c r="D6" s="9" t="s">
        <v>458</v>
      </c>
      <c r="E6" s="9" t="s">
        <v>63</v>
      </c>
      <c r="F6" s="9" t="n">
        <v>2.5</v>
      </c>
      <c r="G6" s="9" t="s">
        <v>459</v>
      </c>
      <c r="H6" s="9" t="s">
        <v>471</v>
      </c>
      <c r="I6" s="13" t="s">
        <v>472</v>
      </c>
      <c r="J6" s="9" t="s">
        <v>461</v>
      </c>
    </row>
    <row r="7" customFormat="false" ht="113.25" hidden="false" customHeight="true" outlineLevel="0" collapsed="false">
      <c r="A7" s="9" t="s">
        <v>70</v>
      </c>
      <c r="B7" s="9" t="s">
        <v>473</v>
      </c>
      <c r="C7" s="9" t="s">
        <v>451</v>
      </c>
      <c r="D7" s="9" t="s">
        <v>458</v>
      </c>
      <c r="E7" s="9" t="s">
        <v>71</v>
      </c>
      <c r="F7" s="9" t="n">
        <v>2.5</v>
      </c>
      <c r="G7" s="9" t="s">
        <v>463</v>
      </c>
      <c r="H7" s="9" t="s">
        <v>471</v>
      </c>
      <c r="I7" s="13" t="s">
        <v>474</v>
      </c>
      <c r="J7" s="9" t="s">
        <v>475</v>
      </c>
    </row>
    <row r="8" customFormat="false" ht="102" hidden="false" customHeight="true" outlineLevel="0" collapsed="false">
      <c r="A8" s="9" t="s">
        <v>77</v>
      </c>
      <c r="B8" s="9" t="s">
        <v>476</v>
      </c>
      <c r="C8" s="9" t="s">
        <v>451</v>
      </c>
      <c r="D8" s="9" t="s">
        <v>458</v>
      </c>
      <c r="E8" s="9" t="s">
        <v>78</v>
      </c>
      <c r="F8" s="9" t="n">
        <v>2.5</v>
      </c>
      <c r="G8" s="9" t="s">
        <v>459</v>
      </c>
      <c r="H8" s="9" t="s">
        <v>477</v>
      </c>
      <c r="I8" s="13" t="s">
        <v>478</v>
      </c>
      <c r="J8" s="9" t="s">
        <v>461</v>
      </c>
    </row>
    <row r="9" customFormat="false" ht="102" hidden="false" customHeight="true" outlineLevel="0" collapsed="false">
      <c r="A9" s="9" t="s">
        <v>82</v>
      </c>
      <c r="B9" s="9" t="s">
        <v>479</v>
      </c>
      <c r="C9" s="9" t="s">
        <v>451</v>
      </c>
      <c r="D9" s="9" t="s">
        <v>458</v>
      </c>
      <c r="E9" s="9" t="s">
        <v>83</v>
      </c>
      <c r="F9" s="9" t="n">
        <v>2.5</v>
      </c>
      <c r="G9" s="9" t="s">
        <v>463</v>
      </c>
      <c r="H9" s="9" t="s">
        <v>477</v>
      </c>
      <c r="I9" s="13" t="s">
        <v>480</v>
      </c>
      <c r="J9" s="9" t="s">
        <v>481</v>
      </c>
    </row>
    <row r="10" customFormat="false" ht="15" hidden="false" customHeight="true" outlineLevel="0" collapsed="false">
      <c r="A10" s="9" t="s">
        <v>421</v>
      </c>
      <c r="B10" s="9" t="s">
        <v>482</v>
      </c>
      <c r="C10" s="9" t="s">
        <v>451</v>
      </c>
      <c r="D10" s="9" t="s">
        <v>452</v>
      </c>
      <c r="E10" s="9" t="s">
        <v>483</v>
      </c>
      <c r="F10" s="9" t="n">
        <v>10</v>
      </c>
      <c r="G10" s="9" t="s">
        <v>459</v>
      </c>
      <c r="H10" s="9" t="s">
        <v>471</v>
      </c>
      <c r="I10" s="9" t="s">
        <v>484</v>
      </c>
      <c r="J10" s="9" t="s">
        <v>485</v>
      </c>
    </row>
    <row r="11" customFormat="false" ht="57" hidden="false" customHeight="true" outlineLevel="0" collapsed="false">
      <c r="A11" s="9" t="s">
        <v>85</v>
      </c>
      <c r="B11" s="9" t="s">
        <v>486</v>
      </c>
      <c r="C11" s="9" t="s">
        <v>451</v>
      </c>
      <c r="D11" s="9" t="s">
        <v>458</v>
      </c>
      <c r="E11" s="9" t="s">
        <v>86</v>
      </c>
      <c r="F11" s="9" t="n">
        <v>5</v>
      </c>
      <c r="G11" s="9" t="s">
        <v>459</v>
      </c>
      <c r="H11" s="9" t="s">
        <v>471</v>
      </c>
      <c r="I11" s="13" t="s">
        <v>487</v>
      </c>
      <c r="J11" s="9" t="s">
        <v>488</v>
      </c>
    </row>
    <row r="12" customFormat="false" ht="314.25" hidden="false" customHeight="true" outlineLevel="0" collapsed="false">
      <c r="A12" s="9" t="s">
        <v>89</v>
      </c>
      <c r="B12" s="9" t="s">
        <v>489</v>
      </c>
      <c r="C12" s="9" t="s">
        <v>451</v>
      </c>
      <c r="D12" s="9" t="s">
        <v>458</v>
      </c>
      <c r="E12" s="9" t="s">
        <v>90</v>
      </c>
      <c r="F12" s="9" t="n">
        <v>5</v>
      </c>
      <c r="G12" s="9" t="s">
        <v>463</v>
      </c>
      <c r="H12" s="9" t="s">
        <v>471</v>
      </c>
      <c r="I12" s="13" t="s">
        <v>490</v>
      </c>
      <c r="J12" s="9" t="s">
        <v>491</v>
      </c>
    </row>
    <row r="13" customFormat="false" ht="15" hidden="false" customHeight="true" outlineLevel="0" collapsed="false">
      <c r="A13" s="9" t="s">
        <v>422</v>
      </c>
      <c r="B13" s="9" t="s">
        <v>492</v>
      </c>
      <c r="C13" s="9" t="s">
        <v>451</v>
      </c>
      <c r="D13" s="9" t="s">
        <v>452</v>
      </c>
      <c r="E13" s="9" t="s">
        <v>493</v>
      </c>
      <c r="F13" s="9" t="n">
        <v>10</v>
      </c>
      <c r="H13" s="9" t="s">
        <v>477</v>
      </c>
      <c r="I13" s="9" t="s">
        <v>469</v>
      </c>
      <c r="J13" s="9" t="s">
        <v>456</v>
      </c>
    </row>
    <row r="14" customFormat="false" ht="57" hidden="false" customHeight="true" outlineLevel="0" collapsed="false">
      <c r="A14" s="9" t="s">
        <v>94</v>
      </c>
      <c r="B14" s="9" t="s">
        <v>494</v>
      </c>
      <c r="C14" s="9" t="s">
        <v>451</v>
      </c>
      <c r="D14" s="9" t="s">
        <v>458</v>
      </c>
      <c r="E14" s="9" t="s">
        <v>95</v>
      </c>
      <c r="F14" s="9" t="n">
        <v>5</v>
      </c>
      <c r="G14" s="9" t="s">
        <v>459</v>
      </c>
      <c r="H14" s="9" t="s">
        <v>477</v>
      </c>
      <c r="I14" s="13" t="s">
        <v>495</v>
      </c>
      <c r="J14" s="9" t="s">
        <v>496</v>
      </c>
    </row>
    <row r="15" customFormat="false" ht="102" hidden="false" customHeight="true" outlineLevel="0" collapsed="false">
      <c r="A15" s="9" t="s">
        <v>97</v>
      </c>
      <c r="B15" s="9" t="s">
        <v>497</v>
      </c>
      <c r="C15" s="9" t="s">
        <v>451</v>
      </c>
      <c r="D15" s="9" t="s">
        <v>458</v>
      </c>
      <c r="E15" s="9" t="s">
        <v>98</v>
      </c>
      <c r="F15" s="9" t="n">
        <v>5</v>
      </c>
      <c r="G15" s="9" t="s">
        <v>463</v>
      </c>
      <c r="H15" s="9" t="s">
        <v>477</v>
      </c>
      <c r="I15" s="13" t="s">
        <v>498</v>
      </c>
      <c r="J15" s="9" t="s">
        <v>499</v>
      </c>
    </row>
    <row r="16" customFormat="false" ht="15" hidden="false" customHeight="true" outlineLevel="0" collapsed="false">
      <c r="A16" s="9" t="s">
        <v>423</v>
      </c>
      <c r="B16" s="9" t="s">
        <v>500</v>
      </c>
      <c r="C16" s="9" t="s">
        <v>451</v>
      </c>
      <c r="D16" s="9" t="s">
        <v>452</v>
      </c>
      <c r="E16" s="9" t="s">
        <v>501</v>
      </c>
      <c r="F16" s="9" t="n">
        <v>10</v>
      </c>
      <c r="G16" s="9" t="s">
        <v>459</v>
      </c>
      <c r="H16" s="9" t="s">
        <v>471</v>
      </c>
      <c r="I16" s="9" t="s">
        <v>502</v>
      </c>
      <c r="J16" s="9" t="s">
        <v>503</v>
      </c>
    </row>
    <row r="17" customFormat="false" ht="79.5" hidden="false" customHeight="true" outlineLevel="0" collapsed="false">
      <c r="A17" s="9" t="s">
        <v>104</v>
      </c>
      <c r="B17" s="9" t="s">
        <v>504</v>
      </c>
      <c r="C17" s="9" t="s">
        <v>451</v>
      </c>
      <c r="D17" s="9" t="s">
        <v>458</v>
      </c>
      <c r="E17" s="9" t="s">
        <v>105</v>
      </c>
      <c r="F17" s="9" t="n">
        <v>5</v>
      </c>
      <c r="G17" s="9" t="s">
        <v>459</v>
      </c>
      <c r="H17" s="9" t="s">
        <v>471</v>
      </c>
      <c r="I17" s="13" t="s">
        <v>505</v>
      </c>
      <c r="J17" s="9" t="s">
        <v>506</v>
      </c>
    </row>
    <row r="18" customFormat="false" ht="325.5" hidden="false" customHeight="true" outlineLevel="0" collapsed="false">
      <c r="A18" s="9" t="s">
        <v>107</v>
      </c>
      <c r="B18" s="9" t="s">
        <v>507</v>
      </c>
      <c r="C18" s="9" t="s">
        <v>451</v>
      </c>
      <c r="D18" s="9" t="s">
        <v>458</v>
      </c>
      <c r="E18" s="9" t="s">
        <v>108</v>
      </c>
      <c r="F18" s="9" t="n">
        <v>5</v>
      </c>
      <c r="G18" s="9" t="s">
        <v>463</v>
      </c>
      <c r="H18" s="9" t="s">
        <v>471</v>
      </c>
      <c r="I18" s="13" t="s">
        <v>508</v>
      </c>
      <c r="J18" s="9" t="s">
        <v>509</v>
      </c>
    </row>
    <row r="19" customFormat="false" ht="15" hidden="false" customHeight="true" outlineLevel="0" collapsed="false">
      <c r="A19" s="9" t="s">
        <v>424</v>
      </c>
      <c r="B19" s="9" t="s">
        <v>510</v>
      </c>
      <c r="C19" s="9" t="s">
        <v>451</v>
      </c>
      <c r="D19" s="9" t="s">
        <v>452</v>
      </c>
      <c r="E19" s="9" t="s">
        <v>511</v>
      </c>
      <c r="F19" s="9" t="n">
        <v>10</v>
      </c>
      <c r="H19" s="9" t="s">
        <v>477</v>
      </c>
      <c r="I19" s="9" t="s">
        <v>469</v>
      </c>
      <c r="J19" s="9" t="s">
        <v>456</v>
      </c>
    </row>
    <row r="20" customFormat="false" ht="57" hidden="false" customHeight="true" outlineLevel="0" collapsed="false">
      <c r="A20" s="9" t="s">
        <v>114</v>
      </c>
      <c r="B20" s="9" t="s">
        <v>512</v>
      </c>
      <c r="C20" s="9" t="s">
        <v>451</v>
      </c>
      <c r="D20" s="9" t="s">
        <v>458</v>
      </c>
      <c r="E20" s="9" t="s">
        <v>115</v>
      </c>
      <c r="F20" s="9" t="n">
        <v>5</v>
      </c>
      <c r="G20" s="9" t="s">
        <v>459</v>
      </c>
      <c r="H20" s="9" t="s">
        <v>477</v>
      </c>
      <c r="I20" s="13" t="s">
        <v>513</v>
      </c>
      <c r="J20" s="9" t="s">
        <v>514</v>
      </c>
    </row>
    <row r="21" customFormat="false" ht="102" hidden="false" customHeight="true" outlineLevel="0" collapsed="false">
      <c r="A21" s="9" t="s">
        <v>119</v>
      </c>
      <c r="B21" s="9" t="s">
        <v>515</v>
      </c>
      <c r="C21" s="9" t="s">
        <v>451</v>
      </c>
      <c r="D21" s="9" t="s">
        <v>458</v>
      </c>
      <c r="E21" s="9" t="s">
        <v>120</v>
      </c>
      <c r="F21" s="9" t="n">
        <v>5</v>
      </c>
      <c r="G21" s="9" t="s">
        <v>463</v>
      </c>
      <c r="H21" s="9" t="s">
        <v>477</v>
      </c>
      <c r="I21" s="13" t="s">
        <v>516</v>
      </c>
      <c r="J21" s="9" t="s">
        <v>517</v>
      </c>
    </row>
    <row r="22" customFormat="false" ht="15" hidden="false" customHeight="true" outlineLevel="0" collapsed="false">
      <c r="A22" s="9" t="s">
        <v>425</v>
      </c>
      <c r="B22" s="9" t="s">
        <v>518</v>
      </c>
      <c r="C22" s="9" t="s">
        <v>519</v>
      </c>
      <c r="D22" s="9" t="s">
        <v>452</v>
      </c>
      <c r="E22" s="9" t="s">
        <v>520</v>
      </c>
      <c r="F22" s="9" t="n">
        <v>10</v>
      </c>
      <c r="G22" s="9" t="s">
        <v>521</v>
      </c>
      <c r="H22" s="9" t="s">
        <v>454</v>
      </c>
      <c r="I22" s="9" t="s">
        <v>469</v>
      </c>
      <c r="J22" s="9" t="s">
        <v>522</v>
      </c>
    </row>
    <row r="23" customFormat="false" ht="247.5" hidden="false" customHeight="true" outlineLevel="0" collapsed="false">
      <c r="A23" s="9" t="s">
        <v>123</v>
      </c>
      <c r="B23" s="9" t="s">
        <v>523</v>
      </c>
      <c r="C23" s="9" t="s">
        <v>519</v>
      </c>
      <c r="D23" s="9" t="s">
        <v>458</v>
      </c>
      <c r="E23" s="9" t="s">
        <v>124</v>
      </c>
      <c r="F23" s="9" t="n">
        <v>5</v>
      </c>
      <c r="G23" s="9" t="s">
        <v>521</v>
      </c>
      <c r="H23" s="9" t="s">
        <v>454</v>
      </c>
      <c r="I23" s="13" t="s">
        <v>524</v>
      </c>
      <c r="J23" s="9" t="s">
        <v>525</v>
      </c>
    </row>
    <row r="24" customFormat="false" ht="57" hidden="false" customHeight="true" outlineLevel="0" collapsed="false">
      <c r="A24" s="9" t="s">
        <v>140</v>
      </c>
      <c r="B24" s="9" t="s">
        <v>526</v>
      </c>
      <c r="C24" s="9" t="s">
        <v>519</v>
      </c>
      <c r="D24" s="9" t="s">
        <v>458</v>
      </c>
      <c r="E24" s="9" t="s">
        <v>141</v>
      </c>
      <c r="F24" s="9" t="n">
        <v>5</v>
      </c>
      <c r="G24" s="9" t="s">
        <v>521</v>
      </c>
      <c r="H24" s="9" t="s">
        <v>454</v>
      </c>
      <c r="I24" s="13" t="s">
        <v>527</v>
      </c>
      <c r="J24" s="9" t="s">
        <v>528</v>
      </c>
    </row>
    <row r="25" customFormat="false" ht="15" hidden="false" customHeight="true" outlineLevel="0" collapsed="false">
      <c r="A25" s="9" t="s">
        <v>426</v>
      </c>
      <c r="B25" s="9" t="s">
        <v>529</v>
      </c>
      <c r="C25" s="9" t="s">
        <v>519</v>
      </c>
      <c r="D25" s="9" t="s">
        <v>452</v>
      </c>
      <c r="E25" s="9" t="s">
        <v>530</v>
      </c>
      <c r="F25" s="9" t="n">
        <v>10</v>
      </c>
      <c r="G25" s="9" t="s">
        <v>521</v>
      </c>
      <c r="H25" s="9" t="s">
        <v>454</v>
      </c>
      <c r="I25" s="9" t="s">
        <v>469</v>
      </c>
      <c r="J25" s="9" t="s">
        <v>456</v>
      </c>
    </row>
    <row r="26" customFormat="false" ht="57" hidden="false" customHeight="true" outlineLevel="0" collapsed="false">
      <c r="A26" s="9" t="s">
        <v>150</v>
      </c>
      <c r="B26" s="9" t="s">
        <v>531</v>
      </c>
      <c r="C26" s="9" t="s">
        <v>519</v>
      </c>
      <c r="D26" s="9" t="s">
        <v>458</v>
      </c>
      <c r="E26" s="9" t="s">
        <v>151</v>
      </c>
      <c r="F26" s="9" t="n">
        <v>5</v>
      </c>
      <c r="G26" s="9" t="s">
        <v>521</v>
      </c>
      <c r="H26" s="9" t="s">
        <v>454</v>
      </c>
      <c r="I26" s="13" t="s">
        <v>532</v>
      </c>
      <c r="J26" s="9" t="s">
        <v>533</v>
      </c>
    </row>
    <row r="27" customFormat="false" ht="124.5" hidden="false" customHeight="true" outlineLevel="0" collapsed="false">
      <c r="A27" s="9" t="s">
        <v>163</v>
      </c>
      <c r="B27" s="9" t="s">
        <v>534</v>
      </c>
      <c r="C27" s="9" t="s">
        <v>519</v>
      </c>
      <c r="D27" s="9" t="s">
        <v>458</v>
      </c>
      <c r="E27" s="9" t="s">
        <v>164</v>
      </c>
      <c r="F27" s="9" t="n">
        <v>5</v>
      </c>
      <c r="G27" s="9" t="s">
        <v>459</v>
      </c>
      <c r="H27" s="9" t="s">
        <v>454</v>
      </c>
      <c r="I27" s="13" t="s">
        <v>535</v>
      </c>
      <c r="J27" s="9" t="s">
        <v>536</v>
      </c>
    </row>
    <row r="28" customFormat="false" ht="57" hidden="false" customHeight="true" outlineLevel="0" collapsed="false">
      <c r="A28" s="9" t="s">
        <v>173</v>
      </c>
      <c r="B28" s="9" t="s">
        <v>537</v>
      </c>
      <c r="C28" s="9" t="s">
        <v>519</v>
      </c>
      <c r="D28" s="9" t="s">
        <v>452</v>
      </c>
      <c r="E28" s="9" t="s">
        <v>174</v>
      </c>
      <c r="F28" s="9" t="n">
        <v>10</v>
      </c>
      <c r="G28" s="9" t="s">
        <v>463</v>
      </c>
      <c r="H28" s="9" t="s">
        <v>538</v>
      </c>
      <c r="I28" s="13" t="s">
        <v>539</v>
      </c>
      <c r="J28" s="9" t="s">
        <v>540</v>
      </c>
    </row>
    <row r="29" customFormat="false" ht="90.75" hidden="false" customHeight="true" outlineLevel="0" collapsed="false">
      <c r="A29" s="9" t="s">
        <v>427</v>
      </c>
      <c r="B29" s="9" t="s">
        <v>541</v>
      </c>
      <c r="C29" s="9" t="s">
        <v>519</v>
      </c>
      <c r="D29" s="9" t="s">
        <v>452</v>
      </c>
      <c r="E29" s="9" t="s">
        <v>542</v>
      </c>
      <c r="F29" s="9" t="n">
        <v>10</v>
      </c>
      <c r="G29" s="9" t="s">
        <v>463</v>
      </c>
      <c r="H29" s="9" t="s">
        <v>538</v>
      </c>
      <c r="I29" s="13" t="s">
        <v>543</v>
      </c>
      <c r="J29" s="9" t="s">
        <v>544</v>
      </c>
    </row>
    <row r="30" customFormat="false" ht="90.75" hidden="false" customHeight="true" outlineLevel="0" collapsed="false">
      <c r="A30" s="9" t="s">
        <v>195</v>
      </c>
      <c r="B30" s="9" t="s">
        <v>195</v>
      </c>
      <c r="C30" s="9" t="s">
        <v>519</v>
      </c>
      <c r="D30" s="9" t="s">
        <v>458</v>
      </c>
      <c r="E30" s="9" t="s">
        <v>196</v>
      </c>
      <c r="F30" s="9" t="n">
        <v>1</v>
      </c>
      <c r="G30" s="9" t="s">
        <v>463</v>
      </c>
      <c r="H30" s="9" t="s">
        <v>538</v>
      </c>
      <c r="I30" s="13" t="s">
        <v>545</v>
      </c>
      <c r="J30" s="9" t="s">
        <v>544</v>
      </c>
    </row>
    <row r="31" customFormat="false" ht="90.75" hidden="false" customHeight="true" outlineLevel="0" collapsed="false">
      <c r="A31" s="9" t="s">
        <v>203</v>
      </c>
      <c r="B31" s="9" t="s">
        <v>546</v>
      </c>
      <c r="C31" s="9" t="s">
        <v>519</v>
      </c>
      <c r="D31" s="9" t="s">
        <v>458</v>
      </c>
      <c r="E31" s="9" t="s">
        <v>204</v>
      </c>
      <c r="F31" s="9" t="n">
        <v>1</v>
      </c>
      <c r="G31" s="9" t="s">
        <v>463</v>
      </c>
      <c r="H31" s="9" t="s">
        <v>538</v>
      </c>
      <c r="I31" s="13" t="s">
        <v>547</v>
      </c>
      <c r="J31" s="9" t="s">
        <v>544</v>
      </c>
    </row>
    <row r="32" customFormat="false" ht="90.75" hidden="false" customHeight="true" outlineLevel="0" collapsed="false">
      <c r="A32" s="9" t="s">
        <v>214</v>
      </c>
      <c r="B32" s="9" t="s">
        <v>548</v>
      </c>
      <c r="C32" s="9" t="s">
        <v>519</v>
      </c>
      <c r="D32" s="9" t="s">
        <v>458</v>
      </c>
      <c r="E32" s="9" t="s">
        <v>215</v>
      </c>
      <c r="F32" s="9" t="n">
        <v>1</v>
      </c>
      <c r="G32" s="9" t="s">
        <v>463</v>
      </c>
      <c r="H32" s="9" t="s">
        <v>538</v>
      </c>
      <c r="I32" s="13" t="s">
        <v>549</v>
      </c>
      <c r="J32" s="9" t="s">
        <v>544</v>
      </c>
    </row>
    <row r="33" customFormat="false" ht="90.75" hidden="false" customHeight="true" outlineLevel="0" collapsed="false">
      <c r="A33" s="9" t="s">
        <v>225</v>
      </c>
      <c r="B33" s="9" t="s">
        <v>550</v>
      </c>
      <c r="C33" s="9" t="s">
        <v>519</v>
      </c>
      <c r="D33" s="9" t="s">
        <v>458</v>
      </c>
      <c r="E33" s="9" t="s">
        <v>226</v>
      </c>
      <c r="F33" s="9" t="n">
        <v>1</v>
      </c>
      <c r="G33" s="9" t="s">
        <v>463</v>
      </c>
      <c r="H33" s="9" t="s">
        <v>538</v>
      </c>
      <c r="I33" s="13" t="s">
        <v>551</v>
      </c>
      <c r="J33" s="9" t="s">
        <v>544</v>
      </c>
    </row>
    <row r="34" customFormat="false" ht="90.75" hidden="false" customHeight="true" outlineLevel="0" collapsed="false">
      <c r="A34" s="9" t="s">
        <v>232</v>
      </c>
      <c r="B34" s="9" t="s">
        <v>552</v>
      </c>
      <c r="C34" s="9" t="s">
        <v>519</v>
      </c>
      <c r="D34" s="9" t="s">
        <v>458</v>
      </c>
      <c r="E34" s="9" t="s">
        <v>233</v>
      </c>
      <c r="F34" s="9" t="n">
        <v>1</v>
      </c>
      <c r="G34" s="9" t="s">
        <v>463</v>
      </c>
      <c r="H34" s="9" t="s">
        <v>538</v>
      </c>
      <c r="I34" s="13" t="s">
        <v>553</v>
      </c>
      <c r="J34" s="9" t="s">
        <v>544</v>
      </c>
    </row>
    <row r="35" customFormat="false" ht="113.25" hidden="false" customHeight="true" outlineLevel="0" collapsed="false">
      <c r="A35" s="9" t="s">
        <v>243</v>
      </c>
      <c r="B35" s="9" t="s">
        <v>243</v>
      </c>
      <c r="C35" s="9" t="s">
        <v>519</v>
      </c>
      <c r="D35" s="9" t="s">
        <v>458</v>
      </c>
      <c r="E35" s="9" t="s">
        <v>244</v>
      </c>
      <c r="F35" s="9" t="n">
        <v>1</v>
      </c>
      <c r="G35" s="9" t="s">
        <v>463</v>
      </c>
      <c r="H35" s="9" t="s">
        <v>538</v>
      </c>
      <c r="I35" s="13" t="s">
        <v>554</v>
      </c>
      <c r="J35" s="9" t="s">
        <v>544</v>
      </c>
    </row>
    <row r="36" customFormat="false" ht="102" hidden="false" customHeight="true" outlineLevel="0" collapsed="false">
      <c r="A36" s="9" t="s">
        <v>252</v>
      </c>
      <c r="B36" s="9" t="s">
        <v>555</v>
      </c>
      <c r="C36" s="9" t="s">
        <v>519</v>
      </c>
      <c r="D36" s="9" t="s">
        <v>458</v>
      </c>
      <c r="E36" s="9" t="s">
        <v>253</v>
      </c>
      <c r="F36" s="9" t="n">
        <v>1</v>
      </c>
      <c r="G36" s="9" t="s">
        <v>463</v>
      </c>
      <c r="H36" s="9" t="s">
        <v>538</v>
      </c>
      <c r="I36" s="13" t="s">
        <v>556</v>
      </c>
      <c r="J36" s="9" t="s">
        <v>544</v>
      </c>
    </row>
    <row r="37" customFormat="false" ht="102" hidden="false" customHeight="true" outlineLevel="0" collapsed="false">
      <c r="A37" s="9" t="s">
        <v>259</v>
      </c>
      <c r="B37" s="9" t="s">
        <v>259</v>
      </c>
      <c r="C37" s="9" t="s">
        <v>519</v>
      </c>
      <c r="D37" s="9" t="s">
        <v>458</v>
      </c>
      <c r="E37" s="9" t="s">
        <v>260</v>
      </c>
      <c r="F37" s="9" t="n">
        <v>1</v>
      </c>
      <c r="G37" s="9" t="s">
        <v>463</v>
      </c>
      <c r="H37" s="9" t="s">
        <v>538</v>
      </c>
      <c r="I37" s="13" t="s">
        <v>557</v>
      </c>
      <c r="J37" s="9" t="s">
        <v>544</v>
      </c>
    </row>
    <row r="38" customFormat="false" ht="102" hidden="false" customHeight="true" outlineLevel="0" collapsed="false">
      <c r="A38" s="9" t="s">
        <v>268</v>
      </c>
      <c r="B38" s="9" t="s">
        <v>268</v>
      </c>
      <c r="C38" s="9" t="s">
        <v>519</v>
      </c>
      <c r="D38" s="9" t="s">
        <v>458</v>
      </c>
      <c r="E38" s="9" t="s">
        <v>269</v>
      </c>
      <c r="F38" s="9" t="n">
        <v>1</v>
      </c>
      <c r="G38" s="9" t="s">
        <v>463</v>
      </c>
      <c r="H38" s="9" t="s">
        <v>538</v>
      </c>
      <c r="I38" s="13" t="s">
        <v>558</v>
      </c>
      <c r="J38" s="9" t="s">
        <v>544</v>
      </c>
    </row>
    <row r="39" customFormat="false" ht="102" hidden="false" customHeight="true" outlineLevel="0" collapsed="false">
      <c r="A39" s="9" t="s">
        <v>276</v>
      </c>
      <c r="B39" s="9" t="s">
        <v>276</v>
      </c>
      <c r="C39" s="9" t="s">
        <v>519</v>
      </c>
      <c r="D39" s="9" t="s">
        <v>458</v>
      </c>
      <c r="E39" s="9" t="s">
        <v>277</v>
      </c>
      <c r="F39" s="9" t="n">
        <v>1</v>
      </c>
      <c r="G39" s="9" t="s">
        <v>463</v>
      </c>
      <c r="H39" s="9" t="s">
        <v>538</v>
      </c>
      <c r="I39" s="13" t="s">
        <v>559</v>
      </c>
      <c r="J39" s="9" t="s">
        <v>544</v>
      </c>
    </row>
    <row r="40" customFormat="false" ht="15" hidden="false" customHeight="true" outlineLevel="0" collapsed="false">
      <c r="A40" s="9" t="s">
        <v>428</v>
      </c>
      <c r="B40" s="9" t="s">
        <v>560</v>
      </c>
      <c r="C40" s="9" t="s">
        <v>519</v>
      </c>
      <c r="D40" s="9" t="s">
        <v>452</v>
      </c>
      <c r="E40" s="9" t="s">
        <v>561</v>
      </c>
      <c r="F40" s="9" t="n">
        <v>10</v>
      </c>
      <c r="G40" s="9" t="s">
        <v>521</v>
      </c>
      <c r="H40" s="9" t="s">
        <v>538</v>
      </c>
      <c r="I40" s="9" t="s">
        <v>562</v>
      </c>
      <c r="J40" s="9" t="s">
        <v>456</v>
      </c>
    </row>
    <row r="41" customFormat="false" ht="15" hidden="false" customHeight="true" outlineLevel="0" collapsed="false">
      <c r="A41" s="9" t="s">
        <v>283</v>
      </c>
      <c r="B41" s="9" t="s">
        <v>563</v>
      </c>
      <c r="C41" s="9" t="s">
        <v>519</v>
      </c>
      <c r="D41" s="9" t="s">
        <v>458</v>
      </c>
      <c r="E41" s="9" t="s">
        <v>284</v>
      </c>
      <c r="F41" s="9" t="n">
        <v>5</v>
      </c>
      <c r="G41" s="9" t="s">
        <v>459</v>
      </c>
      <c r="H41" s="9" t="s">
        <v>538</v>
      </c>
      <c r="I41" s="9" t="s">
        <v>564</v>
      </c>
      <c r="J41" s="9" t="s">
        <v>565</v>
      </c>
    </row>
    <row r="42" customFormat="false" ht="258.75" hidden="false" customHeight="true" outlineLevel="0" collapsed="false">
      <c r="A42" s="9" t="s">
        <v>292</v>
      </c>
      <c r="B42" s="9" t="s">
        <v>566</v>
      </c>
      <c r="C42" s="9" t="s">
        <v>519</v>
      </c>
      <c r="D42" s="9" t="s">
        <v>458</v>
      </c>
      <c r="E42" s="9" t="s">
        <v>293</v>
      </c>
      <c r="F42" s="9" t="n">
        <v>5</v>
      </c>
      <c r="G42" s="9" t="s">
        <v>463</v>
      </c>
      <c r="H42" s="9" t="s">
        <v>538</v>
      </c>
      <c r="I42" s="13" t="s">
        <v>567</v>
      </c>
      <c r="J42" s="13" t="s">
        <v>568</v>
      </c>
    </row>
    <row r="43" customFormat="false" ht="15" hidden="false" customHeight="true" outlineLevel="0" collapsed="false">
      <c r="A43" s="9" t="s">
        <v>429</v>
      </c>
      <c r="B43" s="9" t="s">
        <v>569</v>
      </c>
      <c r="C43" s="9" t="s">
        <v>519</v>
      </c>
      <c r="D43" s="9" t="s">
        <v>452</v>
      </c>
      <c r="E43" s="9" t="s">
        <v>570</v>
      </c>
      <c r="F43" s="9" t="n">
        <v>10</v>
      </c>
      <c r="G43" s="9" t="s">
        <v>459</v>
      </c>
      <c r="H43" s="9" t="s">
        <v>468</v>
      </c>
      <c r="I43" s="9" t="s">
        <v>571</v>
      </c>
      <c r="J43" s="9" t="s">
        <v>572</v>
      </c>
    </row>
    <row r="44" customFormat="false" ht="79.5" hidden="false" customHeight="true" outlineLevel="0" collapsed="false">
      <c r="A44" s="9" t="s">
        <v>301</v>
      </c>
      <c r="B44" s="9" t="s">
        <v>573</v>
      </c>
      <c r="C44" s="9" t="s">
        <v>519</v>
      </c>
      <c r="D44" s="9" t="s">
        <v>458</v>
      </c>
      <c r="E44" s="9" t="s">
        <v>302</v>
      </c>
      <c r="F44" s="9" t="n">
        <v>5</v>
      </c>
      <c r="G44" s="9" t="s">
        <v>459</v>
      </c>
      <c r="H44" s="9" t="s">
        <v>468</v>
      </c>
      <c r="I44" s="13" t="s">
        <v>574</v>
      </c>
      <c r="J44" s="9" t="s">
        <v>575</v>
      </c>
    </row>
    <row r="45" customFormat="false" ht="57" hidden="false" customHeight="true" outlineLevel="0" collapsed="false">
      <c r="A45" s="9" t="s">
        <v>311</v>
      </c>
      <c r="B45" s="9" t="s">
        <v>576</v>
      </c>
      <c r="C45" s="9" t="s">
        <v>519</v>
      </c>
      <c r="D45" s="9" t="s">
        <v>458</v>
      </c>
      <c r="E45" s="9" t="s">
        <v>312</v>
      </c>
      <c r="F45" s="9" t="n">
        <v>5</v>
      </c>
      <c r="G45" s="9" t="s">
        <v>459</v>
      </c>
      <c r="H45" s="9" t="s">
        <v>468</v>
      </c>
      <c r="I45" s="13" t="s">
        <v>577</v>
      </c>
      <c r="J45" s="9" t="s">
        <v>578</v>
      </c>
    </row>
    <row r="46" customFormat="false" ht="15" hidden="false" customHeight="true" outlineLevel="0" collapsed="false">
      <c r="A46" s="9" t="s">
        <v>320</v>
      </c>
      <c r="B46" s="9" t="s">
        <v>579</v>
      </c>
      <c r="C46" s="9" t="s">
        <v>580</v>
      </c>
      <c r="D46" s="9" t="s">
        <v>452</v>
      </c>
      <c r="E46" s="9" t="s">
        <v>321</v>
      </c>
      <c r="F46" s="9" t="n">
        <v>10</v>
      </c>
      <c r="G46" s="9" t="s">
        <v>581</v>
      </c>
      <c r="H46" s="9" t="s">
        <v>582</v>
      </c>
      <c r="I46" s="9" t="s">
        <v>583</v>
      </c>
      <c r="J46" s="9" t="s">
        <v>584</v>
      </c>
    </row>
    <row r="47" customFormat="false" ht="15" hidden="false" customHeight="true" outlineLevel="0" collapsed="false">
      <c r="A47" s="9" t="s">
        <v>331</v>
      </c>
      <c r="B47" s="9" t="s">
        <v>585</v>
      </c>
      <c r="C47" s="9" t="s">
        <v>580</v>
      </c>
      <c r="D47" s="9" t="s">
        <v>452</v>
      </c>
      <c r="E47" s="9" t="s">
        <v>332</v>
      </c>
      <c r="F47" s="9" t="n">
        <v>10</v>
      </c>
      <c r="G47" s="9" t="s">
        <v>581</v>
      </c>
      <c r="H47" s="9" t="s">
        <v>586</v>
      </c>
      <c r="I47" s="9" t="s">
        <v>587</v>
      </c>
      <c r="J47" s="9" t="s">
        <v>588</v>
      </c>
    </row>
    <row r="48" customFormat="false" ht="15" hidden="false" customHeight="true" outlineLevel="0" collapsed="false">
      <c r="A48" s="9" t="s">
        <v>339</v>
      </c>
      <c r="B48" s="9" t="s">
        <v>589</v>
      </c>
      <c r="C48" s="9" t="s">
        <v>580</v>
      </c>
      <c r="D48" s="9" t="s">
        <v>452</v>
      </c>
      <c r="E48" s="9" t="s">
        <v>340</v>
      </c>
      <c r="F48" s="9" t="n">
        <v>10</v>
      </c>
      <c r="G48" s="9" t="s">
        <v>581</v>
      </c>
      <c r="H48" s="9" t="s">
        <v>590</v>
      </c>
      <c r="I48" s="9" t="s">
        <v>591</v>
      </c>
      <c r="J48" s="9" t="s">
        <v>592</v>
      </c>
    </row>
    <row r="49" customFormat="false" ht="15" hidden="false" customHeight="true" outlineLevel="0" collapsed="false">
      <c r="A49" s="9" t="s">
        <v>430</v>
      </c>
      <c r="B49" s="9" t="s">
        <v>593</v>
      </c>
      <c r="C49" s="9" t="s">
        <v>580</v>
      </c>
      <c r="D49" s="9" t="s">
        <v>452</v>
      </c>
      <c r="E49" s="9" t="s">
        <v>594</v>
      </c>
      <c r="F49" s="9" t="n">
        <v>10</v>
      </c>
      <c r="G49" s="9" t="s">
        <v>459</v>
      </c>
      <c r="H49" s="9" t="s">
        <v>538</v>
      </c>
      <c r="I49" s="9" t="s">
        <v>595</v>
      </c>
      <c r="J49" s="9" t="s">
        <v>456</v>
      </c>
    </row>
    <row r="50" customFormat="false" ht="15" hidden="false" customHeight="true" outlineLevel="0" collapsed="false">
      <c r="A50" s="9" t="s">
        <v>346</v>
      </c>
      <c r="B50" s="9" t="s">
        <v>596</v>
      </c>
      <c r="C50" s="9" t="s">
        <v>580</v>
      </c>
      <c r="D50" s="9" t="s">
        <v>458</v>
      </c>
      <c r="E50" s="9" t="s">
        <v>347</v>
      </c>
      <c r="F50" s="9" t="n">
        <v>5</v>
      </c>
      <c r="G50" s="9" t="s">
        <v>459</v>
      </c>
      <c r="H50" s="9" t="s">
        <v>538</v>
      </c>
      <c r="I50" s="9" t="s">
        <v>597</v>
      </c>
      <c r="J50" s="9" t="s">
        <v>598</v>
      </c>
    </row>
    <row r="51" customFormat="false" ht="15" hidden="false" customHeight="true" outlineLevel="0" collapsed="false">
      <c r="A51" s="9" t="s">
        <v>357</v>
      </c>
      <c r="B51" s="9" t="s">
        <v>599</v>
      </c>
      <c r="C51" s="9" t="s">
        <v>580</v>
      </c>
      <c r="D51" s="9" t="s">
        <v>458</v>
      </c>
      <c r="E51" s="9" t="s">
        <v>358</v>
      </c>
      <c r="F51" s="9" t="n">
        <v>5</v>
      </c>
      <c r="G51" s="9" t="s">
        <v>463</v>
      </c>
      <c r="H51" s="9" t="s">
        <v>538</v>
      </c>
      <c r="I51" s="9" t="s">
        <v>600</v>
      </c>
      <c r="J51" s="9" t="s">
        <v>601</v>
      </c>
    </row>
    <row r="52" customFormat="false" ht="79.5" hidden="false" customHeight="true" outlineLevel="0" collapsed="false">
      <c r="A52" s="9" t="s">
        <v>364</v>
      </c>
      <c r="B52" s="9" t="s">
        <v>602</v>
      </c>
      <c r="C52" s="9" t="s">
        <v>580</v>
      </c>
      <c r="D52" s="9" t="s">
        <v>452</v>
      </c>
      <c r="E52" s="9" t="s">
        <v>365</v>
      </c>
      <c r="F52" s="9" t="n">
        <v>10</v>
      </c>
      <c r="G52" s="9" t="s">
        <v>459</v>
      </c>
      <c r="H52" s="9" t="s">
        <v>538</v>
      </c>
      <c r="I52" s="13" t="s">
        <v>603</v>
      </c>
      <c r="J52" s="9" t="s">
        <v>604</v>
      </c>
    </row>
    <row r="53" customFormat="false" ht="57" hidden="false" customHeight="true" outlineLevel="0" collapsed="false">
      <c r="A53" s="9" t="s">
        <v>373</v>
      </c>
      <c r="B53" s="9" t="s">
        <v>605</v>
      </c>
      <c r="C53" s="9" t="s">
        <v>580</v>
      </c>
      <c r="D53" s="9" t="s">
        <v>452</v>
      </c>
      <c r="E53" s="9" t="s">
        <v>374</v>
      </c>
      <c r="F53" s="9" t="n">
        <v>10</v>
      </c>
      <c r="G53" s="9" t="s">
        <v>581</v>
      </c>
      <c r="H53" s="9" t="s">
        <v>606</v>
      </c>
      <c r="I53" s="13" t="s">
        <v>607</v>
      </c>
      <c r="J53" s="9" t="s">
        <v>608</v>
      </c>
    </row>
    <row r="54" customFormat="false" ht="15" hidden="false" customHeight="true" outlineLevel="0" collapsed="false">
      <c r="A54" s="9" t="s">
        <v>431</v>
      </c>
      <c r="B54" s="9" t="s">
        <v>609</v>
      </c>
      <c r="C54" s="9" t="s">
        <v>580</v>
      </c>
      <c r="D54" s="9" t="s">
        <v>452</v>
      </c>
      <c r="E54" s="9" t="s">
        <v>610</v>
      </c>
      <c r="F54" s="9" t="n">
        <v>10</v>
      </c>
      <c r="G54" s="9" t="s">
        <v>581</v>
      </c>
      <c r="H54" s="9" t="s">
        <v>454</v>
      </c>
      <c r="I54" s="9" t="s">
        <v>611</v>
      </c>
      <c r="J54" s="9" t="s">
        <v>612</v>
      </c>
    </row>
    <row r="55" customFormat="false" ht="90.75" hidden="false" customHeight="true" outlineLevel="0" collapsed="false">
      <c r="A55" s="9" t="s">
        <v>382</v>
      </c>
      <c r="B55" s="9" t="s">
        <v>613</v>
      </c>
      <c r="C55" s="9" t="s">
        <v>580</v>
      </c>
      <c r="D55" s="9" t="s">
        <v>458</v>
      </c>
      <c r="E55" s="9" t="s">
        <v>383</v>
      </c>
      <c r="F55" s="9" t="n">
        <v>5</v>
      </c>
      <c r="G55" s="9" t="s">
        <v>581</v>
      </c>
      <c r="H55" s="9" t="s">
        <v>454</v>
      </c>
      <c r="I55" s="13" t="s">
        <v>614</v>
      </c>
      <c r="J55" s="9" t="s">
        <v>615</v>
      </c>
    </row>
    <row r="56" customFormat="false" ht="102" hidden="false" customHeight="true" outlineLevel="0" collapsed="false">
      <c r="A56" s="9" t="s">
        <v>391</v>
      </c>
      <c r="B56" s="9" t="s">
        <v>616</v>
      </c>
      <c r="C56" s="9" t="s">
        <v>580</v>
      </c>
      <c r="D56" s="9" t="s">
        <v>458</v>
      </c>
      <c r="E56" s="9" t="s">
        <v>392</v>
      </c>
      <c r="F56" s="9" t="n">
        <v>5</v>
      </c>
      <c r="G56" s="9" t="s">
        <v>581</v>
      </c>
      <c r="H56" s="9" t="s">
        <v>454</v>
      </c>
      <c r="I56" s="13" t="s">
        <v>617</v>
      </c>
      <c r="J56" s="9" t="s">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18</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1a</v>
      </c>
    </row>
    <row r="4" customFormat="false" ht="15" hidden="false" customHeight="true" outlineLevel="0" collapsed="false">
      <c r="A4" s="11" t="s">
        <v>412</v>
      </c>
      <c r="B4" s="4" t="str">
        <f aca="false">VLOOKUP($B$1,'PARASTATAL Questions'!$A:$J,4,0)&amp;""</f>
        <v>SQ</v>
      </c>
    </row>
    <row r="5" customFormat="false" ht="157.5" hidden="false" customHeight="true" outlineLevel="0" collapsed="false">
      <c r="A5" s="11" t="s">
        <v>0</v>
      </c>
      <c r="B5" s="4" t="str">
        <f aca="false">VLOOKUP($B$1,'PARASTATAL Questions'!$A:$J,5,0)&amp;""</f>
        <v>Is the parastatal mandated to prepare its spatial and/or sectoral plans in coordination with the ULG(s) within its jurisdiction?</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45.75" hidden="false" customHeight="true" outlineLevel="0" collapsed="false">
      <c r="A8" s="11" t="s">
        <v>447</v>
      </c>
      <c r="B8" s="4" t="str">
        <f aca="false">VLOOKUP($B$1,'PARASTATAL Questions'!$A:$J,8,0)&amp;""</f>
        <v>Common — all parastatal types.</v>
      </c>
    </row>
    <row r="9" customFormat="false" ht="504.75" hidden="false" customHeight="true" outlineLevel="0" collapsed="false">
      <c r="A9" s="11" t="s">
        <v>448</v>
      </c>
      <c r="B9" s="4" t="str">
        <f aca="false">VLOOKUP($B$1,'PARASTATAL Questions'!$A:$J,9,0)&amp;""</f>
        <v>Review the relevant Parastatal Act and the State Town and Country Planning (T&amp;CP) Act.10 — ULG approval/concurrence or joint preparation is required. 7.5 — formal consultation is mandatory, and ULG response must be considered/responded to. 5 — consultation is mandatory, but there is no obligation to incorporate/respond. 2.5 — consultation is discretionary (“may”). 0 — no formal role.</v>
      </c>
    </row>
    <row r="10" customFormat="false" ht="102" hidden="false" customHeight="true" outlineLevel="0" collapsed="false">
      <c r="A10" s="11" t="s">
        <v>449</v>
      </c>
      <c r="B10" s="4" t="str">
        <f aca="false">VLOOKUP($B$1,'PARASTATAL Questions'!$A:$J,10,0)&amp;""</f>
        <v>Relevant Parastatal Act; applicable Town and Country Planning (T&amp;CP) Act.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270" hidden="false" customHeight="true" outlineLevel="0" collapsed="false">
      <c r="A13" s="9" t="s">
        <v>19</v>
      </c>
      <c r="B13" s="9" t="s">
        <v>635</v>
      </c>
      <c r="C13" s="9" t="s">
        <v>25</v>
      </c>
      <c r="D13" s="9" t="s">
        <v>636</v>
      </c>
      <c r="E13" s="9" t="s">
        <v>637</v>
      </c>
      <c r="F13" s="9" t="s">
        <v>638</v>
      </c>
      <c r="G13" s="9" t="s">
        <v>639</v>
      </c>
      <c r="H13" s="9" t="s">
        <v>26</v>
      </c>
      <c r="I13" s="16" t="n">
        <v>1.25</v>
      </c>
      <c r="J13" s="9" t="n">
        <f aca="false">IF(COUNTIFS('Scores (start here)'!$A:$A,$B$1,'Scores (start here)'!$B:$B,$A13,'Scores (start here)'!$F:$F,"&gt;=0")&gt;0,SUMIFS('Scores (start here)'!$F:$F,'Scores (start here)'!$A:$A,$B$1,'Scores (start here)'!$B:$B,$A13),L13)</f>
        <v>1.25</v>
      </c>
      <c r="K13" s="13" t="s">
        <v>640</v>
      </c>
      <c r="L13" s="9" t="n">
        <f aca="false">IF($B13="NO","NA",IF(I13="","",MIN(I13,$B$6)))</f>
        <v>1.25</v>
      </c>
    </row>
    <row r="14" customFormat="false" ht="15" hidden="false" customHeight="true" outlineLevel="0" collapsed="false">
      <c r="A14" s="9" t="s">
        <v>30</v>
      </c>
      <c r="B14" s="9" t="s">
        <v>635</v>
      </c>
      <c r="C14" s="9" t="s">
        <v>32</v>
      </c>
      <c r="D14" s="0" t="s">
        <v>641</v>
      </c>
      <c r="E14" s="0" t="s">
        <v>642</v>
      </c>
      <c r="F14" s="0" t="s">
        <v>643</v>
      </c>
      <c r="G14" s="0" t="s">
        <v>644</v>
      </c>
      <c r="H14" s="9" t="s">
        <v>33</v>
      </c>
      <c r="I14" s="16"/>
      <c r="J14" s="9" t="str">
        <f aca="false">IF(COUNTIFS('Scores (start here)'!$A:$A,$B$1,'Scores (start here)'!$B:$B,$A14,'Scores (start here)'!$F:$F,"&gt;=0")&gt;0,SUMIFS('Scores (start here)'!$F:$F,'Scores (start here)'!$A:$A,$B$1,'Scores (start here)'!$B:$B,$A14),L14)</f>
        <v/>
      </c>
      <c r="K14" s="13" t="s">
        <v>645</v>
      </c>
      <c r="L14" s="9" t="str">
        <f aca="false">IF($B14="NO","NA",IF(I14="","",MIN(I14,$B$6)))</f>
        <v/>
      </c>
    </row>
    <row r="15" customFormat="false" ht="258.75" hidden="false" customHeight="true" outlineLevel="0" collapsed="false">
      <c r="A15" s="9" t="s">
        <v>36</v>
      </c>
      <c r="B15" s="9" t="s">
        <v>635</v>
      </c>
      <c r="C15" s="9" t="s">
        <v>38</v>
      </c>
      <c r="D15" s="9" t="s">
        <v>646</v>
      </c>
      <c r="E15" s="9" t="s">
        <v>647</v>
      </c>
      <c r="F15" s="9" t="s">
        <v>648</v>
      </c>
      <c r="G15" s="9" t="s">
        <v>649</v>
      </c>
      <c r="H15" s="9" t="s">
        <v>39</v>
      </c>
      <c r="I15" s="16" t="n">
        <v>3.75</v>
      </c>
      <c r="J15" s="9" t="n">
        <f aca="false">IF(COUNTIFS('Scores (start here)'!$A:$A,$B$1,'Scores (start here)'!$B:$B,$A15,'Scores (start here)'!$F:$F,"&gt;=0")&gt;0,SUMIFS('Scores (start here)'!$F:$F,'Scores (start here)'!$A:$A,$B$1,'Scores (start here)'!$B:$B,$A15),L15)</f>
        <v>3.75</v>
      </c>
      <c r="K15" s="13" t="s">
        <v>650</v>
      </c>
      <c r="L15" s="9" t="n">
        <f aca="false">IF($B15="NO","NA",IF(I15="","",MIN(I15,$B$6)))</f>
        <v>3.75</v>
      </c>
    </row>
    <row r="16" customFormat="false" ht="124.5" hidden="false" customHeight="true" outlineLevel="0" collapsed="false">
      <c r="A16" s="9" t="s">
        <v>42</v>
      </c>
      <c r="B16" s="9" t="s">
        <v>635</v>
      </c>
      <c r="C16" s="9" t="s">
        <v>44</v>
      </c>
      <c r="D16" s="9" t="s">
        <v>651</v>
      </c>
      <c r="E16" s="9" t="s">
        <v>652</v>
      </c>
      <c r="F16" s="9" t="s">
        <v>653</v>
      </c>
      <c r="G16" s="9" t="s">
        <v>654</v>
      </c>
      <c r="H16" s="9" t="s">
        <v>26</v>
      </c>
      <c r="I16" s="16" t="n">
        <v>0</v>
      </c>
      <c r="J16" s="9" t="n">
        <f aca="false">IF(COUNTIFS('Scores (start here)'!$A:$A,$B$1,'Scores (start here)'!$B:$B,$A16,'Scores (start here)'!$F:$F,"&gt;=0")&gt;0,SUMIFS('Scores (start here)'!$F:$F,'Scores (start here)'!$A:$A,$B$1,'Scores (start here)'!$B:$B,$A16),L16)</f>
        <v>0</v>
      </c>
      <c r="K16" s="13" t="s">
        <v>655</v>
      </c>
      <c r="L16" s="9" t="n">
        <f aca="false">IF($B16="NO","NA",IF(I16="","",MIN(I16,$B$6)))</f>
        <v>0</v>
      </c>
    </row>
    <row r="17" customFormat="false" ht="45.75" hidden="false" customHeight="true" outlineLevel="0" collapsed="false">
      <c r="A17" s="9" t="s">
        <v>47</v>
      </c>
      <c r="B17" s="9" t="s">
        <v>635</v>
      </c>
      <c r="C17" s="9" t="s">
        <v>656</v>
      </c>
      <c r="D17" s="9" t="s">
        <v>657</v>
      </c>
      <c r="E17" s="9" t="s">
        <v>658</v>
      </c>
      <c r="F17" s="9" t="s">
        <v>659</v>
      </c>
      <c r="G17" s="9" t="s">
        <v>175</v>
      </c>
      <c r="H17" s="9" t="s">
        <v>660</v>
      </c>
      <c r="I17" s="16" t="n">
        <v>0</v>
      </c>
      <c r="J17" s="9" t="n">
        <f aca="false">IF(COUNTIFS('Scores (start here)'!$A:$A,$B$1,'Scores (start here)'!$B:$B,$A17,'Scores (start here)'!$F:$F,"&gt;=0")&gt;0,SUMIFS('Scores (start here)'!$F:$F,'Scores (start here)'!$A:$A,$B$1,'Scores (start here)'!$B:$B,$A17),L17)</f>
        <v>0</v>
      </c>
      <c r="K17" s="13" t="s">
        <v>661</v>
      </c>
      <c r="L17" s="9" t="n">
        <f aca="false">IF($B17="NO","NA",IF(I17="","",MIN(I17,$B$6)))</f>
        <v>0</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50</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1b</v>
      </c>
    </row>
    <row r="4" customFormat="false" ht="15" hidden="false" customHeight="true" outlineLevel="0" collapsed="false">
      <c r="A4" s="11" t="s">
        <v>412</v>
      </c>
      <c r="B4" s="4" t="str">
        <f aca="false">VLOOKUP($B$1,'PARASTATAL Questions'!$A:$J,4,0)&amp;""</f>
        <v>SQ</v>
      </c>
    </row>
    <row r="5" customFormat="false" ht="90.75" hidden="false" customHeight="true" outlineLevel="0" collapsed="false">
      <c r="A5" s="11" t="s">
        <v>0</v>
      </c>
      <c r="B5" s="4" t="str">
        <f aca="false">VLOOKUP($B$1,'PARASTATAL Questions'!$A:$J,5,0)&amp;""</f>
        <v>Has the ULG participated in the parastatal’s plan-making process?</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45.75" hidden="false" customHeight="true" outlineLevel="0" collapsed="false">
      <c r="A8" s="11" t="s">
        <v>447</v>
      </c>
      <c r="B8" s="4" t="str">
        <f aca="false">VLOOKUP($B$1,'PARASTATAL Questions'!$A:$J,8,0)&amp;""</f>
        <v>Common — all parastatal types.</v>
      </c>
    </row>
    <row r="9" customFormat="false" ht="1098" hidden="false" customHeight="true" outlineLevel="0" collapsed="false">
      <c r="A9" s="11" t="s">
        <v>448</v>
      </c>
      <c r="B9" s="4" t="str">
        <f aca="false">VLOOKUP($B$1,'PARASTATAL Questions'!$A:$J,9,0)&amp;""</f>
        <v>Review the latest available plan-making cycle for evidence of ULG participation in the parastatal’s plan-making process, irrespective of whether such participation is legally mandated.Score 10 where there is evidence of substantive ULG participation, such as joint preparation, concurrence/approval, or documented consideration of and response to ULG inputs.Score 5 where the ULG was formally consulted or invited to provide inputs, but there is no evidence of how these inputs were considered.Score 2.5 where there is evidence of limited or informal engagement with the ULG.Score 0 where there is no evidence of ULG participation.Evidence may include plan documents, consultation records, meeting minutes, ULG resolutions/comments, responses to ULG inputs, or information published on the parastatal/ULG website.</v>
      </c>
    </row>
    <row r="10" customFormat="false" ht="258.75" hidden="false" customHeight="true" outlineLevel="0" collapsed="false">
      <c r="A10" s="11" t="s">
        <v>449</v>
      </c>
      <c r="B10" s="4" t="str">
        <f aca="false">VLOOKUP($B$1,'PARASTATAL Questions'!$A:$J,10,0)&amp;""</f>
        <v>Evidence may include plan documents, consultation records, meeting minutes, ULG resolutions/comments, responses to ULG inputs, or information published on the parastatal website.</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68.75" hidden="false" customHeight="true" outlineLevel="0" collapsed="false">
      <c r="A13" s="9" t="s">
        <v>19</v>
      </c>
      <c r="B13" s="9" t="s">
        <v>635</v>
      </c>
      <c r="C13" s="9" t="s">
        <v>53</v>
      </c>
      <c r="D13" s="9" t="s">
        <v>662</v>
      </c>
      <c r="E13" s="9" t="s">
        <v>663</v>
      </c>
      <c r="F13" s="9" t="s">
        <v>664</v>
      </c>
      <c r="G13" s="9" t="s">
        <v>665</v>
      </c>
      <c r="H13" s="9" t="s">
        <v>54</v>
      </c>
      <c r="I13" s="16" t="n">
        <v>5</v>
      </c>
      <c r="J13" s="9" t="n">
        <f aca="false">IF(COUNTIFS('Scores (start here)'!$A:$A,$B$1,'Scores (start here)'!$B:$B,$A13,'Scores (start here)'!$F:$F,"&gt;=0")&gt;0,SUMIFS('Scores (start here)'!$F:$F,'Scores (start here)'!$A:$A,$B$1,'Scores (start here)'!$B:$B,$A13),L13)</f>
        <v>5</v>
      </c>
      <c r="K13" s="13" t="s">
        <v>666</v>
      </c>
      <c r="L13" s="9" t="n">
        <f aca="false">IF($B13="NO","NA",IF(I13="","",MIN(I13,$B$6)))</f>
        <v>5</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667</v>
      </c>
      <c r="L14" s="9" t="str">
        <f aca="false">IF($B14="NO","NA",IF(I14="","",MIN(I14,$B$6)))</f>
        <v/>
      </c>
    </row>
    <row r="15" customFormat="false" ht="68.2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13" t="s">
        <v>668</v>
      </c>
      <c r="L15" s="9" t="str">
        <f aca="false">IF($B15="NO","NA",IF(I15="","",MIN(I15,$B$6)))</f>
        <v/>
      </c>
    </row>
    <row r="16" customFormat="false" ht="68.2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13" t="s">
        <v>669</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670</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62</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2a</v>
      </c>
    </row>
    <row r="4" customFormat="false" ht="15" hidden="false" customHeight="true" outlineLevel="0" collapsed="false">
      <c r="A4" s="11" t="s">
        <v>412</v>
      </c>
      <c r="B4" s="4" t="str">
        <f aca="false">VLOOKUP($B$1,'PARASTATAL Questions'!$A:$J,4,0)&amp;""</f>
        <v>SQ</v>
      </c>
    </row>
    <row r="5" customFormat="false" ht="247.5" hidden="false" customHeight="true" outlineLevel="0" collapsed="false">
      <c r="A5" s="11" t="s">
        <v>0</v>
      </c>
      <c r="B5" s="4" t="str">
        <f aca="false">VLOOKUP($B$1,'PARASTATAL Questions'!$A:$J,5,0)&amp;""</f>
        <v>Where multiple statutory or sectoral plans apply to the same territory, is the water board mandated to ensure consistency with the applicable metropolitan/regional or city master plan/strategic plan for the city?</v>
      </c>
    </row>
    <row r="6" customFormat="false" ht="15" hidden="false" customHeight="true" outlineLevel="0" collapsed="false">
      <c r="A6" s="11" t="s">
        <v>414</v>
      </c>
      <c r="B6" s="4" t="n">
        <f aca="false">VLOOKUP($B$1,'PARASTATAL Questions'!$A:$J,6,0)</f>
        <v>2.5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Water supply board</v>
      </c>
    </row>
    <row r="9" customFormat="false" ht="784.5" hidden="false" customHeight="true" outlineLevel="0" collapsed="false">
      <c r="A9" s="11" t="s">
        <v>448</v>
      </c>
      <c r="B9" s="4" t="str">
        <f aca="false">VLOOKUP($B$1,'PARASTATAL Questions'!$A:$J,9,0)&amp;""</f>
        <v>Review the relevant Parastatal Act and Town and Country Planning Act.Score 2.50 if the parastatal shall/is required to ensure that its spatial/sectoral plan is consistent with the applicable city, metropolitan or regional statutory plan.Score 1.25 if the law provides that the parastatal may ensure/seek such consistency or otherwise makes alignment discretionary.Score 0 if no such provision exists.For example, a provision stating that a water supply plan shall conform to the applicable Master Plan or Metropolitan Plan would score 2.5, while a provision stating that the authority may have regard to such a plan would score 1.25.</v>
      </c>
    </row>
    <row r="10" customFormat="false" ht="102" hidden="false" customHeight="true" outlineLevel="0" collapsed="false">
      <c r="A10" s="11" t="s">
        <v>449</v>
      </c>
      <c r="B10" s="4" t="str">
        <f aca="false">VLOOKUP($B$1,'PARASTATAL Questions'!$A:$J,10,0)&amp;""</f>
        <v>Relevant Parastatal Act; applicable Town and Country Planning (T&amp;CP) Act.</v>
      </c>
    </row>
    <row r="11" customFormat="false" ht="15" hidden="false" customHeight="true" outlineLevel="0" collapsed="false">
      <c r="B11" s="15" t="s">
        <v>621</v>
      </c>
      <c r="I11" s="15" t="s">
        <v>671</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C13" s="9" t="s">
        <v>66</v>
      </c>
      <c r="D13" s="9" t="s">
        <v>672</v>
      </c>
      <c r="E13" s="9" t="s">
        <v>673</v>
      </c>
      <c r="F13" s="9" t="s">
        <v>674</v>
      </c>
      <c r="G13" s="9" t="s">
        <v>675</v>
      </c>
      <c r="H13" s="9" t="s">
        <v>67</v>
      </c>
      <c r="I13" s="16" t="n">
        <v>0</v>
      </c>
      <c r="J13" s="9" t="n">
        <f aca="false">IF(COUNTIFS('Scores (start here)'!$A:$A,$B$1,'Scores (start here)'!$B:$B,$A13,'Scores (start here)'!$F:$F,"&gt;=0")&gt;0,SUMIFS('Scores (start here)'!$F:$F,'Scores (start here)'!$A:$A,$B$1,'Scores (start here)'!$B:$B,$A13),L13)</f>
        <v>0</v>
      </c>
      <c r="K13" s="13" t="s">
        <v>676</v>
      </c>
      <c r="L13" s="9" t="n">
        <f aca="false">IF($B13="NO","NA",IF(I13="","",MIN(I13,$B$6)))</f>
        <v>0</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70</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2b</v>
      </c>
    </row>
    <row r="4" customFormat="false" ht="15" hidden="false" customHeight="true" outlineLevel="0" collapsed="false">
      <c r="A4" s="11" t="s">
        <v>412</v>
      </c>
      <c r="B4" s="4" t="str">
        <f aca="false">VLOOKUP($B$1,'PARASTATAL Questions'!$A:$J,4,0)&amp;""</f>
        <v>SQ</v>
      </c>
    </row>
    <row r="5" customFormat="false" ht="258.75" hidden="false" customHeight="true" outlineLevel="0" collapsed="false">
      <c r="A5" s="11" t="s">
        <v>0</v>
      </c>
      <c r="B5" s="4" t="str">
        <f aca="false">VLOOKUP($B$1,'PARASTATAL Questions'!$A:$J,5,0)&amp;""</f>
        <v>Where multiple statutory or sectoral plans apply to the same territory, does the water supply board ensure consistency with the applicable metropolitan/regional or city master plan/strategic plan for the city?</v>
      </c>
    </row>
    <row r="6" customFormat="false" ht="15" hidden="false" customHeight="true" outlineLevel="0" collapsed="false">
      <c r="A6" s="11" t="s">
        <v>414</v>
      </c>
      <c r="B6" s="4" t="n">
        <f aca="false">VLOOKUP($B$1,'PARASTATAL Questions'!$A:$J,6,0)</f>
        <v>2.5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Water supply board</v>
      </c>
    </row>
    <row r="9" customFormat="false" ht="1960.5" hidden="false" customHeight="true" outlineLevel="0" collapsed="false">
      <c r="A9" s="11" t="s">
        <v>448</v>
      </c>
      <c r="B9" s="4" t="str">
        <f aca="false">VLOOKUP($B$1,'PARASTATAL Questions'!$A:$J,9,0)&amp;""</f>
        <v>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input.Score 1.25 if there is partial alignment: the water plan refers to the master plan and/or uses its population, density or land-use projections, but does not clearly demonstrate that these inputs determine the spatial location of network expansion, service areas or major infrastructure.Score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v>
      </c>
    </row>
    <row r="10" customFormat="false" ht="370.5" hidden="false" customHeight="true" outlineLevel="0" collapsed="false">
      <c r="A10" s="11" t="s">
        <v>449</v>
      </c>
      <c r="B10" s="4" t="str">
        <f aca="false">VLOOKUP($B$1,'PARASTATAL Questions'!$A:$J,10,0)&amp;""</f>
        <v>Water Supply Board's current water supply/sewerage master plan or equivalent sectoral planning document; applicable Master Plan/Development Plan/Metropolitan or Regional Plan; land-use conversion/regularisation records for major treatment plants or trunk infrastructure, where available.</v>
      </c>
    </row>
    <row r="11" customFormat="false" ht="15" hidden="false" customHeight="true" outlineLevel="0" collapsed="false">
      <c r="B11" s="15" t="s">
        <v>621</v>
      </c>
      <c r="I11" s="15" t="s">
        <v>671</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C13" s="9" t="s">
        <v>73</v>
      </c>
      <c r="D13" s="0" t="s">
        <v>678</v>
      </c>
      <c r="E13" s="0" t="s">
        <v>679</v>
      </c>
      <c r="F13" s="0" t="s">
        <v>680</v>
      </c>
      <c r="G13" s="0" t="s">
        <v>681</v>
      </c>
      <c r="H13" s="9" t="s">
        <v>74</v>
      </c>
      <c r="I13" s="16"/>
      <c r="J13" s="9" t="str">
        <f aca="false">IF(COUNTIFS('Scores (start here)'!$A:$A,$B$1,'Scores (start here)'!$B:$B,$A13,'Scores (start here)'!$F:$F,"&gt;=0")&gt;0,SUMIFS('Scores (start here)'!$F:$F,'Scores (start here)'!$A:$A,$B$1,'Scores (start here)'!$B:$B,$A13),L13)</f>
        <v/>
      </c>
      <c r="K13" s="13" t="s">
        <v>682</v>
      </c>
      <c r="L13" s="9" t="str">
        <f aca="false">IF($B13="NO","NA",IF(I13="","",MIN(I13,$B$6)))</f>
        <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77</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2c</v>
      </c>
    </row>
    <row r="4" customFormat="false" ht="15" hidden="false" customHeight="true" outlineLevel="0" collapsed="false">
      <c r="A4" s="11" t="s">
        <v>412</v>
      </c>
      <c r="B4" s="4" t="str">
        <f aca="false">VLOOKUP($B$1,'PARASTATAL Questions'!$A:$J,4,0)&amp;""</f>
        <v>SQ</v>
      </c>
    </row>
    <row r="5" customFormat="false" ht="270" hidden="false" customHeight="true" outlineLevel="0" collapsed="false">
      <c r="A5" s="11" t="s">
        <v>0</v>
      </c>
      <c r="B5" s="4" t="str">
        <f aca="false">VLOOKUP($B$1,'PARASTATAL Questions'!$A:$J,5,0)&amp;""</f>
        <v>Where multiple statutory or sectoral plans apply to the same territory, is the transport corporation mandated to ensure consistency with the applicable metropolitan/regional or city master plan/strategic plan for the city?</v>
      </c>
    </row>
    <row r="6" customFormat="false" ht="15" hidden="false" customHeight="true" outlineLevel="0" collapsed="false">
      <c r="A6" s="11" t="s">
        <v>414</v>
      </c>
      <c r="B6" s="4" t="n">
        <f aca="false">VLOOKUP($B$1,'PARASTATAL Questions'!$A:$J,6,0)</f>
        <v>2.5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Transport Corporation</v>
      </c>
    </row>
    <row r="9" customFormat="false" ht="773.25" hidden="false" customHeight="true" outlineLevel="0" collapsed="false">
      <c r="A9" s="11" t="s">
        <v>448</v>
      </c>
      <c r="B9" s="4" t="str">
        <f aca="false">VLOOKUP($B$1,'PARASTATAL Questions'!$A:$J,9,0)&amp;""</f>
        <v>Review the relevant Parastatal Act and Town and Country Planning Act.Score 2.5 if the parastatal shall/is required to ensure that its spatial/sectoral plan is consistent with the applicable city, metropolitan or regional statutory plan.Score 1.25 if the law provides that the parastatal may ensure/seek such consistency or otherwise makes alignment discretionary.Score 0 if no such provision exists.For example, a provision stating that a transport plan shall conform to the applicable Master Plan or Metropolitan Plan would score 2.5, while a provision stating that the authority may have regard to such a plan would score 1.25.</v>
      </c>
    </row>
    <row r="10" customFormat="false" ht="102" hidden="false" customHeight="true" outlineLevel="0" collapsed="false">
      <c r="A10" s="11" t="s">
        <v>449</v>
      </c>
      <c r="B10" s="4" t="str">
        <f aca="false">VLOOKUP($B$1,'PARASTATAL Questions'!$A:$J,10,0)&amp;""</f>
        <v>Relevant Parastatal Act; applicable Town and Country Planning (T&amp;CP) Act.</v>
      </c>
    </row>
    <row r="11" customFormat="false" ht="15" hidden="false" customHeight="true" outlineLevel="0" collapsed="false">
      <c r="B11" s="15" t="s">
        <v>621</v>
      </c>
      <c r="I11" s="15" t="s">
        <v>671</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303" hidden="false" customHeight="true" outlineLevel="0" collapsed="false">
      <c r="A14" s="9" t="s">
        <v>30</v>
      </c>
      <c r="B14" s="9" t="s">
        <v>635</v>
      </c>
      <c r="C14" s="9" t="s">
        <v>32</v>
      </c>
      <c r="D14" s="9" t="s">
        <v>641</v>
      </c>
      <c r="E14" s="9" t="s">
        <v>642</v>
      </c>
      <c r="F14" s="9" t="s">
        <v>683</v>
      </c>
      <c r="G14" s="9" t="s">
        <v>644</v>
      </c>
      <c r="H14" s="9" t="s">
        <v>33</v>
      </c>
      <c r="I14" s="16" t="n">
        <v>2.5</v>
      </c>
      <c r="J14" s="9" t="n">
        <f aca="false">IF(COUNTIFS('Scores (start here)'!$A:$A,$B$1,'Scores (start here)'!$B:$B,$A14,'Scores (start here)'!$F:$F,"&gt;=0")&gt;0,SUMIFS('Scores (start here)'!$F:$F,'Scores (start here)'!$A:$A,$B$1,'Scores (start here)'!$B:$B,$A14),L14)</f>
        <v>2.5</v>
      </c>
      <c r="K14" s="13" t="s">
        <v>684</v>
      </c>
      <c r="L14" s="9" t="n">
        <f aca="false">IF($B14="NO","NA",IF(I14="","",MIN(I14,$B$6)))</f>
        <v>2.5</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82</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2d</v>
      </c>
    </row>
    <row r="4" customFormat="false" ht="15" hidden="false" customHeight="true" outlineLevel="0" collapsed="false">
      <c r="A4" s="11" t="s">
        <v>412</v>
      </c>
      <c r="B4" s="4" t="str">
        <f aca="false">VLOOKUP($B$1,'PARASTATAL Questions'!$A:$J,4,0)&amp;""</f>
        <v>SQ</v>
      </c>
    </row>
    <row r="5" customFormat="false" ht="247.5" hidden="false" customHeight="true" outlineLevel="0" collapsed="false">
      <c r="A5" s="11" t="s">
        <v>0</v>
      </c>
      <c r="B5" s="4" t="str">
        <f aca="false">VLOOKUP($B$1,'PARASTATAL Questions'!$A:$J,5,0)&amp;""</f>
        <v>Where multiple statutory or sectoral plans apply to the same territory, does the transport corporation ensure consistency with the applicable metropolitan/regional or city master plan/strategic plan for the city?</v>
      </c>
    </row>
    <row r="6" customFormat="false" ht="15" hidden="false" customHeight="true" outlineLevel="0" collapsed="false">
      <c r="A6" s="11" t="s">
        <v>414</v>
      </c>
      <c r="B6" s="4" t="n">
        <f aca="false">VLOOKUP($B$1,'PARASTATAL Questions'!$A:$J,6,0)</f>
        <v>2.5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Transport Corporation</v>
      </c>
    </row>
    <row r="9" customFormat="false" ht="1983" hidden="false" customHeight="true" outlineLevel="0" collapsed="false">
      <c r="A9" s="11" t="s">
        <v>448</v>
      </c>
      <c r="B9" s="4" t="str">
        <f aca="false">VLOOKUP($B$1,'PARASTATAL Questions'!$A:$J,9,0)&amp;""</f>
        <v>Review the transport corporation's current transport/mobility master plan, network expansion plan, or equivalent sectoral planning document, together with the applicable Master Plan/Development Plan/Metropolitan or Regional Plan.Score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input.Score 1.25 if there is partial alignment: the transport plan refers to the master plan and/or uses its population, density or land-use projections, but does not clearly demonstrate that these inputs determine the spatial location of routes, stations or major infrastructure.Score 0 if there is no identifiable evidence that the Master Plan or its spatial/population framework informs transport planning.The score sheet should record components for scores, the plan/document relied upon, year, applicable statutory master plan, and the specific reference demonstrating alignment.Additional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v>
      </c>
    </row>
    <row r="10" customFormat="false" ht="270" hidden="false" customHeight="true" outlineLevel="0" collapsed="false">
      <c r="A10" s="11" t="s">
        <v>449</v>
      </c>
      <c r="B10" s="4" t="str">
        <f aca="false">VLOOKUP($B$1,'PARASTATAL Questions'!$A:$J,10,0)&amp;""</f>
        <v>Transport corporation's current mobility/network plan; applicable Master Plan/Development Plan/Metropolitan or Regional Plan; land-use conversion/regularisation records for major transport infrastructure, where available.</v>
      </c>
    </row>
    <row r="11" customFormat="false" ht="15" hidden="false" customHeight="true" outlineLevel="0" collapsed="false">
      <c r="B11" s="15" t="s">
        <v>621</v>
      </c>
      <c r="I11" s="15" t="s">
        <v>671</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68.2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685</v>
      </c>
      <c r="L14" s="9" t="str">
        <f aca="false">IF($B14="NO","NA",IF(I14="","",MIN(I14,$B$6)))</f>
        <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85</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3a</v>
      </c>
    </row>
    <row r="4" customFormat="false" ht="15" hidden="false" customHeight="true" outlineLevel="0" collapsed="false">
      <c r="A4" s="11" t="s">
        <v>412</v>
      </c>
      <c r="B4" s="4" t="str">
        <f aca="false">VLOOKUP($B$1,'PARASTATAL Questions'!$A:$J,4,0)&amp;""</f>
        <v>SQ</v>
      </c>
    </row>
    <row r="5" customFormat="false" ht="258.75" hidden="false" customHeight="true" outlineLevel="0" collapsed="false">
      <c r="A5" s="11" t="s">
        <v>0</v>
      </c>
      <c r="B5" s="4" t="str">
        <f aca="false">VLOOKUP($B$1,'PARASTATAL Questions'!$A:$J,5,0)&amp;""</f>
        <v>Is the water supply board mandated to consider the needs of women, the urban poor and other vulnerable groups in decisions relating to access, affordability and delivery of water and sanitation services?</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Water supply board</v>
      </c>
    </row>
    <row r="9" customFormat="false" ht="840.75" hidden="false" customHeight="true" outlineLevel="0" collapsed="false">
      <c r="A9" s="11" t="s">
        <v>448</v>
      </c>
      <c r="B9" s="4" t="str">
        <f aca="false">VLOOKUP($B$1,'PARASTATAL Questions'!$A:$J,9,0)&amp;""</f>
        <v>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groups.Score 5 if equity requirements apply across core service-access and delivery decisionsScore 2.5 if limited to particular groups, services or schemesScore 0 if no explicit requirement is found.</v>
      </c>
    </row>
    <row r="10" customFormat="false" ht="202.5" hidden="false" customHeight="true" outlineLevel="0" collapsed="false">
      <c r="A10" s="11" t="s">
        <v>449</v>
      </c>
      <c r="B10" s="4" t="str">
        <f aca="false">VLOOKUP($B$1,'PARASTATAL Questions'!$A:$J,10,0)&amp;""</f>
        <v>Water Supply Board/utility Act, water and sanitation legislation, tariff regulations, service rules, State policies and other applicable binding instruments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57" hidden="false" customHeight="true" outlineLevel="0" collapsed="false">
      <c r="A13" s="9" t="s">
        <v>19</v>
      </c>
      <c r="B13" s="9" t="s">
        <v>635</v>
      </c>
      <c r="C13" s="9" t="s">
        <v>686</v>
      </c>
      <c r="D13" s="9" t="s">
        <v>687</v>
      </c>
      <c r="E13" s="9" t="s">
        <v>688</v>
      </c>
      <c r="F13" s="9" t="s">
        <v>689</v>
      </c>
      <c r="G13" s="9" t="s">
        <v>690</v>
      </c>
      <c r="H13" s="9" t="s">
        <v>691</v>
      </c>
      <c r="I13" s="16" t="n">
        <v>2.5</v>
      </c>
      <c r="J13" s="9" t="n">
        <f aca="false">IF(COUNTIFS('Scores (start here)'!$A:$A,$B$1,'Scores (start here)'!$B:$B,$A13,'Scores (start here)'!$F:$F,"&gt;=0")&gt;0,SUMIFS('Scores (start here)'!$F:$F,'Scores (start here)'!$A:$A,$B$1,'Scores (start here)'!$B:$B,$A13),L13)</f>
        <v>2.5</v>
      </c>
      <c r="K13" s="13" t="s">
        <v>692</v>
      </c>
      <c r="L13" s="9" t="n">
        <f aca="false">IF($B13="NO","NA",IF(I13="","",MIN(I13,$B$6)))</f>
        <v>2.5</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89</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3b</v>
      </c>
    </row>
    <row r="4" customFormat="false" ht="15" hidden="false" customHeight="true" outlineLevel="0" collapsed="false">
      <c r="A4" s="11" t="s">
        <v>412</v>
      </c>
      <c r="B4" s="4" t="str">
        <f aca="false">VLOOKUP($B$1,'PARASTATAL Questions'!$A:$J,4,0)&amp;""</f>
        <v>SQ</v>
      </c>
    </row>
    <row r="5" customFormat="false" ht="247.5" hidden="false" customHeight="true" outlineLevel="0" collapsed="false">
      <c r="A5" s="11" t="s">
        <v>0</v>
      </c>
      <c r="B5" s="4" t="str">
        <f aca="false">VLOOKUP($B$1,'PARASTATAL Questions'!$A:$J,5,0)&amp;""</f>
        <v>Does the water supply board actually consider the needs of women, the urban poor and other vulnerable groups in decisions relating to access, affordability and delivery of water and sanitation services?</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Water supply board</v>
      </c>
    </row>
    <row r="9" customFormat="false" ht="3276.75" hidden="false" customHeight="true" outlineLevel="0" collapsed="false">
      <c r="A9" s="11" t="s">
        <v>448</v>
      </c>
      <c r="B9" s="4" t="str">
        <f aca="false">VLOOKUP($B$1,'PARASTATAL Questions'!$A:$J,9,0)&amp;""</f>
        <v>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marksLook for identifiable provisions such as:concessional/lifeline tariff, connection fee concession, deposit concession or other affordability measure for EWS/BPL/slum/low-income householdsa named scheme or coverage commitment for slums/informal settlementsinclusion of slums/informal settlements within the water-supply master plan’s demand assessment, network design or service area, including where relevant irrespective of land tenure or notified statuspriority/admissible category for network extension to low-income or underserved settlementsdecentralised/service alternatives such as community stand posts, water ATMs or mini-networks where individual household connections are not feasible.ScoringScore 2.5 if there is evidence of both (i) an affordability/access measure and (ii) an explicit service-planning/coverage measure for an identified vulnerable group.Score 1.25 if only one of the above is present.Score 0 if neither is present. Component 2 – Gender, and accessible design: 2.5 marksLook for identifiable planning or design measures such as:GESI/gender/social inclusion screening or analysis within water-supply planning or DPR preparationexplicit design consideration for women, PwDs, elderly persons, children or other identified vulnerable userssiting of shared water infrastructure to reduce time, distance or physical burdensafe and accessible approaches to community water pointsbarrier-free/universal-access design standards for public-facing water infrastructure, including ramps, step-free access, appropriate tap heights or other accessible design featuresother specific design or service measures intended to address identified access barriers.ScoringScore 2.5 if the Board’s current planning/design framework contains specific operational or design measures addressing the needs of identified vulnerable groups.Score 1.25 if vulnerable groups are specifically identified and considered, but the provision does not translate into a clear operational/design requirement.Score 0 if there is no identifiable equity/accessibility consideration.</v>
      </c>
    </row>
    <row r="10" customFormat="false" ht="213.75" hidden="false" customHeight="true" outlineLevel="0" collapsed="false">
      <c r="A10" s="11" t="s">
        <v>449</v>
      </c>
      <c r="B10" s="4" t="str">
        <f aca="false">VLOOKUP($B$1,'PARASTATAL Questions'!$A:$J,10,0)&amp;""</f>
        <v>Water Supply Board's current water supply/sanitation plan; scheme/coverage documents; tariff or connection-concession orders; design/service standards.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236.25" hidden="false" customHeight="true" outlineLevel="0" collapsed="false">
      <c r="A13" s="9" t="s">
        <v>19</v>
      </c>
      <c r="B13" s="9" t="s">
        <v>635</v>
      </c>
      <c r="C13" s="9" t="s">
        <v>53</v>
      </c>
      <c r="D13" s="9" t="s">
        <v>693</v>
      </c>
      <c r="E13" s="9" t="s">
        <v>694</v>
      </c>
      <c r="F13" s="9" t="s">
        <v>695</v>
      </c>
      <c r="G13" s="9" t="s">
        <v>696</v>
      </c>
      <c r="H13" s="9" t="s">
        <v>54</v>
      </c>
      <c r="I13" s="16" t="n">
        <v>2.5</v>
      </c>
      <c r="J13" s="9" t="n">
        <f aca="false">IF(COUNTIFS('Scores (start here)'!$A:$A,$B$1,'Scores (start here)'!$B:$B,$A13,'Scores (start here)'!$F:$F,"&gt;=0")&gt;0,SUMIFS('Scores (start here)'!$F:$F,'Scores (start here)'!$A:$A,$B$1,'Scores (start here)'!$B:$B,$A13),L13)</f>
        <v>2.5</v>
      </c>
      <c r="K13" s="13" t="s">
        <v>697</v>
      </c>
      <c r="L13" s="9" t="n">
        <f aca="false">IF($B13="NO","NA",IF(I13="","",MIN(I13,$B$6)))</f>
        <v>2.5</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94</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4a</v>
      </c>
    </row>
    <row r="4" customFormat="false" ht="15" hidden="false" customHeight="true" outlineLevel="0" collapsed="false">
      <c r="A4" s="11" t="s">
        <v>412</v>
      </c>
      <c r="B4" s="4" t="str">
        <f aca="false">VLOOKUP($B$1,'PARASTATAL Questions'!$A:$J,4,0)&amp;""</f>
        <v>SQ</v>
      </c>
    </row>
    <row r="5" customFormat="false" ht="247.5" hidden="false" customHeight="true" outlineLevel="0" collapsed="false">
      <c r="A5" s="11" t="s">
        <v>0</v>
      </c>
      <c r="B5" s="4" t="str">
        <f aca="false">VLOOKUP($B$1,'PARASTATAL Questions'!$A:$J,5,0)&amp;""</f>
        <v>Is the transport corporation mandated to consider the mobility needs of women, the urban poor and other vulnerable groups in planning and delivering public transport services?</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Transport Corporation</v>
      </c>
    </row>
    <row r="9" customFormat="false" ht="750.75" hidden="false" customHeight="true" outlineLevel="0" collapsed="false">
      <c r="A9" s="11" t="s">
        <v>448</v>
      </c>
      <c r="B9" s="4" t="str">
        <f aca="false">VLOOKUP($B$1,'PARASTATAL Questions'!$A:$J,9,0)&amp;""</f>
        <v>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users.Score 5 if such considerations are explicitly embedded across core service-planning and delivery functionsScore 2.5 if limited to specific groups, services or schemesScore 0 if no explicit requirement is found.</v>
      </c>
    </row>
    <row r="10" customFormat="false" ht="191.25" hidden="false" customHeight="true" outlineLevel="0" collapsed="false">
      <c r="A10" s="11" t="s">
        <v>449</v>
      </c>
      <c r="B10" s="4" t="str">
        <f aca="false">VLOOKUP($B$1,'PARASTATAL Questions'!$A:$J,10,0)&amp;""</f>
        <v>Transport authority/corporation Act, applicable transport legislation, rules, service regulations, fare policies and other binding policy instruments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236.25" hidden="false" customHeight="true" outlineLevel="0" collapsed="false">
      <c r="A14" s="9" t="s">
        <v>30</v>
      </c>
      <c r="B14" s="9" t="s">
        <v>635</v>
      </c>
      <c r="C14" s="9" t="s">
        <v>100</v>
      </c>
      <c r="D14" s="9" t="s">
        <v>698</v>
      </c>
      <c r="E14" s="9" t="s">
        <v>699</v>
      </c>
      <c r="H14" s="9" t="s">
        <v>101</v>
      </c>
      <c r="I14" s="16"/>
      <c r="J14" s="9" t="str">
        <f aca="false">IF(COUNTIFS('Scores (start here)'!$A:$A,$B$1,'Scores (start here)'!$B:$B,$A14,'Scores (start here)'!$F:$F,"&gt;=0")&gt;0,SUMIFS('Scores (start here)'!$F:$F,'Scores (start here)'!$A:$A,$B$1,'Scores (start here)'!$B:$B,$A14),L14)</f>
        <v/>
      </c>
      <c r="K14" s="13" t="s">
        <v>700</v>
      </c>
      <c r="L14" s="9" t="str">
        <f aca="false">IF($B14="NO","NA",IF(I14="","",MIN(I14,$B$6)))</f>
        <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97</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4b</v>
      </c>
    </row>
    <row r="4" customFormat="false" ht="15" hidden="false" customHeight="true" outlineLevel="0" collapsed="false">
      <c r="A4" s="11" t="s">
        <v>412</v>
      </c>
      <c r="B4" s="4" t="str">
        <f aca="false">VLOOKUP($B$1,'PARASTATAL Questions'!$A:$J,4,0)&amp;""</f>
        <v>SQ</v>
      </c>
    </row>
    <row r="5" customFormat="false" ht="236.25" hidden="false" customHeight="true" outlineLevel="0" collapsed="false">
      <c r="A5" s="11" t="s">
        <v>0</v>
      </c>
      <c r="B5" s="4" t="str">
        <f aca="false">VLOOKUP($B$1,'PARASTATAL Questions'!$A:$J,5,0)&amp;""</f>
        <v>Does the Transport Corporation actually consider the needs of women, the urban poor and other vulnerable groups in decisions relating to access, affordability and delivery of public transport services?</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Transport Corporation</v>
      </c>
    </row>
    <row r="9" customFormat="false" ht="2184.75" hidden="false" customHeight="true" outlineLevel="0" collapsed="false">
      <c r="A9" s="11" t="s">
        <v>448</v>
      </c>
      <c r="B9" s="4" t="str">
        <f aca="false">VLOOKUP($B$1,'PARASTATAL Questions'!$A:$J,9,0)&amp;""</f>
        <v>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groups.Do not award credit for generic language such as "public interest," "all commuters," "universal service" or "inclusive development" unless this is translated into a specific route, fare, service or design provision.Component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settlements.Score 2.5 if there is evidence of both (i) an affordability/fare-concession measure and (ii) an explicit route/coverage measure for an identified vulnerable group. Score 1.25 if only one is present. Score 0 if neither is present.Component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access).Score 2.5 if the Corporation's current planning/design framework contains specific operational or design measures. Score 1.25 if vulnerable groups are identified but this doesn't translate into an operational/design requirement. Score 0 if no identifiable consideration.</v>
      </c>
    </row>
    <row r="10" customFormat="false" ht="191.25" hidden="false" customHeight="true" outlineLevel="0" collapsed="false">
      <c r="A10" s="11" t="s">
        <v>449</v>
      </c>
      <c r="B10" s="4" t="str">
        <f aca="false">VLOOKUP($B$1,'PARASTATAL Questions'!$A:$J,10,0)&amp;""</f>
        <v>Transport Corporation's current transport/mobility plan; fare policy/concession orders; service design standards or specifications; annual report.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113.25" hidden="false" customHeight="true" outlineLevel="0" collapsed="false">
      <c r="A14" s="9" t="s">
        <v>30</v>
      </c>
      <c r="B14" s="9" t="s">
        <v>635</v>
      </c>
      <c r="C14" s="9" t="s">
        <v>100</v>
      </c>
      <c r="D14" s="9" t="s">
        <v>701</v>
      </c>
      <c r="E14" s="9" t="s">
        <v>702</v>
      </c>
      <c r="F14" s="9" t="s">
        <v>703</v>
      </c>
      <c r="H14" s="9" t="s">
        <v>101</v>
      </c>
      <c r="I14" s="16" t="n">
        <v>1.25</v>
      </c>
      <c r="J14" s="9" t="n">
        <f aca="false">IF(COUNTIFS('Scores (start here)'!$A:$A,$B$1,'Scores (start here)'!$B:$B,$A14,'Scores (start here)'!$F:$F,"&gt;=0")&gt;0,SUMIFS('Scores (start here)'!$F:$F,'Scores (start here)'!$A:$A,$B$1,'Scores (start here)'!$B:$B,$A14),L14)</f>
        <v>1.25</v>
      </c>
      <c r="K14" s="13" t="s">
        <v>704</v>
      </c>
      <c r="L14" s="9" t="n">
        <f aca="false">IF($B14="NO","NA",IF(I14="","",MIN(I14,$B$6)))</f>
        <v>1.25</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104</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5a</v>
      </c>
    </row>
    <row r="4" customFormat="false" ht="15" hidden="false" customHeight="true" outlineLevel="0" collapsed="false">
      <c r="A4" s="11" t="s">
        <v>412</v>
      </c>
      <c r="B4" s="4" t="str">
        <f aca="false">VLOOKUP($B$1,'PARASTATAL Questions'!$A:$J,4,0)&amp;""</f>
        <v>SQ</v>
      </c>
    </row>
    <row r="5" customFormat="false" ht="191.25" hidden="false" customHeight="true" outlineLevel="0" collapsed="false">
      <c r="A5" s="11" t="s">
        <v>0</v>
      </c>
      <c r="B5" s="4" t="str">
        <f aca="false">VLOOKUP($B$1,'PARASTATAL Questions'!$A:$J,5,0)&amp;""</f>
        <v>Is the water supply board mandated to consider environmental sustainability in planning and delivering water and sanitation services?</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Water supply board</v>
      </c>
    </row>
    <row r="9" customFormat="false" ht="975" hidden="false" customHeight="true" outlineLevel="0" collapsed="false">
      <c r="A9" s="11" t="s">
        <v>448</v>
      </c>
      <c r="B9" s="4" t="str">
        <f aca="false">VLOOKUP($B$1,'PARASTATAL Questions'!$A:$J,9,0)&amp;""</f>
        <v>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v>
      </c>
    </row>
    <row r="10" customFormat="false" ht="225" hidden="false" customHeight="true" outlineLevel="0" collapsed="false">
      <c r="A10" s="11" t="s">
        <v>449</v>
      </c>
      <c r="B10" s="4" t="str">
        <f aca="false">VLOOKUP($B$1,'PARASTATAL Questions'!$A:$J,10,0)&amp;""</f>
        <v>Water Supply Board/utility Act, water and sanitation legislation, service rules, State water policies, groundwater/source-protection provisions and other binding instruments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236.25" hidden="false" customHeight="true" outlineLevel="0" collapsed="false">
      <c r="A13" s="9" t="s">
        <v>19</v>
      </c>
      <c r="B13" s="9" t="s">
        <v>635</v>
      </c>
      <c r="C13" s="9" t="s">
        <v>705</v>
      </c>
      <c r="D13" s="9" t="s">
        <v>706</v>
      </c>
      <c r="E13" s="9" t="s">
        <v>707</v>
      </c>
      <c r="F13" s="9" t="s">
        <v>708</v>
      </c>
      <c r="G13" s="9" t="s">
        <v>709</v>
      </c>
      <c r="H13" s="9" t="s">
        <v>710</v>
      </c>
      <c r="I13" s="16" t="n">
        <v>2.5</v>
      </c>
      <c r="J13" s="9" t="n">
        <f aca="false">IF(COUNTIFS('Scores (start here)'!$A:$A,$B$1,'Scores (start here)'!$B:$B,$A13,'Scores (start here)'!$F:$F,"&gt;=0")&gt;0,SUMIFS('Scores (start here)'!$F:$F,'Scores (start here)'!$A:$A,$B$1,'Scores (start here)'!$B:$B,$A13),L13)</f>
        <v>2.5</v>
      </c>
      <c r="K13" s="13" t="s">
        <v>692</v>
      </c>
      <c r="L13" s="9" t="n">
        <f aca="false">IF($B13="NO","NA",IF(I13="","",MIN(I13,$B$6)))</f>
        <v>2.5</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107</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5b</v>
      </c>
    </row>
    <row r="4" customFormat="false" ht="15" hidden="false" customHeight="true" outlineLevel="0" collapsed="false">
      <c r="A4" s="11" t="s">
        <v>412</v>
      </c>
      <c r="B4" s="4" t="str">
        <f aca="false">VLOOKUP($B$1,'PARASTATAL Questions'!$A:$J,4,0)&amp;""</f>
        <v>SQ</v>
      </c>
    </row>
    <row r="5" customFormat="false" ht="180" hidden="false" customHeight="true" outlineLevel="0" collapsed="false">
      <c r="A5" s="11" t="s">
        <v>0</v>
      </c>
      <c r="B5" s="4" t="str">
        <f aca="false">VLOOKUP($B$1,'PARASTATAL Questions'!$A:$J,5,0)&amp;""</f>
        <v>Does the water supply board actually consider environmental sustainability in planning and delivering water and sanitation services?</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Water supply board</v>
      </c>
    </row>
    <row r="9" customFormat="false" ht="3276.75" hidden="false" customHeight="true" outlineLevel="0" collapsed="false">
      <c r="A9" s="11" t="s">
        <v>448</v>
      </c>
      <c r="B9" s="4" t="str">
        <f aca="false">VLOOKUP($B$1,'PARASTATAL Questions'!$A:$J,9,0)&amp;""</f>
        <v>Review the Board's latest water supply plan. Assess whether it contains identifiable environmental sustainability measures relating to source management, conservation, wastewater management, or climate resilience.Do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marksLook for identifiable provisions such as:sustainable or diversified water source development, or measures to reduce over-extraction/dependence on a stressed sourcegroundwater recharge, rainwater harvesting, or source-protection measures within the Board's own infrastructure planninga non-revenue water (NRW)/water-loss reduction target or programmedemand management or water conservation measures (e.g., universal metering, leak detection and repair programme, conservation-oriented design standards)measures to protect water sources from pollution or encroachment (buffer/catchment protection, control of upstream effluent discharge)any other specific measure on sustainable source management, and/or conservation and loss reduction Scoring:Score 2.5 if there is evidence of both (i) a sustainable source/protection measure and (ii) an explicit loss-reduction or demand-management target/programme.Score 1.25 if only one of the above is present. Score 0 if neither is present. Component 2 – Wastewater management, reuse and climate resilience: 2.5 marksLook for identifiable planning or operational measures such as:wastewater treatment capacity or quality targets aligned with service expansiona treated-wastewater reuse/recycling target or scheme (industrial, horticultural, non-potable reuse, etc.)climate resilience or adaptation measures for water sources or infrastructure (drought contingency planning, flood-proofing of treatment/pumping assets)energy efficiency measures in water/wastewater operations (energy audits, renewable energy use in pumping/treatment)environmental flow or ecological considerations where surface water sources are usedother specific measures addressing the environmental impact of water or wastewater operations Scoring:Score 2.5 if the Board's current planning framework contains specific operational measures addressing wastewater management, climate resilience or energy use.Score 1.25 if such considerations are mentioned or identified but do not translate into a clear operational or target-based requirement.Score 0 if there is no identifiable environmental sustainability consideration.</v>
      </c>
    </row>
    <row r="10" customFormat="false" ht="281.25" hidden="false" customHeight="true" outlineLevel="0" collapsed="false">
      <c r="A10" s="11" t="s">
        <v>449</v>
      </c>
      <c r="B10" s="4" t="str">
        <f aca="false">VLOOKUP($B$1,'PARASTATAL Questions'!$A:$J,10,0)&amp;""</f>
        <v>Water Supply Board's current water supply/sanitation plan; source-protection or conservation programme documents; wastewater treatment/reuse scheme documents; annual report.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213.75" hidden="false" customHeight="true" outlineLevel="0" collapsed="false">
      <c r="A13" s="9" t="s">
        <v>19</v>
      </c>
      <c r="B13" s="9" t="s">
        <v>635</v>
      </c>
      <c r="C13" s="9" t="s">
        <v>110</v>
      </c>
      <c r="D13" s="9" t="s">
        <v>711</v>
      </c>
      <c r="E13" s="9" t="s">
        <v>712</v>
      </c>
      <c r="F13" s="9" t="s">
        <v>713</v>
      </c>
      <c r="G13" s="9" t="s">
        <v>639</v>
      </c>
      <c r="H13" s="9" t="s">
        <v>111</v>
      </c>
      <c r="I13" s="16" t="n">
        <v>5</v>
      </c>
      <c r="J13" s="9" t="n">
        <f aca="false">IF(COUNTIFS('Scores (start here)'!$A:$A,$B$1,'Scores (start here)'!$B:$B,$A13,'Scores (start here)'!$F:$F,"&gt;=0")&gt;0,SUMIFS('Scores (start here)'!$F:$F,'Scores (start here)'!$A:$A,$B$1,'Scores (start here)'!$B:$B,$A13),L13)</f>
        <v>5</v>
      </c>
      <c r="K13" s="13" t="s">
        <v>714</v>
      </c>
      <c r="L13" s="9" t="n">
        <f aca="false">IF($B13="NO","NA",IF(I13="","",MIN(I13,$B$6)))</f>
        <v>5</v>
      </c>
    </row>
    <row r="14" customFormat="false" ht="15" hidden="false" customHeight="true" outlineLevel="0" collapsed="false">
      <c r="A14" s="17" t="s">
        <v>30</v>
      </c>
      <c r="B14" s="17" t="s">
        <v>677</v>
      </c>
      <c r="C14" s="17"/>
      <c r="D14" s="17"/>
      <c r="E14" s="17"/>
      <c r="F14" s="17"/>
      <c r="G14" s="17"/>
      <c r="H14" s="17"/>
      <c r="I14" s="18"/>
      <c r="J14" s="17" t="str">
        <f aca="false">IF(COUNTIFS('Scores (start here)'!$A:$A,$B$1,'Scores (start here)'!$B:$B,$A14,'Scores (start here)'!$F:$F,"&gt;=0")&gt;0,SUMIFS('Scores (start here)'!$F:$F,'Scores (start here)'!$A:$A,$B$1,'Scores (start here)'!$B:$B,$A14),L14)</f>
        <v>NA</v>
      </c>
      <c r="K14" s="17"/>
      <c r="L14" s="9" t="str">
        <f aca="false">IF($B14="NO","NA",IF(I14="","",MIN(I14,$B$6)))</f>
        <v>NA</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114</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6a</v>
      </c>
    </row>
    <row r="4" customFormat="false" ht="15" hidden="false" customHeight="true" outlineLevel="0" collapsed="false">
      <c r="A4" s="11" t="s">
        <v>412</v>
      </c>
      <c r="B4" s="4" t="str">
        <f aca="false">VLOOKUP($B$1,'PARASTATAL Questions'!$A:$J,4,0)&amp;""</f>
        <v>SQ</v>
      </c>
    </row>
    <row r="5" customFormat="false" ht="225" hidden="false" customHeight="true" outlineLevel="0" collapsed="false">
      <c r="A5" s="11" t="s">
        <v>0</v>
      </c>
      <c r="B5" s="4" t="str">
        <f aca="false">VLOOKUP($B$1,'PARASTATAL Questions'!$A:$J,5,0)&amp;""</f>
        <v>Is the transport corporation mandated to consider environmental sustainability in planning and delivering urban transport services and investments?</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34.5" hidden="false" customHeight="true" outlineLevel="0" collapsed="false">
      <c r="A8" s="11" t="s">
        <v>447</v>
      </c>
      <c r="B8" s="4" t="str">
        <f aca="false">VLOOKUP($B$1,'PARASTATAL Questions'!$A:$J,8,0)&amp;""</f>
        <v>Transport Corporation</v>
      </c>
    </row>
    <row r="9" customFormat="false" ht="907.5" hidden="false" customHeight="true" outlineLevel="0" collapsed="false">
      <c r="A9" s="11" t="s">
        <v>448</v>
      </c>
      <c r="B9" s="4" t="str">
        <f aca="false">VLOOKUP($B$1,'PARASTATAL Questions'!$A:$J,9,0)&amp;""</f>
        <v>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investments.Score 5 if environmental considerations are explicitly embedded across core transport planning/investment/service-delivery functionsScore 2.5 if limited to specific modes, projects or environmental objectivesScore 0 if no explicit requirement is found.</v>
      </c>
    </row>
    <row r="10" customFormat="false" ht="168.75" hidden="false" customHeight="true" outlineLevel="0" collapsed="false">
      <c r="A10" s="11" t="s">
        <v>449</v>
      </c>
      <c r="B10" s="4" t="str">
        <f aca="false">VLOOKUP($B$1,'PARASTATAL Questions'!$A:$J,10,0)&amp;""</f>
        <v>Transport authority/corporation Act, applicable transport legislation, rules, mobility/transport policies and other binding instruments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258.75" hidden="false" customHeight="true" outlineLevel="0" collapsed="false">
      <c r="A14" s="9" t="s">
        <v>30</v>
      </c>
      <c r="B14" s="9" t="s">
        <v>635</v>
      </c>
      <c r="C14" s="9" t="s">
        <v>32</v>
      </c>
      <c r="D14" s="9" t="s">
        <v>641</v>
      </c>
      <c r="E14" s="9" t="s">
        <v>715</v>
      </c>
      <c r="F14" s="9" t="s">
        <v>716</v>
      </c>
      <c r="G14" s="9" t="s">
        <v>644</v>
      </c>
      <c r="H14" s="9" t="s">
        <v>33</v>
      </c>
      <c r="I14" s="16" t="n">
        <v>2.5</v>
      </c>
      <c r="J14" s="9" t="n">
        <f aca="false">IF(COUNTIFS('Scores (start here)'!$A:$A,$B$1,'Scores (start here)'!$B:$B,$A14,'Scores (start here)'!$F:$F,"&gt;=0")&gt;0,SUMIFS('Scores (start here)'!$F:$F,'Scores (start here)'!$A:$A,$B$1,'Scores (start here)'!$B:$B,$A14),L14)</f>
        <v>2.5</v>
      </c>
      <c r="K14" s="13" t="s">
        <v>717</v>
      </c>
      <c r="L14" s="9" t="n">
        <f aca="false">IF($B14="NO","NA",IF(I14="","",MIN(I14,$B$6)))</f>
        <v>2.5</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119</v>
      </c>
      <c r="C1" s="9" t="s">
        <v>619</v>
      </c>
      <c r="J1" s="14" t="s">
        <v>620</v>
      </c>
    </row>
    <row r="2" customFormat="false" ht="45.75" hidden="false" customHeight="true" outlineLevel="0" collapsed="false">
      <c r="A2" s="11" t="s">
        <v>411</v>
      </c>
      <c r="B2" s="4" t="str">
        <f aca="false">VLOOKUP($B$1,'PARASTATAL Questions'!$A:$J,3,0)&amp;""</f>
        <v>Urban Planning &amp; Design (UPD)</v>
      </c>
    </row>
    <row r="3" customFormat="false" ht="15" hidden="false" customHeight="true" outlineLevel="0" collapsed="false">
      <c r="A3" s="11" t="s">
        <v>446</v>
      </c>
      <c r="B3" s="4" t="str">
        <f aca="false">VLOOKUP($B$1,'PARASTATAL Questions'!$A:$J,2,0)&amp;""</f>
        <v>UPD 6b</v>
      </c>
    </row>
    <row r="4" customFormat="false" ht="15" hidden="false" customHeight="true" outlineLevel="0" collapsed="false">
      <c r="A4" s="11" t="s">
        <v>412</v>
      </c>
      <c r="B4" s="4" t="str">
        <f aca="false">VLOOKUP($B$1,'PARASTATAL Questions'!$A:$J,4,0)&amp;""</f>
        <v>SQ</v>
      </c>
    </row>
    <row r="5" customFormat="false" ht="202.5" hidden="false" customHeight="true" outlineLevel="0" collapsed="false">
      <c r="A5" s="11" t="s">
        <v>0</v>
      </c>
      <c r="B5" s="4" t="str">
        <f aca="false">VLOOKUP($B$1,'PARASTATAL Questions'!$A:$J,5,0)&amp;""</f>
        <v>Does the transport corporation actually considers environmental sustainability in planning and delivering urban transport services and investments?</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34.5" hidden="false" customHeight="true" outlineLevel="0" collapsed="false">
      <c r="A8" s="11" t="s">
        <v>447</v>
      </c>
      <c r="B8" s="4" t="str">
        <f aca="false">VLOOKUP($B$1,'PARASTATAL Questions'!$A:$J,8,0)&amp;""</f>
        <v>Transport Corporation</v>
      </c>
    </row>
    <row r="9" customFormat="false" ht="1714.5" hidden="false" customHeight="true" outlineLevel="0" collapsed="false">
      <c r="A9" s="11" t="s">
        <v>448</v>
      </c>
      <c r="B9" s="4" t="str">
        <f aca="false">VLOOKUP($B$1,'PARASTATAL Questions'!$A:$J,9,0)&amp;""</f>
        <v>Review the Corporation's current fleet plan, network/route plan or environmental/sustainability policy. Assess whether it contains identifiable environmental sustainability measures relating to fleet composition, emissions, energy use or modal integration.Do not award credit for generic language such as "sustainable development," "green transport" or "environment friendly" unless translated into a specific fleet, operational or design provision.Component 1 – Cleaner fleet and emissions reduction: 2.5 marks. Look for: an electric/CNG/hybrid fleet-transition target; an emissions or fuel-efficiency target; a retirement/phase-out schedule for high-emission vehicles.Score 2.5 if evidence of both (i) a cleaner-fuel/fleet-transition measure and (ii) an explicit emissions/efficiency target. Score 1.25 if only one is present. Score 0 if neither.Component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depots/operations.Score 2.5 if the Corporation's planning framework contains specific operational measures. Score 1.25 if mentioned but not operationalised/targeted. Score 0 if no identifiable consideration.</v>
      </c>
    </row>
    <row r="10" customFormat="false" ht="135.75" hidden="false" customHeight="true" outlineLevel="0" collapsed="false">
      <c r="A10" s="11" t="s">
        <v>449</v>
      </c>
      <c r="B10" s="4" t="str">
        <f aca="false">VLOOKUP($B$1,'PARASTATAL Questions'!$A:$J,10,0)&amp;""</f>
        <v>Transport Corporation's fleet plan; route/network plan; environmental/sustainability policy; annual report.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17" t="s">
        <v>19</v>
      </c>
      <c r="B13" s="17" t="s">
        <v>677</v>
      </c>
      <c r="C13" s="17"/>
      <c r="D13" s="17"/>
      <c r="E13" s="17"/>
      <c r="F13" s="17"/>
      <c r="G13" s="17"/>
      <c r="H13" s="17"/>
      <c r="I13" s="18"/>
      <c r="J13" s="17" t="str">
        <f aca="false">IF(COUNTIFS('Scores (start here)'!$A:$A,$B$1,'Scores (start here)'!$B:$B,$A13,'Scores (start here)'!$F:$F,"&gt;=0")&gt;0,SUMIFS('Scores (start here)'!$F:$F,'Scores (start here)'!$A:$A,$B$1,'Scores (start here)'!$B:$B,$A13),L13)</f>
        <v>NA</v>
      </c>
      <c r="K13" s="17"/>
      <c r="L13" s="9" t="str">
        <f aca="false">IF($B13="NO","NA",IF(I13="","",MIN(I13,$B$6)))</f>
        <v>NA</v>
      </c>
    </row>
    <row r="14" customFormat="false" ht="57" hidden="false" customHeight="true" outlineLevel="0" collapsed="false">
      <c r="A14" s="9" t="s">
        <v>30</v>
      </c>
      <c r="B14" s="9" t="s">
        <v>635</v>
      </c>
      <c r="C14" s="9" t="s">
        <v>718</v>
      </c>
      <c r="D14" s="9" t="s">
        <v>719</v>
      </c>
      <c r="E14" s="9" t="s">
        <v>720</v>
      </c>
      <c r="F14" s="9" t="s">
        <v>721</v>
      </c>
      <c r="G14" s="9" t="s">
        <v>722</v>
      </c>
      <c r="H14" s="9" t="s">
        <v>723</v>
      </c>
      <c r="I14" s="16" t="n">
        <v>1.25</v>
      </c>
      <c r="J14" s="9" t="n">
        <f aca="false">IF(COUNTIFS('Scores (start here)'!$A:$A,$B$1,'Scores (start here)'!$B:$B,$A14,'Scores (start here)'!$F:$F,"&gt;=0")&gt;0,SUMIFS('Scores (start here)'!$F:$F,'Scores (start here)'!$A:$A,$B$1,'Scores (start here)'!$B:$B,$A14),L14)</f>
        <v>1.25</v>
      </c>
      <c r="K14" s="13" t="s">
        <v>724</v>
      </c>
      <c r="L14" s="9" t="n">
        <f aca="false">IF($B14="NO","NA",IF(I14="","",MIN(I14,$B$6)))</f>
        <v>1.25</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123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1a</v>
      </c>
    </row>
    <row r="4" customFormat="false" ht="15" hidden="false" customHeight="true" outlineLevel="0" collapsed="false">
      <c r="A4" s="11" t="s">
        <v>412</v>
      </c>
      <c r="B4" s="4" t="str">
        <f aca="false">VLOOKUP($B$1,'PARASTATAL Questions'!$A:$J,4,0)&amp;""</f>
        <v>SQ</v>
      </c>
    </row>
    <row r="5" customFormat="false" ht="135.75" hidden="false" customHeight="true" outlineLevel="0" collapsed="false">
      <c r="A5" s="11" t="s">
        <v>0</v>
      </c>
      <c r="B5" s="4" t="str">
        <f aca="false">VLOOKUP($B$1,'PARASTATAL Questions'!$A:$J,5,0)&amp;""</f>
        <v>Does the legal framework clearly demarcate the functions/responsibilities of the parastatal vis-à-vis the ULG?</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Institutional Design</v>
      </c>
    </row>
    <row r="8" customFormat="false" ht="45.75" hidden="false" customHeight="true" outlineLevel="0" collapsed="false">
      <c r="A8" s="11" t="s">
        <v>447</v>
      </c>
      <c r="B8" s="4" t="str">
        <f aca="false">VLOOKUP($B$1,'PARASTATAL Questions'!$A:$J,8,0)&amp;""</f>
        <v>Common — all parastatal types.</v>
      </c>
    </row>
    <row r="9" customFormat="false" ht="2173.5" hidden="false" customHeight="true" outlineLevel="0" collapsed="false">
      <c r="A9" s="11" t="s">
        <v>448</v>
      </c>
      <c r="B9" s="4" t="str">
        <f aca="false">VLOOKUP($B$1,'PARASTATAL Questions'!$A:$J,9,0)&amp;""</f>
        <v>Step 1 — Check devolution status under the Municipal Act.Review the Municipal Act to determine whether the specific function/service is:A — Not devolved: the function is not assigned to the ULG at all.B — Fully devolved: the function is assigned to the ULG in full, and the parastatal also delivers it (i.e. a potential overlap exists).C — Partially devolved: only specific sub-functions are assigned to the ULG (e.g. domestic water supply to the ULG, bulk supply/production to the parastatal).Step 2 — Score based on which scenario applies.If A (not devolved): Score 5. There is no ULG claim to the function, so there is nothing to demarcate against — the parastatal Act's assignment stands on its own.If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assignment).Score 5 if such a distinction is explicit in the Parastatal Act.Score 0 if both Acts assign the same function with no distinction between them.If C (partially devolved): Check whether the aspect assigned to the parastatal is explicit and does not overlap with the aspect assigned to the ULG (e.g. Municipal Act assigns domestic water supply to the ULG; Parastatal Act assigns bulk supply/production to the parastatal — no overlap).Score 5 if the two Acts' assignments are explicit and non-overlapping.Score 0 if the assigned aspects overlap, or if the parastatal's aspect is not clearly specified in its Act.Record the devolution scenario (A/B/C) and the specific provisions relied upon in the evidence column.</v>
      </c>
    </row>
    <row r="10" customFormat="false" ht="191.25" hidden="false" customHeight="true" outlineLevel="0" collapsed="false">
      <c r="A10" s="11" t="s">
        <v>449</v>
      </c>
      <c r="B10" s="4" t="str">
        <f aca="false">VLOOKUP($B$1,'PARASTATAL Questions'!$A:$J,10,0)&amp;""</f>
        <v>Relevant Parastatal Act; State Municipal Act — record the specific provisions establishing devolution status and (where applicable) the functional carve-out.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91.25" hidden="false" customHeight="true" outlineLevel="0" collapsed="false">
      <c r="A13" s="9" t="s">
        <v>19</v>
      </c>
      <c r="B13" s="9" t="s">
        <v>635</v>
      </c>
      <c r="C13" s="9" t="s">
        <v>25</v>
      </c>
      <c r="D13" s="9" t="s">
        <v>725</v>
      </c>
      <c r="E13" s="9" t="s">
        <v>726</v>
      </c>
      <c r="F13" s="9" t="s">
        <v>727</v>
      </c>
      <c r="G13" s="9" t="s">
        <v>728</v>
      </c>
      <c r="H13" s="9" t="s">
        <v>26</v>
      </c>
      <c r="I13" s="16" t="n">
        <v>0</v>
      </c>
      <c r="J13" s="9" t="n">
        <f aca="false">IF(COUNTIFS('Scores (start here)'!$A:$A,$B$1,'Scores (start here)'!$B:$B,$A13,'Scores (start here)'!$F:$F,"&gt;=0")&gt;0,SUMIFS('Scores (start here)'!$F:$F,'Scores (start here)'!$A:$A,$B$1,'Scores (start here)'!$B:$B,$A13),L13)</f>
        <v>0</v>
      </c>
      <c r="K13" s="13" t="s">
        <v>729</v>
      </c>
      <c r="L13" s="9" t="n">
        <f aca="false">IF($B13="NO","NA",IF(I13="","",MIN(I13,$B$6)))</f>
        <v>0</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730</v>
      </c>
      <c r="L14" s="9" t="str">
        <f aca="false">IF($B14="NO","NA",IF(I14="","",MIN(I14,$B$6)))</f>
        <v/>
      </c>
    </row>
    <row r="15" customFormat="false" ht="258.75" hidden="false" customHeight="true" outlineLevel="0" collapsed="false">
      <c r="A15" s="9" t="s">
        <v>36</v>
      </c>
      <c r="B15" s="9" t="s">
        <v>635</v>
      </c>
      <c r="C15" s="9" t="s">
        <v>38</v>
      </c>
      <c r="D15" s="9" t="s">
        <v>731</v>
      </c>
      <c r="E15" s="9" t="s">
        <v>732</v>
      </c>
      <c r="F15" s="9" t="s">
        <v>733</v>
      </c>
      <c r="G15" s="9" t="s">
        <v>734</v>
      </c>
      <c r="H15" s="9" t="s">
        <v>39</v>
      </c>
      <c r="I15" s="16" t="n">
        <v>0</v>
      </c>
      <c r="J15" s="9" t="n">
        <f aca="false">IF(COUNTIFS('Scores (start here)'!$A:$A,$B$1,'Scores (start here)'!$B:$B,$A15,'Scores (start here)'!$F:$F,"&gt;=0")&gt;0,SUMIFS('Scores (start here)'!$F:$F,'Scores (start here)'!$A:$A,$B$1,'Scores (start here)'!$B:$B,$A15),L15)</f>
        <v>0</v>
      </c>
      <c r="K15" s="13" t="s">
        <v>735</v>
      </c>
      <c r="L15" s="9" t="n">
        <f aca="false">IF($B15="NO","NA",IF(I15="","",MIN(I15,$B$6)))</f>
        <v>0</v>
      </c>
    </row>
    <row r="16" customFormat="false" ht="45.75" hidden="false" customHeight="true" outlineLevel="0" collapsed="false">
      <c r="A16" s="9" t="s">
        <v>42</v>
      </c>
      <c r="B16" s="9" t="s">
        <v>635</v>
      </c>
      <c r="C16" s="9" t="s">
        <v>44</v>
      </c>
      <c r="D16" s="9" t="s">
        <v>736</v>
      </c>
      <c r="E16" s="9" t="s">
        <v>737</v>
      </c>
      <c r="F16" s="9" t="s">
        <v>638</v>
      </c>
      <c r="G16" s="9" t="s">
        <v>639</v>
      </c>
      <c r="H16" s="9" t="s">
        <v>26</v>
      </c>
      <c r="I16" s="16" t="n">
        <v>5</v>
      </c>
      <c r="J16" s="9" t="n">
        <f aca="false">IF(COUNTIFS('Scores (start here)'!$A:$A,$B$1,'Scores (start here)'!$B:$B,$A16,'Scores (start here)'!$F:$F,"&gt;=0")&gt;0,SUMIFS('Scores (start here)'!$F:$F,'Scores (start here)'!$A:$A,$B$1,'Scores (start here)'!$B:$B,$A16),L16)</f>
        <v>5</v>
      </c>
      <c r="K16" s="13" t="s">
        <v>738</v>
      </c>
      <c r="L16" s="9" t="n">
        <f aca="false">IF($B16="NO","NA",IF(I16="","",MIN(I16,$B$6)))</f>
        <v>5</v>
      </c>
    </row>
    <row r="17" customFormat="false" ht="45.75" hidden="false" customHeight="true" outlineLevel="0" collapsed="false">
      <c r="A17" s="9" t="s">
        <v>47</v>
      </c>
      <c r="B17" s="9" t="s">
        <v>635</v>
      </c>
      <c r="C17" s="9" t="s">
        <v>137</v>
      </c>
      <c r="D17" s="9" t="s">
        <v>739</v>
      </c>
      <c r="E17" s="9" t="s">
        <v>740</v>
      </c>
      <c r="F17" s="9" t="s">
        <v>741</v>
      </c>
      <c r="G17" s="9" t="s">
        <v>742</v>
      </c>
      <c r="H17" s="9" t="s">
        <v>26</v>
      </c>
      <c r="I17" s="16"/>
      <c r="J17" s="9" t="str">
        <f aca="false">IF(COUNTIFS('Scores (start here)'!$A:$A,$B$1,'Scores (start here)'!$B:$B,$A17,'Scores (start here)'!$F:$F,"&gt;=0")&gt;0,SUMIFS('Scores (start here)'!$F:$F,'Scores (start here)'!$A:$A,$B$1,'Scores (start here)'!$B:$B,$A17),L17)</f>
        <v/>
      </c>
      <c r="K17" s="13" t="s">
        <v>743</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140</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1b</v>
      </c>
    </row>
    <row r="4" customFormat="false" ht="15" hidden="false" customHeight="true" outlineLevel="0" collapsed="false">
      <c r="A4" s="11" t="s">
        <v>412</v>
      </c>
      <c r="B4" s="4" t="str">
        <f aca="false">VLOOKUP($B$1,'PARASTATAL Questions'!$A:$J,4,0)&amp;""</f>
        <v>SQ</v>
      </c>
    </row>
    <row r="5" customFormat="false" ht="157.5" hidden="false" customHeight="true" outlineLevel="0" collapsed="false">
      <c r="A5" s="11" t="s">
        <v>0</v>
      </c>
      <c r="B5" s="4" t="str">
        <f aca="false">VLOOKUP($B$1,'PARASTATAL Questions'!$A:$J,5,0)&amp;""</f>
        <v>Is the parastatal's territorial/geographic jurisdiction clearly and specifically defined in its enabling legal framework?</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Institutional Design</v>
      </c>
    </row>
    <row r="8" customFormat="false" ht="45.75" hidden="false" customHeight="true" outlineLevel="0" collapsed="false">
      <c r="A8" s="11" t="s">
        <v>447</v>
      </c>
      <c r="B8" s="4" t="str">
        <f aca="false">VLOOKUP($B$1,'PARASTATAL Questions'!$A:$J,8,0)&amp;""</f>
        <v>Common — all parastatal types.</v>
      </c>
    </row>
    <row r="9" customFormat="false" ht="863.25" hidden="false" customHeight="true" outlineLevel="0" collapsed="false">
      <c r="A9" s="11" t="s">
        <v>448</v>
      </c>
      <c r="B9" s="4" t="str">
        <f aca="false">VLOOKUP($B$1,'PARASTATAL Questions'!$A:$J,9,0)&amp;""</f>
        <v>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v>
      </c>
    </row>
    <row r="10" customFormat="false" ht="57" hidden="false" customHeight="true" outlineLevel="0" collapsed="false">
      <c r="A10" s="11" t="s">
        <v>449</v>
      </c>
      <c r="B10" s="4" t="str">
        <f aca="false">VLOOKUP($B$1,'PARASTATAL Questions'!$A:$J,10,0)&amp;""</f>
        <v>Enabling Act, 12th Schedule mapping exercise</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91.25" hidden="false" customHeight="true" outlineLevel="0" collapsed="false">
      <c r="A13" s="9" t="s">
        <v>19</v>
      </c>
      <c r="B13" s="9" t="s">
        <v>635</v>
      </c>
      <c r="C13" s="9" t="s">
        <v>705</v>
      </c>
      <c r="D13" s="9" t="s">
        <v>744</v>
      </c>
      <c r="E13" s="9" t="s">
        <v>745</v>
      </c>
      <c r="F13" s="9" t="s">
        <v>746</v>
      </c>
      <c r="G13" s="9" t="s">
        <v>747</v>
      </c>
      <c r="H13" s="9" t="s">
        <v>710</v>
      </c>
      <c r="I13" s="16" t="n">
        <v>2.5</v>
      </c>
      <c r="J13" s="9" t="n">
        <f aca="false">IF(COUNTIFS('Scores (start here)'!$A:$A,$B$1,'Scores (start here)'!$B:$B,$A13,'Scores (start here)'!$F:$F,"&gt;=0")&gt;0,SUMIFS('Scores (start here)'!$F:$F,'Scores (start here)'!$A:$A,$B$1,'Scores (start here)'!$B:$B,$A13),L13)</f>
        <v>2.5</v>
      </c>
      <c r="K13" s="13" t="s">
        <v>692</v>
      </c>
      <c r="L13" s="9" t="n">
        <f aca="false">IF($B13="NO","NA",IF(I13="","",MIN(I13,$B$6)))</f>
        <v>2.5</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748</v>
      </c>
      <c r="L14" s="9" t="str">
        <f aca="false">IF($B14="NO","NA",IF(I14="","",MIN(I14,$B$6)))</f>
        <v/>
      </c>
    </row>
    <row r="15" customFormat="false" ht="213.75" hidden="false" customHeight="true" outlineLevel="0" collapsed="false">
      <c r="A15" s="9" t="s">
        <v>36</v>
      </c>
      <c r="B15" s="9" t="s">
        <v>635</v>
      </c>
      <c r="C15" s="9" t="s">
        <v>38</v>
      </c>
      <c r="D15" s="9" t="s">
        <v>744</v>
      </c>
      <c r="E15" s="9" t="s">
        <v>749</v>
      </c>
      <c r="F15" s="9" t="s">
        <v>750</v>
      </c>
      <c r="G15" s="9" t="s">
        <v>654</v>
      </c>
      <c r="H15" s="9" t="s">
        <v>39</v>
      </c>
      <c r="I15" s="16" t="n">
        <v>2.5</v>
      </c>
      <c r="J15" s="9" t="n">
        <f aca="false">IF(COUNTIFS('Scores (start here)'!$A:$A,$B$1,'Scores (start here)'!$B:$B,$A15,'Scores (start here)'!$F:$F,"&gt;=0")&gt;0,SUMIFS('Scores (start here)'!$F:$F,'Scores (start here)'!$A:$A,$B$1,'Scores (start here)'!$B:$B,$A15),L15)</f>
        <v>2.5</v>
      </c>
      <c r="K15" s="13" t="s">
        <v>751</v>
      </c>
      <c r="L15" s="9" t="n">
        <f aca="false">IF($B15="NO","NA",IF(I15="","",MIN(I15,$B$6)))</f>
        <v>2.5</v>
      </c>
    </row>
    <row r="16" customFormat="false" ht="15" hidden="false" customHeight="true" outlineLevel="0" collapsed="false">
      <c r="A16" s="9" t="s">
        <v>42</v>
      </c>
      <c r="B16" s="9" t="s">
        <v>635</v>
      </c>
      <c r="C16" s="9" t="s">
        <v>752</v>
      </c>
      <c r="D16" s="9" t="s">
        <v>744</v>
      </c>
      <c r="E16" s="9" t="s">
        <v>753</v>
      </c>
      <c r="F16" s="9" t="s">
        <v>754</v>
      </c>
      <c r="G16" s="9" t="s">
        <v>21</v>
      </c>
      <c r="H16" s="9" t="s">
        <v>755</v>
      </c>
      <c r="I16" s="16" t="n">
        <v>2.5</v>
      </c>
      <c r="J16" s="9" t="n">
        <f aca="false">IF(COUNTIFS('Scores (start here)'!$A:$A,$B$1,'Scores (start here)'!$B:$B,$A16,'Scores (start here)'!$F:$F,"&gt;=0")&gt;0,SUMIFS('Scores (start here)'!$F:$F,'Scores (start here)'!$A:$A,$B$1,'Scores (start here)'!$B:$B,$A16),L16)</f>
        <v>2.5</v>
      </c>
      <c r="K16" s="13" t="s">
        <v>756</v>
      </c>
      <c r="L16" s="9" t="n">
        <f aca="false">IF($B16="NO","NA",IF(I16="","",MIN(I16,$B$6)))</f>
        <v>2.5</v>
      </c>
    </row>
    <row r="17" customFormat="false" ht="45.75" hidden="false" customHeight="true" outlineLevel="0" collapsed="false">
      <c r="A17" s="9" t="s">
        <v>47</v>
      </c>
      <c r="B17" s="9" t="s">
        <v>635</v>
      </c>
      <c r="C17" s="9" t="s">
        <v>656</v>
      </c>
      <c r="D17" s="9" t="s">
        <v>744</v>
      </c>
      <c r="E17" s="9" t="s">
        <v>757</v>
      </c>
      <c r="F17" s="9" t="s">
        <v>758</v>
      </c>
      <c r="G17" s="9" t="s">
        <v>21</v>
      </c>
      <c r="H17" s="9" t="s">
        <v>660</v>
      </c>
      <c r="I17" s="16" t="n">
        <v>5</v>
      </c>
      <c r="J17" s="9" t="n">
        <f aca="false">IF(COUNTIFS('Scores (start here)'!$A:$A,$B$1,'Scores (start here)'!$B:$B,$A17,'Scores (start here)'!$F:$F,"&gt;=0")&gt;0,SUMIFS('Scores (start here)'!$F:$F,'Scores (start here)'!$A:$A,$B$1,'Scores (start here)'!$B:$B,$A17),L17)</f>
        <v>5</v>
      </c>
      <c r="K17" s="13" t="s">
        <v>661</v>
      </c>
      <c r="L17" s="9" t="n">
        <f aca="false">IF($B17="NO","NA",IF(I17="","",MIN(I17,$B$6)))</f>
        <v>5</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150</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2a</v>
      </c>
    </row>
    <row r="4" customFormat="false" ht="15" hidden="false" customHeight="true" outlineLevel="0" collapsed="false">
      <c r="A4" s="11" t="s">
        <v>412</v>
      </c>
      <c r="B4" s="4" t="str">
        <f aca="false">VLOOKUP($B$1,'PARASTATAL Questions'!$A:$J,4,0)&amp;""</f>
        <v>SQ</v>
      </c>
    </row>
    <row r="5" customFormat="false" ht="90.75" hidden="false" customHeight="true" outlineLevel="0" collapsed="false">
      <c r="A5" s="11" t="s">
        <v>0</v>
      </c>
      <c r="B5" s="4" t="str">
        <f aca="false">VLOOKUP($B$1,'PARASTATAL Questions'!$A:$J,5,0)&amp;""</f>
        <v>Does the ULG have representation on the parastatal's governing board?</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Institutional Design</v>
      </c>
    </row>
    <row r="8" customFormat="false" ht="45.75" hidden="false" customHeight="true" outlineLevel="0" collapsed="false">
      <c r="A8" s="11" t="s">
        <v>447</v>
      </c>
      <c r="B8" s="4" t="str">
        <f aca="false">VLOOKUP($B$1,'PARASTATAL Questions'!$A:$J,8,0)&amp;""</f>
        <v>Common — all parastatal types.</v>
      </c>
    </row>
    <row r="9" customFormat="false" ht="303" hidden="false" customHeight="true" outlineLevel="0" collapsed="false">
      <c r="A9" s="11" t="s">
        <v>448</v>
      </c>
      <c r="B9" s="4" t="str">
        <f aca="false">VLOOKUP($B$1,'PARASTATAL Questions'!$A:$J,9,0)&amp;""</f>
        <v>Review the relevant Parastatal Act and Municipal Act for composition.Score 5 if ULG-elected representatives sit on the board with voting rights. Score 2.5 if represented without voting rights or only as invitees. Score 0 if no representation.</v>
      </c>
    </row>
    <row r="10" customFormat="false" ht="102" hidden="false" customHeight="true" outlineLevel="0" collapsed="false">
      <c r="A10" s="11" t="s">
        <v>449</v>
      </c>
      <c r="B10" s="4" t="str">
        <f aca="false">VLOOKUP($B$1,'PARASTATAL Questions'!$A:$J,10,0)&amp;""</f>
        <v>Composition clause of enabling Act; current board member list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236.25" hidden="false" customHeight="true" outlineLevel="0" collapsed="false">
      <c r="A13" s="9" t="s">
        <v>19</v>
      </c>
      <c r="B13" s="9" t="s">
        <v>635</v>
      </c>
      <c r="C13" s="9" t="s">
        <v>705</v>
      </c>
      <c r="D13" s="9" t="s">
        <v>759</v>
      </c>
      <c r="E13" s="9" t="s">
        <v>760</v>
      </c>
      <c r="F13" s="9" t="s">
        <v>761</v>
      </c>
      <c r="G13" s="9" t="s">
        <v>175</v>
      </c>
      <c r="H13" s="9" t="s">
        <v>710</v>
      </c>
      <c r="I13" s="16" t="n">
        <v>0</v>
      </c>
      <c r="J13" s="9" t="n">
        <f aca="false">IF(COUNTIFS('Scores (start here)'!$A:$A,$B$1,'Scores (start here)'!$B:$B,$A13,'Scores (start here)'!$F:$F,"&gt;=0")&gt;0,SUMIFS('Scores (start here)'!$F:$F,'Scores (start here)'!$A:$A,$B$1,'Scores (start here)'!$B:$B,$A13),L13)</f>
        <v>0</v>
      </c>
      <c r="K13" s="13" t="s">
        <v>692</v>
      </c>
      <c r="L13" s="9" t="n">
        <f aca="false">IF($B13="NO","NA",IF(I13="","",MIN(I13,$B$6)))</f>
        <v>0</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762</v>
      </c>
      <c r="L14" s="9" t="str">
        <f aca="false">IF($B14="NO","NA",IF(I14="","",MIN(I14,$B$6)))</f>
        <v/>
      </c>
    </row>
    <row r="15" customFormat="false" ht="202.5" hidden="false" customHeight="true" outlineLevel="0" collapsed="false">
      <c r="A15" s="9" t="s">
        <v>36</v>
      </c>
      <c r="B15" s="9" t="s">
        <v>635</v>
      </c>
      <c r="C15" s="9" t="s">
        <v>38</v>
      </c>
      <c r="D15" s="9" t="s">
        <v>763</v>
      </c>
      <c r="E15" s="9" t="s">
        <v>764</v>
      </c>
      <c r="F15" s="9" t="s">
        <v>765</v>
      </c>
      <c r="G15" s="9" t="s">
        <v>644</v>
      </c>
      <c r="H15" s="9" t="s">
        <v>39</v>
      </c>
      <c r="I15" s="16" t="n">
        <v>5</v>
      </c>
      <c r="J15" s="9" t="n">
        <f aca="false">IF(COUNTIFS('Scores (start here)'!$A:$A,$B$1,'Scores (start here)'!$B:$B,$A15,'Scores (start here)'!$F:$F,"&gt;=0")&gt;0,SUMIFS('Scores (start here)'!$F:$F,'Scores (start here)'!$A:$A,$B$1,'Scores (start here)'!$B:$B,$A15),L15)</f>
        <v>5</v>
      </c>
      <c r="K15" s="13" t="s">
        <v>766</v>
      </c>
      <c r="L15" s="9" t="n">
        <f aca="false">IF($B15="NO","NA",IF(I15="","",MIN(I15,$B$6)))</f>
        <v>5</v>
      </c>
    </row>
    <row r="16" customFormat="false" ht="57" hidden="false" customHeight="true" outlineLevel="0" collapsed="false">
      <c r="A16" s="9" t="s">
        <v>42</v>
      </c>
      <c r="B16" s="9" t="s">
        <v>635</v>
      </c>
      <c r="C16" s="9" t="s">
        <v>158</v>
      </c>
      <c r="D16" s="9" t="s">
        <v>767</v>
      </c>
      <c r="E16" s="9" t="s">
        <v>768</v>
      </c>
      <c r="F16" s="9" t="s">
        <v>769</v>
      </c>
      <c r="G16" s="9" t="s">
        <v>770</v>
      </c>
      <c r="H16" s="9" t="s">
        <v>159</v>
      </c>
      <c r="I16" s="16" t="n">
        <v>0</v>
      </c>
      <c r="J16" s="9" t="n">
        <f aca="false">IF(COUNTIFS('Scores (start here)'!$A:$A,$B$1,'Scores (start here)'!$B:$B,$A16,'Scores (start here)'!$F:$F,"&gt;=0")&gt;0,SUMIFS('Scores (start here)'!$F:$F,'Scores (start here)'!$A:$A,$B$1,'Scores (start here)'!$B:$B,$A16),L16)</f>
        <v>0</v>
      </c>
      <c r="K16" s="13" t="s">
        <v>771</v>
      </c>
      <c r="L16" s="9" t="n">
        <f aca="false">IF($B16="NO","NA",IF(I16="","",MIN(I16,$B$6)))</f>
        <v>0</v>
      </c>
    </row>
    <row r="17" customFormat="false" ht="45.75" hidden="false" customHeight="true" outlineLevel="0" collapsed="false">
      <c r="A17" s="9" t="s">
        <v>47</v>
      </c>
      <c r="B17" s="9" t="s">
        <v>635</v>
      </c>
      <c r="C17" s="9" t="s">
        <v>656</v>
      </c>
      <c r="D17" s="9" t="s">
        <v>772</v>
      </c>
      <c r="E17" s="9" t="s">
        <v>773</v>
      </c>
      <c r="F17" s="9" t="s">
        <v>774</v>
      </c>
      <c r="G17" s="9" t="s">
        <v>775</v>
      </c>
      <c r="H17" s="9" t="s">
        <v>660</v>
      </c>
      <c r="I17" s="16" t="n">
        <v>5</v>
      </c>
      <c r="J17" s="9" t="n">
        <f aca="false">IF(COUNTIFS('Scores (start here)'!$A:$A,$B$1,'Scores (start here)'!$B:$B,$A17,'Scores (start here)'!$F:$F,"&gt;=0")&gt;0,SUMIFS('Scores (start here)'!$F:$F,'Scores (start here)'!$A:$A,$B$1,'Scores (start here)'!$B:$B,$A17),L17)</f>
        <v>5</v>
      </c>
      <c r="K17" s="13" t="s">
        <v>661</v>
      </c>
      <c r="L17" s="9" t="n">
        <f aca="false">IF($B17="NO","NA",IF(I17="","",MIN(I17,$B$6)))</f>
        <v>5</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163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DPG-2b</v>
      </c>
    </row>
    <row r="4" customFormat="false" ht="15" hidden="false" customHeight="true" outlineLevel="0" collapsed="false">
      <c r="A4" s="11" t="s">
        <v>412</v>
      </c>
      <c r="B4" s="4" t="str">
        <f aca="false">VLOOKUP($B$1,'PARASTATAL Questions'!$A:$J,4,0)&amp;""</f>
        <v>SQ</v>
      </c>
    </row>
    <row r="5" customFormat="false" ht="113.25" hidden="false" customHeight="true" outlineLevel="0" collapsed="false">
      <c r="A5" s="11" t="s">
        <v>0</v>
      </c>
      <c r="B5" s="4" t="str">
        <f aca="false">VLOOKUP($B$1,'PARASTATAL Questions'!$A:$J,5,0)&amp;""</f>
        <v>Is the parastatal mandated to submit its plans, budgets or reports to the ULG/council?</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45.75" hidden="false" customHeight="true" outlineLevel="0" collapsed="false">
      <c r="A8" s="11" t="s">
        <v>447</v>
      </c>
      <c r="B8" s="4" t="str">
        <f aca="false">VLOOKUP($B$1,'PARASTATAL Questions'!$A:$J,8,0)&amp;""</f>
        <v>Common — all parastatal types.</v>
      </c>
    </row>
    <row r="9" customFormat="false" ht="1053" hidden="false" customHeight="true" outlineLevel="0" collapsed="false">
      <c r="A9" s="11" t="s">
        <v>448</v>
      </c>
      <c r="B9" s="4" t="str">
        <f aca="false">VLOOKUP($B$1,'PARASTATAL Questions'!$A:$J,9,0)&amp;""</f>
        <v>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each.Award 1.67 points each where:1. plans are required to be submitted/tabled;2. budgets are required to be submitted/tabled; and3. annual/performance reports are required to be submitted/tabled.Score 0 for each component where no such requirement exists. Where all three are provided for, award the full score of 5.Record the relevant provision and the documents covered in the evidence column. Submission only to the State Government or another authority should not be counted as submission to the ULG/council.</v>
      </c>
    </row>
    <row r="10" customFormat="false" ht="135.75" hidden="false" customHeight="true" outlineLevel="0" collapsed="false">
      <c r="A10" s="11" t="s">
        <v>449</v>
      </c>
      <c r="B10" s="4" t="str">
        <f aca="false">VLOOKUP($B$1,'PARASTATAL Questions'!$A:$J,10,0)&amp;""</f>
        <v>Plan/Budget preparation/Annual report preparation clause of the enabling Act of the relevant parastatal</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68.75" hidden="false" customHeight="true" outlineLevel="0" collapsed="false">
      <c r="A13" s="9" t="s">
        <v>19</v>
      </c>
      <c r="B13" s="9" t="s">
        <v>635</v>
      </c>
      <c r="C13" s="9" t="s">
        <v>705</v>
      </c>
      <c r="D13" s="9" t="s">
        <v>776</v>
      </c>
      <c r="E13" s="9" t="s">
        <v>777</v>
      </c>
      <c r="F13" s="9" t="s">
        <v>778</v>
      </c>
      <c r="G13" s="9" t="s">
        <v>742</v>
      </c>
      <c r="H13" s="9" t="s">
        <v>710</v>
      </c>
      <c r="I13" s="16" t="n">
        <v>0</v>
      </c>
      <c r="J13" s="9" t="n">
        <f aca="false">IF(COUNTIFS('Scores (start here)'!$A:$A,$B$1,'Scores (start here)'!$B:$B,$A13,'Scores (start here)'!$F:$F,"&gt;=0")&gt;0,SUMIFS('Scores (start here)'!$F:$F,'Scores (start here)'!$A:$A,$B$1,'Scores (start here)'!$B:$B,$A13),L13)</f>
        <v>0</v>
      </c>
      <c r="K13" s="13" t="s">
        <v>692</v>
      </c>
      <c r="L13" s="9" t="n">
        <f aca="false">IF($B13="NO","NA",IF(I13="","",MIN(I13,$B$6)))</f>
        <v>0</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779</v>
      </c>
      <c r="L14" s="9" t="str">
        <f aca="false">IF($B14="NO","NA",IF(I14="","",MIN(I14,$B$6)))</f>
        <v/>
      </c>
    </row>
    <row r="15" customFormat="false" ht="15" hidden="false" customHeight="true" outlineLevel="0" collapsed="false">
      <c r="A15" s="9" t="s">
        <v>36</v>
      </c>
      <c r="B15" s="9" t="s">
        <v>635</v>
      </c>
      <c r="C15" s="9" t="s">
        <v>38</v>
      </c>
      <c r="D15" s="9" t="s">
        <v>780</v>
      </c>
      <c r="E15" s="9" t="s">
        <v>781</v>
      </c>
      <c r="F15" s="9" t="s">
        <v>782</v>
      </c>
      <c r="G15" s="9" t="s">
        <v>649</v>
      </c>
      <c r="H15" s="9" t="s">
        <v>39</v>
      </c>
      <c r="I15" s="16" t="n">
        <v>0</v>
      </c>
      <c r="J15" s="9" t="n">
        <f aca="false">IF(COUNTIFS('Scores (start here)'!$A:$A,$B$1,'Scores (start here)'!$B:$B,$A15,'Scores (start here)'!$F:$F,"&gt;=0")&gt;0,SUMIFS('Scores (start here)'!$F:$F,'Scores (start here)'!$A:$A,$B$1,'Scores (start here)'!$B:$B,$A15),L15)</f>
        <v>0</v>
      </c>
      <c r="K15" s="13" t="s">
        <v>783</v>
      </c>
      <c r="L15" s="9" t="n">
        <f aca="false">IF($B15="NO","NA",IF(I15="","",MIN(I15,$B$6)))</f>
        <v>0</v>
      </c>
    </row>
    <row r="16" customFormat="false" ht="157.5" hidden="false" customHeight="true" outlineLevel="0" collapsed="false">
      <c r="A16" s="9" t="s">
        <v>42</v>
      </c>
      <c r="B16" s="9" t="s">
        <v>635</v>
      </c>
      <c r="C16" s="9" t="s">
        <v>44</v>
      </c>
      <c r="D16" s="9" t="s">
        <v>784</v>
      </c>
      <c r="E16" s="9" t="s">
        <v>785</v>
      </c>
      <c r="F16" s="9" t="s">
        <v>786</v>
      </c>
      <c r="G16" s="9" t="s">
        <v>787</v>
      </c>
      <c r="H16" s="9" t="s">
        <v>26</v>
      </c>
      <c r="I16" s="16" t="n">
        <v>0</v>
      </c>
      <c r="J16" s="9" t="n">
        <f aca="false">IF(COUNTIFS('Scores (start here)'!$A:$A,$B$1,'Scores (start here)'!$B:$B,$A16,'Scores (start here)'!$F:$F,"&gt;=0")&gt;0,SUMIFS('Scores (start here)'!$F:$F,'Scores (start here)'!$A:$A,$B$1,'Scores (start here)'!$B:$B,$A16),L16)</f>
        <v>0</v>
      </c>
      <c r="K16" s="13" t="s">
        <v>788</v>
      </c>
      <c r="L16" s="9" t="n">
        <f aca="false">IF($B16="NO","NA",IF(I16="","",MIN(I16,$B$6)))</f>
        <v>0</v>
      </c>
    </row>
    <row r="17" customFormat="false" ht="15" hidden="false" customHeight="true" outlineLevel="0" collapsed="false">
      <c r="A17" s="9" t="s">
        <v>47</v>
      </c>
      <c r="B17" s="9" t="s">
        <v>635</v>
      </c>
      <c r="C17" s="9" t="s">
        <v>656</v>
      </c>
      <c r="D17" s="9" t="s">
        <v>789</v>
      </c>
      <c r="E17" s="9" t="s">
        <v>790</v>
      </c>
      <c r="F17" s="9" t="s">
        <v>791</v>
      </c>
      <c r="G17" s="9" t="s">
        <v>792</v>
      </c>
      <c r="H17" s="9" t="s">
        <v>660</v>
      </c>
      <c r="I17" s="16" t="n">
        <v>0</v>
      </c>
      <c r="J17" s="9" t="n">
        <f aca="false">IF(COUNTIFS('Scores (start here)'!$A:$A,$B$1,'Scores (start here)'!$B:$B,$A17,'Scores (start here)'!$F:$F,"&gt;=0")&gt;0,SUMIFS('Scores (start here)'!$F:$F,'Scores (start here)'!$A:$A,$B$1,'Scores (start here)'!$B:$B,$A17),L17)</f>
        <v>0</v>
      </c>
      <c r="K17" s="13" t="s">
        <v>661</v>
      </c>
      <c r="L17" s="9" t="n">
        <f aca="false">IF($B17="NO","NA",IF(I17="","",MIN(I17,$B$6)))</f>
        <v>0</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173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4</v>
      </c>
    </row>
    <row r="4" customFormat="false" ht="15" hidden="false" customHeight="true" outlineLevel="0" collapsed="false">
      <c r="A4" s="11" t="s">
        <v>412</v>
      </c>
      <c r="B4" s="4" t="str">
        <f aca="false">VLOOKUP($B$1,'PARASTATAL Questions'!$A:$J,4,0)&amp;""</f>
        <v>MQ</v>
      </c>
    </row>
    <row r="5" customFormat="false" ht="79.5" hidden="false" customHeight="true" outlineLevel="0" collapsed="false">
      <c r="A5" s="11" t="s">
        <v>0</v>
      </c>
      <c r="B5" s="4" t="str">
        <f aca="false">VLOOKUP($B$1,'PARASTATAL Questions'!$A:$J,5,0)&amp;""</f>
        <v>Does the parastatal maintain an active and functional website?</v>
      </c>
    </row>
    <row r="6" customFormat="false" ht="15" hidden="false" customHeight="true" outlineLevel="0" collapsed="false">
      <c r="A6" s="11" t="s">
        <v>414</v>
      </c>
      <c r="B6" s="4" t="n">
        <f aca="false">VLOOKUP($B$1,'PARASTATAL Questions'!$A:$J,6,0)</f>
        <v>10</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572.25" hidden="false" customHeight="true" outlineLevel="0" collapsed="false">
      <c r="A9" s="11" t="s">
        <v>448</v>
      </c>
      <c r="B9" s="4" t="str">
        <f aca="false">VLOOKUP($B$1,'PARASTATAL Questions'!$A:$J,9,0)&amp;""</f>
        <v>Check the official website of the relevant parastatal.Score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v>
      </c>
    </row>
    <row r="10" customFormat="false" ht="135.75" hidden="false" customHeight="true" outlineLevel="0" collapsed="false">
      <c r="A10" s="11" t="s">
        <v>449</v>
      </c>
      <c r="B10" s="4" t="str">
        <f aca="false">VLOOKUP($B$1,'PARASTATAL Questions'!$A:$J,10,0)&amp;""</f>
        <v>Live URL, screenshot/web-archive capture, date of check of the website of the relevant parastatal</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C13" s="9" t="s">
        <v>177</v>
      </c>
      <c r="D13" s="0" t="s">
        <v>794</v>
      </c>
      <c r="E13" s="0" t="s">
        <v>795</v>
      </c>
      <c r="F13" s="0" t="s">
        <v>796</v>
      </c>
      <c r="H13" s="9" t="s">
        <v>178</v>
      </c>
      <c r="I13" s="16"/>
      <c r="J13" s="9" t="str">
        <f aca="false">IF(COUNTIFS('Scores (start here)'!$A:$A,$B$1,'Scores (start here)'!$B:$B,$A13,'Scores (start here)'!$F:$F,"&gt;=0")&gt;0,SUMIFS('Scores (start here)'!$F:$F,'Scores (start here)'!$A:$A,$B$1,'Scores (start here)'!$B:$B,$A13),L13)</f>
        <v/>
      </c>
      <c r="K13" s="13" t="s">
        <v>797</v>
      </c>
      <c r="L13" s="9" t="str">
        <f aca="false">IF($B13="NO","NA",IF(I13="","",MIN(I13,$B$6)))</f>
        <v/>
      </c>
    </row>
    <row r="14" customFormat="false" ht="15" hidden="false" customHeight="true" outlineLevel="0" collapsed="false">
      <c r="A14" s="9" t="s">
        <v>30</v>
      </c>
      <c r="B14" s="9" t="s">
        <v>635</v>
      </c>
      <c r="C14" s="9" t="s">
        <v>182</v>
      </c>
      <c r="D14" s="0" t="s">
        <v>798</v>
      </c>
      <c r="E14" s="0" t="s">
        <v>799</v>
      </c>
      <c r="F14" s="0" t="s">
        <v>800</v>
      </c>
      <c r="H14" s="9" t="s">
        <v>183</v>
      </c>
      <c r="I14" s="16" t="n">
        <v>10</v>
      </c>
      <c r="J14" s="9" t="n">
        <f aca="false">IF(COUNTIFS('Scores (start here)'!$A:$A,$B$1,'Scores (start here)'!$B:$B,$A14,'Scores (start here)'!$F:$F,"&gt;=0")&gt;0,SUMIFS('Scores (start here)'!$F:$F,'Scores (start here)'!$A:$A,$B$1,'Scores (start here)'!$B:$B,$A14),L14)</f>
        <v>10</v>
      </c>
      <c r="K14" s="13" t="s">
        <v>801</v>
      </c>
      <c r="L14" s="9" t="n">
        <f aca="false">IF($B14="NO","NA",IF(I14="","",MIN(I14,$B$6)))</f>
        <v>10</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802</v>
      </c>
      <c r="L15" s="9" t="str">
        <f aca="false">IF($B15="NO","NA",IF(I15="","",MIN(I15,$B$6)))</f>
        <v/>
      </c>
    </row>
    <row r="16" customFormat="false" ht="15" hidden="false" customHeight="true" outlineLevel="0" collapsed="false">
      <c r="A16" s="9" t="s">
        <v>42</v>
      </c>
      <c r="B16" s="9" t="s">
        <v>635</v>
      </c>
      <c r="C16" s="9" t="s">
        <v>158</v>
      </c>
      <c r="D16" s="9" t="s">
        <v>803</v>
      </c>
      <c r="E16" s="9" t="s">
        <v>804</v>
      </c>
      <c r="F16" s="9" t="s">
        <v>805</v>
      </c>
      <c r="G16" s="9" t="s">
        <v>806</v>
      </c>
      <c r="H16" s="9" t="s">
        <v>159</v>
      </c>
      <c r="I16" s="16"/>
      <c r="J16" s="9" t="str">
        <f aca="false">IF(COUNTIFS('Scores (start here)'!$A:$A,$B$1,'Scores (start here)'!$B:$B,$A16,'Scores (start here)'!$F:$F,"&gt;=0")&gt;0,SUMIFS('Scores (start here)'!$F:$F,'Scores (start here)'!$A:$A,$B$1,'Scores (start here)'!$B:$B,$A16),L16)</f>
        <v/>
      </c>
      <c r="K16" s="13" t="s">
        <v>807</v>
      </c>
      <c r="L16" s="9" t="str">
        <f aca="false">IF($B16="NO","NA",IF(I16="","",MIN(I16,$B$6)))</f>
        <v/>
      </c>
    </row>
    <row r="17" customFormat="false" ht="232.5" hidden="false" customHeight="true" outlineLevel="0" collapsed="false">
      <c r="A17" s="9" t="s">
        <v>47</v>
      </c>
      <c r="B17" s="9" t="s">
        <v>635</v>
      </c>
      <c r="C17" s="19" t="s">
        <v>191</v>
      </c>
      <c r="D17" s="9" t="s">
        <v>808</v>
      </c>
      <c r="E17" s="9" t="s">
        <v>809</v>
      </c>
      <c r="F17" s="0" t="s">
        <v>810</v>
      </c>
      <c r="H17" s="9" t="s">
        <v>192</v>
      </c>
      <c r="I17" s="16" t="n">
        <v>10</v>
      </c>
      <c r="J17" s="9" t="n">
        <f aca="false">IF(COUNTIFS('Scores (start here)'!$A:$A,$B$1,'Scores (start here)'!$B:$B,$A17,'Scores (start here)'!$F:$F,"&gt;=0")&gt;0,SUMIFS('Scores (start here)'!$F:$F,'Scores (start here)'!$A:$A,$B$1,'Scores (start here)'!$B:$B,$A17),L17)</f>
        <v>10</v>
      </c>
      <c r="K17" s="13" t="s">
        <v>811</v>
      </c>
      <c r="L17" s="9" t="n">
        <f aca="false">IF($B17="NO","NA",IF(I17="","",MIN(I17,$B$6)))</f>
        <v>10</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195</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DPG5a</v>
      </c>
    </row>
    <row r="4" customFormat="false" ht="15" hidden="false" customHeight="true" outlineLevel="0" collapsed="false">
      <c r="A4" s="11" t="s">
        <v>412</v>
      </c>
      <c r="B4" s="4" t="str">
        <f aca="false">VLOOKUP($B$1,'PARASTATAL Questions'!$A:$J,4,0)&amp;""</f>
        <v>SQ</v>
      </c>
    </row>
    <row r="5" customFormat="false" ht="23.25" hidden="false" customHeight="true" outlineLevel="0" collapsed="false">
      <c r="A5" s="11" t="s">
        <v>0</v>
      </c>
      <c r="B5" s="4" t="str">
        <f aca="false">VLOOKUP($B$1,'PARASTATAL Questions'!$A:$J,5,0)&amp;""</f>
        <v>Annual budget</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829.5" hidden="false" customHeight="true" outlineLevel="0" collapsed="false">
      <c r="A9" s="11" t="s">
        <v>448</v>
      </c>
      <c r="B9" s="4" t="str">
        <f aca="false">VLOOKUP($B$1,'PARASTATAL Questions'!$A:$J,9,0)&amp;""</f>
        <v>Availability and currency — 0.50.5: Budget for the current FY or immediately preceding FY is publicly available online0: Budget cannot be found/accessed online or is older than the permitted period.Record the FY/year/date of the latest information found in a separate evidence field even where the score is 0. Minimum format/accessibility — 0.50.5: Budget data available in a structured, machine-readable/reusable format (XLS/XLSX, CSV, ODS, structured HTML table, downloadable structured dataset)0: Budget data is available but does not meet that standard (Scanned PDF/image; PDF containing only tables that cannot be readily extracted/reused)</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813</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814</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815</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816</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817</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203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5b</v>
      </c>
    </row>
    <row r="4" customFormat="false" ht="15" hidden="false" customHeight="true" outlineLevel="0" collapsed="false">
      <c r="A4" s="11" t="s">
        <v>412</v>
      </c>
      <c r="B4" s="4" t="str">
        <f aca="false">VLOOKUP($B$1,'PARASTATAL Questions'!$A:$J,4,0)&amp;""</f>
        <v>SQ</v>
      </c>
    </row>
    <row r="5" customFormat="false" ht="34.5" hidden="false" customHeight="true" outlineLevel="0" collapsed="false">
      <c r="A5" s="11" t="s">
        <v>0</v>
      </c>
      <c r="B5" s="4" t="str">
        <f aca="false">VLOOKUP($B$1,'PARASTATAL Questions'!$A:$J,5,0)&amp;""</f>
        <v>Audited annual accounts</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1086.75" hidden="false" customHeight="true" outlineLevel="0" collapsed="false">
      <c r="A9" s="11" t="s">
        <v>448</v>
      </c>
      <c r="B9" s="4" t="str">
        <f aca="false">VLOOKUP($B$1,'PARASTATAL Questions'!$A:$J,9,0)&amp;""</f>
        <v>Availability and currency — 0.5Score 0.5: Audited accounts for the immediately preceding FY, or the latest FY for which audited accounts are due, are publicly available online. Allow a one-FY lag where audit timelines make preceding-year accounts not yet due.Score 0: Audited accounts cannot be found/accessed online or is older than the permitted period.Record the FY/year/date of the latest information found in a separate evidence field even where the score is 0. Minimum format/accessibility — 0.5Score 0.5: Financial statements available in a structured, machine-readable/reusable format (XLS/XLSX, CSV, ODS, structured HTML table, downloadable structured dataset)Score 0: Financial statements is available but does not meet that standard (Scanned PDF/image; PDF containing only tables that cannot be readily extracted/reused)</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818</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819</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820</v>
      </c>
      <c r="L15" s="9" t="str">
        <f aca="false">IF($B15="NO","NA",IF(I15="","",MIN(I15,$B$6)))</f>
        <v/>
      </c>
    </row>
    <row r="16" customFormat="false" ht="15" hidden="false" customHeight="true" outlineLevel="0" collapsed="false">
      <c r="A16" s="9" t="s">
        <v>42</v>
      </c>
      <c r="B16" s="9" t="s">
        <v>635</v>
      </c>
      <c r="C16" s="9" t="s">
        <v>158</v>
      </c>
      <c r="D16" s="9" t="s">
        <v>821</v>
      </c>
      <c r="E16" s="9" t="s">
        <v>822</v>
      </c>
      <c r="F16" s="0" t="s">
        <v>823</v>
      </c>
      <c r="G16" s="9" t="s">
        <v>824</v>
      </c>
      <c r="H16" s="9" t="s">
        <v>159</v>
      </c>
      <c r="I16" s="16" t="n">
        <v>0</v>
      </c>
      <c r="J16" s="9" t="n">
        <f aca="false">IF(COUNTIFS('Scores (start here)'!$A:$A,$B$1,'Scores (start here)'!$B:$B,$A16,'Scores (start here)'!$F:$F,"&gt;=0")&gt;0,SUMIFS('Scores (start here)'!$F:$F,'Scores (start here)'!$A:$A,$B$1,'Scores (start here)'!$B:$B,$A16),L16)</f>
        <v>0</v>
      </c>
      <c r="K16" s="13" t="s">
        <v>825</v>
      </c>
      <c r="L16" s="9" t="n">
        <f aca="false">IF($B16="NO","NA",IF(I16="","",MIN(I16,$B$6)))</f>
        <v>0</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826</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214</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5c</v>
      </c>
    </row>
    <row r="4" customFormat="false" ht="15" hidden="false" customHeight="true" outlineLevel="0" collapsed="false">
      <c r="A4" s="11" t="s">
        <v>412</v>
      </c>
      <c r="B4" s="4" t="str">
        <f aca="false">VLOOKUP($B$1,'PARASTATAL Questions'!$A:$J,4,0)&amp;""</f>
        <v>SQ</v>
      </c>
    </row>
    <row r="5" customFormat="false" ht="23.25" hidden="false" customHeight="true" outlineLevel="0" collapsed="false">
      <c r="A5" s="11" t="s">
        <v>0</v>
      </c>
      <c r="B5" s="4" t="str">
        <f aca="false">VLOOKUP($B$1,'PARASTATAL Questions'!$A:$J,5,0)&amp;""</f>
        <v>Annual report</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907.5" hidden="false" customHeight="true" outlineLevel="0" collapsed="false">
      <c r="A9" s="11" t="s">
        <v>448</v>
      </c>
      <c r="B9" s="4" t="str">
        <f aca="false">VLOOKUP($B$1,'PARASTATAL Questions'!$A:$J,9,0)&amp;""</f>
        <v>Availability and currency — 0.5Score 0.5: Annual report for the immediately preceding FY, or latest report due, is publicly available online.Score 0: Annual report cannot be found/accessed online or is older than the permitted period.Record the FY/year/date of the latest information found in a separate evidence field even where the score is 0. Minimum format/accessibility — 0.5Score 0.5: Annual report available in a searchable/text-readable and downloadable document (Searchable PDF/PDF-A, HTML, DOC/DOCX, accessible e-publication)Score 0: Annual report is available but does not meet that standard (Scanned/image-only PDF; images of report pages)</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13" t="s">
        <v>827</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828</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829</v>
      </c>
      <c r="L15" s="9" t="str">
        <f aca="false">IF($B15="NO","NA",IF(I15="","",MIN(I15,$B$6)))</f>
        <v/>
      </c>
    </row>
    <row r="16" customFormat="false" ht="15" hidden="false" customHeight="true" outlineLevel="0" collapsed="false">
      <c r="A16" s="9" t="s">
        <v>42</v>
      </c>
      <c r="B16" s="9" t="s">
        <v>635</v>
      </c>
      <c r="C16" s="9" t="s">
        <v>158</v>
      </c>
      <c r="D16" s="0" t="s">
        <v>830</v>
      </c>
      <c r="E16" s="0" t="s">
        <v>831</v>
      </c>
      <c r="F16" s="0" t="s">
        <v>832</v>
      </c>
      <c r="G16" s="0" t="s">
        <v>833</v>
      </c>
      <c r="H16" s="9" t="s">
        <v>159</v>
      </c>
      <c r="I16" s="16"/>
      <c r="J16" s="9" t="str">
        <f aca="false">IF(COUNTIFS('Scores (start here)'!$A:$A,$B$1,'Scores (start here)'!$B:$B,$A16,'Scores (start here)'!$F:$F,"&gt;=0")&gt;0,SUMIFS('Scores (start here)'!$F:$F,'Scores (start here)'!$A:$A,$B$1,'Scores (start here)'!$B:$B,$A16),L16)</f>
        <v/>
      </c>
      <c r="K16" s="9" t="s">
        <v>834</v>
      </c>
      <c r="L16" s="9" t="str">
        <f aca="false">IF($B16="NO","NA",IF(I16="","",MIN(I16,$B$6)))</f>
        <v/>
      </c>
    </row>
    <row r="17" customFormat="false" ht="34.5" hidden="false" customHeight="true" outlineLevel="0" collapsed="false">
      <c r="A17" s="9" t="s">
        <v>47</v>
      </c>
      <c r="B17" s="9" t="s">
        <v>635</v>
      </c>
      <c r="C17" s="9" t="s">
        <v>191</v>
      </c>
      <c r="D17" s="9" t="s">
        <v>835</v>
      </c>
      <c r="E17" s="9" t="s">
        <v>836</v>
      </c>
      <c r="F17" s="9" t="s">
        <v>837</v>
      </c>
      <c r="H17" s="9" t="s">
        <v>192</v>
      </c>
      <c r="I17" s="16"/>
      <c r="J17" s="9" t="str">
        <f aca="false">IF(COUNTIFS('Scores (start here)'!$A:$A,$B$1,'Scores (start here)'!$B:$B,$A17,'Scores (start here)'!$F:$F,"&gt;=0")&gt;0,SUMIFS('Scores (start here)'!$F:$F,'Scores (start here)'!$A:$A,$B$1,'Scores (start here)'!$B:$B,$A17),L17)</f>
        <v/>
      </c>
      <c r="K17" s="13" t="s">
        <v>838</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225</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d</v>
      </c>
    </row>
    <row r="4" customFormat="false" ht="15" hidden="false" customHeight="true" outlineLevel="0" collapsed="false">
      <c r="A4" s="11" t="s">
        <v>412</v>
      </c>
      <c r="B4" s="4" t="str">
        <f aca="false">VLOOKUP($B$1,'PARASTATAL Questions'!$A:$J,4,0)&amp;""</f>
        <v>SQ</v>
      </c>
    </row>
    <row r="5" customFormat="false" ht="45.75" hidden="false" customHeight="true" outlineLevel="0" collapsed="false">
      <c r="A5" s="11" t="s">
        <v>0</v>
      </c>
      <c r="B5" s="4" t="str">
        <f aca="false">VLOOKUP($B$1,'PARASTATAL Questions'!$A:$J,5,0)&amp;""</f>
        <v>Meeting minutes of governing board</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840.75" hidden="false" customHeight="true" outlineLevel="0" collapsed="false">
      <c r="A9" s="11" t="s">
        <v>448</v>
      </c>
      <c r="B9" s="4" t="str">
        <f aca="false">VLOOKUP($B$1,'PARASTATAL Questions'!$A:$J,9,0)&amp;""</f>
        <v>Availability and currency — 0.5Score 0.5: At least one set of minutes from the current FY or immediately preceding FY is publicly available onlineScore 0: Meeting Minutes cannot be found/accessed online or is older than the permitted period.Record the FY/year/date of the latest information found in a separate evidence field even where the score is 0. Minimum format/accessibility — 0.5Score 0.5: Meeting Minutes available in a searchable/text-readable and downloadable document (Searchable PDF, HTML, DOC/DOCX)Score 0: Meeting Minutes is available but does not meet that standard (Scanned/image-only minutes; image gallery)</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839</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840</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841</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842</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843</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232</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f</v>
      </c>
    </row>
    <row r="4" customFormat="false" ht="15" hidden="false" customHeight="true" outlineLevel="0" collapsed="false">
      <c r="A4" s="11" t="s">
        <v>412</v>
      </c>
      <c r="B4" s="4" t="str">
        <f aca="false">VLOOKUP($B$1,'PARASTATAL Questions'!$A:$J,4,0)&amp;""</f>
        <v>SQ</v>
      </c>
    </row>
    <row r="5" customFormat="false" ht="57" hidden="false" customHeight="true" outlineLevel="0" collapsed="false">
      <c r="A5" s="11" t="s">
        <v>0</v>
      </c>
      <c r="B5" s="4" t="str">
        <f aca="false">VLOOKUP($B$1,'PARASTATAL Questions'!$A:$J,5,0)&amp;""</f>
        <v>Organisation and staffing information</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1098" hidden="false" customHeight="true" outlineLevel="0" collapsed="false">
      <c r="A9" s="11" t="s">
        <v>448</v>
      </c>
      <c r="B9" s="4" t="str">
        <f aca="false">VLOOKUP($B$1,'PARASTATAL Questions'!$A:$J,9,0)&amp;""</f>
        <v>Availability and currency — 0.5Score 0.5: Information reflects the current organisational structure, or has evidence of being updated in the current or immediately preceding FYScore 0: Current organisational structure cannot be found/accessed online or is older than the permitted period.Record the FY/year/date of the latest information found in a separate evidence field even where the score is 0. Minimum format/accessibility — 0.5Score 0.5: Current organisational structure available in as searchable webpage or searchable/downloadable document with identifiable posts/officials/structure (HTML organisation/staff directory; searchable PDF organisation chart; XLS/CSV staff-position information)Score 0: Current organisational structure is available but does not meet that standard (Image-only organisation chart; scanned list)</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844</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845</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846</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847</v>
      </c>
      <c r="L16" s="9" t="str">
        <f aca="false">IF($B16="NO","NA",IF(I16="","",MIN(I16,$B$6)))</f>
        <v/>
      </c>
    </row>
    <row r="17" customFormat="false" ht="191.25" hidden="false" customHeight="true" outlineLevel="0" collapsed="false">
      <c r="A17" s="9" t="s">
        <v>47</v>
      </c>
      <c r="B17" s="9" t="s">
        <v>635</v>
      </c>
      <c r="C17" s="9" t="s">
        <v>239</v>
      </c>
      <c r="D17" s="9" t="s">
        <v>848</v>
      </c>
      <c r="E17" s="9" t="s">
        <v>849</v>
      </c>
      <c r="H17" s="9" t="s">
        <v>240</v>
      </c>
      <c r="I17" s="16" t="n">
        <v>1</v>
      </c>
      <c r="J17" s="9" t="n">
        <f aca="false">IF(COUNTIFS('Scores (start here)'!$A:$A,$B$1,'Scores (start here)'!$B:$B,$A17,'Scores (start here)'!$F:$F,"&gt;=0")&gt;0,SUMIFS('Scores (start here)'!$F:$F,'Scores (start here)'!$A:$A,$B$1,'Scores (start here)'!$B:$B,$A17),L17)</f>
        <v>1</v>
      </c>
      <c r="K17" s="13" t="s">
        <v>850</v>
      </c>
      <c r="L17" s="9" t="n">
        <f aca="false">IF($B17="NO","NA",IF(I17="","",MIN(I17,$B$6)))</f>
        <v>1</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243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DPG5g</v>
      </c>
    </row>
    <row r="4" customFormat="false" ht="15" hidden="false" customHeight="true" outlineLevel="0" collapsed="false">
      <c r="A4" s="11" t="s">
        <v>412</v>
      </c>
      <c r="B4" s="4" t="str">
        <f aca="false">VLOOKUP($B$1,'PARASTATAL Questions'!$A:$J,4,0)&amp;""</f>
        <v>SQ</v>
      </c>
    </row>
    <row r="5" customFormat="false" ht="34.5" hidden="false" customHeight="true" outlineLevel="0" collapsed="false">
      <c r="A5" s="11" t="s">
        <v>0</v>
      </c>
      <c r="B5" s="4" t="str">
        <f aca="false">VLOOKUP($B$1,'PARASTATAL Questions'!$A:$J,5,0)&amp;""</f>
        <v>Major plans / projects</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1233" hidden="false" customHeight="true" outlineLevel="0" collapsed="false">
      <c r="A9" s="11" t="s">
        <v>448</v>
      </c>
      <c r="B9" s="4" t="str">
        <f aca="false">VLOOKUP($B$1,'PARASTATAL Questions'!$A:$J,9,0)&amp;""</f>
        <v>Availability and currency — 0.5Score 0.5: Major plans and/or information on ongoing projects is available and relates to the current FY or immediately preceding FY, as applicableScore 0: Major plans and/or information on ongoing projects cannot be found/accessed online or is older than the permitted period.Record the FY/year/date of the latest information found in a separate evidence field even where the score is 0. Minimum format/accessibility — 0.5Score 0.5: Major plans and/or information on ongoing projects available in the following manner- Plans: searchable/text-readable downloadable document. - Project information: searchable webpage/table or structured downloadable data (Searchable plan PDF; HTML project dashboard; XLS/CSV project list)Score 0: Major plans and/or information on ongoing projects is available but does not meet that standard (Scanned plan only; project information presented only as images)</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13" t="s">
        <v>851</v>
      </c>
      <c r="L13" s="9" t="str">
        <f aca="false">IF($B13="NO","NA",IF(I13="","",MIN(I13,$B$6)))</f>
        <v/>
      </c>
    </row>
    <row r="14" customFormat="false" ht="45.7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852</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853</v>
      </c>
      <c r="L15" s="9" t="str">
        <f aca="false">IF($B15="NO","NA",IF(I15="","",MIN(I15,$B$6)))</f>
        <v/>
      </c>
    </row>
    <row r="16" customFormat="false" ht="57" hidden="false" customHeight="true" outlineLevel="0" collapsed="false">
      <c r="A16" s="9" t="s">
        <v>42</v>
      </c>
      <c r="B16" s="9" t="s">
        <v>635</v>
      </c>
      <c r="C16" s="9" t="s">
        <v>158</v>
      </c>
      <c r="D16" s="0" t="s">
        <v>854</v>
      </c>
      <c r="E16" s="0" t="s">
        <v>855</v>
      </c>
      <c r="F16" s="0" t="s">
        <v>856</v>
      </c>
      <c r="G16" s="0" t="s">
        <v>649</v>
      </c>
      <c r="H16" s="9" t="s">
        <v>159</v>
      </c>
      <c r="I16" s="16"/>
      <c r="J16" s="9" t="str">
        <f aca="false">IF(COUNTIFS('Scores (start here)'!$A:$A,$B$1,'Scores (start here)'!$B:$B,$A16,'Scores (start here)'!$F:$F,"&gt;=0")&gt;0,SUMIFS('Scores (start here)'!$F:$F,'Scores (start here)'!$A:$A,$B$1,'Scores (start here)'!$B:$B,$A16),L16)</f>
        <v/>
      </c>
      <c r="K16" s="13" t="s">
        <v>857</v>
      </c>
      <c r="L16" s="9" t="str">
        <f aca="false">IF($B16="NO","NA",IF(I16="","",MIN(I16,$B$6)))</f>
        <v/>
      </c>
    </row>
    <row r="17" customFormat="false" ht="157.5" hidden="false" customHeight="true" outlineLevel="0" collapsed="false">
      <c r="A17" s="9" t="s">
        <v>47</v>
      </c>
      <c r="B17" s="9" t="s">
        <v>635</v>
      </c>
      <c r="C17" s="9" t="s">
        <v>191</v>
      </c>
      <c r="D17" s="9" t="s">
        <v>858</v>
      </c>
      <c r="E17" s="9" t="s">
        <v>859</v>
      </c>
      <c r="H17" s="9" t="s">
        <v>192</v>
      </c>
      <c r="I17" s="16"/>
      <c r="J17" s="9" t="str">
        <f aca="false">IF(COUNTIFS('Scores (start here)'!$A:$A,$B$1,'Scores (start here)'!$B:$B,$A17,'Scores (start here)'!$F:$F,"&gt;=0")&gt;0,SUMIFS('Scores (start here)'!$F:$F,'Scores (start here)'!$A:$A,$B$1,'Scores (start here)'!$B:$B,$A17),L17)</f>
        <v/>
      </c>
      <c r="K17" s="13" t="s">
        <v>860</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252</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h</v>
      </c>
    </row>
    <row r="4" customFormat="false" ht="15" hidden="false" customHeight="true" outlineLevel="0" collapsed="false">
      <c r="A4" s="11" t="s">
        <v>412</v>
      </c>
      <c r="B4" s="4" t="str">
        <f aca="false">VLOOKUP($B$1,'PARASTATAL Questions'!$A:$J,4,0)&amp;""</f>
        <v>SQ</v>
      </c>
    </row>
    <row r="5" customFormat="false" ht="68.25" hidden="false" customHeight="true" outlineLevel="0" collapsed="false">
      <c r="A5" s="11" t="s">
        <v>0</v>
      </c>
      <c r="B5" s="4" t="str">
        <f aca="false">VLOOKUP($B$1,'PARASTATAL Questions'!$A:$J,5,0)&amp;""</f>
        <v>Service-level benchmarks and performance reports</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986.25" hidden="false" customHeight="true" outlineLevel="0" collapsed="false">
      <c r="A9" s="11" t="s">
        <v>448</v>
      </c>
      <c r="B9" s="4" t="str">
        <f aca="false">VLOOKUP($B$1,'PARASTATAL Questions'!$A:$J,9,0)&amp;""</f>
        <v>Availability and currency — 0.5Score 0.5: Performance information for the current FY or immediately preceding FY is publicly available onlineScore 0: Performance information cannot be found/accessed online or is older than the permitted period.Record the FY/year/date of the latest information found in a separate evidence field even where the score is 0. Minimum format/accessibility — 0.5Score 0.5: Performance information available in a structured, machine-readable/reusable format (CSV, XLS/XLSX, ODS, structured HTML table/dashboard with downloadable data)Score 0: Performance information is available but does not meet that standard (Scanned performance report; image/chart with no underlying readable/reusable values)</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861</v>
      </c>
      <c r="L13" s="9" t="str">
        <f aca="false">IF($B13="NO","NA",IF(I13="","",MIN(I13,$B$6)))</f>
        <v/>
      </c>
    </row>
    <row r="14" customFormat="false" ht="34.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862</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863</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864</v>
      </c>
      <c r="L16" s="9" t="str">
        <f aca="false">IF($B16="NO","NA",IF(I16="","",MIN(I16,$B$6)))</f>
        <v/>
      </c>
    </row>
    <row r="17" customFormat="false" ht="128.25" hidden="false" customHeight="true" outlineLevel="0" collapsed="false">
      <c r="A17" s="9" t="s">
        <v>47</v>
      </c>
      <c r="B17" s="9" t="s">
        <v>635</v>
      </c>
      <c r="C17" s="19" t="s">
        <v>191</v>
      </c>
      <c r="D17" s="9" t="s">
        <v>865</v>
      </c>
      <c r="E17" s="9" t="s">
        <v>866</v>
      </c>
      <c r="F17" s="9" t="s">
        <v>867</v>
      </c>
      <c r="H17" s="9" t="s">
        <v>192</v>
      </c>
      <c r="I17" s="16" t="n">
        <v>0</v>
      </c>
      <c r="J17" s="9" t="n">
        <f aca="false">IF(COUNTIFS('Scores (start here)'!$A:$A,$B$1,'Scores (start here)'!$B:$B,$A17,'Scores (start here)'!$F:$F,"&gt;=0")&gt;0,SUMIFS('Scores (start here)'!$F:$F,'Scores (start here)'!$A:$A,$B$1,'Scores (start here)'!$B:$B,$A17),L17)</f>
        <v>0</v>
      </c>
      <c r="K17" s="13" t="s">
        <v>868</v>
      </c>
      <c r="L17" s="9" t="n">
        <f aca="false">IF($B17="NO","NA",IF(I17="","",MIN(I17,$B$6)))</f>
        <v>0</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259</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DPG5i</v>
      </c>
    </row>
    <row r="4" customFormat="false" ht="15" hidden="false" customHeight="true" outlineLevel="0" collapsed="false">
      <c r="A4" s="11" t="s">
        <v>412</v>
      </c>
      <c r="B4" s="4" t="str">
        <f aca="false">VLOOKUP($B$1,'PARASTATAL Questions'!$A:$J,4,0)&amp;""</f>
        <v>SQ</v>
      </c>
    </row>
    <row r="5" customFormat="false" ht="34.5" hidden="false" customHeight="true" outlineLevel="0" collapsed="false">
      <c r="A5" s="11" t="s">
        <v>0</v>
      </c>
      <c r="B5" s="4" t="str">
        <f aca="false">VLOOKUP($B$1,'PARASTATAL Questions'!$A:$J,5,0)&amp;""</f>
        <v>Citizen / Service Charter</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885.75" hidden="false" customHeight="true" outlineLevel="0" collapsed="false">
      <c r="A9" s="11" t="s">
        <v>448</v>
      </c>
      <c r="B9" s="4" t="str">
        <f aca="false">VLOOKUP($B$1,'PARASTATAL Questions'!$A:$J,9,0)&amp;""</f>
        <v>Availability and currency — 0.5Score 0.5: A currently applicable Charter is publicly available. No annual publication requirement; do not treat it as outdated solely because it predates the preceding FY if it remains in force.Score 0: Charter cannot be found/accessed online or is older than the permitted period.Record the FY/year/date of the latest information found in a separate evidence field even where the score is 0. Minimum format/accessibility — 0.5Score 0.5: Charter available in a searchable/text-readable webpage or downloadable document (HTML, searchable PDF/PDF-A, DOC/DOCX)Score 0: Charter is available but does not meet that standard (Scanned/image-only Charter)</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34.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13" t="s">
        <v>869</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870</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871</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872</v>
      </c>
      <c r="L16" s="9" t="str">
        <f aca="false">IF($B16="NO","NA",IF(I16="","",MIN(I16,$B$6)))</f>
        <v/>
      </c>
    </row>
    <row r="17" customFormat="false" ht="236.25" hidden="false" customHeight="true" outlineLevel="0" collapsed="false">
      <c r="A17" s="9" t="s">
        <v>47</v>
      </c>
      <c r="B17" s="9" t="s">
        <v>635</v>
      </c>
      <c r="C17" s="9" t="s">
        <v>191</v>
      </c>
      <c r="D17" s="9" t="s">
        <v>873</v>
      </c>
      <c r="E17" s="9" t="s">
        <v>874</v>
      </c>
      <c r="F17" s="0" t="s">
        <v>875</v>
      </c>
      <c r="H17" s="9" t="s">
        <v>192</v>
      </c>
      <c r="I17" s="16"/>
      <c r="J17" s="9" t="str">
        <f aca="false">IF(COUNTIFS('Scores (start here)'!$A:$A,$B$1,'Scores (start here)'!$B:$B,$A17,'Scores (start here)'!$F:$F,"&gt;=0")&gt;0,SUMIFS('Scores (start here)'!$F:$F,'Scores (start here)'!$A:$A,$B$1,'Scores (start here)'!$B:$B,$A17),L17)</f>
        <v/>
      </c>
      <c r="K17" s="13" t="s">
        <v>876</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268</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DPG5j</v>
      </c>
    </row>
    <row r="4" customFormat="false" ht="15" hidden="false" customHeight="true" outlineLevel="0" collapsed="false">
      <c r="A4" s="11" t="s">
        <v>412</v>
      </c>
      <c r="B4" s="4" t="str">
        <f aca="false">VLOOKUP($B$1,'PARASTATAL Questions'!$A:$J,4,0)&amp;""</f>
        <v>SQ</v>
      </c>
    </row>
    <row r="5" customFormat="false" ht="90.75" hidden="false" customHeight="true" outlineLevel="0" collapsed="false">
      <c r="A5" s="11" t="s">
        <v>0</v>
      </c>
      <c r="B5" s="4" t="str">
        <f aca="false">VLOOKUP($B$1,'PARASTATAL Questions'!$A:$J,5,0)&amp;""</f>
        <v>RTI details and designated Public Information Officer contact/procedure</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975" hidden="false" customHeight="true" outlineLevel="0" collapsed="false">
      <c r="A9" s="11" t="s">
        <v>448</v>
      </c>
      <c r="B9" s="4" t="str">
        <f aca="false">VLOOKUP($B$1,'PARASTATAL Questions'!$A:$J,9,0)&amp;""</f>
        <v>Availability and currency — 0.5Score 0.5: Current PIO/APIO details and RTI procedure are publicly available; information should be treated as current where the named office-holder/contact details remain validScore 0: Information cannot be found/accessed online or ithe named office-holder/contact details are invalid.Record the FY/year/date of the latest information found in a separate evidence field even where the score is 0. Minimum format/accessibility — 0.5Score 0.5: Information available in a searchable webpage or searchable/downloadable document (HTML RTI page; searchable PDF/DOC containing PIO/contact details)Score 0: Information is available but does not meet that standard (Image-only notice; scanned PDF)</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877</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878</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879</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880</v>
      </c>
      <c r="L16" s="9" t="str">
        <f aca="false">IF($B16="NO","NA",IF(I16="","",MIN(I16,$B$6)))</f>
        <v/>
      </c>
    </row>
    <row r="17" customFormat="false" ht="213.75" hidden="false" customHeight="true" outlineLevel="0" collapsed="false">
      <c r="A17" s="9" t="s">
        <v>47</v>
      </c>
      <c r="B17" s="9" t="s">
        <v>635</v>
      </c>
      <c r="C17" s="9" t="s">
        <v>191</v>
      </c>
      <c r="D17" s="9" t="s">
        <v>881</v>
      </c>
      <c r="E17" s="9" t="s">
        <v>882</v>
      </c>
      <c r="H17" s="9" t="s">
        <v>192</v>
      </c>
      <c r="I17" s="16"/>
      <c r="J17" s="9" t="str">
        <f aca="false">IF(COUNTIFS('Scores (start here)'!$A:$A,$B$1,'Scores (start here)'!$B:$B,$A17,'Scores (start here)'!$F:$F,"&gt;=0")&gt;0,SUMIFS('Scores (start here)'!$F:$F,'Scores (start here)'!$A:$A,$B$1,'Scores (start here)'!$B:$B,$A17),L17)</f>
        <v/>
      </c>
      <c r="K17" s="13" t="s">
        <v>883</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276</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DPG5k</v>
      </c>
    </row>
    <row r="4" customFormat="false" ht="15" hidden="false" customHeight="true" outlineLevel="0" collapsed="false">
      <c r="A4" s="11" t="s">
        <v>412</v>
      </c>
      <c r="B4" s="4" t="str">
        <f aca="false">VLOOKUP($B$1,'PARASTATAL Questions'!$A:$J,4,0)&amp;""</f>
        <v>SQ</v>
      </c>
    </row>
    <row r="5" customFormat="false" ht="79.5" hidden="false" customHeight="true" outlineLevel="0" collapsed="false">
      <c r="A5" s="11" t="s">
        <v>0</v>
      </c>
      <c r="B5" s="4" t="str">
        <f aca="false">VLOOKUP($B$1,'PARASTATAL Questions'!$A:$J,5,0)&amp;""</f>
        <v>Procurement / tender notices and awarded-contract details</v>
      </c>
    </row>
    <row r="6" customFormat="false" ht="15" hidden="false" customHeight="true" outlineLevel="0" collapsed="false">
      <c r="A6" s="11" t="s">
        <v>414</v>
      </c>
      <c r="B6" s="4" t="n">
        <f aca="false">VLOOKUP($B$1,'PARASTATAL Questions'!$A:$J,6,0)</f>
        <v>1</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1008.75" hidden="false" customHeight="true" outlineLevel="0" collapsed="false">
      <c r="A9" s="11" t="s">
        <v>448</v>
      </c>
      <c r="B9" s="4" t="str">
        <f aca="false">VLOOKUP($B$1,'PARASTATAL Questions'!$A:$J,9,0)&amp;""</f>
        <v>Availability and currency — 0.5Score 0.5: Procurement information includes tenders/awards from the current FY or immediately preceding FYScore 0: Information cannot be found/accessed online or is older than the permitted period.Record the FY/year/date of the latest information found in a separate evidence field even where the score is 0. Minimum format/accessibility — 0.5Score 0.5: Tender/award information available as a searchable structured webpage/table or machine-readable/reusable dataset (Searchable e-procurement table, HTML contract register, CSV/XLS/XLSX/ODS download)Score 0: Information is available but does not meet that standard (Scanned tender lists; image-only notices; individual PDFs with no searchable/indexed tender/award register)</v>
      </c>
    </row>
    <row r="10" customFormat="false" ht="102" hidden="false" customHeight="true" outlineLevel="0" collapsed="false">
      <c r="A10" s="11" t="s">
        <v>449</v>
      </c>
      <c r="B10" s="4" t="str">
        <f aca="false">VLOOKUP($B$1,'PARASTATAL Questions'!$A:$J,10,0)&amp;""</f>
        <v>Website screenshots/archived URLs with date of access, for each document type</v>
      </c>
    </row>
    <row r="11" customFormat="false" ht="15" hidden="false" customHeight="true" outlineLevel="0" collapsed="false">
      <c r="B11" s="15" t="s">
        <v>621</v>
      </c>
      <c r="I11" s="15" t="s">
        <v>812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884</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885</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886</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887</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888</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283</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6a</v>
      </c>
    </row>
    <row r="4" customFormat="false" ht="15" hidden="false" customHeight="true" outlineLevel="0" collapsed="false">
      <c r="A4" s="11" t="s">
        <v>412</v>
      </c>
      <c r="B4" s="4" t="str">
        <f aca="false">VLOOKUP($B$1,'PARASTATAL Questions'!$A:$J,4,0)&amp;""</f>
        <v>SQ</v>
      </c>
    </row>
    <row r="5" customFormat="false" ht="102" hidden="false" customHeight="true" outlineLevel="0" collapsed="false">
      <c r="A5" s="11" t="s">
        <v>0</v>
      </c>
      <c r="B5" s="4" t="str">
        <f aca="false">VLOOKUP($B$1,'PARASTATAL Questions'!$A:$J,5,0)&amp;""</f>
        <v>Is the parastatal mandated to provide a grievance-redressal mechanism?</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15" hidden="false" customHeight="true" outlineLevel="0" collapsed="false">
      <c r="A8" s="11" t="s">
        <v>447</v>
      </c>
      <c r="B8" s="4" t="str">
        <f aca="false">VLOOKUP($B$1,'PARASTATAL Questions'!$A:$J,8,0)&amp;""</f>
        <v>Common.</v>
      </c>
    </row>
    <row r="9" customFormat="false" ht="213.75" hidden="false" customHeight="true" outlineLevel="0" collapsed="false">
      <c r="A9" s="11" t="s">
        <v>448</v>
      </c>
      <c r="B9" s="4" t="str">
        <f aca="false">VLOOKUP($B$1,'PARASTATAL Questions'!$A:$J,9,0)&amp;""</f>
        <v>Score 5 if  the Parastatal Act/ corresponding subordinate legislation/ citizen or service charter requires a grievance-redressal mechanism (any channel); 0 if not.</v>
      </c>
    </row>
    <row r="10" customFormat="false" ht="113.25" hidden="false" customHeight="true" outlineLevel="0" collapsed="false">
      <c r="A10" s="11" t="s">
        <v>449</v>
      </c>
      <c r="B10" s="4" t="str">
        <f aca="false">VLOOKUP($B$1,'PARASTATAL Questions'!$A:$J,10,0)&amp;""</f>
        <v>Parastatal Act/ corresponding subordinate legislation/ citizen or service charter</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C13" s="9" t="s">
        <v>705</v>
      </c>
      <c r="D13" s="9" t="s">
        <v>889</v>
      </c>
      <c r="E13" s="9" t="s">
        <v>890</v>
      </c>
      <c r="F13" s="9" t="s">
        <v>891</v>
      </c>
      <c r="G13" s="9" t="s">
        <v>649</v>
      </c>
      <c r="H13" s="9" t="s">
        <v>710</v>
      </c>
      <c r="I13" s="16" t="n">
        <v>5</v>
      </c>
      <c r="J13" s="9" t="n">
        <f aca="false">IF(COUNTIFS('Scores (start here)'!$A:$A,$B$1,'Scores (start here)'!$B:$B,$A13,'Scores (start here)'!$F:$F,"&gt;=0")&gt;0,SUMIFS('Scores (start here)'!$F:$F,'Scores (start here)'!$A:$A,$B$1,'Scores (start here)'!$B:$B,$A13),L13)</f>
        <v>5</v>
      </c>
      <c r="K13" s="13" t="s">
        <v>692</v>
      </c>
      <c r="L13" s="9" t="n">
        <f aca="false">IF($B13="NO","NA",IF(I13="","",MIN(I13,$B$6)))</f>
        <v>5</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892</v>
      </c>
      <c r="L14" s="9" t="str">
        <f aca="false">IF($B14="NO","NA",IF(I14="","",MIN(I14,$B$6)))</f>
        <v/>
      </c>
    </row>
    <row r="15" customFormat="false" ht="57" hidden="false" customHeight="true" outlineLevel="0" collapsed="false">
      <c r="A15" s="9" t="s">
        <v>36</v>
      </c>
      <c r="B15" s="9" t="s">
        <v>635</v>
      </c>
      <c r="C15" s="9" t="s">
        <v>38</v>
      </c>
      <c r="D15" s="9" t="s">
        <v>893</v>
      </c>
      <c r="E15" s="9" t="s">
        <v>894</v>
      </c>
      <c r="F15" s="9" t="s">
        <v>895</v>
      </c>
      <c r="G15" s="9" t="s">
        <v>896</v>
      </c>
      <c r="H15" s="9" t="s">
        <v>39</v>
      </c>
      <c r="I15" s="16" t="n">
        <v>0</v>
      </c>
      <c r="J15" s="9" t="n">
        <f aca="false">IF(COUNTIFS('Scores (start here)'!$A:$A,$B$1,'Scores (start here)'!$B:$B,$A15,'Scores (start here)'!$F:$F,"&gt;=0")&gt;0,SUMIFS('Scores (start here)'!$F:$F,'Scores (start here)'!$A:$A,$B$1,'Scores (start here)'!$B:$B,$A15),L15)</f>
        <v>0</v>
      </c>
      <c r="K15" s="13" t="s">
        <v>897</v>
      </c>
      <c r="L15" s="9" t="n">
        <f aca="false">IF($B15="NO","NA",IF(I15="","",MIN(I15,$B$6)))</f>
        <v>0</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898</v>
      </c>
      <c r="L16" s="9" t="str">
        <f aca="false">IF($B16="NO","NA",IF(I16="","",MIN(I16,$B$6)))</f>
        <v/>
      </c>
    </row>
    <row r="17" customFormat="false" ht="45.75" hidden="false" customHeight="true" outlineLevel="0" collapsed="false">
      <c r="A17" s="9" t="s">
        <v>47</v>
      </c>
      <c r="B17" s="9" t="s">
        <v>635</v>
      </c>
      <c r="C17" s="9" t="s">
        <v>656</v>
      </c>
      <c r="D17" s="9" t="s">
        <v>899</v>
      </c>
      <c r="E17" s="9" t="s">
        <v>900</v>
      </c>
      <c r="F17" s="9" t="s">
        <v>901</v>
      </c>
      <c r="G17" s="9" t="s">
        <v>902</v>
      </c>
      <c r="H17" s="9" t="s">
        <v>660</v>
      </c>
      <c r="I17" s="16"/>
      <c r="J17" s="9" t="str">
        <f aca="false">IF(COUNTIFS('Scores (start here)'!$A:$A,$B$1,'Scores (start here)'!$B:$B,$A17,'Scores (start here)'!$F:$F,"&gt;=0")&gt;0,SUMIFS('Scores (start here)'!$F:$F,'Scores (start here)'!$A:$A,$B$1,'Scores (start here)'!$B:$B,$A17),L17)</f>
        <v/>
      </c>
      <c r="K17" s="13" t="s">
        <v>903</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292</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6b</v>
      </c>
    </row>
    <row r="4" customFormat="false" ht="15" hidden="false" customHeight="true" outlineLevel="0" collapsed="false">
      <c r="A4" s="11" t="s">
        <v>412</v>
      </c>
      <c r="B4" s="4" t="str">
        <f aca="false">VLOOKUP($B$1,'PARASTATAL Questions'!$A:$J,4,0)&amp;""</f>
        <v>SQ</v>
      </c>
    </row>
    <row r="5" customFormat="false" ht="113.25" hidden="false" customHeight="true" outlineLevel="0" collapsed="false">
      <c r="A5" s="11" t="s">
        <v>0</v>
      </c>
      <c r="B5" s="4" t="str">
        <f aca="false">VLOOKUP($B$1,'PARASTATAL Questions'!$A:$J,5,0)&amp;""</f>
        <v>Are accessible grievance-redressal channels available and functional in practice?</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2397.75" hidden="false" customHeight="true" outlineLevel="0" collapsed="false">
      <c r="A9" s="11" t="s">
        <v>448</v>
      </c>
      <c r="B9" s="4" t="str">
        <f aca="false">VLOOKUP($B$1,'PARASTATAL Questions'!$A:$J,9,0)&amp;""</f>
        <v>Score out of 5 based on the following components - Score 1.00 if a Web-based grievance channel existsQualification - An official website/portal provides a functioning mechanism through which a grievance can be lodged online. A dedicated grievance form, integrated government grievance portal or equivalent qualifies.Evidence - Live URL + dated screenshot showing grievance-submission functionality. Where the parastatal redirects users to a State/common grievance portal, capture both the parastatal link/reference and the relevant portal page.Score 1.00 if a Mobile / electronic grievance channel existsQualification - A currently operational mobile app, designated grievance email, WhatsApp or other officially notified electronic channel is provided for lodging grievancesEvidence - Official website listing the channel; official app listing or screenshot Score 1.00  if a telephone grievance channel existsQualification - A dedicated or clearly designated helpline/call centre/telephone number is provided for complaints or grievances. A generic office switchboard does not qualify unless it is explicitly identified as accepting grievances.Evidence - Official website showing the grievance/helpline number.Score 1.00 if an in-person grievance channel existsQualification - Citizens can lodge grievances through an identified helpdesk, grievance counter, designated office/officer or other physical mechanism.Evidence - Citizen/Service Charter, official website, office notice/order or other official document identifying where/how an in-person grievance can be lodged.Score 1.00 if an in-person grievance channelQualification - The mechanism provides evidence that a registered grievance can be acknowledged and subsequently tracked, through a complaint/reference number, status-tracking facility or equivalent process.Evidence - Portal screenshot showing acknowledgement/tracking functionality; Where all five are provided for, award the full score of 5.</v>
      </c>
    </row>
    <row r="10" customFormat="false" ht="135.75" hidden="false" customHeight="true" outlineLevel="0" collapsed="false">
      <c r="A10" s="11" t="s">
        <v>449</v>
      </c>
      <c r="B10" s="4" t="str">
        <f aca="false">VLOOKUP($B$1,'PARASTATAL Questions'!$A:$J,10,0)&amp;""</f>
        <v>Relevant parastatal's official website Detailed evidence information provided in the methodology column (I 33)</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79.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13" t="s">
        <v>904</v>
      </c>
      <c r="L13" s="9" t="str">
        <f aca="false">IF($B13="NO","NA",IF(I13="","",MIN(I13,$B$6)))</f>
        <v/>
      </c>
    </row>
    <row r="14" customFormat="false" ht="68.25" hidden="false" customHeight="true" outlineLevel="0" collapsed="false">
      <c r="A14" s="9" t="s">
        <v>30</v>
      </c>
      <c r="B14" s="9" t="s">
        <v>635</v>
      </c>
      <c r="C14" s="9" t="s">
        <v>182</v>
      </c>
      <c r="D14" s="0" t="s">
        <v>296</v>
      </c>
      <c r="E14" s="0" t="s">
        <v>905</v>
      </c>
      <c r="F14" s="0" t="s">
        <v>906</v>
      </c>
      <c r="H14" s="9" t="s">
        <v>183</v>
      </c>
      <c r="I14" s="16"/>
      <c r="J14" s="9" t="str">
        <f aca="false">IF(COUNTIFS('Scores (start here)'!$A:$A,$B$1,'Scores (start here)'!$B:$B,$A14,'Scores (start here)'!$F:$F,"&gt;=0")&gt;0,SUMIFS('Scores (start here)'!$F:$F,'Scores (start here)'!$A:$A,$B$1,'Scores (start here)'!$B:$B,$A14),L14)</f>
        <v/>
      </c>
      <c r="K14" s="13" t="s">
        <v>907</v>
      </c>
      <c r="L14" s="9" t="str">
        <f aca="false">IF($B14="NO","NA",IF(I14="","",MIN(I14,$B$6)))</f>
        <v/>
      </c>
    </row>
    <row r="15" customFormat="false" ht="79.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13" t="s">
        <v>908</v>
      </c>
      <c r="L15" s="9" t="str">
        <f aca="false">IF($B15="NO","NA",IF(I15="","",MIN(I15,$B$6)))</f>
        <v/>
      </c>
    </row>
    <row r="16" customFormat="false" ht="79.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13" t="s">
        <v>909</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910</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301</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7a</v>
      </c>
    </row>
    <row r="4" customFormat="false" ht="15" hidden="false" customHeight="true" outlineLevel="0" collapsed="false">
      <c r="A4" s="11" t="s">
        <v>412</v>
      </c>
      <c r="B4" s="4" t="str">
        <f aca="false">VLOOKUP($B$1,'PARASTATAL Questions'!$A:$J,4,0)&amp;""</f>
        <v>SQ</v>
      </c>
    </row>
    <row r="5" customFormat="false" ht="102" hidden="false" customHeight="true" outlineLevel="0" collapsed="false">
      <c r="A5" s="11" t="s">
        <v>0</v>
      </c>
      <c r="B5" s="4" t="str">
        <f aca="false">VLOOKUP($B$1,'PARASTATAL Questions'!$A:$J,5,0)&amp;""</f>
        <v>Is citizen participation in the preparation of the parastatal's plans mandated?</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68.25" hidden="false" customHeight="true" outlineLevel="0" collapsed="false">
      <c r="A8" s="11" t="s">
        <v>447</v>
      </c>
      <c r="B8" s="4" t="str">
        <f aca="false">VLOOKUP($B$1,'PARASTATAL Questions'!$A:$J,8,0)&amp;""</f>
        <v>All parastatals excluding Development Authorities</v>
      </c>
    </row>
    <row r="9" customFormat="false" ht="1031.25" hidden="false" customHeight="true" outlineLevel="0" collapsed="false">
      <c r="A9" s="11" t="s">
        <v>448</v>
      </c>
      <c r="B9" s="4" t="str">
        <f aca="false">VLOOKUP($B$1,'PARASTATAL Questions'!$A:$J,9,0)&amp;""</f>
        <v>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v>
      </c>
    </row>
    <row r="10" customFormat="false" ht="90.75" hidden="false" customHeight="true" outlineLevel="0" collapsed="false">
      <c r="A10" s="11" t="s">
        <v>449</v>
      </c>
      <c r="B10" s="4" t="str">
        <f aca="false">VLOOKUP($B$1,'PARASTATAL Questions'!$A:$J,10,0)&amp;""</f>
        <v>Parastatal Act and rules; applicable T&amp;CP Act; State Municipal Act.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C13" s="9" t="s">
        <v>705</v>
      </c>
      <c r="D13" s="9" t="s">
        <v>911</v>
      </c>
      <c r="E13" s="9" t="s">
        <v>912</v>
      </c>
      <c r="F13" s="9" t="s">
        <v>913</v>
      </c>
      <c r="G13" s="9" t="s">
        <v>914</v>
      </c>
      <c r="H13" s="9" t="s">
        <v>710</v>
      </c>
      <c r="I13" s="16" t="n">
        <v>0</v>
      </c>
      <c r="J13" s="9" t="n">
        <f aca="false">IF(COUNTIFS('Scores (start here)'!$A:$A,$B$1,'Scores (start here)'!$B:$B,$A13,'Scores (start here)'!$F:$F,"&gt;=0")&gt;0,SUMIFS('Scores (start here)'!$F:$F,'Scores (start here)'!$A:$A,$B$1,'Scores (start here)'!$B:$B,$A13),L13)</f>
        <v>0</v>
      </c>
      <c r="K13" s="13" t="s">
        <v>692</v>
      </c>
      <c r="L13" s="9" t="n">
        <f aca="false">IF($B13="NO","NA",IF(I13="","",MIN(I13,$B$6)))</f>
        <v>0</v>
      </c>
    </row>
    <row r="14" customFormat="false" ht="236.25" hidden="false" customHeight="true" outlineLevel="0" collapsed="false">
      <c r="A14" s="9" t="s">
        <v>30</v>
      </c>
      <c r="B14" s="9" t="s">
        <v>635</v>
      </c>
      <c r="C14" s="9" t="s">
        <v>32</v>
      </c>
      <c r="D14" s="9" t="s">
        <v>915</v>
      </c>
      <c r="E14" s="9" t="s">
        <v>916</v>
      </c>
      <c r="F14" s="9" t="s">
        <v>917</v>
      </c>
      <c r="G14" s="9" t="s">
        <v>787</v>
      </c>
      <c r="H14" s="9" t="s">
        <v>33</v>
      </c>
      <c r="I14" s="16" t="n">
        <v>2.5</v>
      </c>
      <c r="J14" s="9" t="n">
        <f aca="false">IF(COUNTIFS('Scores (start here)'!$A:$A,$B$1,'Scores (start here)'!$B:$B,$A14,'Scores (start here)'!$F:$F,"&gt;=0")&gt;0,SUMIFS('Scores (start here)'!$F:$F,'Scores (start here)'!$A:$A,$B$1,'Scores (start here)'!$B:$B,$A14),L14)</f>
        <v>2.5</v>
      </c>
      <c r="K14" s="13" t="s">
        <v>918</v>
      </c>
      <c r="L14" s="9" t="n">
        <f aca="false">IF($B14="NO","NA",IF(I14="","",MIN(I14,$B$6)))</f>
        <v>2.5</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68.75" hidden="false" customHeight="true" outlineLevel="0" collapsed="false">
      <c r="A16" s="9" t="s">
        <v>42</v>
      </c>
      <c r="B16" s="9" t="s">
        <v>635</v>
      </c>
      <c r="C16" s="9" t="s">
        <v>308</v>
      </c>
      <c r="D16" s="9" t="s">
        <v>915</v>
      </c>
      <c r="E16" s="9" t="s">
        <v>919</v>
      </c>
      <c r="F16" s="9" t="s">
        <v>920</v>
      </c>
      <c r="G16" s="9" t="s">
        <v>787</v>
      </c>
      <c r="H16" s="9" t="s">
        <v>33</v>
      </c>
      <c r="I16" s="16" t="n">
        <v>2.5</v>
      </c>
      <c r="J16" s="9" t="n">
        <f aca="false">IF(COUNTIFS('Scores (start here)'!$A:$A,$B$1,'Scores (start here)'!$B:$B,$A16,'Scores (start here)'!$F:$F,"&gt;=0")&gt;0,SUMIFS('Scores (start here)'!$F:$F,'Scores (start here)'!$A:$A,$B$1,'Scores (start here)'!$B:$B,$A16),L16)</f>
        <v>2.5</v>
      </c>
      <c r="K16" s="13" t="s">
        <v>921</v>
      </c>
      <c r="L16" s="9" t="n">
        <f aca="false">IF($B16="NO","NA",IF(I16="","",MIN(I16,$B$6)))</f>
        <v>2.5</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311</v>
      </c>
      <c r="C1" s="9" t="s">
        <v>619</v>
      </c>
      <c r="J1" s="14" t="s">
        <v>620</v>
      </c>
    </row>
    <row r="2" customFormat="false" ht="68.25" hidden="false" customHeight="true" outlineLevel="0" collapsed="false">
      <c r="A2" s="11" t="s">
        <v>411</v>
      </c>
      <c r="B2" s="4" t="str">
        <f aca="false">VLOOKUP($B$1,'PARASTATAL Questions'!$A:$J,3,0)&amp;""</f>
        <v>Decentralised Participatory Governance</v>
      </c>
    </row>
    <row r="3" customFormat="false" ht="15" hidden="false" customHeight="true" outlineLevel="0" collapsed="false">
      <c r="A3" s="11" t="s">
        <v>446</v>
      </c>
      <c r="B3" s="4" t="str">
        <f aca="false">VLOOKUP($B$1,'PARASTATAL Questions'!$A:$J,2,0)&amp;""</f>
        <v>DPG 7b</v>
      </c>
    </row>
    <row r="4" customFormat="false" ht="15" hidden="false" customHeight="true" outlineLevel="0" collapsed="false">
      <c r="A4" s="11" t="s">
        <v>412</v>
      </c>
      <c r="B4" s="4" t="str">
        <f aca="false">VLOOKUP($B$1,'PARASTATAL Questions'!$A:$J,4,0)&amp;""</f>
        <v>SQ</v>
      </c>
    </row>
    <row r="5" customFormat="false" ht="113.25" hidden="false" customHeight="true" outlineLevel="0" collapsed="false">
      <c r="A5" s="11" t="s">
        <v>0</v>
      </c>
      <c r="B5" s="4" t="str">
        <f aca="false">VLOOKUP($B$1,'PARASTATAL Questions'!$A:$J,5,0)&amp;""</f>
        <v>Are citizens consulted in practice in the preparation of plans by the parastatal?</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68.25" hidden="false" customHeight="true" outlineLevel="0" collapsed="false">
      <c r="A8" s="11" t="s">
        <v>447</v>
      </c>
      <c r="B8" s="4" t="str">
        <f aca="false">VLOOKUP($B$1,'PARASTATAL Questions'!$A:$J,8,0)&amp;""</f>
        <v>All parastatals excluding Development Authorities</v>
      </c>
    </row>
    <row r="9" customFormat="false" ht="1008.75" hidden="false" customHeight="true" outlineLevel="0" collapsed="false">
      <c r="A9" s="11" t="s">
        <v>448</v>
      </c>
      <c r="B9" s="4" t="str">
        <f aca="false">VLOOKUP($B$1,'PARASTATAL Questions'!$A:$J,9,0)&amp;""</f>
        <v>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v>
      </c>
    </row>
    <row r="10" customFormat="false" ht="202.5" hidden="false" customHeight="true" outlineLevel="0" collapsed="false">
      <c r="A10" s="11" t="s">
        <v>449</v>
      </c>
      <c r="B10" s="4" t="str">
        <f aca="false">VLOOKUP($B$1,'PARASTATAL Questions'!$A:$J,10,0)&amp;""</f>
        <v>Plan document; consultation reports; public notices; minutes/proceedings of consultations or hearings on the parastatal's official website; media reports.</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C13" s="9" t="s">
        <v>53</v>
      </c>
      <c r="D13" s="9" t="s">
        <v>922</v>
      </c>
      <c r="E13" s="9" t="s">
        <v>663</v>
      </c>
      <c r="F13" s="9" t="s">
        <v>923</v>
      </c>
      <c r="G13" s="9" t="s">
        <v>665</v>
      </c>
      <c r="H13" s="9" t="s">
        <v>54</v>
      </c>
      <c r="I13" s="16" t="n">
        <v>2.5</v>
      </c>
      <c r="J13" s="9" t="n">
        <f aca="false">IF(COUNTIFS('Scores (start here)'!$A:$A,$B$1,'Scores (start here)'!$B:$B,$A13,'Scores (start here)'!$F:$F,"&gt;=0")&gt;0,SUMIFS('Scores (start here)'!$F:$F,'Scores (start here)'!$A:$A,$B$1,'Scores (start here)'!$B:$B,$A13),L13)</f>
        <v>2.5</v>
      </c>
      <c r="K13" s="13" t="s">
        <v>924</v>
      </c>
      <c r="L13" s="9" t="n">
        <f aca="false">IF($B13="NO","NA",IF(I13="","",MIN(I13,$B$6)))</f>
        <v>2.5</v>
      </c>
    </row>
    <row r="14" customFormat="false" ht="68.2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925</v>
      </c>
      <c r="L14" s="9" t="str">
        <f aca="false">IF($B14="NO","NA",IF(I14="","",MIN(I14,$B$6)))</f>
        <v/>
      </c>
    </row>
    <row r="15" customFormat="false" ht="15" hidden="false" customHeight="true" outlineLevel="0" collapsed="false">
      <c r="A15" s="17" t="s">
        <v>36</v>
      </c>
      <c r="B15" s="17" t="s">
        <v>677</v>
      </c>
      <c r="C15" s="17"/>
      <c r="D15" s="17"/>
      <c r="E15" s="17"/>
      <c r="F15" s="17"/>
      <c r="G15" s="17"/>
      <c r="H15" s="17"/>
      <c r="I15" s="18"/>
      <c r="J15" s="17" t="str">
        <f aca="false">IF(COUNTIFS('Scores (start here)'!$A:$A,$B$1,'Scores (start here)'!$B:$B,$A15,'Scores (start here)'!$F:$F,"&gt;=0")&gt;0,SUMIFS('Scores (start here)'!$F:$F,'Scores (start here)'!$A:$A,$B$1,'Scores (start here)'!$B:$B,$A15),L15)</f>
        <v>NA</v>
      </c>
      <c r="K15" s="17"/>
      <c r="L15" s="9" t="str">
        <f aca="false">IF($B15="NO","NA",IF(I15="","",MIN(I15,$B$6)))</f>
        <v>NA</v>
      </c>
    </row>
    <row r="16" customFormat="false" ht="191.25" hidden="false" customHeight="true" outlineLevel="0" collapsed="false">
      <c r="A16" s="9" t="s">
        <v>42</v>
      </c>
      <c r="B16" s="9" t="s">
        <v>635</v>
      </c>
      <c r="C16" s="9" t="s">
        <v>316</v>
      </c>
      <c r="D16" s="9" t="s">
        <v>926</v>
      </c>
      <c r="E16" s="9" t="s">
        <v>927</v>
      </c>
      <c r="F16" s="9" t="s">
        <v>928</v>
      </c>
      <c r="G16" s="9" t="s">
        <v>929</v>
      </c>
      <c r="H16" s="9" t="s">
        <v>317</v>
      </c>
      <c r="I16" s="16" t="n">
        <v>2.5</v>
      </c>
      <c r="J16" s="9" t="n">
        <f aca="false">IF(COUNTIFS('Scores (start here)'!$A:$A,$B$1,'Scores (start here)'!$B:$B,$A16,'Scores (start here)'!$F:$F,"&gt;=0")&gt;0,SUMIFS('Scores (start here)'!$F:$F,'Scores (start here)'!$A:$A,$B$1,'Scores (start here)'!$B:$B,$A16),L16)</f>
        <v>2.5</v>
      </c>
      <c r="K16" s="13" t="s">
        <v>930</v>
      </c>
      <c r="L16" s="9" t="n">
        <f aca="false">IF($B16="NO","NA",IF(I16="","",MIN(I16,$B$6)))</f>
        <v>2.5</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320</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SC-1</v>
      </c>
    </row>
    <row r="4" customFormat="false" ht="15" hidden="false" customHeight="true" outlineLevel="0" collapsed="false">
      <c r="A4" s="11" t="s">
        <v>412</v>
      </c>
      <c r="B4" s="4" t="str">
        <f aca="false">VLOOKUP($B$1,'PARASTATAL Questions'!$A:$J,4,0)&amp;""</f>
        <v>MQ</v>
      </c>
    </row>
    <row r="5" customFormat="false" ht="124.5" hidden="false" customHeight="true" outlineLevel="0" collapsed="false">
      <c r="A5" s="11" t="s">
        <v>0</v>
      </c>
      <c r="B5" s="4" t="str">
        <f aca="false">VLOOKUP($B$1,'PARASTATAL Questions'!$A:$J,5,0)&amp;""</f>
        <v>What proportion of the parastatal's total expenditure is financed through its own revenues?</v>
      </c>
    </row>
    <row r="6" customFormat="false" ht="15" hidden="false" customHeight="true" outlineLevel="0" collapsed="false">
      <c r="A6" s="11" t="s">
        <v>414</v>
      </c>
      <c r="B6" s="4" t="n">
        <f aca="false">VLOOKUP($B$1,'PARASTATAL Questions'!$A:$J,6,0)</f>
        <v>10</v>
      </c>
    </row>
    <row r="7" customFormat="false" ht="34.5" hidden="false" customHeight="true" outlineLevel="0" collapsed="false">
      <c r="A7" s="11" t="s">
        <v>413</v>
      </c>
      <c r="B7" s="4" t="str">
        <f aca="false">VLOOKUP($B$1,'PARASTATAL Questions'!$A:$J,7,0)&amp;""</f>
        <v>Implementation (Numeric)</v>
      </c>
    </row>
    <row r="8" customFormat="false" ht="45.75" hidden="false" customHeight="true" outlineLevel="0" collapsed="false">
      <c r="A8" s="11" t="s">
        <v>447</v>
      </c>
      <c r="B8" s="4" t="str">
        <f aca="false">VLOOKUP($B$1,'PARASTATAL Questions'!$A:$J,8,0)&amp;""</f>
        <v>Revenue-raising parastatals only</v>
      </c>
    </row>
    <row r="9" customFormat="false" ht="336.75" hidden="false" customHeight="true" outlineLevel="0" collapsed="false">
      <c r="A9" s="11" t="s">
        <v>448</v>
      </c>
      <c r="B9" s="4" t="str">
        <f aca="false">VLOOKUP($B$1,'PARASTATAL Questions'!$A:$J,9,0)&amp;""</f>
        <v>Compute Own Revenue (Tax and Non-Tax revenue excluding any government grants) and use 3 years average wherever available (at least 2 years but not more than 5 years). Score is own revenue percentage as a proportion of 10 marks i.e. 50% gets 5 out of 10.</v>
      </c>
    </row>
    <row r="10" customFormat="false" ht="102" hidden="false" customHeight="true" outlineLevel="0" collapsed="false">
      <c r="A10" s="11" t="s">
        <v>449</v>
      </c>
      <c r="B10" s="4" t="str">
        <f aca="false">VLOOKUP($B$1,'PARASTATAL Questions'!$A:$J,10,0)&amp;""</f>
        <v>Annual budget of the last three financial years of the relevant parastatal.</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45.75" hidden="false" customHeight="true" outlineLevel="0" collapsed="false">
      <c r="A13" s="9" t="s">
        <v>19</v>
      </c>
      <c r="B13" s="9" t="s">
        <v>635</v>
      </c>
      <c r="C13" s="9" t="s">
        <v>53</v>
      </c>
      <c r="D13" s="0" t="s">
        <v>931</v>
      </c>
      <c r="E13" s="0" t="s">
        <v>932</v>
      </c>
      <c r="F13" s="0" t="s">
        <v>933</v>
      </c>
      <c r="G13" s="0" t="s">
        <v>934</v>
      </c>
      <c r="H13" s="9" t="s">
        <v>54</v>
      </c>
      <c r="I13" s="16"/>
      <c r="J13" s="9" t="str">
        <f aca="false">IF(COUNTIFS('Scores (start here)'!$A:$A,$B$1,'Scores (start here)'!$B:$B,$A13,'Scores (start here)'!$F:$F,"&gt;=0")&gt;0,SUMIFS('Scores (start here)'!$F:$F,'Scores (start here)'!$A:$A,$B$1,'Scores (start here)'!$B:$B,$A13),L13)</f>
        <v/>
      </c>
      <c r="K13" s="13" t="s">
        <v>935</v>
      </c>
      <c r="L13" s="9" t="str">
        <f aca="false">IF($B13="NO","NA",IF(I13="","",MIN(I13,$B$6)))</f>
        <v/>
      </c>
    </row>
    <row r="14" customFormat="false" ht="57"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936</v>
      </c>
      <c r="L14" s="9" t="str">
        <f aca="false">IF($B14="NO","NA",IF(I14="","",MIN(I14,$B$6)))</f>
        <v/>
      </c>
    </row>
    <row r="15" customFormat="false" ht="15" hidden="false" customHeight="true" outlineLevel="0" collapsed="false">
      <c r="A15" s="9" t="s">
        <v>36</v>
      </c>
      <c r="B15" s="9" t="s">
        <v>635</v>
      </c>
      <c r="C15" s="20" t="s">
        <v>327</v>
      </c>
      <c r="D15" s="0" t="s">
        <v>937</v>
      </c>
      <c r="E15" s="0" t="s">
        <v>938</v>
      </c>
      <c r="F15" s="0" t="s">
        <v>939</v>
      </c>
      <c r="G15" s="0" t="s">
        <v>940</v>
      </c>
      <c r="H15" s="9" t="s">
        <v>328</v>
      </c>
      <c r="I15" s="16"/>
      <c r="J15" s="9" t="str">
        <f aca="false">IF(COUNTIFS('Scores (start here)'!$A:$A,$B$1,'Scores (start here)'!$B:$B,$A15,'Scores (start here)'!$F:$F,"&gt;=0")&gt;0,SUMIFS('Scores (start here)'!$F:$F,'Scores (start here)'!$A:$A,$B$1,'Scores (start here)'!$B:$B,$A15),L15)</f>
        <v/>
      </c>
      <c r="K15" s="13" t="s">
        <v>941</v>
      </c>
      <c r="L15" s="9" t="str">
        <f aca="false">IF($B15="NO","NA",IF(I15="","",MIN(I15,$B$6)))</f>
        <v/>
      </c>
    </row>
    <row r="16" customFormat="false" ht="15" hidden="false" customHeight="true" outlineLevel="0" collapsed="false">
      <c r="A16" s="17" t="s">
        <v>42</v>
      </c>
      <c r="B16" s="17" t="s">
        <v>677</v>
      </c>
      <c r="C16" s="17"/>
      <c r="D16" s="17"/>
      <c r="E16" s="17"/>
      <c r="F16" s="17"/>
      <c r="G16" s="17"/>
      <c r="H16" s="17"/>
      <c r="I16" s="18"/>
      <c r="J16" s="17" t="str">
        <f aca="false">IF(COUNTIFS('Scores (start here)'!$A:$A,$B$1,'Scores (start here)'!$B:$B,$A16,'Scores (start here)'!$F:$F,"&gt;=0")&gt;0,SUMIFS('Scores (start here)'!$F:$F,'Scores (start here)'!$A:$A,$B$1,'Scores (start here)'!$B:$B,$A16),L16)</f>
        <v>NA</v>
      </c>
      <c r="K16" s="17"/>
      <c r="L16" s="9" t="str">
        <f aca="false">IF($B16="NO","NA",IF(I16="","",MIN(I16,$B$6)))</f>
        <v>NA</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17" t="s">
        <v>416</v>
      </c>
      <c r="B19" s="17" t="s">
        <v>677</v>
      </c>
      <c r="C19" s="17"/>
      <c r="D19" s="17"/>
      <c r="E19" s="17"/>
      <c r="F19" s="17"/>
      <c r="G19" s="17"/>
      <c r="H19" s="17"/>
      <c r="I19" s="18"/>
      <c r="J19" s="17" t="str">
        <f aca="false">IF(COUNTIFS('Scores (start here)'!$A:$A,$B$1,'Scores (start here)'!$B:$B,$A19,'Scores (start here)'!$F:$F,"&gt;=0")&gt;0,SUMIFS('Scores (start here)'!$F:$F,'Scores (start here)'!$A:$A,$B$1,'Scores (start here)'!$B:$B,$A19),L19)</f>
        <v>NA</v>
      </c>
      <c r="K19" s="17"/>
      <c r="L19" s="9"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331</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SC-2</v>
      </c>
    </row>
    <row r="4" customFormat="false" ht="15" hidden="false" customHeight="true" outlineLevel="0" collapsed="false">
      <c r="A4" s="11" t="s">
        <v>412</v>
      </c>
      <c r="B4" s="4" t="str">
        <f aca="false">VLOOKUP($B$1,'PARASTATAL Questions'!$A:$J,4,0)&amp;""</f>
        <v>MQ</v>
      </c>
    </row>
    <row r="5" customFormat="false" ht="90.75" hidden="false" customHeight="true" outlineLevel="0" collapsed="false">
      <c r="A5" s="11" t="s">
        <v>0</v>
      </c>
      <c r="B5" s="4" t="str">
        <f aca="false">VLOOKUP($B$1,'PARASTATAL Questions'!$A:$J,5,0)&amp;""</f>
        <v>What is the parastatal's per-capita capital expenditure?</v>
      </c>
    </row>
    <row r="6" customFormat="false" ht="15" hidden="false" customHeight="true" outlineLevel="0" collapsed="false">
      <c r="A6" s="11" t="s">
        <v>414</v>
      </c>
      <c r="B6" s="4" t="n">
        <f aca="false">VLOOKUP($B$1,'PARASTATAL Questions'!$A:$J,6,0)</f>
        <v>10</v>
      </c>
    </row>
    <row r="7" customFormat="false" ht="34.5" hidden="false" customHeight="true" outlineLevel="0" collapsed="false">
      <c r="A7" s="11" t="s">
        <v>413</v>
      </c>
      <c r="B7" s="4" t="str">
        <f aca="false">VLOOKUP($B$1,'PARASTATAL Questions'!$A:$J,7,0)&amp;""</f>
        <v>Implementation (Numeric)</v>
      </c>
    </row>
    <row r="8" customFormat="false" ht="102" hidden="false" customHeight="true" outlineLevel="0" collapsed="false">
      <c r="A8" s="11" t="s">
        <v>447</v>
      </c>
      <c r="B8" s="4" t="str">
        <f aca="false">VLOOKUP($B$1,'PARASTATAL Questions'!$A:$J,8,0)&amp;""</f>
        <v>Parastatals with an infrastructure-delivery/capital-expenditure mandate.</v>
      </c>
    </row>
    <row r="9" customFormat="false" ht="605.25" hidden="false" customHeight="true" outlineLevel="0" collapsed="false">
      <c r="A9" s="11" t="s">
        <v>448</v>
      </c>
      <c r="B9" s="4" t="str">
        <f aca="false">VLOOKUP($B$1,'PARASTATAL Questions'!$A:$J,9,0)&amp;""</f>
        <v>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v>
      </c>
    </row>
    <row r="10" customFormat="false" ht="147" hidden="false" customHeight="true" outlineLevel="0" collapsed="false">
      <c r="A10" s="11" t="s">
        <v>449</v>
      </c>
      <c r="B10" s="4" t="str">
        <f aca="false">VLOOKUP($B$1,'PARASTATAL Questions'!$A:$J,10,0)&amp;""</f>
        <v>Latest annual budget and capital-expenditure accounts of the relevant parastatal; population figure with source.</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942</v>
      </c>
      <c r="L13" s="9" t="str">
        <f aca="false">IF($B13="NO","NA",IF(I13="","",MIN(I13,$B$6)))</f>
        <v/>
      </c>
    </row>
    <row r="14" customFormat="false" ht="68.2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943</v>
      </c>
      <c r="L14" s="9" t="str">
        <f aca="false">IF($B14="NO","NA",IF(I14="","",MIN(I14,$B$6)))</f>
        <v/>
      </c>
    </row>
    <row r="15" customFormat="false" ht="45.7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13" t="s">
        <v>944</v>
      </c>
      <c r="L15" s="9" t="str">
        <f aca="false">IF($B15="NO","NA",IF(I15="","",MIN(I15,$B$6)))</f>
        <v/>
      </c>
    </row>
    <row r="16" customFormat="false" ht="15" hidden="false" customHeight="true" outlineLevel="0" collapsed="false">
      <c r="A16" s="9" t="s">
        <v>42</v>
      </c>
      <c r="B16" s="9" t="s">
        <v>635</v>
      </c>
      <c r="C16" s="9" t="s">
        <v>158</v>
      </c>
      <c r="D16" s="9" t="s">
        <v>945</v>
      </c>
      <c r="E16" s="9" t="s">
        <v>946</v>
      </c>
      <c r="F16" s="9" t="s">
        <v>947</v>
      </c>
      <c r="G16" s="9" t="s">
        <v>948</v>
      </c>
      <c r="H16" s="9" t="s">
        <v>159</v>
      </c>
      <c r="I16" s="16"/>
      <c r="J16" s="9" t="str">
        <f aca="false">IF(COUNTIFS('Scores (start here)'!$A:$A,$B$1,'Scores (start here)'!$B:$B,$A16,'Scores (start here)'!$F:$F,"&gt;=0")&gt;0,SUMIFS('Scores (start here)'!$F:$F,'Scores (start here)'!$A:$A,$B$1,'Scores (start here)'!$B:$B,$A16),L16)</f>
        <v/>
      </c>
      <c r="K16" s="13" t="s">
        <v>949</v>
      </c>
      <c r="L16" s="9" t="str">
        <f aca="false">IF($B16="NO","NA",IF(I16="","",MIN(I16,$B$6)))</f>
        <v/>
      </c>
    </row>
    <row r="17" customFormat="false" ht="15" hidden="false" customHeight="true" outlineLevel="0" collapsed="false">
      <c r="A17" s="17" t="s">
        <v>47</v>
      </c>
      <c r="B17" s="17" t="s">
        <v>677</v>
      </c>
      <c r="C17" s="17"/>
      <c r="D17" s="17"/>
      <c r="E17" s="17"/>
      <c r="F17" s="17"/>
      <c r="G17" s="17"/>
      <c r="H17" s="17"/>
      <c r="I17" s="18"/>
      <c r="J17" s="17" t="str">
        <f aca="false">IF(COUNTIFS('Scores (start here)'!$A:$A,$B$1,'Scores (start here)'!$B:$B,$A17,'Scores (start here)'!$F:$F,"&gt;=0")&gt;0,SUMIFS('Scores (start here)'!$F:$F,'Scores (start here)'!$A:$A,$B$1,'Scores (start here)'!$B:$B,$A17),L17)</f>
        <v>NA</v>
      </c>
      <c r="K17" s="17"/>
      <c r="L17" s="9" t="str">
        <f aca="false">IF($B17="NO","NA",IF(I17="","",MIN(I17,$B$6)))</f>
        <v>NA</v>
      </c>
    </row>
    <row r="18" customFormat="false" ht="15" hidden="false" customHeight="true" outlineLevel="0" collapsed="false">
      <c r="A18" s="17" t="s">
        <v>415</v>
      </c>
      <c r="B18" s="17" t="s">
        <v>677</v>
      </c>
      <c r="C18" s="17"/>
      <c r="D18" s="17"/>
      <c r="E18" s="17"/>
      <c r="F18" s="17"/>
      <c r="G18" s="17"/>
      <c r="H18" s="17"/>
      <c r="I18" s="18"/>
      <c r="J18" s="17" t="str">
        <f aca="false">IF(COUNTIFS('Scores (start here)'!$A:$A,$B$1,'Scores (start here)'!$B:$B,$A18,'Scores (start here)'!$F:$F,"&gt;=0")&gt;0,SUMIFS('Scores (start here)'!$F:$F,'Scores (start here)'!$A:$A,$B$1,'Scores (start here)'!$B:$B,$A18),L18)</f>
        <v>NA</v>
      </c>
      <c r="K18" s="17"/>
      <c r="L18" s="9" t="str">
        <f aca="false">IF($B18="NO","NA",IF(I18="","",MIN(I18,$B$6)))</f>
        <v>NA</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339</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SC-3</v>
      </c>
    </row>
    <row r="4" customFormat="false" ht="15" hidden="false" customHeight="true" outlineLevel="0" collapsed="false">
      <c r="A4" s="11" t="s">
        <v>412</v>
      </c>
      <c r="B4" s="4" t="str">
        <f aca="false">VLOOKUP($B$1,'PARASTATAL Questions'!$A:$J,4,0)&amp;""</f>
        <v>MQ</v>
      </c>
    </row>
    <row r="5" customFormat="false" ht="68.25" hidden="false" customHeight="true" outlineLevel="0" collapsed="false">
      <c r="A5" s="11" t="s">
        <v>0</v>
      </c>
      <c r="B5" s="4" t="str">
        <f aca="false">VLOOKUP($B$1,'PARASTATAL Questions'!$A:$J,5,0)&amp;""</f>
        <v>How realistic is the parastatal's annual budget?</v>
      </c>
    </row>
    <row r="6" customFormat="false" ht="15" hidden="false" customHeight="true" outlineLevel="0" collapsed="false">
      <c r="A6" s="11" t="s">
        <v>414</v>
      </c>
      <c r="B6" s="4" t="n">
        <f aca="false">VLOOKUP($B$1,'PARASTATAL Questions'!$A:$J,6,0)</f>
        <v>10</v>
      </c>
    </row>
    <row r="7" customFormat="false" ht="34.5" hidden="false" customHeight="true" outlineLevel="0" collapsed="false">
      <c r="A7" s="11" t="s">
        <v>413</v>
      </c>
      <c r="B7" s="4" t="str">
        <f aca="false">VLOOKUP($B$1,'PARASTATAL Questions'!$A:$J,7,0)&amp;""</f>
        <v>Implementation (Numeric)</v>
      </c>
    </row>
    <row r="8" customFormat="false" ht="68.25" hidden="false" customHeight="true" outlineLevel="0" collapsed="false">
      <c r="A8" s="11" t="s">
        <v>447</v>
      </c>
      <c r="B8" s="4" t="str">
        <f aca="false">VLOOKUP($B$1,'PARASTATAL Questions'!$A:$J,8,0)&amp;""</f>
        <v>Common — all parastatal types with an annual budget.</v>
      </c>
    </row>
    <row r="9" customFormat="false" ht="225" hidden="false" customHeight="true" outlineLevel="0" collapsed="false">
      <c r="A9" s="11" t="s">
        <v>448</v>
      </c>
      <c r="B9" s="4" t="str">
        <f aca="false">VLOOKUP($B$1,'PARASTATAL Questions'!$A:$J,9,0)&amp;""</f>
        <v>3 year average of budget variance wherever available (at least 2 years but not more than 5 years); If variance is within 15%, the score will be 10 but anything over 15% will score 0 out of 10</v>
      </c>
    </row>
    <row r="10" customFormat="false" ht="135.75" hidden="false" customHeight="true" outlineLevel="0" collapsed="false">
      <c r="A10" s="11" t="s">
        <v>449</v>
      </c>
      <c r="B10" s="4" t="str">
        <f aca="false">VLOOKUP($B$1,'PARASTATAL Questions'!$A:$J,10,0)&amp;""</f>
        <v>Budget documents and audited accounts for the same financial year, compared side by side</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950</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951</v>
      </c>
      <c r="L14" s="9" t="str">
        <f aca="false">IF($B14="NO","NA",IF(I14="","",MIN(I14,$B$6)))</f>
        <v/>
      </c>
    </row>
    <row r="15" customFormat="false" ht="45.7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13" t="s">
        <v>952</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953</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954</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346</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SC-4a</v>
      </c>
    </row>
    <row r="4" customFormat="false" ht="15" hidden="false" customHeight="true" outlineLevel="0" collapsed="false">
      <c r="A4" s="11" t="s">
        <v>412</v>
      </c>
      <c r="B4" s="4" t="str">
        <f aca="false">VLOOKUP($B$1,'PARASTATAL Questions'!$A:$J,4,0)&amp;""</f>
        <v>SQ</v>
      </c>
    </row>
    <row r="5" customFormat="false" ht="124.5" hidden="false" customHeight="true" outlineLevel="0" collapsed="false">
      <c r="A5" s="11" t="s">
        <v>0</v>
      </c>
      <c r="B5" s="4" t="str">
        <f aca="false">VLOOKUP($B$1,'PARASTATAL Questions'!$A:$J,5,0)&amp;""</f>
        <v>Is a medium-term (3-5 year) and/or long-term (&gt;5 year) fiscal plan legally mandated?</v>
      </c>
    </row>
    <row r="6" customFormat="false" ht="15" hidden="false" customHeight="true" outlineLevel="0" collapsed="false">
      <c r="A6" s="11" t="s">
        <v>414</v>
      </c>
      <c r="B6" s="4" t="n">
        <f aca="false">VLOOKUP($B$1,'PARASTATAL Questions'!$A:$J,6,0)</f>
        <v>5</v>
      </c>
    </row>
    <row r="7" customFormat="false" ht="15" hidden="false" customHeight="true" outlineLevel="0" collapsed="false">
      <c r="A7" s="11" t="s">
        <v>413</v>
      </c>
      <c r="B7" s="4" t="str">
        <f aca="false">VLOOKUP($B$1,'PARASTATAL Questions'!$A:$J,7,0)&amp;""</f>
        <v>Law/Policy</v>
      </c>
    </row>
    <row r="8" customFormat="false" ht="15" hidden="false" customHeight="true" outlineLevel="0" collapsed="false">
      <c r="A8" s="11" t="s">
        <v>447</v>
      </c>
      <c r="B8" s="4" t="str">
        <f aca="false">VLOOKUP($B$1,'PARASTATAL Questions'!$A:$J,8,0)&amp;""</f>
        <v>Common.</v>
      </c>
    </row>
    <row r="9" customFormat="false" ht="213.75" hidden="false" customHeight="true" outlineLevel="0" collapsed="false">
      <c r="A9" s="11" t="s">
        <v>448</v>
      </c>
      <c r="B9" s="4" t="str">
        <f aca="false">VLOOKUP($B$1,'PARASTATAL Questions'!$A:$J,9,0)&amp;""</f>
        <v>Score 5 if enabling act of the relevant parastatal require a fiscal plan of defined horizon (Medium term at 3-5 years and long term at &gt;5 years). Score 0 if no such requirement.</v>
      </c>
    </row>
    <row r="10" customFormat="false" ht="45.75" hidden="false" customHeight="true" outlineLevel="0" collapsed="false">
      <c r="A10" s="11" t="s">
        <v>449</v>
      </c>
      <c r="B10" s="4" t="str">
        <f aca="false">VLOOKUP($B$1,'PARASTATAL Questions'!$A:$J,10,0)&amp;""</f>
        <v>Enabling act of the relevant parastatal</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79.5" hidden="false" customHeight="true" outlineLevel="0" collapsed="false">
      <c r="A13" s="9" t="s">
        <v>19</v>
      </c>
      <c r="B13" s="9" t="s">
        <v>635</v>
      </c>
      <c r="C13" s="9" t="s">
        <v>705</v>
      </c>
      <c r="D13" s="9" t="s">
        <v>955</v>
      </c>
      <c r="E13" s="9" t="s">
        <v>956</v>
      </c>
      <c r="F13" s="9" t="s">
        <v>957</v>
      </c>
      <c r="G13" s="9" t="s">
        <v>742</v>
      </c>
      <c r="H13" s="9" t="s">
        <v>710</v>
      </c>
      <c r="I13" s="16" t="n">
        <v>0</v>
      </c>
      <c r="J13" s="9" t="n">
        <f aca="false">IF(COUNTIFS('Scores (start here)'!$A:$A,$B$1,'Scores (start here)'!$B:$B,$A13,'Scores (start here)'!$F:$F,"&gt;=0")&gt;0,SUMIFS('Scores (start here)'!$F:$F,'Scores (start here)'!$A:$A,$B$1,'Scores (start here)'!$B:$B,$A13),L13)</f>
        <v>0</v>
      </c>
      <c r="K13" s="13" t="s">
        <v>958</v>
      </c>
      <c r="L13" s="9" t="n">
        <f aca="false">IF($B13="NO","NA",IF(I13="","",MIN(I13,$B$6)))</f>
        <v>0</v>
      </c>
    </row>
    <row r="14" customFormat="false" ht="23.25" hidden="false" customHeight="true" outlineLevel="0" collapsed="false">
      <c r="A14" s="9" t="s">
        <v>30</v>
      </c>
      <c r="B14" s="9" t="s">
        <v>635</v>
      </c>
      <c r="C14" s="9" t="s">
        <v>959</v>
      </c>
      <c r="D14" s="9" t="s">
        <v>960</v>
      </c>
      <c r="E14" s="9" t="s">
        <v>961</v>
      </c>
      <c r="G14" s="9" t="s">
        <v>722</v>
      </c>
      <c r="H14" s="9" t="s">
        <v>962</v>
      </c>
      <c r="I14" s="16" t="n">
        <v>0</v>
      </c>
      <c r="J14" s="9" t="n">
        <f aca="false">IF(COUNTIFS('Scores (start here)'!$A:$A,$B$1,'Scores (start here)'!$B:$B,$A14,'Scores (start here)'!$F:$F,"&gt;=0")&gt;0,SUMIFS('Scores (start here)'!$F:$F,'Scores (start here)'!$A:$A,$B$1,'Scores (start here)'!$B:$B,$A14),L14)</f>
        <v>0</v>
      </c>
      <c r="K14" s="13" t="s">
        <v>963</v>
      </c>
      <c r="L14" s="9" t="n">
        <f aca="false">IF($B14="NO","NA",IF(I14="","",MIN(I14,$B$6)))</f>
        <v>0</v>
      </c>
    </row>
    <row r="15" customFormat="false" ht="23.25" hidden="false" customHeight="true" outlineLevel="0" collapsed="false">
      <c r="A15" s="9" t="s">
        <v>36</v>
      </c>
      <c r="B15" s="9" t="s">
        <v>635</v>
      </c>
      <c r="C15" s="9" t="s">
        <v>38</v>
      </c>
      <c r="D15" s="9" t="s">
        <v>964</v>
      </c>
      <c r="E15" s="9" t="s">
        <v>965</v>
      </c>
      <c r="F15" s="9" t="s">
        <v>966</v>
      </c>
      <c r="G15" s="9" t="s">
        <v>967</v>
      </c>
      <c r="H15" s="9" t="s">
        <v>39</v>
      </c>
      <c r="I15" s="16" t="n">
        <v>0</v>
      </c>
      <c r="J15" s="9" t="n">
        <f aca="false">IF(COUNTIFS('Scores (start here)'!$A:$A,$B$1,'Scores (start here)'!$B:$B,$A15,'Scores (start here)'!$F:$F,"&gt;=0")&gt;0,SUMIFS('Scores (start here)'!$F:$F,'Scores (start here)'!$A:$A,$B$1,'Scores (start here)'!$B:$B,$A15),L15)</f>
        <v>0</v>
      </c>
      <c r="K15" s="13" t="s">
        <v>968</v>
      </c>
      <c r="L15" s="9" t="n">
        <f aca="false">IF($B15="NO","NA",IF(I15="","",MIN(I15,$B$6)))</f>
        <v>0</v>
      </c>
    </row>
    <row r="16" customFormat="false" ht="236.25" hidden="false" customHeight="true" outlineLevel="0" collapsed="false">
      <c r="A16" s="9" t="s">
        <v>42</v>
      </c>
      <c r="B16" s="9" t="s">
        <v>635</v>
      </c>
      <c r="C16" s="9" t="s">
        <v>308</v>
      </c>
      <c r="D16" s="9" t="s">
        <v>969</v>
      </c>
      <c r="E16" s="9" t="s">
        <v>970</v>
      </c>
      <c r="F16" s="9" t="s">
        <v>971</v>
      </c>
      <c r="G16" s="9" t="s">
        <v>644</v>
      </c>
      <c r="H16" s="9" t="s">
        <v>33</v>
      </c>
      <c r="I16" s="16" t="n">
        <v>0</v>
      </c>
      <c r="J16" s="9" t="n">
        <f aca="false">IF(COUNTIFS('Scores (start here)'!$A:$A,$B$1,'Scores (start here)'!$B:$B,$A16,'Scores (start here)'!$F:$F,"&gt;=0")&gt;0,SUMIFS('Scores (start here)'!$F:$F,'Scores (start here)'!$A:$A,$B$1,'Scores (start here)'!$B:$B,$A16),L16)</f>
        <v>0</v>
      </c>
      <c r="K16" s="13" t="s">
        <v>972</v>
      </c>
      <c r="L16" s="9" t="n">
        <f aca="false">IF($B16="NO","NA",IF(I16="","",MIN(I16,$B$6)))</f>
        <v>0</v>
      </c>
    </row>
    <row r="17" customFormat="false" ht="15" hidden="false" customHeight="true" outlineLevel="0" collapsed="false">
      <c r="A17" s="9" t="s">
        <v>47</v>
      </c>
      <c r="B17" s="9" t="s">
        <v>635</v>
      </c>
      <c r="C17" s="9" t="s">
        <v>656</v>
      </c>
      <c r="D17" s="9" t="s">
        <v>973</v>
      </c>
      <c r="E17" s="9" t="s">
        <v>974</v>
      </c>
      <c r="G17" s="9" t="s">
        <v>792</v>
      </c>
      <c r="H17" s="9" t="s">
        <v>660</v>
      </c>
      <c r="I17" s="16" t="n">
        <v>0</v>
      </c>
      <c r="J17" s="9" t="n">
        <f aca="false">IF(COUNTIFS('Scores (start here)'!$A:$A,$B$1,'Scores (start here)'!$B:$B,$A17,'Scores (start here)'!$F:$F,"&gt;=0")&gt;0,SUMIFS('Scores (start here)'!$F:$F,'Scores (start here)'!$A:$A,$B$1,'Scores (start here)'!$B:$B,$A17),L17)</f>
        <v>0</v>
      </c>
      <c r="K17" s="13" t="s">
        <v>661</v>
      </c>
      <c r="L17" s="9" t="n">
        <f aca="false">IF($B17="NO","NA",IF(I17="","",MIN(I17,$B$6)))</f>
        <v>0</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357</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SC-4b</v>
      </c>
    </row>
    <row r="4" customFormat="false" ht="15" hidden="false" customHeight="true" outlineLevel="0" collapsed="false">
      <c r="A4" s="11" t="s">
        <v>412</v>
      </c>
      <c r="B4" s="4" t="str">
        <f aca="false">VLOOKUP($B$1,'PARASTATAL Questions'!$A:$J,4,0)&amp;""</f>
        <v>SQ</v>
      </c>
    </row>
    <row r="5" customFormat="false" ht="68.25" hidden="false" customHeight="true" outlineLevel="0" collapsed="false">
      <c r="A5" s="11" t="s">
        <v>0</v>
      </c>
      <c r="B5" s="4" t="str">
        <f aca="false">VLOOKUP($B$1,'PARASTATAL Questions'!$A:$J,5,0)&amp;""</f>
        <v>Is the medium/long-term fiscal plan publicly available?</v>
      </c>
    </row>
    <row r="6" customFormat="false" ht="15" hidden="false" customHeight="true" outlineLevel="0" collapsed="false">
      <c r="A6" s="11" t="s">
        <v>414</v>
      </c>
      <c r="B6" s="4" t="n">
        <f aca="false">VLOOKUP($B$1,'PARASTATAL Questions'!$A:$J,6,0)</f>
        <v>5</v>
      </c>
    </row>
    <row r="7" customFormat="false" ht="23.25" hidden="false" customHeight="true" outlineLevel="0" collapsed="false">
      <c r="A7" s="11" t="s">
        <v>413</v>
      </c>
      <c r="B7" s="4" t="str">
        <f aca="false">VLOOKUP($B$1,'PARASTATAL Questions'!$A:$J,7,0)&amp;""</f>
        <v>Implementation</v>
      </c>
    </row>
    <row r="8" customFormat="false" ht="15" hidden="false" customHeight="true" outlineLevel="0" collapsed="false">
      <c r="A8" s="11" t="s">
        <v>447</v>
      </c>
      <c r="B8" s="4" t="str">
        <f aca="false">VLOOKUP($B$1,'PARASTATAL Questions'!$A:$J,8,0)&amp;""</f>
        <v>Common.</v>
      </c>
    </row>
    <row r="9" customFormat="false" ht="135.75" hidden="false" customHeight="true" outlineLevel="0" collapsed="false">
      <c r="A9" s="11" t="s">
        <v>448</v>
      </c>
      <c r="B9" s="4" t="str">
        <f aca="false">VLOOKUP($B$1,'PARASTATAL Questions'!$A:$J,9,0)&amp;""</f>
        <v>Score 5 if the fiscal plan is published online on the relevant parastatal's website. Score 0 if not available.</v>
      </c>
    </row>
    <row r="10" customFormat="false" ht="45.75" hidden="false" customHeight="true" outlineLevel="0" collapsed="false">
      <c r="A10" s="11" t="s">
        <v>449</v>
      </c>
      <c r="B10" s="4" t="str">
        <f aca="false">VLOOKUP($B$1,'PARASTATAL Questions'!$A:$J,10,0)&amp;""</f>
        <v>Website of the relevant parastatal</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975</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976</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977</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978</v>
      </c>
      <c r="L16" s="9" t="str">
        <f aca="false">IF($B16="NO","NA",IF(I16="","",MIN(I16,$B$6)))</f>
        <v/>
      </c>
    </row>
    <row r="17" customFormat="false" ht="15" hidden="false" customHeight="true" outlineLevel="0" collapsed="false">
      <c r="A17" s="9" t="s">
        <v>47</v>
      </c>
      <c r="B17" s="9" t="s">
        <v>635</v>
      </c>
      <c r="C17" s="9" t="s">
        <v>191</v>
      </c>
      <c r="D17" s="9" t="s">
        <v>835</v>
      </c>
      <c r="E17" s="9" t="s">
        <v>979</v>
      </c>
      <c r="H17" s="9" t="s">
        <v>192</v>
      </c>
      <c r="I17" s="16"/>
      <c r="J17" s="9" t="str">
        <f aca="false">IF(COUNTIFS('Scores (start here)'!$A:$A,$B$1,'Scores (start here)'!$B:$B,$A17,'Scores (start here)'!$F:$F,"&gt;=0")&gt;0,SUMIFS('Scores (start here)'!$F:$F,'Scores (start here)'!$A:$A,$B$1,'Scores (start here)'!$B:$B,$A17),L17)</f>
        <v/>
      </c>
      <c r="K17" s="13" t="s">
        <v>980</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364</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SC-5</v>
      </c>
    </row>
    <row r="4" customFormat="false" ht="15" hidden="false" customHeight="true" outlineLevel="0" collapsed="false">
      <c r="A4" s="11" t="s">
        <v>412</v>
      </c>
      <c r="B4" s="4" t="str">
        <f aca="false">VLOOKUP($B$1,'PARASTATAL Questions'!$A:$J,4,0)&amp;""</f>
        <v>MQ</v>
      </c>
    </row>
    <row r="5" customFormat="false" ht="124.5" hidden="false" customHeight="true" outlineLevel="0" collapsed="false">
      <c r="A5" s="11" t="s">
        <v>0</v>
      </c>
      <c r="B5" s="4" t="str">
        <f aca="false">VLOOKUP($B$1,'PARASTATAL Questions'!$A:$J,5,0)&amp;""</f>
        <v>Does the law mandate a minimum tenure for the executive authority of the parastatal?</v>
      </c>
    </row>
    <row r="6" customFormat="false" ht="15" hidden="false" customHeight="true" outlineLevel="0" collapsed="false">
      <c r="A6" s="11" t="s">
        <v>414</v>
      </c>
      <c r="B6" s="4" t="n">
        <f aca="false">VLOOKUP($B$1,'PARASTATAL Questions'!$A:$J,6,0)</f>
        <v>10</v>
      </c>
    </row>
    <row r="7" customFormat="false" ht="15" hidden="false" customHeight="true" outlineLevel="0" collapsed="false">
      <c r="A7" s="11" t="s">
        <v>413</v>
      </c>
      <c r="B7" s="4" t="str">
        <f aca="false">VLOOKUP($B$1,'PARASTATAL Questions'!$A:$J,7,0)&amp;""</f>
        <v>Law/Policy</v>
      </c>
    </row>
    <row r="8" customFormat="false" ht="15" hidden="false" customHeight="true" outlineLevel="0" collapsed="false">
      <c r="A8" s="11" t="s">
        <v>447</v>
      </c>
      <c r="B8" s="4" t="str">
        <f aca="false">VLOOKUP($B$1,'PARASTATAL Questions'!$A:$J,8,0)&amp;""</f>
        <v>Common.</v>
      </c>
    </row>
    <row r="9" customFormat="false" ht="885.75" hidden="false" customHeight="true" outlineLevel="0" collapsed="false">
      <c r="A9" s="11" t="s">
        <v>448</v>
      </c>
      <c r="B9" s="4" t="str">
        <f aca="false">VLOOKUP($B$1,'PARASTATAL Questions'!$A:$J,9,0)&amp;""</f>
        <v>Review the relevant Parastatal Act and rules governing the appointment of the chief executive/executive authority.Score 10 — the law mandates a minimum tenure of two years (or more) for the executive authority, with removal permitted only on defined grounds (e.g. misconduct, incapacity) rather than at unrestricted discretion.Score 5 — the law mandates a minimum tenure of less than two years.Score 0 — no minimum tenure is prescribed in law.This refers to the bureaucratic/administrative head of the parastatal — for example, the Managing Director, Commissioner, Chief Executive Officer or equivalent executive authority — and not to the Chairperson or political head.</v>
      </c>
    </row>
    <row r="10" customFormat="false" ht="147" hidden="false" customHeight="true" outlineLevel="0" collapsed="false">
      <c r="A10" s="11" t="s">
        <v>449</v>
      </c>
      <c r="B10" s="4" t="str">
        <f aca="false">VLOOKUP($B$1,'PARASTATAL Questions'!$A:$J,10,0)&amp;""</f>
        <v>Relevant Parastatal Act; rules governing appointment, tenure and removal of the executive authority/chief executive.</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C13" s="9" t="s">
        <v>705</v>
      </c>
      <c r="D13" s="9" t="s">
        <v>981</v>
      </c>
      <c r="E13" s="9" t="s">
        <v>982</v>
      </c>
      <c r="F13" s="9" t="s">
        <v>983</v>
      </c>
      <c r="G13" s="9" t="s">
        <v>175</v>
      </c>
      <c r="H13" s="9" t="s">
        <v>710</v>
      </c>
      <c r="I13" s="16" t="n">
        <v>0</v>
      </c>
      <c r="J13" s="9" t="n">
        <f aca="false">IF(COUNTIFS('Scores (start here)'!$A:$A,$B$1,'Scores (start here)'!$B:$B,$A13,'Scores (start here)'!$F:$F,"&gt;=0")&gt;0,SUMIFS('Scores (start here)'!$F:$F,'Scores (start here)'!$A:$A,$B$1,'Scores (start here)'!$B:$B,$A13),L13)</f>
        <v>0</v>
      </c>
      <c r="K13" s="13" t="s">
        <v>692</v>
      </c>
      <c r="L13" s="9" t="n">
        <f aca="false">IF($B13="NO","NA",IF(I13="","",MIN(I13,$B$6)))</f>
        <v>0</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984</v>
      </c>
      <c r="L14" s="9" t="str">
        <f aca="false">IF($B14="NO","NA",IF(I14="","",MIN(I14,$B$6)))</f>
        <v/>
      </c>
    </row>
    <row r="15" customFormat="false" ht="303" hidden="false" customHeight="true" outlineLevel="0" collapsed="false">
      <c r="A15" s="9" t="s">
        <v>36</v>
      </c>
      <c r="B15" s="9" t="s">
        <v>635</v>
      </c>
      <c r="C15" s="9" t="s">
        <v>38</v>
      </c>
      <c r="D15" s="9" t="s">
        <v>763</v>
      </c>
      <c r="E15" s="9" t="s">
        <v>985</v>
      </c>
      <c r="F15" s="9" t="s">
        <v>986</v>
      </c>
      <c r="G15" s="9" t="s">
        <v>987</v>
      </c>
      <c r="H15" s="9" t="s">
        <v>39</v>
      </c>
      <c r="I15" s="16" t="n">
        <v>0</v>
      </c>
      <c r="J15" s="9" t="n">
        <f aca="false">IF(COUNTIFS('Scores (start here)'!$A:$A,$B$1,'Scores (start here)'!$B:$B,$A15,'Scores (start here)'!$F:$F,"&gt;=0")&gt;0,SUMIFS('Scores (start here)'!$F:$F,'Scores (start here)'!$A:$A,$B$1,'Scores (start here)'!$B:$B,$A15),L15)</f>
        <v>0</v>
      </c>
      <c r="K15" s="13" t="s">
        <v>988</v>
      </c>
      <c r="L15" s="9" t="n">
        <f aca="false">IF($B15="NO","NA",IF(I15="","",MIN(I15,$B$6)))</f>
        <v>0</v>
      </c>
    </row>
    <row r="16" customFormat="false" ht="202.5" hidden="false" customHeight="true" outlineLevel="0" collapsed="false">
      <c r="A16" s="9" t="s">
        <v>42</v>
      </c>
      <c r="B16" s="9" t="s">
        <v>635</v>
      </c>
      <c r="C16" s="9" t="s">
        <v>158</v>
      </c>
      <c r="D16" s="9" t="s">
        <v>989</v>
      </c>
      <c r="E16" s="9" t="s">
        <v>990</v>
      </c>
      <c r="F16" s="9" t="s">
        <v>991</v>
      </c>
      <c r="G16" s="9" t="s">
        <v>770</v>
      </c>
      <c r="H16" s="9" t="s">
        <v>159</v>
      </c>
      <c r="I16" s="16" t="n">
        <v>0</v>
      </c>
      <c r="J16" s="9" t="n">
        <f aca="false">IF(COUNTIFS('Scores (start here)'!$A:$A,$B$1,'Scores (start here)'!$B:$B,$A16,'Scores (start here)'!$F:$F,"&gt;=0")&gt;0,SUMIFS('Scores (start here)'!$F:$F,'Scores (start here)'!$A:$A,$B$1,'Scores (start here)'!$B:$B,$A16),L16)</f>
        <v>0</v>
      </c>
      <c r="K16" s="13" t="s">
        <v>992</v>
      </c>
      <c r="L16" s="9" t="n">
        <f aca="false">IF($B16="NO","NA",IF(I16="","",MIN(I16,$B$6)))</f>
        <v>0</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661</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373</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SC-6</v>
      </c>
    </row>
    <row r="4" customFormat="false" ht="15" hidden="false" customHeight="true" outlineLevel="0" collapsed="false">
      <c r="A4" s="11" t="s">
        <v>412</v>
      </c>
      <c r="B4" s="4" t="str">
        <f aca="false">VLOOKUP($B$1,'PARASTATAL Questions'!$A:$J,4,0)&amp;""</f>
        <v>MQ</v>
      </c>
    </row>
    <row r="5" customFormat="false" ht="124.5" hidden="false" customHeight="true" outlineLevel="0" collapsed="false">
      <c r="A5" s="11" t="s">
        <v>0</v>
      </c>
      <c r="B5" s="4" t="str">
        <f aca="false">VLOOKUP($B$1,'PARASTATAL Questions'!$A:$J,5,0)&amp;""</f>
        <v>What is the average tenure of the chief executive/executive authority of the parastatal?</v>
      </c>
    </row>
    <row r="6" customFormat="false" ht="15" hidden="false" customHeight="true" outlineLevel="0" collapsed="false">
      <c r="A6" s="11" t="s">
        <v>414</v>
      </c>
      <c r="B6" s="4" t="n">
        <f aca="false">VLOOKUP($B$1,'PARASTATAL Questions'!$A:$J,6,0)</f>
        <v>10</v>
      </c>
    </row>
    <row r="7" customFormat="false" ht="34.5" hidden="false" customHeight="true" outlineLevel="0" collapsed="false">
      <c r="A7" s="11" t="s">
        <v>413</v>
      </c>
      <c r="B7" s="4" t="str">
        <f aca="false">VLOOKUP($B$1,'PARASTATAL Questions'!$A:$J,7,0)&amp;""</f>
        <v>Implementation (Numeric)</v>
      </c>
    </row>
    <row r="8" customFormat="false" ht="124.5" hidden="false" customHeight="true" outlineLevel="0" collapsed="false">
      <c r="A8" s="11" t="s">
        <v>447</v>
      </c>
      <c r="B8" s="4" t="str">
        <f aca="false">VLOOKUP($B$1,'PARASTATAL Questions'!$A:$J,8,0)&amp;""</f>
        <v>Common — all parastatal types with a designated chief executive/executive authority post.</v>
      </c>
    </row>
    <row r="9" customFormat="false" ht="415.5" hidden="false" customHeight="true" outlineLevel="0" collapsed="false">
      <c r="A9" s="11" t="s">
        <v>448</v>
      </c>
      <c r="B9" s="4" t="str">
        <f aca="false">VLOOKUP($B$1,'PARASTATAL Questions'!$A:$J,9,0)&amp;""</f>
        <v>Review appointments/transfers of the chief executive or executive authority over the last five years. Score 10 if one chief executive has served during the periodScore 5 if 2–3 chief executives have servedScore 0 if more than 3 chief executives have served. Where an officer has held only additional/acting charge, record this separately.</v>
      </c>
    </row>
    <row r="10" customFormat="false" ht="124.5" hidden="false" customHeight="true" outlineLevel="0" collapsed="false">
      <c r="A10" s="11" t="s">
        <v>449</v>
      </c>
      <c r="B10" s="4" t="str">
        <f aca="false">VLOOKUP($B$1,'PARASTATAL Questions'!$A:$J,10,0)&amp;""</f>
        <v>Newspaper reports, Gazette notifications of appointment/transfer and website of relevant parastatal</v>
      </c>
    </row>
    <row r="11" customFormat="false" ht="15" hidden="false" customHeight="true" outlineLevel="0" collapsed="false">
      <c r="B11" s="15" t="s">
        <v>621</v>
      </c>
      <c r="I11" s="15" t="s">
        <v>793</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993</v>
      </c>
      <c r="L13" s="9" t="str">
        <f aca="false">IF($B13="NO","NA",IF(I13="","",MIN(I13,$B$6)))</f>
        <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994</v>
      </c>
      <c r="L14" s="9" t="str">
        <f aca="false">IF($B14="NO","NA",IF(I14="","",MIN(I14,$B$6)))</f>
        <v/>
      </c>
    </row>
    <row r="15" customFormat="false" ht="57"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13" t="s">
        <v>995</v>
      </c>
      <c r="L15" s="9" t="str">
        <f aca="false">IF($B15="NO","NA",IF(I15="","",MIN(I15,$B$6)))</f>
        <v/>
      </c>
    </row>
    <row r="16" customFormat="false" ht="15" hidden="false" customHeight="true" outlineLevel="0" collapsed="false">
      <c r="A16" s="9" t="s">
        <v>42</v>
      </c>
      <c r="B16" s="9" t="s">
        <v>635</v>
      </c>
      <c r="C16" s="9" t="s">
        <v>158</v>
      </c>
      <c r="D16" s="9" t="s">
        <v>996</v>
      </c>
      <c r="E16" s="9" t="s">
        <v>997</v>
      </c>
      <c r="F16" s="9" t="s">
        <v>998</v>
      </c>
      <c r="G16" s="9" t="s">
        <v>999</v>
      </c>
      <c r="H16" s="9" t="s">
        <v>159</v>
      </c>
      <c r="I16" s="16"/>
      <c r="J16" s="9" t="str">
        <f aca="false">IF(COUNTIFS('Scores (start here)'!$A:$A,$B$1,'Scores (start here)'!$B:$B,$A16,'Scores (start here)'!$F:$F,"&gt;=0")&gt;0,SUMIFS('Scores (start here)'!$F:$F,'Scores (start here)'!$A:$A,$B$1,'Scores (start here)'!$B:$B,$A16),L16)</f>
        <v/>
      </c>
      <c r="K16" s="13" t="s">
        <v>1000</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1001</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382</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SC-7a</v>
      </c>
    </row>
    <row r="4" customFormat="false" ht="15" hidden="false" customHeight="true" outlineLevel="0" collapsed="false">
      <c r="A4" s="11" t="s">
        <v>412</v>
      </c>
      <c r="B4" s="4" t="str">
        <f aca="false">VLOOKUP($B$1,'PARASTATAL Questions'!$A:$J,4,0)&amp;""</f>
        <v>SQ</v>
      </c>
    </row>
    <row r="5" customFormat="false" ht="102" hidden="false" customHeight="true" outlineLevel="0" collapsed="false">
      <c r="A5" s="11" t="s">
        <v>0</v>
      </c>
      <c r="B5" s="4" t="str">
        <f aca="false">VLOOKUP($B$1,'PARASTATAL Questions'!$A:$J,5,0)&amp;""</f>
        <v>Does the parastatal have adequate staffing capacity to discharge its mandate?</v>
      </c>
    </row>
    <row r="6" customFormat="false" ht="15" hidden="false" customHeight="true" outlineLevel="0" collapsed="false">
      <c r="A6" s="11" t="s">
        <v>414</v>
      </c>
      <c r="B6" s="4" t="n">
        <f aca="false">VLOOKUP($B$1,'PARASTATAL Questions'!$A:$J,6,0)</f>
        <v>5</v>
      </c>
    </row>
    <row r="7" customFormat="false" ht="34.5" hidden="false" customHeight="true" outlineLevel="0" collapsed="false">
      <c r="A7" s="11" t="s">
        <v>413</v>
      </c>
      <c r="B7" s="4" t="str">
        <f aca="false">VLOOKUP($B$1,'PARASTATAL Questions'!$A:$J,7,0)&amp;""</f>
        <v>Implementation (Numeric)</v>
      </c>
    </row>
    <row r="8" customFormat="false" ht="45.75" hidden="false" customHeight="true" outlineLevel="0" collapsed="false">
      <c r="A8" s="11" t="s">
        <v>447</v>
      </c>
      <c r="B8" s="4" t="str">
        <f aca="false">VLOOKUP($B$1,'PARASTATAL Questions'!$A:$J,8,0)&amp;""</f>
        <v>Common — all parastatal types.</v>
      </c>
    </row>
    <row r="9" customFormat="false" ht="538.5" hidden="false" customHeight="true" outlineLevel="0" collapsed="false">
      <c r="A9" s="11" t="s">
        <v>448</v>
      </c>
      <c r="B9" s="4" t="str">
        <f aca="false">VLOOKUP($B$1,'PARASTATAL Questions'!$A:$J,9,0)&amp;""</f>
        <v>Collect the parastatal’s sanctioned and filled positions, including permanent and contractual staff where they form part of the approved staffing structure. Calculate the proportion of sanctioned positions that are filled.Score 5 – 90% or more of sanctioned positions filledScore 4 – 75%–89%Score 3 – 60%–74%Score 2 – 40%–59%Score 1 – below 40%Score 0 – no staffing data available / no evidence of sanctioned staffing structure</v>
      </c>
    </row>
    <row r="10" customFormat="false" ht="135.75" hidden="false" customHeight="true" outlineLevel="0" collapsed="false">
      <c r="A10" s="11" t="s">
        <v>449</v>
      </c>
      <c r="B10" s="4" t="str">
        <f aca="false">VLOOKUP($B$1,'PARASTATAL Questions'!$A:$J,10,0)&amp;""</f>
        <v>Staffing records on the website/ RTI  and/or formal data request with the parastatal/ annual report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79.5" hidden="false" customHeight="true" outlineLevel="0" collapsed="false">
      <c r="A13" s="9" t="s">
        <v>19</v>
      </c>
      <c r="B13" s="9" t="s">
        <v>635</v>
      </c>
      <c r="C13" s="9" t="s">
        <v>73</v>
      </c>
      <c r="D13" s="9" t="s">
        <v>1002</v>
      </c>
      <c r="E13" s="9" t="s">
        <v>1003</v>
      </c>
      <c r="F13" s="9" t="s">
        <v>1004</v>
      </c>
      <c r="G13" s="9" t="s">
        <v>1005</v>
      </c>
      <c r="H13" s="9" t="s">
        <v>74</v>
      </c>
      <c r="I13" s="16" t="n">
        <v>3</v>
      </c>
      <c r="J13" s="9" t="n">
        <f aca="false">IF(COUNTIFS('Scores (start here)'!$A:$A,$B$1,'Scores (start here)'!$B:$B,$A13,'Scores (start here)'!$F:$F,"&gt;=0")&gt;0,SUMIFS('Scores (start here)'!$F:$F,'Scores (start here)'!$A:$A,$B$1,'Scores (start here)'!$B:$B,$A13),L13)</f>
        <v>3</v>
      </c>
      <c r="K13" s="13" t="s">
        <v>1006</v>
      </c>
      <c r="L13" s="9" t="n">
        <f aca="false">IF($B13="NO","NA",IF(I13="","",MIN(I13,$B$6)))</f>
        <v>3</v>
      </c>
    </row>
    <row r="14" customFormat="false" ht="1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9" t="s">
        <v>1007</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1008</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1009</v>
      </c>
      <c r="L16" s="9" t="str">
        <f aca="false">IF($B16="NO","NA",IF(I16="","",MIN(I16,$B$6)))</f>
        <v/>
      </c>
    </row>
    <row r="17" customFormat="false" ht="258.75" hidden="false" customHeight="true" outlineLevel="0" collapsed="false">
      <c r="A17" s="9" t="s">
        <v>47</v>
      </c>
      <c r="B17" s="9" t="s">
        <v>635</v>
      </c>
      <c r="C17" s="9" t="s">
        <v>239</v>
      </c>
      <c r="D17" s="9" t="s">
        <v>1010</v>
      </c>
      <c r="E17" s="9" t="s">
        <v>1011</v>
      </c>
      <c r="H17" s="9" t="s">
        <v>240</v>
      </c>
      <c r="I17" s="16"/>
      <c r="J17" s="9" t="str">
        <f aca="false">IF(COUNTIFS('Scores (start here)'!$A:$A,$B$1,'Scores (start here)'!$B:$B,$A17,'Scores (start here)'!$F:$F,"&gt;=0")&gt;0,SUMIFS('Scores (start here)'!$F:$F,'Scores (start here)'!$A:$A,$B$1,'Scores (start here)'!$B:$B,$A17),L17)</f>
        <v/>
      </c>
      <c r="K17" s="13" t="s">
        <v>1012</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9" width="28"/>
    <col collapsed="false" customWidth="true" hidden="false" outlineLevel="0" max="2" min="2" style="9" width="10"/>
    <col collapsed="false" customWidth="true" hidden="false" outlineLevel="0" max="3" min="3" style="9" width="30"/>
    <col collapsed="false" customWidth="true" hidden="false" outlineLevel="0" max="8" min="8" style="9" width="10"/>
    <col collapsed="false" customWidth="true" hidden="false" outlineLevel="0" max="9" min="9" style="9" width="40"/>
  </cols>
  <sheetData>
    <row r="1" customFormat="false" ht="15" hidden="false" customHeight="true" outlineLevel="0" collapsed="false">
      <c r="A1" s="9" t="s">
        <v>618</v>
      </c>
      <c r="B1" s="9" t="s">
        <v>391</v>
      </c>
      <c r="C1" s="9" t="s">
        <v>619</v>
      </c>
      <c r="J1" s="14" t="s">
        <v>620</v>
      </c>
    </row>
    <row r="2" customFormat="false" ht="23.25" hidden="false" customHeight="true" outlineLevel="0" collapsed="false">
      <c r="A2" s="11" t="s">
        <v>411</v>
      </c>
      <c r="B2" s="4" t="str">
        <f aca="false">VLOOKUP($B$1,'PARASTATAL Questions'!$A:$J,3,0)&amp;""</f>
        <v>State Capacities</v>
      </c>
    </row>
    <row r="3" customFormat="false" ht="15" hidden="false" customHeight="true" outlineLevel="0" collapsed="false">
      <c r="A3" s="11" t="s">
        <v>446</v>
      </c>
      <c r="B3" s="4" t="str">
        <f aca="false">VLOOKUP($B$1,'PARASTATAL Questions'!$A:$J,2,0)&amp;""</f>
        <v>SC-7b</v>
      </c>
    </row>
    <row r="4" customFormat="false" ht="15" hidden="false" customHeight="true" outlineLevel="0" collapsed="false">
      <c r="A4" s="11" t="s">
        <v>412</v>
      </c>
      <c r="B4" s="4" t="str">
        <f aca="false">VLOOKUP($B$1,'PARASTATAL Questions'!$A:$J,4,0)&amp;""</f>
        <v>SQ</v>
      </c>
    </row>
    <row r="5" customFormat="false" ht="79.5" hidden="false" customHeight="true" outlineLevel="0" collapsed="false">
      <c r="A5" s="11" t="s">
        <v>0</v>
      </c>
      <c r="B5" s="4" t="str">
        <f aca="false">VLOOKUP($B$1,'PARASTATAL Questions'!$A:$J,5,0)&amp;""</f>
        <v>What proportion of the parastatal's workforce is women?</v>
      </c>
    </row>
    <row r="6" customFormat="false" ht="15" hidden="false" customHeight="true" outlineLevel="0" collapsed="false">
      <c r="A6" s="11" t="s">
        <v>414</v>
      </c>
      <c r="B6" s="4" t="n">
        <f aca="false">VLOOKUP($B$1,'PARASTATAL Questions'!$A:$J,6,0)</f>
        <v>5</v>
      </c>
    </row>
    <row r="7" customFormat="false" ht="34.5" hidden="false" customHeight="true" outlineLevel="0" collapsed="false">
      <c r="A7" s="11" t="s">
        <v>413</v>
      </c>
      <c r="B7" s="4" t="str">
        <f aca="false">VLOOKUP($B$1,'PARASTATAL Questions'!$A:$J,7,0)&amp;""</f>
        <v>Implementation (Numeric)</v>
      </c>
    </row>
    <row r="8" customFormat="false" ht="45.75" hidden="false" customHeight="true" outlineLevel="0" collapsed="false">
      <c r="A8" s="11" t="s">
        <v>447</v>
      </c>
      <c r="B8" s="4" t="str">
        <f aca="false">VLOOKUP($B$1,'PARASTATAL Questions'!$A:$J,8,0)&amp;""</f>
        <v>Common — all parastatal types.</v>
      </c>
    </row>
    <row r="9" customFormat="false" ht="684" hidden="false" customHeight="true" outlineLevel="0" collapsed="false">
      <c r="A9" s="11" t="s">
        <v>448</v>
      </c>
      <c r="B9" s="4" t="str">
        <f aca="false">VLOOKUP($B$1,'PARASTATAL Questions'!$A:$J,9,0)&amp;""</f>
        <v>Compute women employees as a proportion of total filled posts using the latest available staffing data. % women in workforce = (Number of women employees ÷ Total filled posts) × 100, using the latest available staffing data.Scoring bands:Score 5 — women constitute ≥33% of the workforceScore 2.5 — women constitute 15–32% of the workforceScore 0 — women constitute &lt;15% of the workforceAlso record, wherever available, the proportion of women in senior/decision-making positions and technical/professional cadres.</v>
      </c>
    </row>
    <row r="10" customFormat="false" ht="135.75" hidden="false" customHeight="true" outlineLevel="0" collapsed="false">
      <c r="A10" s="11" t="s">
        <v>449</v>
      </c>
      <c r="B10" s="4" t="str">
        <f aca="false">VLOOKUP($B$1,'PARASTATAL Questions'!$A:$J,10,0)&amp;""</f>
        <v>Staffing records on the website/ RTI  and/or formal data request with the parastatal/ annual report</v>
      </c>
    </row>
    <row r="11" customFormat="false" ht="15" hidden="false" customHeight="true" outlineLevel="0" collapsed="false">
      <c r="B11" s="15" t="s">
        <v>621</v>
      </c>
      <c r="I11" s="15" t="s">
        <v>622</v>
      </c>
      <c r="J11" s="15" t="s">
        <v>623</v>
      </c>
      <c r="L11" s="9" t="s">
        <v>624</v>
      </c>
    </row>
    <row r="12" customFormat="false" ht="51.75" hidden="false" customHeight="true" outlineLevel="0" collapsed="false">
      <c r="A12" s="1" t="s">
        <v>436</v>
      </c>
      <c r="B12" s="1" t="s">
        <v>625</v>
      </c>
      <c r="C12" s="1" t="s">
        <v>626</v>
      </c>
      <c r="D12" s="1" t="s">
        <v>627</v>
      </c>
      <c r="E12" s="1" t="s">
        <v>628</v>
      </c>
      <c r="F12" s="1" t="s">
        <v>629</v>
      </c>
      <c r="G12" s="1" t="s">
        <v>630</v>
      </c>
      <c r="H12" s="1" t="s">
        <v>14</v>
      </c>
      <c r="I12" s="1" t="s">
        <v>631</v>
      </c>
      <c r="J12" s="1" t="s">
        <v>632</v>
      </c>
      <c r="K12" s="1" t="s">
        <v>633</v>
      </c>
      <c r="L12" s="9" t="s">
        <v>634</v>
      </c>
    </row>
    <row r="13" customFormat="false" ht="15" hidden="false" customHeight="true" outlineLevel="0" collapsed="false">
      <c r="A13" s="9" t="s">
        <v>19</v>
      </c>
      <c r="B13" s="9" t="s">
        <v>635</v>
      </c>
      <c r="I13" s="16"/>
      <c r="J13" s="9" t="str">
        <f aca="false">IF(COUNTIFS('Scores (start here)'!$A:$A,$B$1,'Scores (start here)'!$B:$B,$A13,'Scores (start here)'!$F:$F,"&gt;=0")&gt;0,SUMIFS('Scores (start here)'!$F:$F,'Scores (start here)'!$A:$A,$B$1,'Scores (start here)'!$B:$B,$A13),L13)</f>
        <v/>
      </c>
      <c r="K13" s="9" t="s">
        <v>1013</v>
      </c>
      <c r="L13" s="9" t="str">
        <f aca="false">IF($B13="NO","NA",IF(I13="","",MIN(I13,$B$6)))</f>
        <v/>
      </c>
    </row>
    <row r="14" customFormat="false" ht="68.25" hidden="false" customHeight="true" outlineLevel="0" collapsed="false">
      <c r="A14" s="9" t="s">
        <v>30</v>
      </c>
      <c r="B14" s="9" t="s">
        <v>635</v>
      </c>
      <c r="I14" s="16"/>
      <c r="J14" s="9" t="str">
        <f aca="false">IF(COUNTIFS('Scores (start here)'!$A:$A,$B$1,'Scores (start here)'!$B:$B,$A14,'Scores (start here)'!$F:$F,"&gt;=0")&gt;0,SUMIFS('Scores (start here)'!$F:$F,'Scores (start here)'!$A:$A,$B$1,'Scores (start here)'!$B:$B,$A14),L14)</f>
        <v/>
      </c>
      <c r="K14" s="13" t="s">
        <v>1014</v>
      </c>
      <c r="L14" s="9" t="str">
        <f aca="false">IF($B14="NO","NA",IF(I14="","",MIN(I14,$B$6)))</f>
        <v/>
      </c>
    </row>
    <row r="15" customFormat="false" ht="15" hidden="false" customHeight="true" outlineLevel="0" collapsed="false">
      <c r="A15" s="9" t="s">
        <v>36</v>
      </c>
      <c r="B15" s="9" t="s">
        <v>635</v>
      </c>
      <c r="I15" s="16"/>
      <c r="J15" s="9" t="str">
        <f aca="false">IF(COUNTIFS('Scores (start here)'!$A:$A,$B$1,'Scores (start here)'!$B:$B,$A15,'Scores (start here)'!$F:$F,"&gt;=0")&gt;0,SUMIFS('Scores (start here)'!$F:$F,'Scores (start here)'!$A:$A,$B$1,'Scores (start here)'!$B:$B,$A15),L15)</f>
        <v/>
      </c>
      <c r="K15" s="9" t="s">
        <v>1015</v>
      </c>
      <c r="L15" s="9" t="str">
        <f aca="false">IF($B15="NO","NA",IF(I15="","",MIN(I15,$B$6)))</f>
        <v/>
      </c>
    </row>
    <row r="16" customFormat="false" ht="15" hidden="false" customHeight="true" outlineLevel="0" collapsed="false">
      <c r="A16" s="9" t="s">
        <v>42</v>
      </c>
      <c r="B16" s="9" t="s">
        <v>635</v>
      </c>
      <c r="I16" s="16"/>
      <c r="J16" s="9" t="str">
        <f aca="false">IF(COUNTIFS('Scores (start here)'!$A:$A,$B$1,'Scores (start here)'!$B:$B,$A16,'Scores (start here)'!$F:$F,"&gt;=0")&gt;0,SUMIFS('Scores (start here)'!$F:$F,'Scores (start here)'!$A:$A,$B$1,'Scores (start here)'!$B:$B,$A16),L16)</f>
        <v/>
      </c>
      <c r="K16" s="9" t="s">
        <v>1016</v>
      </c>
      <c r="L16" s="9" t="str">
        <f aca="false">IF($B16="NO","NA",IF(I16="","",MIN(I16,$B$6)))</f>
        <v/>
      </c>
    </row>
    <row r="17" customFormat="false" ht="15" hidden="false" customHeight="true" outlineLevel="0" collapsed="false">
      <c r="A17" s="9" t="s">
        <v>47</v>
      </c>
      <c r="B17" s="9" t="s">
        <v>635</v>
      </c>
      <c r="I17" s="16"/>
      <c r="J17" s="9" t="str">
        <f aca="false">IF(COUNTIFS('Scores (start here)'!$A:$A,$B$1,'Scores (start here)'!$B:$B,$A17,'Scores (start here)'!$F:$F,"&gt;=0")&gt;0,SUMIFS('Scores (start here)'!$F:$F,'Scores (start here)'!$A:$A,$B$1,'Scores (start here)'!$B:$B,$A17),L17)</f>
        <v/>
      </c>
      <c r="K17" s="9" t="s">
        <v>1017</v>
      </c>
      <c r="L17" s="9" t="str">
        <f aca="false">IF($B17="NO","NA",IF(I17="","",MIN(I17,$B$6)))</f>
        <v/>
      </c>
    </row>
    <row r="18" customFormat="false" ht="15" hidden="false" customHeight="true" outlineLevel="0" collapsed="false">
      <c r="A18" s="9" t="s">
        <v>415</v>
      </c>
      <c r="B18" s="9" t="s">
        <v>635</v>
      </c>
      <c r="I18" s="16"/>
      <c r="J18" s="9" t="str">
        <f aca="false">IF(COUNTIFS('Scores (start here)'!$A:$A,$B$1,'Scores (start here)'!$B:$B,$A18,'Scores (start here)'!$F:$F,"&gt;=0")&gt;0,SUMIFS('Scores (start here)'!$F:$F,'Scores (start here)'!$A:$A,$B$1,'Scores (start here)'!$B:$B,$A18),L18)</f>
        <v/>
      </c>
      <c r="L18" s="9" t="str">
        <f aca="false">IF($B18="NO","NA",IF(I18="","",MIN(I18,$B$6)))</f>
        <v/>
      </c>
    </row>
    <row r="19" customFormat="false" ht="15" hidden="false" customHeight="true" outlineLevel="0" collapsed="false">
      <c r="A19" s="9" t="s">
        <v>416</v>
      </c>
      <c r="B19" s="9" t="s">
        <v>635</v>
      </c>
      <c r="I19" s="16"/>
      <c r="J19" s="9" t="str">
        <f aca="false">IF(COUNTIFS('Scores (start here)'!$A:$A,$B$1,'Scores (start here)'!$B:$B,$A19,'Scores (start here)'!$F:$F,"&gt;=0")&gt;0,SUMIFS('Scores (start here)'!$F:$F,'Scores (start here)'!$A:$A,$B$1,'Scores (start here)'!$B:$B,$A19),L19)</f>
        <v/>
      </c>
      <c r="L19" s="9"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2026-10-08T11:34:51Z</dcterms:created>
  <dc:creator>openpyxl</dc:creator>
  <dc:description/>
  <dc:language>en-IN</dc:language>
  <cp:lastModifiedBy/>
  <dcterms:modified xsi:type="dcterms:W3CDTF">2026-10-13T08:01:01Z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