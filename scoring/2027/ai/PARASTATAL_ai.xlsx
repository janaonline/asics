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7.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4.xml" ContentType="application/vnd.openxmlformats-officedocument.spreadsheetml.worksheet+xml"/>
  <Override PartName="/xl/worksheets/sheet2.xml" ContentType="application/vnd.openxmlformats-officedocument.spreadsheetml.worksheet+xml"/>
  <Override PartName="/xl/worksheets/sheet25.xml" ContentType="application/vnd.openxmlformats-officedocument.spreadsheetml.worksheet+xml"/>
  <Override PartName="/xl/worksheets/sheet39.xml" ContentType="application/vnd.openxmlformats-officedocument.spreadsheetml.worksheet+xml"/>
  <Override PartName="/xl/worksheets/sheet15.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41.xml" ContentType="application/vnd.openxmlformats-officedocument.spreadsheetml.worksheet+xml"/>
  <Override PartName="/xl/worksheets/sheet6.xml" ContentType="application/vnd.openxmlformats-officedocument.spreadsheetml.worksheet+xml"/>
  <Override PartName="/xl/worksheets/sheet37.xml" ContentType="application/vnd.openxmlformats-officedocument.spreadsheetml.worksheet+xml"/>
  <Override PartName="/xl/worksheets/sheet29.xml" ContentType="application/vnd.openxmlformats-officedocument.spreadsheetml.worksheet+xml"/>
  <Override PartName="/xl/worksheets/sheet19.xml" ContentType="application/vnd.openxmlformats-officedocument.spreadsheetml.worksheet+xml"/>
  <Override PartName="/xl/worksheets/sheet35.xml" ContentType="application/vnd.openxmlformats-officedocument.spreadsheetml.worksheet+xml"/>
  <Override PartName="/xl/worksheets/sheet11.xml" ContentType="application/vnd.openxmlformats-officedocument.spreadsheetml.worksheet+xml"/>
  <Override PartName="/xl/worksheets/sheet8.xml" ContentType="application/vnd.openxmlformats-officedocument.spreadsheetml.worksheet+xml"/>
  <Override PartName="/xl/worksheets/sheet12.xml" ContentType="application/vnd.openxmlformats-officedocument.spreadsheetml.worksheet+xml"/>
  <Override PartName="/xl/worksheets/sheet9.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33.xml" ContentType="application/vnd.openxmlformats-officedocument.spreadsheetml.worksheet+xml"/>
  <Override PartName="/xl/worksheets/sheet21.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4.xml" ContentType="application/vnd.openxmlformats-officedocument.spreadsheetml.worksheet+xml"/>
  <Override PartName="/xl/worksheets/sheet13.xml" ContentType="application/vnd.openxmlformats-officedocument.spreadsheetml.worksheet+xml"/>
  <Override PartName="/xl/worksheets/sheet27.xml" ContentType="application/vnd.openxmlformats-officedocument.spreadsheetml.worksheet+xml"/>
  <Override PartName="/xl/worksheets/sheet38.xml" ContentType="application/vnd.openxmlformats-officedocument.spreadsheetml.worksheet+xml"/>
  <Override PartName="/xl/worksheets/sheet16.xml" ContentType="application/vnd.openxmlformats-officedocument.spreadsheetml.worksheet+xml"/>
  <Override PartName="/xl/worksheets/sheet47.xml" ContentType="application/vnd.openxmlformats-officedocument.spreadsheetml.worksheet+xml"/>
  <Override PartName="/xl/worksheets/sheet40.xml" ContentType="application/vnd.openxmlformats-officedocument.spreadsheetml.worksheet+xml"/>
  <Override PartName="/xl/worksheets/sheet44.xml" ContentType="application/vnd.openxmlformats-officedocument.spreadsheetml.worksheet+xml"/>
  <Override PartName="/xl/worksheets/sheet23.xml" ContentType="application/vnd.openxmlformats-officedocument.spreadsheetml.worksheet+xml"/>
  <Override PartName="/xl/worksheets/sheet42.xml" ContentType="application/vnd.openxmlformats-officedocument.spreadsheetml.worksheet+xml"/>
  <Override PartName="/xl/worksheets/sheet28.xml" ContentType="application/vnd.openxmlformats-officedocument.spreadsheetml.worksheet+xml"/>
  <Override PartName="/xl/worksheets/sheet10.xml" ContentType="application/vnd.openxmlformats-officedocument.spreadsheetml.worksheet+xml"/>
  <Override PartName="/xl/worksheets/sheet43.xml" ContentType="application/vnd.openxmlformats-officedocument.spreadsheetml.worksheet+xml"/>
  <Override PartName="/xl/worksheets/sheet46.xml" ContentType="application/vnd.openxmlformats-officedocument.spreadsheetml.worksheet+xml"/>
  <Override PartName="/xl/worksheets/sheet32.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cores (start here)" sheetId="1" state="visible" r:id="rId3"/>
    <sheet name="Check before use" sheetId="2" state="visible" r:id="rId4"/>
    <sheet name="PARASTATAL_SUMMARY_RAW" sheetId="3" state="visible" r:id="rId5"/>
    <sheet name="PARASTATAL_CITY_SCORES" sheetId="4" state="visible" r:id="rId6"/>
    <sheet name="PARASTATAL Questions" sheetId="5" state="visible" r:id="rId7"/>
    <sheet name="UPD1a" sheetId="6" state="visible" r:id="rId8"/>
    <sheet name="UPD1b" sheetId="7" state="visible" r:id="rId9"/>
    <sheet name="UPD2a" sheetId="8" state="visible" r:id="rId10"/>
    <sheet name="UPD2b" sheetId="9" state="visible" r:id="rId11"/>
    <sheet name="UPD2c" sheetId="10" state="visible" r:id="rId12"/>
    <sheet name="UPD2d" sheetId="11" state="visible" r:id="rId13"/>
    <sheet name="UPD3a" sheetId="12" state="visible" r:id="rId14"/>
    <sheet name="UPD3b" sheetId="13" state="visible" r:id="rId15"/>
    <sheet name="UPD4a" sheetId="14" state="visible" r:id="rId16"/>
    <sheet name="UPD4b" sheetId="15" state="visible" r:id="rId17"/>
    <sheet name="UPD5a" sheetId="16" state="visible" r:id="rId18"/>
    <sheet name="UPD5b" sheetId="17" state="visible" r:id="rId19"/>
    <sheet name="UPD6a" sheetId="18" state="visible" r:id="rId20"/>
    <sheet name="UPD6b" sheetId="19" state="visible" r:id="rId21"/>
    <sheet name="DPG1a" sheetId="20" state="visible" r:id="rId22"/>
    <sheet name="DPG1b" sheetId="21" state="visible" r:id="rId23"/>
    <sheet name="DPG2a" sheetId="22" state="visible" r:id="rId24"/>
    <sheet name="DPG2b" sheetId="23" state="visible" r:id="rId25"/>
    <sheet name="DPG4" sheetId="24" state="visible" r:id="rId26"/>
    <sheet name="DPG5a" sheetId="25" state="visible" r:id="rId27"/>
    <sheet name="DPG5b" sheetId="26" state="visible" r:id="rId28"/>
    <sheet name="DPG5c" sheetId="27" state="visible" r:id="rId29"/>
    <sheet name="DPG5d" sheetId="28" state="visible" r:id="rId30"/>
    <sheet name="DPG5f" sheetId="29" state="visible" r:id="rId31"/>
    <sheet name="DPG5g" sheetId="30" state="visible" r:id="rId32"/>
    <sheet name="DPG5h" sheetId="31" state="visible" r:id="rId33"/>
    <sheet name="DPG5i" sheetId="32" state="visible" r:id="rId34"/>
    <sheet name="DPG5j" sheetId="33" state="visible" r:id="rId35"/>
    <sheet name="DPG5k" sheetId="34" state="visible" r:id="rId36"/>
    <sheet name="DPG6a" sheetId="35" state="visible" r:id="rId37"/>
    <sheet name="DPG6b" sheetId="36" state="visible" r:id="rId38"/>
    <sheet name="DPG7a" sheetId="37" state="visible" r:id="rId39"/>
    <sheet name="DPG7b" sheetId="38" state="visible" r:id="rId40"/>
    <sheet name="SC1" sheetId="39" state="visible" r:id="rId41"/>
    <sheet name="SC2" sheetId="40" state="visible" r:id="rId42"/>
    <sheet name="SC3" sheetId="41" state="visible" r:id="rId43"/>
    <sheet name="SC4a" sheetId="42" state="visible" r:id="rId44"/>
    <sheet name="SC4b" sheetId="43" state="visible" r:id="rId45"/>
    <sheet name="SC5" sheetId="44" state="visible" r:id="rId46"/>
    <sheet name="SC6" sheetId="45" state="visible" r:id="rId47"/>
    <sheet name="SC7a" sheetId="46" state="visible" r:id="rId48"/>
    <sheet name="SC7b" sheetId="47" state="visible" r:id="rId49"/>
  </sheets>
  <definedNames>
    <definedName function="false" hidden="true" localSheetId="0" name="_xlnm._FilterDatabase" vbProcedure="false">'Scores (start here)'!$A$1:$P$211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<sst xmlns="http://schemas.openxmlformats.org/spreadsheetml/2006/main" count="4642" uniqueCount="1411">
  <si>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</si>
  <si>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</si>
  <si>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</si>
  <si>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</si>
  <si>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</si>
  <si>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</si>
  <si>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</si>
  <si>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</si>
  <si>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</si>
  <si>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</si>
  <si>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</si>
  <si>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</si>
  <si>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</si>
  <si>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</si>
  <si>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</si>
  <si>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</si>
  <si>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UPD1a</t>
  </si>
  <si>
    <t xml:space="preserve">Bengaluru – BWSSB</t>
  </si>
  <si>
    <t xml:space="preserve">Left for a person</t>
  </si>
  <si>
    <t xml:space="preserve">Partially Answered</t>
  </si>
  <si>
    <t xml:space="preserve">ANSWER: In the Citation Sheet sources, no law requires BWSSB to prepare its water-supply or sewerage schemes or plans in coordination with the ULG (the Greater Bengaluru Authority and its City Corporations). That means no ULG approval, concurrence or joint preparation, and no required ULG consultation. Three things come close. First, a State-appointed advisory Consultative Committee advises the Board on major schemes. Its members are appointed after the State consults bodies representing several interests, one of them the BBMP, the ULG that the GBA replaced. Second, schemes costing over Rs 1 crore need approval from the State Government, not the ULG. Third, the GBA Act gives the GBA general powers to integrate, supervise and issue binding directions to BWSSB. Those powers do not require BWSSB's own plans to be prepared with the ULG or approved by it. The Karnataka Town and Country Planning (T&amp;CP) Act, which the methodology requires, is not in the Citation Sheet. So the answer is partial and not scored. | EVIDENCE: PARASTATAL SIDE, BWSSB Act 1964 (BWSSB-02): (1) s.15(2)(b)-(c): 'it shall be the duty of the Board to take steps from time to time ... for preparing and carrying out schemes' for water supply and for sewerage. The proviso says no scheme 'estimated to cost more than a crore of rupees shall be carried out by the Board except with the approval of the State Government'. That is State approval, with no ULG role. (2) s.14: the State Government 'shall constitute a Consulta</t>
  </si>
  <si>
    <t xml:space="preserve">The Bangalore Water Supply and Sewerage Act, 1964 [BWSSB-02]</t>
  </si>
  <si>
    <t xml:space="preserve">https://prsindia.org/files/bills_acts/acts_states/karnataka/1964/1964KR36.pdf</t>
  </si>
  <si>
    <t xml:space="preserve">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t>
  </si>
  <si>
    <t xml:space="preserve">I left Score blank, for three reasons.
(1) SCALE-MISMATCH. The Step 2 record says the rubric bands are 0/2.5/5/7.5/10, but the Max Score is 5. Under the v2 rules I must not rescale. The scale needs confirming.
(2) NOT FOUND, which is not the same as absent. The methodology requires the Karnataka Town and Country Planning Act 1961, and it is not in the Citation Sheet. My search_citation_sheet run turned up only the GBA Act's mention of it (s.14(2)(a)). Nor does the sheet hold any Rules or Regulations under the BWSSB Act on scheme preparation or Consultative Committee procedure. So the 0 band ('no formal ULG role') cannot meet affirmative absence.
(3) RUBRIC-GAP / CONFIRM. Here is what the sources actually show, checked against BWSSB-02:
- BWSSB Act s.15(2)(b)-(c): the Board has a duty to prepare and carry out water-supply and sewerage schemes. The proviso requires approval for schemes over Rs 1 crore, and that approval comes from the State Government, not the ULG.
- BWSSB Act s.14: the Consultative Committee is set up by the State. Its outside members are appointed 'after consultation with' bodies representing the interests of the Bruhat Bangalore Mahanagara Palike (BBMP), among others. Its role is 'to advise the Board on major questions of policy and major schemes', and the Act does not require the Board to act on that advice. This is advisory and indirect. It is not consultation with the ULG and not ULG approval.
- BWSSB Act s.38(2): closing a public hydrant 'in consultation with the Commissioner' of the BBMP. This is an operational matter, not planning.
- ULG side, GBA Act (BWSSB-04): s.14(4) and s.14(3)(b) give the GBA binding direction and supervision powers over BWSSB. s.15(5) says the GBA 'may assign' infrastructure planning to agencies. These are general supervision powers. They do not require BWSSB's own plans to be prepared with or approved by the ULG.
The team needs to decide whether those GBA powers count as 'coordination with the ULG'. Depending on that judgement, the evidence sits between the advisory band (about 2.5 on the 10-point scale) and a higher band. The provisional raw band is about 2.5/10 (advisory only).
Other caveats:
- The BWSSB Act still names the BBMP: Act 15 of 2010, s.31 substituted it for 'Corporation'. Nothing in the sheet shows the GBA or City Corporations being substituted in the BWSSB Act.
- I did not see the s.3 Board composition in the excerpts I read, so I could not check whether a ULG official sits on the BWSSB Board.
Period: BWSSB Act 1964 as amended up to Act 29 of 2021, PRS copy. GBA Act 2024 (Act 36 of 2025) as enacted, GBA era.
What a person needs to check: the T&amp;CP Act 1961 (current text), the BWSSB Rules and Regulations, BWSSB Act s.3, and the scale.</t>
  </si>
  <si>
    <t xml:space="preserve">The citation didn't settle every input. "Score" left blank: the Citation Sheet doesn't decide it.</t>
  </si>
  <si>
    <t xml:space="preserve">Bengaluru – BMTC</t>
  </si>
  <si>
    <t xml:space="preserve">ANSWER: I found no provision in the Citation Sheet that requires BMTC to prepare its own spatial or sectoral plans together with the ULG (the Greater Bengaluru Authority (GBA) or its City Corporations). BMTC's parent Act gives the ULG no role in BMTC planning. The ULG's influence runs the other way, through the GBA Act. The GBA must integrate and supervise BMTC's activities and can issue it binding directions. The GBA prepares the city's master plan and mobility plans itself. The GBA 'may' hand the planning of major infrastructure projects to public authorities, which must then assist it. None of these is ULG approval, concurrence, joint preparation or a mandatory consultation on BMTC's own plans. Separately, BMTC's mobility programmes must be prepared in consultation with the Bengaluru Metropolitan Land Transport Authority (BMLTA), whose board includes the City Corporations' Mayors and Commissioners. That is consultation with a state authority, not with the ULG. Whether the GBA's general power to supervise and direct counts as a 'formal role' in BMTC planning needs a team decision. I cannot show a confirmed absence because BMTC's Rules, Regulations and constitution notification are not in the Citation Sheet. | EVIDENCE: (1) BMTC side, Road Transport Corporations Act 1950 (BMTC-02): s.3 (the State 'may' set up a corporation, having regard to 'the desirability of co-ordinating any form of road transport with any other form of transport'); s.18 general duty to provide a 'proper</t>
  </si>
  <si>
    <t xml:space="preserve">The Greater Bengaluru Governance Act, 2024 Act No. 36 of 2025 [BMTC-04]</t>
  </si>
  <si>
    <t xml:space="preserve">https://prsindia.org/files/bills_acts/acts_states/karnataka/2025/Act36of2025KA.pdf</t>
  </si>
  <si>
    <t xml:space="preserve">The Greater Bengaluru Authority shall be responsible to make master plan and mobility plans for the infrastructure development of the Greater Bengaluru Area.</t>
  </si>
  <si>
    <t xml:space="preserve">Score left blank. (1) SCALE-MISMATCH: the Step 2 notes say the rubric is on a 0-10 scale but the Score input is 0-5. The rules forbid rescaling or interpolating, so a person must confirm the rubric and maximum. The full question text and Detailed Methodology for UPD1a were not in the task input, so I could not check the bands myself. (2) What the sources show: the GBA Act (BMTC-04) s.14(4) gives the GBA power to integrate and supervise BMTC's activities with binding directions; BMTC must cooperate and obey. s.15(1) says the GBA itself makes master and mobility plans. s.14(3)(b) covers coordination of schemes under GBA plans. s.8(3) makes the GBA coordinator among agencies. s.9(3)(i) puts BMTC's MD on the GBA. s.15(5) (quoted by Step 2, not re-checked here) says the GBA 'may' assign planning of major projects to public authorities. None of these requires ULG approval, concurrence, joint preparation or consultation on BMTC's own spatial or sectoral plans. BMTC's side, the RTC Act 1950 (BMTC-02, per Step 2), gives no ULG role: plans and budget go to the State. The BMTC board (BMTC-09) has no ULG member. Consultation under the BMLTA Act (BMTC-06) s.24(b) is with BMLTA, a state authority; ULG members join its board only under a 2025 bill (BMTC-24). RUBRIC/scope decision needed: does GBA's binding supervision and direction power, plus the s.15(5) 'may assign planning' power, count as a formal ULG role in BMTC planning? (3) A 0 needs affirmative absence, which is not met. Missing from the Citation Sheet: Karnataka rules under the RTC Act; BMTC regulations or bye-laws; the notification constituting BMTC; BMTC's Memorandum of Association (BMTC-20, the Rules and Regulations page, not reviewed); GBA rules or regulations on coordinating public authorities; BMLTA regulations naming BMTC. Also check BMTC's legal form: s.14(4) calls it 'Bangalore Metropolitan Transport Corporation Limited' with a Memorandum of Association, which conflicts with RTC Act 1950 corporation status. Period: GBA Act 2024 (Karnataka Act 36 of 2025), GBA era.</t>
  </si>
  <si>
    <t xml:space="preserve">Bengaluru – BDA</t>
  </si>
  <si>
    <t xml:space="preserve">ANSWER: Partly. The BDA Act requires BDA to send each development scheme (a detailed scheme under s.15) to 'the Corporation'. The Corporation may make a representation within 30 days. BDA must consider it and forward it to the State Government, which sanctions the scheme. If no representation arrives in time, the Corporation is deemed to have concurred. So for development schemes there is mandatory consultation, and the ULG's response must be considered and passed on. The Corporation does not have a veto: the Government decides. The sources read show no such ULG coordination duty for the master plan, but this is 'not found', not proof of absence, because T&amp;CP s.13 onward was not read. Who makes the master plan inside the Greater Bengaluru Area has also changed: the GBA Act makes GBA the Planning Authority there. | EVIDENCE: Parastatal side, BDA Act 1976 (BDA-02): (1) s.15(1)(a): BDA 'may ... draw up detailed schemes (hereinafter referred to as "development scheme")'. Under s.15(2)(ii) a scheme can also come on the local authority's recommendation, if the local authority provides the funds. (2) s.17(2): 'A copy of the said notification shall be sent to the Corporation which shall, within thirty days ... forward to the Authority for transmission to the Government ... any representation'. s.17(3): the notice must be put up at the Corporation office. s.17(4): if no representation comes, 'the concurrence of the Corporation to the scheme shall be deemed to have been given'. (3) s.1</t>
  </si>
  <si>
    <t xml:space="preserve">The Bangalore Development Authority Act, 1976 (Act 12 of 1976) – PRS copy, 'Amendments appended: 19 of 2002, 19 of 2005, 27 of 2020, 42 of 2026' [BDA-02]</t>
  </si>
  <si>
    <t xml:space="preserve">https://prsindia.org/files/bills_acts/acts_states/karnataka/1976/1976Karnataka12.pdf</t>
  </si>
  <si>
    <t xml:space="preserve">(2)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</si>
  <si>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left the score blank because the rubric's scale doesn't match the Max Score, the plan scope is unclear, and the evidence is incomplete.
1. SCALE-MISMATCH: According to the Step 2 notes, the rubric bands run 0-10 (5 = consultation, 7.5 = response considered, 10 = concurrence) while the Max Score is 5. The best raw candidate is 7.5. Under the scale-mismatch rule I did not rescale or interpolate. Please confirm the scale.
2. The Step 2 answer is checked against the source and holds. BDA-02 is the BDA Act 1976 (PRS copy, amended up to Act 42 of 2026):
- s.17(2): BDA 'shall' send the development-scheme notification to the Corporation, which may send a representation within 30 days.
- s.17(4): if the Corporation is silent, its concurrence is deemed.
- s.18(1): BDA submits the scheme to the Government 'after consideration of representations' and must forward the Corporation's representation (s.18(1)(d)).
- This is mandatory consultation, and the response must be considered and passed on. The ULG has no veto; the Government sanctions.
- s.25(1) proviso: the Corporation 'shall be consulted' on further-development works. That is works, not a plan.
- s.32(1): Corporation concurrence is needed for private layout sanction only, not for BDA's own plans.
3. PLAN SCOPE (RUBRIC-GAP risk): The mechanism covers development schemes only. For the master plan, I re-read KTCP Act (BDA-06, PRS copy up to Act 38 of 2015) ss.9, 13-B, 13-C and 13-D:
- s.9: the plan goes to the State Government 'through the Director'.
- s.13-D: revision applies ss.9-12 mutatis mutandis.
- None of these sections names the ULG for consultation or concurrence.
- s.10 only invites suggestions from the public.
- I could not read the KTCP Rules or BDA Rules/Regulations; they are not in the sheet.
So a ULG mechanism for the master plan is 'not found', not absent.
4. SUCCESSOR BODY: The BDA Act still defines 'Corporation' as the 'Corporation of the City of Bangalore' (s.2(i)). No source in the sheet shows BBMP, GBA or the City Corporations substituted as that body.
5. PLANNING AREA: GBA Act s.14(2)(a) (BDA-03) makes GBA the Planning Authority for the Greater Bengaluru Area. The KTCP amendment (BDA-05) is still a bill; its enactment and commencement are unverified.
6. SOURCE LIMITS: All legal texts here are PRS secondary copies.
A person needs to confirm the scale, whether development schemes count as a 'spatial plan', and the successor body before scoring.</t>
  </si>
  <si>
    <t xml:space="preserve">Bengaluru – BMRCL</t>
  </si>
  <si>
    <t xml:space="preserve">ANSWER: None of the BMRCL-side law in the Citation Sheet requires BMRCL to prepare its spatial or sectoral plans in coordination with the ULG (the Greater Bengaluru Authority (GBA) and its City Corporations). The coordination link comes from the ULG side instead. The Greater Bengaluru Governance Act, 2024 (GBG Act) names BMRCL and gives GBA power to integrate and supervise its activities. GBA can issue binding directions, and BMRCL must cooperate and obey them. GBA can also assign planning of major infrastructure projects to such agencies, and they must assist when called on. These are general powers to supervise, direct and assign. None of them is a stated duty to get ULG approval or concurrence for BMRCL's own plans, or to consult the ULG on them. So it is unclear which rubric band applies, and no score is proposed. | EVIDENCE: (1) BMRCL's own side: BMRCL is a company (Government Company, 50:50 joint venture of the Government of India and the Government of Karnataka; BMRCL-09 p.45-46) with no parastatal Act of its own. The Metro Railways (Operation and Maintenance) Act, 2002 (BMRCL-04) covers operation, fares, accidents and Central Government directions (s.86: bound by Central Government policy directions; s.87: permission to work). Searches of its text found no provision on preparing plans with, or consulting, a local authority. (2) ULG side, GBG Act (BMRCL-02, PRS text): s.14(4) 'Co-ordination and Supervision of Public Authorities' covers 'Integrating and supervising the </t>
  </si>
  <si>
    <t xml:space="preserve">The Greater Bengaluru Governance Act, 2024 Act No. 36 of 2025 [BMRCL-02]</t>
  </si>
  <si>
    <t xml:space="preserve">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t>
  </si>
  <si>
    <t xml:space="preserve">No score given, for three reasons.
(1) SCALE-MISMATCH. Step 2 records that the rubric bands for UPD1a run 0–10, but the input asks for 0–5. I was not shown the full Detailed Methodology or rubric, so I cannot check the bands myself. The scale needs team confirmation before scoring.
(2) RUBRIC-GAP / band undetermined. I checked the source myself and it supports Step 2's reading. In the Greater Bengaluru Governance (GBG) Act (BMRCL-02, PRS text, Karnataka Act 36 of 2025, Greater Bengaluru Authority (GBA) era), all the coordination provisions sit on the city government (ULG) side:
- s.14(4): GBA integrates and supervises the activities of public authorities, naming Bengaluru Metro Rail Corporation Limited, and issues binding directions. Public authorities 'shall cooperate' with GBA and obey its directions.
- s.14(3)(c): GBA coordinates and administers major infrastructure projects.
- s.15(1): GBA 'shall be responsible to make master plan and mobility plans'.
- s.15(5): GBA 'may' assign planning of major infrastructure projects to public authorities, which 'shall be bound to assist'.
- s.8(3): GBA is coordinator among the City Corporations and other agencies.
None of these sets a plan-specific duty on BMRCL to prepare its own spatial or sectoral plans in consultation with the ULG, or with its concurrence or approval. They are general powers to supervise, direct and assign, and the assignment power is discretionary ('may'). Whether binding supervision and direction fits the top (approval/concurrence) band or a lower band is a judgement for the team. I did not create or interpolate a band.
(3) Not a 0. The ULG-side provisions above exist, so affirmative absence cannot be shown.
Other instruments checked:
- Metro Railways (Operation and Maintenance) Act, 2002 (BMRCL-04): no provision found on preparing plans with, or consulting, a local authority.
- Karnataka Town and Country Planning (KTCP) Act, 1961 (BMRCL-07): master-plan duties fall on Planning Authorities, not BMRCL.
- Bengaluru Metropolitan Land Transport Authority (BMLTA) Act, 2022 (BMRCL-08): the s.21(2) proviso requires consultation with BMLTA, not with the ULG. ULG officials sit on BMLTA, but that is an indirect forum only.
- GBG (Amendment) Bill, 2025 (BMRCL-03): does not change s.14(4) or s.15(5). Whether it was enacted is not verified.
Missing from the Citation Sheet:
- the Metro Railways (Construction of Works) Act, 1978
- BMRCL's Memorandum and Articles of Association. Note that s.14(4) requires only the electricity company (BESCOM) and the bus corporation (BMTC), not BMRCL, to write GBA's coordinating role into their Memoranda.
- the official (non-PRS) gazette text of the GBG Act
- any Rules or Regulations under the GBG Act
The team should also confirm BMRCL's eligibility as a parastatal, since it is a Government Company.</t>
  </si>
  <si>
    <t xml:space="preserve">Bengaluru – BMRDA</t>
  </si>
  <si>
    <t xml:space="preserve">Insufficient Evidence</t>
  </si>
  <si>
    <t xml:space="preserve">Step 2 found no evidence: a source needs to be found and added. Step 2 found no evidence (Insufficient Evidence). Source needed: Needed: (1) the full current text of the Bangalore Metropolitan Region Development Authority Act, 1985 (Karnataka Act 39 of 1985), especially the sections on how the Structure Plan and schemes are prepared, published, approved and consulted on with local authorities; (2) the BMRDA Regulations 1996/1999/2000 and any BMRDA Rules; (3) the full text of Greater Bengaluru Governance Act s.14(2)(c) (BMPC and draft development plan) and any BMPC rules; (4) any official notification or amendment substituting the GBA or City Corporations for BBMP / Corporation of the City of Bangalore in the BMRDA Act.</t>
  </si>
  <si>
    <t xml:space="preserve">Surat – SUDA</t>
  </si>
  <si>
    <t xml:space="preserve">Step 2 found no evidence: a source needs to be found and added. Step 2 found no evidence (Insufficient Evidence). Source needed: A readable official text of the Gujarat Town Planning and Urban Development Act, 1976 as amended (especially ss.9-17 on preparing, publishing and sanctioning the development plan, s.22 on the Authority's make-up, and ss.40-42 on town planning schemes), from the Gujarat Legislative and Parliamentary Affairs or UD&amp;UH Department or the Gazette. Also the SUDA constitution notification of 30-01-1978 and any later reconstitution notifications. These are needed to show whether SMC must approve, concur in or be consulted on SUDA's development plan, or has no formal role.</t>
  </si>
  <si>
    <t xml:space="preserve">Surat – GMRC</t>
  </si>
  <si>
    <t xml:space="preserve">Step 2 found no evidence: a source needs to be found and added. Step 2 found no evidence (Insufficient Evidence). Source needed: The full current text of the Metro Railways (Construction of Works) Act 1978 and the Metro Railways (Operation &amp; Maintenance) Act 2002 as amended, plus any Rules or notifications applying them to Surat; GMRC's Memorandum/Articles and the tripartite MoU; the Gujarat Town Planning &amp; Urban Development Act 1976 and the Surat Development Plan/GDCR provisions on metro corridors or transit-oriented zones; the Surat ULG's governing Act; any Gujarat UMTA Act or notification. Together these would show whether GMRC's plans need ULG approval, concurrence or consultation.</t>
  </si>
  <si>
    <t xml:space="preserve">UPD1b</t>
  </si>
  <si>
    <t xml:space="preserve">Step 2 found no evidence: a source needs to be found and added. Step 2 found no evidence (Insufficient Evidence). Source needed: Any of these would answer it: (a) the BWSSB Vision Document 2050 / strategic master plan, especially its stakeholder-consultation chapter or annex showing GBA, City Corporation or BBMP input; (b) BWSSB Board or Technical Committee minutes from the current plan cycle recording ULG participation, comments or concurrence; (c) GBA Authority or Executive Committee minutes or proceedings reviewing or approving BWSSB plans; (d) ULG resolutions or letters commenting on BWSSB plans, and BWSSB's responses; (e) a recent BWSSB annual report recording such consultation.</t>
  </si>
  <si>
    <t xml:space="preserve">Step 2 found no evidence: a source needs to be found and added. Step 2 found no evidence (Insufficient Evidence). Source needed: Any of these would answer it: BMTC's latest plan document (e.g. the full BMTC Vision 2025 text, or a current business, fleet or route-rationalisation plan) showing who prepared it and who was consulted; BMTC board minutes approving that plan; consultation records or letters inviting GBA, the City Corporations or BBMP to comment, with any replies; GBA or City Corporation (or earlier BBMP council) resolutions commenting on BMTC plans; or a record of the Bengaluru ORR bus-priority-lane proposal showing a joint BBMP/GBA and BMTC submission.</t>
  </si>
  <si>
    <t xml:space="preserve">Step 2 found no evidence: a source needs to be found and added. Step 2 found no evidence (Insufficient Evidence). Source needed: BDA's latest master plan (Revised Master Plan) report and draft, with its chapter on stakeholder or ULG consultation. Records of objections and suggestions received during the KTCP s.13 comment period, showing any comments from BBMP, GBA or the City Corporations and how BDA disposed of them. Minutes of BDA Board meetings, or of BBMP/GBA council or standing-committee meetings, where the draft plan was discussed. Any ULG resolution on the BDA plan. Also needed: an official notification showing when the KTCP amendment (Bill 55 of 2025) took effect, to fix which plan cycle is BDA's 'latest'.</t>
  </si>
  <si>
    <t xml:space="preserve">Step 2 found no evidence: a source needs to be found and added. Step 2 found no evidence (Insufficient Evidence). Source needed: BMRCL's latest plan documents (e.g. the Phase-3 or Phase-2A/2B DPRs, TOD or multimodal integration plans) with their stakeholder-consultation annexes. Minutes of meetings between BMRCL and BBMP/GBA on plan preparation. BBMP/GBA council or standing-committee resolutions or comments on metro alignments or station-area plans, and BMRCL's responses. The approval or adoption record of the 2025 Metro Parking Policy, showing who was consulted. BMRCL annual reports from FY 2021-22 onward.</t>
  </si>
  <si>
    <t xml:space="preserve">Step 2 found no evidence: a source needs to be found and added. Step 2 found no evidence (Insufficient Evidence). Source needed: Any of these would settle it: the Revised Structure Plan-2031 report or its draft, especially any chapter on stakeholder or local-body consultation; BMRDA Authority or Executive Committee minutes from the preparation and approval period (about 2014-2017) showing BBMP or Mayor input; BBMP council or standing-committee resolutions or letters commenting on the draft; the Government approval order UDD/149/BMR/2014 with its recitals. If the current GBA era is the relevant cycle, records of GBA or City Corporation input into any BMRDA plan now under preparation would also answer it.</t>
  </si>
  <si>
    <t xml:space="preserve">Answered — Verified Source</t>
  </si>
  <si>
    <t xml:space="preserve">ANSWER: Yes. In SUDA's latest plan-making cycle in the Citation Sheet (Draft Development Plan 2035), the city government (Surat Municipal Corporation, SMC) took part in more than one way. The strongest evidence is that SUDA's DP 2035 report records that it added certain public-purpose reservations to the draft plan after the draft was published under s.13, because SMC recommended them. That is documented consideration of, and response to, a ULG input, which fits the 10-point band (substantive participation). SMC's Mayor was also formally invited to a consultation on the plan. | EVIDENCE: Parastatal side, SUDA-14 (DP 2035 report, 2017): (1) Ch.21, note under the reservations table (PDF p.256 / report p.239): reservations marked with letters were 'added to the list of the reservations of the Draft Development Plan- 2035 after its publication u/s 13 of the Act. Such reservations have been added at the recommendation of Surat Municipal Corp oration'. (2) Ch.16.3.2 (PDF p.183): 'All MP, MLA, Surat Zilla Panchayat President and Mayor (SMC) were invited on 22.04.2016 for detailed discussion on Development Plan 2035... their suggestions on the same were invited'. Table 116 (p.184) counts 136 suggestions from all the elected representatives together; it does not separate out SMC's. (3) Ch.1.4.1, Table 5 (PDF p.27): the SUDA Board in 2016 included the Chairman of SMC's Standing Committee, the Municipal Commissioner (ex officio) and SMC's City Engineer (ex officio). This shows the insti</t>
  </si>
  <si>
    <t xml:space="preserve">DEVELOPMENT PLAN 2035 2017 SURAT URBAN DEVELOPMENT AUTHORITY [SUDA-14]</t>
  </si>
  <si>
    <t xml:space="preserve">https://www.sudaonline.org/wp-content/uploads/2017/03/SUDA-DP-2035-report-final-22.02.2017.pdf</t>
  </si>
  <si>
    <t xml:space="preserve">Such reservations have been added at the recommendation of Surat Municipal Corp oration; in other cases, these reservations were not highlighted in the published Draft DP- 2035 and hence these have been added in this report.</t>
  </si>
  <si>
    <t xml:space="preserve">SCALE-MISMATCH: I left Score blank. The rubric bands for UPD1b run from 0 to 10, but the column allows only 0 to 5, and the top band is not 5 or a sum of parts. The Step 2 notes also flag this as a question-bank anomaly, so I am not converting the result to the 5-point scale. A person needs to confirm the scale. Raw result: band 10 (raw value 10), which needs confirming. Why band 10: I re-read SUDA-14 and it supports the Step 2 claim. The p.256 note says that reservations marked with letters were added to Draft DP-2035 after its publication under s.13, on the recommendation of Surat Municipal Corporation. That is a recorded response by the parastatal to input from the city government (the ULG, here SMC). The 5-point band (formal invitation) also appears to be met. Step 2 cites Ch.16.3.2 (p.183): the Mayor of SMC was invited on 22.04.2016 together with all MPs, MLAs and the Zilla Panchayat President. My targeted read did not bring up that passage, so it still needs checking. Things a person should check: (1) Whether this short, partly unclear note is enough for band 10. It does not name the SMC reservations or give a date, and its second clause shows that some of the lettered reservations did not come from SMC. The sheet has no SMC letter or resolution. (2) Whether the ULG is SMC. The task input left the ULG blank; SUDA-14 names SMC throughout. (3) Board membership (Table 5, 2016: Standing Committee Chairman, Municipal Commissioner and City Engineer of SMC) only shows a structural link. It is not proof of participation in this plan cycle. (4) The sheet has no SUDA Board minutes, no Core Committee or sub-committee membership lists, and no proof of final sanction under s.17. Period: DP 2035 cycle. The revision started on 03-08-2013, the draft was published under s.13 on 10-05-2016, and the report dated 2017 was prepared for submission under s.16. Era: n/a.</t>
  </si>
  <si>
    <t xml:space="preserve">ANSWER: Yes, for the Surat Metro Phase-I plan. The Surat Municipal Corporation (SMC), which is the ULG, took a substantive part in making the Detailed Project Report (DPR), updated to December 2018. Corridor options were presented to SMC 'on various occasions', and the corridors were shortlisted 'on the suggestions of SMC &amp; CEPT'. The SMC Commissioner asked for the DPR to be revised. SMC's CMP, traffic study, TOD revenue figures and land rates were built into the DPR. This fits the top band ('documented consideration of and response to ULG inputs' / joint preparation). That band is worth 10 points, but the question's maximum is 5, so no score is proposed. Two things are not settled: whether this DPR counts as GMRC's own plan-making, and whether it is the latest cycle. | EVIDENCE: GMRC-08 DPR Ch.1 p.92: corridor alternatives were 'presented before the concerned authorities of Surat Municipal Corporation (SMC) on various occasions'. Then, 'on the suggestions of SMC &amp; CEPT', three corridors were shortlisted for the High Powered Committee (HPC) meeting of 13.01.2017. The HPC approved two of them. Exec Summary p.6 and Ch.1 p.87: the DPR was 'prepared and submitted to SMC and MEGA' by DMRC on 24.07.2017. The SMC Commissioner then, by e-mail of 16.09.2017, 'requested DMRC to review and revise' the DPR under Metro Rail Policy 2017, and it was revised. pp.8-9: the 2017 CMP was 'got completed by' SMC through CEPT. The traffic demand estimate was done by CEPT, 'entrusted this assignment</t>
  </si>
  <si>
    <t xml:space="preserve">DPR for Metro Rail Project in Surat, Gujarat (December 2018) [GMRC-08]</t>
  </si>
  <si>
    <t xml:space="preserve">https://www.gujaratmetrorail.com/wp-content/uploads/DPR/Surat-DPR-2020_opt.pdf</t>
  </si>
  <si>
    <t xml:space="preserve">Subsequently, on the suggestions of SMC &amp; CEPT, following three corridors were shortlisted and presented before High Powered Committee (HPC) in a meeting held on 13.01.2017 at Ahmedabad under the Chairmanship of Hon’ble Dy. Chief Minister, Govt. of Gujarat</t>
  </si>
  <si>
    <t xml:space="preserve">SCALE-MISMATCH: the score is left blank. 1) The source matches the Step 2 answer. GMRC-08 says the corridor options were 'presented before the concerned authorities of Surat Municipal Corporation (SMC) on various occasions'. It also says the three Phase-I corridors were shortlisted 'on the suggestions of SMC &amp; CEPT' before the state HPC approved two of them. The DPR's travel demand chapter rests on a study that SMC commissioned from CEPT (letter CE-Spl. Cell/Out/339, 31.08.2016), and the DPR includes the gist of SMC's 2017 CMP. Step 2 also cites other SMC inputs: the Commissioner's revision request, TOD revenue figures and land rates. I did not re-check those against the full text; only the CEPT/CMP inputs appear in the excerpt I read. Together this points to the top band (SMC inputs documented and acted on). 2) Ownership caveat now resolved. Step 2 flagged that the MEGA-to-GMRC link was not shown. GMRC-11 (EIA Final Report, Dec 2020, pp.1-3) names the client as 'Gujarat Metro Rail Corporation (GMRC) Limited ... [Formerly known as Metro-Link Express for Gandhinagar and Ahmedabad (MEGA) Company Limited]'. GMRC-08 (p.672) also calls Surat Metro an SPV under MEGA. So the DPR submitted to SMC and MEGA belongs to GMRC's predecessor, and it is the plan that GMRC is carrying out. 3) Why the score is blank. Step 2 reports that the rubric's top band is 10 on a 0-10 scale, but this input allows only 0-5, the Max Score. The question-bank anomaly for UPD 1b says the same. Under the scale-mismatch rule I must not rescale or interpolate (for example, 10 becoming 5). A person needs to confirm how the band maps to the 5-point scale. My reading of the evidence is the top band (raw band 10), which would be the maximum (5) if the scale is simply halved, but this needs confirmation. 4) Other open points. SMC's role was suggestions and inputs; the final route decision was made by the state-level HPC, not SMC. Table 1.7 / Annexure-A (the record of the SMC presentations) and the SMC letters were not in the excerpts. The Citation Sheet has no later Surat plan cycle (e.g. a Phase-II DPR), so I cannot confirm this is the latest cycle. The material is from 2016-2018 (DPR revised up to Dec 2018). GMRC-05, -09, -10 and -11 show no SMC plan-making participation beyond thanks or consultation with the public.</t>
  </si>
  <si>
    <t xml:space="preserve">UPD2a</t>
  </si>
  <si>
    <t xml:space="preserve">ANSWER: Not determined. None of the Citation Sheet sources I read says that BWSSB 'shall' or 'may' make its water-supply or sewerage plans or schemes consistent with the master plan or with a metropolitan or regional statutory plan. The methodology also requires the Karnataka Town and Country Planning Act, 1961. That Act is not in the Citation Sheet, so I cannot confirm that no such provision exists, and no score can be given. | EVIDENCE: PARASTATAL SIDE: BWSSB Act 1964 (PRS copy, BWSSB-02). (a) s.15(2)(b)-(c): the Board has a duty 'for preparing and carrying out schemes' for water supply and sewerage. (b) The proviso to s.15(2) says no scheme costing more than a crore of rupees 'shall be carried out by the Board except with the approval of the State Government'. This is a state financial approval, not a check against the master plan. (c) s.14: the Consultative Committee is an advisory body that advises the Board 'on major questions of policy and major schemes'. Its members are drawn from interests including the Palike (BBMP wording) and the Bangalore City Improvement Trust Board. It is not a plan-consistency rule. A keyword search of the Act for master plan or conformity returned nothing relevant. ULG SIDE: Greater Bengaluru Governance Act, 2024 (Act 36 of 2025, PRS copy, BWSSB-04). (a) s.14(2)(a): GBA 'shall be the Planning Authority' under the KTCP Act 1961 for the Greater Bengaluru Area. (b) s.14(2)(c): the State is to set up the Bengaluru Metropolitan Planning Committee </t>
  </si>
  <si>
    <t xml:space="preserve">The Greater Bengaluru Governance Act, 2024 Act No. 36 of 2025 [BWSSB-04]</t>
  </si>
  <si>
    <t xml:space="preserve">SCORE LEFT BLANK. The Step 2 'not determined' answer holds up.
(1) No 'shall' or 'may' consistency provision binds BWSSB in the sources available. I re-read the BWSSB Act 1964 (BWSSB-02, PRS copy with amendments up to at least Act 32 of 2010). s.15(2) gives the Board the duty of 'preparing and carrying out schemes', with State approval for schemes costing more than Rs 1 crore. That is a financial approval, not a check against the master plan. s.14 sets up the Consultative Committee, which is advisory only. A targeted search found no master plan, development plan or conformity wording.
On the ULG side, the GBA Act 2024 (BWSSB-04, Act 36 of 2025, GBA era) says:
- s.14(2)(a): GBA is the Planning Authority under the KTCP Act.
- s.14(2)(c): the State sets up the BMPC, and a draft development plan is to be prepared.
- s.15(1): GBA makes the master plan, but only the City Corporations 'shall incorporate' its infrastructure plan.
- s.223: conformity with the KTCP master plan is required only of the Corporation and its officers.
- s.14(3)(b) and s.14(4): GBA can issue binding directions to public authorities, naming BWSSB, and they must obey.
- s.15(5): GBA 'may' give public authorities the task of planning major projects, and they are 'bound to assist'.
These are general coordination and direction powers. None says BWSSB's water or sewerage plans must be consistent with the master plan or the BMPC plan. Counting them as a consistency mandate would be an interpretive stretch, so a person needs to decide that (see Step 2 CONFIRM item 2).
(2) A score of 0 cannot be given because I cannot show affirmative absence. The methodology also requires the Karnataka Town and Country Planning Act, 1961, and it is not in the Citation Sheet. Searches across the sheet found it only as a cross-reference inside the GBA Act. That Act could hold a rule that development by public authorities must conform to the master plan. The sheet also has no Rules or Regulations under the BWSSB Act, and no BMPC rules or notifications.
What I checked: BWSSB-02 (the Act, s.14 and s.15), BWSSB-04 (s.8, s.14, s.15, s.103, s.223, and the sector-wise functions schedule), and sheet-wide searches for 'master plan', 'conform', 'Town and Country Planning' and 'development plan'.
Action for the team:
- Add the KTCP Act 1961 (current amended text from an official Karnataka source) and any BMPC notification, then re-score.
- Confirm whether GBA's binding direction power counts as consistency.
- Note that the BWSSB Act still uses BBMP-era wording (Palike, City Improvement Trust Board), and no source here shows a successor body substituted.</t>
  </si>
  <si>
    <t xml:space="preserve">UPD2b</t>
  </si>
  <si>
    <t xml:space="preserve">Step 2 found no evidence: a source needs to be found and added. Step 2 found no evidence (Insufficient Evidence). Source needed: Needed: (1) BWSSB's current water and sewerage master plan or the 'Vision document upto 2050 / strategic Master plan', plus recent DPRs such as the CWSS Stage V or 110-villages DPR, so they can be checked for explicit references to the statutory master plan, for use of its growth, service-area or land-use framework when siting network expansion and major works, and for use of its population projections. (2) The statutory plan that applies: the BDA Revised Master Plan for Bengaluru, or any GBA or BMPC development plan under the GBG Act 2024 and KTCP Act 1961, and the BMRDA structure or regional plan. (3) Where available, land-use change or regularisation orders under the KTCP Act for BWSSB treatment plant, reservoir or trunk main sites.</t>
  </si>
  <si>
    <t xml:space="preserve">UPD2c</t>
  </si>
  <si>
    <t xml:space="preserve">ANSWER: The sources I read contain no provision that requires BMTC to make its own spatial or sectoral plan consistent with the Master Plan or a metropolitan/regional plan. A binding consistency duty exists only through the BMLTA Act, and it points to the Comprehensive Mobility Plan (CMP), a transport plan, not to the Master Plan. It also depends on BMTC being an 'Urban Transport Agency' under that Act, which the Act does not state by name. If BMTC is one, it 'shall' align its Sectoral Mobility Investment Program with the CMP's goals, needs BMLTA approval of major projects 'from the perspective of consistency with the Comprehensive Mobility Plan', and must keep its mobility plans 'in compliance with the Urban Mobility policies of the Authority'. The CMP itself must be prepared 'in conjunction with ... the land use plan', so any link to the Master Plan is indirect. | EVIDENCE: (1) Parastatal Act, Road Transport Corporations Act 1950 (BMTC-02): s.18 sets only a general duty to provide 'an efficient, adequate, economical and properly co-ordinated system of road transport services'. s.20 covers schemes to extend services, approved by the government. s.35 covers returns and reports. I found no reference to a master plan, regional plan or land-use plan in the parts I read. (2) BMLTA Act 2022, Karnataka Act 6 of 2023 (BMTC-06): s.2(ff) defines 'Urban Transport Agency' as 'both the private and public agencies engaged in providing of Urban Mobility in Urban Mobility Region'; BMTC is n</t>
  </si>
  <si>
    <t xml:space="preserve">The Bengaluru Metropolitan Land Transport Authority Act, 2022 Act No. 6 of 2023 (Amendment appended: 10 of 2026) [BMTC-06]</t>
  </si>
  <si>
    <t xml:space="preserve">https://prsindia.org/files/bills_acts/acts_states/karnataka/2023/Act6of2023Karnataka.pdf</t>
  </si>
  <si>
    <t xml:space="preserve">(a) The Sectoral Mobility Investment Program shall be aligned with the goals of the Comprehensive Mobility Plan;</t>
  </si>
  <si>
    <t xml:space="preserve">I left the score blank. It depends on a judgement the rubric must settle (RUBRIC-GAP / CONFIRM). The question text and Detailed Methodology were not in the task input, so I could not check the bands myself. I relied on the bands described in the Step 2 answer: 2.5 for a mandatory duty to stay consistent with the metropolitan/regional or city master plan or strategic plan, 1.25 for a non-mandatory or partial duty, 0 for none. These need confirming.
What the Citation Sheet shows:
(1) BMLTA Act 2022 (BMTC-06, PRS copy with Amendment 10 of 2026 appended). Under s.24(a) and s.2(v), the Sectoral Mobility Investment Program that each Urban Transport Agency prepares 'shall be aligned with the goals of the Comprehensive Mobility Plan'. Under s.25(1)(c), additional projects 'shall align with the Comprehensive Mobility Plan goals'. The s.21(2) first proviso says plans of other authorities 'shall be in compliance with the Urban Mobility policies of the Authority'. These duties are mandatory, but they point to the CMP, a statutory transport plan for the metropolitan Urban Mobility Region. They do not point to the Master Plan. The CMP is prepared 'in conjunction with ... the land use plan' (s.21(2)), and s.22 makes the Master Plan take the CMP into account. So the Master Plan link is indirect. The Act also never names BMTC as an 'Urban Transport Agency'. BMTC appears only in the preamble, among the institutions that need coordinating, so its UTA status is inferred from the s.2(ff) definition.
(2) GBG Act 2024 (BMTC-04, GBA era). s.14(4) names BMTC: GBA's directions 'shall be binding', and all public authorities 'shall cooperate ... and obey its directions'. BMTC must also write GBA's coordinating role into its Memorandum of Association. s.14(3)(b) gives GBA binding directions on carrying out schemes that implement GBA plans, and s.15(1) makes GBA responsible for the master plan and mobility plans. This is a power to coordinate and direct. It does not, by itself, require BMTC's own plans to be consistent with the Master Plan. s.15(1) requires plan incorporation only from the City Corporations.
(3) RTC Act 1950 (BMTC-02). As read in Step 2, s.18, s.20 and s.35 contain no master plan link.
(4) KTCP Act (BMTC-07). s.14 conformity applies to development generally and was not read in full.
A 0 cannot be given because affirmative absence is not established. The Citation Sheet has no Rules under the RTC Act for BMTC, no BMLTA regulations under s.54, and no BMTC constitution notification. Mandatory linkages also clearly exist, through the CMP and GBA's binding directions.
For the team to confirm: (a) whether a mandatory duty to align with the CMP counts as a 'metropolitan strategic plan' duty, which would support 2.5; (b) whether GBA's binding-direction power over BMTC counts; (c) whether BMTC is an Urban Transport Agency under BMLTA s.2(ff).</t>
  </si>
  <si>
    <t xml:space="preserve">UPD2d</t>
  </si>
  <si>
    <t xml:space="preserve">Step 2 found no evidence: a source needs to be found and added. Step 2 found no evidence (Insufficient Evidence). Source needed: Any of these would answer the question: BMTC's current network or route-rationalisation plan, depot/terminal expansion plan or vision document (e.g. the BMTC Vision 2025 study, the latest Annual Administrative Report or planning presentations); the current Comprehensive Mobility Plan for Bengaluru and BMTC's Sectoral Mobility Investment Program / Annual Implementation Plan under the BMLTA Act (ss.24-25); and the statutory master plan in force for the Greater Bengaluru Area, so its growth corridors and population/density projections can be compared with BMTC's route and depot planning. For the extra quality check: land-use change or regularisation orders for major BMTC depots and terminals.</t>
  </si>
  <si>
    <t xml:space="preserve">UPD3a</t>
  </si>
  <si>
    <t xml:space="preserve">ANSWER: The Citation Sheet does not settle this. The BWSSB Act, 1964 has no explicit duty to consider women, the urban poor, slum dwellers, persons with disabilities or other named vulnerable groups. It does have a binding universal-access duty for domestic water supply. Section 15(3) says a water supply scheme 'shall inter alia make provision' for piped supply 'to every part of the Bangalore Metropolitan Area in which there are houses'. Where piping is not practicable at a reasonable cost, it requires supply 'as far as possible' by other means, 'within a reasonable distance of every house', in areas where the existing supply is a danger to health. This duty is limited by 'reasonable cost'. The Act's provisions on affordability and equitable distribution are all discretionary ('may'), and tariffs are set on a cost-recovery basis. The layer that would hold concessional tariffs or slum connection rules (the Board's Regulations and tariff notifications, and any State water and sanitation policy) is not in the Citation Sheet. So the answer cannot be 0, and the choice between 5 and 2.5 depends on how the methodology treats a universal-access duty that names no group. | EVIDENCE: (1) BWSSB Act, 1964 (BWSSB-02), s.15(1): a general duty to provide and improve water supply and sewerage in the Bangalore Metropolitan Area. s.15(2)(b): a duty to prepare schemes 'for the supply of wholesome water for domestic purposes'. s.15(3)(a)-(b): the universal-access duty ('shall'), quoted above. s.</t>
  </si>
  <si>
    <t xml:space="preserve">A scheme under clause (b) of sub-section (2) shall inter alia make provision,— (a) for a supply of wholesome water in pipes to every part of the Bangalore Metropolitan Area in which there are houses, for the domestic purposes of the occupants thereof</t>
  </si>
  <si>
    <t xml:space="preserve">I left the Score blank. There are two reasons.
(1) The rubric is missing. I was given no question wording, Detailed Methodology or bands for UPD3a, so I cannot apply a scoring rule. Step 2 mentions possible bands of 5, 2.5 and 0, but I cannot check those against the rubric.
(2) The evidence does not settle the band anyway (RUBRIC-GAP / CONFIRM).
What I checked against the source:
- BWSSB-02, the BWSSB Act 1964, PRS copy, amended up to Acts 15 and 32 of 2010. s.15(3)(a)-(b) sets a binding 'shall' duty: piped domestic supply to every part of the Bangalore Metropolitan Area where there are houses, or supply by other means within a reasonable distance of every house. The duty is limited to what is 'practicable at a reasonable cost'.
- It does not name women, the poor, slum dwellers, persons with disabilities or economically weaker sections (EWS).
- Other provisions are discretionary ('may'): s.38(1), free public supply, conditional on payment by the city corporation (BBMP); s.61A(d), bye-laws on 'equitable distribution'; s.31, different rates by purpose.
- s.16(1) sets charges on a cost-recovery basis.
- So Step 2 is right that the Act has a universal-access duty but no duty tied to particular groups.
Why a 0 is not possible: I found no group-specific provision, but there is no affirmative absence. These layers are not in the Citation Sheet:
- the BWSSB Regulations under s.61 and s.31
- tariff notifications
- bye-laws under s.61A
- any Board resolution on slum connections
- any Karnataka state water and sanitation policy
I also read BWSSB-38 (the Notifications page). The text returned was only website boilerplate, with no tariff or regulation text. That is a VERIFICATION-LIMIT.
Other sources:
- BWSSB-13 (website, undated) describes reduced connection charges for slum houses: Rs 550 for houses up to 150 sq ft and Rs 800 for 151-600 sq ft. It names no instrument, so it is not a binding provision.
- BWSSB-04 (Greater Bengaluru Governance Act 2024, Schedule I) gives the city government duties on slums, urban poverty and disability. These duties are not BWSSB's.
- The Act still names BBMP. Nothing in the sheet shows the Greater Bengaluru Authority or its city corporations substituted in its place.
For the team:
(a) Supply the UPD3a methodology and bands.
(b) Confirm whether a universal-access duty that names no group counts as an 'explicit requirement'.
(c) Obtain the BWSSB Regulations and tariff notifications, and any Board order on slum connections.</t>
  </si>
  <si>
    <t xml:space="preserve">UPD3b</t>
  </si>
  <si>
    <t xml:space="preserve">ANSWER: No score can be given. The Citation Sheet does not contain BWSSB's current water supply plan, DPR, tariff or connection-concession order, or design or service standards, and the methodology requires these. BWSSB's official website does describe specific measures for slum dwellers and the urban poor: lower connection charges for small houses, payment in two instalments, simpler documents that accept proof of residence instead of title, shared metered connections for communities without secure tenure, a Social Development Unit, and a slum component under the JICA-assisted Cauvery project. If these were shown to be current, they could cover both parts of Component 1. But the page is undated, the programmes it describes run from 2000 to 2006, and the JICA 'first phase' has no date. No source in the Sheet shows any gender, disability, elderly or accessible-design measure (Component 2). Because the current plan and design standards were not available to check, this is 'not found', not a 0. | EVIDENCE: (1) BWSSB-13, BWSSB website, 'Our Services' &gt; 'Services for Urban Poor'. (a) Affordability: 'BWSSB has offered a rationalized reduction in the connection rates' (Rs.550 meter cost only for houses up to 150 sq.ft.; Rs.800 for 151-600 sq.ft.), and 'The slum dwellers are allowed to pay the connection charges in two installments'. (b) Access regardless of tenure: a slum dweller may apply with 'hakku patras issued by the BDA, KSCB, BMP; any proof of residence, such as ration card, </t>
  </si>
  <si>
    <t xml:space="preserve">Our Services - Bangalore Water Supply and Sewerage Board [BWSSB-13]</t>
  </si>
  <si>
    <t xml:space="preserve">https://bwssb.karnataka.gov.in/info-1/Our+Services/en</t>
  </si>
  <si>
    <t xml:space="preserve">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t>
  </si>
  <si>
    <t xml:space="preserve">SCORE LEFT BLANK. I agree with Step 2 after checking it against the source. Component 1 (affordability and service planning for slums): BWSSB-13 does say what Step 2 says. It names specific measures for slum dwellers: lower connection charges by house size (Rs.550 or Rs.800), payment in two instalments, simpler documents (hakku patras, ration card or election ID accepted in place of title), and shared metered connections for communities without secure tenure. It also mentions the Social Development Unit and a JICA slum component covering 96 slums in Phase 1. These are measures aimed at specific groups, not generic wording. But the page is undated. The programmes it describes ran in 2000-2002 (AusAID pilots) and 2003-2006 (Package Programme), and the JICA 'currently under implementation' phase has no date. So nothing shows this is BWSSB's current planning framework. BWSSB-41 (free meters for 22,000 slum households, interest waiver) is also undated. Component 2 (gender, disability, elderly or accessible design): I re-searched the Sheet (women / disabled / elderly / public taps) and found nothing about BWSSB. The only accessibility text is the website's WCAG screen-reader notice. That is about the web portal, not water service design, so it earns no credit. A 0 for Component 2 would need affirmative absence, but these are not in the Sheet: the current water supply master plan or Vision 2050 document, the CWSS Stage V and 110-villages DPRs, the current tariff order or slum connection-concession order, design or service standards, and a current annual report (BWSSB-29 covers only FY 2016-17). So Component 2 is 'not found', not absent. With Component 2 undetermined and Component 1 not shown to be current, the total cannot be worked out. Sources checked: BWSSB-13, BWSSB-41, BWSSB-07, BWSSB-29, BWSSB-02, BWSSB-04, plus searches across the whole Sheet. FOR THE TEAM TO CONFIRM: can an undated web page that describes 2000-2006 programmes count as the current planning framework for Component 1? If so, Component 1 might earn its share (about 2.5 per Step 2), but Component 2 would still need the current plan, DPR or design standards. RTI-TARGET: ask BWSSB's PIO for the current master plan or Vision 2050 document, the social or GESI chapters of the DPRs, the current slum or EWS connection-concession and tariff orders, and design standards for public water points.</t>
  </si>
  <si>
    <t xml:space="preserve">UPD4a</t>
  </si>
  <si>
    <t xml:space="preserve">ANSWER: The sources do not show that BMTC itself is required to consider women, the urban poor or other vulnerable groups. BMTC's own parent Act sets only a general service duty. It lets BMTC grant free or concessional passes but does not require it. The only explicit provision on a vulnerable group is in the BMLTA Act. It names one group, persons with disabilities. It is placed on the Bengaluru Metropolitan Land Transport Authority (BMLTA) and its Comprehensive Mobility Plan (CMP), not on BMTC. It reaches BMTC only indirectly: BMTC counts as an 'Urban Transport Agency', and BMLTA approves its projects for consistency with the CMP. I found nothing in the sources on women's mobility or safety, the urban poor, low-income or peripheral coverage, or last-mile access. That is a finding about these sources only, not a confirmed absence. | EVIDENCE: (1) Road Transport Corporations Act, 1950 (BMTC's enabling Act). s.18 'General duty' requires 'an efficient, adequate, economical and properly co-ordinated system of road transport services'. This is generic and names no vulnerable group, and its proviso says the section creates no duty enforceable in court. s.19(1)(d) gives a power ('shall have power') to issue passes 'either free of cost or at concessional rates and on such conditions as it may deem fit to impose'. This is discretionary and names no group. s.3(a)-(c) lists the State's general considerations for setting up a corporation ('advantages offered to the public...'), which are</t>
  </si>
  <si>
    <t xml:space="preserve">(h) accessible mobility and transport for persons who are persons with benchmark disability</t>
  </si>
  <si>
    <t xml:space="preserve">SCORE LEFT BLANK. The Score cell is empty because the Citation Sheet does not support any band, including 0. I could not see the question text or its full rubric. The Step 2 answer points to bands of 5, 2.5 and 0, with 2.5 meaning 'limited to specific groups'. This needs a human check.
What I checked:
(1) BMTC-06, BMLTA Act 2022 (Karnataka Act 6 of 2023, with Amendment Act 10 of 2026 appended; PRS-republished text, so secondary). s.21(2)(h) requires the Comprehensive Mobility Plan (CMP) to include accessible mobility for persons with disabilities. That requirement falls on BMLTA, not BMTC. It reaches BMTC only indirectly: through the first proviso to s.21(2), which requires other authorities' plans to comply with BMLTA's Urban Mobility policies (the s.20 policies, none of which concern vulnerable groups), and through s.19 project approval. It covers one group only. Whether an indirect duty on BMLTA counts as a mandate on BMTC is a methodology question for the team.
(2) BMTC-02, RTC Act 1950. s.18 sets a general service duty and names no group. s.19(1)(d) is a discretionary power to issue free or concessional passes, with no group named. s.17 Advisory Councils use 'may'.
(3) BMTC-04, GBA Act 2024 (GBA-era). Step 2 found no transport duty towards vulnerable groups. I did not re-read it.
(4) BMTC-20, BMTC Rules and Regulations page. It lists only KSRTC employee, cadre and service regulations and the KSRTC Rules 1961. I could not see the text of those PDFs. There is nothing on concessions or passenger groups.
(5) BMTC-27, Student Pass page. It says BMTC issues free student passes 'As per the directions of the Government of Karnataka'. The government direction itself is not in the Citation Sheet, and students may not count as a vulnerable group under the rubric.
(6) BMTC-32, mission statement. 'Extend travel concession to the weaker sections of the society' is a website statement, not a binding instrument.
(7) BMTC-28, press releases. These are one-off 2023 practices (Women's Day free travel, free travel for PUC exam candidates). Practice is not a mandate.
Why 0 is not available: there is no affirmative absence. The Citation Sheet lacks the Karnataka GOs on free travel for women and on student, disability and senior-citizen concessions, BMTC's concession regulations under RTC Act s.45, BMTC's fare and concession policy, and the Karnataka Motor Vehicles Rules provisions on concessions and accessibility.
Why 2.5 is not safe: the only binding provision is a BMLTA CMP duty covering one group (persons with disabilities). BMTC has no direct duty.
What the team should do:
- Decide whether the BMLTA s.21(2)(h) duty counts.
- Add the concession GOs and regulations listed above.
- Confirm the BMLTA Act's commencement and whether a CMP has been adopted.
- Note that s.2(cc) of the BMLTA Act still names the BBMP; no official source in the sheet shows a successor substituted.</t>
  </si>
  <si>
    <t xml:space="preserve">UPD4b</t>
  </si>
  <si>
    <t xml:space="preserve">ANSWER: The evidence covers only part of the question. BMTC does run a current fare-concession measure: free student passes for academic year 2026-27, and senior-citizen passes priced below the general pass. There are also signs of women-safety work under the Nirbhaya scheme (tenders for an app with a women-safety feature and in-bus surveillance), a women's free-travel scheme, and a scheme for persons with disabilities. But the Citation Sheet has no route or coverage commitment for any identified vulnerable group. The documents for the Shakthi Scheme, the Physically Challenged Scheme, the 2026 disabled bus-pass notice and the Nirbhaya tenders appear only as link titles, so I could not read them. There is no BMTC mobility plan or service-design standard in the sheet, and nothing showing accessible-design measures (low-floor buses, ramps, priority seating). | EVIDENCE: (1) BMTC-27, the BMTC Student Pass page (site last updated 30-09-2026): 'Student Pass 2026-27', and BMTC 'is issuing student passes at a free from the date of its formation for the benefit of students community'. Applications go through the Seva Sindhu portal and BangaloreOne centres. This is an affordability measure for students, a group the rubric lists. (2) BMTC-30, the KarnatakaOne BMTC services page (last reviewed 14 July 2026): 'Black Board Pass Rs 725/-', 'Sr. Citizen Black Board Pass Rs 650/-', 'Pushpak Pass Rs 925/-', 'Sr. Citizen Pushpak Pass Rs 830/-'. This is a concession for elderly people, but the p</t>
  </si>
  <si>
    <t xml:space="preserve">Student Pass - Bengaluru Metropolitan Transport Corporation [BMTC-27]</t>
  </si>
  <si>
    <t xml:space="preserve">https://mybmtc.karnataka.gov.in/info-3/Student+Pass/en</t>
  </si>
  <si>
    <t xml:space="preserve">As per the directions of the Government of Karnataka Bangalore Metropolitan Transport Corporation is issuing student passes at a free from the date of its formation for the benefit of students community.</t>
  </si>
  <si>
    <t xml:space="preserve">The score is left blank because the Citation Sheet only partly answers the question. The full Detailed Methodology text was not given to me, so I read the components from the Step 2 band notes. On that reading, the score is Component 1 (up to 2.5) plus Component 2 (up to 2.5). I checked the Step 2 answer against the sources. COMPONENT 1, fare concessions: these are present for this agency. BMTC-27 is the BMTC Student Pass page, last updated 30-09-2026. It shows free student passes for academic year 2026-27, issued 'as per the directions of the Government of Karnataka'. BMTC-30 is the KarnatakaOne page, reviewed July 2026. It lists Senior Citizen Black Board and Pushpak passes at Rs 650 and Rs 830, against Rs 725 and Rs 925 for the general passes. The page says the rates are subject to change and gives no date for them. COMPONENT 1, route or coverage measures for vulnerable groups: not found. My searches for feeder, slum, underserved, wheelchair and low-floor returned nothing specific to BMTC. Metro feeder services are not aimed at any identified group. This is 'not found', not an affirmative absence. Some instruments were never read in full or exist in the sheet only as link titles: the Shakthi Scheme, the Physically Challenged Scheme and the 2026 disabled-pass notice (BMTC-01 titles only), BMTC fare/concession orders (none in the sheet), and BMTC-15. So Component 1 is at least the concession part, but whether it is the partial or full band cannot be decided. COMPONENT 2, planning or design framework: undetermined. BMTC-10 lists only the titles of Nirbhaya tenders: the 01/12/2020 tender for a BMTC mobile app with a women-safety feature and in-bus surveillance, a functional-audit tender from August 2023, and an October 2023 tender. The tender documents are not in the sheet, and nothing shows the system is in operation now. BMTC-32 (Vision and Mission) says 'Extend travel concession to the weaker sections of the society', but that is a generic mission statement and is not credited. BMTC-28 shows free travel for women on Women's Day 8/3/2023 only, a one-day measure. BMTC-06 (BMLTA Act, Comprehensive Mobility Plan, accessible mobility for persons with disabilities) puts the duty on BMLTA, not BMTC, and is a mandate, not evidence of practice. FOR A HUMAN: (1) Open the Shakthi Scheme and Physically Challenged Scheme pages and the 2026 disabled bus-pass notice linked from BMTC-01. (2) Open the Nirbhaya tender PDFs in BMTC-10 and look for current evidence that the women-safety and surveillance system is operating. (3) Look for a BMTC concession order or administrative report for the current year. (4) Confirm whether the tenders count as a Component 2 framework. Capture dated screenshots as the question bank requires. VERIFICATION-LIMIT: the scheme documents exist only as link titles and were not read; this is not a negative finding.</t>
  </si>
  <si>
    <t xml:space="preserve">UPD5a</t>
  </si>
  <si>
    <t xml:space="preserve">ANSWER: The Bangalore Water Supply and Sewerage Act, 1964 has some explicit environmental requirements, but each covers one function only: rainwater harvesting and dual piping, recycling of wastewater, treating sewage before it goes into a watercourse, and banning waste or misuse of water. None of the Board's general duties in s.15 (planning and running water supply and sewerage) mentions environmental sustainability. Section 15 only asks for water that is sufficient and 'wholesome', and makes no mention of sustainable sources, protecting sources, cutting water losses, climate resilience or environmental flows. On the Act alone this fits 'limited to particular functions, schemes or concerns'. Other binding layers that could change this were not read (see LIMITS), so no final score is given. | EVIDENCE: (1) BWSSB Act s.15(1)-(3), general duties: 'charged with the general duty of providing a supply and improving the existing supply of water ... and of making adequate provision for the sewerage and the disposal of the sewage'. Under s.15(2) the Board 'shall' check 'the sufficiency and wholesomeness of water supplies' and prepare supply and sewerage schemes. There is no environmental or sustainability wording. (2) s.15(6), inserted by Act 15 of 2010 with effect from 16.04.2010: 'The Board shall also have power to insist on owner, occupier or builder to adopt water conservation methods like rain water harvesting and recycling of waste water for non potable or potable purposes.' Th</t>
  </si>
  <si>
    <t xml:space="preserve">Every owner who proposes to construct a building on a sital area of not less than 108 square meter shall provide rain water harvesting structure for storage, for use or for ground water recharge in such manner and subject to such conditions as may be provided in the regulations and guidelines issued by the Board.</t>
  </si>
  <si>
    <t xml:space="preserve">Score left blank. The evidence in the Citation Sheet points to the middle band ('limited to particular functions/concerns', 2.5 as Step 2 records it). But that band can't be confirmed for two reasons. First, the question's Detailed Methodology text was not given to me, so the band labels and values are taken from the Step 2 notes. Second, several instrument layers the question covers are not in the Citation Sheet.
What I checked in BWSSB-02 (BWSSB Act 1964, PRS consolidated copy with amending Acts up to Act 29 of 2021):
(a) s.15 general duties: supply 'sufficiency and wholesomeness' and sewerage schemes, with no environmental or sustainability wording. s.15(6) (Act 15 of 2010, from 16.04.2010) gives only a 'power to insist' on rainwater harvesting and wastewater recycling. That is a power, not a duty.
(b) s.72A (Act 29 of 2021): rainwater harvesting is mandatory ('shall') for owners on 108 sq m or more. Dual piping plus rainwater harvesting is mandatory on 1000 sq m or more. The duty falls on owners, and the conditions are left to Board regulations and guidelines.
(c) s.72: the Board 'shall be competent' to require separate drains, with rainwater emptying into a rainwater harvesting system.
(d) s.74 second proviso: no sewage may be discharged into a watercourse until treated as the bye-laws prescribe. This applies only 'on and after such date as may be appointed by the Board'.
(e) s.49 prohibits waste or misuse and contamination of supplied water. s.52 bars placing pipes where the water would be polluted. Both are consumer-side prohibitions.
BWSSB-33 (Karnataka Ground Water Act 2011, PRS copy): s.2(k) names BWSSB as a 'Local Authority'. Under s.22(4) a local authority 'may' impose rooftop rainwater harvesting conditions on sites of 100 sq m or more and withhold connections until they are met. This is discretionary and rainwater-harvesting-only. The s.22(1)-(3) duties fall on the Groundwater Authority, not on BWSSB.
Searching the sheet for 'environmental sustainability / source protection' found no further binding provision. Every provision found is tied to a particular function (rainwater harvesting and dual piping, treatment before discharge, waste and pollution of supplied water). None makes sustainability a duty across core planning and service delivery.
Why blank, not 2.5: these binding layers are NOT in the Citation Sheet and were not read:
- the BWSSB Regulations and bye-laws (rainwater harvesting regulations under s.72A; sewage treatment and effluent bye-laws under s.74 and s.84A; water supply bye-laws under s.61A);
- any Rules under the Act;
- the 1999 Karnataka Ground Water (Protection of Sources of Drinking Water) Act as amended by Act 15 of 2010 s.33, under which a BWSSB officer becomes 'appropriate authority'. Only the Statement of Objects and Reasons was seen;
- any Karnataka state water or urban water and sanitation policy.
The 1999 Act and a state policy could widen the scope beyond particular functions.
The Step 2 summary of s.15(6), s.72A and s.74 matches the source. Its claim that s.49 and s.52 were 'not read' is now resolved: I read both, and they don't change the result.
For the reviewer: (1) apply the actual methodology bands; (2) confirm whether an owner-side duty enforced through the Board counts as a Board mandate; (3) check the missing layers. If none of them adds a duty across core functions, 2.5 is supported.
Website statements (BWSSB-13, BWSSB-40) are administrative and get no credit under a Law/Policy question.</t>
  </si>
  <si>
    <t xml:space="preserve">UPD5b</t>
  </si>
  <si>
    <t xml:space="preserve">ANSWER: The Citation Sheet shows that BWSSB has, at some point, planned and carried out specific environmental-sustainability measures under both components. They are undated or about ten years old (around 2015-17). The Sheet has no current water supply or sanitation plan, so it cannot show whether BWSSB considers these matters in its planning today. Component 1 (sources, conservation, losses): (i) source measures: harvesting city rainwater (5 to 10 TMC) to recharge depleted groundwater, sewage plants to be built upstream to stop pollution of Bellandur and Varthur lakes, and rainwater harvesting on BWSSB's own buildings; (ii) loss reduction: unaccounted-for-water and leakage-control works covering about 50% of the core area, aiming to cut overall water losses to 16%, plus dedicated leak-detection works. Component 2 (wastewater, reuse, resilience): new sewage treatment plants of 520 MLD in total (DPRs prepared), Environmental Action Plans A, B and C (to stop sewage flowing into storm-water drains), and a Board-approved scheme to supply 15 MLD of tertiary-treated wastewater to a power plant. No energy-efficiency or drought/flood-resilience measure with a target was found. | EVIDENCE: BWSSB-07 (BWSSB website, 'About BWSSB', undated): 'Water supply improvement works' says the loss-reduction works aim 'to reduce the overall water losses to 16%'. 'Exclusive leak detection works' covers JICA L-sign leak monitoring and helium leak detection in 4 subdivisions (completed, Rs 25 crore).</t>
  </si>
  <si>
    <t xml:space="preserve">About BWSSB - Bangalore Water Supply and Sewerage Board [BWSSB-07]</t>
  </si>
  <si>
    <t xml:space="preserve">https://bwssb.karnataka.gov.in/info-1/About+BWSSB/en</t>
  </si>
  <si>
    <t xml:space="preserve">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t>
  </si>
  <si>
    <t xml:space="preserve">SCORE LEFT BLANK. This is an Implementation question about how BWSSB plans for environmental sustainability today. The Citation Sheet only has evidence that is old or undated. I checked the Step 2 answer against the sources and the quotes and details match.
What the evidence shows for each component (2.5 points each, total 5):
(1) Sources, conservation and losses. BWSSB-07 describes:
- unaccounted-for-water (UFW) and leakage-control works covering about 50% of the core area, aiming to cut overall water losses to 16%;
- a JICA leak-detection grant and helium leak-detection work;
- 5 to 10 TMC of rainwater to be used to recharge groundwater;
- sewage plants proposed upstream to protect Bellandur and Varthur lakes.
BWSSB-41 (Achievements, undated) lists: 280 km of leaky pipeline restored; 218 bulk flow meters installed 'for plugging water leakage'; rules amended to make rainwater harvesting mandatory; rainwater harvesting installed in 23,000 buildings. BWSSB-40 covers rainwater harvesting on BWSSB's own buildings.
(2) Wastewater, reuse and resilience. BWSSB-07 lists:
- 6 proposed new sewage plants totalling 520 MLD (DPRs prepared; funding still being sought);
- Environmental Action Plans A, B and C, and the Hebbal 'zero flow' scheme;
- about 30% of treated effluent sent to lakes for recharge.
BWSSB-29 (Annual Report FY2016-17) records Board approval for 15 MLD of tertiary-treated water to go to the KPCL power plant.
Why no score:
- Timing. BWSSB-07 is a live page (footer © 2026), but its content dates to about 2015-16. It refers to works 'planned to be completed in 2016' and to BBMP-era jurisdiction. BWSSB-41 is undated and refers to an award for 2011-12 and a calendar award for 2015. BWSSB-29 covers FY2016-17. None of these shows how BWSSB plans today, in the GBA era.
- Plans not shown as carried out. Many items are only proposals (DPRs, 'proposed', funding requested), and there is no evidence they were implemented.
- Generic wording. The 'Future Outlook' lines (water loss reduction programme, conservation programme, water reuse, climate change) and the vision document up to 2050 are general statements; the vision document has no date or outcome. They earn no credit.
- Missing evidence. I found no energy-efficiency or drought/flood-resilience measure with a target.
- Legal powers only. The BWSSB Act s.16(6) and s.72A (BWSSB-02) give powers, not evidence of practice.
- No current documents. BWSSB-25 (press releases from 2021-23) lists only water shutdowns, adalaths and summer supply; it contains no sustainability plan.
If the team accepts the undated website content as BWSSB's current planning framework, the old evidence would support about 2.5 + 2.5 = 5. However, the Detailed Methodology text was not given to me here, so a person must confirm the band mapping. Please also supply a current BWSSB plan or annual report: the latest NRW/UFW programme, the treated-water reuse policy or programme, and an energy or climate-resilience plan. Reviewer to capture a dated screenshot.</t>
  </si>
  <si>
    <t xml:space="preserve">UPD6a</t>
  </si>
  <si>
    <t xml:space="preserve">Scored by AI</t>
  </si>
  <si>
    <t xml:space="preserve">ANSWER: Partly. BMTC's own Act puts no environmental duty on it. Under the Bengaluru Metropolitan Land Transport Authority (BMLTA) Act, sustainability rules reach BMTC's investment planning indirectly, through the Comprehensive Mobility Plan, sectoral investment programmes and annual plans. Those rules are about putting public and non-motorised transport first and cutting private-vehicle use. I found no explicit duty on emissions, cleaner fuel, energy efficiency or environmental assessment for BMTC. Two things are still unconfirmed: whether the Act's definition of 'Urban Transport Agencies' names BMTC, and which scoring band this fits. | EVIDENCE: (1) BMTC's enabling Act, the Road Transport Corporations Act, 1950 (BMTC-02). s.3 lists reasons to set up a corporation: public advantage, coordination with other transport, and an 'efficient and economical system'. s.18 sets the general duty to provide 'an efficient, adequate, economical and properly co-ordinated system of road transport services'. Neither mentions the environment, emissions or sustainability. (2) BMLTA Act, 2022 (Act 6 of 2023), PRS text (BMTC-06). s.2(aa) defines 'Sustainable Urban Transport' as 'projects conceived to reduce the use of private vehicles and increase the use of public transport and non-motorised modes like walking and cycling'. s.20(1): the Authority 'shall' prepare and implement policies, including a non-motorised transport policy, a transit-oriented development policy and a multi-modal integratio</t>
  </si>
  <si>
    <t xml:space="preserve">These additional projects shall align with the Comprehensive Mobility Plan goals and promote sustainable urban transport.</t>
  </si>
  <si>
    <t xml:space="preserve">Proposed score: 2.5 (environmental duties exist but are limited). A person should check it.
**One open point fixed.** Step 2 said it had not read the s.2(ff) definition. I read it in BMTC-06: "'Urban Transport Agency' means and includes both the private and public agencies engaged in providing of Urban Mobility in Urban Mobility Region". BMTC is a public bus operator in the Urban Mobility Region, so it is covered. Its Managing Director also sits on the Authority (s.4) and the Executive Committee (s.12). So s.24 and s.25 do bind BMTC.
**Why 2.5 and not 5:**
- BMTC's own Act, the Road Transport Corporations Act, 1950 (BMTC-02), sets no environmental duty. s.3 and s.18 are only about an efficient, adequate, economical and co-ordinated service.
- The duties that do bind BMTC come indirectly, through the separate BMLTA Act 2022 (Act 6 of 2023; BMTC-06). Its Sectoral Mobility Investment Programme 'shall be aligned with the goals of the Comprehensive Mobility Plan' (s.24(a)). Its additional annual-plan projects 'shall... promote sustainable urban transport' (s.25(1)(c)).
- Those goals are narrow. s.2(aa) defines 'Sustainable Urban Transport' only as cutting private-vehicle use and raising public and non-motorised transport. s.2(h) describes the Comprehensive Mobility Plan as providing 'safe, clean and efficient urban transport', which is general wording.
- I found no binding duty on BMTC about emissions, fleet fuel or electrification, energy efficiency, environmental assessment or climate resilience.
- The Greater Bengaluru Governance Act (BMTC-04): the Climate Action Cell in s.17 is a duty of the Greater Bengaluru Authority, not of BMTC.
- The 'environment-friendly' line on BMTC's website (BMTC-32) is a mission statement, not a binding rule. Mentions of electric and BS-VI buses on BMTC-01 show practice, not a provision.
- On this reading the duties cover one specific objective (mode shift), applied through plan alignment. That fits 'limited to specific objectives' (2.5), not 'embedded across core functions' (5). It is not 0, because 'shall' duties do exist.
**What a person should check:**
- The question's full Detailed Methodology was not in my task input. I took the 0 / 2.5 / 5 bands from the Step 2 notes. Please confirm that band wording before accepting the score.
- Missing from the Citation Sheet:
  - Rules or regulations under the BMLTA Act or the RTC Act
  - any approved Comprehensive Mobility Plan
  - Karnataka electric-vehicle or clean-fuel policy instruments
  - the 2026 amendment (Act 10 of 2026), which I did not review
- Any of these could add BMTC-specific environmental duties and raise the score.
- The BMLTA text is a PRS secondary copy.</t>
  </si>
  <si>
    <t xml:space="preserve">UPD6b</t>
  </si>
  <si>
    <t xml:space="preserve">Step 2 found no evidence: a source needs to be found and added. Step 2 found no evidence (Insufficient Evidence). Source needed: Any of these would answer it: BMTC's latest Annual Administrative Report (FY 2024-25 or 2025-26), with fleet composition, electric/CNG share, fuel efficiency (KMPL) or emissions figures and targets; BMTC's fleet plan or electric-bus induction and scrapping plan, with a transition target and a phase-out schedule for old diesel buses; BMTC's environmental policy document; and BMTC's route/network rationalisation plan or metro-feeder and interchange plan, showing NMT, multimodal integration and depot energy measures. The BMTC Vision 2025 document listed on the DULT page would also help, if it is adopted as BMTC's planning framework.</t>
  </si>
  <si>
    <t xml:space="preserve">DPG1a</t>
  </si>
  <si>
    <t xml:space="preserve">ANSWER: The law does not appear to clearly separate BWSSB's role from the city government's, but the score is left blank because the BWSSB Act could not be read in full. On the city government side, the GBA Act lists water supply as a full core function of the City Corporations, covering domestic, industrial and commercial supply. It also lists sanitation, including liquid waste management, and gives the Greater Bengaluru Authority (GBA) a coordinating role over other agencies. This makes it Scenario B (fully devolved, and the parastatal also delivers), not Scenario A. On the BWSSB side, the parts of the Act that could be read give BWSSB a general duty to supply water and provide sewerage across the Bangalore Metropolitan Area. They do not limit BWSSB to one part of the job, such as bulk supply only, a particular area or a particular scale. Neither Act, in the parts read, makes an explicit carve-out. The only narrower item for the city corporations is the sector-wise function of 'unfiltered water supply for non-domestic uses', which sits alongside their full core water-supply function rather than marking a boundary with BWSSB. If confirmed, this points to the Scenario B score of 0. | EVIDENCE: City government law (BWSSB-04, GBA Act 2024, Act 36 of 2025, PRS copy): s.111(1)-proviso says 'it shall be the duty of the City Corporation to render necessary services to the inhabitants ... in respect of the matters enumerated as core functions in the First Schedule'. Schedule I(1)(v)</t>
  </si>
  <si>
    <t xml:space="preserve">(v) Water supply for domestic, industrial and commercial purposes;</t>
  </si>
  <si>
    <t xml:space="preserve">I left the Score blank. The sources don't let me choose a band, and a 0 needs proof that nothing in the law separates the two roles. That proof isn't there.
(1) City government side (BWSSB-04, GBA Act 2024, Act 36 of 2025, PRS copy as enacted, GBA era). Schedule I(1)(v) makes 'Water supply for domestic, industrial and commercial purposes' a core function of the City Corporations. Schedule I(1)(vi) does the same for sanitation, including liquid waste management. Schedule I(3)(vii)(f) adds 'provision for unfiltered water supply for non-domestic uses'. In the parts read, no clause leaves these functions to BWSSB. BWSSB is mentioned only in the property-tax exemption in s.154(1)(k).
(2) Parastatal side (BWSSB-02, BWSSB Act 1964, PRS copy as amended up to Act 29 of 2021). I read further than Step 2 did, and this changes the picture. s.15(1) gives the Board 'the general duty of providing a supply ... of water in the Bangalore Metropolitan Area' and sewerage. s.26 says all reservoirs, pipes, taps, conduits and 'other works connected with the supply of water to the Bangalore Metropolitan Area', whether built at the cost of the Government, the BBMP 'or otherwise', 'shall vest in the Board and be subject to its control'. The sewerage vesting section (s.63 by position in the text; its heading was cut off) vests all public sewers and sewage disposal works in the Board. s.64(2) says the Board 'shall maintain and keep in repair all Board sewers'. The Statement of Objects and Reasons says the 1964 Act moved water distribution from the Corporation to the Board. So the BWSSB Act itself allocates the whole water and sewerage system to the Board. The later GBA Act then gives the same functions to the City Corporations without saying how the two fit together. That is a real conflict between two laws, not just a missing distinction. Whether it counts as 'no clear distinction' (Step 2's Scenario B, score 0) or as Scenario A or D depends on the Detailed Methodology's scenario definitions. Those weren't given to me in this task, so I could not apply them. RUBRIC-GAP / CONFIRM.
(3) What is still missing:
- s.15(2)-(5) of the BWSSB Act still could not be read; only the fragment '...ide a supply of water thereto' shows.
- No BWSSB Rules or Regulations, and no GO on functions, are in the sheet.
- The BWSSB Act still names the BBMP (s.2(1a), s.14, s.26, s.63). No source shows the GBA or City Corporations were substituted.
- Whether the GBA Amendment Bills (BWSSB-23, BWSSB-28) were enacted is not shown.
- Both Acts are PRS copies only.
Checked: BWSSB-02 (s.2(1a), 14, 15, 26, 27, 63-64, Statement of Objects and Reasons, 2010 amendment); BWSSB-04 (s.111, s.154, Schedule I); a search across the sheet for vesting or transfer provisions.
A person should: confirm the DPG1a scenario bands; read BWSSB Act s.15(2)-(5); and check whether any GBA-era instrument amends the BWSSB Act or clarifies who does what.</t>
  </si>
  <si>
    <t xml:space="preserve">ANSWER: The law I could read does not clearly separate BMTC's role from the city government's. Running bus services is not given to the City Corporations: under GBA Act s.112(1), urban transport is a State-domain function they 'may' take on only with approval and funding. But the GBA Act does give the city government parts of the function and power over BMTC. Bus stops are a core City Corporation function. The Greater Bengaluru Authority (GBA) prepares mobility plans and can integrate, supervise and give binding directions to BMTC. So this is Scenario B/C, not A. BMTC's own law, the Road Transport Corporations Act, 1950, only gives a general mandate: 'operate road transport services' and 'provide for any ancillary service'. It never separates BMTC's part from the city government's. The only explicit dividing rule is in the city government's own law (GBA Act s.234(2)-(3), on bus-stop posts, shelters and bus stands), not in BMTC's law. My provisional reading is Scenario C, leaning to 0, but I have left the score blank (see notes). | EVIDENCE: CITY GOVERNMENT SIDE (BMTC-04, GBA Act 2024, Karnataka Act 36 of 2025, PRS copy): s.111 + Schedule I core function (xvii) 'Provision and maintenance of public amenities including street lighting, parking spaces for vehicles, bus stops'. Core (xii) 'waiting sheds for travelers'. Core (iv) roads. s.112(1): the City Corporation 'may, subject to the underwriting of the costs by, and approval of, the Central Government or the State Government .</t>
  </si>
  <si>
    <t xml:space="preserve">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t>
  </si>
  <si>
    <t xml:space="preserve">SCORE LEFT BLANK. I did not just accept the Step 2 answer; I re-read the sources. (1) The DPG1a detailed methodology and rubric bands were not in my task. Step 2 refers to 'Scenario A/B/C' and to a '0 band', but I cannot check those bands or how they map to points on the 0-5 scale. So I cannot give a number without making up the rubric. A person must apply the actual bands. (2) What the Citation Sheet does show. CITY GOVERNMENT SIDE (BMTC-04, GBA Act, PRS secondary copy, GBA era; commencement date not shown): - s.111 makes Schedule I's core functions City Corporation functions. These include (iv) roads, (xii) 'waiting sheds for travelers' and (xvii) 'parking spaces for vehicles, bus stops'. - Sector-wise item (3)(vi) is Public Works (roads). This time I read sector-wise items (i) to (xi): none of them is a transport or bus-service item. That closes the gap Step 2 flagged up to item (xi); I could not see the items after (xi). - s.112(1): the City Corporation 'may', with State approval and funding, take on 'urban transport'. That is discretionary, not an assigned function. - s.14(4): the GBA has binding supervision and directions over BMTC, and BMTC must put the GBA's coordinating role into its Memorandum of Association. - s.15(1): the GBA 'shall' make mobility plans. - s.234(2)-(3) is the only explicit dividing rule. BMTC needs no licence to put up bus-stop posts, shelters, ticket booths or bus stands on City Corporation roads or land. Shelters, booths and stands need prior Government sanction, and BMTC pays the City Corporation ground rent. The Act names the body 'Bengaluru Metropolitan Transport City Corporation' here; s.14(4) uses 'Bangalore Metropolitan Transport Corporation (Limited)'. PARASTATAL SIDE (BMTC-02, RTC Act 1950, as amended to Act 63 of 1982): - s.18 is a general duty, s.19(1)(a) is 'to operate road transport services', and s.19(1)(b) is 'to provide for any ancillary service', which the Act does not define. - Nothing in it refers to the city government, bus stops or shelters, or splits roles with the city government. (3) Open questions the team must decide: (a) Does the GBA's binding supervision and mobility planning, plus the City Corporations' bus-stop and waiting-shed functions, count as devolving the function (Scenario B/C)? Or is it Scenario A, since running bus services is not given to the city government? (b) Can a dividing rule found only in the city government's law (s.234) count as demarcation when the methodology looks to the parastatal's own Act? (4) Missing evidence: BMTC's s.3 establishing notification under the RTC Act, its Memorandum of Association, and any Rules or regulations setting out its functions are not in the Citation Sheet. BMTC-20 (Rules and Regulations page) was not checked for a functions instrument. Because the evidence is incomplete, a 0 score would not meet the affirmative-absence test either. RUBRIC-GAP / methodology not supplied.</t>
  </si>
  <si>
    <t xml:space="preserve">ANSWER: No clear demarcation was found, but I have not scored this. The two Acts appear to give overlapping planning and development roles to the ULG and to BDA. This is Scenario B (fully devolved, and the parastatal also delivers). The city government law gives each City Corporation 'Urban planning including town planning' and 'Regulation of land-use' as core functions. It also makes GBA the Planning Authority and lets GBA approve layouts for the Greater Bengaluru Area. The BDA Act still gives BDA a general development mandate (development schemes, layouts, works) over the 'Bangalore Metropolitan Area'. In the copy I read, the BDA Act does not exclude the Greater Bengaluru Area or the ULG's planning and land-use role. BDA's operational mandate is defined, but its responsibilities are not clearly separated from the ULG's, because of GBGA s.14(2) and Schedule I core functions (i)-(ii). | EVIDENCE: ULG side (BDA-03, Greater Bengaluru Governance Act, 2024, Karnataka Act 36 of 2025, PRS copy): (1) s.111(1): the City Corporation has 'the power and responsibility to prepare and implement schemes for urban development' for the matters in the First Schedule. Schedule I(1) core functions: '(i) Urban planning including town planning; (ii) Regulation of land-use including protection of public land from encroachment and construction of buildings'. Also (iv) roads and (xii) parks, playgrounds and similar amenities. (2) s.14(2)(a): 'Notwithstanding anything contained in any other law ... t</t>
  </si>
  <si>
    <t xml:space="preserve">The Greater Bengaluru Governance Act, 2024 (Act No. 36 of 2025) [BDA-03]</t>
  </si>
  <si>
    <t xml:space="preserve">(2) Planning Functions: Notwithstanding anything contained in any other law for the time being in force,- (a) the Greater Bengaluru Authority shall be the “Planning Authority” as defined under the Karnataka Town and Country Planning Act, 1961, for the areas comprising of the Greater Bengaluru Area;</t>
  </si>
  <si>
    <t xml:space="preserve">I have left the score blank. The Sheet shows a partial split of roles: it is neither clean demarcation nor plain duplication, and I don't have a rubric band I can apply to that.
What the sources say (I checked Step 2 against BDA-02, BDA-03 and BDA-05):
(1) City government side (BDA-03, Greater Bengaluru Governance Act, Act 36 of 2025, PRS copy):
- Schedule I(1), read with s.111, gives each City Corporation '(i) Urban planning including town planning' and '(ii) Regulation of land-use' as core functions.
- Section 14(2)(a) says that, 'notwithstanding anything contained in any other law', GBA is the KTCP Planning Authority for the Greater Bengaluru Area. This overrides any other law, so in effect it takes the planning-authority role for that area away from BDA. That counts against Step 2's suggestion that both Acts give the same function with no distinction.
- Section 14(2)(b) is only permissive: layout approval 'may be done by' GBA.
(2) BDA side (BDA-02, BDA Act 1976, PRS copy):
- I confirmed that Amendment Act 42 of 2026 (Gazette, 7 Sept 2026, in force 'at once') changes only s.10 (financial limits) and s.38D (allotment rates and eviction). It contains no carve-out for the Greater Bengaluru Area.
- BDA's development-scheme mandate is unchanged: s.14 objects, s.15(1) schemes and works 'for the development of the Bangalore Metropolitan Area', and s.16 scheme contents. Nothing in the Sheet removes the Greater Bengaluru Area or the City Corporations' planning role from it.
- Sections 15(2)(ii), 25(1) proviso, 26, 28 and 28A are only interface or consultation provisions. They still name the 'Corporation' and the 'City of Bangalore'. No official source in the Sheet shows the new bodies substituted for these names (flagged for the team).
(3) Planning law (BDA-05, KTCP Amendment Bill 2025, passed by the Assembly):
- It would make BDA the Planning Authority for the Bengaluru Metropolitan Area 'excluding the Greater Bengaluru Area' (amended s.81-B) and add s.81-G for GBA.
- Its s.1(2) says it starts only on a date the government notifies. The Sheet has no commencement notification, so I can't treat it as in force.
- It doesn't amend the BDA Act.
Why I didn't score:
- RUBRIC-GAP / confirmation needed. The planning-authority role is split by area under an override clause in the city government's law. BDA's development and layout-scheme role overlaps with the City Corporations' 'urban planning' and 'land-use' functions, with no distinction drawn.
- The detailed rubric bands weren't supplied to me. Step 2 cites only the Scenario B band 'Score 0 – both Acts assign the same function with no distinction'. A 0 doesn't fit cleanly because of s.14(2)(a), and I won't interpolate a partial band.
- Not checked: the BDA Act s.2 definition of 'Bangalore Metropolitan Area' (not in the excerpts I could read). BDA Rules and Regulations aren't in the Sheet.
For a person to confirm:
- the DPG1a bands for partial or area-wise demarcation;
- whether the KTCP amendment (BDA-05) has been notified to start;
- whether the GBGA amendment bills (BDA-04, BDA-13) were enacted;
- the GBA constitution date.</t>
  </si>
  <si>
    <t xml:space="preserve">ANSWER: Not determined. On the city side, metro rail operation is not listed among the City Corporations' functions in the Greater Bengaluru Governance Act's Schedule I. The Act also says urban transport belongs to the 'functional domain of the Central Government or the State Government', which a City Corporation 'may' take on only with approval. However, the same Act gives the Greater Bengaluru Authority (GBA, part of the ULG named in the task input) a coordination and supervision role over BMRCL by name, with power to issue binding directions. It also makes the GBA responsible for the city's mobility plans. Under the section guidance, a ULG coordination or supervision role in law rules out Scenario A. The nearest fit is Scenario C (partially devolved): the GBA plans, coordinates and supervises; BMRCL builds and operates the metro. Under C, the score turns on whether BMRCL's own role is set out explicitly in its founding instrument and does not overlap with the GBA's. The Citation Sheet has no such instrument. BMRCL is a company, not a body set up by a statute, and its Memorandum and Articles of Association are not in the sheet. So it cannot be shown whether the two roles are separated, and no score is given. | EVIDENCE: City side, Greater Bengaluru Governance Act, 2024 (Karnataka Act 36 of 2025), PRS copy (BMRCL-02): (1) s.111(1): City Corporations prepare and carry out schemes 'in relation to the matters enumerated in the First Schedule'. (2) Schedule I lists core, general</t>
  </si>
  <si>
    <t xml:space="preserve">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t>
  </si>
  <si>
    <t xml:space="preserve">I left the score blank. The evidence on BMRCL's side is missing, so a 0 would break the affirmative-absence rule.
City side, checked in BMRCL-02 (GBA Act 2024, Karnataka Act 36 of 2025, PRS copy, GBA era):
- s.14(4) gives the Greater Bengaluru Authority (GBA) power to integrate and supervise BMRCL by name and to issue directions to it that are binding.
- s.8(3) makes the GBA the coordinator among all agencies.
- s.15(1) makes the GBA responsible for mobility plans.
- Schedule I gives the City Corporations no metro function.
- s.112 treats urban transport as a State/Central function that a City Corporation 'may' take on only with approval.
Because the GBA has a supervision role in law, Scenario A is ruled out. Scenario C (partially devolved) is the nearest fit, and I agree with Step 2 on this.
Under C, the score depends on whether BMRCL's founding instrument states its role explicitly and without overlapping the GBA's. BMRCL is a Government Company (BMRCL-09) and has no statute of its own. Its Memorandum and Articles of Association (objects clause) are not in the Citation Sheet; I searched for them with search_citation_sheet and did not find them. The other sources do not fill the gap:
- BMRCL-09 (Annual Report FY2020-21, historical) only describes the company as promoted 'to implement the Metro Rail Project in the city of Bangalore', and its principal business as 'running &amp; maintenance of Metro Rail Facility in Bangalore'. That is a description in the accounts notes, not the founding instrument.
- BMRCL-04 (Metro Railways O&amp;M Act 2002, central) is a regulatory overlay. The notification extending it to Bengaluru is not in the sheet, and the Act does not set BMRCL's role against the city government's (ULG's).
- BMRCL-06 (Companies Act 2013) is general company law and defines no functions.
- BMRCL-08 (BMLTA Act) is a state transport authority law, not the parastatal's own instrument.
- BMRCL-03 (2025 Amendment Bill) leaves s.14(4) unchanged; whether it was enacted is not shown.
For a person to check:
1. Obtain BMRCL's Memorandum and Articles of Association.
2. Confirm Scenario C.
3. Decide how 'Parastatal Act' should apply to a company that has no statute: the MoA, the O&amp;M Act 2002, or both.
4. Decide whether GBA mobility planning and binding directions overlap with BMRCL's planning and operations.
The question's full Detailed Methodology text was not given to me. I have relied on the scenario framework as Step 2 reports it.</t>
  </si>
  <si>
    <t xml:space="preserve">ANSWER: The law does not clearly separate BMRDA's role from the city government's. Note that 'ULG' below means the Greater Bengaluru Authority (GBA) and the City Corporations. The function is urban and regional planning and the coordination of development. The GBA Act (s.14(2)(a) and Schedule I) gives this function to the ULG, so this is Scenario B or C, not A. BMRDA's own mandate is defined: survey, a Structure Plan for the Bangalore Metropolitan Region, and schemes to carry it out. That suggests a split by scale and area (regional versus city). But the two coordination roles overlap without any carve-out in the sources. BMRDA's Act s.9, as reproduced in secondary sources, gives BMRDA the task of coordinating the development work of the city Corporation and of BDA, BWSSB and others. GBA Act s.14(3)-(4) gives GBA binding coordination and supervision over public authorities, including 'such other bodies' in the Greater Bengaluru Area. The provisional reading is Scenario C with overlap, which points to 0. No score is proposed, because the BMRDA Act itself is not in the Citation Sheet. | EVIDENCE: ULG side, Greater Bengaluru Governance Act, 2024 (Act 36 of 2025; PRS text, BMRDA-10): (1) Schedule I(1) Core Functions (see s.111): '(i) Urban planning including town planning; (ii) Regulation of land-use'. Schedule I(3)(i)(c): 'Integration of the development plans and schemes of the municipal area with the district or regional development plan'. (2) s.14(2)(a): GBA 'shall be the Plan</t>
  </si>
  <si>
    <t xml:space="preserve">The Greater Bengaluru Governance Act, 2024 Act No. 36 of 2025 [BMRDA-10]</t>
  </si>
  <si>
    <t xml:space="preserve">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t>
  </si>
  <si>
    <t xml:space="preserve">I left the Score blank. A person needs to score this. Reasons: (1) The parastatal's own law is missing. The Citation Sheet has no primary text of the BMRDA Act, 1985 (Karnataka Act 39 of 1985), current or as enacted. Its s.9 functions appear only as reproduced in BMRDA's Annual Report 2022-23 (BMRDA-03, p.10, BBMP era) and on the BMRDA website (BMRDA-02, undated). I searched the sheet for 'Bangalore Metropolitan Region Development Authority Act 1985 section 9 functions' and found no primary or PRS copy. So I cannot check whether the Act carves the Greater Bengaluru Area out of BMRDA's jurisdiction, or whether it was amended after the GBA Act. Not found is not absent, so I cannot give the 0 that the overlap reading would suggest. (2) This task did not give me DPG1a's Detailed Methodology or its Scenario A/B/C bands. I cannot confirm how 'clear demarcation' versus 'overlap' maps to a score from 0 to 5 without guessing. RUBRIC-GAP / please confirm the rubric. What the ULG side shows (GBA Act 2024, Act 36 of 2025, PRS text, GBA era; effective date not verified): s.14(2)(a) makes GBA the 'Planning Authority' under the KTCP Act for the Greater Bengaluru Area, 'Notwithstanding anything contained in any other law'. s.14(2)(c) creates a Metropolitan Planning Committee for an area 'including but not limited to' the Greater Bengaluru Area. s.8(3) makes GBA 'coordinator among all the City Corporations and other agencies'. s.14(4) gives GBA binding supervision over listed public authorities plus 'such other bodies'; BMRDA is not named in that list. s.15(1) makes GBA responsible for master and mobility plans. BMRDA's Metropolitan Commissioner sits ex officio on GBA (s.9(3)(u)) and its Executive Committee (s.13(1)(e)). Taken together, this points to overlapping coordination and planning roles with no rule on which prevails. The Step 2 provisional reading (Scenario C with overlap, suggesting 0) is plausible but rests on secondary text of the BMRDA Act. Also: the website version of BMRDA s.9 still names the 'Corporation of the City of Bangalore', and no official source in the sheet shows a successor substituted. To score this, a person should: obtain the official current text of the BMRDA Act (and any BMRDA Rules or jurisdiction notification, and any post-2025 amendment); confirm DPG1a's scenario bands; then score.</t>
  </si>
  <si>
    <t xml:space="preserve">ANSWER: Not determined. I could not set the devolution scenario (A/B/C) because the Citation Sheet does not contain the readable text of the Municipal Act provisions that assign functions to Surat Municipal Corporation (SMC): the obligatory and discretionary functions in the Gujarat Provincial Municipal Corporations Act, 1949 (GPMC Act), or its town-planning and building-permission provisions. The parastatal side is partly visible, and it shows overlap rather than a clean split. Under s.23(1) of the Gujarat Town Planning and Urban Development Act, 1976 (GTPUD Act), as reproduced in SUDA's own Development Plan 2035, SUDA's functions cover the whole urban development area. That area includes the SMC area. The functions include: preparing and carrying out town planning schemes (TP schemes); controlling development; carrying out water supply, sewerage and other service works; and a power to 'guide, direct and assist the local authority'. SUDA's development control regulations (GDCR) apply 'including Surat Municipal Corporation area'. Their development-permission form can be issued under either the GTPUD Act s.29/s.49 or GPMC Act s.253/254, and is signed by either SUDA's Chief Executive Authority or the Municipal Commissioner. So both bodies hold planning, TP-scheme and building-permission powers over the same land, with no carve-out in the sources I could read. I did not confirm this from the Municipal Act text itself, so I give no score. | EVIDENCE: Parastatal side: (1) GTPUD Ac</t>
  </si>
  <si>
    <t xml:space="preserve">I have left the score blank because two things are missing. RUBRIC-GAP: the Detailed Methodology and the score bands for DPG1a were not in the task input. I cannot map the evidence to a number from 0 to 5 without them, and I will not take the rubric from Step 2's paraphrase of a 'scenario A/B/C' rule. The second gap is explained below.
I also re-checked Step 2. Its main limit was that the city government's Act was unreadable, and that limit is now partly fixed. SUDA-04, the GPMC Act as modified up to 30.11.2017, does give readable text on the Surat Municipal Corporation side:
(a) s.63(1) obligatory duties ('It shall be incumbent on the Corporation'). These include sewage collection and disposal (cl.3), drains and drainage works (cl.4), public streets (cl.18), municipal water works and a sufficient supply of water (cl.20), plans for economic development and social justice (cl.23A), and schemes entrusted by the State (cl.23B).
(b) s.66(8B), a discretionary duty ('may'): 'urban planning including town planning and regulation of land use'.
(c) Chapter XV, ss.253-268: building regulation through notices to the Commissioner and the Commissioner's permission and enforcement powers.
On SUDA's side, s.23(1) of the Gujarat Town Planning and Urban Development Act (GTPUD Act) is visible only as SUDA's own reproduction in Development Plan 2035, para 1.4.2 (SUDA-14, pp.27-28). It gives SUDA these functions across the whole urban development area, which includes the SMC area: TP schemes (i); controlling development (v); water supply, sewerage and other service works (vi); and to 'guide, direct and assist the local authority' (iv).
The draft General Development Control Regulations (SUDA-05) apply 'including Surat Municipal Corporation area'. Their permission form can be issued under either the GTPUD Act s.29/49 or the GPMC Act s.253/254. Read together, these sources point to overlapping planning, water, sewerage and building-permission functions over the same land. I found no explicit carve-out in the text I could read.
A 0 would need affirmative absence, and that is not met here. The GTPUD Act's own text (SUDA-01, pp.2-86) has no extractable text, so I could not check the definitions in s.2 (e.g. 'appropriate authority' or 'local authority'), s.22, s.23 or the permission sections for a SUDA/SMC demarcation. I also found no s.23(2) delegation notification for Surat in the sheet. This is a VERIFICATION-LIMIT, not a negative finding. The Gujarat Town Planning and Urban Development Rules, 1979 (SUDA-03) are procedural only, and the draft GDCR is undated.
For the team:
(1) Supply the DPG1a methodology and rubric.
(2) Supply a readable official copy of the GTPUD Act ss.2, 22, 23, 29 and 49, to check whether the local authority keeps planning or permission powers within its own limits.
(3) Confirm whether any s.23(2) delegation notification exists for Surat.
If the rubric scores 'overlap with no carve-out' as 0, the GPMC Act evidence above plus the DP 2035 reproduction of s.23(1) would support that, but only after point (2) is checked against the primary Act text.</t>
  </si>
  <si>
    <t xml:space="preserve">The AI's citation or quote failed the check. The AI's quote couldn't be found word for word in SUDA-04, so its answer was discarded. AI comments: I have left the score blank because two things are missing. RUBRIC-GAP: the Detailed Methodology and the score bands for DPG1a were not in the task input. I cannot map the evidence to a number from 0 to 5 without them, and I will not take the rubric from Step 2's paraphrase of a 'scenario A/B/C' rule. The second gap is explained below.
I also re-checked Step 2. Its main limit was that the city government's Act was unreadable, and that limit is now partly fixed. SUDA-04, the GPMC Act as modified up to 30.11.2017, does give readable text on the Surat Municipal Corporation side:
(a) s.63(1) obligatory duties ('It shall be incumbent on the Corporation'). These include sewage collection and disposal (cl.3), drains and drainage works (cl.4), public streets (cl.18), municipal water works and a sufficient supply of water (cl.20), plans for economic development and social justice (cl.23A), and schemes entrusted by the State (cl.23B).
(b) s.66(8B), a discretionary duty ('may'): 'urban planning including town planning and regulation of land use'.
(c) Chapter XV, ss.253-268: building regulation through notices to the Commissioner and the Commissioner's permission and enforcement powers.
On SUDA's side, s.23(1) of the Gujarat Town Planning and Urban Development Act (GTPUD Act) is visible only as SUDA's own reproduction in Development Plan 2035, para 1.4.2 (SUDA-14, pp.27-28). It gives SUDA these functions across the whole urban development area, which includes the SMC area: TP schemes (i); controlling development (v); water supply, sewerage and other service works (vi); and to 'guide, direct and assist the local authority' (iv).
The draft General Development Control Regulations (SUDA-05) apply 'including Surat Municipal Corporation area'. Their permission form can be issued under either the GTPUD Act s.29/49 or the GPMC Act s.253/254. Read together, these sources point to overlapping planning, water, sewerage and building-permission functions over the same land. I found no explicit carve-out in the text I could read.
A 0 would need affirmative absence, and that is not met here. The GTPUD Act's own text (SUDA-01, pp.2-86) has no extractable text, so I could not check the definitions in s.2 (e.g. 'appropriate authority' or 'local authority'), s.22, s.23 or the permission sections for a SUDA/SMC demarcation. I also found no s.23(2) delegation notification for Surat in the sheet. This is a VERIFICATION-LIMIT, not a negative finding. The Gujarat Town Planning and Urban Development Rules, 1979 (SUDA-03) are procedural only, and the draft GDCR is undated.
For the team:
(1) Supply the DPG1a methodology and rubric.
(2) Supply a readable official copy of the GTPUD Act ss.2, 22, 23, 29 and 49, to check whether the local authority keeps planning or permission powers within its own limits.
(3) Confirm whether any s.23(2) delegation notification exists for Surat.
If the rubric scores 'overlap with no carve-out' as 0, the GPMC Act evidence above plus the DP 2035 reproduction of s.23(1) would support that, but only after point (2) is checked against the primary Act text.</t>
  </si>
  <si>
    <t xml:space="preserve">Step 2 found no evidence: a source needs to be found and added. Step 2 found no evidence (Insufficient Evidence). Source needed: (1) The current amended text of the Gujarat municipal law governing Surat, especially the sections listing the corporation's obligatory and discretionary functions (for example, any power to run transport or a transport undertaking). This decides whether metro or mass transit is devolved (scenario A, B or C). (2) The full text of the Metro Railways (Construction of Works) Act 1978 and the Metro Railways (Operation &amp; Maintenance) Act 2002, with Rules, from an official source. (3) GMRC's Memorandum and Articles of Association, for its objects clause. (4) Any Gujarat Urban Development and Urban Housing Department order setting out the roles of GMRC and the city corporation for the Surat metro.</t>
  </si>
  <si>
    <t xml:space="preserve">DPG1b</t>
  </si>
  <si>
    <t xml:space="preserve">ANSWER: Yes, but only in general terms. BWSSB's area is defined by referring to another body's jurisdiction plus areas the State may notify. The enabling Act has no boundary description, schedule or map reference. The body it refers to, the Bruhat Bangalore Mahanagara Palike (BBMP), is being reconstituted under the Greater Bengaluru Governance Act. No source in the Citation Sheet shows the BWSSB Act's reference being replaced with the successor bodies. | EVIDENCE: (1) Parastatal Act: Bangalore Water Supply and Sewerage Act, 1964, PRS copy (BWSSB-02). The long title gives the scope as 'water supply, sewerage and sewage disposal in Bangalore Metropolitan area'. s.2(1a), substituted by Act 15 of 2010 w.e.f. 16.04.2010: 'Bangalore Metropolitan Area' means 'the area falling within the jurisdiction of the Bruhat Bangalore Mahanagara Palike and includes such other areas adjacent thereto as the State Government may, by notification, from time to time specify'. s.2(3) defines 'Bruhat Bangalore Mahanagara' as the area of the BBMP 'constituted under the Karnataka Municipal Corporations Act, 1976'. s.2(8a) says 'Mahanagara Palike' means the BBMP. Act 15 of 2010 s.31 replaced 'City of Bangalore' with 'Bruhat Bangalore Mahanagara' and 'Corporation' with BBMP throughout. No schedule, boundary description or map appears in the Act. (2) City government law (GBA era): Greater Bengaluru Governance Act, 2024 (Act 36 of 2025), PRS copy (BWSSB-04). s.1(2): the Act extends 'to the Greater Bengaluru</t>
  </si>
  <si>
    <t xml:space="preserve">(1a) ‘Bangalore Metropolitan Area’   means the area falling within the jurisdiction of the Bruhat Bangalore Mahanagara Palike and includes such other areas adjacent thereto as the State Government may, by notification, from time to time specify;</t>
  </si>
  <si>
    <t xml:space="preserve">Score: 2.5, the band for a jurisdiction defined only in general terms. 5 is ruled out because the Act has no boundary description, schedule or map. 0 is ruled out because a definition does exist. I was given the bands only through the Step 2 notes (5 / 2.5 / 0). The full question text and Detailed Methodology for DPG1b were not supplied, so a person should check the band against the rubric.
What the Act says (checked against BWSSB-02, the PRS copy of the BWSSB Act, 1964):
- s.2(1a) sets BWSSB's area by reference to another body: 'the area falling within the jurisdiction of the Bruhat Bangalore Mahanagara Palike' (BBMP), plus adjacent areas the State 'may, by notification, from time to time specify'.
- s.2(3) defines 'Bruhat Bangalore Mahanagara' as the area of the BBMP 'constituted under the Karnataka Municipal Corporations Act, 1976'.
- s.2(8a) says 'Mahanagara Palike' means the BBMP.
- Act 15 of 2010 s.31 replaced 'City of Bangalore' and 'Corporation' with the BBMP terms throughout the Act.
- No schedule or boundary description appears anywhere in the Act.
- The later amending Acts I read do not touch s.2: Act 5 of 2011, Act 28 of 2013 and Act 29 of 2021 deal only with s.72A and s.109A.
Why this is only general:
- The area depends on BBMP's jurisdiction and on State notifications.
- No s.2(1a) notification adding adjacent areas is in the Citation Sheet. A search across the sheet found none, and the '110 Village Connections' documents listed on BWSSB-38 were not shown to be such notifications.
Points for a person to check:
1. The reference to BBMP is out of date. The Greater Bengaluru Governance Act, 2024 (BWSSB-04, PRS copy) repeals the BBMP Act, 2020 (s.361) and reconstitutes the BBMP into City Corporations (s.7). No source in the sheet replaces the BWSSB Act's reference to BBMP with these successor bodies. The team should decide whether this makes the definition less definite. On the current evidence the band stays at 2.5.
2. Both Acts were read only in PRS secondary copies. The official gazette text should be confirmed.
3. The commencement date of the GBA Act is not established in the sheet.
Period: BWSSB Act as amended up to Act 29 of 2021 (amendments appended in the PRS copy). The definition dates from the BBMP era.</t>
  </si>
  <si>
    <t xml:space="preserve">ANSWER: Not determined. The enabling Act sets BMTC's territory only in general terms: a corporation may be set up "for the whole or any part of the State", with the area left to a State notification. The Act has no boundary description, schedule or map. The Karnataka notification that established BMTC, which would set its actual area, is not in the Citation Sheet. So it cannot be decided whether BMTC's area is defined only in general terms (the 2.5 band) or by a specific boundary in that notification. | EVIDENCE: (1) Road Transport Corporations Act, 1950 (BMTC-02), s.3: the State Government "may, by notification in the Official Gazette, establish a Road Transport Corporation for the whole or any part of the State under such name as may be specified in the notification." s.2(b): "Corporation" means one established under s.3. s.2(c) and s.20: an "extended area" is any route or area in another State to which services are extended under a sanctioned scheme. Nothing found in the excerpts read describes a boundary or has a schedule or map. (2) BMTC official website, home page (BMTC-01): BMTC "is the sole public bus transport provider for Bengaluru, serving urban, sub-urban and rural areas". This is a general description, not a legal boundary. (3) City government law, Greater Bengaluru Governance Act, 2024 (BMTC-04, PRS text): nothing found that sets BMTC's territory. It names the BMRCL MD and BESCOM MD as ex-officio members of the Greater Bengaluru Authority. Its coordination claus</t>
  </si>
  <si>
    <t xml:space="preserve">THE ROAD TRANSPORT CORPORATIONS ACT, 1950 [BMTC-02]</t>
  </si>
  <si>
    <t xml:space="preserve">https://www.transport.telangana.gov.in/html/pdf/The_Road_Transport_Corporations_Act_1950.pdf</t>
  </si>
  <si>
    <t xml:space="preserve">may, by notification in the Official Gazette, establish a Road Transport Corporation for the whole or any part of the State under such name as may be specified in the notification.</t>
  </si>
  <si>
    <t xml:space="preserve">I left the Score blank because the source that decides it is not in the Citation Sheet. This is not a negative finding.
What the Act says: section 3 of the Road Transport Corporations Act, 1950 (BMTC-02) only lets the State set up a corporation 'for the whole or any part of the State', with the area left to a Gazette notification. The copy has no boundary description, schedule or map. The text runs to the amendment by Act 63 of 1982. The copy is hosted on the Telangana transport site; it is a central Act that applies in Karnataka.
Step 2 check: I agree with Step 2. Read on its own, the Act describes the area only in general terms, which would fit the 2.5 band that Step 2 describes. However, the Karnataka Gazette notification that set up BMTC under s.3 (and any later notification changing its area) is missing from the sheet. That notification may name a specific area, such as a district or city limits. The rubric, as Step 2 reports it, also asks reviewers to cross-check notifications. So I cannot confirm the band.
RUBRIC CONFIRMATION NEEDED: the question's own detailed methodology was not included in this task. I only have Step 2's summary of the bands. The team should check:
1. whether the 5 band is limited to the enabling Act's own text; if it is, the Act evidence points to 2.5;
2. what the 0 band requires.
What I read in addition to Step 2:
- BMTC-15 (BMTC Glance): operating statistics only; nothing on legal area or the notification.
- BMTC-20 (Rules and Regulations page): navigation and boilerplate only; no notification text.
- A sheet-wide search for the BMTC establishment notification, its area and its boundary found nothing for BMTC.
- Step 2 also reviewed the other relevant sources, and none of them sets BMTC's area:
  - BMTC-01 (official website): only a general description of serving urban, sub-urban and rural areas.
  - BMTC-04 (Greater Bengaluru Governance Act) and BMTC-06 (BMLTA Act): the Urban Mobility Region and its map in BMTC-06 belong to BMLTA, not BMTC.
  - BMTC-07 (Karnataka Town and Country Planning Act).
No Karnataka Rules under the Road Transport Corporations Act are in the sheet either.
ACTION: get the Karnataka Gazette notification establishing BMTC under s.3 (and any notifications changing its area), from the Transport Department or BMTC's RTI officer, then score.</t>
  </si>
  <si>
    <t xml:space="preserve">ANSWER: BDA's jurisdiction is defined only in general terms. The BDA Act does not describe a boundary, and has no schedule or map. Section 3(1) sets up the Authority 'for the Bangalore Metropolitan Area'. Section 2(c) defines that area by pointing to three things: (i) the City of Bangalore as defined in a 1949 municipal Act; (ii) the areas covered by a 1945 Improvement Act just before the BDA Act began; and (iii) any adjacent areas the State Government notifies 'from time to time'. This matches the 2.5 band ('notified area' with no schedule). | EVIDENCE: (1) BDA Act, 1976 (PRS copy, amendments appended up to Act 42 of 2026), s.2(c): "'Bangalore Metropolitan Area' means the area comprising the City of Bangalore as defined in the City of Bangalore Municipal Corporation Act, 1949 ... and such other areas adjacent to the aforesaid as the Government may from time to time by notification specify". s.3(1): "constitute for the Bangalore Metropolitan Area an Authority". The list of sections shows no Schedule that sets out the area. ss.15, 25 and 36 use 'Bangalore Metropolitan Area' as the working area, and s.25 proviso says the Corporation must be consulted where works fall 'within the limits of the City of Bangalore'. s.2(i) still defines 'Corporation' as the 'Corporation of the City of Bangalore'. Act 42 of 2026 (in force 07.09.2026) changes only s.10 and s.38D, not the jurisdiction. (2) KTCP and certain other laws (Amendment) Bill, 2025 (LA Bill 55 of 2025, as passed by the Assembl</t>
  </si>
  <si>
    <t xml:space="preserve">(c)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</si>
  <si>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Score 2.5: the BDA Act defines BDA's area only in general terms. It does not describe a boundary itself. I checked the PRS copy of the BDA Act myself (BDA-02, amendments appended up to Act 42 of 2026). Section 3(1) says the Government 'shall, by notification, constitute for the Bangalore Metropolitan Area an Authority'. Section 2(c) defines that area by pointing to three things: the City of Bangalore under the 1949 Corporation Act, the areas where the 1945 Improvement Act applied, and 'such other areas adjacent to the aforesaid as the Government may from time to time by notification specify'. I read the Act's list of sections and searched the text. There is no Schedule that sets out the area. The only schedules I found are about officers (s.49) and the rateable-value schedule for each development scheme (s.18(1)(e)). The Act has no map or boundary description of its own. Maps appear only for individual schemes (ss.17 and 19). This matches the Step 2 answer: the area is defined in general terms and depends on notifications, which is the 2.5 band and not the 5 band. CHECK THE RUBRIC: the Detailed Methodology text for DPG1b was not in the material I was given. I took the bands (5 = schedule, boundary description or map in the enabling Act; 2.5 = notified or general area with no schedule) from the Step 2 answer. A reviewer should confirm 2.5 against the actual rubric. Other points to check: (1) The Act text is a PRS copy only, a secondary source. No official gazette copy is in the Citation Sheet. (2) The KTCP and certain other laws (Amendment) Bill, 2025 (BDA-05, as passed by the Assembly) would make BDA the planning authority for the 'Bengaluru Metropolitan Area ... excluding the Greater Bengaluru Area'. Nothing in the Citation Sheet shows that it was enacted or came into force. Its wording also depends on notifications and has no schedule, so it would not change the band. (3) s.2(c) and s.2(i) still name the 1949 City of Bangalore Act and the 'Corporation of the City of Bangalore'. No official source here shows the GBA or the City Corporations put in their place. (4) The s.2(c) notifications adding adjacent areas are not in the Citation Sheet. So BDA's current actual boundary cannot be stated from this sheet.</t>
  </si>
  <si>
    <t xml:space="preserve">ANSWER: The Citation Sheet does not show that BMRCL's territorial jurisdiction is defined by a specific boundary description, schedule or map. The only statute here that governs metro operation, the Metro Railways (Operation and Maintenance) Act, 2002 (as amended by Act 34 of 2009), sets its territory in general terms only. It applies to the National Capital Region and to any other 'metropolitan area' or 'metropolitan city' to which the Central Government extends it by notification. The Act has no schedule or map. The notification that would extend the Act to Bengaluru, and the documents that set BMRCL's own scope as a company (its Memorandum and Articles of Association), are not in the Sheet. So I cannot tell between the 2.5 band (general terms only) and the 5 band (specific boundary in a notification or instrument), and I have not scored it. | EVIDENCE: (1) Parastatal side: Metro Railways (O&amp;M) Act 2002 [BMRCL-04]. s.1(2): the Act 'extends in the first instance to the National Capital Region and the Central Government may, by notification, after consultation with the State Government, extend this Act to such other metropolitan area and metropolitan city'. s.2(1)(h): 'metropolitan area' has the meaning in Art. 243P(c) of the Constitution. s.2(1)(ha): 'metropolitan city' means only Bombay, Calcutta, Delhi or Madras, so Bengaluru could come in only as a notified 'metropolitan area'. s.3(1): the Central Government 'may, by notification, constitute' Government metro railways in </t>
  </si>
  <si>
    <t xml:space="preserve">THE METRO RAILWAYS (OPERATION AND MAINTENANCE) ACT, 2002 [BMRCL-04]</t>
  </si>
  <si>
    <t xml:space="preserve">https://crs.gov.in/wp-content/uploads/2024/03/THE-METRO-RAILWAYS-OPERATION-AND-MAINTENANCE-ACT-2002.pdf</t>
  </si>
  <si>
    <t xml:space="preserve">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 and thereupon the provisions of this Act shall apply  to that metropolitan area or metropolitan city accordingly.</t>
  </si>
  <si>
    <t xml:space="preserve">Score left blank because the Citation Sheet does not contain the instrument that would decide between the 2.5 band and the 5 band. I agree with the Step 2 answer after checking it against the source. (1) BMRCL-04, the Metro Railways (O&amp;M) Act 2002 as amended by Act 34 of 2009 (w.e.f. 7-9-2009), describes its territory only in general terms. s.1(2) says it covers the NCR 'in the first instance' and 'such other metropolitan area' as the Centre extends it to by notification. s.2(1)(ha) limits 'metropolitan city' to Bombay, Calcutta, Delhi and Madras, so Bengaluru could only come in as a notified 'metropolitan area'. The Act has no schedule, boundary description or map. On its own, the Act fits the 'general terms' band. (2) The decisive layers are not in the Sheet. I searched for them ('Metro Railways Act extended to Bangalore metropolitan area notification'; 'BMRCL jurisdiction boundary area of operation Memorandum of Association objects') and found nothing. The missing items are: the Central Government notification extending the O&amp;M Act to Bengaluru, which may name a specific area; BMRCL's Memorandum and Articles of Association; any notification or alignment instrument under the Metro Railways (Construction of Works) Act 1978; and Rules or Regulations under the O&amp;M Act. The search only turned up the blank Table A model Memorandum in the Companies Act Schedule I (BMRCL-06), which is not BMRCL's own Memorandum. (3) The other sources set out scope or coordination, not BMRCL's boundary. BMRCL-09 (Annual Report FY2020-21, BBMP-era, historical) says only that BMRCL is to 'implement the Metro Rail Project in the city of Bangalore'. BMRCL-02 (GBA Act 2024) s.14(4) sets the area in which the Greater Bengaluru Authority coordinates public authorities including BMRCL, and s.13(1)(j) makes BMRCL's MD a member of the GBA Executive Committee. BMRCL-08 (BMLTA Act) s.3 sets BMLTA's mobility region, not BMRCL's. Not found is not absent, so 0 cannot be justified. The evidence also cannot rule out 5. A person should obtain and read the O&amp;M Act extension notification for Bengaluru and BMRCL's MoA/AoA. They should also confirm whether BMRCL counts as a Government or a non-Government metro railway under s.2(1)(f)/(l). Note: the full question text and methodology were not given in this task. The band reading (2.5 = general terms; 5 = specific boundary in a notification or instrument) is taken from the Step 2 answer, so a person should check it against the question bank.</t>
  </si>
  <si>
    <t xml:space="preserve">ANSWER: Not determinable from the Citation Sheet. BMRDA's own website and its 2022-23 annual report say the Bangalore Metropolitan Region (BMR) is a specific area: the whole of Bengaluru Urban, Bengaluru Rural and Ramanagaram Districts, about 8,005 sq km. The rubric scores what the enabling Act says. The text of the BMRDA Act, 1985 (Karnataka Act 39 of 1985) is not in the Citation Sheet, so I cannot tell whether the Act sets the boundary with a description, schedule or map (5), or only in general terms such as 'as notified' (2.5). | EVIDENCE: (1) BMRDA-07, BMRDA website, 'Local Planning Areas' page: 'BMR comprises Bengaluru Urban District, Bengaluru Rural District &amp; Ramanagaram District. The total area Bengaluru Metropolitan Region is about 8005 Sq Kms.' The page lists 12 local planning authorities inside BMR, including BDA. BMRDA-12 is the same page at a different URL with the same text. (2) BMRDA-03, BMRDA Annual Report 2022-23, page 11, para 4: BMR is 'covering the entire Bangalore Urban, Bangalore Rural and Ramanagaram Districts measuring 8005 sq. kms.' Page 10 says BMRDA was set up under the BMRDA Act, 1985 and cites s.3 and s.9 of that Act, but not the section that defines the area. (3) BMRDA-05, BMRDA home page: the navigation links to a 'Jurisdiction' page, a 'Jurisdiction Notification' PDF, a 'Jurisdiction Map' PDF and the 'BMRDA Act 1985' PDF. Only the link text is captured; none of these documents' contents is in the Citation Sheet. (4) BMRDA-08, Karnataka Town and</t>
  </si>
  <si>
    <t xml:space="preserve">Local Planning Areas - Bangalore Metropolitan Region Development Authority(BMRDA) [BMRDA-07]</t>
  </si>
  <si>
    <t xml:space="preserve">https://bmrda.karnataka.gov.in/page/Local+Planning+Areas/en</t>
  </si>
  <si>
    <t xml:space="preserve">BMR comprises Bengaluru Urban District, Bengaluru Rural District &amp; Ramanagaram District. The total area Bengaluru Metropolitan Region is about 8005 Sq Kms.</t>
  </si>
  <si>
    <t xml:space="preserve">I left the score blank because the Citation Sheet does not hold the evidence this question needs. Step 2 also left it blank, and I agree after checking the sources myself.
What the rubric tests: whether the enabling Act defines the jurisdiction specifically, with a district list, schedule or map (5), or only in general terms such as 'as notified' (2.5). Answering that needs the text of the BMRDA Act, 1985 (Karnataka Act 39 of 1985), especially its definition of 'Bangalore Metropolitan Region' and any schedule, plus the jurisdiction notification.
Why that text is missing: the BMRDA website links to the Act ('act 1985 ka.pdf'), the 'Jurisdiction Notification' (noti.pdf) and the 'Jurisdiction Map' (2 a i.pdf). These links appear on BMRDA-05, BMRDA-07, BMRDA-13 and BMRDA-16. Only the link text was captured. None of these documents' contents is in the sheet.
What the sheet does show:
- BMRDA-07 (and the same page as BMRDA-12) and BMRDA-03 (Annual Report FY 2022-23, page 11) describe BMR as the three districts, about 8,005 sq km.
- These are secondary descriptions from the agency's own website and annual report. They cannot stand in for the Act's provision, and they do not show whether the boundary comes from the Act itself or from a later government notification.
Why I did not score 0: there is no affirmative absence. The Act and the notification exist but were not read, so this is 'not found', not 'absent'.
Sources I checked:
- BMRDA-07, BMRDA-13, BMRDA-16 (read directly).
- A search across the whole sheet for a definition of 'Bangalore Metropolitan Region'. It returned only BMRDA-11, BMRDA-03, BMRDA-05 and BMRDA-07, none with a definition.
- The BMLTA Act (BMRDA-11) covers a different body's region. The KTCP Act (BMRDA-08) covers local planning areas inside BMR. The GBA Act (BMRDA-10) does not define BMR. None of these is evidence for this question.
For a human scorer:
1. Open the BMRDA Act, 1985 PDF and noti.pdf from the official BMRDA site and check how the definition section (likely s.2) and any schedule set the boundary. Use the current amended text.
2. Check whether the district names and limits, including 'Ramanagaram' and any later renaming or change of boundary, still match the notified BMR.</t>
  </si>
  <si>
    <t xml:space="preserve">ANSWER: Not determined. The sources show that SUDA's territory comes from State Government notifications made under section 22 of the Gujarat Town Planning and Urban Development Act, 1976 (GTPUD Act), not from a schedule in the Act. Those notifications are described as listing villages (SMC plus 148 villages in 1978, later changed). But the text of section 22 cannot be read in the Citation Sheet, and none of the notifications themselves is in it. So I cannot confirm from primary text whether the 'enabling Act' defines the area only as a 'notified area' (the 2.5 band) or whether a notified village list counts as a 'schedule' (the 5 band). | EVIDENCE: (1) GTPUD Act 1976, PRS consolidated copy (SUDA-01): pages 2-86, which hold the principal Act and section 22, have no extractable text. The readable amendment Acts (2017, 2019) change section 23(2) and other sections, but none of them sets SUDA's area. (2) SUDA's own GDCR (SUDA-05, reg. 1.1.3): the regulations apply to 'the Urban Development Area including Surat Municipal Corporation area notified under sub-section (2) of section 22 of the Act vide ... Notification No.GHB/ R1 / UDA / 1177 / 646 (4) – q-2 Dated 31st January, 1978 as may be modified or amended from time to time'. This shows the area is defined by notification. (3) SUDA Development Plan 2035, 2017 (SUDA-14), pp. 9-12 and 216-221: SUDA was constituted by notification GHB/23/UDA/1177/646(5)-Q2 dated 30.01.1978 under section 22(1), (2) and (4), 'for the development area</t>
  </si>
  <si>
    <t xml:space="preserve">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t>
  </si>
  <si>
    <t xml:space="preserve">Score left blank. I could not decide the band from the Citation Sheet, and a person should score this.
1) What the sources show:
- The State Government set SUDA's area by notification under s.22 of the GTPUD Act 1976, not in the Act itself.
- SUDA-14 (DP 2035, 2017) says SUDA was constituted by notification GHB/23/UDA/1177/646(5)-Q2 dated 30.01.1978 under s.22(1), (2) and (4), covering SMC plus 148 villages (722 sq km).
- The area was then changed by later notifications: Delad village deleted (715 sq km); 100 villages added on 9.12.2015 and 18.12.2015 (1351 sq km); Khajod UDA carved out under s.22(2A) on 19.07.2016; 54 villages excluded on 24.10.2016; 7 more excluded on 03.11.2016. Table 153 gives 985.16 sq km.
- SUDA-05 (GDCR reg. 1.1.3) also refers to the area as 'notified under sub-section (2) of section 22' by notification 646(4) dated 31.01.1978.
2) Which band this probably fits:
- The evidence points to a notified area with no schedule in the Act. That looks like the lower (2.5) band the Step 2 answer describes, not the 5 band (schedule in the enabling Act).
- But the full DPG1b rubric text was not in my task input. The team also needs to decide whether a s.22 notification that lists villages counts as part of the 'enabling legal framework' for the 5 band. That is a RUBRIC-GAP / interpretation call for a human.
3) Why I cannot rule anything out:
- The text of GTPUD Act s.22 (SUDA-01, PRS copy) is a scan with no readable text for the principal Act (pp. 2-86). Only the amendment Acts of 2017 and 2019 can be read, and they do not deal with territory.
- So I cannot confirm that the Act has no schedule, or check the wording of s.22(1)/(2)/(2A).
- None of the notifications from 1978, 2015 or 2016 is in the Citation Sheet. They are known only from SUDA's own plan and regulations, which are secondary descriptions.
4) Other things to check:
- The two 1978 notifications have different numbers and dates (646(4) dated 31.01.1978 vs 646(5) dated 30.01.1978).
- The Asnabad village mismatch in the 24.10.2016 notification.
- No source dated after 2017 shows the current boundary.
Checked: SUDA-01 (s.22 searched; amendments read), SUDA-03, SUDA-04, SUDA-05 (reg. 1.1.3), SUDA-13, SUDA-14.</t>
  </si>
  <si>
    <t xml:space="preserve">Step 2 found no evidence: a source needs to be found and added. Step 2 found no evidence (Insufficient Evidence). Source needed: (a) The central gazette notification under the Metro Railways (Amendment) Act, 2009 that applies the Metro Railways Acts to Surat or declares the Surat metropolitan area, with its area description or schedule. (b) The full current text of the Metro Railways (Construction of Works) Act 1978, the O&amp;M Act 2002 and the Amendment Act 2009 (definitions and extent). (c) GMRC's Memorandum of Association (objects and area of operation). (d) The Gujarat municipal corporation Act provisions covering Surat. (e) Any GMRC website page or government notification setting out the current jurisdiction.</t>
  </si>
  <si>
    <t xml:space="preserve">DPG2a</t>
  </si>
  <si>
    <t xml:space="preserve">ANSWER: The law does not let elected city representatives sit on the BWSSB Board. Under s.3(2), the State Government appoints all 3-9 members, and s.3(3) sets the qualifications by expertise. No seat is set aside for the city government (ULG). Under s.3(5), anyone who is a member of any local authority is disqualified from the Board. The only city presence the sources show is the BBMP Commissioner, a government officer and not an elected councillor, in the BBMP era (FY 2016-17). He is listed first as a Board member and then as a Special/Permanent Invitee. The sources do not show who sits on the Board today, in the GBA era. | EVIDENCE: (1) BWSSB Act 1964, PRS copy with amendments up to Act 29 of 2021 (BWSSB-02): s.3(2), 'not less than three and not more than nine members appointed by the State Government'; s.3(3)(a)-(c) sets qualifications in commerce/administration, civil or public-health engineering, and accounting. s.3(5), substituted by Act 15 of 2010, disqualifies a person 'if he is a member of the Parliament or of any State Legislature or any local authority'. s.6(1)(d) allows removal of a member who 'becomes or seeks to become a member of ... any local authority'. s.4 leaves term of office to the Rules. s.14 is a separate Consultative Committee, not the Board: the State Government appoints its members after consulting bodies representing the interests of BBMP and others, and it only advises. (2) BWSSB Annual Report 2016-17, tabled in the Legislative Council (BWSSB-29), </t>
  </si>
  <si>
    <t xml:space="preserve">(5) A person shall be disqualif ied for being appointed or being a member of the Board if he is a member of the Parliament or of any State Legislature or any local authority.</t>
  </si>
  <si>
    <t xml:space="preserve">I left the score blank. The evidence rules out 5 but does not settle 2.5 versus 0, and a 0 needs affirmative absence that I cannot show.
WHAT THE ACT SAYS (BWSSB-02: BWSSB Act 1964, PRS copy, amended up to Act 29 of 2021; secondary source):
- s.3(2): the State Government appoints all 3-9 Board members.
- s.3(3): members are chosen by expertise (commerce/administration, engineering, accounts). No seat is reserved for the city government (ULG).
- s.3(5): anyone who is a member of any local authority is disqualified. That bars elected councillors and the Mayor.
- s.6(1)(d): a member can be removed for becoming, or seeking to become, a member of a local authority.
- So the 5-point band (elected ULG representatives with voting rights) cannot be met in law.
WHAT HAPPENED IN PRACTICE, 2016-17 ONLY (BWSSB-29, Annual Report pp.64-66, BBMP era, historical):
- The BBMP Commissioner (G. Kumar Naik, then N. Manjunath Prasad, both IAS) is listed as a Board member.
- From 27-08-2016, N. Manjunath Prasad, Commissioner, BBMP, is also listed as a 'Special/Permanent Invitee'.
- No councillor or Mayor is listed.
- The Commissioner is a state-appointed officer, not an elected representative. Whether his seat as member or invitee counts as 'ULG representation' for the 2.5 band is a question about how to apply the method. It needs team confirmation.
WHAT IS MISSING:
(a) A current (GBA-era) Board constitution notification or member list. BWSSB-01, -07 and -11 do not supply one in the sheet; my search for current members found nothing.
(b) The Rules made under s.4 (term and conditions) and the Board regulations. They are not in the sheet, so affirmative absence for a 0 cannot be shown.
(c) The ULG side. The GBA Act 2024 (BWSSB-04) shows no ULG seat on the BWSSB Board. The Second Amendment Bill (BWSSB-28) puts the BWSSB on the GBA's committee, which runs the other way, and it is only a Bill.
(d) The Act still names BBMP. No official source shows a GBA-era body substituted for it.
FOR THE TEAM: rule on whether a Commissioner (an officer) counts as ULG representation, and get the current Board composition, e.g. by RTI to the BWSSB Public Information Officer. Then score 2.5 or 0. 5 is excluded by s.3(5).</t>
  </si>
  <si>
    <t xml:space="preserve">ANSWER: The sources we have point to no seat for the city government on the BMTC board. Neither the Greater Bengaluru Authority (GBA) nor any City Corporation (elected members or officials) appears on the published board list. The parent Act lets the State Government appoint all Directors and reserves no seat for a local body. The GBA Act puts BMTC's Managing Director on the GBA and gives the GBA binding coordination and supervision powers over BMTC. Neither of these is a seat on BMTC's board. A score of 0 cannot be confirmed yet, because the board rules made under the Act are not in the Citation Sheet and the board list is undated. | EVIDENCE: (1) Parent Act, Road Transport Corporations Act, 1950 (BMTC-02). s.5(1): the Board of Directors runs the Corporation. s.5(2): 'The Board shall consist of a Chairman and such other Directors, being not less than five and not more than seventeen, as the State Government may think fit to appoint.' s.5(4): Rules must provide for Central and State Government representation, and for shareholders if shares are issued. No local body or municipal representation is mentioned. s.45(2)(a): Rules may cover 'generally all matters relating to the constitution of the Board.' (2) Rules layer: BMTC's 'Rules And Regulations' page (BMTC-20) lists 'KSRTC Rules, 1961' only as a link. Its text is not in the Citation Sheet, so it was not read. (3) Current board (BMTC-09, BMTC 'Directors List' page) has 11 members: the Chairman (Sri V.S. Aaradhya) and Vice-Cha</t>
  </si>
  <si>
    <t xml:space="preserve">(2) The Board shall consist of a Chairman and such other Directors, being not less than five and not more than seventeen, as the State Government may think fit to appoint.</t>
  </si>
  <si>
    <t xml:space="preserve">Score left blank: absence of city-government representation on the BMTC board is not proven. The task gave no scoring bands for DPG2a, so no in-between score can be set. A 0 needs every layer checked, and two are missing.
What I checked:
(1) Road Transport Corporations Act, 1950 (BMTC-02), as amended. s.5(2): the State Government appoints the Chairman and 5-17 Directors 'as the State Government may think fit to appoint'. s.5(4): Rules 'shall provide' only for Central Government, State Government and shareholder representation. No seat is reserved for a local body. s.45(2)(a) leaves the make-up of the Board to Rules.
(2) BMTC Directors List (BMTC-09), undated (the 'Last Updated: 30-09-2026' footer covers the whole site). Of 11 members, 9 are labelled 'DIRECTOR (Official)': the Transport and Finance (Expenditure) Secretaries, the Managing Directors of KSRTC, BMTC, KKRTC and NWKRTC, BMTC's Directors of Security &amp; Vigilance and of IT, and a Ministry of Road Transport and Highways (MoRTH) Director. None is from the Greater Bengaluru Authority (GBA) or a City Corporation, and no mayor or councillor is listed. The page does not say who nominated the Chairman (V.S. Aaradhya) or the Vice-Chairman (M. Niketh Raj).
(3) Greater Bengaluru Governance Act (BMTC-04), GBA era. s.9(3)(i) makes BMTC's Managing Director a member of the GBA. That is the opposite direction to what the question asks. s.14(4) gives the GBA binding coordination and supervision powers over BMTC. Neither is a seat on BMTC's board.
(4) A search of the Citation Sheet found no text of the KSRTC Rules, 1961 or of any BMTC board-constitution rules. BMTC-20 lists them only as a link.
What a person needs to check:
(a) Read the KSRTC Rules, 1961 (and any BMTC-specific rules) on how the Board is made up, and BMTC's founding notification, for any seat or invitee for a local body.
(b) Get a dated board-appointment GO, showing who nominated the Chairman and Vice-Chairman.
(c) Confirm the DPG2a rubric bands. Everything seen so far points to a 0 (no representation), but it is not confirmed.</t>
  </si>
  <si>
    <t xml:space="preserve">ANSWER: On paper, yes. Section 3(3)(l) of the BDA Act makes two councillors elected by the city corporation's councillors members of the Authority. The Act's wording (s.3(3)(f) and (l)) also gives a seat to the Corporation Commissioner, an official who sits ex officio. However, the Act still names the 'Bangalore City Corporation' and the 'Corporation of the City of Bangalore'. No source in the Citation Sheet shows that the GBA or its several City Corporations have been put in their place in s.3. There is no current BDA board list, so I cannot confirm that elected ULG representatives actually sit on the board now. | EVIDENCE: Parastatal side, BDA Act, 1976 (BDA-02, PRS copy with amendments up to Act 42 of 2026): (1) s.3(3)(l): 'two persons elected by the councillors of the Bangalore City Corporation from among themselves in the prescribed manner'. A proviso says that while the Corporation is superseded or run by an Administrator, the Administrator nominates the two members 'from among the officers of the Corporations'. (2) s.3(3)(f), as substituted by Act 34 of 1986: 'the Commissioner, Corporation of the City of Bangalore, ex-officio'. (3) s.3(6): the names of members, whether 'appointed or elected', are published by notification. (4) s.4(1)(f): a member is disqualified if, 'being an elected member', he 'ceases to be a councillor of the Corporation'. (5) s.5(1) proviso: 'the term of office of the representative of the Corporation shall come to an end when he ceases to be a cou</t>
  </si>
  <si>
    <t xml:space="preserve">(l) two persons elected by the councillors of  the Bangalore  City Corporation from among themselves in the prescribed manner : 
 Provided that during the period of supersession of the Corporation or where any Administrator has been appointed, the two persons shall be nominated by the Administrator from among the  officers of the Corporations.</t>
  </si>
  <si>
    <t xml:space="preserve">Score left blank. A person should score this question.
(1) The BDA Act on paper (BDA-02, PRS copy, amended up to Act 42 of 2026):
- s.3(3)(l) gives two seats to persons 'elected by the councillors of the Bangalore City Corporation from among themselves'.
- These are full members. s.8(4) says 'All questions… shall be decided by a majority of the votes of the members present and voting'. Nothing makes the councillor members non-voting or invitees. This settles caveat (c) from Step 2: they do vote.
- s.3(3)(f) gives a seat to the Corporation Commissioner. He sits ex officio as an official, not as an elected representative.
(2) Why I did not give a score:
- (a) The seats are tied to a body that no longer exists. s.3(3)(l) still names the 'Bangalore City Corporation'. The GBA Act, 2024 (BDA-03) repeals the BBMP Act (s.361). s.360 carries over only rules, notifications, orders and appointments. I found no clause, in BDA-03 or in any amending Act in BDA-02, that substitutes the GBA or its City Corporations for the 'Corporation' in BDA Act s.3. s.130(3) of the GBA Act redirects only references to the Mayor, and only while a City Corporation is dissolved. So no source shows which body, if any, now elects the two members.
- (b) The proviso to s.3(3)(l) matters. While the Corporation is superseded or under an Administrator, the seats go to officers nominated by the Administrator, not to elected councillors. GBA Act ss.130-131 provide for dissolution and an Administrator. Whether City Corporation councils are now elected is a fact about practice, and nothing in the Citation Sheet establishes it.
- (c) The Citation Sheet has no current BDA member list published by notification under s.3(6). Step 2 notes that the evidence requirement asks for the current board list.
- (d) This task did not give me the question's Detailed Methodology or its bands. I cannot tell which band would apply to 'seats provided in law for a predecessor body, filled now by nominated officials or not at all', as opposed to 'elected ULG representatives with full votes'. A 5 would rest on inference, and I have no affirmative basis for a lower band. RUBRIC-GAP / methodology not supplied.
(3) Other things I checked:
- GBA Act s.9(3)(g) and s.13(1)(d), plus BDA-13: the BDA Commissioner sits on GBA bodies. That is the opposite direction (parastatal on the ULG body) and does not answer this question.
- BDA-05: the KTCP amendment bill would take the Greater Bengaluru Area out of BDA's planning area. It does not change BDA's board.
- I found no BDA Rules under s.69(2)(b) on how councillors elect members.
(4) For the team to check:
- Whether any official instrument substitutes the GBA City Corporations into BDA Act s.3(3)(l).
- Whether City Corporation councils are currently elected.
- The current s.3(6) notification of BDA members.
- The scoring band for DPG2a.</t>
  </si>
  <si>
    <t xml:space="preserve">ANSWER: No source in the Citation Sheet gives the ULG (GBA or its City Corporations) a seat on BMRCL's Board, but the current board cannot be confirmed. The only board evidence is from 2021, BBMP-era. It describes a board made up of Government of India and Government of Karnataka nominees and whole-time directors, with no seat set aside for the municipal body. The ULG link in the GBA Act runs the other way: BMRCL's Managing Director sits on the GBA, not the reverse. The Articles of Association and a current board list are not in the Citation Sheet, so absence cannot be confirmed and no score is given. | EVIDENCE: (1) Parastatal side: BMRCL Annual Report FY2020-21, Corporate Governance Report, p.45-46: the board is constituted under the Articles of Association. BMRCL is a 50:50 GoI-GoK joint venture. 'Both the Governments have the right to nominate five (5) Directors each on the Board of Directors.' GoI appoints the part-time Chairman and GoK appoints the MD &amp; CEO. The board on 31.03.2021 had 12 directors: the Chairman, the MD, 8 nominee directors (GoI/GoK) and 2 functional directors. The Nomination &amp; Remuneration Committee section and the director-change section give designations for some nominees: ACS UDD, ACS Finance, ACS &amp; Development Commissioner (all GoK); OSD/JS MoHUA and ED (Signal) Railway Board (both GoI); Principal Secretary to the CM (GoK, from Aug 2021). None is listed as a BBMP official or councillor. The designations of some nominees (e.g. M. Nagaraj, Dr. E. V. </t>
  </si>
  <si>
    <t xml:space="preserve">Bangalore Metro Rail Corporation Limited Annual Report (15th AGM; Board's Report and Financial Statements for year ended 31st March, 2021) [BMRCL-09]</t>
  </si>
  <si>
    <t xml:space="preserve">https://kla.kar.nic.in/council/house/Paperlaid/146/33.pdf</t>
  </si>
  <si>
    <t xml:space="preserve">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t>
  </si>
  <si>
    <t xml:space="preserve">Score left blank. I agree with Step 2 that no score can be given, with one correction.
(1) What the source shows (FY2020-21, BBMP era):
- The Corporate Governance Report summarises the Articles of Association. The board is to be 'whole-time functional Directors or Part-time Directors nominated by the Promoter Government(s)'. The promoters are the Government of India (GoI) and the Government of Karnataka (GoK), at 50:50. Each nominates 5 directors.
- The 'Board of Directors' list at the front of the report gives a designation for every director. It names no BBMP official and no councillor.
- Correction to Step 2: Step 2 says some nominees' designations are missing. They are not. The front-of-report list shows M. Nagaraj as Director (Corporate Planning), HUDCO. The Finance &amp; Audit Committee list shows E. V. Ramana Reddy as Additional Chief Secretary to the Chief Minister, GoK.
- On this 2021 evidence the board had no city government (ULG) representation, voting or non-voting.
(2) Why I did not score 0. A 0 needs affirmative absence, and that is not met:
- (a) The Memorandum and Articles of Association themselves are not in the Citation Sheet. The Annual Report only describes them second-hand.
- (b) The board evidence dates from 2021, in the BBMP era. The city government has since been restructured into the GBA and its City Corporations under Karnataka Act 36 of 2025. There is no current, GBA-era board list.
(3) Other sources checked:
- BMRCL-02, the GBA Act: s.9(3)(j) and s.13(1)(j) put BMRCL's Managing Director on the GBA and its Executive Committee. That runs the other way: the parastatal sits on the ULG. It is not ULG representation on BMRCL's board, so it earns no credit here.
- BMRCL-03, the 2025 Amendment Bill: amends only ss.8(2) and 14(1). It says nothing about BMRCL's board.
- BMRCL-04 (Metro Railways O&amp;M Act), BMRCL-06 (Companies Act), BMRCL-08 (BMLTA Act): none of these sets a BMRCL board-composition clause. A sheet-wide search found no GBA or Corporation nominee on BMRCL's board.
(4) For the team:
- Get the current Articles of Association and the current list of directors, with each one's nominating authority. RTI to the BMRCL Company Secretary/PIO, or the latest Annual Report.
- If those confirm that only GoI/GoK nominees and functional directors sit on the board, with no GBA or City Corporation seat or invitee, a score of 0 would be justified.</t>
  </si>
  <si>
    <t xml:space="preserve">ANSWER: This can't be settled from the Citation Sheet. The text of the BMRDA Act, 1985 is not in the sheet. The only description of the board is BMRDA's own 2022-23 Annual Report, which summarises the Act. Per that report: (i) on the Authority itself (the governing board), the Act lets the Government nominate 'representatives of the Local Authorities from the Region', but those seats 'fell vacant since July 2005'. The report does not say whether these nominees must be elected members of the city government (ULG) or whether they vote. (ii) The 'Mayor of Bangalore' sits on the Executive Committee, which is a committee and not the governing Authority. The report does not state the Mayor's voting rights. It describes the arrangement from before the Greater Bengaluru Authority (GBA) was set up, and nothing in the sheet shows whether any GBA or City Corporation official has replaced the 'Mayor of Bangalore' since BBMP was replaced. | EVIDENCE: (1) BMRDA-03 (Annual Report 2022-23, tabled in the Karnataka Legislature), p.10, para 3: 'The Chief Minister of the State is the Chairman, the Minister for Urban Development, is the Vice Chairman and the Secretaries to Government and heads of several related departments/ organisations are the Members in the Authority. The Act also provides for nomination by the Government of individuals representing ... representatives of the Local Authorities from the Region. Such representations fell vacant since July 2005 ...' Also: 'The Executive Committe</t>
  </si>
  <si>
    <t xml:space="preserve">Annual Report of Bangalore Metropolitan Region Development Authority for the year 2022-2023 [01-04-2022 to 31-03-2023] [BMRDA-03]</t>
  </si>
  <si>
    <t xml:space="preserve">https://kla.kar.nic.in/council/house/Paperlaid/152/37.pdf</t>
  </si>
  <si>
    <t xml:space="preserve">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t>
  </si>
  <si>
    <t xml:space="preserve">I left the score blank because the evidence can't settle it. A person needs to score this question.
(1) The only description of BMRDA's board in the Citation Sheet is BMRDA-03, the FY 2022-23 Annual Report from the BBMP era. It only summarises the BMRDA Act, 1985.
- The governing Authority: the Act 'provides for nomination by the Government' of 'representatives of the Local Authorities from the Region'. The report doesn't say whether these nominees must be elected members of the city government, whether they vote, or whether the nomination is required ('shall') or optional ('may'). It also says these seats 'fell vacant since July 2005'.
- The 'Mayor of Bangalore' is listed only on the Executive Committee, not on the Authority. His voting rights are not stated.
(2) The Act's own composition section is not in the sheet. BMRDA-13 and BMRDA-05 only link to the 'Constitution of the Authority' page and to the Act 1985 and Regulations 1996/1999 PDFs; their text was not captured. So I can't confirm the exact wording or voting rights.
(3) City-government side, BMRDA-10 (Greater Bengaluru Governance Act): s.9(3)(u) and s.13(1)(e) put BMRDA's Metropolitan Commissioner on the Greater Bengaluru Authority (GBA) and its Executive Committee. That is the reverse direction from what this question asks. Nothing I read in BMRDA-10 puts GBA or City Corporation members on BMRDA's board. Nothing shows a successor to the 'Mayor of Bangalore' seat now that BBMP has been replaced.
(4) A score of 0 isn't possible. Absence isn't established, because the Act, its Regulations and a current member list weren't read. The 2005 vacancy is a fact about practice; it doesn't show the law lacks such seats.
The detailed methodology and its bands were not given to me with this task. So I also can't check which band an Executive Committee seat or a Government-nominated seat would fall into (RUBRIC-GAP until confirmed).
Please confirm:
(a) Does the Executive Committee count as the 'governing board'?
(b) Do the local-authority nominees under the BMRDA Act have to be elected city-government members, and do they vote?
(c) Has any GBA-era Mayor or official officially taken over the 'Mayor of Bangalore' seat?
Suggested RTI to BMRDA's PIO: the current members of the Authority and the Executive Committee, with their voting status.</t>
  </si>
  <si>
    <t xml:space="preserve">ANSWER: Partly answered. SUDA's 2017 Development Plan lists the Chairman of the Standing Committee of Surat Municipal Corporation (SMC) as a Member of the SUDA Board in 2016. The Municipal Commissioner of SMC and the City Engineer of SMC sit as ex-officio members. So in 2016 the city government sat on SUDA's board as a full member, not as an invitee. Three things are still unconfirmed: (a) that section 22 of the Gujarat Town Planning and Urban Development Act, 1976 requires this seat, because the section could not be read; (b) whether the seat has voting rights; (c) who sits on the board now. | EVIDENCE: (1) SUDA-01, the 1976 Act (PRS copy with amendments up to 14 of 2019). Pages 2-86, which hold the main Act including section 22, have no readable text (scanned). Only the 2017 and 2019 amending Acts can be read, and they do not change board membership. (2) SUDA-14, SUDA Development Plan 2035 (2017), pages 26-27, section 1.4.1. SUDA was set up by the notification of 30-01-1978 under section 22(1), (2) and (4). The first Board (1978, Table 4) included the 'Chairman, Standing Committee, SMC' as a Member and the 'City Engineer, SMC' as an ex-officio member. The plan says that after the 1999 amendment to section 22 'the Municipal Commissioner was added as ex-officio member'. The 2016 Board (Table 5) lists 'Chairman, Standing Committee, SMC - Member', 'Municipal Commissioner, SMC - Ex-Officio Member' and 'City Engineer, SMC - Ex-Officio Member'. The State Government appoints the Bo</t>
  </si>
  <si>
    <t xml:space="preserve">After the amendment in the Section 22 of the Act in 1999, the Municipal Commissioner was added as ex-officio member of the Urban Development Authority. The present board members of SUDA are shown in the Table below.</t>
  </si>
  <si>
    <t xml:space="preserve">Score left blank. The evidence points to the top band, but one input I would need, voting rights, is not shown by any source in the sheet. I could not see the full rubric, so I took its bands from the Step 2 note, which says the 5 band needs an elected city-government (SMC) representative WITH voting rights.
What the sources show:
(1) SUDA-14, SUDA's own Development Plan 2035, dated 2017. Table 5 lists the 2016 Board with 'Chairman, Standing Committee, SMC' as a 'Member'. 'Municipal Commissioner, SMC' and 'City Engineer, SMC' sit as 'Ex-Officio Member'. The first Board in 1978 (Table 4) also had the Standing Committee Chairman as a Member, appointed 'as per the provisions of section 22(4) of the Act'.
(2) SUDA-04, the GPMC Act 1949 as modified up to 30-11-2017, the city government's law. I checked that the Standing Committee Chairman is an elected councillor. Section 20(1): 'The Standing Committee shall consist of twelve councillors.' Section 20(2): the Corporation appoints them 'out of its own body'. Section 21(1): the members appoint one of themselves as Chairman. So the seat is held by an elected representative, which Step 2 had left unconfirmed.
What is still missing:
(a) Voting rights. SUDA-14 calls the seat 'Member', not invitee, but says nothing about votes. I searched for rules on meetings, quorum and voting at the authority. Nothing turned up in SUDA-03 (GTPUD Rules 1979), SUDA-01 or SUDA-05. The only voting rules found are for SMC's own committees in SUDA-04.
(b) The legal basis. In SUDA-01 (PRS copy of the GTPUD Act 1976), the main text including section 22(4) on board makeup is scanned with no readable text. Only the 2017 and 2019 amending Acts can be read, and neither touches board membership. The seat therefore rests on SUDA's own description, not on the statute.
(c) The current board. The latest list is from 2016. Under v2 it is only partial evidence of today's board.
A score of 0 is clearly ruled out, because the city government does sit on the board.
Human check needed:
- Read section 22(4) of the GTPUD Act 1976 as amended by Guj. 2 of 1999, from a readable official copy. If it names the Standing Committee Chairman (or another elected SMC representative) as a member, and nothing makes that seat non-voting, a score of 5 looks justified.
- Get the current SUDA board list.
- Note the context: SMC covers only part of SUDA's area, and the District Panchayat President also sits on the board.</t>
  </si>
  <si>
    <t xml:space="preserve">ANSWER: None of the sources read shows the city government (ULG) on GMRC's board. GMRC is a company jointly owned by the Government of India and the Government of Gujarat. Its board is made up of directors nominated by those two governments plus GMRC's own full-time (functional) directors. The current director list names no Surat Municipal Corporation (SMC) councillor or official. This still does not meet the rule for a score of 0, which requires every relevant document to have been checked and found silent. The Articles of Association that set the board's composition, the Gujarat municipal Act and the board minutes (which would show any invitees) are not in the Citation Sheet. | EVIDENCE: (1) GMRC-03, RTI section 4(1)(b) proactive disclosure, Chapter 8: 'The board of directors of GMRCL consists of 13 directors, which include five nominees from the Government of India, five nominees from the Government of Gujarat Three functional directors.' (2) GMRC-05, Annual Report 2024-25, Part XII 'Organizational Set-up' (p.30): GMRC is a '50:50 jointly owned Special Purpose Vehicle (SPV) of Government of India and Government of Gujarat'. The two governments 'appoint Five (5) Directors each'. The Secretary of the Union housing and urban affairs ministry (MoHUA) is the ex-officio Chairman. The Managing Director is a Gujarat government nominee, appointed with the Government of India's prior agreement. Part XIII: as on 31-03-2025 there were 11 directors 'out of maximum fifteen (15) as provi</t>
  </si>
  <si>
    <t xml:space="preserve">Proactive Disclosure under the provision of Section 4(1)(b) of RTI Act 2005 [GMRC-03]</t>
  </si>
  <si>
    <t xml:space="preserve">https://www.gujaratmetrorail.com/proactive-disclosure-under-the-provision-of-section-41b-of-rti-act-2005/</t>
  </si>
  <si>
    <t xml:space="preserve">The board of directors of GMRCL consists of 13 directors, which include five nominees from the Government of India, five nominees from the Government of Gujarat Three functional directors.</t>
  </si>
  <si>
    <t xml:space="preserve">I left the Score blank. The sources point to a 0 (no representation for the city government on the board), but the rule for a 0 is not met yet.
What the sources show:
- GMRC-03 (Chapter 8) says the board has 13 directors: five nominated by the Government of India, five by the Government of Gujarat, and three functional directors.
- GMRC-04 is the board page, last updated 12-Oct-2026. I re-read it this session. Its directors are:
  - Government of India nominees: Secretary of the Union housing and urban affairs ministry (MoHUA), as Chairman; Joint Secretary &amp; Financial Adviser, MoHUA.
  - Government of Gujarat nominees: Additional Chief Secretary (Finance); Principal Secretary, Urban Development &amp; Urban Housing Department; MD of Gujarat Energy Ltd; GMRC's Managing Director.
  - Functional directors: Director (Project &amp; Planning) and Director (Finance).
  - No Surat Municipal Corporation (SMC) Mayor, councillor or Commissioner is listed.
- GMRC-05 (Annual Report 2024-25, Parts XII-XIII) and GMRC-06 (Annual Report 2023-24, Part 25) say the same, as Step 2 summarised.
- I searched all sources for 'Surat Municipal Commissioner director nominee board'. Nothing turned up that puts the city government on the board.
Why this is 'not found' rather than a confirmed 0:
- GMRC's Memorandum and Articles of Association are not in the Citation Sheet. They are the binding instrument for board composition, and GMRC-05 says the Articles allow up to 15 directors. The Articles could reserve a seat for the city government or let Gujarat nominate an SMC official.
- There are no board minutes or invitee lists, so I cannot rule out SMC attending as a special or permanent invitee, which would score in an invitee band if the rubric has one. GMRC-03 says board meetings are 'generally not accessible to the public'.
- The Gujarat municipal Act that governs SMC is not in the sheet. For a relationship question, that city-side law would also need to be read.
I agree with Step 2's 'not found'. The full question wording and Detailed Methodology were not in the task input, so I could not check the bands myself. I relied on Step 2's description: 0 for no representation, 2.5 for invitee status.
Other flags:
- The city government field is blank in the task input. SMC is identified only from GMRC-08 and GMRC-09. The team should confirm this from an official source.
- The Surat Phase-1 project is still under construction, so apply the PRE-OPERATIONAL flag.
To close the gap, an RTI request to GMRC's Public Information Officer (PIO) should ask for:
- a certified copy of the Articles of Association, specifically the clause on director composition;
- the list of permanent and special invitees to board meetings, FY 2024-25 to date.
If the Articles show no city-government seat and there are no SMC invitees, a person can then record 0.</t>
  </si>
  <si>
    <t xml:space="preserve">DPG2b</t>
  </si>
  <si>
    <t xml:space="preserve">ANSWER: No. Neither Act in the Citation Sheet requires BWSSB to submit or table its plans, budgets or reports before the ULG or its council (the Greater Bengaluru Authority, the City Corporations or their councils). The BWSSB Act sends all three documents only to the State Government or the State Legislature, which the methodology does not count. Components: (1) plans 0, (2) budgets 0, (3) annual/performance reports 0. | EVIDENCE: PARASTATAL SIDE, BWSSB Act 1964 (PRS copy). Budget: s.17(1) says 'In February of each year the Board shall submit to the State Government a statement ... of the estimated capital and revenue receipts and expenditure for the ensuing year'. Under s.17(3) the State Government lays it before both Houses of the State Legislature. Under s.14(5) the Board places this statement before the Consultative Committee. That committee is made up of Board members plus 3-9 people appointed by the State Government 'after consultation with' bodies including the Bruhat Bangalore Mahanagara Palike (s.14(1)), and its role is advisory (s.14(4)). It is not the ULG or its council. Reports: s.86(1) requires an annual report 'to the State Government', to be published in the Gazette. s.86(2) requires an activities report covering the previous year and planned activities for the next year, submitted to the State Government and laid before the State Legislature. s.86(3) requires statistics, returns and scheme particulars to be furnished to the State Government. Plans: s.15(2)(b)-</t>
  </si>
  <si>
    <t xml:space="preserve">The Board shall, before such date and in such form as may be prescribed by rules, submit to the State Government an annual report upon such matters as may be prescribed by rules, and the State Government shall cause such report to be published in the official Gazette.</t>
  </si>
  <si>
    <t xml:space="preserve">Score is 0 because both Acts send BWSSB's plans, budgets and reports only to the State, never to the city government. I checked the Step 2 answer against the sources and it holds.
BWSSB Act 1964 (BWSSB-02; PRS copy, amended up to Act 29 of 2021):
- Budget: s.17(1) says the annual financial statement goes 'to the State Government'. Under s.17(3) the State lays it before the State Legislature.
- Activities report: s.86(2) covers the past year and the activities planned for the next year. It goes to the State Government and is laid before the State Legislature.
- Annual report: under s.86(1) it goes to the State Government and is published in the Gazette.
- Statistics and scheme particulars: s.86(3) sends these to the State Government.
- Audited accounts: under s.25(4)-(5) they go to the State Government and the Legislature.
- Schemes: the s.15 proviso needs State approval only for schemes costing more than a crore. Nothing sends plans to the city government.
- Consultative Committee (s.14): it receives the budget statement (s.14(5)), but it is an advisory body of Board members plus State appointees. Bodies such as the BBMP are only consulted when those members are chosen. It is not the city government or its council.
Greater Bengaluru Governance Act 2024 (BWSSB-04, Act 36 of 2025):
- s.14(4) gives the GBA general power to supervise and direct BWSSB. s.15(5) lets the GBA give planning tasks to public authorities. Neither section requires BWSSB to submit or table plans, budgets or reports.
- s.19(1) lets 'the Government' (the State) call for periodic reports.
- ss.21-22 cover the GBA's own budget and annual report. s.22(2) sends them to the City Corporations, but this applies to the GBA itself, not to BWSSB, so it earns no credit.
- A sheet-wide search for any duty on a public authority to submit to the City Corporations or the GBA found nothing.
Score 0 = plans 0 + budgets 0 + reports 0, based on the affirmative absence set out above.
For the team to check:
1. The BWSSB Rules made under s.87 are not in the Citation Sheet. They set the form and date of the s.86 annual report (s.87(2)(g)). The BWSSB Regulations are not in the sheet either. Step 2 says the question's methodology limits review to the Parastatal Act and the Municipal Act. I could not see the methodology text myself, so please confirm this. If the Rules or Regulations are in scope, they need a check, and the score should be reviewed if they require copies to go to the GBA or the City Corporations.
2. s.14(1) of the BWSSB Act still names the BBMP. No source in the sheet shows a successor body substituted.
3. Both Acts are PRS secondary copies, not gazette texts.</t>
  </si>
  <si>
    <t xml:space="preserve">ANSWER: In the two Acts in the Citation Sheet, nothing requires BMTC to submit or table its plans, budgets or annual/performance reports before the GBA, a City Corporation or its council. Under its enabling Act, BMTC sends its budget to the State Government for approval. Its annual report goes to the Central and State Governments, and the State Government lays it before the State Legislature. The city government law (GBA Act) lets the GBA supervise and direct BMTC. It does not require BMTC to submit any of the three documents to the GBA or a City Corporation. Each of the three components is unmet at the level of the Acts. However, the Rules, BMTC's regulations and the scheme/notification that set up BMTC are not in the Citation Sheet, so I cannot show that no such requirement exists anywhere in the law. | EVIDENCE: BMTC's side - Road Transport Corporations Act, 1950 (BMTC-02): (1) Plans: no section requires a Corporation to submit plans to a local body. The only plan-submission clause is in s.3A(2)(f), which covers a subsidiary corporation: 'annual development plans ... shall be submitted for approval to the parent Corporation and where such budget or plan involves any deficit, also to the State Government'. That goes to the parent Corporation and the State, not a ULG. (2) Budgets: s.32(1) 'Every Corporation shall ... prepare and submit to the State Government for approval a budget for the next financial year'. Under s.32(2), no money may be spent unless it is covered by a bu</t>
  </si>
  <si>
    <t xml:space="preserve">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t>
  </si>
  <si>
    <t xml:space="preserve">I left the score blank. Every provision I found points to 0 for all three parts (plans, budgets, reports), but I cannot prove the law is silent everywhere, so I did not enter 0. A person should score this once the missing Rules have been read.
What the sources say:
(1) Budgets: Road Transport Corporations Act s.32(1) says the budget goes 'to the State Government for approval'. Under s.32(2), money can only be spent against a budget the State has approved. The budget does not go to the GBA, a City Corporation or its council.
(2) Reports: under s.35(1), returns go to the State Government. Under s.35(2), the annual report on 'exercise and performance ... and on its policy and programme' goes 'to the Central and the State Governments'. Under s.35(3), the State lays it before the State Legislature. Under s.33, the accounts are audited by the CAG.
(3) Plans: no section requires plans to go to a city government. s.3A(2)(f) covers subsidiary corporations only, and their plans go to the parent Corporation and the State.
(4) City government side, GBA Act 2024 (BMTC-04):
- s.14(4) lets the GBA supervise and direct BMTC. Supervision is not a duty to submit documents.
- s.19(1) lets 'The Government' call for periodic reports from public authorities. That is the State, not the GBA or a City Corporation.
- s.21 and s.22(2) cover only the GBA's own budget and report, which go to the City Corporations.
- A search for public authorities submitting plans, budgets or reports to the GBA or a council found nothing.
I checked the Step 2 answer against these texts and it is correct.
Why not 0: under the v2 affirmative-absence rule, a 0 needs the Rules, regulations and notifications to have been read. BMTC-20 (BMTC's Rules and Regulations page) lists 'KSRTC Rules, 1961'. These are the Rules made under s.44 that set the form and date of the budget (s.44(2)(i)) and of returns and reports (s.44(2)(l)). Only the link appears in the Citation Sheet, not the text of the Rules. Also missing:
- BMTC's s.3 constitution notification;
- any BMTC-specific regulations on finance;
- any Rules under the GBA Act.
For the team to check:
(a) Does the Detailed Methodology limit scoring to the parent Act and the Municipal Act? If so, the evidence above gives 0+0+0 = 0/5. The methodology text was not reproduced in my input, only Step 2's paraphrase of it.
(b) BMTC's legal form. GBA Act s.14(4) calls it 'Bangalore Metropolitan Transport Corporation Limited' with a Memorandum of Association, which conflicts with it being a corporation under the 1950 Act.
(c) The GBA Act's effective date and era are not established in the sheet.
Period: Road Transport Corporations Act as amended up to Act 63 of 1982. GBA Act 2024 (Act 36 of 2025), PRS text, GBA era.</t>
  </si>
  <si>
    <t xml:space="preserve">ANSWER: Partly, and only for plans. Under the BDA Act, BDA must send its development schemes (its plans) to 'the Corporation' so the Corporation can comment on them. No source in the Citation Sheet requires BDA to submit or table its budget or its annual or performance reports before the ULG or council. Budgets and reports go only to the State Government and the State Legislature, which does not count under the methodology. A score cannot be confirmed yet, for two reasons. First, the Act still names the 'Corporation of the City of Bangalore', and no source here shows the GBA or its City Corporations taking its place. Second, the Rules layer and parts of the GBA Act were not read. | EVIDENCE: BDA side, BDA Act 1976 (BDA-02): (1) Plans: s.17(2) says a copy of the development-scheme notification 'shall be sent to the Corporation', which may send a representation to BDA within 30 days for passing on to the Government. Under s.17(4), if it sends none, its 'concurrence ... shall be deemed to have been given'. Under s.18, the scheme is then submitted to the Government for sanction. Under s.25(1), the Corporation 'shall be consulted' on further-development works inside City limits; this is consultation on works, not submission of a plan. (2) Budget: s.42 says the Commissioner lays the annual estimate before the Authority. s.43 says the Authority approves it. s.44 says the estimate 'shall be submitted to the Government'. s.45 sends supplementary estimates to the Government. None of th</t>
  </si>
  <si>
    <t xml:space="preserve">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t>
  </si>
  <si>
    <t xml:space="preserve">I left the score blank. One part needs a judgement call and the successor body is not shown in any source. The other two parts would be 0, but the absence of a requirement cannot be confirmed from the Citation Sheet.
(1) PLANS: I checked the Step 2 answer against BDA-02 and the source supports it. Under s.17(2), the development-scheme notification 'shall be sent to the Corporation', which may send a representation within 30 days. Under s.17(4), if it does not, its concurrence is 'deemed to have been given'. Under s.25(1), the Corporation 'shall be consulted' on further-development works inside City limits. This is a duty to send schemes to the city government for comment. It is not tabling before a council. Whether it earns the plans component (likely 1.67) needs a person's judgement. Two further issues:
- s.2(i) still defines 'Corporation' as the Corporation of the City of Bangalore. No source in the Sheet shows the GBA or the City Corporations put in its place.
- BDA-05 (KTCP amendment bill, as passed by the Assembly) removes the Greater Bengaluru Area from BDA's local planning area under s.81-B and s.81-G. BDA-03 s.14(2)(a) makes the GBA the 'Planning Authority' for that area. Neither source shows whether this is enacted and in force.
(2) BUDGETS: Under s.42–46, the estimate is laid before the Authority, approved by it and then submitted to 'the Government'. The Corporation is not mentioned. KTCP Act s.68B (BDA-06) sends the planning authority's budget to the State Government and the Board only.
(3) REPORTS: s.47(5) sends audited accounts and the auditor's report to the State Government and the Legislature. s.47A has the Authority submit reports to the State Government, laid before each House, 'in such form... as may be prescribed'. KTCP s.68C and s.68D send audited accounts and the annual report to the Government and Board only.
(4) ULG SIDE: I re-read BDA-03 (GBA Act 2024) s.14(3)–(4), s.15 and s.19–22.
- s.14(4) lets the GBA supervise BDA and issue binding directions.
- s.19(1) lets 'the Government' call for periodic reports from public authorities.
- s.22(2) requires the GBA's own report and budget to go to the City Corporations.
None of these requires BDA to submit its plans, budget or reports to the GBA or the City Corporations. I did not read the whole GBA Act or the amendment bills BDA-04 and BDA-13 line by line.
Why budgets and reports are not scored 0: s.47A and the KTCP sections leave the form and recipients of reports and budgets to rules ('as may be prescribed'). No BDA Rules, Regulations or notifications are in the Citation Sheet, so a 0 cannot rest on a full check of all instruments.
The likely outcome is 1.67 if the plans part is accepted and 'Corporation' is confirmed to cover today's city government. It would be 0 if the plans part is rejected and the Rules confirm nothing more.
FOR A PERSON TO CHECK:
(a) Does sending the scheme to the city government for comment, with deemed concurrence, count as 'plans submitted to the ULG'?
(b) Which official instrument makes the GBA or the City Corporations the successor to the 'Corporation'?
(c) Is the KTCP s.81-G amendment in force?
(d) Add the BDA Rules and Regulations to the Citation Sheet.
Period: BDA Act PRS copy, amended up to Act 42 of 2026 (s.17 and s.42–47A not recently amended); GBA Act 2024 (Act 36 of 2025), GBA era.</t>
  </si>
  <si>
    <t xml:space="preserve">ANSWER: None of the instruments in the Citation Sheet requires BMRCL to submit or table its plans, budgets or annual/performance reports before the GBA or a City Corporation council. Where the law does require reporting, it goes to the Central/State Government or to Parliament and the State Legislature, and that does not count under the methodology. The GBA Act gives the GBA a binding power to supervise BMRCL and give it directions, but no provision found requires BMRCL to submit documents to the GBA. A 0 cannot be confirmed yet because BMRCL's own constitutional documents (Memorandum and Articles of Association) and some metro laws are not in the Citation Sheet. | EVIDENCE: Parastatal side: (1) Companies Act, 2013 (BMRCL-06) s.394(1): the Central Government, as a member of a Government company, 'shall cause an annual report on the working and affairs of that company' to be 'laid before both Houses of Parliament'. s.394(2): the State Government member shall have a copy laid before the State Legislature. s.134: the Board's report goes to the company's general meeting. None of these involves the ULG. The BMRCL Annual Report FY2020-21 (BMRCL-09, p.45-46) confirms that BMRCL is a Government company under s.2(45) and a 50:50 joint venture of the Government of India and the Government of Karnataka, so s.394 applies. (2) Metro Railways (Operation and Maintenance) Act, 2002 (BMRCL-04): s.12-13 cover the annual report of the Chief Commissioner of Railway Safety, sent to the Central Go</t>
  </si>
  <si>
    <t xml:space="preserve">The Government shall be entitled to call for periodic reports from such Public Authorities, agencies and departments of the Government discharging municipal functions in the Greater Bengaluru Area</t>
  </si>
  <si>
    <t xml:space="preserve">I left the score blank. Nothing in the Citation Sheet requires BMRCL to submit or table its plans, budgets or annual reports before the ULG council (City Corporations / GBA), but I can't confirm that no such requirement exists. That is 'not found', not proven absence, so I can't give a 0.
What I checked:
(1) GBA Act, Karnataka Act 36 of 2025 (BMRCL-02), as enacted, GBA era.
- s.19(1): the 'Government', not the GBA or a council, may call for periodic reports from public authorities.
- s.14(4): the GBA may supervise BMRCL and issue binding directions, and public authorities 'shall cooperate'. It sets no duty to submit plans, budgets or reports. It also requires only BESCOM and BMTC, not BMRCL, to amend their Memorandum of Association.
- s.15(5): agencies must help the GBA when it asks. That is help on request, not tabling BMRCL's own plans.
- s.9(3)(j): BMRCL's MD is an ex-officio member of the GBA. Membership is not a submission requirement.
- s.21-22: these cover the GBA's own budget and annual report going to the Government and the City Corporations. That is the other direction.
(2) GBA (Amendment) Bill 2025 (BMRCL-03): it changes only s.8(2) and s.14(1).
(3) Companies Act 2013 (BMRCL-06): s.394 says the annual report is laid before Parliament and the State Legislature, and s.134 sends the Board's report to the general meeting. Under the methodology, reporting to Government or a Legislature doesn't count.
(4) Metro Railways (Operation and Maintenance) Act 2002 (BMRCL-04): it covers the Chief Commissioner of Railway Safety's report and returns of accidents to the Central Government. Nothing goes to a ULG.
(5) BMRCL Annual Report FY2020-21 (BMRCL-09): Board's Report and Corporate Governance section. Budget estimates go to the BMRCL Board, and the annual report goes to the shareholders (the Government of India and the Government of Karnataka) and to Parliament through the C&amp;AG and the Central Government. It shows no submission to the BBMP/ULG. It is also from FY2020-21, before the GBA era.
Why this can't be a 0:
- BMRCL-09 says BMRCL is governed by its Memorandum and Articles of Association, and these aren't in the Citation Sheet. The Metro Railways (Construction of Works) Act 1978, the Rules under the 2002 Act, the GBA Rules/Regulations and the GoI-GoK joint-venture GOs are also missing.
- I didn't read BMRCL-07 (Karnataka Town and Country Planning Act) or BMRCL-08 (BMLTA Act) in full for metro plan submission, but BMLTA is not a ULG council.
- The Step 2 answer agrees with the sources.
If the team gets these instruments and confirms there is nothing in them, a score of 0 looks likely. The team also needs to decide whether the GBA counts as the 'ULG/council' for this question, and to confirm that BMRCL qualifies as a parastatal, since it is a 50:50 GoI-GoK Government company.</t>
  </si>
  <si>
    <t xml:space="preserve">Step 2 found no evidence: a source needs to be found and added. Step 2 found no evidence (Insufficient Evidence). Source needed: The full current text of the BMRDA Act, 1985 (Karnataka Act 39 of 1985), from the state legislation portal, the gazette or BMRDA's 'Acts and Rules' page: its structure-plan, budget, accounts and annual-report sections. Also any Rules made under it and the BMRDA Regulations 1996/1999/2000. These would show whether any of BMRDA's plans, budgets or reports must be submitted to the GBA, the City Corporations or a council, or only to the State Government.</t>
  </si>
  <si>
    <t xml:space="preserve">ANSWER: No Citation Sheet source shows any requirement for SUDA to submit or table its plans, budgets or reports before Surat Municipal Corporation (SMC) or its council. Every submission duty found runs to the State Government, and the methodology says that does not count. Rules 47 and 49 of the GTPUD Rules, 1979 send SUDA's budget, programme of work, annual report and half-yearly progress report to the State Government. SUDA's Development Plan 2035 document says its draft development plan goes to the State Government under sections 9 and 16 of the GTPUD Act. A score of 0 needs proof that nothing exists anywhere. That proof is missing because the main text of the parent Act (GTPUD Act, 1976) cannot be read in SUDA-01, and the ULG Act (SUDA-04) was not fully searched for provisions naming the UDA. So the result is 'not found', not 0. | EVIDENCE: (1) GTPUD Rules, 1979 (SUDA-03), r.47(1), budget and programme of work: 'The appropriate authority shall submit to the State Government for approval ... the annual Financial Statement and programme of work'. r.47(4): a note on works goes to the State Government. Neither mentions the local authority. (2) SUDA-03 r.49(1), annual report: 'submit Annual Report to the State Government'. r.49(3): a six-monthly progress report also goes to the State Government. Neither mentions the local authority. (3) GTPUD Act, 1976 (SUDA-01, PRS copy): the principal Act text (pp.2-86) came back blank, so sections 9-16 (development plan) and section 94 onwa</t>
  </si>
  <si>
    <t xml:space="preserve">Gujarat Town Planning and Urban Development Rules, 1979 (GTPUD-Rules-1979.pdf) [SUDA-03]</t>
  </si>
  <si>
    <t xml:space="preserve">https://www.sudaonline.org/wp-content/uploads/2013/08/GTPUD-Rules-1979.pdf</t>
  </si>
  <si>
    <t xml:space="preserve">The appropriate authority shall within three months of the date of closing of each year submit Annual Report to the State Government.</t>
  </si>
  <si>
    <t xml:space="preserve">I left the score blank. Nothing found so far shows SUDA must submit or table its plans, budgets or annual reports before Surat Municipal Corporation (SMC) or its council. But a 0 needs proof that nothing exists anywhere, and the Citation Sheet does not give that proof.
What I checked:
(1) GTPUD Rules, 1979 (SUDA-03). These confirm the Step 2 reading. r.47(1): the authority 'shall submit to the State Government for approval' its annual Financial Statement and programme of work. r.47(4): a note on works goes to the State Government. r.49(1): the Annual Report goes to the State Government. r.49(3): a six-monthly progress report goes to the State Government. None of these mentions the local authority or the Corporation. Forms A and B (Rules 5 and 6) also show the draft development plan going to the State Government under s.9.
(2) GTPUD Act, 1976 (SUDA-01, PRS copy). I re-read it searching for ss.9, 16 and 94. Only the 2017 and 2019 amendment Acts can be read; the main Act text is still unreadable. The 2017 amendment lets the State Government delegate UDA powers to a local authority (s.23(2)). The 2019 amendment requires the development plan to include the spatial-planning proposals sanctioned under the Gujarat Metropolitan Planning Committees Act, 2008 (MPC Act) or the District Planning Committees Act. Neither is a duty to submit or table documents before the ULG.
(3) Gujarat Provincial Municipal Corporations Act, 1949 (SUDA-04, as modified up to 30-11-2017). Searches turned up only provisions on the Corporation's own budget and administration report (around pp.83-85). Nothing showed a UDA tabling documents before the Corporation, but the Act was not read in full.
(4) SUDA-14, SUDA-05 and SUDA-13. Searches found no duty to submit to SMC. SUDA-14 says SMC office-holders sit on SUDA's board. Board membership is not a submission duty, so I did not count it.
Why this is 'not found', not 0: the main text of the parent Act (ss.9-16 on development plans, s.94 onward on budget, accounts and reports) cannot be read. Also, the detailed methodology and rubric for DPG2b were not given in this task, so I could not check the bands against the 0-5 Max Score.
For a person to check: get a readable official copy of the GTPUD Act, 1976 (ss.9, 16, 94-97) and search the whole GPMC Act, 1949 for any provision on UDAs. If neither requires submission to SMC or its council, the evidence points to a total of 0 under the rubric's three components (plans, budgets, annual reports). Also confirm that the ULG is SMC; the task input did not name it.</t>
  </si>
  <si>
    <t xml:space="preserve">Step 2 found no evidence: a source needs to be found and added. Step 2 found no evidence (Insufficient Evidence). Source needed: Sources that would answer this: (a) GMRC's Memorandum and Articles of Association, current amended version, and the tripartite GoI-GoG-GMRC MoU for the Surat Metro, checking for any duty to share plans, budgets or reports with Surat's city government; (b) the full text of the Metro Railways (Construction of Works) Act 1978 and Metro Railways (O&amp;M) Act 2002 as amended, with any Gujarat notification applying them to Surat; (c) the Act governing Surat's city government (name to be confirmed from an official source), for any power to call for plans, budgets or reports from public bodies or companies working in the city; (d) any Gujarat Act or GO setting up a UMTA or metro coordination body in which the city government receives GMRC documents.</t>
  </si>
  <si>
    <t xml:space="preserve">DPG4</t>
  </si>
  <si>
    <r>
      <rPr>
        <sz val="11"/>
        <color theme="1"/>
        <rFont val="Calibri"/>
        <family val="2"/>
        <charset val="1"/>
      </rPr>
      <t xml:space="preserve">ANSWER: Yes. BWSSB has an official website on a Karnataka government domain. It opened, and the saved copy shows content dated within the last 12 months. The newest items are from July 2026, which meets the score-10 band. | EVIDENCE: (1) BWSSB-01, homepage (https://bwssb.karnataka.gov.in/english). The page opened and has a full menu (RTI, Recruitment, Circular, Citizen Charter, Budget and others). The footer says 'Content Owned and maintained by: Bengaluru Water Supply and Sewerage Board, </t>
    </r>
    <r>
      <rPr>
        <sz val="11"/>
        <color theme="1"/>
        <rFont val="Noto Sans"/>
        <family val="2"/>
      </rPr>
      <t xml:space="preserve">ಕರ್ನಾಟಕ ಸರ್ಕಾರ</t>
    </r>
    <r>
      <rPr>
        <sz val="11"/>
        <color theme="1"/>
        <rFont val="Calibri"/>
        <family val="2"/>
        <charset val="1"/>
      </rPr>
      <t xml:space="preserve">' and 'Designed , Developed &amp; Hosted by: Centre for e-governance - Webportal karnataka government © 2026'. The 'Latest News' list includes 'Water Shutdown on 22-07-2026.' (shown as '3 days ago'), 'Deployment of Officers/Employees after Re-Organisation 2026' (2 weeks ago) and Direct Recruitment-2025 document-verification lists (3 days ago). (2) BWSSB-25, Press Release page. It lists 'Water Shutdown on 31-07-2026.' with release date 27.07.2026, and 'Water Shutdown on 22-07-2026.' dated 20.07.2026. (3) BWSSB-07, BWSSB-13 and BWSSB-30 (About, Our Services, Vision and Mission) are other pages on the same site that also loaded. The domain is bwssb.karnataka.gov.in, a *.gov.in address, so it counts as official. | CAVEATS: The footer's 'Last Updated:' field is empty, so the update date comes from dated content (press releases and notices), which the methodology accepts. Much of the Press Release page is old (2021–2024 entries), but the rubric only needs some recent dated content. Not e</t>
    </r>
  </si>
  <si>
    <t xml:space="preserve">Bangalore Water Supply and Sewerage Board — official website [BWSSB-01]</t>
  </si>
  <si>
    <t xml:space="preserve">https://bwssb.karnataka.gov.in/english</t>
  </si>
  <si>
    <t xml:space="preserve">Water Shutdown on 22-07-2026.</t>
  </si>
  <si>
    <t xml:space="preserve">I propose a score of 10. A reviewer needs to confirm it against the DPG4 rubric, because the Detailed Methodology text was not in my task input. I used the band description Step 2 recorded: score 10 means the website exists, is accessible, has been updated within the last 12 months and works.
I checked each part against the saved pages:
(1) Existence and official status: the site is on bwssb.karnataka.gov.in, a *.gov.in domain. Per BWSSB-01, its footer reads 'Content Owned and maintained by: Bengaluru Water Supply and Sewerage Board' and says it is hosted by the Centre for e-governance, Karnataka, © 2026.
(2) Accessibility: the homepage and several inner pages have readable saved text. These are BWSSB-07 (About), BWSSB-13 (Our Services), BWSSB-25 (Press Release) and BWSSB-30 (Vision and Mission). The site has English (/en) and Kannada (/kn) versions.
(3) Currency: BWSSB-25 lists 'Water Shutdown on 31-07-2026.' dated 27.07.2026 and 'Water Shutdown on 22-07-2026.' dated 20.07.2026. The homepage Latest News also shows 'Deployment of Officers/Employees after Re-Organisation 2026' (2 weeks ago) and Direct Recruitment-2025 document-verification lists (3 days ago). That is dated content within 12 months.
(4) Functionality: the pages loaded. I did not test individual links or the outside portals (JALAMITHRA, bwsajala, kaveri on wheels).
Things a reviewer should check:
(a) The footer's 'Last Updated:' field is blank, so the currency finding rests on dated content, not a site update stamp.
(b) The Citation Sheet does not record the date the pages were captured. Late July 2026 is inferred from the 27.07.2026 press release and the relative 'days ago' labels. Record the exact date of verification and keep a dated screenshot or archive copy.
(c) Much of the Press Release page is old (2021–2023 entries), but recent entries also appear.
(d) If the actual DPG4 rubric needs more than existence, accessibility, currency and functionality (for example a specific list of disclosures), re-score against it.</t>
  </si>
  <si>
    <t xml:space="preserve">ANSWER: Yes. BMTC has an official website at mybmtc.karnataka.gov.in. Its Tenders page opened and gave a readable copy. That copy shows content dated within the last 12 months: tender and EOI notices from May to September 2026, the latest dated 23/09/2026, and a footer reading 'Last Updated: 30-09-2026'. This meets the score-10 band. | EVIDENCE: (1) BMTC-10, the BMTC Tenders page (https://mybmtc.karnataka.gov.in/info-4/BMTC+Tenders/en). Existence: the footer says 'Content Owned and maintained by: Bengaluru Metropolitan Transport Corporation, Government of Karnataka', and the site is hosted by the Karnataka Centre for e-Governance on a karnataka.gov.in subdomain. Accessibility: the saved copy contains the full page, including navigation and the tender list. Currency: 'TENDER NOTIFICATION NO: 24/2026-27 (e-Procurement Platform): 23/09/2026', 'COMMERCIAL (ASSET) TENDER NOTIFICATION NO: 02/2026-27 ... 17/09/2026', 'Expression of Interest : 17.09.2026', and earlier 2026-27 notices back to May 2026; footer 'Last Updated: 30-09-2026'. Functionality: the page loads and links to live service pages (complaints, RTI, recruitment, timetables). (2) BMTC-28 (Press Releases) and BMTC-32 (Vision and Mission) on the same domain show the same footer, 'Last Updated: 30-09-2026'. (3) BMTC-30, the KarnatakaOne government portal, refers to BMTC and links to 'www.mybmtc.com'. | CAVEATS: The Press Releases page (BMTC-28) appears stale: its latest dated entries in the saved copy are from November 202</t>
  </si>
  <si>
    <t xml:space="preserve">BMTC Tenders - Bengaluru Metropolitan Transport Corporation [BMTC-10]</t>
  </si>
  <si>
    <t xml:space="preserve">https://mybmtc.karnataka.gov.in/info-4/BMTC+Tenders/en</t>
  </si>
  <si>
    <t xml:space="preserve">TENDER NOTIFICATION NO: 24/2026-27 (e-Procurement Platform): 23/09/2026</t>
  </si>
  <si>
    <t xml:space="preserve">Score is 10 because the source supports all four parts of the score-10 band described in the Step 2 answer. (1) Existence: BMTC has its own official website. The BMTC-10 footer reads 'Content Owned and maintained by: Bengaluru Metropolitan Transport Corporation, Government of Karnataka' and 'Designed , Developed &amp; Hosted by: Centre for e-governance - Webportal karnataka government'. The site is on a karnataka.gov.in subdomain. (2) Accessibility: the saved copy is the full, readable page body, including navigation and the tender list. (3) Currency: there are dated tender and EOI notices every month from about Oct 2025 to Sep 2026. The latest is 'TENDER NOTIFICATION NO: 24/2026-27 ... 23/09/2026', and the footer says 'Last Updated: 30-09-2026'. This is within 12 months of the Sept 2026 assessment. (4) Functionality: the page links to working service pages (RTI, Online RTI, feedback, employee and department logins, sitemap). I checked these points against BMTC-10 myself, so I am not just copying Step 2.
Points for the person checking:
(a) My input did not include the Detailed Methodology or rubric text for DPG4. I relied on the score-10 band criteria as Step 2 describes them (existence, accessibility, currency within 12 months, functionality). Please confirm against the question bank that this band equals the Max Score of 10.
(b) The Citation Sheet does not record the exact date of the check, and there is no dated screenshot or archive capture, which the question bank asks for. The check can only be dated as on or after 30-09-2026, from page content. The reviewer should capture a dated screenshot.
(c) The KarnatakaOne portal (BMTC-30) links to www.mybmtc.com rather than mybmtc.karnataka.gov.in. Please confirm which is the current canonical address.
(d) The Press Releases page (BMTC-28) is stale, with the latest entries from Nov 2022. This matters for DPG5, not for this band.
(e) Some tender PDF links are badly formed, e.g. a doubled 'mybmtc.karnataka.gov.in/mybmtc.karnataka.gov.in/' path. The linked PDFs were not tested one by one. That is a VERIFICATION-LIMIT on whether documents open, not a negative finding.</t>
  </si>
  <si>
    <t xml:space="preserve">Step 2 found no evidence: a source needs to be found and added. Step 2 found no evidence (Insufficient Evidence). Source needed: A saved, readable copy of BDA's official website home page, plus its notices or circulars page. It should be fetched on a recorded date, with proof that the domain is official (for example a link to it from a Karnataka gov.in page or the Urban Development Department). It needs to show at least one dated notice, circular or 'last updated' date within the 12 months before the check, plus a dated screenshot or web-archive capture.</t>
  </si>
  <si>
    <t xml:space="preserve">ANSWER: The score can't be set. BMRCL's own annual report for FY 2020-21 names an official company website (stated as www.bmrc.co.in) and says the site carries tenders, RTI details, policies, a monthly newsletter and project updates. The Citation Sheet has no saved copy of that website. So we can't check the two things that decide DPG 4: whether the site opens without error now, and whether it shows dated content from the last 12 months. | EVIDENCE: (1) BMRCL-09, Annual Report FY 2020-21, Board's Report p.40 (printed p.38). It says the Whistle Blower Policy is placed on the website and that the monthly 'BMRC Newsletter' is published there. (2) BMRCL-09 p.42 (printed p.40): 'BMRCL Fraud Prevention Policy and BMRCL Whistle Blower Policy which are available on the Company's official website www.bmrc.co.in.' (3) BMRCL-09, Corporate Governance Report section 7 'Company's Website', pp.55-56 (printed pp.53-54). It names the official website and says it carries project status, contracts, jobs, financial results, RTI PIO/appellate details, all tenders under the KTPP Act and operations information, 'which is continuously updated'. (4) BMRCL-33, a Central Public Procurement Portal page (etenders.gov.in), captured with on-page date 12-Oct-2026. It shows BMRCL tender 2025_BMRCL_222481_1, published 04-Jan-2025. That shows BMRCL is active on a government portal, not on its own website, so it gives no credit for DPG 4. BMRCL-02, -04, -06, -07, -08 and -32 are laws or policies and say nothing</t>
  </si>
  <si>
    <t xml:space="preserve">Your Directors have approved the BMRCL Fraud Prevention Policy and BMRCL Whistle Blower Policy which are available on the Company’s official website www.bmrc.co.in.</t>
  </si>
  <si>
    <t xml:space="preserve">SCORE-BLANK because of a VERIFICATION-LIMIT. A 0 would need affirmative absence, and there is none. I agree with the Step 2 answer after checking the source. BMRCL-09 is BMRCL's Annual Report for FY 2020-21, the company describing itself. It names an official website (www.bmrc.co.in) and says the site carries the Whistle Blower and Fraud Prevention Policies, the monthly 'BMRC Newsletter', the annual return, RTI PIO and appellate details, and all tenders (p.56). It also says the site is 'continuously updated'. So the website existed in 2021, which rules out the 0 band ('no official website found'). The 10 band needs a site that opens without error now and has content dated within the last 12 months. The Citation Sheet has no fetched copy, screenshot or dated capture of BMRCL's own website, so neither condition can be checked. A 2021 self-description is too old to show the site's current state. BMRCL-33 is a CPPP eProcurement page (etenders.gov.in) captured with an on-page date of 12-Oct-2026. It shows BMRCL tender 2025_BMRCL_222481_1, published 04-Jan-2025. That is a government portal, not BMRCL's own site, so it earns no DPG4 credit. I searched the sheet for 'bmrc.co.in website updated' and found nothing beyond BMRCL-09. BMRCL-02, -03, -04, -06, -07, -08 and -32 are laws, a bill or a policy, and say nothing about whether the website works. The URL appears only as text in the annual report and was never returned as a fetched page, so it is not reported as a verified URL. ACTION FOR REVIEWER: open BMRCL's official website (the annual report is the proof it is official), note the date of the check, confirm it loads without error, find dated content (notices, tenders, circulars) from the last 12 months, and capture a dated screenshot. Then score 10 if both conditions hold. If the site opens but nothing current can be found, leave the score blank (RUBRIC-GAP) rather than make up an in-between band. The full DPG4 band text was not in the task input. The bands used here (10 = live and updated within 12 months; 0 = no official website) come from the Step 2 answer, so please confirm them against the question bank.</t>
  </si>
  <si>
    <r>
      <rPr>
        <sz val="11"/>
        <color theme="1"/>
        <rFont val="Calibri"/>
        <family val="2"/>
        <charset val="1"/>
      </rPr>
      <t xml:space="preserve">ANSWER: Yes. BMRDA has an official website on a Government of Karnataka .gov.in domain. Saved copies of its home page and several inner pages returned readable content, so the site opens without error. It also shows content dated within the last 12 months: a 'CA Site Paper Notification' listed as posted '2 months ago', newspaper-notice PDFs whose filenames carry the dates 29-07-2026 and 30-07-2026, Rules from 2026 published under 'Department Documents', and an 'INDEPENDENCE DAY 2025' photo gallery. This meets the 10-point band. | EVIDENCE: (1) The BMRDA-05 home page (English) returned a full readable page with menus for Local Planning Areas, Structure Plan, Maps, Fee Cess Surcharge, Jurisdiction, RTI, Contact Us, Feedback and Events. Its 'News and Events' and 'Latest News' boxes list 'CA Site Paper Notification - 2 months ago'. Under 'Notifications &gt; CA Site Paper Notifications' it links uploads with dated filenames (e.g. 'DH_Bengaluru _20260729', 'EPaper-Bangalore_30-07-2026', 'NIE Bengaluru 29-07-2026', 'TOI ● Bangalore ● 29‧07‧2026'). Under 'Department Documents' it lists 'The Karnataka Planning Authorities (Allotment of Civic Amenity Sites within the Bengaluru Metropolitan Region) Rules, 2026.' The gallery shows 'INDEPENDENCE DAY 2025' and 'republic day 26/01/2025'. The page also names the current Metropolitan Commissioner and links a '2023-24 Anual Report'. (2) BMRDA-01 is the Kannada home page. It shows the same news item, '</t>
    </r>
    <r>
      <rPr>
        <sz val="11"/>
        <color theme="1"/>
        <rFont val="Noto Sans"/>
        <family val="2"/>
      </rPr>
      <t xml:space="preserve">ನಾಗರೀಕ ಸೌಲಭ್ಯ </t>
    </r>
    <r>
      <rPr>
        <sz val="11"/>
        <color theme="1"/>
        <rFont val="Calibri"/>
        <family val="2"/>
        <charset val="1"/>
      </rPr>
      <t xml:space="preserve">(CA) </t>
    </r>
    <r>
      <rPr>
        <sz val="11"/>
        <color theme="1"/>
        <rFont val="Noto Sans"/>
        <family val="2"/>
      </rPr>
      <t xml:space="preserve">ನಿವೇಶನ ಪತ್ರಿಕಾ ಪ್ರಕಟಣೆ </t>
    </r>
    <r>
      <rPr>
        <sz val="11"/>
        <color theme="1"/>
        <rFont val="Calibri"/>
        <family val="2"/>
        <charset val="1"/>
      </rPr>
      <t xml:space="preserve">- 2 </t>
    </r>
  </si>
  <si>
    <t xml:space="preserve">Home - Bangalore Metropolitan Region Development Authority(BMRDA) [BMRDA-05]</t>
  </si>
  <si>
    <t xml:space="preserve">https://bmrda.karnataka.gov.in/english</t>
  </si>
  <si>
    <t xml:space="preserve">The Karnataka Planning Authorities (Allotment of Civic Amenity Sites within the Bengaluru Metropolitan Region) Rules, 2026.</t>
  </si>
  <si>
    <r>
      <rPr>
        <sz val="11"/>
        <color theme="1"/>
        <rFont val="Calibri"/>
        <family val="2"/>
        <charset val="1"/>
      </rPr>
      <t xml:space="preserve">I scored 10. I checked the source myself instead of copying the Step 2 answer. The question's Detailed Methodology text was not in my task input, so I took the bands from the Step 2 answer. On that reading, 10 points needs three things: an official website exists, it opens without error, and it has content updated within the last 12 months. A person should check this against the question bank. What the sources show: (1) The site exists: BMRDA-05 is bmrda.karnataka.gov.in, a Government of Karnataka .gov.in domain (allowed domain A). Its footer reads 'Content Owned and maintained by: Bengaluru Metropolitan Region Development Authority(BMRDA), Government of Karnataka'. (2) It opens: the English home page (BMRDA-05) and the Kannada home page (BMRDA-01) both came back as full, readable pages with working menus. The Citation Sheet also holds inner pages BMRDA-07, -16, -17 and -18. (3) It is current: the 'Department Documents' list includes a Rules instrument dated 2026 (the quote above). The 'News and Events' box lists 'CA Site Paper Notification – 2 months ago'. The CA notice PDFs have filenames dated 29-07-2026 and 30-07-2026, in both the English and Kannada versions. The upload IDs embedded in the filenames are consistent with mid-to-late 2026 uploads, including 'Proposed Draft Mobility Plan' files. The gallery shows 'INDEPENDENCE DAY 2025'. The footer reads © 2026. I read BMRDA-01 to confirm: it shows the same '2 months ago' CA item and the same 2026 Rules. Caveats: the footer's 'Last Updated' field (Kannada page: '</t>
    </r>
    <r>
      <rPr>
        <sz val="11"/>
        <color theme="1"/>
        <rFont val="Noto Sans"/>
        <family val="2"/>
      </rPr>
      <t xml:space="preserve">ಇತ್ತೀಚಿನ ನವೀಕರಣ</t>
    </r>
    <r>
      <rPr>
        <sz val="11"/>
        <color theme="1"/>
        <rFont val="Calibri"/>
        <family val="2"/>
        <charset val="1"/>
      </rPr>
      <t xml:space="preserve">:') is blank, so currency rests on dated content, not a site-wide update stamp. The July 2026 dates come from filenames, not dated text on the page. 'Two months ago' is relative to a capture date that the Citation Sheet does not record. Some linked documents are older (Citizen Charter 2020-21, RTI 4(1)(b) 2019-20, Annual Report 2023-24). On the rubric as described, that does not change the band. Checks for a person: (a) record the verification date and take a dated screenshot, as the question bank's evidence rule requires; (b) confirm the DPG4 bands; (c) the team's scope note says BMRDA's place in the parastatal register is still under review. That is a scope question and does not affect this rubric.</t>
    </r>
  </si>
  <si>
    <t xml:space="preserve">Step 2 found no evidence: a source needs to be found and added. Step 2 found no evidence (Insufficient Evidence). Source needed: Needed: (1) a dated, saved copy of SUDA's official homepage, ideally with a screenshot or web-archive capture, showing that it opens without error; (2) dated content from the last 12 months, such as a notice, circular, tender or 'last updated' stamp; (3) proof the domain is official, e.g. a link to SUDA's website from a Gujarat Urban Development &amp; Urban Housing Department page or another gov.in/nic.in page, or an official instrument naming the domain.</t>
  </si>
  <si>
    <t xml:space="preserve">ANSWER: Yes. GMRC has an official website, gujaratmetrorail.com, that is active and recently updated. Saved copies of its home page, Tenders page, Reports &amp; Downloads page and RTI disclosure page all opened and show the full page text, not error pages. They carry content dated within the last 12 months. The Tenders page lists notices posted from 07/10/2026 to 12/10/2026, with documents filed under /2026/10/. The page footer reads 'Last Updated on : 12-Oct-2026'. The site also covers Surat: it has a 'Surat Phase-1' project overview and Surat Metro Phase-1 tenders dated Feb–Mar 2026. | EVIDENCE: (1) GMRC-12, Tenders page: a GeM bid 'GEM/2026/B/8141296 Hiring / Rental of Truck-Mounted Man Lift' with a sale period of 12/10/2026 to 03/11/2026. NIT GMRC/CONS/STNS+VDCT-5/2026, -6/2026 and -7/2026 run from 07/10/2026, and the -5 and -6 NIT PDFs are filed under /uploads/2026/10/. Surat tenders include 'GMRC/S&amp;T/IBS/SURAT/PH-1/2026' (11/02/2026). Footer: 'Last Updated on : 12-Oct-2026 @ 6:16 PM'. (2) GMRC-01, Reports &amp; Downloads: the 15th Annual Report 2024-25 is filed under /uploads/2026/05/. Footer: 'This website belongs to Gujarat Metro Rail Corporation (GMRC) Limited'; 'Last Updated on : 12-Oct-2026 @ 6:05 PM'. (3) GMRC-02, home page: project overview for Ahmedabad Phase-1, Phase-2 and 2A&amp;2B (sanctioned 2026), plus a 'Surat Phase-1' block with 38 stations and 40.35 km. (4) GMRC-06, 14th Annual Report 2023-24, p.68: GMRC itself names its website: 'The CSR Policy of the Company is av</t>
  </si>
  <si>
    <t xml:space="preserve">Tenders - Gujarat Metro Rail Corporation (GMRC) Limited [GMRC-12]</t>
  </si>
  <si>
    <t xml:space="preserve">https://www.gujaratmetrorail.com/tenders/</t>
  </si>
  <si>
    <t xml:space="preserve">GEM/2026/B/8141296Hiring / Rental of Truck-Mounted Man Lift (Cherry Picker) for the period of Five Years</t>
  </si>
  <si>
    <t xml:space="preserve">Proposed score: 10. The saved copy of GMRC's own website is active, opens with the full page text, and has content dated within the last 12 months. I checked this myself rather than taking the Step 2 answer on trust. (1) GMRC-12, Tenders page: the first entry is GeM bid GEM/2026/B/8141296, with document sale running 12/10/2026 to 03/11/2026. NIT GMRC/CONS/STNS+VDCT-5/2026, -6/2026 and -7/2026 have sale dates from 07/10/2026, and the -5 and -6 NIT PDFs are filed under /uploads/2026/10/. The page also lists Surat Metro Phase-1 tenders: the multi-modal integration works tender (GMRC/MMI-2/SURAT/PH-1/2026, 15/05/2026, with addenda up to 30/07/2026), the in-building mobile coverage tender (IBS/SURAT, 11/02/2026), the AFC consultant tender (07/03/2026) and the Surat office facility-management tender (29/04/2026). The footer reads 'Last Updated on : 12-Oct-2026 @ 6:16 PM'. (2) GMRC-02, home page: the page text loaded in full. It has a 'Surat Phase-1' project block (38 stations, 40.35 km) with links to tenders, RTI, Reports and Feedback/Grievance, and press notes and timetables from May and July 2026. It also links to gujaratindia.gov.in and mohua.gov.in. That only shows GMRC links out to government sites; it is not a government page vouching for GMRC's domain. So the Step 2 answer holds: the site exists, is accessible, is current, and appears to work. Points for a person to check: (a) My task input did not include the full text of question DPG4, its Detailed Methodology or the scorer notes. I used the bands set out in the Step 2 notes (existence, accessibility, currency, functionality = band 10). Please confirm DPG4's rubric gives 10 for this. If it does not, treat this as a RUBRIC-GAP. (b) Under source rule B, the domain should be shown to be GMRC's by a link from a gov.in/nic.in page or by naming in an Act or GO. The Citation Sheet has neither. It rests on the site footer and GMRC's own 14th Annual Report (GMRC-06, p.68). The team should add such a link. (c) The question bank asks for a dated screenshot or web-archive capture, and the sheet has none. The saved copies show only that the check was on or after 12-Oct-2026. The reviewer should record the date of check and capture a screenshot. (d) I did not re-test each document link, so the functionality check is only partial.</t>
  </si>
  <si>
    <t xml:space="preserve">DPG5a</t>
  </si>
  <si>
    <t xml:space="preserve">Step 2 found no evidence: a source needs to be found and added. Step 2 found no evidence (Insufficient Evidence). Source needed: Dated saved copies of: (a) the BWSSB budget page linked from the official site's Accounts menu, and (b) the RTI s.4(1)(b)(x) budget file, plus any FY 2025-26 or FY 2026-27 Annual Financial Statement or budget document from BWSSB, or as laid in the Karnataka Legislature. For each, record the FY covered and the actual file type (XLSX/CSV/structured HTML vs text PDF vs scanned PDF), and capture a dated screenshot.</t>
  </si>
  <si>
    <t xml:space="preserve">Step 2 found no evidence: a source needs to be found and added. Step 2 found no evidence (Insufficient Evidence). Source needed: A BMTC budget estimate (Budget Estimates / Revised Estimates) for FY 2026-27 or FY 2025-26 on the BMTC website or a Karnataka government site, with its file format recorded. Places to look: BMTC's 'More about BMTC' and Annual Administrative Report pages, its RTI Act s.4(1)(b) proactive disclosure (budget allocated to each agency), or Transport Department documents laid before the Karnataka Legislature.</t>
  </si>
  <si>
    <t xml:space="preserve">Step 2 found no evidence: a source needs to be found and added. Step 2 found no evidence (Insufficient Evidence). Source needed: BDA's budget (annual estimate of income and expenditure) for FY 2026-27 or FY 2025-26, from BDA's official website or an official Karnataka government page, saved with the date it was accessed. The saved copy must show the file format (XLS/XLSX/CSV/structured HTML, text PDF or scanned PDF) so the format component can be judged. Other possible sources: BDA Board meeting proceedings approving the estimate under s.43, or the Government's sanction order under s.44, if published online.</t>
  </si>
  <si>
    <t xml:space="preserve">Step 2 found no evidence: a source needs to be found and added. Step 2 found no evidence (Insufficient Evidence). Source needed: Needed: (1) BMRCL's own budget for FY 2026-27 or FY 2025-26 as published online (BE/RE for project and O&amp;M), saved with the date of access and its file type (XLS/CSV/structured HTML vs text PDF vs scanned PDF); or (2) a Karnataka state budget or Demand-for-Grants document, or a GoI MoHUA document, showing BMRCL's budget for those years; and (3) a dated capture of BMRCL's official website finance or annual-report pages, to confirm whether a budget is or is not published.</t>
  </si>
  <si>
    <t xml:space="preserve">Step 2 found no evidence: a source needs to be found and added. Step 2 found no evidence (Insufficient Evidence). Source needed: A saved, dated copy of BMRDA's 'Budget' page and the budget document(s) it links to (BMRDA budget estimates for FY 2026-27 or FY 2025-26). This should record the FY covered and the file type (XLS/XLSX/CSV/structured HTML vs text PDF vs scanned PDF). Failing that, the Authority's approved budget for those years as forwarded to the State Government / UDD.</t>
  </si>
  <si>
    <t xml:space="preserve">Step 2 found no evidence: a source needs to be found and added. Step 2 found no evidence (Insufficient Evidence). Source needed: SUDA's budget (annual financial statement / budget estimates) for FY 2025-26 or 2026-27, as published on SUDA's official website (domain proven official) or on a Gujarat government portal (gov.in / nic.in), with the file type recorded (XLS/CSV/structured HTML vs text PDF vs scanned PDF). A dated capture of SUDA's website budget or finance and RTI proactive-disclosure pages would show whether it exists and how current it is. If nothing is published, a dated, documented search of those pages is needed before a 0 can be given.</t>
  </si>
  <si>
    <t xml:space="preserve">Step 2 found no evidence: a source needs to be found and added. Step 2 found no evidence (Insufficient Evidence). Source needed: GMRC's approved annual budget (Budget Estimates / Revised Estimates) for FY 2026-27 or FY 2025-26, published on GMRC's official website or a Government of Gujarat / GoI portal (e.g. the Gujarat budget publications showing GMRC's equity, subordinate-debt and loan allocations), with its file format noted. Alternatively, the full GMRC website sitemap or finance pages and the linked 'Budget Allocation &amp; Expenditure' PDF, to establish whether any annual budget is published and in what format.</t>
  </si>
  <si>
    <t xml:space="preserve">DPG5b</t>
  </si>
  <si>
    <t xml:space="preserve">Step 2 found no evidence: a source needs to be found and added. Step 2 found no evidence (Insufficient Evidence). Source needed: Either (a) a saved, dated copy of the BWSSB website page that publishes its audited annual accounts or audit report (for example the Financial Advisor and Chief Accountant / finance section), showing the latest FY and the file format; or (b) the audited BWSSB accounts and audit report laid before the Karnataka Legislature under s.25(5)(a), from the Legislature's papers-laid pages, with FY and format recorded. The BWSSB regulations on publishing accounts under s.25(5)(b) would also help.</t>
  </si>
  <si>
    <r>
      <rPr>
        <sz val="11"/>
        <color theme="1"/>
        <rFont val="Calibri"/>
        <family val="2"/>
        <charset val="1"/>
      </rPr>
      <t xml:space="preserve">ANSWER: The BMTC website does post a financial statement, but the newest one found covers FY 2019-20. That is well behind the allowed window (FY 2025-26, or FY 2024-25 with the one-year lag). The score is still left blank because the Citation Sheet doesn't show three things: (1) that no newer accounts exist elsewhere on the site, since the 'Annual Administrative Report' page was not saved; (2) that the FY 2019-20 statement is the audited version; and (3) what file format it is. The only thing known about format is that it is a PDF link, not XLS/CSV. | EVIDENCE: Parastatal side: (a) BMTC-01, the BMTC English homepage (mybmtc.karnataka.gov.in, a karnataka.gov.in Government site, footer 'Last Updated: 30-09-2026'). Its 'Recent Updates' block links to a PDF (storage/pdf-files/bs-eng.pdf) titled 'Balance Sheet and Profit and Loss Account for the Year ended 31st March 2020'. The same block links to an 'Annual Administrative Report' page (/80/annual-administrative-report/en), and that page is not in the Citation Sheet. (b) BMTC-12, the Kannada homepage, has the matching link (bs-kan.pdf): '</t>
    </r>
    <r>
      <rPr>
        <sz val="11"/>
        <color theme="1"/>
        <rFont val="Noto Sans"/>
        <family val="2"/>
      </rPr>
      <t xml:space="preserve">ಆಸ್ತಿ ಮತ್ತು ಜವಾಬ್ಧಾರಿ ಪಟ್ಟಿ ಮತ್ತು ಲಾಭ ಮತ್ತು ನಷ್ಟದ ತ ಖ್ತೆ </t>
    </r>
    <r>
      <rPr>
        <sz val="11"/>
        <color theme="1"/>
        <rFont val="Calibri"/>
        <family val="2"/>
        <charset val="1"/>
      </rPr>
      <t xml:space="preserve">2020</t>
    </r>
    <r>
      <rPr>
        <sz val="11"/>
        <color theme="1"/>
        <rFont val="Noto Sans"/>
        <family val="2"/>
      </rPr>
      <t xml:space="preserve">ರ ಮಾರ್ಚ್ </t>
    </r>
    <r>
      <rPr>
        <sz val="11"/>
        <color theme="1"/>
        <rFont val="Calibri"/>
        <family val="2"/>
        <charset val="1"/>
      </rPr>
      <t xml:space="preserve">31 </t>
    </r>
    <r>
      <rPr>
        <sz val="11"/>
        <color theme="1"/>
        <rFont val="Noto Sans"/>
        <family val="2"/>
      </rPr>
      <t xml:space="preserve">ರಂದು ಇದ್ದರಂತೆ</t>
    </r>
    <r>
      <rPr>
        <sz val="11"/>
        <color theme="1"/>
        <rFont val="Calibri"/>
        <family val="2"/>
        <charset val="1"/>
      </rPr>
      <t xml:space="preserve">' ('Balance sheet and profit and loss account as on 31 March 2020'). (c) BMTC-18 and BMTC-10 are BMTC site pages (Departments, Tenders). Their saved excerpts are site-policy text only and show no accounts. Law, for context only (this is an Implementation question): BMTC-02, Road Transport Corporations Act 1950, s</t>
    </r>
  </si>
  <si>
    <t xml:space="preserve">Bangalore Metropolitan Transport Corporation — official website [BMTC-01]</t>
  </si>
  <si>
    <t xml:space="preserve">https://mybmtc.karnataka.gov.in/english</t>
  </si>
  <si>
    <t xml:space="preserve">Balance Sheet and Profit and Loss Account for the Year ended 31st March 2020</t>
  </si>
  <si>
    <t xml:space="preserve">I left the score blank. The Citation Sheet does not show that newer accounts are absent, so I cannot give a 0, and it does not show anything that would earn credit either.
What the sheet shows: the BMTC homepage (BMTC-01, footer 'Last Updated: 30-09-2026') links to a PDF titled 'Balance Sheet and Profit and Loss Account for the Year ended 31st March 2020'. That covers FY 2019-20, which is well outside the assessment window (FY 2025-26, or FY 2024-25 with the one-year lag). The Kannada homepage (BMTC-12) has the matching link. The source supports the Step 2 answer.
Why I did not score:
(1) Currency. The same 'Recent Updates' block links to an 'Annual Administrative Report' page (/80/annual-administrative-report/en). That page is not in the Citation Sheet, so I cannot rule out newer accounts posted there. BMTC-14 (Performance Indicator page) lists 'Performance Indicators from 2018-19 to 2025-26 (Estimated)', with a 'Financial Performance' PDF link. That is a performance-indicator file with estimated figures, not audited annual accounts, and the PDF was not saved, so it cannot earn credit. A person should still open it.
(2) Audited status. The FY 2019-20 link title does not say 'audited', and the PDF itself was not opened.
(3) Format. The only accounts file seen is a PDF. Whether it is scanned or has text that can be extracted is unknown. No XLS, CSV or structured HTML version appears in the sheet.
What I checked: BMTC-01, BMTC-12, BMTC-14 and BMTC-15. I also ran a search across the whole sheet for 'annual accounts balance sheet audited annual report'. The only hits apart from BMTC-01 were law provisions: BMTC-02 (RTC Act s.33, which requires accounts and a CAG audit but says nothing about publishing them online), BMTC-04 and BMTC-06. Those govern accounts duties, not BMTC's online disclosure.
This is a VERIFICATION-LIMIT: the bs-eng.pdf file, the Annual Administrative Report page and the Financial Performance PDF are all not in the sheet.
For the human scorer:
- Open /80/annual-administrative-report/en and bs-eng.pdf.
- Check whether any audited accounts for FY 2024-25 or FY 2025-26 are posted, and what format they are in.
- If FY 2019-20 is confirmed as the latest, the availability/currency component would likely score 0. The format component would then depend on how the rubric treats the PDF.
- Capture a dated screenshot.</t>
  </si>
  <si>
    <t xml:space="preserve">Step 2 found no evidence: a source needs to be found and added. Step 2 found no evidence (Insufficient Evidence). Source needed: Any of these would answer the question: BDA's audited annual accounts and auditor's report for FY 2024-25 (or FY 2023-25, allowing the one-year lag), as posted on BDA's official website or on a Karnataka government (.gov.in/.nic.in) page; the Karnataka Legislature papers-laid records showing BDA accounts tabled under s.47(5); or the State Audit and Accounts Department or CAG audit report on BDA. The saved copy must show the FY covered and the file type (XLS/CSV/structured HTML vs text PDF vs scanned PDF).</t>
  </si>
  <si>
    <t xml:space="preserve">Step 2 found no evidence: a source needs to be found and added. Step 2 found no evidence (Insufficient Evidence). Source needed: A dated capture of BMRCL's official website page for annual reports or financial statements, showing audited accounts for FY 2024-25 or FY 2025-26 and their file formats (PDF vs XLS/CSV/HTML). Alternatively, a later BMRCL annual report laid before the Karnataka Legislature, with its online location.</t>
  </si>
  <si>
    <t xml:space="preserve">Step 2 found no evidence: a source needs to be found and added. Step 2 found no evidence (Insufficient Evidence). Source needed: BMRDA's audited annual accounts (balance sheet, income and expenditure, receipts and payments) with the auditor's certificate or report, ideally for FY 2024-25 (or FY 2023-24 if one year's lag is allowed), published on bmrda.karnataka.gov.in or on an official state portal such as the Legislature papers-laid pages. Also needed: the Controller of State Accounts' or CAG's audit report on BMRDA, and the BMRDA Act 1985 and its Rules, to fix when the audit falls due. For the format half: the file type of any audited statement found (XLS/CSV/structured HTML, text PDF, or scanned PDF).</t>
  </si>
  <si>
    <t xml:space="preserve">Step 2 found no evidence: a source needs to be found and added. Step 2 found no evidence (Insufficient Evidence). Source needed: Needed: SUDA's audited annual accounts (balance sheet and income &amp; expenditure statement with the auditor's report) for the latest FY due, found online on SUDA's official website (e.g. an accounts, annual report or RTI proactive-disclosure page) or a Gujarat government portal. It should be captured with a dated access record and its file type noted (XLSX/CSV/structured HTML vs text PDF vs scanned PDF). Failing that, SUDA's latest Annual Report under r.49 with audited financial statements, or the Local Fund Audit / CAG audit report on SUDA.</t>
  </si>
  <si>
    <t xml:space="preserve">ANSWER: Yes for availability, no for format. GMRC's audited annual accounts for FY 2024-25 (year ended 31 March 2025) are online on its official website, inside its 15th Annual Report. FY 2024-25 is one year behind the immediately preceding FY (2025-26), which the methodology allows. The accounts are offered only as a PDF annual report. The listing gives no XLS, CSV or structured HTML version, so the format component does not meet the standard. Proposed score: 0.5 (availability) + 0 (format) = 0.5 out of 1. | EVIDENCE: (1) GMRC-01, GMRC's Reports &amp; Downloads page, 'Annual Reports' list: links to annual reports from the 5th (2014-15) to the 15th (2024-25). The newest item is '15TH Annual Report 2024-25', a .pdf file (https://www.gujaratmetrorail.com/wp-content/uploads/2026/05/Annual-Report-for-FY-2024-2025.pdf). Every annual report on the page is a .pdf, and no spreadsheet or dataset version of the accounts is listed. (2) GMRC-05, the 15th Annual Report 2024-25 PDF at that same URL. Its contents page lists the C&amp;AG report and management response (pp.45-49), the Independent Auditor's Report (pp.71-76), and the Balance Sheet, Profit and Loss, Changes in Equity and Cash Flow statements for the year ended 31 March 2025 (pp.92-96), with notes (pp.97-152). The auditor's opinion (DGSM &amp; Co, signed 11/08/2025) covers 'the Balance Sheet as at March 31, 2025'. The AGM notice (dated 22/12/2025, for an AGM on 24 December 2025) asks members to adopt 'the Audited Financial Statements of the</t>
  </si>
  <si>
    <t xml:space="preserve">GUJARAT METRO RAIL COPRORATION (GMRC) LIMITED 15th Annual Report 2024-25 [GMRC-05]</t>
  </si>
  <si>
    <t xml:space="preserve">https://www.gujaratmetrorail.com/wp-content/uploads/2026/05/Annual-Report-for-FY-2024-2025.pdf</t>
  </si>
  <si>
    <t xml:space="preserve">We have audited the accompanying Ind AS financial s tatements of Gujarat Metro Rail Corporation Limited (“the Company”), which comprise the Balance Sheet as at March 31, 2025, the Statement of Profit and Loss (including Other Comprehensive Income), the Statement of Changes in Equity and the Statement of Cash Flows for the year ended on that date</t>
  </si>
  <si>
    <t xml:space="preserve">Score 0.5 out of 1: 0.5 for availability and currency, 0 for format.
Availability (0.5): I checked this against the sources. GMRC-01 is GMRC's official Reports &amp; Downloads page (captured 'Last Updated on: 12-Oct-2026'). It links '15TH Annual Report 2024-25' at https://www.gujaratmetrorail.com/wp-content/uploads/2026/05/Annual-Report-for-FY-2024-2025.pdf. That PDF is GMRC-05. Its contents page lists the Balance Sheet, P&amp;L, Changes in Equity and Cash Flow statements for the year ended 31 March 2025, plus notes (pp. 92-152). The auditor's opinion signed by DGSM &amp; Co on 11/08/2025 covers the Balance Sheet as at 31 March 2025. These are audited accounts for FY 2024-25. With assessment around late 2026, that is one FY behind the immediately preceding FY (2025-26). The Step 2 answer says the methodology allows a one-FY lag, so FY 2024-25 qualifies.
Format (0): every annual report on GMRC-01, from the 5th (2014-15) to the 15th (2024-25), is a .pdf. No XLS, CSV or structured HTML version of the accounts is listed. I also checked GMRC-03, the RTI 4(1)(b) disclosure. Chapter 11 has HTML tables of funding pattern and project expenditure, but those are marked 'Provisional &amp; Unaudited'. They are not the audited annual accounts, so they don't meet the format standard. Other pages checked for a structured copy of the accounts: GMRC-01 (Reports &amp; Downloads), GMRC-03 (RTI disclosure) and GMRC-06 (14th Annual Report, also PDF). None was found, so format = 0.
Points for a person to check:
(1) The question text, Detailed Methodology and Notes for scorers were not included in my task input. I took the bands from the Step 2 answer: 0.5 for audited accounts of the immediately preceding FY, or one FY behind, available online; 0.5 for XLS, CSV or structured HTML format. Please check these bands against the question bank.
(2) Currency depends on the assessment date. If the team counts FY 2025-26 accounts as already due (Companies Act AGM deadline 30 Sep 2026) and allows no lag, availability would drop to 0 and the total to 0.
(3) The accounts cover all of GMRC (Ahmedabad and Surat together), not Surat alone.
(4) The primary statement pages appear to be image-only or non-extractable. Either way they are PDF, so the format band is 0.
(5) The evidence requirement asks for a dated screenshot, and none is in the Citation Sheet.</t>
  </si>
  <si>
    <t xml:space="preserve">DPG5c</t>
  </si>
  <si>
    <t xml:space="preserve">ANSWER: The newest BWSSB annual report whose content I could check in the Citation Sheet is for FY 2016-17. It was laid in the Karnataka Legislative Council and is hosted on kla.kar.nic.in. As of September 2026, the immediately preceding FY is 2025-26, so this report is far older than the rubric allows. BWSSB's own RTI page has an 'Annual report' table with entries labelled '2022-23', '2019' and '2017'. The Citation Sheet does not contain the text of those files, so I cannot tell what they are. Even if the 2022-23 file were the Board's annual report, it would still be older than FY 2025-26 or the latest report due. I am not proposing a score. A 0 for availability needs proof that nothing newer exists, and the sources do not give that proof: the legislature papers-laid listings for recent sessions and the rest of the BWSSB site are not in the Citation Sheet. | EVIDENCE: (1) BWSSB-29, Annual Report 2016-17, Legislative Council paper (kla.kar.nic.in). Body page heading: 'ANNUAL REPORT FOR THE YEAR 2016-17'. It covers objectives, board decisions, zone performance, staff strength as of 31.03.2017 and revenue/capital accounts for 2016-17. Format: a PDF with extractable text. The English sections can be read and searched. The Kannada sections are in a legacy, non-Unicode font, so their extracted text comes out garbled. It is not an image-only scan. (2) BWSSB-12, BWSSB RTI page on bwssb.karnataka.gov.in. Its 'Annual report' table lists '2022-23' linked to 'rti-YearlyReport-PROSec.pdf</t>
  </si>
  <si>
    <r>
      <rPr>
        <sz val="11"/>
        <color theme="1"/>
        <rFont val="Calibri"/>
        <family val="2"/>
        <charset val="1"/>
      </rPr>
      <t xml:space="preserve">BANGALORE WATER SUPPLY AND SEWERAGE BOARD – Annual Report 2016-17 (</t>
    </r>
    <r>
      <rPr>
        <sz val="11"/>
        <color theme="1"/>
        <rFont val="Noto Sans"/>
        <family val="2"/>
      </rPr>
      <t xml:space="preserve">ವಾರ್ಷಿಕ ವರದಿ </t>
    </r>
    <r>
      <rPr>
        <sz val="11"/>
        <color theme="1"/>
        <rFont val="Calibri"/>
        <family val="2"/>
        <charset val="1"/>
      </rPr>
      <t xml:space="preserve">2016-17), paper laid in Karnataka Legislative Council [BWSSB-29]</t>
    </r>
  </si>
  <si>
    <t xml:space="preserve">https://kla.kar.nic.in/council/house/Paperlaid/139/30/302016-17rept.pdf</t>
  </si>
  <si>
    <t xml:space="preserve">ANNUAL REPORT FOR THE YEAR 2016-17</t>
  </si>
  <si>
    <t xml:space="preserve">I have left the score blank. It needs a person to open the newer report links.
(1) Newest report I could read: BWSSB-29 is the Board's own annual report for FY 2016-17, laid in the Karnataka Legislative Council. Its English sections have text you can search. The Kannada sections use an old non-Unicode font, so their extracted text is garbled. The preface says 'The Annual report of 2017-18', but the title and body both say 2016-17. This report is about nine years older than the target year (FY 2025-26, assessed as of Sept 2026), so it cannot earn credit for being current.
(2) Why the score cannot be 0: BWSSB's RTI page (BWSSB-12, re-read) has an 'Annual report' table with three entries:
- '2022-23', linked to https://bwssb.karnataka.gov.in/storage/pdf-files/rti-YearlyReport-PROSec.pdf
- '2019', linked to the 'new-page/Annual Report 2019/kn' page
- '2017', linked to the 'new-page/Annual Report 2017/kn' page
The same page also links a '4 (1) (b) xvii - Annual Performance Report' PDF. None of these files is in the Citation Sheet, so I cannot tell whether any of them is the Board's annual report under s.86. The file name of the 2022-23 entry points to an RTI yearly report from the PRO section, but that is only a guess. VERIFICATION-LIMIT: these are website links that were not opened, which limits verification. It is not evidence that no newer report exists.
(3) Also not in the Citation Sheet: the Karnataka Legislature's lists of papers laid from 2018 onwards, Gazette publications under s.86(1), and any BWSSB Reports or Publications page. Because these are missing, I cannot show that no newer report exists, so the 0 cannot be justified.
(4) Format: the 2016-17 PDF can be downloaded and its text is machine-readable. However, that report fails the currency test, and the rubric does not say whether format is scored for an out-of-date report. I have not credited format. RUBRIC-GAP, for the team to confirm.
(5) Step 2's reading matches the sources.
What the reviewer needs to do:
(a) Open the 2022-23, 2019 and 2017 links and the 4(1)(b)(xvii) Annual Performance Report on BWSSB-12. Check whether any is the Board's s.86 report, note its year and file format, and capture a dated screenshot.
(b) Search the Legislative Assembly and Council lists of papers laid for BWSSB annual reports for FY 2017-18 to FY 2025-26.
(c) If nothing newer than 2016-17 is found anywhere, score 0 for availability, recording 2016-17 as the latest report found.
Checked: BWSSB-29, BWSSB-12, BWSSB-02 (s.86), and searches across the whole Citation Sheet for newer annual reports.</t>
  </si>
  <si>
    <t xml:space="preserve">Step 2 found no evidence: a source needs to be found and added. Step 2 found no evidence (Insufficient Evidence). Source needed: A saved copy of BMTC's 'Annual Administrative Report' page (the /80/annual-administrative-report/en page on the official site), showing the reports listed with their FYs, plus the latest report file itself (FY 2025-26, or the latest due, e.g. FY 2024-25), so its text can be tested as searchable or scanned. Alternatively, a copy of BMTC's annual report laid before the Karnataka Legislature under RTC Act s.35(3) and published on an official state portal.</t>
  </si>
  <si>
    <t xml:space="preserve">Step 2 found no evidence: a source needs to be found and added. Step 2 found no evidence (Insufficient Evidence). Source needed: Any of these would answer it: (a) BDA's official website page listing annual reports, with the latest report document, so the FY and the file type (searchable PDF vs scanned) can be checked; (b) the Karnataka Legislature papers-laid record showing BDA annual reports tabled under s.47A, with an official online copy; (c) a dated capture of the BDA website showing no annual report section, which would support a 0 on availability.</t>
  </si>
  <si>
    <t xml:space="preserve">ANSWER: The newest BMRCL annual report in the Citation Sheet is the 15th AGM report for FY 2020-21 (year ended 31 March 2021). It is a PDF laid before the Karnataka Legislative Council and published on a Karnataka government (nic.in) site. Its text can be extracted, so it appears to be searchable and downloadable. The question asks for the report for the immediately preceding FY or the latest one due. As of Sept-Oct 2026 that is FY 2025-26, or at the earliest FY 2024-25. No report for any year after 2020-21 is in the Citation Sheet. I cannot tell whether a current report is online: the Sheet holds no copy of BMRCL's own website or of its annual-report page, so a score of 0 for availability cannot be supported either. | EVIDENCE: BMRCL-09 (BMRCL Annual Report, 15th AGM; source is the Karnataka Legislative Council papers-laid PDF). Index lists 'Balance Sheet as at 31st March, 2021'. The Board's Report covers the secretarial audit 'for the Financial Year 2020-21'. Auditor's report dated 24-08-2021. C&amp;AG letter dated 22 October 2021: 'Ten copies of the Annual Report for the year 2020-21 may please be furnished in due course.' The body text from page 3 onward extracts as text, so it is not image-only. Pages 1-2 (cover) extracted no text. Board's Report says the annual return 'is placed on the website of the Company and can be accessed at www.bmrc.co.in'. That is about the annual return, not the annual report, and that website is not in the Citation Sheet. Searched the Sheet for la</t>
  </si>
  <si>
    <t xml:space="preserve">4. Ten copies of the Annual Report for the year 2020-21 may please be furnished in due course.</t>
  </si>
  <si>
    <t xml:space="preserve">I left the Score blank because the evidence cannot settle it.
1. The only BMRCL annual report in the Citation Sheet is BMRCL-09, for FY 2020-21 (Balance Sheet as at 31 March 2021, auditor's report dated 24-08-2021, C&amp;AG letter dated 22 October 2021). It is a PDF of papers laid before the Karnataka Legislative Council, at https://kla.kar.nic.in/council/house/Paperlaid/146/33.pdf.
2. The question needs the report for the immediately preceding FY or the latest one due. For an assessment in Sept-Oct 2026 that is FY 2025-26, or at the earliest FY 2024-25. The FY 2020-21 report is 4-5 years out of date, so it cannot earn credit as the current report.
3. I also cannot score 0, because absence is not proven. The Citation Sheet has no saved copy of BMRCL's own website (www.bmrc.co.in) or its annual-report page. It also has no later legislature papers-laid entries for FY 2021-22 to 2025-26. BMRCL-09 itself says the company puts material on www.bmrc.co.in: the annual return, the Whistle Blower Policy and financial results. That page was never checked. VERIFICATION-LIMIT: a person needs to check it.
4. I searched the Citation Sheet ('BMRCL annual report 2024-25 2025-26') and found no later report. The other sources for this agency are Acts, a Bill, the parking policy and a tender page (BMRCL-02, 03, 04, 06, 07, 08, 32, 33). None of them is an annual report, so they cannot fill the gap.
5. Format, for this old document only: the body text from page 3 onward can be extracted, so it is searchable. The cover pages and some pages near the end extracted no text. This tells us nothing about the format of a current report.
The Step 2 answer agrees with the source.
For the reviewer:
- Check www.bmrc.co.in and the Karnataka Legislature papers-laid pages for BMRCL annual reports for FY 2024-25 and 2025-26. Note the publication date and whether each is a searchable, downloadable PDF, and take a dated screenshot.
- Confirm BMRCL's eligibility and legal form (a government company), as the research-team note asks.
- If the website check is not conclusive, the fallback is an RTI request to the BMRCL Public Information Officer.</t>
  </si>
  <si>
    <t xml:space="preserve">ANSWER: I can't confirm whether BMRDA has a current annual report online, so I have not given a score. The latest report I could read is for FY 2022-23 (1 Apr 2022 to 31 Mar 2023). It was laid before the Karnataka Legislative Council and is hosted on kla.kar.nic.in. BMRDA's own website (2026 snapshot) also links to a file named '2023-24 Anual Report.pdf' under 'Budget and Annual Reports'. That PDF was not fetched into the Citation Sheet, so I can't confirm what is in it or what format it is. No report for FY 2024-25 or FY 2025-26 appears in the Citation Sheet. As of September 2026, the immediately preceding FY is 2025-26. The latest report found (2023-24 by its file name; 2022-23 actually read) is therefore probably older than the permitted period. However, I can't confirm that it is overdue (see LIMITS). Format: the FY 2022-23 report's narrative pages give extractable text (a Kannada section in legacy-font encoding, then an English section from p.10 on). Pages 20-36 returned no text, which may mean they are scanned annexures. The format of the 2023-24 file is not known. | EVIDENCE: (1) BMRDA-05 (BMRDA official website homepage, Department Documents menu): 'Budget and Annual Reports [.../storage/pdf-files/2023-24 Anual Report.pdf] Annual Report'. This shows only that a link exists; the file was not opened. (2) BMRDA-03 (kla.kar.nic.in Council Paper Laid 152/37), p.10: 'Annual Report of Bangalore Metropolitan Region Development Authority for the year 2022-2023 [01-04-2022 to 3</t>
  </si>
  <si>
    <t xml:space="preserve">[https://bmrda.karnataka.gov.in/40/budget-and-annual-reports/en] Budget and Annual Reports [https://bmrda.karnataka.gov.in/storage/pdf-files/2023-24 Anual Report.pdf] Annual Report</t>
  </si>
  <si>
    <t xml:space="preserve">I left Score blank because the Citation Sheet doesn't let me decide it. I checked the Step 2 answer against the sources and agree with it.
What the sources show:
(1) BMRDA-05 (BMRDA homepage, 2026 snapshot: footer '© 2026', notices dated July 2026) links to a file named '2023-24 Anual Report.pdf'. The file itself is not in the Citation Sheet. That means I can't check what it contains, which year it really covers, or whether its text can be read by a machine. This is a VERIFICATION-LIMIT, not a negative finding.
(2) BMRDA-03 is the latest report actually read: FY 2022-23 (1 Apr 2022 to 31 Mar 2023), laid in the Karnataka Legislative Council and hosted on kla.kar.nic.in. Pages 1-19 have text that can be extracted. Pages 1-9 are Kannada in a legacy font encoding; the English section starts at p.10 (introduction, functions, RTI status, website, staff position as on 31.03.2023, budget, and the income and expenditure statements in Annexures 2-3). Pages 20-36 returned no text and may be scanned images.
(3) As of September 2026, the immediately preceding financial year is FY 2025-26. No report for FY 2024-25 or FY 2025-26 is in the Citation Sheet.
(4) No due date for BMRDA's annual report has been established. The BMRDA Act 1985 is only linked from the website (BMRDA-05); its text is not in the Citation Sheet. KTCP Act s.68D (BMRDA-08, PRS) covers 'Planning Authorities' and may not govern BMRDA. So I can't say which report is the 'latest report due'.
Why no 0: a 0 needs affirmative absence. The newest linked report was never opened, the legislature's papers-laid lists for 2024-26 weren't checked, and there is no due-date rule. Why no partial credit: I can't confirm either currency or format for the latest report.
One more limit: the full question text and Detailed Methodology for DPG5c were not given in this task. I used the Step 2 framing (whether a report is available and current, and what format it is in). A person should check which rubric bands apply.
For the reviewer:
(a) Open the 2023-24 annual report PDF and the 'Budget and Annual Reports' page; record the year covered and whether the text is machine-readable or scanned.
(b) Find the annual-report due date in the BMRDA Act 1985 or its rules.
(c) Search the Karnataka Legislature papers-laid pages for BMRDA reports for FY 2024-25 and FY 2025-26.
(d) Check whether pp.20-36 of the FY 2022-23 report are scanned images.
(e) Capture a dated screenshot.</t>
  </si>
  <si>
    <t xml:space="preserve">Step 2 found no evidence: a source needs to be found and added. Step 2 found no evidence (Insufficient Evidence). Source needed: Needed: a saved, dated copy of SUDA's official website page (with its domain shown to be official) that lists annual reports, and the latest SUDA Annual Report file itself (ideally FY 2025-26, or the latest due under r.49). The file is needed to record its FY and check whether it is text-searchable or a scanned image. Alternatively, a Gujarat Urban Development &amp; Urban Housing Department page publishing development authority annual reports.</t>
  </si>
  <si>
    <t xml:space="preserve">ANSWER: GMRC's latest annual report online is the 15th Annual Report for FY 2024-25. It is on the 'Reports &amp; Downloads' page of GMRC's website, along with every report from FY 2014-15 onwards. No FY 2025-26 report appears on that page, which was last updated on 12-Oct-2026. Format: the FY 2024-25 report is a downloadable PDF with selectable, searchable text, so it meets the format standard (0.5). Currency depends on the assessment date and how long a report may lag. If FY 2024-25 counts as the 'latest report due', currency scores 0.5 and the total is 1. If the immediately preceding FY is taken literally as FY 2025-26, currency scores 0 and the total is 0.5. | EVIDENCE: (1) GMRC-01, the 'Reports &amp; Downloads' page on GMRC's website, lists 'Annual Reports' from the 5th (2014-15) to the 15th (2024-25). The 15th report links to .../wp-content/uploads/2026/05/Annual-Report-for-FY-2024-2025.pdf. The page footer reads 'Last Updated on : 12-Oct-2026'. (2) GMRC-05, the 15th Annual Report 2024-25 (152 pages): its text could be extracted from the PDF. It contains the Board's Report for the FY ended 31 March 2025, the auditors' report dated 11/08/2025, and the notice of the 15th AGM on 24 December 2025, dated 22/12/2025. (3) GMRC-06, the 14th Annual Report 2023-24, is also text-searchable; its AGM notice is dated 18.12.2024. This shows a pattern: each year's report is adopted around December, about 9 months after the FY ends. | CAVEATS: The report covers all of GMRC (Ahmedabad, Gandhinaga</t>
  </si>
  <si>
    <t xml:space="preserve">Reports &amp; Downloads - Gujarat Metro Rail Corporation (GMRC) Limited [GMRC-01]</t>
  </si>
  <si>
    <t xml:space="preserve">https://www.gujaratmetrorail.com/reports/</t>
  </si>
  <si>
    <t xml:space="preserve">[https://www.gujaratmetrorail.com/wp-content/uploads/2026/05/Annual-Report-for-FY-2024-2025.pdf] 15TH Annual Report 2024-25</t>
  </si>
  <si>
    <t xml:space="preserve">Score left blank. Half of the score is settled and half is not.
What checks out: GMRC-01, the 'Reports &amp; Downloads' page, lists annual reports from the 5th (2014-15) to the 15th (2024-25). The footer reads 'Last Updated on : 12-Oct-2026'. GMRC-05, the FY 2024-25 report, is a 152-page PDF whose text could be extracted, so it is searchable. That supports the format part of the score (0.5). GMRC-05 confirms that the report covers the FY ended 31 March 2025. Its 15th AGM notice is dated 22/12/2025, for an AGM on 24 December 2025. The Step 2 answer says the FY 2023-24 AGM notice is dated 18.12.2024, which gives a pattern of adopting each report in December; I did not re-read GMRC-06 to confirm that date. Searching the whole Citation Sheet found no FY 2025-26 report.
Why the score is blank: the question's detailed methodology and notes for scorers were not included in this task, so I cannot confirm the bands or the permitted lag. The Citation Sheet also does not fix the assessment date. Read literally, the 'immediately preceding FY' as of Sept/Oct 2026 is FY 2025-26, and that report is not listed. That would make currency 0 and the total 0.5. If the team accepts FY 2024-25 as the latest report due (GMRC adopts its reports at a December AGM), currency is 0.5 and the total is 1.0. I could not apply a 0 for currency even if FY 2025-26 counts, because no rule about the cut-off date is in front of me. CONFIRM the assessment date and permitted lag; then the score is 1.0 or 0.5.
Other points to check:
(a) Scope: GMRC is a 50:50 company of the Government of India and the Government of Gujarat. Its report covers Ahmedabad, Gandhinagar and Surat together, not Surat alone. Whether GMRC counts as a Surat parastatal is still a team decision.
(b) The URL folder 2026/05 suggests the FY 2024-25 report went online around May 2026. That is only an inference from the URL.
(c) The question bank asks for a dated screenshot as evidence; a reviewer should capture one.</t>
  </si>
  <si>
    <t xml:space="preserve">DPG5d</t>
  </si>
  <si>
    <t xml:space="preserve">Step 2 found no evidence: a source needs to be found and added. Step 2 found no evidence (Insufficient Evidence). Source needed: A full, dated crawl of the BWSSB official website (bwssb.karnataka.gov.in), with menus fully expanded, showing either a 'Board proceedings / minutes / resolutions' page with minutes dated FY 2025-26 or FY 2026-27, or affirmative absence. Also the saved text of the RTI Section 4(1)(b) files, especially item viii, and any Board meeting minutes or proceedings PDF from the current or preceding FY, with its file type recorded (searchable vs scanned).</t>
  </si>
  <si>
    <t xml:space="preserve">Step 2 found no evidence: a source needs to be found and added. Step 2 found no evidence (Insufficient Evidence). Source needed: Any of these would answer it: (a) a saved copy of the BMTC website page that hosts governing-board minutes or proceedings, dated in FY 2025-26 or FY 2026-27, with the file type recorded (searchable PDF, HTML or DOC versus scanned image); (b) BMTC's RTI Act s.4(1)(b) proactive-disclosure page, if it lists or links board minutes; (c) the content of the Directors List, Sub committees, Circulars and Annual Administrative Report pages, plus a documented site search for 'board meeting' and 'proceedings'. That record would be needed to show affirmative absence if the minutes really aren't published.</t>
  </si>
  <si>
    <t xml:space="preserve">Step 2 found no evidence: a source needs to be found and added. Step 2 found no evidence (Insufficient Evidence). Source needed: Needed: BDA's official website section for board/Authority meeting proceedings or minutes, opened and saved with access date, with at least one set of minutes dated in FY 2025-26 or FY 2026-27. Its file type must also be recorded: searchable PDF, HTML or DOC/DOCX versus scanned or image-only. The site must be shown to be official through a link from a Karnataka .gov.in page or a naming in an Act or GO. A RTI-Act s.4(1)(b) proactive disclosure page from BDA listing board minutes would also help.</t>
  </si>
  <si>
    <t xml:space="preserve">Step 2 found no evidence: a source needs to be found and added. Step 2 found no evidence (Insufficient Evidence). Source needed: A saved, dated copy of the BMRCL Board-minutes or disclosure page on BMRCL's official domain (shown to be official by a .gov.in link or an official instrument), or a Government of Karnataka page hosting BMRCL Board minutes. It would need to show at least one set of Board minutes dated FY 2025-26 or FY 2026-27, record the file type (searchable PDF/HTML/DOC vs scanned image), and give the access date. If nothing is published, an RTI reply from BMRCL would settle whether the minutes exist and whether they are disclosed.</t>
  </si>
  <si>
    <t xml:space="preserve">Step 2 found no evidence: a source needs to be found and added. Step 2 found no evidence (Insufficient Evidence). Source needed: Two things would answer this. (1) A dated, complete capture of the BMRDA website's menu or sitemap, plus any 'Authority/Executive Committee meeting proceedings' page, showing whether minutes from FY 2025-26 or FY 2026-27 are posted and in what format (searchable PDF or HTML vs scanned). (2) The minutes or proceedings of the latest BMRDA Authority or Executive Committee meeting, if published anywhere on an official site. The RTI 4(1)(b) disclosure and the 2023-24 Annual Report linked from the homepage should also be checked for meeting records.</t>
  </si>
  <si>
    <t xml:space="preserve">Step 2 found no evidence: a source needs to be found and added. Step 2 found no evidence (Insufficient Evidence). Source needed: Pages on SUDA's own official website where board (Authority) meeting minutes or resolutions are published, or SUDA's RTI Section 4(1)(b) proactive disclosure, or a Gujarat UD&amp;UHD page hosting SUDA board minutes. Each needs the date of the latest minutes and the file type (searchable PDF/HTML/DOC or scanned image). It also needs proof that the SUDA domain is official (a link from a gov.in/nic.in page). The latest date found should be recorded even if the score is 0.</t>
  </si>
  <si>
    <t xml:space="preserve">Step 2 found no evidence: a source needs to be found and added. Step 2 found no evidence (Insufficient Evidence). Source needed: Saved copies of every GMRC website page where Board minutes could be posted: the 'Present Board of Directors' and 'Board Level Committees' pages and the sitemap. These would establish proven absence (score 0 for both components) or locate minutes for FY 2025-26 or 2026-27 (allowing currency and file format to be checked). Alternatively, an RTI reply from GMRC's PIO confirming whether Board minutes are published.</t>
  </si>
  <si>
    <t xml:space="preserve">DPG5f</t>
  </si>
  <si>
    <t xml:space="preserve">ANSWER: BWSSB's official 'Organization Chart' page lists a current organisation chart labelled 'Re-Organisation Chart 2026', along with a 2026 office memorandum (OM) and annexures on where officers and employees were posted after the re-organisation. The 2026 label puts the chart in FY 2025-26 or FY 2026-27, which is the current or the immediately preceding FY. That supports the availability-and-currency component, but only from the page listing: the chart PDF itself is not in the Citation Sheet. The format component cannot be decided. Nothing in the Citation Sheet shows whether the 2026 chart PDF is searchable or image-only/scanned, and no HTML staff directory text is in the sheet. So the total score is left blank. | EVIDENCE: (1) BWSSB-11, Organization Chart page (official website, bwssb.karnataka.gov.in). Its document table lists: '1 Re-organization of BWSSB FA section 2026 (View)'; '2 Re-Organisation Chart 2026 (Download)'; '3 OM-Deployment of Officers/Employees after Re-Organisation 2026'; '4 Annexure-1 - Deployment of Officers/Employees after Re-Organisation 2026'; '5 Annexure-2 -(Re-Organisation 2026)'; '6 Organisation Chart - 2020'; '7 Organisation Chart - 2016'; '8 Renaming of Division Office - Notification'. Only the listing page was saved, not the PDFs. (2) BWSSB-16, Contact Info page, 'Latest News' ticker. It lists 'Deployment of Officers/Employees after Re-Organisation 2026' (Kannada text) marked '2 weeks ago', near an item 'Water Shutdown on 22-07-2026'. This su</t>
  </si>
  <si>
    <t xml:space="preserve">Organization Chart - Bangalore Water Supply and Sewerage Board [BWSSB-11]</t>
  </si>
  <si>
    <t xml:space="preserve">https://bwssb.karnataka.gov.in/info-1/Organization+Chart/en</t>
  </si>
  <si>
    <t xml:space="preserve">Re-Organisation Chart 2026</t>
  </si>
  <si>
    <t xml:space="preserve">I left the score blank because I could only check half of what the question asks. The two halves are whether the chart is available and current (0.5) and whether it is in a usable format (0.5).
(1) Available and current. BWSSB-11, the official Organization Chart page on a karnataka.gov.in domain, lists 'Re-Organisation Chart 2026'. It also lists 'OM-Deployment of Officers/Employees after Re-Organisation 2026' and Annexures 1 and 2. A 2026 chart falls in the current or the previous financial year, so this half probably earns 0.5. However, that rests only on the document title in the listing. The chart PDF itself was not saved, so I could not read its date or contents.
(2) Format. Nothing in the Citation Sheet shows whether the 2026 chart PDF has searchable text naming posts and officials (which would earn 0.5) or is a scanned image (which would earn 0). I searched the whole sheet for the chart's content and found nothing. BWSSB-12 (the RTI page) lists Chief Engineer pages, but that is a different document and does not show the chart's format. The Senior Management page is linked from BWSSB-11 but is not in the sheet.
Older material does not count towards the score. That covers the 2016 and 2020 charts listed on the same page, the Annual Report 2016-17 (BWSSB-29), the Duties and Responsibilities page (BWSSB-42) and the 2023 Provisional Seniority List (BWSSB-43). These are historical or too old for the period allowed.
I did not score 0 for anything, because the documents I could not open are VERIFICATION-LIMIT gaps, not evidence of absence.
For the reviewer:
- Open https://bwssb.karnataka.gov.in/uploads/1_1775286932.pdf and the deployment memo and annexures linked from BWSSB-11.
- Confirm the document date.
- Check whether the text is searchable and names posts and officials.
- Save a dated screenshot.
If the PDF is searchable and dated within the allowed period, the score would likely be 1. If it is a scanned image, it would likely be 0.5.</t>
  </si>
  <si>
    <t xml:space="preserve">ANSWER: BMTC's own website does publish organisation and staffing information. An HTML 'Departments' page lists 16 departments, the head post of each (e.g. Chief Traffic Manager (Operation), Chief Accounts Officer/ FA, Board Secretary) and a description of each department's work. An 'Officers List' page links to three PDFs: List of Management, List of Officers Working in BMTC and List of Depot Managers Working in BMTC. I cannot fully score this question for two reasons. (1) Currency: the Departments page has no date of its own. The officer PDFs are named 'updated eng 3107', and the number in the upload filename suggests a 31 July 2026 upload. That would fall in the current FY, 2026-27, but it is my reading of a filename, not a date I saw in the documents. The PDFs themselves are not in the Citation Sheet. (2) Format: the Departments page is a searchable webpage with identifiable posts and structure, so it appears to meet the format standard. But the officer PDFs were not read, so I cannot tell whether they are searchable or scanned. The format credit also depends on the structure being current. | EVIDENCE: BMTC-11 (Officers List page, mybmtc.karnataka.gov.in): table 'BMTC Officers Details' with three PDF links: '01 List of Management', '02 List of Officers Working in BMTC', '03 List of Depot Managers Working in BMTC'. The filenames contain 'updated eng 3107'. BMTC-18 (Departments page): an HTML table with columns 'SN. / Department / Head / Description' covering 1 Traffic Oper</t>
  </si>
  <si>
    <t xml:space="preserve">Officers List - Bengaluru Metropolitan Transport Corporation [BMTC-11]</t>
  </si>
  <si>
    <t xml:space="preserve">https://mybmtc.karnataka.gov.in/info-1/Officers+List/en</t>
  </si>
  <si>
    <t xml:space="preserve">List of Officers Working in BMTC</t>
  </si>
  <si>
    <t xml:space="preserve">I left the score blank. The evidence shows BMTC publishes organisation and staffing information, but it does not show that the information is current or what format the PDFs are in. One limit on this check: the full Detailed Methodology text was not in the task input. I relied on the Step 2 summary of the bands: credit for being available and current in this FY, and credit for a searchable or structured format (the 0.5 standard). A person should confirm the band wording before scoring.
What I checked:
(1) BMTC-11, the Officers List page at mybmtc.karnataka.gov.in. It links to three PDFs: 'List of Management', 'List of Officers Working in BMTC' and 'List of Depot Managers Working in BMTC'. Their filenames contain 'updated eng 3107', with upload IDs around 1785482xxx. That suggests 31 July 2026, which is in FY 2026-27. But this date comes only from the filenames. No date appears in any document I could read. The PDFs themselves are not in the Citation Sheet, so I cannot tell whether they are searchable or scanned, or confirm their date.
(2) BMTC-18, the Departments page. It is a searchable HTML table with the columns SN / Department / Head / Description, from 1 Traffic Operations (Chief Traffic Manager (Operation)) through 16 departments. It lists posts only, without names, and the page itself has no date.
(3) BMTC-01 and BMTC-12, the English and Kannada home pages. Their menus link to an 'Organization Structure' page (/31/organization-structure/), but that page was never captured, so I don't know its format or date.
(4) A search of the Citation Sheet for 'organization structure chart' found no other source.
The footer 'Last Updated: 30-09-2026' appears on every page of the site. It is part of the site template and does not show when the organisation content was updated.
Currency: undetermined. A date read only from a filename should not count as an update in the current FY without a person checking it.
Format: the HTML Departments page probably meets the searchable standard. The PDFs and the organisation chart could not be checked. This is a VERIFICATION-LIMIT, not a negative finding.
I did not score 0 because the information exists and is partly verified, so there is no affirmative absence.
For the reviewer:
(a) Open the three officer-list PDFs. Record the date printed in each and whether it is searchable or scanned.
(b) Open the Organization Structure page (/31/organization-structure/en). Record whether it is an image or searchable, and its date.
(c) Capture a dated screenshot, as the question bank requires.
(d) Confirm the rubric bands, then score.</t>
  </si>
  <si>
    <t xml:space="preserve">Step 2 found no evidence: a source needs to be found and added. Step 2 found no evidence (Insufficient Evidence). Source needed: BDA's official website pages, saved with the date accessed. Specifically: (a) its organisation chart or officers/staff directory (HTML, searchable PDF, or XLS/CSV list of posts) showing a date or update in FY 2025-26 or FY 2024-25; and/or (b) its RTI Act s.4(1)(b) proactive disclosure (organisation, functions and duties, directory of officers and employees), dated. The record must show the file type (HTML vs searchable PDF vs scanned/image-only) so the format half can be scored. BDA's own domain must be shown to be official by a link from a .gov.in/.nic.in page.</t>
  </si>
  <si>
    <t xml:space="preserve">Step 2 found no evidence: a source needs to be found and added. Step 2 found no evidence (Insufficient Evidence). Source needed: One of these, dated: a saved copy of BMRCL's official website organisation chart / 'Who's Who' / officers' directory page, or its RTI Act s.4(1)(b) proactive-disclosure directory of officers and staff, showing a date in FY 2025-26 or FY 2026-27 and its file format (HTML, searchable PDF, or image/scanned). Alternatively, the latest BMRCL Annual Report (FY 2024-25 or FY 2025-26) with its organisational set-up and staff strength.</t>
  </si>
  <si>
    <t xml:space="preserve">ANSWER: BMRDA's official website has a current-looking staff directory: the Contact Us page, an HTML table of names, designations and office phone numbers that also marks vacant posts. That meets the format half of the rubric (a searchable webpage with identifiable posts and officials). Whether it is current cannot be settled. The page has no date: its 'Last Updated:' field is blank. Nothing in the Citation Sheet shows it was updated in FY 2026-27 or FY 2025-26. The latest dated staffing information in the Citation Sheet is in the Annual Report for FY 2022-23 (staff as on 31.03.2023), which is older than the permitted window. | EVIDENCE: (1) BMRDA-06, the Contact Us page on BMRDA's official site (bmrda.karnataka.gov.in): a Name / Designation / Office Number table listing Metropolitan Commissioner Sri. Rajendra P Cholan; Metropolitan Planner and Director Smt. Suma J; Additional Metropolitan Commissioner; Joint Metropolitan Commissioner; two Joint Directors; an Assistant Director; and an Accounts Officer. It also shows as 'Vacant' the posts of Additional Director, Deputy Metropolitan Commissioner, four Deputy Directors, three Assistant Directors and the Account Superintendant. The footer reads 'Last Updated:' (blank) and '© 2026'. (2) BMRDA-05, the home page: names 'SRI RAJENDRA CHOLAN P , IAS, Metropolitan Commissioner BMRDA', which matches the directory. It links an 'Organisation chart' PDF (ORGNenglish.pdf), but that PDF is not in the Citation Sheet, so its date and format (</t>
  </si>
  <si>
    <t xml:space="preserve">Contact Us - Bangalore Metropolitan Region Development Authority(BMRDA) [BMRDA-06]</t>
  </si>
  <si>
    <t xml:space="preserve">https://bmrda.karnataka.gov.in/page/Contact+Us/en</t>
  </si>
  <si>
    <t xml:space="preserve">Sri. Rajendra P Cholan
Metropolitan Commissioner
080-22255493</t>
  </si>
  <si>
    <t xml:space="preserve">I left the score blank because the directory's currency can't be shown from the Citation Sheet. The full question text and Detailed Methodology for DPG5f were not given to me. I used the rubric as Step 2 describes it: 0.5 for availability and currency, plus 0.5 for format. A person should confirm that against the question bank.
(1) FORMAT: the evidence supports the format half. BMRDA-06 is an HTML Contact Us page on BMRDA's official site (bmrda.karnataka.gov.in, a gov.in domain). It is a searchable table listing names, designations and office phone numbers. Filled posts are named: Metropolitan Commissioner Sri. Rajendra P Cholan; Metropolitan Planner and Director Smt. Suma J; Additional Metropolitan Commissioner; Joint Metropolitan Commissioner; two Joint Directors; an Assistant Director; and an Accounts Officer. Vacant posts are marked 'Vacant', including the Additional Director, the Deputy Metropolitan Commissioner, four Deputy Directors and three Assistant Directors.
(2) CURRENCY: not settled. The page carries no date: its footer 'Last Updated:' field is blank, and '© 2026' is the site template's copyright line, not a content date. The home page (BMRDA-05) names 'SRI RAJENDRA CHOLAN P , IAS, Metropolitan Commissioner BMRDA', matching the directory. Annexure-1 of the Annual Report 2022-23 (BMRDA-03) names a different Metropolitan Commissioner (Girish C. Hosur, IFS). So the directory was probably revised after FY 2022-23, but that is an inference, not a dated update. The latest dated staffing information in the Citation Sheet is BMRDA-03 section 11: 'sanctioned staff strength ... as on the 31.03.2023 is 56 ... 27 posts have been filled up'. That is FY 2022-23, older than the window the currency criterion would accept.
(3) NOT A ZERO: a score of 0 needs affirmative absence, and that isn't met. Two linked documents are not in the Citation Sheet: the 'Organisation chart' PDF (ORGNenglish.pdf) linked from BMRDA-05 and the 'RTI 4(1) B' PDF. Their dates and formats are unknown. VERIFICATION-LIMIT: a dated screenshot or capture of the Contact Us page is needed.
What I checked: BMRDA-06 (the directory and its footer), BMRDA-05 (home page and its links), BMRDA-03 (sections 10-11 and Annexure-1), and a search across the whole sheet for an organisation chart or staff directory. I found no dated directory.
For the reviewer: if a dated capture or the organisation chart shows the directory reflects the current structure within the window, the score would be 1.0 (0.5 + 0.5). If currency fails, it would be 0.5 for format only.</t>
  </si>
  <si>
    <t xml:space="preserve">Step 2 found no evidence: a source needs to be found and added. Step 2 found no evidence (Insufficient Evidence). Source needed: A dated capture of SUDA's official website showing its current organisation structure: an organisation chart, staff or officer directory with posts and names, or a sanctioned/working staff-position list. Examples are an 'Organisation' or 'Who's who' page or the RTI Act s.4(1)(b) proactive-disclosure manual (items on organisation, functions and staff directory), dated FY 2025-26 or later. For each, record the format: HTML, searchable PDF, XLS/CSV, or image/scanned.</t>
  </si>
  <si>
    <t xml:space="preserve">ANSWER: GMRC's website gives some searchable information about its organisation, but only as text describing the top levels. The sources show no organisation chart and no staff directory. The RTI 4(1)(b) page sends readers to the PIO for the directory of officers and employees. The text that is online is recent and searchable. Whether a top-level text description counts as the 'current organisational structure' the rubric asks for is a judgement for the reviewer, so I have not proposed a score. | EVIDENCE: (1) GMRC-03, GMRC's RTI Section 4(1)(b) proactive disclosure webpage (HTML, searchable). Ch.3 gives the decision chain 'BOARD OF DIRECTORS -&gt; MANAGING DIRECTOR -&gt; FUNCTIONAL HEADS' and says day-to-day management is entrusted to the MD, the other Directors and the Functional heads. Ch.2 lists the functions of each department (Systems/Rolling Stock, Traction, Civil (Works/Design/General), Architect, Administration/PR, Legal, Accounts, Human Resource, Operations), but names no officials. Ch.8 says the board has 13 directors: 5 Government of India nominees, 5 Government of Gujarat nominees and 3 functional directors. It links to a 'Present Board of Directors' page, which is not in the Citation Sheet. Ch.9 'Directory of Officers and Employees': 'Kindly contact Public Information Officer (PIO) for information', so no staff directory is published. Ch.10 is a pay-grade table listing designations from Managing Director (E10) down to Unskilled/Peon (NE1), with no post counts or names</t>
  </si>
  <si>
    <t xml:space="preserve">The day-to-day management of the company in entrusted to the Managing Director andother Directors and Functional heads of the Company.</t>
  </si>
  <si>
    <t xml:space="preserve">SCORE LEFT BLANK. RUBRIC-GAP: the evidence doesn't clearly fit either band. The full Detailed Methodology text wasn't in my inputs. I worked from Step 2's summary of it: (a) current organisational structure available, (b) searchable format, 0.5 each. A person must decide whether GMRC's text-only disclosures count as a 'current organisational structure'.
WHAT THE CITATION SHEET SHOWS:
(1) GMRC-03, the 4(1)(b) page (HTML, searchable). Ch.3 gives the hierarchy: Board -&gt; MD -&gt; Functional Heads. Ch.2 lists department functions but names no officials. Ch.9 says only 'Kindly contact Public Information Officer (PIO) for information', so there is no staff directory. Ch.10 lists grade-wise designations from MD (E10) down to Peon (NE1), with no post counts. Ch.8 says the board has 13 directors.
(2) GMRC-04, the Present Board of Directors page (HTML, searchable). Step 2 said this page wasn't in the Citation Sheet, but it is. It names 8 people: 2 GoI nominees (including the Chairman), 3 GoG nominees, MD S.S. Rathore, Director (Project &amp; Planning) Anand Singh Bisht and Director (Finance) Ridham Bhadja. That conflicts with the '13 directors' in GMRC-03 Ch.8, so Ch.8 looks stale. The page footer says 'Last Updated on: 12-Oct-2026'. The same timestamp and visit count appear on GMRC-14, so it is a site-wide stamp, not proof that this page was updated then.
(3) GMRC-14, the PIO/Appellate Authority page. It names four officers with their designations (I/c CAO; JGM-Operations; Sr. DGM Civil/Safety as PIO Surat; DGM Administration).
(4) GMRC-05, Annual Report 2024-25. It names the board, CFO and Company Secretary. Its 'Organizational Set-up' section describes the structure in text only.
A search of the Citation Sheet for 'organisation chart / organogram / organizational structure' found no organisation chart.
IF THE REVIEWER ACCEPTS named top management plus the department and designation hierarchy as the 'current organisational structure', both components look met and the score would be 1. All of this material is searchable HTML or text PDF, not image-only. IF NOT, a score of 0 would still need affirmative absence. The Contact Us and Board Level Committees pages are not in the Citation Sheet, so I can't rule out an organisation chart or directory there.
OTHER POINTS: GMRC is state-wide, and nothing in the sources shows a Surat-specific structure. The QB asks for a dated screenshot, which a reviewer should capture.</t>
  </si>
  <si>
    <t xml:space="preserve">DPG5g</t>
  </si>
  <si>
    <t xml:space="preserve">Step 2 found no evidence: a source needs to be found and added. Step 2 found no evidence (Insufficient Evidence). Source needed: Saved copies of BWSSB's dedicated 'Projects' pages (general Projects page, Cauvery Stage IV, Cauvery Water Supply Scheme for 110 Villages, the Technical &gt; Projects page), the 'Vision Document - 2050' PDF (with its date and whether its text can be searched or it is a scan), and the Budget page or a current budget or annual report listing ongoing projects for FY 2025-26 or 2026-27. Each should come with its date of access and its file format.</t>
  </si>
  <si>
    <t xml:space="preserve">Step 2 found no evidence: a source needs to be found and added. Step 2 found no evidence (Insufficient Evidence). Source needed: Any of these, dated FY 2025-26 or FY 2026-27 and published on BMTC's own site: BMTC's Annual Implementation Plan or Sectoral Mobility Investment Program (required under BMLTA Act s.25/s.24), a corporate or fleet plan, a projects or ongoing-works page or dashboard (e-bus induction, depots, TTMCs, bus priority), or the latest Annual Administrative Report with a project-status section. Each needs a date and a check of its format (text-searchable PDF/HTML/XLS vs scanned image).</t>
  </si>
  <si>
    <t xml:space="preserve">Step 2 found no evidence: a source needs to be found and added. Step 2 found no evidence (Insufficient Evidence). Source needed: These would answer it: (a) BDA's official-website pages listing ongoing projects and schemes (e.g. layouts, flyovers or road works, housing projects), with dated status updates in FY 2025-26 or FY 2026-27, captured as dated screenshots or archived URLs, plus the format (HTML table/dashboard, XLS/CSV, or images); (b) BDA's current major plan documents (e.g. development scheme notifications, a master plan if BDA is still the Planning Authority for any area), with the file type recorded (text-searchable PDF vs scanned); (c) proof that the BDA domain is official, i.e. a link from a karnataka.gov.in page. A BDA annual report or budget listing ongoing projects on a .gov.in page would back up currency.</t>
  </si>
  <si>
    <t xml:space="preserve">ANSWER: Not determined. Partial evidence only. The one current BMRCL document in the Citation Sheet is the BMRCL Metro Parking Policy (cover says 2025; the file name is dated 02-04-2026). It is a text-readable PDF on bmrc.co.in. Its background section has a short paragraph on ongoing projects: the rest of Phase-2 (21.26 km), Phase-2A (19.75 km), Phase-2B (38.44 km) and Phase-3 (44.65 km) are 'under construction'. But it is a sector policy, not a major plan, and the project paragraph is narrative, not a project list or dashboard. The Citation Sheet has no BMRCL projects webpage, project dashboard, project list or current major plan. The detailed project-status source in the Sheet (the Annual Report for FY 2020-21, with progress as of August 2021) is older than the current or preceding FY. | EVIDENCE: (1) BMRCL-32 Metro Parking Policy, p.5 (pg.3), s.1 Background: 'The remaining portion of Phase-2 of 21.26 Km length is under construction... Phase 3 Metro corridor of a route length 44.65 kms with 31 stations is under construction.' This text was extracted, so the PDF is text-readable. Source URL is on bmrc.co.in. (2) BMRCL-09 Annual Report FY 2020-21, pp.24-35: reach-by-reach Phase-2 progress 'as on August 2021' (58% physical) and financial progress up to 31.03.2021. It is outside the currency window. The Report also names www.bmrc.co.in as 'the Company's Website' (p.40). (3) BMRCL-33 eTenders page (etenders.gov.in, accessed 12-Oct-2026): a single tender for the Phase-2A/2B AFC s</t>
  </si>
  <si>
    <t xml:space="preserve">Bangalore Metro Rail Corporation Limited (BMRCL) METRO PARKING POLICY, Government of Karnataka 2025 [BMRCL-32]</t>
  </si>
  <si>
    <t xml:space="preserve">https://www.bmrc.co.in/pd/FinalMetroParkingPolicy02-04-2026.pdf</t>
  </si>
  <si>
    <t xml:space="preserve">Bangalore Metro Rail Network of Phase-1 and part of Phase-2 comprising a total length of 96.1 Km with 83 Metro stations is already under operation with an average daily ridership of about 9.5 lakhs commuters. The remaining portion of Phase - 2 of 21.26 Km length is under construction.</t>
  </si>
  <si>
    <t xml:space="preserve">Score left blank. The Citation Sheet is not enough to score this question, and the rules do not allow a 0. What I checked: (1) BMRCL-32, the Metro Parking Policy (cover says 2025; file name dated 02-04-2026; on bmrc.co.in). It is a text-readable PDF. Its only project content is one narrative paragraph in the background section, which says the rest of Phase-2 (21.26 km), Phase-2A (19.75 km), Phase-2B (38.44 km) and Phase-3 (44.65 km) are 'under construction'. It is a sector policy. The paragraph gives no progress, timelines or costs, and it is not a project list, page or dashboard. Whether it counts as a 'major plan' or as 'information on ongoing projects' is a judgement for the team. (2) BMRCL-09, Annual Report FY 2020-21. It says 'The Website also provides all important events, activities and progress of the Metro Rail Project... which is continuously updated' (p.54), and it gives Phase-2 progress as of August 2021. This is FY 2020-21 evidence, outside the current/preceding-FY window (assessment date 12-Oct-2026, FY 2026-27). It cannot show current practice. (3) BMRCL-33, an eTenders notice on a central portal. It is not project information on BMRCL's own website. (4) BMRCL-02 (GBG Act), BMRCL-08 (BMLTA Act s.25), BMRCL-04, BMRCL-06 and BMRCL-07 are legal duties. They are not evidence of what BMRCL publishes. I searched the Sheet for 'ongoing projects status website' and found no capture of a BMRCL projects or phase page and no current major plan (DPR, CMP or business plan). Missing evidence: a dated capture of the bmrc.co.in projects/progress pages and any current major plan published there. Because those pages are not in the Sheet, absence is not proven: this is a VERIFICATION-LIMIT, not a negative finding. The full Detailed Methodology and rubric bands for DPG5g were not in the task text, so I could not check how a 0–1 score splits between availability and format. A reviewer should capture a dated screenshot. Website officialness: the only proof that bmrc.co.in is official is BMRCL's own Annual Report (pp.40, 54). No .gov.in page in the Sheet links to it.</t>
  </si>
  <si>
    <t xml:space="preserve">Step 2 found no evidence: a source needs to be found and added. Step 2 found no evidence (Insufficient Evidence). Source needed: Saved, dated copies of the plan and project documents linked from BMRDA's website. These are the Structure Plan report ('St report.pdf'), the nine LPA 'Proposed Draft Mobility Plan' PDFs, the GBIT brochure, the 2023-24 and any later Annual Report, and the 'Land Utilization Plan - 2031' and 'Transport Networks 2031' pages. Each copy should record its date or FY and its file type (text-searchable vs scanned PDF; HTML or XLS/CSV project list). The most direct evidence would be a current (FY 2025-26 or 2026-27) BMRDA annual report or project-status page on the website.</t>
  </si>
  <si>
    <t xml:space="preserve">Step 2 found no evidence: a source needs to be found and added. Step 2 found no evidence (Insufficient Evidence). Source needed: Dated saved copies of SUDA's official website showing (i) its current major plan, e.g. the sanctioned DP-2035 or any later revision or Local Area Plan, as a searchable PDF, and (ii) an ongoing-projects page, table, dashboard or XLS/CSV list with status for FY 2025-26 or FY 2026-27. Alternatively, SUDA's latest Annual Report or programme of work under GTPUD Rules r.47/r.49, if published online. Also proof that sudaonline.org is SUDA's official domain, either a link from a gov.in/nic.in page or a government notification naming it.</t>
  </si>
  <si>
    <t xml:space="preserve">ANSWER: Yes, on both components. GMRC's own website publishes current information on the Surat Metro Rail Project Phase-I, which is still being built. The RTI Section 4(1)(b) disclosure page has a text HTML table of Surat Phase-I sanctioned cost and spending to 31-03-2026 (end of FY 2025-26), plus a corridor-wise breakdown of completion cost. That meets the time window: FY 2025-26 is the year before FY 2026-27, the year the pages were accessed. The project plans GMRC publishes are text-readable PDFs, but all of them are older than the window. | EVIDENCE: (1) GMRC-03, RTI 4(1)(b) disclosure, Chapter 11 'Budget Allocation &amp; Expenditure' (HTML page, last updated 12-Oct-2026). Funding Pattern table: Surat Metro Rail Project Phase-I total project cost 12,020.32 crore. 'Details of Expenditure incurred till 31-03-2026': Surat Phase-I sanctioned cost 12,020.32 crore and spending to 31.03.2026 (provisional and unaudited) of 8,751.76 crore. Corridor table: Sarthana to Dream City 7,386.27 crore, Bhesan to Saroli 4,452.05 crore, interest during construction 182.00 crore. The text was extracted from the page, so it is a searchable HTML table, not an image. (2) GMRC-01, Reports &amp; Downloads page (last updated 12-Oct-2026). It lists 'Surat Phase-1' under 'Under Implementation' and links to the Surat DPR, EIA, Stakeholder Engagement Plan, ESMP, Gender Action Plan, the alignment map, the 2019 sanction letter, and annual reports up to the 15th Annual Report 2024-25 (uploaded 2026/05). (3) GMRC-</t>
  </si>
  <si>
    <t xml:space="preserve">Details of Expenditure incurred till 31-03-2026</t>
  </si>
  <si>
    <t xml:space="preserve">Score 1 = 0.5 for having current information + 0.5 for searchable format. I checked this against the source rather than copying Step 2. (1) Current information: GMRC-03, Chapter 11, is a text HTML page. For 'Surat Metro Rail Project Phase-I' it gives the sanctioned cost (12,020.32 Cr) and spending to 31.03.2026 (8,751.76 Cr, provisional and unaudited). It also gives cost by corridor: Sarthana to Dream City 7,386.27 Cr; Bhesan to Saroli 4,452.05 Cr; interest during construction (IDC) 182.00 Cr. Data dated 31-03-2026 falls in FY 2025-26. That is the year just before FY 2026-27, when the page was last updated (12-Oct-2026), so it meets the 'current or immediately preceding FY' window. GMRC-01 (Reports &amp; Downloads, last updated 12-Oct-2026) confirms that Surat Phase-1 is listed as 'Under Implementation', so this is an ongoing project. (2) Format: the figures were pulled from the page as text table cells, so they are searchable HTML, not an image. All Surat plan documents on GMRC-01 are older than the window: the DPR (Dec 2018, linked as Surat-DPR-2020), and the EIA, SEP, ESMP and GAP (2020). The newest annual report is FY 2024-25 (GMRC-05). So credit for currency rests only on the project/financial information, not on a plan. Points for the reviewer: (a) Check whether the Detailed Methodology accepts financial progress data (sanctioned cost, spending to date, cost by corridor) as 'project information'. The Citation Sheet has no current physical-progress data for Surat. GMRC's project-overview (#posrt) and Milestones pages are linked from GMRC-01 but are not in the Citation Sheet. If the methodology requires physical or status information, the currency component may need review. (b) The same Chapter 11 still carries an old line, 'Sanctioned Project Cost is Rs.10773 Cr' / spending to 30.06.2019. It is an old Ahmedabad Phase-I figure and does not cancel out the 2026 table. (c) The full Detailed Methodology text for DPG5g was not in my task input. The 0.5 + 0.5 structure is taken from Step 2's account of the bands and should be confirmed. (d) Capture a dated screenshot, as the QB evidence requirement asks.</t>
  </si>
  <si>
    <t xml:space="preserve">DPG5h</t>
  </si>
  <si>
    <t xml:space="preserve">Step 2 found no evidence: a source needs to be found and added. Step 2 found no evidence (Insufficient Evidence). Source needed: Any of these would answer the question: BWSSB's annual report or administration report for FY 2024-25 or FY 2025-26 on the Board's website or in the Karnataka Legislature's papers-laid pages; a saved, dated copy of BWSSB's water-quality dashboard and Achievements page showing dated performance values and whether data can be downloaded (CSV/XLSX/structured HTML); a service-level benchmark (SLB) publication for BWSSB covering water supply and sewerage indicators for the current or preceding FY.</t>
  </si>
  <si>
    <t xml:space="preserve">ANSWER: The first half of the question (is the information online and current?) appears to be met. BMTC's official website has an HTML 'BMTC at a glance' page dated 'As on 25 September, 2026', which is in the current FY 2026-27. Its own performance-indicator page lists Physical and Financial Performance for '2018-19 to 2025-26( Estimated)'. That reaches into 2025-26, the year just before the current one. The second half (is it in a structured, reusable format?) cannot be decided. The glance page is a short HTML list of label-value rows with no download option. The performance indicators are linked as PDF files. Those PDFs are not saved in the Citation Sheet, so I could not check whether they are text or scanned, or what they contain. Nothing in the sheet shows a CSV, XLS/XLSX, ODS or downloadable dashboard. | EVIDENCE: (1) BMTC-15, BMTC Glance page (official BMTC site, mybmtc.karnataka.gov.in): 'BMTC at a glance / As on 25 September, 2026', listing No of Schedules 6248; No. of Vehicles 6921 (Including EV); Daily Service kms (Lakhs) 12.39; No. of Trips 61740; Everyday Traffic Revenue (the value is cut off in the saved text). (2) BMTC-14, Performance Indicator page: 'Performance Indicators from 2018-19 to 2025-26( Estimated)', with rows '1 Physical performance', linked to a .pdf, and 'Financial Performance'. Page footer says 'Last Updated: 30-09-2026'. (3) BMTC-01, BMTC-18 and BMTC-28 (homepage, Departments, Press Releases) were checked. None has a structured or downloadable pe</t>
  </si>
  <si>
    <t xml:space="preserve">BMTC Glance - Bengaluru Metropolitan Transport Corporation [BMTC-15]</t>
  </si>
  <si>
    <t xml:space="preserve">https://mybmtc.karnataka.gov.in/info-1/BMTC+Glance/en</t>
  </si>
  <si>
    <t xml:space="preserve">BMTC at a glance
As on 25 September, 2026</t>
  </si>
  <si>
    <t xml:space="preserve">I left the score blank because I can't settle the format half of the question (machine-readable or not). As far as I can tell from the Step 2 notes, the score has two parts: 0.5 for information that is online and current, and 0.5 for a structured, reusable format.
Part 1, online and current: the evidence probably meets this. (1) BMTC-15 is BMTC's own page on the karnataka.gov.in portal and is dated 'As on 25 September, 2026', which is FY 2026-27. It gives operating statistics: 6248 schedules, 6921 vehicles, 12.39 lakh km a day, 61740 trips, Rs 7.28 cr daily traffic revenue, 1771 GCC e-buses, 50 depots, 48 bus stations, 28382 staff and a bus-staff ratio of 4.54. (2) BMTC-14 has the heading 'Performance Indicators from 2018-19 to 2025-26( Estimated)', with Physical and Financial Performance offered as PDF links, and the page says 'Last Updated: 30-09-2026'. A reviewer still needs to decide whether an operating 'at a glance' summary counts as 'performance information'. Also, the 2025-26 indicator figures are estimates, not actuals.
Part 2, structured and reusable format: I can't decide this. BMTC-15 is a short HTML list of labels and values with no download option. Read literally, the rubric needs 'downloadable data', so this page alone would probably not earn the format half. But the performance-indicator PDFs linked from BMTC-14 are not saved in the Citation Sheet. So I can't tell whether they are text PDFs or scans, what they contain, or whether a text PDF meets the format standard. I also searched the Citation Sheet for CSV, XLS, dashboard or open-data releases. The only hit was a general link to karnataka.data.gov.in in the footer of the BMTC homepage (BMTC-01), with no BMTC dataset shown.
This means I haven't shown affirmative absence for the format half, so I can't score it 0. I also can't award it. Scoring 0.5 would mean marking the format half as 0 without that proof, and scoring 1 isn't supported.
I checked BMTC-14, BMTC-15 and BMTC-01 (via a sheet-wide search). Step 2 also reviewed BMTC-18 and BMTC-28.
For the human scorer: (a) open the Performance Indicators PDF linked on BMTC-14 (the link is cut off in the saved text) and check whether it is a text or scanned file and which years it covers; (b) check whether BMTC publishes any CSV/XLS or downloadable dashboard, including on karnataka.data.gov.in; (c) confirm whether an HTML label-value list counts as a 'structured HTML table'; (d) take a dated screenshot. This is a VERIFICATION-LIMIT on the linked PDFs, not a negative finding.</t>
  </si>
  <si>
    <t xml:space="preserve">Step 2 found no evidence: a source needs to be found and added. Step 2 found no evidence (Insufficient Evidence). Source needed: Pages from BDA's official website, or official .gov.in / .nic.in portals, that hold BDA performance information for FY 2025-26 or 2026-27, each with the date it was opened. Examples: the latest annual report or s.47A report; service-level or Sakala service-delivery statistics for BDA services; or a performance dashboard. The file format of each also needs recording (CSV/XLSX/structured HTML vs text PDF vs scanned PDF). Annual reports laid before the Karnataka Legislature under s.47A would also count if published online.</t>
  </si>
  <si>
    <t xml:space="preserve">Step 2 found no evidence: a source needs to be found and added. Step 2 found no evidence (Insufficient Evidence). Source needed: Needed: BMRCL's official website pages with dated ridership or service performance data (daily or monthly ridership, punctuality, train availability) for FY 2025-26 or 2026-27, including the file format (CSV/XLSX/structured HTML vs PDF). Also needed: BMRCL's annual report for FY 2024-25 or 2025-26, from its official domain or the Karnataka legislature papers-laid pages, and any BMRCL dataset on data.gov.in. Each needs a dated screenshot or archived URL.</t>
  </si>
  <si>
    <t xml:space="preserve">ANSWER: The Citation Sheet holds no BMRDA performance information for the current FY (2026-27) or the one before it (2025-26). The most recent performance document whose content is in the sheet is BMRDA's Annual Report for FY 2022-23. The BMRDA homepage also links an 'Annual Report' file named for 2023-24, but that file is not in the sheet. Both are older than the rubric allows. A 0 for availability still cannot be given, because BMRDA's own 'Budget and Annual Reports' page, the 2023-24 report and the 'Budget' page were not captured, so absence of newer reports is not proven. No service-level benchmark report or performance dashboard, structured or downloadable, was found in the sheet. | EVIDENCE: (1) BMRDA-05, BMRDA homepage (bmrda.karnataka.gov.in, official, Government of Karnataka domain), 'Department Documents' menu: links 'Budget and Annual Reports', a PDF labelled 'Annual Report' with file name '2023-24 Anual Report.pdf', and 'Budget'. These are links only; the files' contents are not in the sheet, so their period and format cannot be confirmed. (2) BMRDA-03, 'Annual Report of BMRDA for the year 2022-2023 [01-04-2022 to 31-03-2023]', a copy laid before the Karnataka Legislative Council (kla.kar.nic.in). It is a narrative PDF of activities: Structure Plan / RSP-2031, STRR and Bidadi local planning areas, staffing ('56 posts sanctioned, 27 filled, 29 vacant as on 31.03.2023'). The Kannada part uses legacy-font text; an English section starts around page 11. It is not CSV/</t>
  </si>
  <si>
    <t xml:space="preserve">I left the score blank because the sheet cannot show that newer reports are absent, and the newest reports it does show are outside the allowed period.
What I checked against the Step 2 answer:
- I confirmed the Step 2 reading. BMRDA-05 (English homepage) and BMRDA-01 (Kannada homepage) both show only menu links: 'Budget and Annual Reports', an 'Annual Report' PDF named '2023-24 Anual Report.pdf', and 'Budget'. None of these pages or files had their content captured in the sheet.
- The only performance document whose content is in the sheet is BMRDA-03, the BMRDA Annual Report for FY 2022-23 (1 April 2022 to 31 March 2023), as laid before the Legislative Council. It is a narrative PDF, not structured or downloadable data such as CSV/XLS or an HTML table.
- The allowed window, as stated in the Step 2 answer, is FY 2026-27 or FY 2025-26. The latest content-verified report is FY 2022-23, and the latest linked file is labelled 2023-24 but was not verified. Both are older than the window.
Why I did not score 0:
- A 0 needs proof of absence, and I don't have it. The 'Budget and Annual Reports' page (/40/), the 2023-24 PDF, the 'Budget' page (/44/), the Citizen Charter 2020-21 and any Sakala service-delivery statistics for BMRDA are not in the sheet.
- Website pages that were not captured are a VERIFICATION-LIMIT, not a negative finding.
- I searched the whole sheet for '2024-25 2025-26 performance' and for annual report or budget material. Nothing newer turned up.
- I also checked BMRDA-02, 06, 07, 12 and 13 and found no performance reports, service-level benchmark (SLB) tables or dashboards.
- BMRDA-08 (KTCP Act s.68D, s.4H(1)(d)) and BMRDA-11 (BMLTA Act s.36) are law. They require annual reports but do not show that any were published.
What a reviewer should do:
1. Open https://bmrda.karnataka.gov.in/40/budget-and-annual-reports/en and check whether any performance or annual report for FY 2025-26 or later is published, and in what format.
2. If none exists, the score is probably 0.
3. Confirm whether a narrative annual activity report counts as 'performance information' for a planning authority that publishes no SLBs.
4. Take a dated screenshot as the evidence requirement asks.</t>
  </si>
  <si>
    <t xml:space="preserve">Step 2 found no evidence: a source needs to be found and added. Step 2 found no evidence (Insufficient Evidence). Source needed: Needed: SUDA's latest Annual Report under r.49, or another dated performance or service-level report for the current or previous FY (e.g. a progress or performance statement or dashboard on SUDA's official website). It should be saved with the date it was accessed and its file format (XLSX/CSV/structured HTML vs text or scanned PDF) recorded. Also needed: a full page-by-page check of SUDA's official website, so that a 0 can be supported by confirmed absence if nothing is there.</t>
  </si>
  <si>
    <t xml:space="preserve">Step 2 found no evidence: a source needs to be found and added. Step 2 found no evidence (Insufficient Evidence). Source needed: What would answer this question: (1) a team decision on whether DPG h applies to a pre-operational parastatal in Surat, or whether GMRC's company-wide reporting counts; (2) a dated, fuller capture of GMRC's website (project, passenger and ridership pages) and of any GMRC or Surat Metro dashboard or open-data file on a gov.in or nic.in portal, such as MoHUA or the Gujarat Urban Development Department; (3) any GMRC performance or service-level report for FY 2025-26 or FY 2026-27, with its file type recorded.</t>
  </si>
  <si>
    <t xml:space="preserve">DPG5i</t>
  </si>
  <si>
    <t xml:space="preserve">ANSWER: BWSSB does publish a citizen charter online. The 'Our Services' page of its official website (bwssb.karnataka.gov.in) contains an 'ANNEXURE: CITIZEN CHARTER FOR SERVICES' as ordinary, searchable web text (HTML). That meets the format/accessibility component (0.5). The charter carries no date, version or approval reference, so the Citation Sheet cannot show that it is the charter currently in force. The availability/currency component is therefore undetermined, and the score is left blank. | EVIDENCE: (1) BWSSB-13, 'Our Services' page, under 'Consumer Services' &gt; 'ANNEXURE: CITIZEN CHARTER FOR SERVICES'. It covers sanction of water supply and sanitary connections: application under 'regulation 5.1 BWSS Act', online or through a licensed plumber; three connection types; required documents; listed fees; a demand note valid for 90 days. It also covers change of ownership/name. Time limits are tied to Sakala: 'The time duration for sanction of each type of connections is as per Karnataka Sakala Services Act-2011'. It sets 14 days for residential buildings (excluding apartments), 42 days for multi-storied buildings and 3 working days for change of name. No date, version or approval reference appears anywhere in the charter. (2) BWSSB-12, the BWSSB RTI page, has a 'Civil Charter' section that links a 'Citizen charter.pdf' file in its storage folder. The PDF itself is not in the Citation Sheet, so its content, date and file type (text or scanned) are unknown. (3) BWSSB-34, th</t>
  </si>
  <si>
    <t xml:space="preserve">The time duration for sanction of each type of connections is as per Karnataka Sakala Services Act-2011.</t>
  </si>
  <si>
    <t xml:space="preserve">I left the score blank on purpose. Please do not read it as 0.
1) No affirmative absence. BWSSB does have a charter online. BWSSB-13 is BWSSB's 'Our Services' page on its official bwssb.karnataka.gov.in domain. It shows an 'ANNEXURE: CITIZEN CHARTER FOR SERVICES' as plain HTML text. The charter sets time limits for connection sanction tied to the Sakala Act 2011: 14 days for residential buildings, 42 days for multi-storied buildings and 3 working days for change of name. It also lists the required documents and fees, and says the demand note is valid for 90 days. Because the charter exists, 0 is ruled out.
2) Why I gave no partial score. The Detailed Methodology text was not included in this task. The only description of the rubric is in the Step 2 answer: an availability/currency part worth 0.5 and a format/accessibility part worth 0.5. I checked BWSSB-13 directly. The charter has no date, version number or approval reference. The page around it holds clearly old material: the AusAID project of 2000-2002, the Package Programme of 2003-2006, and references to 'BMP' and 'BBMP area'. The charter itself names nothing later than the Sakala Act 2011. So the Citation Sheet cannot show that this charter is the one in force now. On format, the HTML text would likely earn the 0.5 if the rubric is as Step 2 describes it. Because I could not confirm the rubric wording, I did not enter 0.5 on its own as a partial score.
3) BWSSB-12 (the RTI page) has a 'Civil Charter' row linking to a 'Citizen charter.pdf' file in BWSSB's storage folder. That PDF is not in the Citation Sheet, so I could not check its date, content or whether it is text or a scan. VERIFICATION-LIMIT: a person should open the PDF and capture a dated screenshot, as the question bank requires.
4) I also searched the whole Citation Sheet for 'citizen charter' with dates or updates. Nothing else dates the charter. BWSSB-34, the Sakala 'About Act' page, does not list BWSSB's services or their current time limits.
If a reviewer confirms that the HTML charter (or the PDF) is BWSSB's current charter, and that the rubric is currency 0.5 + format 0.5, the score would be 1. If the charter turns out to be outdated, the score would be 0.5 for format only. One more point for reviewers: the charter covers only connection sanction and change of name, not billing or complaints.</t>
  </si>
  <si>
    <t xml:space="preserve">Step 2 found no evidence: a source needs to be found and added. Step 2 found no evidence (Insufficient Evidence). Source needed: A saved copy of BMTC's Citizen or Service Charter page or document on its official website (or on the state's Sakala service-guarantee portal listing BMTC services), with the date it was adopted or revised and its file type (HTML or searchable PDF vs scanned). Failing that, a saved copy of the full BMTC Sitemap, RTI 4(1)(b) disclosure page and Kannada site showing that no charter is published (needed before a 0 can be given).</t>
  </si>
  <si>
    <t xml:space="preserve">Step 2 found no evidence: a source needs to be found and added. Step 2 found no evidence (Insufficient Evidence). Source needed: The BDA Citizen/Service Charter page or document from BDA's official website, saved and dated, showing the charter's date or version and its file type (HTML, searchable PDF, or scanned image). Also useful: the Karnataka Sakala service schedule entry listing BDA services, which may contain or link to the charter. Both would need a dated screenshot or archived URL.</t>
  </si>
  <si>
    <t xml:space="preserve">Step 2 found no evidence: a source needs to be found and added. Step 2 found no evidence (Insufficient Evidence). Source needed: A dated, saved copy of BMRCL's Citizen's/Service Charter as published on its official website, with the website's official status proven by a link from a .gov.in/.nic.in page or by a government order. If no charter is published there, a fetched copy of the BMRCL website sections (citizen services, RTI, downloads) showing it is absent. Alternatively, the Karnataka Sakala (service-guarantee) schedule listing BMRCL services. For each, record the date or FY of the charter and its file type (HTML, text PDF or scanned PDF).</t>
  </si>
  <si>
    <r>
      <rPr>
        <sz val="11"/>
        <color theme="1"/>
        <rFont val="Calibri"/>
        <family val="2"/>
        <charset val="1"/>
      </rPr>
      <t xml:space="preserve">ANSWER: BMRDA's official website links to a Citizen Charter. The English link is labelled 'Citizen Charter' and the Kannada link '</t>
    </r>
    <r>
      <rPr>
        <sz val="11"/>
        <color theme="1"/>
        <rFont val="Noto Sans"/>
        <family val="2"/>
      </rPr>
      <t xml:space="preserve">ನಾಗರಿಕ ಸನ್ನದ್ದು</t>
    </r>
    <r>
      <rPr>
        <sz val="11"/>
        <color theme="1"/>
        <rFont val="Calibri"/>
        <family val="2"/>
        <charset val="1"/>
      </rPr>
      <t xml:space="preserve">'. Both file names mark the charter as 2020-21. The charter document itself is not in the Citation Sheet, so neither scored component can be settled. We cannot confirm that the file opens, what it says, whether it is still in force, or whether it is a text-searchable or scanned PDF. | EVIDENCE: (1) BMRDA-05, BMRDA's English home page (official .gov.in domain), 'INTRODUCTION' menu: '[https://bmrda.karnataka.gov.in/storage/pdf-files/CITIZEN CHARTER-2020-21 eng.pdf] Citizen Charter'. It sits next to links to the Introduction, Functions and Organisation chart pages. (2) BMRDA-01, the Kannada home page, same menu: '[https://bmrda.karnataka.gov.in/storage/pdf-files/CITIZEN CHARTER-2020-21 ka.pdf] </t>
    </r>
    <r>
      <rPr>
        <sz val="11"/>
        <color theme="1"/>
        <rFont val="Noto Sans"/>
        <family val="2"/>
      </rPr>
      <t xml:space="preserve">ನಾಗರಿಕ ಸನ್ನದ್ದು</t>
    </r>
    <r>
      <rPr>
        <sz val="11"/>
        <color theme="1"/>
        <rFont val="Calibri"/>
        <family val="2"/>
        <charset val="1"/>
      </rPr>
      <t xml:space="preserve">'. (3) BMRDA-02, -06, -07, -12 and -13 are other BMRDA web pages; they contain only site navigation and policy boilerplate, with no charter text. (4) BMRDA-08 (KTCP Act), BMRDA-10 (GBG Act 2024) and BMRDA-11 (BMLTA Act) are legal texts. They hold no BMRDA charter and are not relevant to this Implementation question. | CAVEATS: The only date is the file name '2020-21', which may not be the charter's real date or status. Under the rubric, a charter older than the previous FY can still earn credit if it remains in force, but nothing in the Sheet shows whether this one does. Format (text-searchable vs scanned) cannot be judged without t</t>
    </r>
  </si>
  <si>
    <t xml:space="preserve">[https://bmrda.karnataka.gov.in/storage/pdf-files/CITIZEN CHARTER-2020-21 eng.pdf] Citizen Charter</t>
  </si>
  <si>
    <t xml:space="preserve">Score left blank because of a VERIFICATION-LIMIT. The Step 2 answer is correct. BMRDA-05 (English home page, official karnataka.gov.in domain) has a 'Citizen Charter' link in its INTRODUCTION menu, and BMRDA-01 (Kannada home page) has a matching link. Both file names say '2020-21'. The charter PDF itself was never saved to the Citation Sheet. That means none of the facts the score depends on can be confirmed: whether the file opens, what it says, whether it is still in force or has been replaced, and whether it is a text-searchable or scanned PDF. A link with '2020-21' in its file name is only a lead. It does not prove the charter is available or current, so no credit can be given. A score of 0 is also ruled out. A web document that was not opened is a verification limit, not proof that no charter exists, and the home page shows a charter link. What I checked: (1) search_citation_sheet for 'citizen charter', which found nothing beyond the home-page navigation in BMRDA-01, -05 and -13, plus unrelated wording in the GBG Act (BMRDA-10). (2) The BMRDA-03 Annual Report 2022-23: its website section (item 10) lists what the website contains and does not mention a citizen charter. Its Kannada pages did not extract as readable text (legacy font encoding). (3) The other web-page citations contain only navigation. (4) The legal texts (BMRDA-08, -10, -11) are not relevant to whether a charter exists. For the team: open both charter PDFs on the BMRDA website. Confirm that each file loads, record the date and whether the charter is still in force or has been superseded, and check whether the PDF is text-searchable. Then apply the rubric bands, taking a dated screenshot. The question's Detailed Methodology was not included in this task's input, so a reviewer should also confirm the band definitions (availability/currency and format components, as the Step 2 notes describe them) before scoring.</t>
  </si>
  <si>
    <t xml:space="preserve">Step 2 found no evidence: a source needs to be found and added. Step 2 found no evidence (Insufficient Evidence). Source needed: Three things would answer this. (1) SUDA's own Citizen Charter or Service Charter, from SUDA's official website (a citizen services, RTI or downloads page), with its date, the services it covers and its file format (HTML, searchable PDF or scanned image). (2) Any Gujarat government page listing citizen charters for urban development authorities, or a service-guarantee schedule naming SUDA's services. (3) A dated screenshot or archived URL showing the date it was accessed.</t>
  </si>
  <si>
    <t xml:space="preserve">Step 2 found no evidence: a source needs to be found and added. Step 2 found no evidence (Insufficient Evidence). Source needed: Any of these: a Citizen's or Passenger Charter published by GMRC on its own website (e.g. under For Passengers, Help or Sitemap), with its date and file type (HTML, searchable PDF or scanned); a saved copy of the GMRC sitemap showing whether such a page exists; or a charter for GMRC metro services on a Gujarat government or MoHUA site (.gov.in/.nic.in). For Surat, also a document showing whether Surat metro passenger services, and so any service charter, have started.</t>
  </si>
  <si>
    <t xml:space="preserve">DPG5j</t>
  </si>
  <si>
    <t xml:space="preserve">ANSWER: BWSSB's official RTI page exists and links to lists of its Public Information Officers (PIOs) and first appellate authorities. The Citation Sheet does not contain those lists, so it cannot show whether the named officers and contacts are current, what the RTI procedure is, or whether the lists are searchable or scanned/image-only. Neither scoring component can be decided. | EVIDENCE: BWSSB-12 (the 'Right to information Act' page on bwssb.karnataka.gov.in, BWSSB's official website). (i) Its 'List of files under Section 4(1)(b)' table has row 15, '4 (1) (b) xvi List of First Appeal, Authority, Public Information Officers', a Download link to a PDF named 'KANNADA(1).pdf'. Row 17, 'List of Public Information Officers', links to a PDF named 'KM_226_03719.pdf'. The file name suggests a scanner/copier output, but this is not verified. Row 18, 'PIO for stores', links to a JPG image file. (ii) The page also carries a document 'Repeated Harassing RTI Application Cannot Be Entertained', Section 4(1)(a) indexes for 2023-24, 2024-25 and 2025-26 by office or zone, and a menu link labelled 'RTI Online' pointing to rtionline.gov.in. (iii) The saved page text has no PIO names, designations, phone numbers or email addresses. It also has no RTI application procedure (fee, form, time limits, how to appeal) as page text. The page footer reads 'Last Updated:' with no date. Other sources checked: BWSSB-01, -07, -13 and -30 (BWSSB web pages; their saved text is common footer and policy mater</t>
  </si>
  <si>
    <t xml:space="preserve">Right to information Act - Bangalore Water Supply and Sewerage Board [BWSSB-12]</t>
  </si>
  <si>
    <t xml:space="preserve">https://bwssb.karnataka.gov.in/new-page/Right%20to%20information%20Act/en</t>
  </si>
  <si>
    <t xml:space="preserve">4 (1) (b) xvi List of First Appeal, Authority, Public Information Officers</t>
  </si>
  <si>
    <t xml:space="preserve">I left the score blank. The Citation Sheet can't decide either part of the score (whether the PIO details are available and current, and what format they are in). I agree with Step 2. What BWSSB-12 shows: BWSSB's official RTI page (bwssb.karnataka.gov.in) links to three files. (1) Row 15, '4 (1) (b) xvi List of First Appeal, Authority, Public Information Officers', points to KANNADA(1).pdf. (2) Row 17, 'List of Public Information Officers', points to KM_226_03719.pdf; the file name looks like a scanner or copier output, but that is not confirmed. (3) Row 18, 'PIO for stores', points to a JPG image (20190701_123241.jpg); the file name suggests a 2019 date, which is not confirmed, and it covers only the stores PIO. None of these files is in the Citation Sheet. So the PIO names, designations and contacts, the dates of the lists, whether the officers are current, and whether the files are searchable or scanned images are all unverified. This is a VERIFICATION LIMIT, not proof of absence, so a 0 cannot be given. A positive score also has no support: the page only links to the lists, and linking is not evidence of current, usable PIO details. The page text has no RTI procedure (fee, form, time limits, appeals), and its footer says 'Last Updated:' with no date. The menu links to rtionline.gov.in (BWSSB-12, BWSSB-16), and the BWSSB-01 footer links to rtionline.karnataka.gov.in. Neither link shows a BWSSB-specific procedure. Other sources checked, none with PIO lists or RTI procedure text: BWSSB-16 (Contact Info; only menu links to RTI pages) and BWSSB-01, -02, -04, -13, -33. I also searched the whole Citation Sheet for PIO, appellate authority, RTI fee and application form. For the human scorer: open KANNADA(1).pdf, KM_226_03719.pdf and the stores-PIO JPG from the BWSSB RTI page. For each, record its date, check that the named office-holders and contact details are current, and note whether it is a searchable PDF or a scanned/image-only file. Also check for any RTI procedure text on BWSSB's site. Then apply the DPG5j rubric and capture a dated screenshot.</t>
  </si>
  <si>
    <t xml:space="preserve">ANSWER: BMTC's official website has menu links to an RTI page, RTI 4(1)(a) and 4(1)(b) disclosure pages, the state Online RTI portal, and a PDF titled 'List of PIO-APIO-AA'. The Departments page says the Public Information Officer post is held by the Chief Law Officer. None of the RTI pages or the PIO/APIO list itself is in the Citation Sheet, so I could not read them. I therefore cannot check whether named PIO/APIO officers, their contact details and the RTI procedure are published, whether those details are still valid, or whether the PDF is searchable or a scan. | EVIDENCE: (1) BMTC-18, Departments page, menu: '[...rti/en] RTI', 'Online RTI' (rtionline.karnataka.gov.in), 'RTI 4(1)A', 'RTI 4(1) B', and '[.../RTIPIOENGupdated04-6-24.pdf] List of PIO-APIO-AA'. In the department table, row 3 'Law' lists the office as 'Chief Law Officer and Public Information Officer'. Row 11 'Internal Audit / Dy CAO/ IA' is the 'nodalofficer for RTI'. This row names a post, not a person, and gives no phone number or email. (2) BMTC-16, Contact Us page: has the same RTI menu links. The page footer says 'Last Updated: 30-09-2026'. (3) BMTC-01, home page: links to the state 'Online RTI' portal and to 'Mahiti Kanaja'. (4) BMTC-11, Officers List: the saved text I could read contains no PIO name or contact details. (5) A search of the whole Citation Sheet for RTI, Public Information Officer, PIO and APIO found no RTI procedure text, RTI fee or PIO contact details in any citation. The legal sources (</t>
  </si>
  <si>
    <t xml:space="preserve">Departments - Bengaluru Metropolitan Transport Corporation [BMTC-18]</t>
  </si>
  <si>
    <t xml:space="preserve">https://mybmtc.karnataka.gov.in/info-1/Departments/en</t>
  </si>
  <si>
    <t xml:space="preserve">[https://mybmtc.karnataka.gov.in/storage/pdf-files/RTIPIOENGupdated04-6-24.pdf] List of PIO-APIO-AA</t>
  </si>
  <si>
    <t xml:space="preserve">I left the score blank because of a VERIFICATION-LIMIT. This is not a finding that the information is missing. I checked the Step 2 answer against the source and it holds. BMTC-18 (Departments page, footer 'Last Updated: 30-09-2026') has links to: BMTC's own RTI page, the RTI 4(1)A and RTI 4(1) B pages, the state Online RTI portal, and a PDF called 'List of PIO-APIO-AA'. The PDF's file name suggests it was updated on 04-06-2024. I did not open it, so that date is unconfirmed. In the departments table, the Law department's head is 'Chief Law Officer and Public Information Officer', and the Internal Audit row names the 'Dy CAO/ IA' as 'nodalofficer for RTI'. Both rows give only a post title: no officer's name, phone number or email. What I checked: I searched the whole Citation Sheet for PIO, APIO, appellate authority, RTI fee and contact details, and read BMTC-18 and BMTC-11 (Officers List). Neither had PIO/APIO names, contact details or the RTI procedure. The Step 2 answer reports the same for BMTC-16 (Contact Us) and BMTC-01 (home page). The pages that would decide the score are not in the Citation Sheet: the BMTC RTI page, the RTI 4(1)(a) and 4(1)(b) pages, and the PIO-APIO-AA PDF. Without them I cannot judge whether the details are available and current, or what format they are in (searchable PDF, scanned PDF or HTML). A 0 would need proof of absence, which I don't have. A partial score would credit a list I haven't read. So the score stays blank. For the reviewer: (1) Open https://mybmtc.karnataka.gov.in/3/rti/en, the 4(1)(a) and 4(1)(b) pages, and the PIO-APIO-AA PDF. (2) Check that PIO/APIO/Appellate Authority names and contacts are listed and still current against the Officers List, and confirm the list's date. (3) Check whether the PDF text is searchable. (4) Take a dated screenshot, as the question bank requires.</t>
  </si>
  <si>
    <t xml:space="preserve">Step 2 found no evidence: a source needs to be found and added. Step 2 found no evidence (Insufficient Evidence). Source needed: A saved, dated copy of BDA's own official RTI page or Section 4(1)(b) disclosure (from a BDA domain shown to be official) that names the current PIO/APIO and First Appellate Authority, gives their contact details, and explains how to file a request (fees, address, online/offline). Alternatively, a saved copy of the Karnataka RTI Online portal's PIO/FAA listing or department list showing BDA's entry. Record the file format of each (HTML or searchable PDF, versus scanned or image-only).</t>
  </si>
  <si>
    <t xml:space="preserve">Step 2 found no evidence: a source needs to be found and added. Step 2 found no evidence (Insufficient Evidence). Source needed: A dated, saved copy of BMRCL's current RTI page or Section 4(1)(b) disclosure on its official website. It should list the current PIO, APIOs and First Appellate Authority with contact details, and explain how to file an RTI application (fee, mode, address or online portal). We also need the file type (HTML, searchable PDF or scanned image) and proof that the domain is official, ideally a link from a Government of Karnataka or Government of India page. Failing that, a current Annual Report or official notification naming the PIO.</t>
  </si>
  <si>
    <t xml:space="preserve">Step 2 found no evidence: a source needs to be found and added. Step 2 found no evidence (Insufficient Evidence). Source needed: A saved, dated copy of BMRDA's own 'Right To Information' page and its 'RTI online services' page, showing the current PIO/APIO/Appellate Authority names, phone and email, and how to file an RTI application. Also the current RTI s.4(1)(b) disclosure PDF with its PIO particulars, recorded as searchable or scanned, and the BMRDA entry on the Karnataka RTI Online portal. Each needs a date of access.</t>
  </si>
  <si>
    <t xml:space="preserve">Step 2 found no evidence: a source needs to be found and added. Step 2 found no evidence (Insufficient Evidence). Source needed: SUDA's official RTI webpage or its RTI Act s.4(1)(b) proactive-disclosure manual. It should name the current PIO, APIO and Appellate Authority with designation, address, phone and email, describe the application procedure and fees, and carry a date. The format should also be recorded: HTML page, searchable PDF, or scanned/image-only PDF. A dated screenshot or archived copy with the access date is also needed.</t>
  </si>
  <si>
    <t xml:space="preserve">ANSWER: Yes. GMRC's official website has an HTML RTI page that names its Public Information Officers. One of them is a PIO specifically for Surat, and the page also names the First Appellate Authority, with email addresses and, for some officers, phone numbers. A separate HTML Section 4(1)(b) proactive-disclosure page sets out the RTI procedure: how to apply, fees and time limits. Both are searchable HTML pages, not images or scanned PDFs. Nothing in the Citation Sheet shows that the named officers or contact details are out of date, so under the rubric they count as current. | EVIDENCE: (1) GMRC-14, 'Details of Public Information Officer and Appellate Authority' (HTML), lists: Shri Dhaval R Jani, I/c Chief Administrative Officer, Central First Appellate Authority (cao@gujaratmetrorail.com, +91-79-23248572 Ext 528); Shri Saiyedmiyya Pathan, PIO (O&amp;M) for Ahmedabad-Gandhinagar; 'Shri Deepak Mahana, Senior Deputy General Manager (Sr. DGM) – Civil/Safety Public Information Officer (Surat)', with email; and Ms. Bhoomi Shah, DGM-Administration, PIO 'Ahmedabad-Gandhinagar (All Departments Except (O&amp;M) and all Surat)', with email and phone Ext 520. Page footer: 'Last Updated on : 12-Oct-2026 @ 6:16 PM'. (2) GMRC-03, 'Proactive Disclosure under Section 4(1)(b) of RTI Act 2005' (HTML). Ch.15: citizens 'can write to concerned Public Information Officer (PIO)'; the application 'should be accompanied with the prescribed application fees'; registered office address in Gandhinagar; info@gu</t>
  </si>
  <si>
    <t xml:space="preserve">Details of Public Information Officer and Appellate Authority [GMRC-14]</t>
  </si>
  <si>
    <t xml:space="preserve">https://www.gujaratmetrorail.com/details-of-public-information-officer-and-appellate-authority/</t>
  </si>
  <si>
    <t xml:space="preserve">3.Shri Deepak Mahana, Senior Deputy General Manager (Sr. DGM) – Civil/SafetyPublic Information Officer(Surat)Email: deepak.mahna@gujaratmetrorail.com</t>
  </si>
  <si>
    <t xml:space="preserve">I scored 1, made up of two parts of 0.5 each. One part is availability and currency of RTI details; the other is minimum format. My input did not include the question's Detailed Methodology text. I took these two bands from the Step 2 notes, so a reviewer should check them against the DPG5j methodology before accepting the score. (1) Availability and currency, 0.5: I checked this against the sources and it holds. GMRC-14 is GMRC's official RTI page in HTML. It names a Central First Appellate Authority (Shri Dhaval R Jani, cao@gujaratmetrorail.com, Ext 528). It also names a PIO for Surat (Shri Deepak Mahana, Sr. DGM, by email) and a PIO for 'all Surat' (Ms. Bhoomi Shah, DGM-Administration, by email, Ext 520). GMRC-03 is the Section 4(1)(b) disclosure page, also HTML. Ch.15 explains how to apply to the PIO and says the prescribed fee must be paid. Ch.16 links to the PIO page. Ch.17 gives the fee schedule (Rs.20 application; Rs.2 per page; nil for BPL applicants) and the time limits (PIO 30 days, APIO 35 days). The GMRC-14 footer says 'Last Updated on : 12-Oct-2026 @ 6:16 PM'. GMRC-03 has spending figures to 31.03.2026. Nothing in the Citation Sheet shows these officers or contacts are out of date. (2) Minimum format, 0.5: both pages are searchable HTML, not scanned images. Points for the reviewer: (a) The 'Last Updated' footer may be a date for the whole site, not this page. No one has checked that the named officers are still in post or that their email addresses work. If the methodology requires independent proof of currency, this part could fall to 0, so please capture a dated screenshot. (b) The Surat PIO entry gives only an email address: no phone number and no Surat postal address. The only postal address given is the Gandhinagar registered office. (c) The procedure text has errors and dated wording: it says 'Within 48 days' for life-or-liberty requests, where the Act says 48 hours, and it mentions diskettes and floppies. No APIO is named, although the link text mentions 'assistant-pio'. (d) No gov.in or nic.in page in the Citation Sheet links to gujaratmetrorail.com as GMRC's official domain. Its official status rests on the site's own ownership statement and on the team's listing.</t>
  </si>
  <si>
    <t xml:space="preserve">DPG5k</t>
  </si>
  <si>
    <t xml:space="preserve">Step 2 found no evidence: a source needs to be found and added. Step 2 found no evidence (Insufficient Evidence). Source needed: Two things are needed, each with a dated saved copy or screenshot: (a) BWSSB's tender/notifications page on its official website, and (b) BWSSB's tender and award listings on the Karnataka e-Procurement portal, filtered to BWSSB. Together these should show the date of the latest tender and award (current or previous FY) and the format: a searchable table or downloadable CSV/XLS, versus individual or scanned PDFs. A published BWSSB contract or work-order register would also answer the awarded-contract part.</t>
  </si>
  <si>
    <t xml:space="preserve">ANSWER: Partly answered. Availability and currency are met: BMTC's official Tenders page lists dated tender notices from the current FY 2026-27. The latest is 'TENDER NOTIFICATION NO: 24/2026-27 (e-Procurement Platform): 23/09/2026', and the list continues back through FY 2025-26 (e.g. No. 35/2025-26, 20/03/2026) to 2020. The format component cannot be settled. The page is an HTML list arranged by month, giving each notice's title, number and date with a link to a separate PDF. It is not a structured table with fields such as value, closing date or winning bidder, and no filter, search or CSV/XLS download is shown on the page itself. Many entries say tenders go 'through Kpp Portal' or 'e-Procurement Platform', but that portal, which may hold a searchable table, is not in the Citation Sheet. No awarded-contract details (awardee, contract value, award date) appear anywhere on the page. | EVIDENCE: BMTC-10 (BMTC Tenders page, official site mybmtc.karnataka.gov.in): top entries 'TENDER NOTIFICATION NO: 24/2026-27 (e-Procurement Platform): 23/09/2026'; 'COMMERCIAL (ASSET) TENDER NOTIFICATION NO: 02/2026-27 (e-Procurement Platform): 17/09/2026'; 'BMTC invites tender for procurement of the following Goods &amp; Services through Kpp Portal: 08/09/2026'. Every entry links to a single PDF or DOCX file, and some link paths look malformed (the domain appears twice). BMTC-01, BMTC-18 and BMTC-28 (other BMTC web pages) contain only general site text and nothing on procurement or awards. The si</t>
  </si>
  <si>
    <t xml:space="preserve">SCORE LEFT BLANK. The question has two halves, each worth 0.5: (a) availability and currency, and (b) format. Only (a) can be decided from the Citation Sheet. (b) is a RUBRIC-GAP and is also incomplete evidence.
(a) Availability and currency. BMTC-10 is BMTC's official Tenders page on mybmtc.karnataka.gov.in. It lists dated notices from the current FY 2026-27. The latest is 'TENDER NOTIFICATION NO: 24/2026-27 (e-Procurement Platform): 23/09/2026', and others follow from 17/09/2026, 09/09/2026 and 08/09/2026. The list runs back to 2022-23. If the methodology's 'tenders/awards' wording means tender notices alone are enough, this half supports 0.5. The reviewer should confirm that.
Awards. I found no awarded-contract details for BMTC (awardee, contract value or award date) anywhere in the sheet. A sheet-wide search for 'awarded contracts work order successful bidder kppp' found only BMTC-04, the GBA Act. Its ss.142-143 cover contracts and tenders for the City Corporation, not BMTC, and the Act shows no practice.
(b) Format. The page is an HTML list grouped by month. Each entry gives a title, number and date and links to its own PDF or DOCX file. The page shows no structured fields (value, closing date, awardee), no tender filter or search and no CSV/XLS download. The only search mentioned is the site-wide 'search here' box in the Help text. This looks close to the rubric's 0 example ('individual PDFs with no searchable/indexed tender/award register'). Still, two things stop me from entering a 0:
(i) It is a judgement call whether a dated, ordered link list counts as an 'indexed register'.
(ii) Many entries say bids go 'through Kpp Portal' / 'e-Procurement Platform'. The Karnataka Public Procurement portal may hold a structured, searchable BMTC tender and award register, but it is not in the Citation Sheet. Without it there is no affirmative absence.
Outcome: the total is 0.5 if format is confirmed as 0, or 1 if format earns 0.5 (for example through a dated KPP capture).
VERIFICATION-LIMIT: Some PDF links repeat the domain in their path (e.g. 'mybmtc.karnataka.gov.in/mybmtc.karnataka.gov.in/uploads/...'), so I could not confirm those links work. None of the individual PDFs were opened.
Other sources checked: BMTC-01, BMTC-18 and BMTC-28 have no procurement content. A reviewer should take a dated screenshot of the Tenders page and the KPP portal BMTC listing.</t>
  </si>
  <si>
    <t xml:space="preserve">Step 2 found no evidence: a source needs to be found and added. Step 2 found no evidence (Insufficient Evidence). Source needed: Two things would answer this. First, a saved and dated copy of the tender or notification page on BDA's official website; its official status needs proof such as a link from a gov.in page. Second, the Karnataka public-procurement (KPPP) portal's tender and award listings filtered to Bangalore Development Authority. Either should show dated tender notices and contract awards from FY 2025-26 or 2026-27, and whether they appear as a searchable table or downloadable CSV/XLS, or only as individual or scanned PDFs. A published BDA contract or award register would also answer it.</t>
  </si>
  <si>
    <t xml:space="preserve">ANSWER: The Citation Sheet has one BMRCL tender notice online, but no record of awarded contracts. That notice is on the Government of India eProcurement System (etenders.gov.in), not on BMRCL's own website. It is Tender ID 2025_BMRCL_222481_1, for the Automatic Fare Collection System for Phase-2A and 2B. It was published on 04-Jan-2025 (FY 2024-25), with bid submission 17–27 May 2025 and bid opening 28-May-2025 (FY 2025-26). The page was accessed on 12-Oct-2026, which falls in FY 2026-27. Whether this counts as a tender 'from the immediately preceding FY' (FY 2025-26) is unclear, because it was published in FY 2024-25. The page is a structured HTML tender-detail record, and the portal menu offers 'Search', 'Tenders by Organisation', 'Results of Tenders' and 'Awards'. However, no saved copy shows a searchable BMRCL tender list or award register in use. No information on awarded contracts (winner, value, date) is in the Citation Sheet. | EVIDENCE: (1) BMRCL-33, eProcurement tender details page: Organisation Chain 'Bangalore Metro Rail Corporation Limited||Projects Division - AFC-BMRCL'; Published Date 04-Jan-2025; Bid Opening Date 28-May-2025; corrigendum 'Addendumno5dated17042025'; the page is dated 12-Oct-2026; there is a BOQ file in .xls (a bid form, not an award dataset). Only the portal menu headings 'Results of Tenders' and 'Awards' appear; no award content was captured. (2) BMRCL-09, Annual Report FY 2020-21, Corporate Governance report, item 7: 'the Company hosts all i</t>
  </si>
  <si>
    <t xml:space="preserve">Government eProcurement System - Tender Details: Bangalore Metro Rail Corporation Limited||Projects Division - AFC-BMRCL, Tender ID 2025_BMRCL_222481_1 [BMRCL-33]</t>
  </si>
  <si>
    <t xml:space="preserve">https://etenders.gov.in/eprocure/app?component=%24DirectLink&amp;page=FrontEndViewTender&amp;service=direct&amp;sp=SlPza7vKo52uJdrULT%2FzxVw%3D%3D</t>
  </si>
  <si>
    <t xml:space="preserve">Design, Manufacture, Supply, Installation, Testing and Commissioning of Automatic Fare Collection System (SLE, SC and CCS) for Phase-2A and 2B and Integration with Existing AFC System</t>
  </si>
  <si>
    <t xml:space="preserve">I left the Score blank because the evidence does not support a number. A blank Score is a not-found result, not a 0. The full question text and Detailed Methodology for DPG5k were not given to me. I relied on the Step 2 notes, which describe two components: 'Availability &amp; currency' (0.5) and 'Format' (0.5). I re-read the sources myself. (1) BMRCL-33 is one BMRCL tender-detail record on the central eProcurement portal (etenders.gov.in), not on BMRCL's own website. It was published on 04-Jan-2025, which is FY 2024-25. Bids were submitted and opened in May 2025 (FY 2025-26). The page was accessed on 12-Oct-2026 (FY 2026-27). Whether this tender counts as current depends on which date is used for the FY window, so a reviewer has to rule on it. The page has no award details: no winning bidder, no contract value (it shows 'Tender Value in ₹ NA') and no award date. The portal menu lists 'Results of Tenders' and 'Awards', but the saved page has no BMRCL content under those headings. (2) In BMRCL-09, the Annual Report for FY 2020-21 (Corporate Governance Report, item 7, p.54), the company says it 'hosts all its tenders on the Website' (www.bmrc.co.in) under the KTPP Act, 1999. This is the company describing itself in FY 2020-21. It is not evidence of current practice, and no saved copy of BMRCL's tenders page exists in the Citation Sheet. (3) The other sources are laws and policies, and none of them is a procurement disclosure: BMRCL-02, -03, -04, -06, -07, -08, -32. A search across the Citation Sheet for tender, award and contract disclosures found nothing more. A 0 is not justified, because nothing shows affirmatively that disclosure is absent. BMRCL's own website was never captured, so this is a VERIFICATION-LIMIT. A part-score (for example 0.5 for availability) is also not justified: currency is ambiguous, awarded-contract details are missing, it is unclear whether a central portal counts as 'the website', and I could not see the methodology bands. For the reviewer to confirm: (a) Do the FY window rules use the publication date or the bid-opening date? (b) Does etenders.gov.in count as the parastatal's website? (c) Are both tender notices and award details required? (d) Please capture a dated screenshot of the bmrc.co.in tenders and awards pages and of the BMRCL 'Results of Tenders' / 'Awards' listings on etenders.gov.in for FY 2025-26 and FY 2026-27.</t>
  </si>
  <si>
    <t xml:space="preserve">Step 2 found no evidence: a source needs to be found and added. Step 2 found no evidence (Insufficient Evidence). Source needed: Needed: (a) a capture of the Karnataka e-Procurement portal's tender search and awarded-contract results filtered for BMRDA as the department, with dated tenders or awards from FY 2025-26 or 2026-27 and a note of the format (searchable table or downloadable dataset vs PDF); or (b) a BMRDA website page on tenders or contracts, if one exists. A dated screenshot or archived URL with access date for each document type (tender notices; awarded contracts).</t>
  </si>
  <si>
    <t xml:space="preserve">Step 2 found no evidence: a source needs to be found and added. Step 2 found no evidence (Insufficient Evidence). Source needed: A saved, dated copy of SUDA's own tenders or notices page, and/or SUDA's listing on the Gujarat state e-procurement portal, showing tenders and awarded contracts from FY 2025-26 or FY 2024-25. It should also record the format (searchable table or downloadable data file, versus single PDFs or scanned notices), plus any contract register or list of awards SUDA publishes.</t>
  </si>
  <si>
    <t xml:space="preserve">ANSWER: Yes. GMRC's own website publishes tender notices and awarded-contract details from the current FY (2026-27), and both are set out as structured HTML tables. Availability and currency: met. The latest award is dated 19/08/2026 and the latest tender notice opened for document sale on 12/10/2026. Format: met. The Awarded Tenders page is an HTML contract register with columns for tender number, work, project, contractor and work order date. | EVIDENCE: (1) GMRC-13, Awarded Tenders page. An HTML table with the columns 'Tender No. / Work Details / Metro Rail Project / Awarded To / Work Order Date'. The top row is GEM/2026/B/7773143 (battery supply), awarded to M/s POWER SOLUTION SERVICES (ii) M/s HITEN TRADING CO on 19/08/2026. Other 2026 awards are dated 11/08/2026, 10/08/2026, 06/08/2026 and 04/08/2026. The register runs back to 2019-20 and includes Surat entries, e.g. the Surat Metro Phase-I topographical survey awarded to M/s M K Soil Testing Laboratory on 04/02/2020. (2) GMRC-12, Tenders page. An HTML table with the columns 'Tender No. / Work Details &amp; Document / Metro Rail Project / Document Sale Date / Submission Date / Opening Date'. Each row links to its NIT, press notice or addendum PDFs. Current Surat entries include GMRC/CONS/VDCT+STNS/SURAT/PH-1 EXT./2026 (4.4 km viaduct, Saroli to Surat HSR; document sale 23/09/2026 to 07/11/2026) and the Surat Phase-1 Extension utility-shifting and geotechnical tenders (21/09/2026 to 05/10/2026). The newest tender in the tabl</t>
  </si>
  <si>
    <t xml:space="preserve">Awarded Tenders - Gujarat Metro Rail Corporation (GMRC) Limited [GMRC-13]</t>
  </si>
  <si>
    <t xml:space="preserve">https://www.gujaratmetrorail.com/awarded-tenders/</t>
  </si>
  <si>
    <t xml:space="preserve">GMRC/ROAD RESURFACE/SURAT/PH-1/2026Resurfacing and Repair of Roads along with Ancillary Works in Corridor-I &amp; II alignment of Surat Metro Rail Project, Phase-1Surat Metro Rail Project Phase – 1M/s. Sunil A. Domadia15/05/2026</t>
  </si>
  <si>
    <t xml:space="preserve">I propose a Score of 1. This uses the two-part rubric the Step 2 answer quotes: availability and currency 0.5, plus format 0.5. The question text and Detailed Methodology were not in my task input, so a reviewer should check that this 0.5 + 0.5 split matches the question bank for DPG5k.
I re-read the sources myself rather than copying Step 2.
(1) Availability and currency (0.5). GMRC-13 is an awarded-contract register with work order dates in FY 2026-27. The latest is 19/08/2026. Surat-specific awards include GMRC/ROAD RESURFACE/SURAT/PH-1/2026 (M/s. Sunil A. Domadia, 15/05/2026) and GMRC/HORTICULTURE/DC-01/SURAT/PH-1/2026 (M/s. Bhavani Garden Consultant, 18/04/2026). GMRC-12 lists tender notices in FY 2026-27. The newest is GEM/2026/B/8141296, with document sale from 12/10/2026. Surat tenders include GMRC/MMI-2/SURAT/PH-1/2026 (15/05/2026 to 10/08/2026) and GMRC/AFC-Consultant/Surat/Ph-1/2026. The page footer reads 'Last Updated on : 12-Oct-2026'. Both tender notices and award details are therefore current.
(2) Format (0.5). Both indexes are structured HTML tables with fixed columns. The tenders table has Tender No., Work Details &amp; Document, Metro Rail Project, Document Sale Date, Submission Date and Opening Date, and links each row to its NIT, addendum or PDF. The awards table has contractor and work order date. This fits the 'HTML contract register' example that Step 2 says the rubric gives.
Caveats for the reviewer:
(a) Domain proof is not settled under source rule B. The Citation Sheet has no gov.in/nic.in page or Act/GO naming gujaratmetrorail.com as GMRC's domain. The only support is the site's own footer ('This website belongs to Gujarat Metro Rail Corporation (GMRC) Limited') and GMRC's 2024-25 Annual Report (GMRC-05). The team should confirm.
(b) The saved text cannot show whether the page has a search or filter box. If the methodology requires search or filter, a reviewer should check the live page. VERIFICATION-LIMIT for that feature only.
(c) Both registers cover all of GMRC, not only Surat. The 'Metro Rail Project' column marks the Surat rows, but some Surat rows carry the wrong label. For example, GMRC/ENVIRONMENT/SURAT/N&amp;V STUDY/2023 is tagged 'Ahmedabad Metro Rail Project Phase – 1'. This is a data-quality issue.
(d) Surat Metro is still pre-operational.
(e) No dated screenshot is in the Citation Sheet. A reviewer should capture one if the question bank requires it.
Confidence is medium because the score rests on two sources read together (GMRC-12 and GMRC-13), the rubric was taken from Step 2 rather than given to me, and domain proof is open.</t>
  </si>
  <si>
    <t xml:space="preserve">DPG6a</t>
  </si>
  <si>
    <t xml:space="preserve">ANSWER: Yes. The BWSSB Act, 1964 itself sets up channels for grievances. Section 120 gives a statutory right of appeal. Any person aggrieved by a decision or order of the Water Supply Engineer, the Sanitary Engineer or any other officer may appeal within 60 days to an appellate authority set by regulations, subject to revision by the Board. Section 59(7)(c) adds a binding duty: the Board 'shall make regulations' for hearing and disposing of complaints by owners or occupiers about licensed plumbers. Together these meet 'requires a grievance-redressal mechanism (any channel)'. | EVIDENCE: (1) BWSSB Act 1964 (PRS copy, BWSSB-02), s.120 'Appeals': 'Any person aggrieved by any decision or order of the Water Supply Engineer or the Sanitary Engineer or other officer under this Act or any rule or regulation made thereunder may within a period of sixty days ... appeal to the authority prescribed by the regulations'. The 'may' is the citizen's right to appeal; it is not discretion for the Board. (2) s.121 'Revision': the Board may call for the records of any subordinate officer's proceedings. (3) s.59(7): 'The Board shall make regulations providing for ... (c) the hearing and disposal of complaints made by the owners or occupiers of premises with regard to the quality of work done, material used, delay in execution of work, and the charges made, by a licensed plumber.' Section 82 applies the plumber provisions to sewerage work, per the penalty schedule 's.82 read with s.59(2)'. (4) s.1</t>
  </si>
  <si>
    <t xml:space="preserve">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t>
  </si>
  <si>
    <t xml:space="preserve">I checked the Step 2 answer against the text of BWSSB-02 (the Bangalore Water Supply and Sewerage Act, 1964, PRS copy with amendments appended up to Act 29 of 2021). The source supports it.
What the Act says:
(1) s.120 gives a statutory appeal. Any person aggrieved by a decision or order of the Water Supply Engineer, the Sanitary Engineer or another officer under the Act, rules or regulations may appeal within 60 days to the authority prescribed by the regulations. The appellate order is final, subject to the Board's revision. Here 'may' is the citizen's right to appeal, not discretion for the Board.
(2) s.121 lets the Board call for and revise the proceedings of subordinate officers.
(3) s.59(7)(c) is mandatory: 'The Board shall make regulations providing for ... the hearing and disposal of complaints made by the owners or occupiers of premises' about licensed plumbers' work, materials, delay and charges. s.82(2) applies s.59 to drain and sewerage work.
Together these mean the law requires a grievance or complaint channel, which fits the band Step 2 describes ('requires a grievance-redressal mechanism (any channel)'). I score that as 5.
Supporting practice evidence only: BWSSB-29 (Annual Report FY 2016-17, p.101) records monthly Water Adalats, Appeal Committees and Higher Appeal Committees for bill disputes and public grievances. This is old and is not used for the score.
FOR THE TEAM TO CONFIRM:
(a) RUBRIC CHECK NEEDED: the question text and Detailed Methodology for DPG6a were not in my task input. I took the band wording ('any channel' = 5) from the Step 2 answer. A person should check that 5 is the right band for 'law requires a grievance mechanism'.
(b) Both provisions are narrow. s.120 covers appeals against officers' decisions or orders. s.59(7)(c) covers only complaints about licensed plumbers. Neither is a general mechanism for complaints about service. If the rubric wants a general service-complaint mechanism, the BWSSB Citizen Charter, the BWSSB Regulations and any Sakala schedule entry need to be added to the sheet. None of these texts is in the sheet now: BWSSB-12 only links to the Charter, and BWSSB-34 does not show a BWSSB schedule entry.
(c) The Act text is a PRS copy only. ss.59 and 120 should be checked against an official Karnataka gazette or e-Gazette copy.
(d) The regulations that name the s.120 appellate authority are not in the sheet, so it is not confirmed that they have been made.</t>
  </si>
  <si>
    <t xml:space="preserve">Step 2 found no evidence: a source needs to be found and added. Step 2 found no evidence (Insufficient Evidence). Source needed: Any one of these could settle the question: (a) the BMTC Citizen's Charter or Service Charter, if one is issued, showing it commits to a complaint or grievance channel; (b) the Karnataka Guarantee of Services to Citizens (Sakala) Act schedule or notification listing BMTC services, with its designated officers and appeal authorities; (c) the readable text of KSRTC Rules 1961 and any BMTC/KSRTC regulations that apply to BMTC, checked for passenger complaint or grievance provisions; (d) any State Government order under RTC Act s.34 directing BMTC to keep a public grievance mechanism, or a Karnataka IPGRS/e-Spandana order that covers BMTC. To score 0, all of these would need to be in the sheet, read, and found silent.</t>
  </si>
  <si>
    <t xml:space="preserve">ANSWER: Not determined. The BDA Act, 1976 does not require a general grievance-redressal mechanism for citizens. The only provisions found are a narrow statutory appeal against betterment/property-type tax levied under s.28B (s.62A) and a discretionary revision power held by the Government and the Authority (s.63). The other layers that could create the mandate are not in the Citation Sheet: BDA Rules, BDA Regulations, a BDA citizen or service charter, and any Sakala (Karnataka service-guarantee) schedule entry for BDA services. So a 0 cannot be given on affirmative absence, and a 5 cannot be given on the Act alone. | EVIDENCE: (1) BDA Act 1976, PRS copy with amendments up to Act 42 of 2026 (BDA-02). Arrangement of sections and the text of Chapters II-VIII were checked; there is no section on grievance redressal or complaints. s.62A(1): 'Any person aggrieved by the assessment, levy or imposition of any tax under section 28B may ... appeal to such authority as the Government may, by notification, specify'. The Appellate Authority's decision is final (s.62A(3)). This covers only tax under s.28B. s.63(1)-(2): Government / Authority 'may call for the records of any proceedings ... for the purpose of satisfying itself as to the legality or propriety of any order'. This is discretionary, a 'may' power, and not a complaint channel. s.69 (rule-making) and s.70 (regulations) list no grievance-redressal subject. s.71 (bye-laws) covers only houses, building construction and layouts. The</t>
  </si>
  <si>
    <t xml:space="preserve">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t>
  </si>
  <si>
    <t xml:space="preserve">Score left blank. Not found, and absence is not shown. I agree with Step 2 after checking BDA-02 (PRS copy of the BDA Act 1976, amended up to Act 42 of 2026).
What the Act contains:
- No section on general citizen grievance redressal or complaints.
- s.62A gives a narrow appeal against tax under s.28B. The appeal goes to an Appellate Authority that the Government notifies, and its decision is final (s.62A(3)). It covers one subject only, so it is not a general grievance mechanism.
- s.63 is a discretionary ('may') revision power held by the Government and the Authority. It is not a channel for citizen complaints.
- s.69 (rules) and s.70 (regulations) list no grievance-redressal subject.
- s.71 (bye-laws) covers only houses, building construction and layouts.
Why I gave neither 0 nor 5:
- A 0 needs affirmative absence across every layer. Several are not in the Citation Sheet: BDA Rules under s.69, BDA Regulations under s.70, any BDA citizen or service charter, the Karnataka Sakala Services Act and its schedule notifications for BDA services, and any Government directions to BDA under s.65.
- I searched the sheet for 'grievance redressal' and 'Sakala guarantee of services citizen charter'. Neither search found these instruments.
- A 5 is not supported. The only redress provision is the s.62A tax appeal, and whether that alone meets the methodology's 'mechanism' needs a person to decide.
Other sources checked:
- GBG Act 2024 (BDA-03) s.96(c): an assembly-constituency-level committee 'shall' receive grievances about 'any authority empowered under this Act'. This is a provision of the city government's own law, not BDA's, and it is unclear whether BDA counts as such an authority.
- BDA-04, BDA-05, BDA-06, BDA-13 and BDA-27 hold no grievance mandate for BDA. BDA-27 is the RTI portal: RTI is a right to information, not a grievance mechanism.
For the team:
(a) Add the Sakala schedule entries for BDA, any BDA citizen charter, and the BDA Rules and Regulations.
(b) Decide whether the s.62A tax appeal counts as a grievance-redressal mechanism through 'any channel'.
(c) Decide whether GBG Act s.96(c) covers BDA.
BDA-02 is a secondary PRS copy.</t>
  </si>
  <si>
    <t xml:space="preserve">ANSWER: Not determined. None of the Act, Rules or Regulations in the Citation Sheet requires BMRCL to run a general grievance-redressal mechanism. The sheet also contains no BMRCL citizen or service charter. The only express grievance provision is in BMRCL's Metro Parking Policy, 2025, Objective 5 item 7, and it covers parking complaints only. That policy names a BMRCL 'redressal cell' and says complainants 'should be able to' file online. The rubric accepts an Act, subordinate legislation, or a citizen or service charter. This document is a policy, not one of those types, so whether it counts needs team confirmation. | EVIDENCE: (1) Metro Railways (Operation and Maintenance) Act, 2002 [BMRCL-04]: I found no general passenger grievance provision. Chapter IX, ss.48-54, is the nearest thing. Under s.48, the Central Government 'may' appoint a Claims Commissioner 'for the purpose of adjudicating upon claims for compensation in respect of accidents'. That is a court-like forum for accident compensation claims, not a grievance channel. s.28 covers communication between passengers and train staff, and is about emergencies. s.32 (Rules) and s.101 (Regulations) allow subordinate legislation, but no Rules or Regulations made under them are in the sheet. (2) Companies Act, 2013 [BMRCL-06]: BMRCL is a Government Company under s.2(45), per the Annual Report. I found no provision requiring BMRCL to run a grievance mechanism for the public. (3) BMRCL Annual Report FY2020-21 [BMRCL-09]: it m</t>
  </si>
  <si>
    <t xml:space="preserve">The redressal cell of BMRCL will address the complaints related to parking  on regular basis. The complainant should be able to submit his /her grievances through online mode also.</t>
  </si>
  <si>
    <t xml:space="preserve">I have left the score blank because the evidence fits neither the 5 band nor a 0.
What I found:
(1) The only grievance provision in the Citation Sheet is BMRCL-32, the Metro Parking Policy 2025, Objective 5 item 7, quoted above. It covers parking complaints only. It uses 'will' and 'should be able to', not 'shall'. It is a policy document, not an Act, subordinate legislation or a citizen/service charter.
(2) The question text and Detailed Methodology were not in the task input. I took the 5 band from the Step 2 notes: 'Act, subordinate legislation or charter requires a grievance mechanism'. A person should check this against the question bank.
(3) RUBRIC-GAP: a parking-only clause in a policy document matches neither the 5 band nor a 0. The team needs to confirm: (a) whether this policy counts as a policy mandate or charter; (b) whether a channel limited to parking is enough.
Why not 0: a 0 needs affirmative absence, and these are not in the Citation Sheet:
- any BMRCL Citizen's or Service Charter;
- regulations made under s.101 of the Metro Railways (Operation and Maintenance) Act, 2002;
- Rules made under s.32 of the same Act;
- BMRCL's Memorandum and Articles of Association;
- the Karnataka Sakala (service-guarantee) schedule.
What I checked:
- BMRCL-04, Metro Railways (Operation and Maintenance) Act, 2002: s.48 and ss.57-58 are accident compensation before a Claims Commissioner, which is adjudication, not a grievance channel. s.70 covers emergency communication in trains. Neither is credited.
- BMRCL-06, Companies Act, 2013: s.178(6) covers grievances of security holders only, not the public.
- BMRCL-08, BMLTA Act, 2022: puts no grievance duty on BMRCL. The Schedule lists 'Helpline system' only as an Intelligent Transport System category.
- BMRCL-09, Annual Report FY2020-21: mentions only RTI officers, the Internal Complaints Committee and a labour grievance matter.
- BMRCL-02, Greater Bengaluru Governance Act, 2024, s.96(c): a grievance channel run by the city government's consultative committee, not a duty on BMRCL.
- I also searched the whole sheet for 'grievance redressal' and for 'complaint passengers citizen charter'.
The Step 2 answer matches what the sources say.</t>
  </si>
  <si>
    <t xml:space="preserve">Step 2 found no evidence: a source needs to be found and added. Step 2 found no evidence (Insufficient Evidence). Source needed: Any one of these would decide the question: (a) the full text of the BMRDA Act, 1985 as amended, plus any BMRDA Rules or regulations, checked for a grievance or complaint provision; (b) the text of the BMRDA Citizen Charter (the 2020-21 charter or a later one) and any grievance-redressal clause in it; (c) the Karnataka Sakala service-guarantee schedule, if it lists BMRDA services such as change of land use or layout approval, together with its appeal and redress provisions.</t>
  </si>
  <si>
    <t xml:space="preserve">Step 2 found no evidence: a source needs to be found and added. Step 2 found no evidence (Insufficient Evidence). Source needed: (a) A readable official text of the Gujarat Town Planning and Urban Development Act, 1976, as amended, from the state legislative or urban development department, to check for any complaint or appeal provision on development permission (e.g. appeals against permission orders). (b) A full search of SUDA's current approved General Development Control Regulations for any appeal or complaint clause. (c) SUDA's citizen or service charter, if one exists. (d) Any Gujarat service-guarantee law or government order, with its schedule, that lists SUDA's services with time limits and an appeal or redress officer. (e) Any SUDA-specific government order requiring a grievance cell.</t>
  </si>
  <si>
    <t xml:space="preserve">ANSWER: The Citation Sheet cannot show whether GMRC is required to provide a grievance-redressal mechanism. The sheet does not hold any of the documents the methodology accepts: the Act, its Rules, or a citizen or service charter. The only written grievance commitment for Surat is a project plan from December 2020, the Stakeholder Engagement Plan (SEP). It sets up a grievance process for people affected by the Surat Metro Phase-I project, with a Grievance Redressal Officer in Surat. It is not an Act, not Rules and not a charter. Separately, GMRC's 2024-25 annual report shows a passenger grievance system working on the Ahmedabad Metro. That is evidence of practice, not of a mandate. | EVIDENCE: (1) Parent law: GMRC-03, GMRC's RTI section 4(1)(b) disclosure page, Chapter 5, lists the laws GMRC works under: Metro Railway (Operation and Maintenance) Act 2002, Metro Railway Amendment Act 2009, Railways Act 1989, Metro Railways (Construction of Works) Act 1978. GMRC-07, the MoHUA sanction letter of 6 June 2019, para 8.2, says these central laws 'shall be applicable'. The texts of these Acts are not in the Citation Sheet, so they could not be read. (2) Rules: GMRC-03 also lists the Opening of Metro Railway for Public Carriage of Passengers Rules 2013, Metro Railways General Rules 2020, Notice of Accidents and Inquiries Rules 2014, and Procedure of Claims Rules 2017. Their texts are not in the Citation Sheet either. (3) GMRC's own regulations or a citizen/service charter: none in the</t>
  </si>
  <si>
    <t xml:space="preserve">Stakeholder Engagement Plan for SURAT Metro Rail Project (Phase-I) [GMRC-09]</t>
  </si>
  <si>
    <t xml:space="preserve">https://www.gujaratmetrorail.com/wp-content/uploads/Reports/SEP-Surat-Metro-Final.pdf</t>
  </si>
  <si>
    <t xml:space="preserve">Manage the grievance mechanism set up for the project affected areas;</t>
  </si>
  <si>
    <t xml:space="preserve">I left the score blank because no qualifying instrument is in the Citation Sheet, and no 0 can be given without proof of absence. The Step 2 answer agrees with the source. (1) The 5 band needs an Act, subordinate legislation or a citizen/service charter that requires a grievance mechanism. GMRC-03 lists GMRC's governing laws: the Metro Railway (O&amp;M) Act 2002 as amended in 2009, the Railways Act 1989, and the Metro Railways General Rules 2020 and other Rules. GMRC-07, para 8.2, makes these laws apply. But the texts of these Acts and Rules are not in the Citation Sheet, so I could not check whether any of them requires a grievance mechanism. GMRC-03 also names GMRC's Memorandum and Articles of Association, but their text is not in the sheet either. (2) GMRC-09 is the December 2020 Stakeholder Engagement Plan for Surat Metro Phase-I. It sets up a grievance process for project-affected people: a Grievance Redress Committee with a local-body representative, timelines, and a Grievance Redressal Officer. It is a safeguard plan written for the lenders, AFD and KfW. It is not an Act, Rules or a citizen/service charter, and it covers resettlement and construction grievances, not service users. Whether it can count as a 'charter' needs team confirmation; I treated it as not counting. (3) GMRC-11, the EIA, p. 47, says Indian regulations 'may designate' a grievance officer. That is discretionary wording ('may'), not 'shall'. (4) GMRC-05, the 2024-25 annual report, and GMRC-15, the website's Feedback/Grievance form (a bare name/email/message form, page dated 12-Oct-2026), show a working feedback channel. The annual report relates to the Ahmedabad Metro. Both are evidence of practice, not of a mandate, so they do not support a Law/Policy score. GMRC-15 contains no charter, timelines or binding provision. I also searched the whole sheet for 'citizen charter' and found nothing relevant. The Surat project is listed as 'Under Implementation', so it is pre-operational. Missing evidence for the team to add: the texts of the Metro Railways (O&amp;M) Act 2002/2009 and the Metro Railways General Rules 2020, GMRC's Memorandum and Articles of Association, and any GMRC passenger or citizen charter. The full question text and Detailed Methodology were not given in the task, so I scored from the band description recorded in the Step 2 notes. A person should confirm that against the question bank.</t>
  </si>
  <si>
    <t xml:space="preserve">DPG6b</t>
  </si>
  <si>
    <t xml:space="preserve">ANSWER: The evidence settles one of the five components. BWSSB's official website shows a designated telephone channel: 'Helpline numbers: Call center-1916'. The website also has a 'Lodge Complaint' link to an online complaint system, and the homepage lists a recent 'Revised Water Adalath Schedule', which points to an in-person channel. However, the Citation Sheet has no saved copy of the complaint-system page or of the Water Adalath schedule, so neither can be confirmed as working. The Citation Sheet has no evidence of a mobile app, grievance email or WhatsApp channel, and none of a tracking or acknowledgement number. A full score cannot be proposed. | EVIDENCE: (1) Web channel: the BWSSB-01 homepage (also BWSSB-16, Kannada) has a services menu item 'Lodge Complaint' linking to cms.bwssb.gov.in/module/complain/new_complaint. The staff login menu lists 'Complaint Management System (CMS)'. The complaint page itself was not saved, so it is not shown that a complaint can actually be submitted. Component = ? (VERIFICATION-LIMIT). (2) Mobile/electronic channel: the website copies in the Sheet do not list a grievance app, email or WhatsApp number. The only mobile app listed is 'HRMS &amp; Payroll Mobile app' under Staff login, which is not a citizen channel. The Sheet does not hold every website page (e.g. Contact Us, FAQs, Citizen Charter page), so this cannot be treated as a confirmed absence. Component = ?. (3) Telephone channel: BWSSB-01 homepage, 'Contact Us' / Quick Announcements</t>
  </si>
  <si>
    <t xml:space="preserve">Helpline numbers: Call center-1916, Safa Mitra -14420</t>
  </si>
  <si>
    <t xml:space="preserve">Score left blank. Only 1 of the 5 grievance-channel components is confirmed, so no total (0-5) can be given. Treat 1 as the lowest possible score, not as the score. What the sources show, read against the Step 2 answer: (1) Telephone channel: MET. BWSSB-01, BWSSB-16 and BWSSB-36 all show the homepage block 'Helpline numbers: Call center-1916', a designated helpline. BWSSB-29 (Annual Report FY2016-17) also mentions a 24x7 call centre, but that report is historical only. (2) Web channel: VERIFICATION-LIMIT. BWSSB-01 and BWSSB-36 list a services link 'Lodge Complaint' (cms.bwssb.gov.in/module/complain/new_complaint), and the staff menu lists 'Complaint Management System (CMS)'. The complaint page itself is not in the Citation Sheet, so it is not shown that a citizen can actually submit a complaint there. (3) Mobile/electronic channel (app, email, WhatsApp): not found. The website copies I read (BWSSB-01, BWSSB-13, BWSSB-16, BWSSB-36, BWSSB-41) show no grievance app, email or WhatsApp channel. The only app listed is 'HRMS &amp; Payroll Mobile app' under Staff login, which is not for citizens. The FAQ and helpline 'Read more' pages are not saved in the Sheet, so this is not proven absent and cannot score 0. (4) In-person channel: not confirmed. BWSSB-36 lists 'Revised Water Adalath Schedule', posted '2 weeks ago' (around July 2026), but the schedule's contents are not saved. BWSSB-29 describes monthly Water Adalats in FY2016-17, which is too old to prove current practice. (5) Acknowledgement/tracking: not found. Nothing in the Sheet shows a complaint reference number or status tracking for BWSSB grievances. The Sakala status check in BWSSB-34 covers service-guarantee services, not BWSSB grievances. 'Safa Mitra 14420' is not counted because its purpose is not stated. IPGRS is in the generic state-government footer, not presented as a BWSSB channel. I agree with the Step 2 answer. For a person to check: open the CMS 'Lodge Complaint' page and see whether it accepts a complaint and gives a reference number with tracking; open the Revised Water Adalath Schedule page; open the FAQ and helpline 'Read more' pages for an email, WhatsApp or app channel; take dated screenshots. Website period: as captured around July 2026 (Water Shutdown notice dated 22-07-2026, © 2026).</t>
  </si>
  <si>
    <t xml:space="preserve">ANSWER: Partly established. BMTC's official website links to an online complaint portal and a public grievance dashboard, and publishes a helpline number. The Citation Sheet does not show that any of these work in practice. It also shows no mobile/electronic grievance channel and no in-person grievance channel. Of the five components: (1) Web: the link exists, but whether the portal works is not verified. (2) Mobile/electronic: not found. (3) Telephone: a 'Helpline Number' is published, but it is never explicitly said to accept complaints, so whether it qualifies needs confirmation. (4) In-person: not found. (5) Acknowledgement/tracking: a 'Public Grievance Dashboard' link exists, but no tracking or reference-number function is verified. | EVIDENCE: BMTC-16 (Contact Us, mybmtc.karnataka.gov.in): site menu shows 'Complaints', '[http://crm.mybmtc.com] New Complaint' and '[http://crm.mybmtc.com/All_module] Public Grievance Dashboard'. The page body gives the K H Road, Shanthinagar address and 'Helpline Number: 080 22483777'. BMTC-01 (BMTC home page): the same Complaints / New Complaint / Public Grievance Dashboard menu. A notice item 'BMTC Helpline Number: 080 22483777' is marked '6 years ago'. A gallery item reads 'Inauguration of BMTC helpdesk In KIA Terminal 2' (an airport helpdesk; nothing says it takes grievances). BMTC-10 (Tenders): tenders for a 'BMTC Mobile App with Women safety feature' (2020, 2023). These are procurement records only; no app grievance function is shown</t>
  </si>
  <si>
    <t xml:space="preserve">Contact Us - Bengaluru Metropolitan Transport Corporation [BMTC-16]</t>
  </si>
  <si>
    <t xml:space="preserve">https://mybmtc.karnataka.gov.in/page/Contact+Us/en</t>
  </si>
  <si>
    <t xml:space="preserve">Helpline Number: 080 22483777</t>
  </si>
  <si>
    <t xml:space="preserve">I left the Score blank. The Citation Sheet does not let me verify all five grievance components (web, mobile/electronic, telephone, in-person, and acknowledgement/tracking), and a 0-5 total can't be given while some components are not found rather than shown to be absent.
What each component shows:
(1) Web: The menu on BMTC-01, BMTC-09, BMTC-10 and BMTC-16 links to 'Complaints' (mybmtc.karnataka.gov.in/10/complaints/en), 'New Complaint' (http://crm.mybmtc.com) and 'Public Grievance Dashboard' (http://crm.mybmtc.com/All_module). None of these target pages is in the sheet, so I can't confirm the channel works. This is a VERIFICATION-LIMIT, not a negative finding.
(2) Mobile/electronic: Not found. BMTC-10 has only tenders for a 'BMTC Mobile App with Women safety feature'. BMTC-28 mentions an app for passes, which is ticketing, not grievances. The Contact Us page gives no designated grievance email or WhatsApp.
(3) Telephone: BMTC-16 publishes 'Helpline Number: 080 22483777', but the page never says it takes complaints or grievances. Someone needs to confirm whether it counts.
(4) In-person: Not found. BMTC-30 (KarnatakaOne) covers only monthly pass issue for BMTC. Its 'Grievance' link is KarnatakaOne's own, not BMTC's. BMTC-01 mentions a KIA Terminal 2 helpdesk but doesn't show it takes grievances.
(5) Acknowledgement/tracking: A dashboard link exists, but no reference-number or tracking function is verified.
I checked BMTC-16 and BMTC-30, and searched the whole sheet for 'complaint grievance'. I agree with the Step 2 caveats. BMTC-04 (the GBA Act committee grievances) is a channel on the city government's side, not BMTC's.
Why no partial score: crediting only the web link and the helpline would be a guess, because neither is verified as working. Scoring the missing components as 0 would need affirmative absence, and the CRM portal, complaints page, app listing and Citizen Charter were never in the sheet.
A reviewer needs to: open and take dated screenshots of the complaints page, the crm.mybmtc.com complaint form and the dashboard; check for a BMTC app grievance feature, a grievance email/WhatsApp, and in-person depot or grievance-officer arrangements; and confirm whether the helpline takes complaints.
QB anomaly from Step 2: the 5th component is labelled 'in-person' but its qualification is about tracking. This needs confirmation.</t>
  </si>
  <si>
    <t xml:space="preserve">Step 2 found no evidence: a source needs to be found and added. Step 2 found no evidence (Insufficient Evidence). Source needed: Any of these, saved with dates: (1) BDA's own website, with its official status proven by a link from a .gov.in page or by an official instrument naming it, showing an online grievance form or a redirect to a state grievance portal; (2) the website or an app listing that names a grievance email, WhatsApp number or mobile app; (3) the website showing a designated grievance helpline or call-centre number; (4) BDA's Citizen's Charter or an office order naming a grievance counter, helpdesk or grievance officer; (5) a portal page showing that complaints get an acknowledgement or reference number and can be tracked (e.g. the state grievance portal or Sakala with BDA listed).</t>
  </si>
  <si>
    <t xml:space="preserve">Step 2 found no evidence: a source needs to be found and added. Step 2 found no evidence (Insufficient Evidence). Source needed: Dated saved copies or screenshots of BMRCL's official website showing: (a) an online grievance form or a redirect to a state/central grievance portal; (b) a designated grievance email, the Namma Metro app's grievance feature with its app-store listing, or a WhatsApp channel; (c) a dedicated customer-care or helpline number for complaints; (d) a Citizen's Charter or notice naming an in-person grievance counter or officer (e.g. station customer-care desks); (e) a grievance acknowledgement or status-tracking screen with a complaint number. A current BMRCL annual report section on commuter grievances would add practice evidence.</t>
  </si>
  <si>
    <t xml:space="preserve">Step 2 found no evidence: a source needs to be found and added. Step 2 found no evidence (Insufficient Evidence). Source needed: To score this, the team needs: (a) the BMRDA feedback page, opened and saved, to show whether it accepts grievances and works; (b) the current BMRDA Citizen Charter, or an office order naming a grievance redressal officer, counter or helpline; (c) a BMRDA page or order sending citizens to IPGRS, e-Spandana or Sakala, plus the portal page showing BMRDA as a selectable department; (d) a screen showing acknowledgement or status tracking (complaint or reference number); (e) any grievance email or helpline that BMRDA has officially notified as such.</t>
  </si>
  <si>
    <t xml:space="preserve">Step 2 found no evidence: a source needs to be found and added. Step 2 found no evidence (Insufficient Evidence). Source needed: Dated saved copies (with screenshots) of SUDA's official website pages, plus any state grievance portal SUDA sends users to, showing: (1) an online grievance form or link to an integrated grievance portal; (2) a designated grievance email, app or WhatsApp number; (3) a designated grievance helpline; (4) a citizen charter, office order or web page naming an in-person grievance desk or officer; (5) a complaint reference number or status-tracking page. Reviewer to capture a dated screenshot for each.</t>
  </si>
  <si>
    <t xml:space="preserve">ANSWER: Only one of the five components can be partly shown: GMRC's website has an online Feedback/Grievance form. Whether it works when a grievance is submitted was not tested. None of the other four channels is shown to exist for Surat today. There is no grievance email, app or WhatsApp channel, and no grievance helpline number. The only in-person channel and the only tracking process appear in a December 2020 plan for project-affected people (the Stakeholder Engagement Plan). A plan is not proof that the channel operates now. The score is blank. | EVIDENCE: (1) Web channel: GMRC-15 is the Feedback / Grievance page of GMRC's own website (gujaratmetrorail.com, page last updated 12-Oct-2026). It shows a form with First Name, Last Name, Email and 'Message / Feedback / Grievance Details' fields, a Submit button, and the message 'The form has been submitted successfully!'. The page and the form display, but no submission was tested and no screenshot was taken. The same page is linked from the 'Help/Feedback' menu and the Quick Links on the home page (GMRC-02). (2) Mobile/electronic channel: the site footer (GMRC-02, GMRC-15) links to Play Store and App Store apps. These are an Ahmedabad digital-ticketing app and the 'ahmedabad-metro-official-app'. Neither is identified as a grievance channel, and neither covers Surat. The email info@gujaratmetrorail.com in the RTI disclosure (GMRC-03, Ch.15) is for 'seeking the desired (available) information about the project', not for grievanc</t>
  </si>
  <si>
    <t xml:space="preserve">Your Company has established an effective the public grievance redressed mechanism to address complaints/suggestions/feedback/queries  in timely manner .  Passengers can lodge their grievance through multiple channels such as Telephone, E-Mail and Station Walk-in.</t>
  </si>
  <si>
    <t xml:space="preserve">I left the score blank. Some components have evidence, but none of the five is decided for Surat today. A number cannot be summed without each component, and a 0 needs affirmative absence, which is not shown.
What I found when checking the Step 2 answer:
(1) Web channel. GMRC-15 is the Feedback/Grievance page on GMRC's own site (last updated 12-Oct-2026). It shows a form with First Name, Last Name, Email and 'Message / Feedback / Grievance Details' fields. Nobody test-submitted it, so whether it works is a VERIFICATION-LIMIT. The page also does not say which city it covers.
(2) Step 2 missed the FY2024-25 Annual Report (GMRC-05, p.15). It says 'Passengers can lodge their grievance through multiple channels such as Telephone, E-Mail and Station Walk-in.' It reports about 14,000 queries, complaints and suggestions received and resolved, with summary tables on p.16. The 2023-24 report (GMRC-06, pp.16-17) reports 1,820 complaints redressed 'within stipulated Turn Around Time (TAT)'. Both describe passenger services on the Ahmedabad Metro. The home page lists Surat Phase-1 as 'Under Implementation', so these telephone, email and station walk-in channels are not shown to operate for Surat. Neither report gives the actual phone number or email address.
(3) For Surat, the only in-person channel and the only acknowledgement/tracking arrangement appear in the December 2020 Stakeholder Engagement Plan (GMRC-09, pp.33-35). It names a Grievance Redressal Officer at SUDA Bhawan, Vesu, leaves the phone number blank, and proposes 'Acknowledge within 24 hours' and a centralised GRM system. That is a plan written for project-affected people, not evidence of how things work now.
(4) Acknowledgement/tracking. No complaint reference number or status-tracking page was found on the website. 'Within stipulated TAT' in the Annual Reports is not evidence of acknowledgement or tracking.
For the team to confirm:
(a) Scope. Should DPG6b be scored at GMRC company level? If so, the Ahmedabad telephone, email and walk-in channels in GMRC-05 count. Or should it cover Surat only (project-affected-person grievance channels, since the metro is not yet open)? PRE-OPERATIONAL flag.
(b) The Contact Us and Help pages are linked from GMRC-15 but are not in the Citation Sheet. They may list the helpline or grievance email. They need to be captured, with a dated screenshot as the evidence requirement asks.
(c) Someone should test-submit the web form to check for an acknowledgement or reference number.
(d) QB anomaly: the fifth component is labelled 'in-person', but its Qualification is about acknowledgement and tracking.
RTI target: GMRC PIO, for grievance channels and GRM records for the Surat project, FY2025-26 to date.</t>
  </si>
  <si>
    <t xml:space="preserve">DPG7a</t>
  </si>
  <si>
    <t xml:space="preserve">ANSWER: The sources I could read do not show any law that requires citizens to take part in preparing BWSSB's plans. The BWSSB Act, 1964 has no such step: there is no published draft scheme, no call for objections or suggestions, and no public hearing. Its only participation-type provision is a Consultative Committee. The State Government picks its members after consulting groups that may include 'consumers of water', and the committee can only advise the Board on major schemes. That is appointed, advisory representation, not a public participation process. I cannot conclude that no requirement exists ('not found' rather than 0), because the BWSSB Rules and Regulations and the Karnataka Town and Country Planning Act, 1961 are not in the Citation Sheet. | EVIDENCE: (1) BWSSB Act 1964 (BWSSB-02, PRS copy). s.15(2)(b)-(c): the Board has a duty of 'preparing and carrying out schemes' for water supply and sewerage. The s.15(2) proviso says schemes costing over Rs 1 crore need State Government approval. No publication, objection or hearing step appears. s.14(1): the State Government 'shall constitute a Consultative Committee' of Board members plus 3-9 persons it appoints after consulting such representatives or bodies of the BBMP, the City Improvement Trust Board and 'consumers of water' 'as the State Government thinks fit'. s.14(4)(i): the committee's role is 'to advise the Board on major questions of policy and major schemes'. s.87 (rule-making) and s.88 (regulations, covering fu</t>
  </si>
  <si>
    <t xml:space="preserve">(4) The functions of the Consultative Committee shall be as follows:— (i) to advise the Board on major questions of policy and major schemes; (ii) to review the progress and the work of the Board from time to time;</t>
  </si>
  <si>
    <t xml:space="preserve">I left the score blank because the sources don't settle it. The full text of the question, its Detailed Methodology and its rubric were not in the task input. I took the bands (5 = participation required by law; 2.5 = participation provided for but discretionary; 0 = none) from the Step 2 answer. A person should check them against the question bank.
What I checked:
(1) BWSSB Act 1964, PRS copy, as amended up to Karnataka Act 5 of 2011 (BWSSB-02). s.15(2)(b)-(c) gives the Board a duty of 'preparing and carrying out schemes' for water supply and sewerage. Under the s.15(2) proviso, schemes costing over Rs 1 crore need State Government approval. The Act has no step for publishing a draft scheme, calling for objections or holding a public hearing. s.14 tells the State Government to set up a Consultative Committee ('shall constitute'). Its 3-9 outside members are appointed after consulting representatives of BBMP, the City Improvement Trust Board and 'consumers of water', 'as the State Government thinks fit'. Its role is only 'to advise the Board on major questions of policy and major schemes'. This is appointed, advisory representation, not a citizen participation process. Whether it counts for the 2.5 'discretionary' band is a judgement the team must confirm. I would not credit it on my own (advisory is not participation, and consumer representation is not guaranteed). s.87 (Rules) and s.88 (Regulations) do not specifically cover plan consultation.
(2) GBA Act 2024, Act 36 of 2025 (BWSSB-04, PRS copy, GBA era). s.14(2): GBA is the Planning Authority under the KTCP Act 1961, and a BMPC prepares a draft development plan. s.14(4): GBA supervises BWSSB through binding directions. s.15(1): GBA makes the master plan. None of these requires citizen participation in BWSSB's own plans. s.103(1)(c): the Ward Sabha meeting gives input to the corporation's Ward Development Plan, not to BWSSB plans. The objection clauses on pp. 8-9 cover boundary notifications, and s.248 covers building regulation; neither is relevant here.
(3) Other sources: BWSSB-33 (Ground Water Act), BWSSB-07/29 (website and Annual Report 2016-17), and a sheet-wide search for objections, suggestions and consultation. None shows a requirement for public participation in BWSSB plans.
I cannot score 0 because affirmative absence is not shown. These are not in the Citation Sheet: the BWSSB Rules (s.87), the BWSSB Regulations and bye-laws (s.88), the KTCP Act 1961 and its master plan objections procedure, BMPC rules, and any GO requiring consultation on water or sewerage master plans. Amendments to the BWSSB Act after 2011 were also not checked. All legal texts here are PRS copies, which are secondary.
For the team to confirm: (a) whether the s.14 Consultative Committee earns 2.5; (b) whether a KTCP or BMPC objections process run by GBA or BMPC counts for BWSSB's plans; (c) find and add the BWSSB Rules and Regulations and the KTCP Act.</t>
  </si>
  <si>
    <t xml:space="preserve">ANSWER: Partly. No source in the Citation Sheet requires BMTC itself to involve citizens in preparing its own plans. The only binding citizen-participation step that reaches BMTC's planning is indirect. Under the BMLTA Act, BMTC's Sectoral Mobility Investment Program is folded into BMLTA's City Mobility Investment Program, which forms part of the Comprehensive Mobility Plan (CMP). BMLTA, not BMTC, must publish the CMP in draft and invite objections and suggestions before finalising it. This could fit the 2.5 band ('applies only to specified plan types/stages'), but it depends on (a) whether BMLTA's plan counts as 'the parastatal's plans' and (b) layers that are not in the Citation Sheet. | EVIDENCE: (1) Law BMTC is set up under: Road Transport Corporations Act, 1950 (BMTC-02). s.18 sets a general duty to provide 'an efficient, adequate, economical and properly co-ordinated system of road transport services'. s.30 covers financing 'expansion programmes' with State/Central approval. s.32 says the budget 'shall' go to the State Government for approval. s.35(2) requires an annual report to the Central and State Governments 'on its policy and programme'. The approval of a subsidiary's 'annual development plans' by the parent Corporation (sub-section (2)(f) of the subsidiary-corporation section; section number not in the excerpt) is also internal to government. None of the excerpts read contains any publication, objection, hearing or consultation step for the public. (2) BMLTA Act,</t>
  </si>
  <si>
    <t xml:space="preserve">(3) Before finalizing any plan as under this Act, the Authority shall cause to pu blish a draft plan by making a copy thereof available for inspection</t>
  </si>
  <si>
    <t xml:space="preserve">SCORE LEFT BLANK. I checked the Step 2 answer against BMTC-06 and the source supports it, but no score can be confirmed. (1) What the source says: BMLTA Act s.21(3) requires the Authority to publish a draft plan before finalising 'any plan as under this Act'. The notice must invite 'objections and suggestions from any person', for up to two months, and the Authority must consider them before finalising. s.23 applies s.21 to each five-yearly revision of the CMP. BMTC's Sectoral Mobility Investment Program goes into the City Mobility Investment Program 'with or without modification' (s.24(c)), and that programme 'shall be part of the Comprehensive Mobility Plan' (s.24(e)). (2) What it does not say: s.24(b) only requires the Sectoral programme to be 'prepared in consultation with the Authority'. That is consultation with BMLTA, not with citizens. s.25 sets no citizen step for the Annual Implementation Plan that agencies prepare and the Authority 'shall review and approve'. So the participation duty falls on BMLTA, a coordinating authority, and reaches BMTC's plans only at the CMP stage. Whether that counts as participation in 'the parastatal's plans', and so earns the 2.5 band ('specified plan types/stages'), is a methodology question for a person to decide. The full Detailed Methodology / rubric text for DPG7a was not in my task input. (3) Why not 0: there is no affirmative absence. The BMTC Rules and Regulations page (BMTC-20) links the 'KSRTC Rules, 1961' and several KSRTC regulations. Their text is not in the Citation Sheet and I have not read it. Also missing: Karnataka rules under the Road Transport Corporations Act, BMTC's constitution notification, any BMLTA regulations under s.54 (s.54(1)(viii) leaves the 'form and manner of publishing draft plan and notice' to regulations), and the Motor Vehicles Act provisions on route schemes and objections. (4) Why not 5: nothing I read in the RTC Act 1950 (BMTC-02: ss.18, 30, 32, 35), the KTCP Act (BMTC-07, which covers Planning Authorities only, and BMTC is not one) or the GBG Act (BMTC-04) requires BMTC itself to involve citizens in its own plans. (5) Implementation: the Citation Sheet does not show that BMLTA has been set up, that any CMP draft has been published under s.21(3), or that regulations exist. (6) Source quality: BMTC-06 is the PRS copy (secondary), as enacted in 2023 with Amendment Act 10 of 2026 appended. GBA era. The amendment does not change ss.21-25. A person should confirm: (a) whether indirect CMP-stage participation through BMLTA earns 2.5; (b) whether 'any plan as under this Act' in s.21(3) covers the s.25 Annual Implementation Plans; (c) the contents of the KSRTC Rules 1961 and any BMLTA regulations; (d) the official gazette text of the BMLTA Act.</t>
  </si>
  <si>
    <t xml:space="preserve">ANSWER: In the sources available, no law makes BMRCL itself involve citizens before it finalises its own plans. The only defined, mandatory participation process that reaches BMRCL's plans is indirect. Under the Bengaluru Metropolitan Land Transport Authority (BMLTA) Act, BMRCL's Sectoral Mobility Investment Program becomes part of the BMLTA's Comprehensive Mobility Plan (CMP). The BMLTA, not BMRCL, must publish the draft CMP and invite objections and suggestions from any person before finalising it. So participation covers only one plan type at one stage (when the CMP is consolidated), and the duty falls on the BMLTA. Whether this indirect coverage earns the 2.5 band for BMRCL is a methodology question for the team. | EVIDENCE: (1) Laws governing BMRCL itself: BMRCL-04, Metro Railways (Operation and Maintenance) Act 2002. In the parts read, s.5 (functions), s.6 (powers), and ss.98 and 100-102 (delegation, rules, regulations) contain no planning or citizen-participation provision. BMRCL-06, Companies Act 2013 (BMRCL is a government company and 50:50 GoI-GoK joint venture per BMRCL-09, FY2020-21 annual report): no plan-participation provision was found. (2) BMLTA Act 2022 (BMRCL-08). The preamble names BMRCL among the mobility agencies, and the Schedule lists 'Metro Railway'. s.2(v) defines the Sectoral Mobility Investment Program as 'prepared by the respective Urban Transport Agency'. s.24: the Sectoral Mobility Investment Program 'shall be prepared in consultation with the A</t>
  </si>
  <si>
    <t xml:space="preserve">The Bengaluru Metropolitan Land Transport Authority Act, 2022 Act No. 6 of 2023 [BMRCL-08]</t>
  </si>
  <si>
    <t xml:space="preserve">(3) Before finalizing any plan as under this Act, the Authority shall cause to pu blish a draft plan by making a copy thereof available for inspection and publis</t>
  </si>
  <si>
    <t xml:space="preserve">I left the score blank. The facts are clear, but the methodology text for DPG7a was not given to me, and the band depends on a judgement about indirect coverage.
What the source says (checked against BMRCL-08, the PRS copy of the BMLTA Act as enacted, with Amendment Act 10 of 2026 appended):
1. Mandatory duty, on the BMLTA: under s.21(3), 'Before finalizing any plan as under this Act, the Authority shall' publish a draft plan, invite 'objections and suggestions from any person' for up to two months, and finalise the plan 'after considering such suggestions, objections'. Under s.23, the same process applies to each five-yearly revision of the Comprehensive Mobility Plan (CMP).
2. How BMRCL's plan gets in: BMRCL prepares its Sectoral Mobility Investment Program. Under s.24(b) it 'shall be prepared in consultation with the Authority'. Under s.24(c) the Authority incorporates it 'with or without modification' into the City Mobility Investment Program, which s.24(e) says 'shall be part of' the CMP (also s.21(2)(l)). So the public only reaches BMRCL's program through the BMLTA's draft CMP, at one stage, after BMRCL has prepared it.
3. Annual Implementation Plans (s.25), which the agencies prepare: no public participation, only review and approval by the Authority.
4. Project approval inquiry (s.19): no public process specified.
Other instruments checked: the Metro Railways (O&amp;M) Act 2002 (BMRCL-04, read in part), the Companies Act 2013 (BMRCL-06), the KTCP Act s.10 (BMRCL-07; this binds the Planning Authority's Master Plan, not BMRCL), and the GBA Act 2024 (BMRCL-02; its public-objection clause on p.113 is about the heritage list). None of them requires citizen participation before BMRCL finalises its own plans. A search of the whole Citation Sheet found nothing more.
Candidate band: 2.5 (participation for one plan type at one stage, indirectly through the BMLTA's CMP), if the team decides that a mandatory public process run by another body on a consolidated plan containing BMRCL's program counts as participation 'applying to the parastatal'. The 5 band is not met: there is no defined process before BMRCL finalises its own plans. A score of 0 is not available, because I cannot show affirmative absence. Missing from the Citation Sheet: BMLTA regulations under s.54(1)(viii)-(ix), Metro rules, the Metro Railways (Construction of Works) Act 1978, and BMRCL's Memorandum and Articles of Association. The O&amp;M Act was only partly read.
Correction to the Step 2 answer: I read the appended BMLTA Amendment Act 10 of 2026 (Karnataka Gazette, 08.01.2026). It amends only ss.2(cc), 4 and 12. It substitutes the 'Greater Bengaluru Authority, as defined in the Greater Bengaluru Governance Act, 2024' for the BBMP in s.2(cc) and adds GBA officials to the Authority and the Executive Committee. It does not change ss.21-25. So Step 2's caveat that the GBA substitution was unverified is now resolved: the substitution is confirmed in BMRCL-08. This text is a PRS secondary copy.
PERIOD: the BMLTA Act as enacted (Act 6 of 2023), as amended by Act 10 of 2026; GBA era.
CONFIRM: does indirect coverage through the BMLTA's s.21(3) process earn the 2.5 band for BMRCL?</t>
  </si>
  <si>
    <t xml:space="preserve">Step 2 found no evidence: a source needs to be found and added. Step 2 found no evidence (Insufficient Evidence). Source needed: Needed to answer: (1) full official texts of the Metro Railways (Construction of Works) Act, 1978 and the Metro Railways (Operation &amp; Maintenance) Act, 2002 as amended, with Rules made under them, checked for any requirement to publish alignments or plans and invite objections; (2) GMRC's Memorandum and Articles of Association; (3) the Gujarat town planning Act and Rules, current consolidated text, for draft-plan publication and objection procedures and whether they bind metro or transit plans; (4) the Gujarat municipal corporations Act, for any participation requirement on transport or mobility plans; (5) any Gujarat order on transit-oriented development or metro influence-zone planning that sets a public-objection process.</t>
  </si>
  <si>
    <t xml:space="preserve">DPG7b</t>
  </si>
  <si>
    <t xml:space="preserve">Step 2 found no evidence: a source needs to be found and added. Step 2 found no evidence (Insufficient Evidence). Source needed: BWSSB's latest finalised plan (for example the Vision Document 2050 or Master Plan, or a recent water or sewerage master plan) with a section on consultation. Any public notice inviting objections or suggestions on a draft plan. Consultation or public-hearing reports or minutes, or minutes of the s.14 Consultative Committee showing citizen or consumer input before the plan was finalised, published on BWSSB's official website or a Karnataka government site.</t>
  </si>
  <si>
    <t xml:space="preserve">Step 2 found no evidence: a source needs to be found and added. Step 2 found no evidence (Insufficient Evidence). Source needed: Any of these would answer it: BMTC's latest plan document (e.g. a fleet augmentation or route rationalisation plan, its Annual Implementation Plan under BMLTA Act s.25, or a corporate or business plan) together with any public notice from BMTC inviting citizens' objections or suggestions on the draft, a consultation report, minutes of public hearings or stakeholder consultations, or a statement in the final plan describing the consultation held. Each should be dated and taken from BMTC's official website or an official government source.</t>
  </si>
  <si>
    <t xml:space="preserve">Step 2 found no evidence: a source needs to be found and added. Step 2 found no evidence (Insufficient Evidence). Source needed: Something on BMRCL's official website (or a .gov.in page) showing citizen consultation before a BMRCL plan was finalised would answer this. Examples: a public notice inviting objections or suggestions on a draft plan or policy (e.g. a draft Metro Parking Policy or a DPR or alignment for Phase 2A/2B/3); reports or minutes of public consultations or hearings (e.g. environmental or social-impact public hearings for metro phases); or a final plan that records a consultation process with dates.</t>
  </si>
  <si>
    <t xml:space="preserve">ANSWER: In part. For the Surat Metro Phase-I plans, GMRC's own website has credible records that citizens were consulted. But the records are only summary minutes and references inside the final reports. There is no public notice, no window for objections or suggestions, no public hearing record and no separate consultation report. The consultations that are recorded also took place after the main project plan (the DPR) had been sanctioned. Under the rubric this is the 2.5 band ('credible evidence... cannot be fully verified... only minutes/proceedings, a reference in the final plan'), not the 5 band. | EVIDENCE: (1) GMRC-11, the final EIA report for Surat Metro Phase-I (December 2020), on GMRC's website. Chapter 8, pp.229-232: 'The consultations were conducted from November 8 to November 9, 2019 during the field visit and based on informal unstructured interviews and stakeholder consultation.' Table 8.1 gives the minutes for 10 locations, including Bhesan, Adajan Gaam, Majura Gate, Model Town Chawk, Kumbhariya Saroli, Bhatar, Bhimrad (x2), Sarthana and Ghanshyam Nagar. Each meeting had 5-16 participants, and the table lists the issues and suggestions raised. The executive summary (s.0.8) says consultations were held at 10 locations. (2) GMRC-09, the Stakeholder Engagement Plan (December 2020). Section 2.3.3 says RITES held informal consultations in August and November 2019 and that a mitigation plan was based on the suggestions received. Appendix-1, Table 8 repeats the minut</t>
  </si>
  <si>
    <t xml:space="preserve">Environmental Impact Assessment Study for Surat Metro Rail Project (Phase-I) - Final Report December 2020 [GMRC-11]</t>
  </si>
  <si>
    <t xml:space="preserve">https://www.gujaratmetrorail.com/wp-content/uploads/Reports/Surat-Metro-Rail-Project-Ph-I-Final-EIA-Report-R.pdf</t>
  </si>
  <si>
    <t xml:space="preserve">The consultations were conducted from November 8 to November 9, 2019 during the field visit and based on informal unstructured interviews and  stakeholder consultation.</t>
  </si>
  <si>
    <t xml:space="preserve">My score is 2.5. GMRC's own published documents give credible evidence that citizens were consulted on the Surat Metro Phase-I plans. But the evidence is only a set of summary minutes inside the final reports. It does not show that people had a proper chance to take part before the plan was finished.
What I checked:
(1) GMRC-11, the EIA (Dec 2020), s.8.3 and Table 8.1. It says the consultations on 8-9 Nov 2019 were 'informal unstructured interviews' at 10 places, with 5-16 participants each. The table lists the issues raised and the suggestions. s.0.8 confirms the 10 locations.
(2) GMRC-09, the Stakeholder Engagement Plan (Dec 2020), s.2.3.3. It confirms that RITES held informal consultations in Aug and Nov 2019 and says the mitigation plan was based on the suggestions. Appendix-1 Table 8 repeats the minutes with a 'GMRC Reply' column. It also records the Althan Tenament group meeting of 13.08.2019 on relocation and livelihood.
The Step 2 answer also cites three other sources:
- GMRC-08, the DPR (Dec 2018), s.14.12A: an undated 'preliminary consultations' reference. s.14.12B says no public hearing was needed under the EIA Notification 2006.
- GMRC-07, the sanction letter: PIB approval on 06.03.2019. So the recorded consultations came after the DPR was approved.
- GMRC-10, the Gender Action Plan: focus-group minutes.
Why not the 5 band: none of the documents shows a public notice, a window for objections or suggestions, a public hearing record, attendance sheets or a separate consultation report. For the DPR, the only evidence is the undated reference inside the plan itself. For the EIA, SEP and GAP, the consultations came before they were finalised, but they were informal interviews with small groups, recorded only as minutes. Both readings fall in the Step 2 answer's 2.5 band ('credible evidence ... only minutes/proceedings, a reference in the final plan').
Why not 0: consultation evidence clearly exists, so 0 would be wrong.
For reviewers to check:
(a) The question text and Detailed Methodology for DPG7b were not in my task input. I took the band wording (5 / 2.5 / 0) from the Step 2 answer's quote of the rubric. Please check it against the question bank.
(b) DPG7b is labelled Law/Policy but asks about practice. I assessed practice.
(c) Which document counts as 'the plan': the DPR, approved March 2019, or the EIA/SEP/ESMP, December 2020. A reviewer might decide that the published minutes with GMRC replies earn 5 for the safeguard plans.
(d) The ESMP is not in the Citation Sheet.
(e) I could not confirm that GMRC-08 (Dec 2018) is the same version as the 'Surat-DPR-2020' file on the Reports page.</t>
  </si>
  <si>
    <t xml:space="preserve">SC1</t>
  </si>
  <si>
    <t xml:space="preserve">ANSWER: The Citation Sheet does not support a current SC-1 figure for BWSSB. The only financial source is the BWSSB Annual Report 2016-17 (BWSSB-29). It covers just two completed years, FY 2015-16 and FY 2016-17, both about nine years old. It is not the 'last three financial years' that the question asks for. An indicative ratio can be worked out from those two years, but it is not the current position. It also changes a lot depending on how 'total expenditure' and 'own revenue' are defined. No score is proposed. | EVIDENCE: (1) BWSSB-29, Annual Report 2016-17, p.110 (English; Kannada copy at p.54), 'REVENUE ACCOUNTS FOR 2016-17', Rs lakh. Income: Water Revenue including Meter Hire 108668.60 (2015-16) and 119559.61 (2016-17); Other Income 19421.01 and 23059.09; TOTAL 128089.61 and 142618.71. Revenue expenditure TOTAL 132746.25 and 146365.27. This includes depreciation of 19123.94 and 21222.04, which is a non-cash item. (2) BWSSB-29, pp.111-112, 'CAPITAL ACCOUNTS FOR 2016-17', Application of Funds TOTAL 79615.98 (2015-16) and 84263.00 (2016-17). On the source side it lists government loans, BBMP/BDA/GOK/JnNURM/World Bank grants, and 'Prorata Capitalised' of 73521.68 and 29631.76. Pro-rata charges are paid by users, so this may count as own non-tax revenue, but the source does not settle that. (3) BWSSB-29, p.89, overall budget position, Rs lakh: Revenue Account Receipts, actuals 2015-16 112476.34; Revenue Account Expenditure, actuals 2015-16 130882.47. These do not match the r</t>
  </si>
  <si>
    <t xml:space="preserve">b Other Income 19421.01 23059.09</t>
  </si>
  <si>
    <t xml:space="preserve">I left the Score blank. The Citation Sheet has no BWSSB financial data for the last three completed financial years, so a current own-revenue share cannot be worked out.
The only financial source is BWSSB-29, the Annual Report 2016-17. It gives actuals for FY 2015-16 and FY 2016-17 only, about nine years old, and an old document is never evidence of the current position. I checked the source against the Step 2 answer and it agrees:
- Revenue-account income (Rs lakh): 128089.61 for 2015-16 and 142618.71 for 2016-17.
- Revenue expenditure (Rs lakh): 132746.25 and 146365.27. This includes depreciation of 19123.94 and 21222.04, which is not a cash cost.
- Capital application of funds (Rs lakh): 79615.98 and 84263.00.
These figures give only an indicative ratio, which must not be used as a score. Counting all revenue income as own revenue and dividing by revenue plus capital spending gives about 60.3% and 61.8%. Dividing by revenue spending alone gives about 96.5% and 97.4%.
Three questions are unresolved, and each one changes the result a lot:
- Does 'Other Income' include any government grants or subventions? The source gives no breakdown.
- Does 'Prorata Capitalised' (Rs 73521.68 lakh and 29631.76 lakh, charges paid by users) count as own revenue?
- Should deposit works (paid for by BBMP, BDA and KIADB) and depreciation stay in 'total expenditure'?
The report also gives two different revenue figures for 2015-16: 112476.34 in the budget summary on p.89 and 128089.61 in the revenue accounts on p.110.
I searched the Citation Sheet for 2023-24 budget and revenue data. It returned only BWSSB-29, BWSSB-04 (Greater Bengaluru Governance Act budget sections, which cover the city government, not BWSSB) and BWSSB-01 (website navigation links). Step 2 had already checked BWSSB-02, 07, 11, 13, 28, 33 and 40, and none contains BWSSB accounts. This is a case of 'not found', not proof that the data does not exist, so a score of 0 is not justified. BWSSB-02 sections 16 and 17 set out a legal duty to raise revenue and present an annual financial statement; that is a mandate, not evidence of the ratio.
For a person to score this:
- Get BWSSB's audited revenue and capital accounts, or its annual financial statements, for FY 2022-23, 2023-24 and 2024-25, with a breakdown of 'Other Income'.
- Look first at the Karnataka Legislature's papers-laid pages; if not there, file an RTI with the BWSSB Public Information Officer in the FA-CAO's office.
- Confirm how the methodology defines 'own revenue' and 'total expenditure'.</t>
  </si>
  <si>
    <t xml:space="preserve">Step 2 found no evidence: a source needs to be found and added. Step 2 found no evidence (Insufficient Evidence). Source needed: BMTC's audited annual accounts (profit and loss account and income and expenditure schedules) or its annual budgets / Annual Administrative Reports for at least 2, ideally 3, of the latest completed financial years (for example FY2022-23 to FY2024-25). These should show traffic revenue, non-traffic revenue, government grants, subsidies and reimbursements shown separately, and total expenditure. The CAG audit report on Karnataka State Public Sector Undertakings, or the annual report laid before the Karnataka Legislature, would also answer it.</t>
  </si>
  <si>
    <t xml:space="preserve">Step 2 found no evidence: a source needs to be found and added. Step 2 found no evidence (Insufficient Evidence). Source needed: BDA's approved and Government-sanctioned budget estimates (ss.42-44, with revised estimates and previous-year actuals) for the last three completed FYs, or better, its audited annual statements of accounts (s.47). These should be the published copies or the copies laid before the Karnataka Legislature. They need to show receipts by source (own tax and non-tax revenue, separate from government grants and loans) and total expenditure. A BDA annual report under s.47A with the same breakdown would also work.</t>
  </si>
  <si>
    <t xml:space="preserve">SC2</t>
  </si>
  <si>
    <t xml:space="preserve">Step 2 found no evidence: a source needs to be found and added. Step 2 found no evidence (Insufficient Evidence). Source needed: Four things are needed: (1) BWSSB's audited annual accounts or annual report for the latest completed FY (2024-25 or 2025-26), showing actual capital spending, ideally separating own capital works from deposit works done for other bodies. (2) BWSSB's Annual Financial Statement (budget) with actual capital payments for that year, e.g. as tabled in the Karnataka Legislature. (3) An official population figure for BWSSB's current service area: Census 2011 tables for the relevant wards and areas, or an official projection from the state government or GBA. (4) Ranks for other assessed water supply boards, to turn the figure into a percentile score.</t>
  </si>
  <si>
    <t xml:space="preserve">Step 2 found no evidence: a source needs to be found and added. Step 2 found no evidence (Insufficient Evidence). Source needed: Two things are missing. (1) BMTC's latest audited annual accounts or annual report for the most recent completed financial year, showing capital expenditure (additions to fixed assets, especially bus purchases, depots and bus stations). This could be the CAG-audited statement under s.33 of the Road Transport Corporations Act, the annual report laid before the Karnataka Legislature, or BMTC's capital budget with actuals. (2) An official population figure for the area BMTC serves, from the latest Census or an official projection (for example Census 2011 for the BBMP/GBA area plus BMTC's suburban service area, or a state projection), with its source cited.</t>
  </si>
  <si>
    <t xml:space="preserve">Step 2 found no evidence: a source needs to be found and added. Step 2 found no evidence (Insufficient Evidence). Source needed: (a) BDA's audited annual accounts for the latest completed FY, or its budget showing actual capital expenditure (capital account or works, layout development and land acquisition outlay). Look for copies on BDA's official site or among the papers laid before the Karnataka Legislature under s.47(5). (b) A Census 2011 figure or an official population projection for BDA's jurisdiction, defined as of that FY: the Bengaluru Metropolitan Area as notified, or that area excluding the Greater Bengaluru Area if the 2025 KTCP amendment is in force. (c) The commencement notification for the KTCP and Certain Other Laws (Amendment) Act, 2025. (d) Per-capita capital expenditure figures for other assessed development authorities, for the peer rank.</t>
  </si>
  <si>
    <t xml:space="preserve">Step 2 found no evidence: a source needs to be found and added. Step 2 found no evidence (Insufficient Evidence). Source needed: BMRCL's annual report or audited financial statements for the latest completed financial year (FY 2024-25 or FY 2025-26), with capital expenditure for the year (cash-flow investing line or additions to property, plant and equipment and capital work in progress), or its latest budget showing actual capex. Also an official population figure for the area BMRCL serves (Census 2011 or an official Government of Karnataka or Census projection), with its source. Also a team decision on what 'jurisdiction served' means for a metro rail company, and peer figures from other assessed metro or transport parastatals for the rank.</t>
  </si>
  <si>
    <t xml:space="preserve">ANSWER: The per-capita capital expenditure for the latest completed FY cannot be worked out from the Citation Sheet. Three things are missing. (1) The FY 2024-25 capex figure: GMRC-05 lists the cash flow statement on pp.95-96, but its text did not come back from any search. (2) A Surat-only annual capex figure: GMRC is one company running the Ahmedabad Phase I and II, Ahmedabad–Gandhinagar and Surat Phase I projects, and its accounts give one company-wide capex figure. Only a cumulative Surat figure was found. (3) A current official population figure for the area served. The latest annual capex figure found is company-wide for FY 2023-24 (Rs 3,37,033.36 lakh). It is not Surat-specific, so dividing it by Surat's population would overstate per-capita capex. No figure is reported. | EVIDENCE: GMRC-06 (14th Annual Report 2023-24), Statement of Cashflow for FY ended 31.03.2024, p.96 (report p.93): 'Purchase of Property Plant Equipments including Capital Works in Progress (3,37,033.36)' lakh for FY 2023-24 and (1,90,093.17) lakh for FY 2022-23. Notes to the Cash Flow Statement, p.97 (report p.94): 'Purchases of Property, Plant and Equipments are stated inclusive of movements of Capital Work in Progress.' The same notes say: 'Purchase of Property Plant Equipments including related to Capital W.I.P is ` 3,36,420.87 Lakhs (PY ` 1,90,093.71 Lakhs) out of which impact of working capital change thereon is ` 1,15,323.70 Lakhs'. That differs from the statement figure by about Rs 612 lakh. </t>
  </si>
  <si>
    <t xml:space="preserve">GUJARAT METRO RAIL COPRORATION (GMRC) LIMITED 14th Annual Report 2023-24 [GMRC-06]</t>
  </si>
  <si>
    <t xml:space="preserve">https://www.gujaratmetrorail.com/wp-content/uploads/2025//SOCIALMEDIA/English-Annual-report_FY-2023-24.pdf</t>
  </si>
  <si>
    <t xml:space="preserve">Purchases of Property, Plant and Equipments are stated inclusive of movements of Capital Work in Progress.</t>
  </si>
  <si>
    <t xml:space="preserve">SCORE LEFT BLANK. SC2 (per-capita capital expenditure) is scored by peer rank. I couldn't calculate the per-capita figure, and no peer set is in the Citation Sheet.
What I checked:
(1) GMRC-06 (14th Annual Report, FY 2023-24). The cash flow statement shows 'Purchase of Property Plant Equipments including Capital Works in Progress (3,37,033.36)' lakh for FY 2023-24 and (1,90,093.17) lakh for FY 2022-23. The note under the statement gives a slightly different FY 2023-24 figure: Rs 3,36,420.87 lakh, of which Rs 1,15,323.70 lakh is working-capital change. That is about Rs 612 lakh apart; the team should confirm which figure counts. Both figures are company-wide. GMRC runs Ahmedabad Phase I, Ahmedabad–Gandhinagar Phase II and Surat Phase I (Corporate Information, PDF p.98), so the figure isn't Surat-specific.
(2) GMRC-05 (15th Annual Report, FY 2024-25). I read it again with a cash flow / investing activities query. Its cash flow statement (pp.95-96) still did not come back; only CSR, auditor's report and accounting policy pages were returned. So the latest audited annual capex figure can't be read from the sheet. VERIFICATION-LIMIT: a person should open GMRC-05 pp.95-96.
(3) GMRC-03 (RTI s.4(1)(b) disclosure, as reported in Step 2) gives Surat Phase-I expenditure only as a cumulative total: Rs 8,751.76 crore to 31.03.2026, provisional and unaudited. It is not an annual figure.
(4) Population: GMRC-08 (DPR, Dec 2018) gives Census 2011 SMC population 44,66,826, or 45,91,246 including outgrowths and the urban agglomeration. It also has a DPR projection for 2021. No official current projection is in the sheet.
The team needs to decide:
(a) Jurisdiction: Surat only, or GMRC's whole network with combined population?
(b) Latest completed FY: 2024-25 or 2025-26? No FY 2025-26 accounts are in the sheet.
(c) Is the Surat project, still pre-operational, in scope?
(d) Is the DPR projection acceptable as the population base?
Even with a per-capita figure, a 0-10 score needs a peer percentile rank, which the sheet doesn't have. Absence isn't shown, so a 0 is not justified.
RTI target: PIO, GMRC Gandhinagar. Ask for Surat Metro Phase-I annual capex for FY 2023-24 to 2025-26.</t>
  </si>
  <si>
    <t xml:space="preserve">SC3</t>
  </si>
  <si>
    <t xml:space="preserve">ANSWER: No score is possible. The Citation Sheet has a budget-to-actual comparison for only one year, FY 2016-17. The method needs at least 2 years, and there is no current-period data. For FY 2016-17, actual spending was well below the original budget. On revenue account, the budget estimate was Rs 1,82,839.67 lakh and actual expenditure was Rs 1,46,365.27 lakh, a variance of 19.95%. On capital account, budgeted payments were Rs 1,69,581.10 lakh and actual application of funds was Rs 84,263.00 lakh, a variance of 50.31%. Combined, the budget was Rs 3,52,420.77 lakh and actuals were Rs 2,30,628.27 lakh, a variance of 34.56%. These figures are for illustration only and are not scored. | EVIDENCE: (1) BWSSB-29, Annual Report 2016-17 (a paper laid in the Karnataka Legislative Council), Board meeting of 10-03-2017, Subject No.12, pp.32-33 and 88-89. The 'Overall position' table (Rs lakh) gives 2015-16 actuals, the 2016-17 budget estimate, the 2016-17 revised estimate and the 2017-18 budget estimate. Revenue Account expenditure: 130882.47 / 182839.67 / 160824.35 / 175482.92. Capital Account payments: 62765.81 / 169581.10 / 78407.44 / 256224.00. (2) BWSSB-29, 'Revenue Accounts for 2016-17', pp.54 and 110: total 2016-17 expenditure 146365.27, which includes depreciation of 21222.04 and provisions of 7398.60. 'Capital Accounts for 2016-17', pp.55-56 and 111-112: total application of funds 84263.00. Both statements are signed by the Assistant Controller (Accounts) and the FA &amp; CAO. Ca</t>
  </si>
  <si>
    <t xml:space="preserve">B EXPENDITURE 130882.47 182839.67 160824.35 175482.92</t>
  </si>
  <si>
    <t xml:space="preserve">Score left blank. The method needs budget-versus-actual figures for at least 2 financial years, averaged. The Citation Sheet has both for only one year, FY 2016-17. I checked BWSSB-29 against the Step 2 answer and confirmed it. Revenue: BE 182839.67 (p.33/89) against actual expenditure 146365.27 in the Revenue Accounts (p.110), variance about 19.95%. Capital: BE payments 169581.10 against actual application of funds 84263.00, about 50.31%. Combined: about 34.56%. All are above 15%, but they cover a single year. FY 2015-16 has actuals but no BE; FY 2017-18 has a BE but no actuals. A Sheet search for budget and actual figures for 2017-18 to 2019-20 found no other BWSSB data. The BWSSB-04 hits are GBA city-government budget provisions, not BWSSB's. BWSSB-12 links an 'Annual Report 2017', but its contents are not in the Sheet (VERIFICATION-LIMIT: a person could open it for more years). Other problems: (a) the BE comes from the Board's budget table while the actuals come from accrual-basis accounts that include depreciation (21222.04) and provisions (7398.60), so they may not be like for like; the 2015-16 actuals also differ between the two documents (130882.47 against 132746.25). (b) No audit certificate is shown. (c) FY 2016-17 is BBMP-era and out of date for a current Implementation question. A 0 is not allowed because absence is not affirmatively shown: not found is not absent. To do: get BWSSB budget documents and audited accounts for at least 2 recent years (e.g. Annual Report 2017 onward, or budget papers laid before the Legislature), and confirm which variance measure to use (revenue, capital or combined).</t>
  </si>
  <si>
    <t xml:space="preserve">Step 2 found no evidence: a source needs to be found and added. Step 2 found no evidence (Insufficient Evidence). Source needed: Two things are needed for the same 2-5 completed financial years (latest 3 preferred): BMTC's approved budget, giving budgeted total expenditure, and its audited annual accounts or annual report, giving actual total expenditure. These may be in annual reports tabled in the Karnataka Legislature, in the CAG's audit of BMTC accounts, or in budget papers submitted to the State Government under s.32 of the Road Transport Corporations Act.</t>
  </si>
  <si>
    <t xml:space="preserve">Step 2 found no evidence: a source needs to be found and added. Step 2 found no evidence (Insufficient Evidence). Source needed: BDA's budget estimates as approved under s.43 and sanctioned under s.44, with the original and any supplementary estimates. Also BDA's audited annual accounts under s.47 for the same 2-5 completed financial years (preferably the latest 3), so that budgeted and actual expenditure can be compared side by side. Places to look: audited accounts and audit reports laid before the Karnataka Legislature (papers-laid pages), BDA's own published budget and accounts, or the Government auditor's reports on BDA.</t>
  </si>
  <si>
    <t xml:space="preserve">Step 2 found no evidence: a source needs to be found and added. Step 2 found no evidence (Insufficient Evidence). Source needed: BMRCL's Board-approved annual budgets (Budget Estimate and Revised Estimate of revenue and capital expenditure) for at least 2 and up to 5 recent completed FYs (e.g. FY 2021-22 to 2023-24), set side by side with the audited actual expenditure in the annual reports and financial statements for the same years. These could come from BMRCL's budget documents, annual reports that include a budget-vs-actual statement, or Government of Karnataka Urban Development Department papers laid before the Legislature.</t>
  </si>
  <si>
    <t xml:space="preserve">Step 2 found no evidence: a source needs to be found and added. Step 2 found no evidence (Insufficient Evidence). Source needed: For at least 2 and up to 5 recent completed financial years: BMRDA's budget (budget estimates, with revised estimates if any) showing budgeted total expenditure, plus the audited annual accounts for the same years (certified by the auditor) showing actual expenditure, compared side by side. Places to look: the content of the 'Budget' page on BMRDA's website, the Annual Reports for 2023-24 and later, and audited accounts tabled in the Karnataka Legislature.</t>
  </si>
  <si>
    <t xml:space="preserve">Step 2 found no evidence: a source needs to be found and added. Step 2 found no evidence (Insufficient Evidence). Source needed: Needed: SUDA's annual budget (Form N financial statement under r.47) for at least 2 and up to 5 recent completed FYs, plus its audited annual accounts (Form Q under r.48) or annual reports (r.49) for the same FYs. These would give budgeted and actual total expenditure side by side for each year.</t>
  </si>
  <si>
    <t xml:space="preserve">Step 2 found no evidence: a source needs to be found and added. Step 2 found no evidence (Insufficient Evidence). Source needed: GMRC's approved annual budgets (budget estimates and/or revised estimates of total expenditure) for at least 2, ideally 3, of the latest completed FYs (e.g. FY 2022-23 to FY 2024-25). These would come from Board-approved budget documents or the Annual Finance Budget, or from the Government of Gujarat or MoHUA budget papers showing GMRC allocations. Each must be set against the audited expenditure for the same FY, which is already in GMRC-05 and GMRC-06.</t>
  </si>
  <si>
    <t xml:space="preserve">SC4a</t>
  </si>
  <si>
    <t xml:space="preserve">ANSWER: I found no requirement for a medium-term (3-5 year) or long-term (&gt;5 year) fiscal plan in the BWSSB enabling Act, as reproduced in the PRS copy in the Citation Sheet. The only financial planning duty the Act sets is a one-year budget statement (s.17). I have not scored this as 0 because two layers of the law were not available: the Rules made by the State Government under s.87 and the Board's own Regulations under s.88. I also could not confirm that the PRS text is up to date. | EVIDENCE: (1) BWSSB Act 1964, Chapter III (ss.16-25, Board's finance, accounts and audit). s.16(1): the Board 'shall levy rates... in order to provide sufficient revenue' for operating costs, loan repayment and '(c) to finance year to year improvement'. This is a revenue-sufficiency principle, not a plan with a set horizon. s.17(1): 'In February of each year the Board shall submit to the State Government a statement... of the estimated capital and revenue receipts and expenditure for the ensuing year' (one year only). s.17(5): supplementary statements within the year. s.18: limits spending not included in the budget. s.21: no borrowing without prior State approval. s.24/24A: depreciation and improvement reserves, credited 'at the end of every year'. s.25: accounts and audit. s.14(5): the annual financial statement goes to the Consultative Committee first. s.86(2): the annual report must cover activities 'likely to be undertaken by the Board in the next financial year' (one year ahead). s.87(2)</t>
  </si>
  <si>
    <t xml:space="preserve">In February of each year the Board shall submit to the State Government a statement in the form prescribed by 1[regulations]1 of the estimated capital and revenue receipts and expenditure for the ensuing year.</t>
  </si>
  <si>
    <t xml:space="preserve">I left the score blank: I found no requirement, but I could not confirm one is absent, and I could not apply the scoring bands. (1) What I checked in BWSSB-02 (BWSSB Act 1964, PRS copy, amended up to Act 15 of 2010, with Act 29 of 2021 appended). The Act only requires planning one year at a time. s.17(1) requires a statement of estimated receipts and expenditure 'for the ensuing year'. s.17(5) allows supplementary statements during the year. s.18 limits spending that is not in the budget. s.16(1)(c) requires charges high enough 'to finance year to year improvement'; this is a rule about raising enough revenue, not a plan covering a set number of years. ss.24 and 24A require reserves to be credited 'at the end of every year'. s.86(2) requires the annual report to cover activities planned for 'the next financial year'. No section requires a 3-5 year (medium-term) or longer fiscal plan. Step 2 read the Act the same way and the source supports it. (2) The Greater Bengaluru Governance Act 2024 (BWSSB-04): definition (42) and the budget sections require a medium-term fiscal plan, but only from the City Corporation, not from BWSSB. I gave BWSSB no credit for it. (3) BWSSB-07 describes a 'Vision document upto 2050'. That is BWSSB's own initiative, not a legal requirement. (4) Why I cannot score 0. A 0 needs proof of absence across every layer of the law. The Citation Sheet does not contain the Rules the State Government makes under s.87; s.87(2)(c) lets those Rules set the form and contents of the s.17 statement. Nor does it contain the Board's own Regulations under s.88 on funds and accounts. I searched the sheet for both and found neither. Also, the Act text is only the PRS copy (a secondary source), and any amendments after 2021 are unchecked. (5) This task did not give me the full question text or the scoring bands for SC4a, so I could not match the evidence to a band. A person should: obtain and read the s.87 Rules and the s.88 Regulations, and an official current text of the Act; confirm the SC4a bands; and decide whether a 0 can be given from the Act alone.</t>
  </si>
  <si>
    <t xml:space="preserve">ANSWER: In the sources available, BMTC's enabling Act (the Road Transport Corporations Act, 1950) does not require a medium-term (3-5 year) or long-term (more than 5 year) fiscal plan. Section 32 requires only an annual budget for the next financial year, approved by the State Government. A 0 is likely, but it cannot be confirmed as a proven absence. The Rules made under the Act (s.44) and BMTC's establishment notification are not in the Citation Sheet, so those layers are unchecked. | EVIDENCE: (1) RTC Act 1950 (BMTC-02), the Act the Citation Sheet labels as BMTC's enabling Act. s.32(1) requires a yearly budget 'for the next financial year showing the estimated receipts and expenditure during that financial year'. s.32(2) bars spending not covered by a current budget grant approved by the State Government. s.30 lets the Corporation use part of its net profits 'for financing the expansion programmes', with prior approval of the State and Central Governments. This is a discretionary use of profits, not a plan with a set time horizon. s.35(2) requires an annual report after each year 'on its policy and programme'. This looks back over the year and sets no fiscal horizon. s.17A(2)(f) on subsidiary corporations covers capital and revenue budgets and annual development plans only. A search of the Act found no provision for a multi-year fiscal or financial plan. (2) BMLTA Act 2022 (BMTC-06, PRS text with the 2026 amendment appended). This is a related state law, not BMTC's enabling</t>
  </si>
  <si>
    <t xml:space="preserve">Every Corporation shall, by such date in each year as may be prescribed, prepare and submit to the State Government for approval a budget for the next financial year showing the estimated receipts and expenditure during that financial year in such form as may be prescribed.</t>
  </si>
  <si>
    <t xml:space="preserve">Score left blank. A 0 is likely, but the Citation Sheet cannot show that the requirement is absent.
1) What the enabling Act says. I checked this against BMTC-02, the Road Transport Corporations Act, 1950. The consolidation date of this copy is unclear: the latest amendment footnote I saw is Act 4 of 2005.
- s.32(1) requires only a budget for 'the next financial year'.
- s.32(2)-(4) cover the budget grant, moving money between heads, and spending above the budget.
- s.30 says the Corporation 'may' use part of its net profits for 'expansion programmes'. This is discretionary and sets no time horizon.
- s.35(2) requires an annual report that looks back over the year.
- s.44(2)(i) leaves the date and form of the annual budget to the Rules.
The Act has no requirement for a 3-5 year or longer fiscal or financial plan.
2) Layers I could not check. The BMTC 'Rules And Regulations' page (BMTC-20) lists 'KSRTC Rules, 1961' and several KSRTC regulations as the instruments BMTC applies. The text of those Rules is not in the Citation Sheet. They are made under s.44, and s.44(2)(i) covers the form of the budget, so they could include multi-year projections. Also missing from the Sheet:
- the s.3 notification establishing BMTC;
- BMTC's s.45 finance regulations;
- any GO requiring state transport undertakings to prepare multi-year business or corporate plans.
Under rule 5, a rubric 0 needs proof of absence across every layer. That is not met.
3) BMLTA Act 2022 (BMTC-06), PRS text with Act 10 of 2026 appended.
- s.24 makes the Authority ('shall') prepare a City Mobility Investment Program built from the Sectoral Mobility Investment Programs of Urban Transport Agencies.
- s.24(d) sets a 'short to medium term planning horizon' for the City program.
- s.2(o) defines 'Medium Term' as up to five years.
- s.25 requires each agency to prepare an Annual Implementation Plan with yearly spending estimates.
This is a project-investment program inside the Comprehensive Mobility Plan, not a fiscal plan of receipts and expenditure. It is not BMTC's enabling Act. The Sheet also does not show whether BMLTA is in force. The team should decide whether it counts.
4) GBG Act 2024 s.187 (BMTC-04). Its five-year medium-term fiscal plan applies to the City Corporations only, not BMTC.
What a person should check: obtain and read the KSRTC Rules, 1961 (as applied to BMTC), BMTC's establishment notification and any state GO on multi-year plans. If none of them requires a 3-5 year or longer fiscal plan, score 0.</t>
  </si>
  <si>
    <t xml:space="preserve">ANSWER: The BDA Act, 1976, in the PRS copy that includes amendments up to Act 42 of 2026, contains no requirement for a medium-term (3-5 year) or long-term (more than 5 year) fiscal plan. Its finance provisions require only an annual estimate of income and expenditure for the coming year. The Rules made under s.69, and any Regulations under s.70, are not in the Citation Sheet, so the absence across the whole legal stack is not confirmed. For that reason I have not proposed a score. | EVIDENCE: (1) Parastatal enabling Act (BDA-02, PRS copy). Chapter V, 'Property and Finance', covers ss.37-48. s.42: 'Laying of annual estimate of income and expenditure': the Commissioner 'shall' lay before the Authority an estimate 'for the year commencing on the first day of April then next ensuing'. s.43: the Authority approves the estimate. s.44: the estimate goes to the Government for sanction. s.45: supplementary estimates 'may' be prepared. s.46: no spending outside a sanctioned estimate. s.47 covers accounts and audit, and s.47A covers reports. None of these mentions a fiscal plan of any multi-year horizon. The list of sections in the Act has no such provision. The appended Act 42 of 2026 only amends s.10 (money limits) and s.38D (allotment to unauthorised occupants). s.39 lets the Authority borrow with prior government sanction 'subject to such conditions as may be prescribed', which is not a fiscal plan. (2) Rules and Regulations: s.69 (state Rules) and s.70 (Authority Regulations) give</t>
  </si>
  <si>
    <t xml:space="preserve">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t>
  </si>
  <si>
    <t xml:space="preserve">I left the score blank. The Act provides only an annual budget, but I could not check every layer of the legal stack, so I cannot confirm that a multi-year fiscal plan is absent. I checked the Step 2 answer against the source, and it holds. (1) BDA Act, 1976 (BDA-02, PRS copy, amended up to Karnataka Act 42 of 2026, published 7 Sept 2026). In Chapter V, s.42(1) says the Commissioner 'shall' lay an estimate of income and expenditure 'for the year commencing on the first day of April then next ensuing'. Sections 43-46 cover approval, government sanction, supplementary estimates and spending control. Section 47 covers accounts and audit, and s.47A covers reports. Section 39 is a power to borrow and is not a fiscal plan. None of these, and nothing in the list of sections, requires a medium-term (3-5 year) or long-term fiscal plan. Act 42 of 2026 changes only s.10 (money limits) and s.38D, which I confirmed on pages 78-79. (2) The rule-making powers in s.69 and s.70 give no matter that relates to fiscal planning. However, the BDA Rules and Regulations themselves are not in the Citation Sheet, and nor is any state order on multi-year financial planning for development authorities. That means absence across the whole stack is unconfirmed ('not found', not 'absent'), so I cannot score 0. (3) BDA-06, the KTCP Act s.68B, requires a Planning Authority budget for the year ahead only. (4) BDA-03, the GBA Act ss.2(42), 187 and 189, places the medium-term fiscal plan duty on the City Corporations, not on BDA, so it cannot be credited to BDA. A search of the Citation Sheet for a medium-term fiscal plan found only the GBA Act's provisions for City Corporations. I did not have the full rubric bands, so I did not test the score scale for a mismatch. NEXT STEPS: (a) Supply the BDA Rules made under s.69, the Regulations under s.70 and any Karnataka GO on fiscal planning for development authorities. If none of them requires a multi-year plan, the team can then record the affirmative absence and score 0. (b) Note that the BDA Act text here is a PRS secondary copy; an official consolidated copy (.gov.in) is preferred.</t>
  </si>
  <si>
    <t xml:space="preserve">ANSWER: I can't say whether BMRCL's own legal framework requires a 3-5 year or &gt;5 year fiscal plan. No instrument I could read requires one. But BMRCL is a company, and its company-specific documents are missing: the Memorandum and Articles of Association are not in the Citation Sheet, and neither is any state Government order or central agreement on BMRCL's finances. So I can't show the requirement is absent, which a score of 0 needs, and the score stays blank. | EVIDENCE: (1) Companies Act, 2013 (BMRCL-06, PRS republication of the Gazette text). This is the law BMRCL is incorporated under. The 2021 Annual Report (BMRCL-09) calls BMRCL a 'Company' with 'Articles of Association'. The Act's money provisions are year-by-year. s.128 covers books of account. s.129(1) says 'The financial statements shall give a true and fair view of the state of affairs of the company'. s.134 covers the Board's report for the year, s.143 the auditor's report on the year's accounts, and s.131 revising statements for past years. A search of the whole text for 'medium-term', 'fiscal plan', 'long-term plan', 'projections' and 'financial plan' found no forward-looking fiscal plan with a set horizon. (2) Metro Railways (Operation and Maintenance) Act, 2002 (BMRCL-04). This covers metro safety, fares, offences, rules (s.100) and regulations (s.101). In the parts I read, and in searches, I found no budget or fiscal-plan provision. (3) Greater Bengaluru Governance Act, 2024 (BMRCL-02), the law of the city </t>
  </si>
  <si>
    <t xml:space="preserve">THE COMPANIES ACT, 2013 (NO. 18 OF 2013) [BMRCL-06]</t>
  </si>
  <si>
    <t xml:space="preserve">https://prsindia.org/files/bills_acts/acts_parliament/2013/companies-act,-2013.pdf</t>
  </si>
  <si>
    <t xml:space="preserve">129.  (1) The financial statements shall give a true and fair view of the state of affairs of the company or companies, comply with the accounting standards notified under section 133 and shall be in the form or forms as may be provided for different class or classes of companies in Schedule III:</t>
  </si>
  <si>
    <t xml:space="preserve">Score is blank. No layer of BMRCL's legal framework in the Citation Sheet shows a requirement for a 3-5 year or &gt;5 year fiscal plan, which is what a positive score would need. The sheet also doesn't hold every relevant instrument, so I can't show the requirement is absent, which a 0 would need. This agrees with the Step 2 'Partially Answered' finding.
What I checked:
(1) Companies Act, 2013 (BMRCL-06, PRS republication of the Gazette text, as enacted). BMRCL is described as a company in BMRCL-09 (Annual Report FY 2020-21). Chapter IX is entirely year-based: s.128 requires books 'for every financial year', s.129(2) financial statements 'for the financial year', and s.143 the auditor's report on the financial year. I found no forward-looking fiscal plan with a set horizon. My searches for 'medium term fiscal plan corporate plan five year financial projections' and 'Memorandum Articles of Association BMRCL' found no such provision and no BMRCL MoA/AoA. The Act's MoA/AoA hits were only the model Tables in its Schedule I.
(2) Metro Railways (O&amp;M) Act, 2002 (BMRCL-04). Step 2 searched it and read part of it, and found no budget or fiscal-plan provision. I did not read it in full.
(3) BMLTA Act, 2022 (BMRCL-08). Under s.24, BMLTA 'shall prepare the City Mobility Investment Program', which includes Sectoral Mobility Investment Programs of Urban Transport Agencies 'as specified in the regulations'. Under s.24(d) it is for a 'short to medium term planning horizon'. Under s.25, the agencies prepare an Annual Implementation Plan. This is a mobility investment program prepared by BMLTA, not a fiscal plan in BMRCL's own enabling law. It is also not shown that BMRCL is a designated Urban Transport Agency, because the regulations are not in the sheet. I did not credit it. TEAM TO CONFIRM.
(4) GBG Act 2024 (BMRCL-02), GBA era. The s.187 medium-term fiscal plan (s.2(42), five years) binds City Corporations only, not BMRCL.
Missing, so a 0 can't be confirmed: BMRCL's Memorandum and Articles of Association; Karnataka GOs or GoI–GoK agreements on BMRCL's finances or corporate planning; the Metro Railways (Construction of Works) Act, 1978; Rules under the Metro Acts; and BMLTA regulations naming Urban Transport Agencies.
Team to confirm what 'enabling act' means for a company-form parastatal: the Companies Act alone, or also the MoA/AoA and state instruments. If it means the Companies Act alone, the year-based Chapter IX provisions would support a 0, subject to a full reading of the amended Act.
The question's own methodology text was not given to me. The bands used here (5 = required by the enabling act; 0 = no requirement) come from the Step 2 notes and should be checked against the question bank.</t>
  </si>
  <si>
    <t xml:space="preserve">Step 2 found no evidence: a source needs to be found and added. Step 2 found no evidence (Insufficient Evidence). Source needed: Full text of the BMRDA Act, 1985 (Karnataka Act No. 39 of 1985), current amended version, especially its finance, budget, accounts and planning chapters. Also any Rules made under it and the BMRDA Regulations 1996/1999/2000, read for any duty to prepare a medium-term (3-5 year) or long-term (more than 5 year) fiscal or financial plan. An official copy from the state legislation portal or the e-Gazette, or the agency's own copy, should be added to the Citation Sheet.</t>
  </si>
  <si>
    <t xml:space="preserve">ANSWER: Not determined. The only fiscal-planning duty I could read in SUDA's legal framework is annual. Rule 47 of the Gujarat Town Planning and Urban Development Rules, 1979 requires an annual financial statement and an annual programme of work for the next financial year only. No medium-term (3-5 year) or long-term (&gt;5 year) fiscal plan was found in the Rules. However, the main text of the enabling Act (GTPUD Act, 1976, including s.94, which r.47 implements) has no readable text in the Citation Sheet copy. So I cannot confirm that a multi-year fiscal plan is absent from the Act. | EVIDENCE: (1) Rules layer, GTPUD Rules 1979 (SUDA-03), r.47(1) 'Budget and Programme of work under section 94': 'shall submit to the State Government for approval before 1st day of February of each year the annual Financial Statement and programme of work ... for the succeeding financial year'. r.47(2): in Form N (annual financial statement: actuals for the previous three years, budget and revised estimates for the current year, budget estimates for the next year) and Form O ('Annual Programme of work'). r.47(4): a note with the history of each work or project and its financial implications. r.48: annual accounts in Form Q. r.49: annual report within three months of year-end. None of these sets a multi-year fiscal horizon. Forms N and O look backward over three years or cover a single year. (2) Act layer, GTPUD Act 1976 (SUDA-01, PRS copy): pages 2-86, which hold the principal Act, have no text la</t>
  </si>
  <si>
    <t xml:space="preserve">The appropriate authority shall submit to the State Government for approval before 1 st day of  February of each year the annual Financial Statement and programme of work, in triplicate for the succeeding financial year.</t>
  </si>
  <si>
    <t xml:space="preserve">I left the score blank because no score could be given without guessing. The 0-band needs affirmative absence, and I could not establish it.
What the Rules say: I checked the Step 2 answer against SUDA-03 and the source supports it. Rule 47(1) of the GTPUD Rules, 1979 requires only an annual financial statement and programme of work for the succeeding financial year. Form N looks back at three years of actuals and covers the current and next year. Form O is the 'Annual Programme of work'. Rule 47(4) asks for a history note on each work with its financial implications. Rule 48 covers annual accounts (Form Q) and rule 49 covers the annual report and the half-yearly progress report. None of these sets a medium-term (3-5 year) or long-term (more than 5 year) fiscal plan.
What I could not read (VERIFICATION-LIMIT): I re-read SUDA-01 looking for s.94. The only readable text is the appended amendment gazettes from 2017 and 2019, which deal with Local Area Plans, s.119 and MPC/DPC spatial planning. The principal Act text, including s.94 and the finance chapter, has no text layer. So the Act layer was not checked, and any SUDA finance regulations would also need checking; none are in the sheet.
What I did not count as a fiscal-plan mandate:
- s.21, the development-plan revision at least once in 10 years (quoted in SUDA-13). This is a spatial plan.
- The DP 2035 statement that implementation 'calls for long term fiscal planning' (SUDA-14, s.20.5) and its cost tables. This is narrative in a plan document, not a mandate.
- SUDA-04 (GPMC Act). This is the city corporation's law, not SUDA's.
- SUDA-05 (GDCR). This deals with development control only.
Rubric not supplied (RUBRIC-GAP): the task input did not include SC4a's detailed methodology or rubric bands, so the 0-5 scale could not be mapped.
Outcome: if the team gets a readable official text of GTPUD Act 1976 s.94 and finance provisions, and it shows no multi-year fiscal plan, then 0 (annual only) is the likely result under a typical rubric. Please confirm against the actual rubric.</t>
  </si>
  <si>
    <t xml:space="preserve">Step 2 found no evidence: a source needs to be found and added. Step 2 found no evidence (Insufficient Evidence). Source needed: The full text of GMRC's Memorandum and Articles of Association, the founding documents of the joint-venture company. Also the relevant Companies Act 2013 provisions, the Metro Railway (Operation and Maintenance) Act 2002 as amended, the Metro Railways (Construction of Works) Act 1978, and any binding Government of India, Government of Gujarat or Department of Public Enterprises order requiring a corporate or fiscal plan of 3–5 years or longer. Each should be checked for a 'shall' duty to prepare such a plan.</t>
  </si>
  <si>
    <t xml:space="preserve">SC4b</t>
  </si>
  <si>
    <t xml:space="preserve">Step 2 found no evidence: a source needs to be found and added. Step 2 found no evidence (Insufficient Evidence). Source needed: A dated capture of BWSSB's website Budget and Accounts pages and any published multi-year document (e.g. the Vision 2050 / strategic master plan, a business plan or a multi-year financial projection with receipts and expenditure for 3+ years), showing whether a medium- or long-term fiscal plan is posted online.</t>
  </si>
  <si>
    <t xml:space="preserve">Step 2 found no evidence: a source needs to be found and added. Step 2 found no evidence (Insufficient Evidence). Source needed: Needed: a complete check of BMTC's official website (sitemap, Annual Administrative Report, Presentations, any Finance/Accounts or Reports section) for a published medium- or long-term fiscal, corporate or business plan. Failing that, a BMTC annual report or a Board-approved multi-year financial plan that states its time horizon.</t>
  </si>
  <si>
    <t xml:space="preserve">Step 2 found no evidence: a source needs to be found and added. Step 2 found no evidence (Insufficient Evidence). Source needed: BDA's official website, checked on a stated date: its budget, finance or proactive-disclosure (RTI s.4) pages, looking for a published medium-term (3-5 year) or long-term (more than 5 years) fiscal or financial plan. Supporting documents would be BDA's latest budget estimates and annual report (for example as tabled in the Karnataka Legislature), which would show whether a multi-year plan exists.</t>
  </si>
  <si>
    <t xml:space="preserve">Step 2 found no evidence: a source needs to be found and added. Step 2 found no evidence (Insufficient Evidence). Source needed: Needed: a dated capture of BMRCL's official website (www.bmrc.co.in, named in the FY2020-21 Annual Report), including its finance, reports and disclosures pages. It should show whether a medium- or long-term fiscal plan is published, e.g. a corporate or business plan or a multi-year financial projection with receipts and payments. Also needed: BMRCL's latest annual report, and any MoU or corporate plan filed with the Government of Karnataka or MoHUA.</t>
  </si>
  <si>
    <t xml:space="preserve">Step 2 found no evidence: a source needs to be found and added. Step 2 found no evidence (Insufficient Evidence). Source needed: The text of BMRDA's 'Budget' and 'Budget and Annual Reports' pages on its official website, plus the documents posted there (e.g. the 2023-24 Annual Report and any budget PDFs). These would show whether a fiscal plan with receipts and expenditure projections over 3+ years is published. If those pages contain no such plan, that confirmed check would support a 0.</t>
  </si>
  <si>
    <t xml:space="preserve">ANSWER: Not determined. The Citation Sheet holds no document that is clearly SUDA's own medium-term (3-5 year) or long-term (more than 5 year) fiscal plan, published on its website. The nearest item is the Development Plan 2035 report (2017), which sits under the sudaonline.org domain. Its Chapter 20 gives capital cost estimates, a 20-year phasing statement and a description of where the money could come from. It does not project the authority's own revenue and spending year by year over a set horizon. The report itself says the plan 'calls for long term fiscal planning', which reads as a need for a fiscal plan rather than one. Whether this chapter counts as a 'fiscal plan' is a judgement for the team. | EVIDENCE: (1) SUDA-14, DP 2035 report, pages 214-215: Table 152 'Total cost estimates' gives infrastructure Rs 23,723 crore, roads Rs 1,470 crore and land acquisition Rs 5,100 crore, total Rs 30,293 crore. Section 20.4 Phasing says proposals 'will be spread over 20 years'. Section 20.5 'Finance &amp; Resource Mobilisation' only describes possible funding sources: local-authority contributions under section 24, development charges under sections 99-100, fees, paid FSI, TP-scheme land, and government loans and grants. Pages 210-211, Tables 144-145, phase sewerage investment for 2016-2032. It has no year-wise revenue or expenditure projection for SUDA. (2) SUDA-03, GTPUD Rules 1979, Form N (rule 47(2)): an annual budget format (actuals for 3 past years plus budget and revised estima</t>
  </si>
  <si>
    <t xml:space="preserve">The implementation of the development plan calls for long term fiscal planning.</t>
  </si>
  <si>
    <t xml:space="preserve">I left the score blank. The sources neither support a 5 nor allow a 0.
Why not 5 (fiscal plan published on the agency's website):
- The nearest item is SUDA-14, the Development Plan 2035 report. Its file is named 22.02.2017 and its plan period runs to 2035. The source URL is under sudaonline.org.
- Chapter 20 gives capital-cost estimates for the plan. Tables 139-149 cover water, sewerage and solid waste: Rs 23,723 crore at 5% inflation, phased 2016-2025 and 2026-2035. Table 151 gives roads at Rs 1,470 crore. Section 20.3 gives land acquisition at Rs 5,100 crore. Table 152 totals these at Rs 30,293 crore.
- Section 20.4 says only that phasing 'will be spread over 20 years'.
- Section 20.5 is a description of possible funding sources: section 24 contributions, development charges under sections 99-100, fees, paid FSI, TP-scheme land, and government grants and loans. It sets no figures for SUDA's own revenue and spending over a medium (3-5 year) or long (more than 5 year) horizon.
- The report itself says the plan 'calls for long term fiscal planning'. That reads as a stated need for a fiscal plan, not as the plan itself.
- Many of these cost estimates are for services that SMC delivers (the tables cite SMC records). So this is a spatial plan's investment estimate, not an organisational fiscal plan of the parastatal.
- I checked the Step 2 answer against the source and it holds up.
Why not 0 (no affirmative absence):
- The Citation Sheet has no capture of SUDA's website budget, finance, annual-report or proactive-disclosure pages. A search of the whole sheet for medium-term, multi-year, budget-projection or fiscal-plan material found only these:
  - SUDA-03 (GTPUD Rules 1979): annual budget forms and schedules. These are a yearly budget format in law, not a multi-year plan, and not website practice.
  - SUDA-04 (GPMC Act 1949, as modified up to 30-11-2017): municipal budget provisions for the city government, not SUDA.
- I also checked:
  - SUDA-01 (GTPUD Act 1976, PRS copy): legal text only.
  - SUDA-05 (revised draft GDCR): regulations, no fiscal plan.
  - SUDA-13 (presentation of 03-08-2013 starting the DP 2035 revision): no fiscal plan.
- Not finding something on an uncaptured website is a VERIFICATION-LIMIT, not a negative finding.
For the team to confirm:
1. RUBRIC-GAP: does a development plan's capital-cost estimate plus a funding narrative (DP 2035, Chapter 20) count as a medium- or long-term fiscal plan under SC4b? I judge that it does not.
2. Nothing in the sheet proves sudaonline.org is SUDA's official domain: no link from a gov.in or nic.in page, and no Act or GO naming it.
3. A reviewer should capture SUDA's current website finance and budget pages with a dated screenshot.
4. Possible RTI request to the PIO at SUDA for any adopted multi-year fiscal or financial plan, FY 2021-22 to date.
Period: DP 2035 report of 2017, covering 2015-2035. The current state of the website is unknown.</t>
  </si>
  <si>
    <t xml:space="preserve">ANSWER: Not determined. The Citation Sheet has no institution-wide medium- or long-term fiscal plan for GMRC (such as a corporate plan, multi-year financial plan or MTFF) on the agency's website. The closest document on the website is the Surat Metro Phase-1 DPR (updated to December 2018 and listed on the Reports &amp; Downloads page). Its Chapter 20 has 30-year cash-flow and FIRR projections for one project. It is a pre-sanction appraisal of that project, not a current fiscal plan for the corporation. Whether it counts as a 'fiscal plan' under SC-4b is a methodology question for the team. The website was not read in full, so I cannot show affirmative absence. | EVIDENCE: (1) GMRC-01, Reports &amp; Downloads page (gujaratmetrorail.com/reports/): it lists annual reports from 2014-15 to 2024-25, the MoA and AoA, ESIA/EIA/SEP/ESMP/GAP documents, DPRs, alignment maps, sanction letters, the CSR policy, a pension circular and a standardisation report. No item is titled or described as a fiscal, financial, corporate or business plan. (2) GMRC-08, Surat DPR, Ch. 20, p.726 and pp.734-736: 'FIRR obtained for 30 years life cycle business model'. Tables 20.9.1 and 20.14 project costs, fare-box revenue, loans and cash balances by year from 2019-20 to 2048-49. This is project-level only and was prepared by DMRC before the project was sanctioned. (3) GMRC-03, RTI s.4(1)(b) disclosure: the Accounts/Planning functions include 'Preparation and review of yearly budget, forecast of cash flow requirement</t>
  </si>
  <si>
    <t xml:space="preserve">The Financial Internal Rate of Return (FIRR) obtained for 30 years life cycle business model including construction period without additional PD and TOD &amp; VCF Income is 6.90% and with additional PD and TOD &amp; VCF Income is 7.38%.</t>
  </si>
  <si>
    <t xml:space="preserve">I left the score blank: the Citation Sheet supports neither 5 nor 0.
(1) Why I can't give 5. The rubric gives 5 for a fiscal plan published on the parastatal's website and 0 if none is available. The only candidate in the Citation Sheet is the Surat Metro Phase-1 DPR (GMRC-08, December 2018). The GMRC-01 Reports &amp; Downloads page lists it as 'Detailed Project Report – Surat Metro Rail Project Phase-1'.
- Its Chapter 20 has 30-year cash-flow tables. Table 20.14 covers the SPV model with the JICA loan from 2019-20 to 2048-49: costs, fare-box and PD revenue, loans, interest and cumulative cash.
- But it is a project-level appraisal prepared before sanction. Para 20.6 states it is meant to check viability against the Metro Rail Policy 2017 EIRR threshold for approval.
- It was prepared in 2018 for one project. It is not an institution-wide medium- or long-term fiscal plan adopted by GMRC, and its construction years (2019-20 to 2023-24) are already past.
- Counting it as a 'fiscal plan' would rest on the existence of projections, not on a plan document. Whether a DPR qualifies is a methodology question the team needs to confirm.
(2) Why I can't give 0. Affirmative absence is not established. I checked:
- the GMRC-01 Reports &amp; Downloads list (annual reports 2014-15 to 2024-25, MoA, AoA, ESIA, EIA, SEP, ESMP, GAP, DPRs, maps, sanction letters, CSR policy, pension circular, standardisation report). No item is titled as a fiscal, financial, corporate or business plan.
- GMRC-03, the RTI 4(1)(b) disclosure. It lists an 'Annual Finance Budget' and 'forecast of cash flow requirements' as functions or documents held, but no multi-year plan is published there.
- A keyword search across the sheet, including the GMRC-05 and GMRC-06 annual reports (FY2024-25 and FY2023-24), which found no plan.
Other GMRC website sections linked from GMRC-01 are not in the Citation Sheet, so absence across the whole site is not shown: Sitemap, Board Level Committees, Project Overview and others. This is a VERIFICATION-LIMIT, not a negative finding.
For the team to decide:
(a) Does a pre-sanction project DPR with multi-year projections count for SC-4b?
(b) Is GMRC, a GoI–GoG SPV whose Surat line is still under implementation, eligible as a Surat parastatal?
(c) A person should check the full GMRC website, especially the Sitemap and Board Level Committees pages, for any corporate, financial or medium-term plan, and capture a dated screenshot.
(d) An RTI request to the PIO for any multi-year financial or corporate plan for FY2025-26 onward would settle the question.
I agree with Step 2's answer (not determined) on the source text.</t>
  </si>
  <si>
    <t xml:space="preserve">SC5</t>
  </si>
  <si>
    <t xml:space="preserve">ANSWER: Not determined. The BWSSB Act, 1964 sets no tenure for the Chairman, and no Act provision creates a separate MD, CEO or Commissioner post. Section 4 leaves the term of office to Rules made under the Act, and those Rules are not in the Citation Sheet. It is therefore 'not found', not proof that no minimum tenure exists. Who counts as the executive authority also needs confirmation. | EVIDENCE: (1) BWSSB Act, 1964 (PRS copy, BWSSB-02), s.3(2) and 3(4): the Board has 3 to 9 members appointed by the State Government, and 'One of the members ... shall be appointed by the State Government to be the Chairman of the Board'. No MD/CEO post is created. (2) s.4: 'The Chairman and other members of the Board shall hold office for such period, and shall be eligible for re-appointment under such conditions, as may be prescribed by the rules.' The Act itself fixes no period. (3) s.87(2)(a): Rules 'may provide for ... the powers of the Chairman and the term of office of the Chairman and other members of the Board'. (4) s.6(1): the State Government 'may suspend ... or remove from office any member' on listed grounds: unsound mind, insolvency, disqualification under s.5(1), becoming or seeking to become an MP/MLA/local-authority member, conviction for moral turpitude, or 'in the opinion of the State Government' refusing to act, becoming incapable, abusing the position, or being 'otherwise unfit to continue'. s.6(3) requires a chance to explain before removal. The grounds are listed, but</t>
  </si>
  <si>
    <t xml:space="preserve">The Chairman and other members of the Board shall hold office for such period, and shall be eligible for re-appointment under such conditions, as may be prescribed by the rules.</t>
  </si>
  <si>
    <t xml:space="preserve">Score left blank. I can't fill it because the instrument that decides the tenure is not in the Citation Sheet, so the result is 'not found'. It is not proof of absence. I checked the Step 2 answer against the source and it holds. (1) The BWSSB Act, 1964 (PRS copy, amended up to Act 5 of 2011) sets no period of office itself. Section 4 sends the Chairman's and members' term to 'the rules', and s.87(2)(a) says the Rules 'may provide for ... the term of office of the Chairman'. (2) I searched the Citation Sheet twice ('term of office of Chairman rules years' and 'Bangalore Water Supply and Sewerage Rules'). Neither search found any Rules made under the Act, and neither found any appointment notification or GO for the Chairman. The only hits were the Act itself (BWSSB-02) and the GBG Act (BWSSB-04, which deals with Councillor and Mayor tenure, not BWSSB's head). A 0 would need affirmative absence across the Act, its Rules and its notifications. The Rules layer is missing, so I can't give a 0. I can't give 5 or 10 either, because no term is shown. (3) On removal, s.6(1) lists grounds. But s.6(1)(e)(iv) lets the Government remove a member who, 'in the opinion of the State Government', is 'otherwise unfit to continue'. Separately, s.6(5) lets the Government remove the Chairman and all members if the Board fails to carry out its functions or to follow directions under s.89. s.6(3) does require a chance to explain first. Even if the Rules set a fixed term, a person must decide whether these grounds count as 'defined grounds' or as discretionary removal. The note on this question's anomaly suggests that a fixed term with discretionary removal fits neither the 10 band nor the 5 band, which would be a RUBRIC-GAP. (4) Who counts as the executive authority still needs confirming. The Act creates no MD or CEO post: s.12 has only a CAO-cum-Secretary and an Engineer-in-Chief, appointed by the Board with State approval and with no tenure given. The 2016-17 annual report (BWSSB-29) shows IAS officers serving as whole-time Chairmen with short terms (08-10-2015 to 20-04-2016). That record is about practice, not law. ACTIONS FOR A PERSON: get the Rules under ss.4/87(2)(a) and the current appointment GO for the Chairman, check whether any amendment after 2011 changed s.4 or s.6, and confirm that the Chairman is the executive authority for SC5.</t>
  </si>
  <si>
    <t xml:space="preserve">Human Verification Required</t>
  </si>
  <si>
    <t xml:space="preserve">ANSWER: This can't be settled from the Citation Sheet. The parent Act sets no tenure for BMTC's Managing Director, who is the executive head. Instead it hands the MD's 'conditions of appointment and service' to Rules ('as may be prescribed'). The Rules layer (e.g. the KSRTC Rules, 1961, which BMTC lists as applicable) is not in the Citation Sheet as readable text. So whether the law sets a minimum tenure for the MD is NOT FOUND. It is not shown to be absent. | EVIDENCE: (1) Road Transport Corporations Act, 1950 (BMTC-02). s.14(1): 'Every Corporation shall have a Managing Director... appointed by the State Government'. s.15(1): 'The Managing Director shall be the executive head of the Corporation', so the MD is the post this question tests, not the Chairman. s.14(3)(a): the MD's conditions of appointment and service 'be such, as may be prescribed'. s.44(2)(e): Rules 'may provide for' the MD's 'conditions of appointment and service and the scales of pay'. s.5(5) and s.44(2)(c): term of office for Directors is 'as may be prescribed'. s.8(1): the State Government 'may remove' the Chairman or a Director for s.6 disqualifications or for missing more than 4 meetings in a row. s.8(2): the State Government 'may terminate the appointment of any Director' on notice of at least one month, as prescribed. Removal is therefore largely at government discretion, on notice. The Act does not say in so many words that the MD is a Director, but s.6(2) assumes the MD can be one. No section of the </t>
  </si>
  <si>
    <t xml:space="preserve">Step 2 found no evidence: a source needs to be found and added. Step 2 found no evidence (Human Verification Required). Source needed: Full text of the Rules under the Road Transport Corporations Act, 1950 that apply to BMTC: the Karnataka State Road Transport Corporation Rules, 1961 and any BMTC-specific Rules or amendments. Look for provisions on the Managing Director's term, conditions of service and removal. Also needed: the Karnataka notification establishing BMTC and stating which Rules apply, and any GO fixing the MD's tenure. Official copies only, e.g. the Karnataka eGazette or the state legislation portal.</t>
  </si>
  <si>
    <t xml:space="preserve">ANSWER: The BDA Act, 1976 (as amended up to Act 42 of 2026) sets no minimum tenure for the BDA Commissioner, who is the Authority's executive authority. Section 12 says how the Commissioner is appointed, paid and given leave, and says nothing about the term of office or removal. The Commissioner also sits on the Authority as an ex-officio member. Section 5 gives the Chairman and members a 3-year term, but only 'subject to the pleasure of the Government'. Even if that term covered the Commissioner, it would be a fixed term that the Government can end at will, not a guaranteed minimum. The Rules layer was not in the Citation Sheet, so I cannot record an affirmative absence and have not scored 0. | EVIDENCE: (1) Who the executive authority is: BDA Act s.13(1), substituted by Act 18 of 1981: 'The Commissioner shall be the Chief Executive and Administrative Officer of the Authority.' The Chairman is the political head and is excluded by the methodology. (2) Appointment: s.12(1)-(3), substituted by Act 18 of 1981. The State Government 'shall appoint an officer, not below the rank of Divisional Commissioner'. Salary and allowances are set by the Government, which also grants leave 'for such period as it thinks fit'. There is no term, no minimum tenure and no removal clause. (3) Membership: s.3(3)(m) makes the Commissioner a member 'ex-officio'. s.5(1): 'Subject to the pleasure of the Government and the provisions of section 6, the Chairman and other members of the Authority shall ho</t>
  </si>
  <si>
    <t xml:space="preserve">(1) The State  Government shall appoint an officer, not  below the rank of Divisional Commissioner, to be the Commissioner  for  the Authority. (2) The Commissioner shall receive such  monthly salary  and other allowances as the State Government may, from time to time determine.</t>
  </si>
  <si>
    <t xml:space="preserve">Score left blank because the evidence does not let me pick a band, and a 0 cannot be confirmed as an affirmative absence.
1. What the Act says. I checked this myself against BDA-02, the PRS copy (amended up to Act 42 of 2026).
- s.13(1): 'The Commissioner shall be the Chief Executive and Administrative Officer of the Authority.' This makes the Commissioner the executive authority. The Chairman is the political head and is excluded.
- s.12(1)-(3): covers only appointment (an officer 'not below the rank of Divisional Commissioner'), salary and leave. It sets no term, no minimum tenure and no protection against removal.
- s.3(3)(m): the Commissioner is a member 'ex-officio'.
- s.5(1): 'Subject to the pleasure of the Government and the provisions of section 6, the Chairman and other members of the Authority shall hold office for a period of three years'.
- s.6: lists grounds on which the Government 'shall remove a member'. Because s.5(1) keeps the pleasure clause, removal is not limited to those grounds.
- Whether the s.5 term applies to an ex-officio member at all is open to interpretation. Even if it does, it is a term the Government can end at will, not a guaranteed minimum tenure. The Step 2 answer flags this as the SC-5 anomaly: it fits neither the 10 band nor the 5 band. This is a RUBRIC-GAP, so a person needs to confirm it.
2. Why I cannot score 0. Affirmative absence needs the whole instrument stack, and several layers are missing from the Citation Sheet:
- the BDA Rules made under s.69. s.5(2) says other conditions of service of members 'shall be such as may be prescribed', and s.69(2)(c) covers 'the conditions of service of the Chairman and other members'. These Rules could set a term.
- any BDA regulations made under s.70. Note that s.70(1)(f) excludes officers 'lent' from Government service.
- the service rules for the officer posted as Commissioner (All India Services or Karnataka civil services), including any minimum-tenure rule for postings.
- any government order fixing the Commissioner's tenure.
Under the not-found rule, the score stays blank.
3. Other sources I checked:
- BDA-03 (GBA Act 2024), BDA-04 and BDA-13 (GBA amendment Bills): the BDA Commissioner appears only as an ex-officio member. No tenure provision.
- BDA-05 (KTCP Amendment Bill 2025): nothing on the BDA Commissioner's tenure.
- BDA-06 (KTCP Act) and BDA-27 (RTI portal): nothing relevant.
- Searching the sheet for 'Rules' and 'tenure' found no BDA Rules or GO.
4. Source quality. BDA-02 is a PRS copy, which is secondary. The authoritative gazette text should be checked.
5. RTI target: the PIO of the Urban Development Department, Government of Karnataka, and the BDA PIO. Ask for the Rules, government orders and service rules currently in force on the BDA Commissioner's term, minimum tenure and removal.</t>
  </si>
  <si>
    <t xml:space="preserve">ANSWER: Not found. None of the instruments in the Citation Sheet sets a minimum tenure for BMRCL's Managing Director (MD), who is the full-time Chief Executive Officer and its executive authority. The Companies Act, 2013 caps the MD's term at five years at a time but sets no minimum. It lets the company remove a director by ordinary resolution after a hearing, without listing any grounds. BMRCL's Articles of Association, and the Government of Karnataka's appointment orders or terms for the MD, are not in the sheet. So absence cannot be confirmed and 0 cannot be given. | EVIDENCE: (1) Legal form and executive post: the BMRCL Annual Report FY2020-21 (BMRCL-09), Corporate Governance Report, says BMRCL is 'a Government Company within the meaning of Section 2(45) of the Companies Act, 2013' and a 50:50 joint venture of the Government of India and the Government of Karnataka. The Government of Karnataka 'has the right to appoint the full-time Managing Director &amp; Chief Executive Officer'. The Chairman is a part-time, non-executive Government of India nominee, so the MD is the executive authority. The MD 'is the nominee of Government of Karnataka with prior concurrence of Government of India and appointed by the Board of Directors'. BMRCL is not set up under its own Act; the report names the Companies Act, 2013 and the Memorandum and Articles of Association as its governing instruments. (2) Companies Act, 2013 (BMRCL-06, PRS text of the Gazette). s.196(2): no MD may be appointed 'for</t>
  </si>
  <si>
    <t xml:space="preserve">(2) No company shall appoint or re-appoint any person as its managing director, whole-time director or manager for a term exceeding five years at a time:</t>
  </si>
  <si>
    <t xml:space="preserve">I left the Score blank. The Citation Sheet does not show a minimum tenure for BMRCL's Managing Director (MD), but it does not prove there is none either. The documents that would decide this are not in the sheet, so 0 cannot be given.
I checked Step 2 against the sources and it holds up.
(1) The Companies Act, 2013 (BMRCL-06, PRS copy of the Gazette text as enacted) has s.196(2). It sets only a maximum term: no 'term exceeding five years at a time'. It sets no minimum term. s.169(1) lets the shareholders remove a director by ordinary resolution after a hearing. That is a procedure, not a list of defined grounds for removal.
(2) The Annual Report for FY2020-21 (BMRCL-09) says BMRCL is a Government Company under s.2(45) and a 50:50 joint venture of the Government of India and the Government of Karnataka. It says the Government of Karnataka 'has the right to appoint the full-time Managing Director &amp; Chief Executive Officer'. It refers to the Articles of Association only for board strength (3 to 15 directors). It says nothing on the MD's term or removal. It also shows frequent MD changes: Rakesh Singh on concurrent charge from 9 April 2021, then Anjum Parwez from 15 July 2021. These are practice only, not law.
(3) The Metro Railways (Operation and Maintenance) Act, 2002 (BMRCL-04): ss.50-51 set term and removal grounds for the Claims Commissioner only.
(4) The Greater Bengaluru Governance Act, 2024 (BMRCL-02): s.13(1)(j) only names the MD as a member of the Executive Committee. BMRCL-03, 07, 08, 32 and 33 (the GBG Amendment Bill, Town and Country Planning Act, Metropolitan Land Transport Authority Act, parking policy and a tender notice) do not cover MD tenure.
The instruments that would decide this are missing:
- BMRCL's Memorandum and Articles of Association (the MD's appointment, term and removal);
- the Government of Karnataka's orders and terms of appointment for the MD;
- any Government of Karnataka service rules or policy on the tenure of officers posted to state companies or joint ventures;
- the current consolidated Companies Act and Rules (later amendments to ss.169 and 196 were not checked).
Without these, the result is 'not found', not an affirmative absence. I could not confirm the score bands from a Detailed Methodology in the input. Step 2's notes suggest 10 = a minimum term plus removal only on defined grounds, 5 = a minimum term only, 0 = none. The scorer should confirm these bands. RTI target: the PIO at BMRCL or at the Urban Development Department, Government of Karnataka, for the current Articles of Association and the MD's appointment orders and terms from 2021 to now.</t>
  </si>
  <si>
    <t xml:space="preserve">Step 2 found no evidence: a source needs to be found and added. Step 2 found no evidence (Insufficient Evidence). Source needed: The full official text of the Bangalore Metropolitan Region Development Authority Act, 1985 (Karnataka Act No. 39 of 1985), current amended version, especially the section on appointing the Metropolitan Commissioner. Also: the BMRDA Cadre and Recruitment Rules, 2008; any Rules made under the BMRDA Act; and the BMRDA Regulations of 1996, 1999 and 2000. These would show whether a term, a minimum tenure or limits on removal are prescribed. If they are silent, the Karnataka state rules on IAS posting tenure (e.g. a Civil Services Board/minimum-tenure GO) could be checked, but only if the team accepts them as part of the stack.</t>
  </si>
  <si>
    <t xml:space="preserve">Step 2 found no evidence: a source needs to be found and added. Step 2 found no evidence (Insufficient Evidence). Source needed: Needed: (a) the full principal text of section 22 of the GTPUD Act, 1976 (current consolidated version), especially s.22(4) and any provision on the Member-Secretary/Chief Executive Authority's appointment, term and removal; (b) the full GTPUD Rules, 1979 (and any amendments), checked for rules on members' or the Chief Executive Authority's term and conditions; (c) the GoG notification of 30-01-1978 constituting SUDA and any later notification appointing or re-designating the Chief Executive Authority; (d) any service or tenure rules that apply to the post.</t>
  </si>
  <si>
    <t xml:space="preserve">Step 2 found no evidence: a source needs to be found and added. Step 2 found no evidence (Insufficient Evidence). Source needed: GMRC's Articles of Association, especially the articles on appointing, setting the term of and removing the Managing Director. The Companies Act, 2013 provisions and Rules on MD appointment and term. The DPE guidelines on tenure of board-level executives in jointly owned companies, adopted under sanction para 8.5. The GoG/Board appointment order for the current MD, showing the term and the conditions for removal.</t>
  </si>
  <si>
    <t xml:space="preserve">SC6</t>
  </si>
  <si>
    <t xml:space="preserve">Step 2 found no evidence: a source needs to be found and added. Step 2 found no evidence (Insufficient Evidence). Source needed: Government of Karnataka (DPAR / Urban Development Department) orders appointing, transferring or giving additional charge to the Chairman, BWSSB, for the last five years, or the matching Karnataka Gazette notifications. Alternatively, BWSSB annual reports for FY 2020-21 to 2024-25 (laid in the Legislature) that list Chairpersons with dates in office, or a dated official BWSSB list of past Chairmen.</t>
  </si>
  <si>
    <t xml:space="preserve">Step 2 found no evidence: a source needs to be found and added. Step 2 found no evidence (Insufficient Evidence). Source needed: The Karnataka government's (DPAR) appointment, transfer and additional-charge orders for the post of BMTC Managing Director from about Oct 2021 to Sep 2026, or the matching Karnataka Gazette notifications. Each order should give the officer's name, the date charge was taken or handed over, and whether the charge was substantive or additional. A dated BMTC list of past Managing Directors, or annual reports naming the MD each year, would serve as a cross-check.</t>
  </si>
  <si>
    <t xml:space="preserve">Step 2 found no evidence: a source needs to be found and added. Step 2 found no evidence (Insufficient Evidence). Source needed: Karnataka DPAR (Services) notifications or eGazette orders appointing or transferring the Commissioner, BDA, covering the last five years, including any additional or concurrent charge orders. Alternatively, an official BDA list of past Commissioners with their dates in office, or BDA annual reports naming the Commissioner each year.</t>
  </si>
  <si>
    <t xml:space="preserve">Step 2 found no evidence: a source needs to be found and added. Step 2 found no evidence (Insufficient Evidence). Source needed: Any of these would close the gap: BMRCL annual reports (Board's Reports) for FY 2021-22 to 2025-26, which list MD appointments and cessations with dates; GoK orders appointing or transferring each BMRCL MD from 2021 to 2026, noting any concurrent or additional charge; or a dated BMRCL official-website page listing past and present MDs with their dates.</t>
  </si>
  <si>
    <t xml:space="preserve">Step 2 found no evidence: a source needs to be found and added. Step 2 found no evidence (Insufficient Evidence). Source needed: DPAR (Government of Karnataka) appointment, transfer and posting orders for the post of Metropolitan Commissioner, BMRDA, covering the last five years, including any additional or concurrent charge orders. Alternatively, a BMRDA list of past Metropolitan Commissioners with dates (e.g. Annexure-1 of each annual report from FY 2020-21 to FY 2025-26). Also the BMRDA Act, 1985, to confirm the Metropolitan Commissioner's statutory executive role.</t>
  </si>
  <si>
    <t xml:space="preserve">Step 2 found no evidence: a source needs to be found and added. Step 2 found no evidence (Insufficient Evidence). Source needed: Two kinds of record would answer this. First, the Government of Gujarat (General Administration Department / Urban Development &amp; Urban Housing Department) orders or Gazette notifications posting or transferring officers as Chief Executive Authority, SUDA, from about 2021 to 2026, with dates and a note of any additional, concurrent or ex-officio charge. Second, a dated official list of past and present SUDA CEAs, either from SUDA's own website or from a .gov.in source.</t>
  </si>
  <si>
    <t xml:space="preserve">ANSWER: Not determinable for the full five-year window. GMRC's chief executive is the Managing Director. The Chairman is the ex-officio Secretary of MoHUA and is not the executive head. The Citation Sheet shows one substantive MD, Shri S. S. Rathore (DIN 00128987), in office for FY2023-24, FY2024-25, up to the date of the FY2024-25 report (24/12/2025), and on the website page last updated 12-Oct-2026. No source shows who held the post in FY2021-22 or FY2022-23, or when Rathore was appointed. So the number of MDs over the last five years cannot be counted. | EVIDENCE: (1) GMRC-05 (Annual Report 2024-25), section XII 'Organizational set-up', p.32: 'The Managing Director is the nominee of Government of Gujarat with prior concurrence of Government of India and appointed by the Board of Directors. The general powers of Management are vested in the Managing Director'. The same report, p.34, lists the KMP under s.203: 'MANAGING DIRECTOR - Shri S. S. Rathore'. Its list of director changes for FY2024-25 and FY2025-26 (to the AGM) shows no change of MD. Rathore signs the Board's report as MD on 24/12/2025. (2) GMRC-06 (Annual Report 2023-24), p.40, lists the KMP with 'MANAGING DIRECTOR - Shri S. S. Rathore'. The FY2023-24 appointments listed are only Whole Time Directors Bisht (5.4.2023) and Kishore Kumar (13.3.2023). The MGT-9 remuneration table (p.65) names 'Shri S.S. Rathore Managing Director' with no 'upto' or 'w.e.f.' date, and p.64 describes him as 'Retd. Addi. Chief Secretary (R</t>
  </si>
  <si>
    <t xml:space="preserve">The Managing Director is the nominee of Government of Gujarat with prior concurrence of Government of India and appointed by the Board of Directors.</t>
  </si>
  <si>
    <t xml:space="preserve">I left the score blank because the Citation Sheet does not cover the whole five-year window. I checked the Step 2 answer against the sources and it holds. GMRC's chief executive is the Managing Director: GMRC-05, section XII, says 'The general powers of Management are vested in the Managing Director'. The Chairman is the ex-officio Secretary of MoHUA (the Union housing ministry) and is not counted.
What the sources show:
(a) GMRC-06, Annual Report 2023-24, MGT-9 table (v) 'Shareholding of Directors and KMP' (printed p.60). At the start of the year (01/04/2023), Shri S. S. Rathore held 20 shares 'On behalf of Hon'ble Governor of Gujarat &amp; Managing Director', with no transfer noted. So he was MD from at least 1 April 2023.
(b) GMRC-06, p.40 and GMRC-05, p.32: the KMP lists name only Rathore as MD. Neither report's list of director changes (FY2023-24, FY2024-25, and FY2025-26 up to the AGM) shows an MD change.
(c) GMRC-05: Rathore signs as MD (DIN 00128987) up to 24/12/2025.
(d) GMRC-04 (website, last updated 12-Oct-2026) still shows him as MD.
Shri Sanjay Gupta became Joint Managing Director from 21.12.2024. He is a functional director, not the chief executive, so I did not count him. Please confirm that the Joint MD post is excluded.
What is missing: nothing in the Sheet covers about Oct 2021 to 31 Mar 2023. There are no annual reports for FY2021-22 or FY2022-23, no Board resolution or Government of Gujarat order appointing the MD, no start date for Rathore, and no record of a predecessor or of anyone holding acting or additional charge. My searches of the Sheet for 'Rathore', 'Managing Director' with 2020-2022 dates, 'additional charge' and his DIN found nothing earlier. So the count could be 1 MD (top band) or 2-3 MDs (middle band). I cannot pick a band, and with no evidence of a change I cannot score 0 either.
The rubric bands are not given in this task. The Step 2 notes refer to a 10-band (1 MD) and a 5-band (2-3 MDs); a person should confirm these against the question bank.
Action for a person: obtain the GMRC annual reports for FY2021-22 and FY2022-23 (the MGT-9 and directors'-changes sections), or file an RTI request with the GMRC PIO for the orders appointing the MD and any acting MD, with dates, from Oct 2021 to date. If those show Rathore in office throughout with no interim MD, the top band would apply.</t>
  </si>
  <si>
    <t xml:space="preserve">SC7a</t>
  </si>
  <si>
    <t xml:space="preserve">Step 2 found no evidence: a source needs to be found and added. Step 2 found no evidence (Insufficient Evidence). Source needed: A current, dated official record giving both sanctioned and filled (working) posts for BWSSB, broken down by cadre, including any contractual posts that are part of the approved structure. Possible sources: BWSSB's latest Annual Report (FY 2023-24 or 2024-25) laid in the Karnataka Legislature; the sanctioned vs working strength statement in BWSSB's RTI section 4(1)(b) disclosure; the cadre and recruitment regulations or Board resolution fixing the sanctioned strength; or an RTI reply from the BWSSB PIO (Chief Administrative Officer-cum-Secretary's office).</t>
  </si>
  <si>
    <t xml:space="preserve">Step 2 found no evidence: a source needs to be found and added. Step 2 found no evidence (Insufficient Evidence). Source needed: Any one of these would answer it: a BMTC staffing record showing sanctioned and working (filled) strength by cadre, including contractual staff in the approved structure, as of a recent date. Possible sources are the 'staff strength' or 'number of employees' table in BMTC's latest annual report (which may have been tabled in the Karnataka Legislature), BMTC's RTI Act s.4(1)(b) disclosure, or a formal data request or RTI reply from BMTC.</t>
  </si>
  <si>
    <t xml:space="preserve">Step 2 found no evidence: a source needs to be found and added. Step 2 found no evidence (Insufficient Evidence). Source needed: A dated official record of BDA's sanctioned and filled posts (ideally split into permanent, contractual and deputation staff) for a recent year. Possible sources: BDA's latest annual report or s.47A report laid before the Karnataka Legislature; the current staff schedule sanctioned by the Government under s.49, with its working strength; BDA's RTI s.4(1)(b) disclosures (staff directory and vacancy position); a Karnataka Urban Development Department or legislature answer on BDA vacancies; or a formal data request or RTI reply from BDA.</t>
  </si>
  <si>
    <t xml:space="preserve">Step 2 found no evidence: a source needs to be found and added. Step 2 found no evidence (Insufficient Evidence). Source needed: BMRCL's sanctioned versus working strength, by wing (Project and O&amp;M) and by cadre, for the latest completed FY, stating whether contract or deputation posts count as sanctioned. Possible sources: a current BMRCL annual report or Board's Report with a sanctioned-strength table, a Board resolution or GoK/MoHUA order sanctioning posts (including Phase-2), or an RTI reply from BMRCL.</t>
  </si>
  <si>
    <r>
      <rPr>
        <sz val="11"/>
        <color theme="1"/>
        <rFont val="Calibri"/>
        <family val="2"/>
        <charset val="1"/>
      </rPr>
      <t xml:space="preserve">ANSWER: The latest official staffing figures in the Citation Sheet are from BMRDA's Annual Report for 2022-23. As of 31.03.2023, 27 of 56 sanctioned posts were filled (29 vacant). That is a fill rate of 27/56 x 100 = 48.21%, which falls in the 40%-59% band (Score 2). The figures are about 3.5 years old for a September 2026 assessment, and the report does not say whether contractual or outsourced staff in the approved structure are counted. So this is evidence of the 2023 position, not the current one. | EVIDENCE: BMRDA-03 (BMRDA Annual Report 2022-23, a Legislature Paper), p.15, para 11 'Staff position': 'The sanctioned staff strength for the Authority as on the 31.03.2023 is 56, out of this, only 27 posts have been filled up and the remaining 29 posts are vacant.' Annexure-1 (p.16 onward, in Kannada) lists officers and staff by post, with many shown as vacant ('</t>
    </r>
    <r>
      <rPr>
        <sz val="11"/>
        <color theme="1"/>
        <rFont val="Noto Sans"/>
        <family val="2"/>
      </rPr>
      <t xml:space="preserve">ಖಾಲಿ</t>
    </r>
    <r>
      <rPr>
        <sz val="11"/>
        <color theme="1"/>
        <rFont val="Calibri"/>
        <family val="2"/>
        <charset val="1"/>
      </rPr>
      <t xml:space="preserve">'). Several holders are on deputation from state departments (DPAR, Town Planning, State Accounts, Revenue). Some entries are marked as temporary posts ('</t>
    </r>
    <r>
      <rPr>
        <sz val="11"/>
        <color theme="1"/>
        <rFont val="Noto Sans"/>
        <family val="2"/>
      </rPr>
      <t xml:space="preserve">ತಾತ್ಕಾಲಿಕ ಹುದ್ದೆ</t>
    </r>
    <r>
      <rPr>
        <sz val="11"/>
        <color theme="1"/>
        <rFont val="Calibri"/>
        <family val="2"/>
        <charset val="1"/>
      </rPr>
      <t xml:space="preserve">'). No contractual or outsourced headcount is reported separately. The BMRDA website pages in the sheet (BMRDA-05, -06, -07, -12) show no staffing table in the excerpts. The legal texts (BMRDA-08, -10, -11) hold no BMRDA staffing data. | CAVEATS: (1) It is unclear whether the 'temporary posts' in Annexure-1 count within the 56 sanctioned posts or are extra. (2) Contractual staff are not reported, so the methodology's 'permanent and contractual sta</t>
    </r>
  </si>
  <si>
    <t xml:space="preserve">The sanctioned staff strength for the Authority as on the 31.03.2023 is 56, out of this, only 27   posts have been filled up and the remaining 29 posts are vacant.</t>
  </si>
  <si>
    <r>
      <rPr>
        <sz val="11"/>
        <color theme="1"/>
        <rFont val="Calibri"/>
        <family val="2"/>
        <charset val="1"/>
      </rPr>
      <t xml:space="preserve">I left the score blank. The likely score is 2, but a person needs to confirm it first. What the source says: BMRDA's Annual Report for 2022-23 (BMRDA-03, para 11, p.15) is the only staffing figure in the Citation Sheet. It says 27 of 56 sanctioned posts were filled as of 31.03.2023. That is a fill rate of 27/56 = 48.21%. The Step 2 answer puts this in the 40%-59% band, which scores 2. I checked the figures against the source and they match. Why I did not enter the score: (1) The data is from 31.03.2023, about 3.5 years before this September 2026 Implementation assessment. Old evidence is at most partial evidence of current practice. I searched the whole Citation Sheet and found no staffing figure for FY 2023-24, 2024-25 or 2025-26. (2) The methodology counts contractual staff when they are part of the approved staffing structure. The report gives no contractual or outsourced headcount. In Annexure-1 (Kannada), several posts are marked '</t>
    </r>
    <r>
      <rPr>
        <sz val="11"/>
        <color theme="1"/>
        <rFont val="Noto Sans"/>
        <family val="2"/>
      </rPr>
      <t xml:space="preserve">ತಾತ್ಕಾಲಿಕ ಹುದ್ದೆ</t>
    </r>
    <r>
      <rPr>
        <sz val="11"/>
        <color theme="1"/>
        <rFont val="Calibri"/>
        <family val="2"/>
        <charset val="1"/>
      </rPr>
      <t xml:space="preserve">' (temporary post). The report does not say whether these are inside the 56 sanctioned posts or extra to them. (3) The band boundaries were not given to me directly; I took them from the Step 2 answer. The reviewer should check them against the question bank. A score of 0 does not apply, because staffing data exists. Sources checked: BMRDA-03 (para 11 and Annexure-1). I also searched across all sources; BMRDA-05/06/07/12 (website pages) and BMRDA-08/10/11 (Acts) contain no BMRDA staffing data. For the reviewer: if the latest available official figure (FY 2022-23) is acceptable and contractual staff are outside the approved structure, enter 2. Otherwise get current figures through an RTI request to BMRDA's Public Information Officer for Administration &amp; Revenue (the Assistant Metropolitan Commissioner). Ask for sanctioned posts, filled posts (regular, deputation, contractual) and vacancies as of the latest date.</t>
    </r>
  </si>
  <si>
    <t xml:space="preserve">Step 2 found no evidence: a source needs to be found and added. Step 2 found no evidence (Insufficient Evidence). Source needed: A dated official record of SUDA's sanctioned and working strength by post or cadre, including contractual posts in the approved structure. This could be SUDA's RTI section 4(1)(b) proactive-disclosure staff list, an annual report with a sanctioned-vs-filled table, or the Gujarat Urban Development Department GO approving SUDA's staffing. Failing these, an RTI reply or formal data request to SUDA.</t>
  </si>
  <si>
    <t xml:space="preserve">Step 2 found no evidence: a source needs to be found and added. Step 2 found no evidence (Insufficient Evidence). Source needed: A dated GMRC staffing record showing sanctioned posts and filled posts, ideally by cadre and split between permanent and contractual staff within the approved structure. Possible sources: an HR or establishment statement or annual report table showing sanctioned and working strength, the Board-approved organisation chart or manpower sanction, or an RTI reply from GMRC's PIO. Figures should be company-wide, with a Surat Metro breakdown if available.</t>
  </si>
  <si>
    <t xml:space="preserve">SC7b</t>
  </si>
  <si>
    <t xml:space="preserve">Step 2 found no evidence: a source needs to be found and added. Step 2 found no evidence (Insufficient Evidence). Source needed: Needed: current staffing data from BWSSB that splits filled posts by sex, ideally also by cadre (Group A/B/C/D, technical or engineering, senior posts). Possible sources: a recent BWSSB annual report laid before the Karnataka Legislature, the RTI s.4(1)(b) employee directory, an HR or establishment statement, or a reply to an RTI or formal data request.</t>
  </si>
  <si>
    <t xml:space="preserve">Step 2 found no evidence: a source needs to be found and added. Step 2 found no evidence (Insufficient Evidence). Source needed: A gender-wise staff table from BMTC: the latest annual report (Section 33 RTC Act annual report tabled in the Karnataka Legislature), the RTI section 4(1)(b) proactive disclosure of employees, or a formal data request/RTI reply. It should give total filled posts and women employees as of a stated date, with a cadre-wise split (senior/decision-making posts; technical/professional cadres such as drivers, mechanics and engineers).</t>
  </si>
  <si>
    <t xml:space="preserve">Step 2 found no evidence: a source needs to be found and added. Step 2 found no evidence (Insufficient Evidence). Source needed: Any of the following, dated as recently as possible: BDA's latest annual report or establishment statement giving filled posts with a male/female split; BDA's RTI s.4(1)(b) disclosure (staff directory, or staff numbers by cadre and gender); a written reply to a formal data request or RTI giving total filled posts and women employees by cadre (Group A/B/C/D, technical/engineering/town-planning, senior management).</t>
  </si>
  <si>
    <t xml:space="preserve">Step 2 found no evidence: a source needs to be found and added. Step 2 found no evidence (Insufficient Evidence). Source needed: The latest staffing record from BMRCL showing total filled posts and the number of women employees, ideally split by cadre (executive/senior, technical/engineering, non-technical) and by wing (Project and O&amp;M), with contract/deputation staff identified. Possible sources: a recent BMRCL annual report with a gender breakdown of manpower, an HR disclosure on BMRCL's website, a legislature-tabled report, or an RTI reply.</t>
  </si>
  <si>
    <t xml:space="preserve">Step 2 found no evidence: a source needs to be found and added. Step 2 found no evidence (Insufficient Evidence). Source needed: Gender-disaggregated staffing data for BMRDA, giving the number of women among filled posts, ideally split by cadre (senior/decision-making, technical/professional). Possible sources: a clean or human-read copy of Annexure-1 of the Annual Report showing Sri/Smt. honorifics, a later Annual Report (FY 2023-24 or after), an establishment register, or an RTI reply.</t>
  </si>
  <si>
    <t xml:space="preserve">Step 2 found no evidence: a source needs to be found and added. Step 2 found no evidence (Insufficient Evidence). Source needed: SUDA's latest staffing record giving total filled posts and the number of women employees, ideally broken down by cadre (senior/decision-making, technical/professional), with a date or FY. Possible sources: an annual report, an establishment/sanctioned-vs-working strength schedule, the staff list in the RTI Act s.4(1)(b) proactive disclosure, or an RTI reply or formal data request to SUDA.</t>
  </si>
  <si>
    <t xml:space="preserve">Step 2 found no evidence: a source needs to be found and added. Step 2 found no evidence (Insufficient Evidence). Source needed: Current GMRC staffing records: total filled posts and the number of women employees as of the latest date, ideally split by grade (E-grades and NE-grades, to show senior and technical cadres). These could come from an HR disclosure in an annual report, an employee directory or staffing statement on the website, or an RTI reply from GMRC's Public Information Officer.</t>
  </si>
  <si>
    <t xml:space="preserve">DRAFT PARASTATAL scoring workbook - generated from the methodology sheet</t>
  </si>
  <si>
    <t xml:space="preserve">This draft follows the same layout as the UPD scoring workbook, so the app can fill, merge and read it. The scoring experts should:</t>
  </si>
  <si>
    <t xml:space="preserve">  1. Replace each question sheet's simple inputs (yellow) and Points formula with the real ones, keeping the row-11 instructions (e.g. SELECT YES / NO) and the column names 'Points (Auto-generate)' and 'SCORER COMMENTS'.</t>
  </si>
  <si>
    <t xml:space="preserve">  2. Check 'Applies?' (filled in from each agency's type and the question's Applicability). To change it, fix the agency in the city register or Sources workbook and generate again.</t>
  </si>
  <si>
    <t xml:space="preserve">  3. Fix the points below in the methodology sheet and generate again.</t>
  </si>
  <si>
    <t xml:space="preserve">Points to check:</t>
  </si>
  <si>
    <t xml:space="preserve">  • Section 'Decentralised Participatory Governance' has no (CODE); using DPG</t>
  </si>
  <si>
    <t xml:space="preserve">  • Question Bank row 35: the ID "DPG d" has no number. We treated it as part of DPG 5. Please correct the ID in the question bank.</t>
  </si>
  <si>
    <t xml:space="preserve">  • Question Bank row 36: the ID "DPG f" has no number. We treated it as part of DPG 5. Please correct the ID in the question bank.</t>
  </si>
  <si>
    <t xml:space="preserve">  • Question Bank row 38: the ID "DPG h" has no number. We treated it as part of DPG 5. Please correct the ID in the question bank.</t>
  </si>
  <si>
    <t xml:space="preserve">  • Section 'State Capacities' has no (CODE); using SC</t>
  </si>
  <si>
    <t xml:space="preserve">  • UPD 1a: the methodology gives scores up to 10, but the Max Score is 5. Say how the score should be scaled.</t>
  </si>
  <si>
    <t xml:space="preserve">ASICS 2027_Report_Q No</t>
  </si>
  <si>
    <t xml:space="preserve">Group</t>
  </si>
  <si>
    <t xml:space="preserve">MQ_SQ</t>
  </si>
  <si>
    <t xml:space="preserve">Assessment level</t>
  </si>
  <si>
    <t xml:space="preserve">Max Score</t>
  </si>
  <si>
    <t xml:space="preserve">ENTER</t>
  </si>
  <si>
    <t xml:space="preserve">Derived</t>
  </si>
  <si>
    <t xml:space="preserve">UPD1</t>
  </si>
  <si>
    <t xml:space="preserve">UPD2</t>
  </si>
  <si>
    <t xml:space="preserve">UPD3</t>
  </si>
  <si>
    <t xml:space="preserve">UPD4</t>
  </si>
  <si>
    <t xml:space="preserve">UPD5</t>
  </si>
  <si>
    <t xml:space="preserve">UPD6</t>
  </si>
  <si>
    <t xml:space="preserve">DPG1</t>
  </si>
  <si>
    <t xml:space="preserve">DPG2</t>
  </si>
  <si>
    <t xml:space="preserve">DPG5</t>
  </si>
  <si>
    <t xml:space="preserve">DPG6</t>
  </si>
  <si>
    <t xml:space="preserve">DPG7</t>
  </si>
  <si>
    <t xml:space="preserve">SC4</t>
  </si>
  <si>
    <t xml:space="preserve">SC7</t>
  </si>
  <si>
    <t xml:space="preserve">PARASTATAL_Scores</t>
  </si>
  <si>
    <t xml:space="preserve">PARASTATAL_OVERALL_SCORE</t>
  </si>
  <si>
    <t xml:space="preserve">No. of MQs not yet scored ("?") - overall score is provisional while &gt; 0</t>
  </si>
  <si>
    <t xml:space="preserve">No. of MQs marked NA (excluded from overall score)</t>
  </si>
  <si>
    <t xml:space="preserve">City</t>
  </si>
  <si>
    <t xml:space="preserve">Agencies</t>
  </si>
  <si>
    <t xml:space="preserve">PARASTATAL score</t>
  </si>
  <si>
    <t xml:space="preserve">Agencies with a score</t>
  </si>
  <si>
    <t xml:space="preserve">Bengaluru</t>
  </si>
  <si>
    <t xml:space="preserve">BWSSB, BMTC, BDA, BMRCL, BMRDA</t>
  </si>
  <si>
    <t xml:space="preserve">Surat</t>
  </si>
  <si>
    <t xml:space="preserve">SUDA, GMRC</t>
  </si>
  <si>
    <t xml:space="preserve">A city's score is the average of its agencies' overall scores. Agencies with no applicable questions (NA) are left out.</t>
  </si>
  <si>
    <t xml:space="preserve">Q No</t>
  </si>
  <si>
    <t xml:space="preserve">Original ID</t>
  </si>
  <si>
    <t xml:space="preserve">Applicability</t>
  </si>
  <si>
    <t xml:space="preserve">Detailed Methodology</t>
  </si>
  <si>
    <t xml:space="preserve">Notes for scorers</t>
  </si>
  <si>
    <t xml:space="preserve">UPD 1</t>
  </si>
  <si>
    <t xml:space="preserve">Urban Planning &amp; Design (UPD)</t>
  </si>
  <si>
    <t xml:space="preserve">MQ</t>
  </si>
  <si>
    <t xml:space="preserve">Does the parastatal coordinate with the ULG(s) in preparing its spatial and/or sectoral plans?</t>
  </si>
  <si>
    <t xml:space="preserve">Common — all parastatal types.</t>
  </si>
  <si>
    <t xml:space="preserve">Sum total of the sub-indicators below -</t>
  </si>
  <si>
    <t xml:space="preserve">See sub-indicators</t>
  </si>
  <si>
    <t xml:space="preserve">UPD 1a</t>
  </si>
  <si>
    <t xml:space="preserve">SQ</t>
  </si>
  <si>
    <t xml:space="preserve">Is the parastatal mandated to prepare its spatial and/or sectoral plans in coordination with the ULG(s) within its jurisdiction?</t>
  </si>
  <si>
    <t xml:space="preserve">Law/Policy</t>
  </si>
  <si>
    <t xml:space="preserve">Review the relevant Parastatal Act and the State Town and Country Planning (T&amp;CP) Act.
10 — ULG approval/concurrence or joint preparation is required. 
7.5 — formal consultation is mandatory, and ULG response must be considered/responded to. 
5 — consultation is mandatory, but there is no obligation to incorporate/respond. 
2.5 — consultation is discretionary (“may”). 
0 — no formal role.</t>
  </si>
  <si>
    <t xml:space="preserve">Relevant Parastatal Act; applicable Town and Country Planning (T&amp;CP) Act.</t>
  </si>
  <si>
    <t xml:space="preserve">UPD 1b</t>
  </si>
  <si>
    <t xml:space="preserve">Has the ULG participated in the parastatal’s plan-making process?</t>
  </si>
  <si>
    <t xml:space="preserve">Implementation</t>
  </si>
  <si>
    <t xml:space="preserve">Review the latest available plan-making cycle for evidence of ULG participation in the parastatal’s plan-making process, irrespective of whether such participation is legally mandated.
Score 10 where there is evidence of substantive ULG participation, such as joint preparation, concurrence/approval, or documented consideration of and response to ULG inputs.
Score 5 where the ULG was formally consulted or invited to provide inputs, but there is no evidence of how these inputs were considered.
Score 2.5 where there is evidence of limited or informal engagement with the ULG.
Score 0 where there is no evidence of ULG participation.
Evidence may include plan documents, consultation records, meeting minutes, ULG resolutions/comments, responses to ULG inputs, or information published on the parastatal/ULG website.</t>
  </si>
  <si>
    <t xml:space="preserve">Evidence may include plan documents, consultation records, meeting minutes, ULG resolutions/comments, responses to ULG inputs, or information published on the parastatal website.</t>
  </si>
  <si>
    <t xml:space="preserve">UPD 2</t>
  </si>
  <si>
    <t xml:space="preserve">Where multiple statutory or sectoral plans apply to the same territory, does the water supply board and transport corporation ensure consistency with the applicable metropolitan/regional or city master plan/strategic plan for the city?</t>
  </si>
  <si>
    <t xml:space="preserve">All parastatals excluding Development Authorities</t>
  </si>
  <si>
    <t xml:space="preserve">Sum of the sub-questions below -</t>
  </si>
  <si>
    <t xml:space="preserve">UPD 2a</t>
  </si>
  <si>
    <t xml:space="preserve">Where multiple statutory or sectoral plans apply to the same territory, is the water board mandated to ensure consistency with the applicable metropolitan/regional or city master plan/strategic plan for the city?</t>
  </si>
  <si>
    <t xml:space="preserve">Water supply board</t>
  </si>
  <si>
    <t xml:space="preserve">Review the relevant Parastatal Act and Town and Country Planning Act.
Score 2.50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water supply plan shall conform to the applicable Master Plan or Metropolitan Plan would score 2.5, while a provision stating that the authority may have regard to such a plan would score 1.25.</t>
  </si>
  <si>
    <t xml:space="preserve">UPD 2b</t>
  </si>
  <si>
    <t xml:space="preserve">Where multiple statutory or sectoral plans apply to the same territory, does the water supply board ensure consistency with the applicable metropolitan/regional or city master plan/strategic plan for the city?</t>
  </si>
  <si>
    <t xml:space="preserve">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
Score 1.25 if there is partial alignment: the water plan refers to the master plan and/or uses its population, density or land-use projections, but does not clearly demonstrate that these inputs determine the spatial location of network expansion, service areas or major infrastructure.
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
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t>
  </si>
  <si>
    <t xml:space="preserve">Water Supply Board's current water supply/sewerage master plan or equivalent sectoral planning document; applicable Master Plan/Development Plan/Metropolitan or Regional Plan; land-use conversion/regularisation records for major treatment plants or trunk infrastructure, where available.</t>
  </si>
  <si>
    <t xml:space="preserve">UPD 2c</t>
  </si>
  <si>
    <t xml:space="preserve">Where multiple statutory or sectoral plans apply to the same territory, is the transport corporation mandated to ensure consistency with the applicable metropolitan/regional or city master plan/strategic plan for the city?</t>
  </si>
  <si>
    <t xml:space="preserve">Transport Corporation</t>
  </si>
  <si>
    <t xml:space="preserve">Review the relevant Parastatal Act and Town and Country Planning Act.
Score 2.5 if the parastatal shall/is required to ensure that its spatial/sectoral plan is consistent with the applicable city, metropolitan or regional statutory plan.
Score 1.25 if the law provides that the parastatal may ensure/seek such consistency or otherwise makes alignment discretionary.
Score 0 if no such provision exists.
For example, a provision stating that a transport plan shall conform to the applicable Master Plan or Metropolitan Plan would score 2.5, while a provision stating that the authority may have regard to such a plan would score 1.25.</t>
  </si>
  <si>
    <t xml:space="preserve">UPD 2d</t>
  </si>
  <si>
    <t xml:space="preserve">Where multiple statutory or sectoral plans apply to the same territory, does the transport corporation ensure consistency with the applicable metropolitan/regional or city master plan/strategic plan for the city?</t>
  </si>
  <si>
    <t xml:space="preserve">Review the transport corporation's current transport/mobility master plan, network expansion plan, or equivalent sectoral planning document, together with the applicable Master Plan/Development Plan/Metropolitan or Regional Plan.
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
Score 1.25 if there is partial alignment: the transport plan refers to the master plan and/or uses its population, density or land-use projections, but does not clearly demonstrate that these inputs determine the spatial location of routes, stations or major infrastructure.
Score 0 if there is no identifiable evidence that the Master Plan or its spatial/population framework informs transport planning.
The score sheet should record components for scores, the plan/document relied upon, year, applicable statutory master plan, and the specific reference demonstrating alignment.
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t>
  </si>
  <si>
    <t xml:space="preserve">Transport corporation's current mobility/network plan; applicable Master Plan/Development Plan/Metropolitan or Regional Plan; land-use conversion/regularisation records for major transport infrastructure, where available.</t>
  </si>
  <si>
    <t xml:space="preserve">UPD 3</t>
  </si>
  <si>
    <t xml:space="preserve">Are the needs of women, the urban poor, and other vulnerable groups explicitly considered in the water board’s planning, service delivery or major investment decisions?</t>
  </si>
  <si>
    <t xml:space="preserve">Review the relevant Act of the parastatal and applicable sectoral legislation, rules, regulations and other binding policy instruments. Do not award credit solely for broad references such as “public interest”, “public welfare” or “welfare of inhabitants”; there must be an identifiable requirement relating to women, the urban poor, EWS/slum residents, persons with disabilities, informal workers, disadvantaged/vulnerable groups, affordability, equitable/universal access, safety, or rehabilitation/resettlement protections.</t>
  </si>
  <si>
    <t xml:space="preserve">Relevant Act of the parastatal and applicable sectoral legislation, rules, regulations and other binding policy instruments</t>
  </si>
  <si>
    <t xml:space="preserve">UPD 3a</t>
  </si>
  <si>
    <t xml:space="preserve">Is the water supply board mandated to consider the needs of women, the urban poor and other vulnerable groups in decisions relating to access, affordability and delivery of water and sanitation services?</t>
  </si>
  <si>
    <t xml:space="preserve">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
Score 5 if equity requirements apply across core service-access and delivery decisions
Score 2.5 if limited to particular groups, services or schemes
Score 0 if no explicit requirement is found.</t>
  </si>
  <si>
    <t xml:space="preserve">Water Supply Board/utility Act, water and sanitation legislation, tariff regulations, service rules, State policies and other applicable binding instruments</t>
  </si>
  <si>
    <t xml:space="preserve">UPD 3b</t>
  </si>
  <si>
    <t xml:space="preserve">Does the water supply board actually consider the needs of women, the urban poor and other vulnerable groups in decisions relating to access, affordability and delivery of water and sanitation services?</t>
  </si>
  <si>
    <t xml:space="preserve">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
Look for identifiable provisions such as:
concessional/lifeline tariff, connection fee concession, deposit concession or other affordability measure for EWS/BPL/slum/low-income households
a named scheme or coverage commitment for slums/informal settlements
inclusion of slums/informal settlements within the water-supply master plan’s demand assessment, network design or service area, including where relevant irrespective of land tenure or notified status
priority/admissible category for network extension to low-income or underserved settlements
decentralised/service alternatives such as community stand posts, water ATMs or mini-networks where individual household connections are not feasible.
Scoring
Score 2.5 if there is evidence of both (i) an affordability/access measure and (ii) an explicit service-planning/coverage measure for an identified vulnerable group.
Score 1.25 if only one of the above is present.
Score 0 if neither is present.
Component 2 – Gender, and accessible design: 2.5 marks
Look for identifiable planning or design measures such as:
GESI/gender/social inclusion screening or analysis within water-supply planning or DPR preparation
explicit design consideration for women, PwDs, elderly persons, children or other identified vulnerable users
siting of shared water infrastructure to reduce time, distance or physical burden
safe and accessible approaches to community water points
barrier-free/universal-access design standards for public-facing water infrastructure, including ramps, step-free access, appropriate tap heights or other accessible design features
other specific design or service measures intended to address identified access barriers.
Scoring
Score 2.5 if the Board’s current planning/design framework contains specific operational or design measures addressing the needs of identified vulnerable groups.
Score 1.25 if vulnerable groups are specifically identified and considered, but the provision does not translate into a clear operational/design requirement.
Score 0 if there is no identifiable equity/accessibility consideration.</t>
  </si>
  <si>
    <t xml:space="preserve">Water Supply Board's current water supply/sanitation plan; scheme/coverage documents; tariff or connection-concession orders; design/service standards.</t>
  </si>
  <si>
    <t xml:space="preserve">UPD 4</t>
  </si>
  <si>
    <t xml:space="preserve">Are the needs of women, the urban poor, and other vulnerable groups explicitly considered in the transport Corporation’s planning, service delivery or major investment decisions?</t>
  </si>
  <si>
    <t xml:space="preserve">UPD 4a</t>
  </si>
  <si>
    <t xml:space="preserve">Is the transport corporation mandated to consider the mobility needs of women, the urban poor and other vulnerable groups in planning and delivering public transport services?</t>
  </si>
  <si>
    <t xml:space="preserve">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
Score 5 if such considerations are explicitly embedded across core service-planning and delivery functions
Score 2.5 if limited to specific groups, services or schemes
Score 0 if no explicit requirement is found.</t>
  </si>
  <si>
    <t xml:space="preserve">Transport authority/corporation Act, applicable transport legislation, rules, service regulations, fare policies and other binding policy instruments</t>
  </si>
  <si>
    <t xml:space="preserve">UPD 4b</t>
  </si>
  <si>
    <t xml:space="preserve">Does the Transport Corporation actually consider the needs of women, the urban poor and other vulnerable groups in decisions relating to access, affordability and delivery of public transport services?</t>
  </si>
  <si>
    <t xml:space="preserve">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
Do not award credit for generic language such as "public interest," "all commuters," "universal service" or "inclusive development" unless this is translated into a specific route, fare, service or design provision.
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
Score 2.5 if there is evidence of both (i) an affordability/fare-concession measure and (ii) an explicit route/coverage measure for an identified vulnerable group. Score 1.25 if only one is present. Score 0 if neither is present.
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
Score 2.5 if the Corporation's current planning/design framework contains specific operational or design measures. Score 1.25 if vulnerable groups are identified but this doesn't translate into an operational/design requirement. Score 0 if no identifiable consideration.</t>
  </si>
  <si>
    <t xml:space="preserve">Transport Corporation's current transport/mobility plan; fare policy/concession orders; service design standards or specifications; annual report.</t>
  </si>
  <si>
    <t xml:space="preserve">UPD 5</t>
  </si>
  <si>
    <t xml:space="preserve">Are environmental considerations explicitly required to be integrated into the water supply board’s planning, service-delivery or major investment decisions?</t>
  </si>
  <si>
    <t xml:space="preserve">Assess through the relevant parastatal-specific question below. Review the enabling Act of the parastatal, applicable sectoral legislation, T&amp;CP/planning legislation where relevant, environmental rules/regulations, and other binding policy instruments governing the parastatal’s functions. Do not award credit solely for general references to “environment”, “public interest” or compliance with project-level environmental clearances. The legal/policy framework should require environmental considerations to inform the parastatal’s own planning, investment or service-delivery decisions.</t>
  </si>
  <si>
    <t xml:space="preserve">Enabling Act of the parastatal, applicable sectoral legislation, T&amp;CP/planning legislation, relevant environmental rules/regulations, and other binding policy instruments</t>
  </si>
  <si>
    <t xml:space="preserve">UPD 5a</t>
  </si>
  <si>
    <t xml:space="preserve">Is the water supply board mandated to consider environmental sustainability in planning and delivering water and sanitation services?</t>
  </si>
  <si>
    <t xml:space="preserve">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t>
  </si>
  <si>
    <t xml:space="preserve">Water Supply Board/utility Act, water and sanitation legislation, service rules, State water policies, groundwater/source-protection provisions and other binding instruments</t>
  </si>
  <si>
    <t xml:space="preserve">UPD 5b</t>
  </si>
  <si>
    <t xml:space="preserve">Does the water supply board actually consider environmental sustainability in planning and delivering water and sanitation services?</t>
  </si>
  <si>
    <t xml:space="preserve">Review the Board's latest water supply plan. Assess whether it contains identifiable environmental sustainability measures relating to source management, conservation, wastewater management, or climate resilience.
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
Look for identifiable provisions such as:
sustainable or diversified water source development, or measures to reduce over-extraction/dependence on a stressed source
groundwater recharge, rainwater harvesting, or source-protection measures within the Board's own infrastructure planning
a non-revenue water (NRW)/water-loss reduction target or programme
demand management or water conservation measures (e.g., universal metering, leak detection and repair programme, conservation-oriented design standards)
measures to protect water sources from pollution or encroachment (buffer/catchment protection, control of upstream effluent discharge)
any other specific measure on sustainable source management, and/or conservation and loss reduction
Scoring:
Score 2.5 if there is evidence of both (i) a sustainable source/protection measure and (ii) an explicit loss-reduction or demand-management target/programme.
Score 1.25 if only one of the above is present. Score 0 if neither is present.
Component 2 – Wastewater management, reuse and climate resilience: 2.5 marks
Look for identifiable planning or operational measures such as:
wastewater treatment capacity or quality targets aligned with service expansion
a treated-wastewater reuse/recycling target or scheme (industrial, horticultural, non-potable reuse, etc.)
climate resilience or adaptation measures for water sources or infrastructure (drought contingency planning, flood-proofing of treatment/pumping assets)
energy efficiency measures in water/wastewater operations (energy audits, renewable energy use in pumping/treatment)
environmental flow or ecological considerations where surface water sources are used
other specific measures addressing the environmental impact of water or wastewater operations
Scoring:
Score 2.5 if the Board's current planning framework contains specific operational measures addressing wastewater management, climate resilience or energy use.
Score 1.25 if such considerations are mentioned or identified but do not translate into a clear operational or target-based requirement.
Score 0 if there is no identifiable environmental sustainability consideration.</t>
  </si>
  <si>
    <t xml:space="preserve">Water Supply Board's current water supply/sanitation plan; source-protection or conservation programme documents; wastewater treatment/reuse scheme documents; annual report.</t>
  </si>
  <si>
    <t xml:space="preserve">UPD 6</t>
  </si>
  <si>
    <t xml:space="preserve">Are environmental considerations explicitly required to be integrated into the transport corporation’s planning, service-delivery or major investment decisions?</t>
  </si>
  <si>
    <t xml:space="preserve">UPD 6a</t>
  </si>
  <si>
    <t xml:space="preserve">Is the transport corporation mandated to consider environmental sustainability in planning and delivering urban transport services and investments?</t>
  </si>
  <si>
    <t xml:space="preserve">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
Score 5 if environmental considerations are explicitly embedded across core transport planning/investment/service-delivery functions
Score 2.5 if limited to specific modes, projects or environmental objectives
Score 0 if no explicit requirement is found.</t>
  </si>
  <si>
    <t xml:space="preserve">Transport authority/corporation Act, applicable transport legislation, rules, mobility/transport policies and other binding instruments</t>
  </si>
  <si>
    <t xml:space="preserve">UPD 6b</t>
  </si>
  <si>
    <t xml:space="preserve">Does the transport corporation actually considers environmental sustainability in planning and delivering urban transport services and investments?</t>
  </si>
  <si>
    <t xml:space="preserve">Review the Corporation's current fleet plan, network/route plan or environmental/sustainability policy. Assess whether it contains identifiable environmental sustainability measures relating to fleet composition, emissions, energy use or modal integration.
Do not award credit for generic language such as "sustainable development," "green transport" or "environment friendly" unless translated into a specific fleet, operational or design provision.
Component 1 – Cleaner fleet and emissions reduction: 2.5 marks. Look for: an electric/CNG/hybrid fleet-transition target; an emissions or fuel-efficiency target; a retirement/phase-out schedule for high-emission vehicles.
Score 2.5 if evidence of both (i) a cleaner-fuel/fleet-transition measure and (ii) an explicit emissions/efficiency target. Score 1.25 if only one is present. Score 0 if neither.
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
Score 2.5 if the Corporation's planning framework contains specific operational measures. Score 1.25 if mentioned but not operationalised/targeted. Score 0 if no identifiable consideration.</t>
  </si>
  <si>
    <t xml:space="preserve">Transport Corporation's fleet plan; route/network plan; environmental/sustainability policy; annual report.</t>
  </si>
  <si>
    <t xml:space="preserve">DPG 1</t>
  </si>
  <si>
    <t xml:space="preserve">Decentralised Participatory Governance</t>
  </si>
  <si>
    <t xml:space="preserve">Are the functions and geographical jurisdiction of the parastatal clearly defined vis-à-vis the ULG and other relevant agencies?</t>
  </si>
  <si>
    <t xml:space="preserve">Institutional Design</t>
  </si>
  <si>
    <t xml:space="preserve">Parastatal, 12th Schedule mapping exercise</t>
  </si>
  <si>
    <t xml:space="preserve">DPG 1a</t>
  </si>
  <si>
    <t xml:space="preserve">Does the legal framework clearly demarcate the functions/responsibilities of the parastatal vis-à-vis the ULG?</t>
  </si>
  <si>
    <t xml:space="preserve">Step 1 — Check devolution status under the Municipal Act.
Review the Municipal Act to determine whether the specific function/service is:
A — Not devolved: the function is not assigned to the ULG at all.
B — Fully devolved: the function is assigned to the ULG in full, and the parastatal also delivers it (i.e. a potential overlap exists).
C — Partially devolved: only specific sub-functions are assigned to the ULG (e.g. domestic water supply to the ULG, bulk supply/production to the parastatal).
Step 2 — Score based on which scenario applies.
If A (not devolved): Score 5. There is no ULG claim to the function, so there is nothing to demarcate against — the parastatal Act's assignment stands on its own.
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
Score 5 if such a distinction is explicit in the Parastatal Act.
Score 0 if both Acts assign the same function with no distinction between them.
If C (partially devolved): Check whether the aspect assigned to the parastatal is explicit and does not overlap with the aspect assigned to the ULG (e.g. Municipal Act assigns domestic water supply to the ULG; Parastatal Act assigns bulk supply/production to the parastatal — no overlap).
Score 5 if the two Acts' assignments are explicit and non-overlapping.
Score 0 if the assigned aspects overlap, or if the parastatal's aspect is not clearly specified in its Act.
Record the devolution scenario (A/B/C) and the specific provisions relied upon in the evidence column.</t>
  </si>
  <si>
    <t xml:space="preserve">Relevant Parastatal Act; State Municipal Act — record the specific provisions establishing devolution status and (where applicable) the functional carve-out.</t>
  </si>
  <si>
    <t xml:space="preserve">DPG 1b</t>
  </si>
  <si>
    <t xml:space="preserve">Is the parastatal's territorial/geographic jurisdiction clearly and specifically defined in its enabling legal framework?</t>
  </si>
  <si>
    <t xml:space="preserve">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t>
  </si>
  <si>
    <t xml:space="preserve">Enabling Act, 12th Schedule mapping exercise</t>
  </si>
  <si>
    <t xml:space="preserve">DPG 2</t>
  </si>
  <si>
    <t xml:space="preserve">Is the parastatal accountable to the ULG?</t>
  </si>
  <si>
    <t xml:space="preserve">DPG 2a</t>
  </si>
  <si>
    <t xml:space="preserve">Does the ULG have representation on the parastatal's governing board?</t>
  </si>
  <si>
    <t xml:space="preserve">Review the relevant Parastatal Act and Municipal Act for composition.
Score 5 if ULG-elected representatives sit on the board with voting rights. 
Score 2.5 if represented without voting rights or only as invitees. 
Score 0 if no representation.</t>
  </si>
  <si>
    <t xml:space="preserve">Composition clause of enabling Act; current board member list</t>
  </si>
  <si>
    <t xml:space="preserve">DPG-2b</t>
  </si>
  <si>
    <t xml:space="preserve">Is the parastatal mandated to submit its plans, budgets or reports to the ULG/council?</t>
  </si>
  <si>
    <t xml:space="preserve">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
Award 1.67 points each where:
1. plans are required to be submitted/tabled;
2. budgets are required to be submitted/tabled; and
3. annual/performance reports are required to be submitted/tabled.
Score 0 for each component where no such requirement exists. 
Where all three are provided for, award the full score of 5.
Record the relevant provision and the documents covered in the evidence column. Submission only to the State Government or another authority should not be counted as submission to the ULG/council.</t>
  </si>
  <si>
    <t xml:space="preserve">Plan/Budget preparation/Annual report preparation clause of the enabling Act of the relevant parastatal</t>
  </si>
  <si>
    <t xml:space="preserve">DPG 4</t>
  </si>
  <si>
    <t xml:space="preserve">Does the parastatal maintain an active and functional website?</t>
  </si>
  <si>
    <t xml:space="preserve">Common.</t>
  </si>
  <si>
    <t xml:space="preserve">Check the official website of the relevant parastatal.
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t>
  </si>
  <si>
    <t xml:space="preserve">Live URL, screenshot/web-archive capture, date of check of the website of the relevant parastatal</t>
  </si>
  <si>
    <t xml:space="preserve">DPG 5</t>
  </si>
  <si>
    <t xml:space="preserve">Are the parastatal's key financial, governance, and operational documents available on the website and published in accessible, open-data formats?</t>
  </si>
  <si>
    <t xml:space="preserve">Sum of sub-questions below - 
Assess each of the ten components below independently. Each component carries 1 point: 0.5 for online availability and 0.5 for publication in an open, machine-readable/reusable format, as appropriate to the information type. 
For online availability, score 0.5 if the document/information is publicly available online and current, relating to the current financial year or at least the immediately preceding financial year, as applicable; 
score 0 if it is unavailable or outdated. 
Aggregate the scores across all ten components to arrive at the total score out of 10.</t>
  </si>
  <si>
    <t xml:space="preserve">Website screenshots/archived URLs with date of access, for each document type</t>
  </si>
  <si>
    <t xml:space="preserve">Annual budget</t>
  </si>
  <si>
    <t xml:space="preserve">Availability and currency — 0.5
0.5: Budget for the current FY or immediately preceding FY is publicly available online
0: Budget cannot be found/accessed online or is older than the permitted period.
Record the FY/year/date of the latest information found in a separate evidence field even where the score is 0.
Minimum format/accessibility — 0.5
0.5: Budget data available in a structured, machine-readable/reusable format (XLS/XLSX, CSV, ODS, structured HTML table, downloadable structured dataset)
0: Budget data is available but does not meet that standard (Scanned PDF/image; PDF containing only tables that cannot be readily extracted/reused)</t>
  </si>
  <si>
    <t xml:space="preserve">DPG 5b</t>
  </si>
  <si>
    <t xml:space="preserve">Audited annual accounts</t>
  </si>
  <si>
    <t xml:space="preserve">Availability and currency — 0.5
Score 0.5: Audited accounts for the immediately preceding FY, or the latest FY for which audited accounts are due, are publicly available online. Allow a one-FY lag where audit timelines make preceding-year accounts not yet due.
Score 0: Audited accounts cannot be found/accessed online or is older than the permitted period.
Record the FY/year/date of the latest information found in a separate evidence field even where the score is 0.
Minimum format/accessibility — 0.5
Score 0.5: Financial statements available in a structured, machine-readable/reusable format (XLS/XLSX, CSV, ODS, structured HTML table, downloadable structured dataset)
Score 0: Financial statements is available but does not meet that standard (Scanned PDF/image; PDF containing only tables that cannot be readily extracted/reused)</t>
  </si>
  <si>
    <t xml:space="preserve">DPG 5c</t>
  </si>
  <si>
    <t xml:space="preserve">Annual report</t>
  </si>
  <si>
    <t xml:space="preserve">Availability and currency — 0.5
Score 0.5: Annual report for the immediately preceding FY, or latest report due, is publicly available online.
Score 0: Annual report cannot be found/accessed online or is older than the permitted period.
Record the FY/year/date of the latest information found in a separate evidence field even where the score is 0.
Minimum format/accessibility — 0.5
Score 0.5: Annual report available in a searchable/text-readable and downloadable document (Searchable PDF/PDF-A, HTML, DOC/DOCX, accessible e-publication)
Score 0: Annual report is available but does not meet that standard (Scanned/image-only PDF; images of report pages)</t>
  </si>
  <si>
    <t xml:space="preserve">DPG d</t>
  </si>
  <si>
    <t xml:space="preserve">Meeting minutes of governing board</t>
  </si>
  <si>
    <t xml:space="preserve">Availability and currency — 0.5
Score 0.5: At least one set of minutes from the current FY or immediately preceding FY is publicly available online
Score 0: Meeting Minutes cannot be found/accessed online or is older than the permitted period.
Record the FY/year/date of the latest information found in a separate evidence field even where the score is 0.
Minimum format/accessibility — 0.5
Score 0.5: Meeting Minutes available in a searchable/text-readable and downloadable document (Searchable PDF, HTML, DOC/DOCX)
Score 0: Meeting Minutes is available but does not meet that standard (Scanned/image-only minutes; image gallery)</t>
  </si>
  <si>
    <t xml:space="preserve">DPG f</t>
  </si>
  <si>
    <t xml:space="preserve">Organisation and staffing information</t>
  </si>
  <si>
    <t xml:space="preserve">Availability and currency — 0.5
Score 0.5: Information reflects the current organisational structure, or has evidence of being updated in the current or immediately preceding FY
Score 0: Current organisational structure cannot be found/accessed online or is older than the permitted period.
Record the FY/year/date of the latest information found in a separate evidence field even where the score is 0.
Minimum format/accessibility — 0.5
Score 0.5: Current organisational structure available in as searchable webpage or searchable/downloadable document with identifiable posts/officials/structure (HTML organisation/staff directory; searchable PDF organisation chart; XLS/CSV staff-position information)
Score 0: Current organisational structure is available but does not meet that standard (Image-only organisation chart; scanned list)</t>
  </si>
  <si>
    <t xml:space="preserve">Major plans / projects</t>
  </si>
  <si>
    <t xml:space="preserve">Availability and currency — 0.5
Score 0.5: Major plans and/or information on ongoing projects is available and relates to the current FY or immediately preceding FY, as applicable
Score 0: Major plans and/or information on ongoing projects cannot be found/accessed online or is older than the permitted period.
Record the FY/year/date of the latest information found in a separate evidence field even where the score is 0.
Minimum format/accessibility — 0.5
Score 0.5: Major plans and/or information on ongoing projects available in the following manner
- Plans: searchable/text-readable downloadable document. 
- Project information: searchable webpage/table or structured downloadable data (Searchable plan PDF; HTML project dashboard; XLS/CSV project list)
Score 0: Major plans and/or information on ongoing projects is available but does not meet that standard (Scanned plan only; project information presented only as images)</t>
  </si>
  <si>
    <t xml:space="preserve">DPG h</t>
  </si>
  <si>
    <t xml:space="preserve">Service-level benchmarks and performance reports</t>
  </si>
  <si>
    <t xml:space="preserve">Availability and currency — 0.5
Score 0.5: Performance information for the current FY or immediately preceding FY is publicly available online
Score 0: Performance information cannot be found/accessed online or is older than the permitted period.
Record the FY/year/date of the latest information found in a separate evidence field even where the score is 0.
Minimum format/accessibility — 0.5
Score 0.5: Performance information available in a structured, machine-readable/reusable format (CSV, XLS/XLSX, ODS, structured HTML table/dashboard with downloadable data)
Score 0: Performance information is available but does not meet that standard (Scanned performance report; image/chart with no underlying readable/reusable values)</t>
  </si>
  <si>
    <t xml:space="preserve">Citizen / Service Charter</t>
  </si>
  <si>
    <t xml:space="preserve">Availability and currency — 0.5
Score 0.5: A currently applicable Charter is publicly available. No annual publication requirement; do not treat it as outdated solely because it predates the preceding FY if it remains in force.
Score 0: Charter cannot be found/accessed online or is older than the permitted period.
Record the FY/year/date of the latest information found in a separate evidence field even where the score is 0.
Minimum format/accessibility — 0.5
Score 0.5: Charter available in a searchable/text-readable webpage or downloadable document (HTML, searchable PDF/PDF-A, DOC/DOCX)
Score 0: Charter is available but does not meet that standard (Scanned/image-only Charter)</t>
  </si>
  <si>
    <t xml:space="preserve">RTI details and designated Public Information Officer contact/procedure</t>
  </si>
  <si>
    <t xml:space="preserve">Availability and currency — 0.5
Score 0.5: Current PIO/APIO details and RTI procedure are publicly available; information should be treated as current where the named office-holder/contact details remain valid
Score 0: Information cannot be found/accessed online or ithe named office-holder/contact details are invalid.
Record the FY/year/date of the latest information found in a separate evidence field even where the score is 0.
Minimum format/accessibility — 0.5
Score 0.5: Information available in a searchable webpage or searchable/downloadable document (HTML RTI page; searchable PDF/DOC containing PIO/contact details)
Score 0: Information is available but does not meet that standard (Image-only notice; scanned PDF)</t>
  </si>
  <si>
    <t xml:space="preserve">Procurement / tender notices and awarded-contract details</t>
  </si>
  <si>
    <t xml:space="preserve">Availability and currency — 0.5
Score 0.5: Procurement information includes tenders/awards from the current FY or immediately preceding FY
Score 0: Information cannot be found/accessed online or is older than the permitted period.
Record the FY/year/date of the latest information found in a separate evidence field even where the score is 0.
Minimum format/accessibility — 0.5
Score 0.5: Tender/award information available as a searchable structured webpage/table or machine-readable/reusable dataset (Searchable e-procurement table, HTML contract register, CSV/XLS/XLSX/ODS download)
Score 0: Information is available but does not meet that standard (Scanned tender lists; image-only notices; individual PDFs with no searchable/indexed tender/award register)</t>
  </si>
  <si>
    <t xml:space="preserve">DPG 6</t>
  </si>
  <si>
    <t xml:space="preserve">Does the parastatal provide for and maintain an accessible grievance-redressal mechanism?</t>
  </si>
  <si>
    <t xml:space="preserve">Composite of the legal-mandate and implementation sub-indicators below.</t>
  </si>
  <si>
    <t xml:space="preserve">DPG 6a</t>
  </si>
  <si>
    <t xml:space="preserve">Is the parastatal mandated to provide a grievance-redressal mechanism?</t>
  </si>
  <si>
    <t xml:space="preserve">Score 5 if  the Parastatal Act/ corresponding subordinate legislation/ citizen or service charter requires a grievance-redressal mechanism (any channel); 0 if not.</t>
  </si>
  <si>
    <t xml:space="preserve">Parastatal Act/ corresponding subordinate legislation/ citizen or service charter</t>
  </si>
  <si>
    <t xml:space="preserve">DPG 6b</t>
  </si>
  <si>
    <t xml:space="preserve">Are accessible grievance-redressal channels available and functional in practice?</t>
  </si>
  <si>
    <t xml:space="preserve">Score out of 5 based on the following components - 
Score 1.00 if a Web-based grievance channel exists
Qualification - An official website/portal provides a functioning mechanism through which a grievance can be lodged online. A dedicated grievance form, integrated government grievance portal or equivalent qualifies.
Evidence - Live URL + dated screenshot showing grievance-submission functionality. Where the parastatal redirects users to a State/common grievance portal, capture both the parastatal link/reference and the relevant portal page.
Score 1.00 if a Mobile / electronic grievance channel exists
Qualification - A currently operational mobile app, designated grievance email, WhatsApp or other officially notified electronic channel is provided for lodging grievances
Evidence - Official website listing the channel; official app listing or screenshot 
Score 1.00  if a telephone grievance channel exists
Qualification - A dedicated or clearly designated helpline/call centre/telephone number is provided for complaints or grievances. A generic office switchboard does not qualify unless it is explicitly identified as accepting grievances.
Evidence - Official website showing the grievance/helpline number.
Score 1.00 if an in-person grievance channel exists
Qualification - Citizens can lodge grievances through an identified helpdesk, grievance counter, designated office/officer or other physical mechanism.
Evidence - Citizen/Service Charter, official website, office notice/order or other official document identifying where/how an in-person grievance can be lodged.
Score 1.00 if an in-person grievance channel
Qualification - The mechanism provides evidence that a registered grievance can be acknowledged and subsequently tracked, through a complaint/reference number, status-tracking facility or equivalent process.
Evidence - Portal screenshot showing acknowledgement/tracking functionality; 
Where all five are provided for, award the full score of 5.</t>
  </si>
  <si>
    <t xml:space="preserve">Relevant parastatal's official website 
Detailed evidence information provided in the methodology column (I 33)</t>
  </si>
  <si>
    <t xml:space="preserve">DPG 7</t>
  </si>
  <si>
    <t xml:space="preserve">Does the law mandate citizen participation in the preparation of plans for which the parastatal is responsible, and does the parastatal provide for such participation in practice?</t>
  </si>
  <si>
    <t xml:space="preserve">Sum of sub-questions below -</t>
  </si>
  <si>
    <t xml:space="preserve">Provisions on plan approval procedure in enabling act of the relevant parastatal/T&amp;CP Act</t>
  </si>
  <si>
    <t xml:space="preserve">DPG 7a</t>
  </si>
  <si>
    <t xml:space="preserve">Is citizen participation in the preparation of the parastatal's plans mandated?</t>
  </si>
  <si>
    <t xml:space="preserve">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t>
  </si>
  <si>
    <t xml:space="preserve">Parastatal Act and rules; applicable T&amp;CP Act; State Municipal Act.</t>
  </si>
  <si>
    <t xml:space="preserve">DPG 7b</t>
  </si>
  <si>
    <t xml:space="preserve">Are citizens consulted in practice in the preparation of plans by the parastatal?</t>
  </si>
  <si>
    <t xml:space="preserve">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t>
  </si>
  <si>
    <t xml:space="preserve">Plan document; consultation reports; public notices; minutes/proceedings of consultations or hearings on the parastatal's official website; media reports.</t>
  </si>
  <si>
    <t xml:space="preserve">SC-1</t>
  </si>
  <si>
    <t xml:space="preserve">State Capacities</t>
  </si>
  <si>
    <t xml:space="preserve">What proportion of the parastatal's total expenditure is financed through its own revenues?</t>
  </si>
  <si>
    <t xml:space="preserve">Implementation (Numeric)</t>
  </si>
  <si>
    <t xml:space="preserve">Revenue-raising parastatals only</t>
  </si>
  <si>
    <t xml:space="preserve">Compute Own Revenue (Tax and Non-Tax revenue excluding any government grants) and use 3 years average wherever available (at least 2 years but not more than 5 years). Score is own revenue percentage as a proportion of 10 marks i.e. 50% gets 5 out of 10.</t>
  </si>
  <si>
    <t xml:space="preserve">Annual budget of the last three financial years of the relevant parastatal.</t>
  </si>
  <si>
    <t xml:space="preserve">SC-2</t>
  </si>
  <si>
    <t xml:space="preserve">What is the parastatal's per-capita capital expenditure?</t>
  </si>
  <si>
    <t xml:space="preserve">Parastatals with an infrastructure-delivery/capital-expenditure mandate.</t>
  </si>
  <si>
    <t xml:space="preserve">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t>
  </si>
  <si>
    <t xml:space="preserve">Latest annual budget and capital-expenditure accounts of the relevant parastatal; population figure with source.</t>
  </si>
  <si>
    <t xml:space="preserve">SC-3</t>
  </si>
  <si>
    <t xml:space="preserve">How realistic is the parastatal's annual budget?</t>
  </si>
  <si>
    <t xml:space="preserve">Common — all parastatal types with an annual budget.</t>
  </si>
  <si>
    <t xml:space="preserve">3 year average of budget variance wherever available (at least 2 years but not more than 5 years); If variance is within 15%, the score will be 10 but anything over 15% will score 0 out of 10</t>
  </si>
  <si>
    <t xml:space="preserve">Budget documents and audited accounts for the same financial year, compared side by side</t>
  </si>
  <si>
    <t xml:space="preserve">SC-4</t>
  </si>
  <si>
    <t xml:space="preserve">Is the parastatal mandated to prepare a medium-term and/or long-term fiscal plan, and has it prepared a current plan in accordance with that mandate?</t>
  </si>
  <si>
    <t xml:space="preserve">Sum of the legal-mandate and public availability sub-indicators below.</t>
  </si>
  <si>
    <t xml:space="preserve">SC-4a</t>
  </si>
  <si>
    <t xml:space="preserve">Is a medium-term (3-5 year) and/or long-term (&gt;5 year) fiscal plan legally mandated?</t>
  </si>
  <si>
    <t xml:space="preserve">Score 5 if enabling act of the relevant parastatal require a fiscal plan of defined horizon (Medium term at 3-5 years and long term at &gt;5 years). Score 0 if no such requirement.</t>
  </si>
  <si>
    <t xml:space="preserve">Enabling act of the relevant parastatal</t>
  </si>
  <si>
    <t xml:space="preserve">SC-4b</t>
  </si>
  <si>
    <t xml:space="preserve">Is the medium/long-term fiscal plan publicly available?</t>
  </si>
  <si>
    <t xml:space="preserve">Score 5 if the fiscal plan is published online on the relevant parastatal's website. Score 0 if not available.</t>
  </si>
  <si>
    <t xml:space="preserve">Website of the relevant parastatal</t>
  </si>
  <si>
    <t xml:space="preserve">SC-5</t>
  </si>
  <si>
    <t xml:space="preserve">Does the law mandate a minimum tenure for the executive authority of the parastatal?</t>
  </si>
  <si>
    <t xml:space="preserve">Review the relevant Parastatal Act and rules governing the appointment of the chief executive/executive authority.
Score 10 — the law mandates a minimum tenure of two years (or more) for the executive authority, with removal permitted only on defined grounds (e.g. misconduct, incapacity) rather than at unrestricted discretion.
Score 5 — the law mandates a minimum tenure of less than two years.
Score 0 — no minimum tenure is prescribed in law.
This refers to the bureaucratic/administrative head of the parastatal — for example, the Managing Director, Commissioner, Chief Executive Officer or equivalent executive authority — and not to the Chairperson or political head.</t>
  </si>
  <si>
    <t xml:space="preserve">Relevant Parastatal Act; rules governing appointment, tenure and removal of the executive authority/chief executive.</t>
  </si>
  <si>
    <t xml:space="preserve">SC-6</t>
  </si>
  <si>
    <t xml:space="preserve">What is the average tenure of the chief executive/executive authority of the parastatal?</t>
  </si>
  <si>
    <t xml:space="preserve">Common — all parastatal types with a designated chief executive/executive authority post.</t>
  </si>
  <si>
    <t xml:space="preserve">Review appointments/transfers of the chief executive or executive authority over the last five years. 
Score 10 if one chief executive has served during the period
Score 5 if 2–3 chief executives have served
Score 0 if more than 3 chief executives have served. 
Where an officer has held only additional/acting charge, record this separately.</t>
  </si>
  <si>
    <t xml:space="preserve">Newspaper reports, Gazette notifications of appointment/transfer and website of relevant parastatal</t>
  </si>
  <si>
    <t xml:space="preserve">SC-7</t>
  </si>
  <si>
    <t xml:space="preserve">Does the parastatal have adequate and representative staffing capacity to discharge its mandate?</t>
  </si>
  <si>
    <t xml:space="preserve">Sum of the sub-indicators below.</t>
  </si>
  <si>
    <t xml:space="preserve">RTI / Formal data request with the parastatal and Website of the relevant parastatal</t>
  </si>
  <si>
    <t xml:space="preserve">SC-7a</t>
  </si>
  <si>
    <t xml:space="preserve">Does the parastatal have adequate staffing capacity to discharge its mandate?</t>
  </si>
  <si>
    <t xml:space="preserve">Collect the parastatal’s sanctioned and filled positions, including permanent and contractual staff where they form part of the approved staffing structure. Calculate the proportion of sanctioned positions that are filled.
Score 5 – 90% or more of sanctioned positions filled
Score 4 – 75%–89%
Score 3 – 60%–74%
Score 2 – 40%–59%
Score 1 – below 40%
Score 0 – no staffing data available / no evidence of sanctioned staffing structure</t>
  </si>
  <si>
    <t xml:space="preserve">Staffing records on the website/ RTI  and/or formal data request with the parastatal/ annual report</t>
  </si>
  <si>
    <t xml:space="preserve">SC-7b</t>
  </si>
  <si>
    <t xml:space="preserve">What proportion of the parastatal's workforce is women?</t>
  </si>
  <si>
    <t xml:space="preserve">Compute women employees as a proportion of total filled posts using the latest available staffing data. 
% women in workforce = (Number of women employees ÷ Total filled posts) × 100, using the latest available staffing data.
Scoring bands:
Score 5 — women constitute ≥33% of the workforce
Score 2.5 — women constitute 15–32% of the workforce
Score 0 — women constitute &lt;15% of the workforce
Also record, wherever available, the proportion of women in senior/decision-making positions and technical/professional cadres.</t>
  </si>
  <si>
    <t xml:space="preserve">Question Code</t>
  </si>
  <si>
    <t xml:space="preserve">&lt;Sheet name and this code must match&gt;</t>
  </si>
  <si>
    <t xml:space="preserve">PRE-FILLED - DO NOT ALTER</t>
  </si>
  <si>
    <t xml:space="preserve">ENTER A NUMBER 0 TO 5</t>
  </si>
  <si>
    <t xml:space="preserve">DO NOT ALTER FORMULA</t>
  </si>
  <si>
    <t xml:space="preserve">Applies?</t>
  </si>
  <si>
    <t xml:space="preserve">Act Name/Web name/Doc name</t>
  </si>
  <si>
    <t xml:space="preserve">Chapter</t>
  </si>
  <si>
    <t xml:space="preserve">Provision</t>
  </si>
  <si>
    <t xml:space="preserve">Clause</t>
  </si>
  <si>
    <t xml:space="preserve">Page Number</t>
  </si>
  <si>
    <t xml:space="preserve">Score</t>
  </si>
  <si>
    <t xml:space="preserve">Points (Auto-generate)</t>
  </si>
  <si>
    <t xml:space="preserve">SCORER COMMENTS</t>
  </si>
  <si>
    <t xml:space="preserve">YES</t>
  </si>
  <si>
    <t xml:space="preserve">Chapter III (Board's powers and duties)</t>
  </si>
  <si>
    <t xml:space="preserve">Section 14 (Consultative Committee); also s.15(2)(b)-(c) and its proviso</t>
  </si>
  <si>
    <t xml:space="preserve">s.14(1), s.14(4)(i)</t>
  </si>
  <si>
    <t xml:space="preserve">16</t>
  </si>
  <si>
    <t xml:space="preserve">AI (low confidence), from Step 2 answer (Partially Answered) and BWSSB-02: I left Score blank, for three reasons.
(1) SCALE-MISMATCH. The Step 2 record says the rubric bands are 0/2.5/5/7.5/10, but the Max Score is 5. Under the v2 rules I must not rescale. The scale needs confirming.
(2) NOT FOUND, which is not the same as absent. The methodology requires the Karnataka Town and Country Planning Act 1961, and it is not in the Citation Sheet. My search_citation_sheet run turned up only the GBA Act's mention of it (s.14(2)(a)). Nor does the sheet hold any Rules or Regulations under the BWSSB Act on scheme preparation or Consultative Committee procedure. So the 0 band ('no formal ULG role') cannot meet affirmative absence.
(3) RUBRIC-GAP / CONFIRM. Here is what the sources actually show, checked against BWSSB-02:
- BWSSB Act s.15(2)(b)-(c): the Board has a duty to prepare and carry out water-supply and sewerage schemes. The proviso requires approval for schemes over Rs 1 crore, and that approval comes from the State Government, not the ULG.
- BWSSB Act s.14: the Consultative Committee is set up by the State. Its outside members are appointed 'after consultation with' bodies representing the interests of the Bruhat Bangalore Mahanagara Palike (BBMP), among others. Its role is 'to advise the Board on major questions of policy and major schemes', and the Act does not require the Board to act on that advice. This is advisory and indirect. It is not consultation with the ULG and not ULG approval.
- BWSSB Act s.38(2): closing a public hydrant 'in consultation with the Commissioner' of the BBMP. This is an operational matter, not planning.
- ULG side, GBA Act (BWSSB-04): s.14(4) and s.14(3)(b) give the GBA binding direction and supervision powers over BWSSB. s.15(5) says the GBA 'may assign' infrastructure planning to agencies. These are general supervision powers. They do not require BWSSB's own plans to be prepared with or approved by the ULG.
The team needs to decide whether those GBA powers count as 'coordination with the ULG'. Depending on that judgement, the evidence sits between the advisory band (about 2.5 on the 10-point scale) and a higher band. The provisional raw band is about 2.5/10 (advisory only).
Other caveats:
- The BWSSB Act still names the BBMP: Act 15 of 2010, s.31 substituted it for 'Corporation'. Nothing in the sheet shows the GBA or City Corporations being substituted in the BWSSB Act.
- I did not see the s.3 Board composition in the excerpts I read, so I could not check whether a ULG official sits on the BWSSB Board.
Period: BWSSB Act 1964 as amended up to Act 29 of 2021, PRS copy. GBA Act 2024 (Act 36 of 2025) as enacted, GBA era.
What a person needs to check: the T&amp;CP Act 1961 (current text), the BWSSB Rules and Regulations, BWSSB Act s.3, and the scale.
Quote: "The State Government shall constitute a Consultative Committee consisting of members of the Board and such other persons being not less than three and not more than nine as the State Government may appoint after consultation with such representatives or bodies representative of the following interests as the State Government thinks fit"
"Score" left blank: the Citation Sheet doesn't decide it.</t>
  </si>
  <si>
    <t xml:space="preserve">Chapter III - Greater Bengaluru Authority</t>
  </si>
  <si>
    <t xml:space="preserve">Section 15(1); read with Section 14(4) and Section 8(3)</t>
  </si>
  <si>
    <t xml:space="preserve">s.15(1) GBA makes master and mobility plans; s.14(4) GBA integrates and supervises public authorities including BMTC, with binding directions</t>
  </si>
  <si>
    <t xml:space="preserve">15</t>
  </si>
  <si>
    <t xml:space="preserve">AI (low confidence), from Step 2 answer (Partially Answered) and BMTC-04: Score left blank. (1) SCALE-MISMATCH: the Step 2 notes say the rubric is on a 0-10 scale but the Score input is 0-5. The rules forbid rescaling or interpolating, so a person must confirm the rubric and maximum. The full question text and Detailed Methodology for UPD1a were not in the task input, so I could not check the bands myself. (2) What the sources show: the GBA Act (BMTC-04) s.14(4) gives the GBA power to integrate and supervise BMTC's activities with binding directions; BMTC must cooperate and obey. s.15(1) says the GBA itself makes master and mobility plans. s.14(3)(b) covers coordination of schemes under GBA plans. s.8(3) makes the GBA coordinator among agencies. s.9(3)(i) puts BMTC's MD on the GBA. s.15(5) (quoted by Step 2, not re-checked here) says the GBA 'may' assign planning of major projects to public authorities. None of these requires ULG approval, concurrence, joint preparation or consultation on BMTC's own spatial or sectoral plans. BMTC's side, the RTC Act 1950 (BMTC-02, per Step 2), gives no ULG role: plans and budget go to the State. The BMTC board (BMTC-09) has no ULG member. Consultation under the BMLTA Act (BMTC-06) s.24(b) is with BMLTA, a state authority; ULG members join its board only under a 2025 bill (BMTC-24). RUBRIC/scope decision needed: does GBA's binding supervision and direction power, plus the s.15(5) 'may assign planning' power, count as a formal ULG role in BMTC planning? (3) A 0 needs affirmative absence, which is not met. Missing from the Citation Sheet: Karnataka rules under the RTC Act; BMTC regulations or bye-laws; the notification constituting BMTC; BMTC's Memorandum of Association (BMTC-20, the Rules and Regulations page, not reviewed); GBA rules or regulations on coordinating public authorities; BMLTA regulations naming BMTC. Also check BMTC's legal form: s.14(4) calls it 'Bangalore Metropolitan Transport Corporation Limited' with a Memorandum of Association, which conflicts with RTC Act 1950 corporation status. Period: GBA Act 2024 (Karnataka Act 36 of 2025), GBA era.
Quote: "The Greater Bengaluru Authority shall be responsible to make master plan and mobility plans for the infrastructure development of the Greater Bengaluru Area."
"Score" left blank: the Citation Sheet doesn't decide it.</t>
  </si>
  <si>
    <t xml:space="preserve">Development Schemes</t>
  </si>
  <si>
    <t xml:space="preserve">Section 17(2), read with s.17(4) and s.18(1)(d)</t>
  </si>
  <si>
    <t xml:space="preserve">s.17(2) the scheme notification goes to the Corporation, which may send a representation within 30 days; s.17(4) concurrence is deemed if it sends none; s.18(1) BDA must consider representations and pass them to the Government</t>
  </si>
  <si>
    <t xml:space="preserve">26</t>
  </si>
  <si>
    <t xml:space="preserve">AI (low confidence), from Step 2 answer (Partially Answered) and BDA-02: I left the score blank because the rubric's scale doesn't match the Max Score, the plan scope is unclear, and the evidence is incomplete.
1. SCALE-MISMATCH: According to the Step 2 notes, the rubric bands run 0-10 (5 = consultation, 7.5 = response considered, 10 = concurrence) while the Max Score is 5. The best raw candidate is 7.5. Under the scale-mismatch rule I did not rescale or interpolate. Please confirm the scale.
2. The Step 2 answer is checked against the source and holds. BDA-02 is the BDA Act 1976 (PRS copy, amended up to Act 42 of 2026):
- s.17(2): BDA 'shall' send the development-scheme notification to the Corporation, which may send a representation within 30 days.
- s.17(4): if the Corporation is silent, its concurrence is deemed.
- s.18(1): BDA submits the scheme to the Government 'after consideration of representations' and must forward the Corporation's representation (s.18(1)(d)).
- This is mandatory consultation, and the response must be considered and passed on. The ULG has no veto; the Government sanctions.
- s.25(1) proviso: the Corporation 'shall be consulted' on further-development works. That is works, not a plan.
- s.32(1): Corporation concurrence is needed for private layout sanction only, not for BDA's own plans.
3. PLAN SCOPE (RUBRIC-GAP risk): The mechanism covers development schemes only. For the master plan, I re-read KTCP Act (BDA-06, PRS copy up to Act 38 of 2015) ss.9, 13-B, 13-C and 13-D:
- s.9: the plan goes to the State Government 'through the Director'.
- s.13-D: revision applies ss.9-12 mutatis mutandis.
- None of these sections names the ULG for consultation or concurrence.
- s.10 only invites suggestions from the public.
- I could not read the KTCP Rules or BDA Rules/Regulations; they are not in the sheet.
So a ULG mechanism for the master plan is 'not found', not absent.
4. SUCCESSOR BODY: The BDA Act still defines 'Corporation' as the 'Corporation of the City of Bangalore' (s.2(i)). No source in the sheet shows BBMP, GBA or the City Corporations substituted as that body.
5. PLANNING AREA: GBA Act s.14(2)(a) (BDA-03) makes GBA the Planning Authority for the Greater Bengaluru Area. The KTCP amendment (BDA-05) is still a bill; its enactment and commencement are unverified.
6. SOURCE LIMITS: All legal texts here are PRS secondary copies.
A person needs to confirm the scale, whether development schemes count as a 'spatial plan', and the successor body before scoring.
Quote: "(2)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
"Score" left blank: the Citation Sheet doesn't decide it.</t>
  </si>
  <si>
    <t xml:space="preserve">Chapter III – Greater Bengaluru Authority</t>
  </si>
  <si>
    <t xml:space="preserve">Section 15(5); read with Section 14(4), Section 14(3)(c), Section 15(1) and Section 8(3)</t>
  </si>
  <si>
    <t xml:space="preserve">s.15(5) (assignment of planning); s.14(4) (Co-ordination and Supervision of Public Authorities)</t>
  </si>
  <si>
    <t xml:space="preserve">AI (low confidence), from Step 2 answer (Partially Answered) and BMRCL-02: No score given, for three reasons.
(1) SCALE-MISMATCH. Step 2 records that the rubric bands for UPD1a run 0–10, but the input asks for 0–5. I was not shown the full Detailed Methodology or rubric, so I cannot check the bands myself. The scale needs team confirmation before scoring.
(2) RUBRIC-GAP / band undetermined. I checked the source myself and it supports Step 2's reading. In the Greater Bengaluru Governance (GBG) Act (BMRCL-02, PRS text, Karnataka Act 36 of 2025, Greater Bengaluru Authority (GBA) era), all the coordination provisions sit on the city government (ULG) side:
- s.14(4): GBA integrates and supervises the activities of public authorities, naming Bengaluru Metro Rail Corporation Limited, and issues binding directions. Public authorities 'shall cooperate' with GBA and obey its directions.
- s.14(3)(c): GBA coordinates and administers major infrastructure projects.
- s.15(1): GBA 'shall be responsible to make master plan and mobility plans'.
- s.15(5): GBA 'may' assign planning of major infrastructure projects to public authorities, which 'shall be bound to assist'.
- s.8(3): GBA is coordinator among the City Corporations and other agencies.
None of these sets a plan-specific duty on BMRCL to prepare its own spatial or sectoral plans in consultation with the ULG, or with its concurrence or approval. They are general powers to supervise, direct and assign, and the assignment power is discretionary ('may'). Whether binding supervision and direction fits the top (approval/concurrence) band or a lower band is a judgement for the team. I did not create or interpolate a band.
(3) Not a 0. The ULG-side provisions above exist, so affirmative absence cannot be shown.
Other instruments checked:
- Metro Railways (Operation and Maintenance) Act, 2002 (BMRCL-04): no provision found on preparing plans with, or consulting, a local authority.
- Karnataka Town and Country Planning (KTCP) Act, 1961 (BMRCL-07): master-plan duties fall on Planning Authorities, not BMRCL.
- Bengaluru Metropolitan Land Transport Authority (BMLTA) Act, 2022 (BMRCL-08): the s.21(2) proviso requires consultation with BMLTA, not with the ULG. ULG officials sit on BMLTA, but that is an indirect forum only.
- GBG (Amendment) Bill, 2025 (BMRCL-03): does not change s.14(4) or s.15(5). Whether it was enacted is not verified.
Missing from the Citation Sheet:
- the Metro Railways (Construction of Works) Act, 1978
- BMRCL's Memorandum and Articles of Association. Note that s.14(4) requires only the electricity company (BESCOM) and the bus corporation (BMTC), not BMRCL, to write GBA's coordinating role into their Memoranda.
- the official (non-PRS) gazette text of the GBG Act
- any Rules or Regulations under the GBG Act
The team should also confirm BMRCL's eligibility as a parastatal, since it is a Government Company.
Quote: "The Greater Bengaluru Authority may assign the task of planning the major infrastructural projects in the Greater Bengaluru Area to such public authorities or any other agencies, bodies carrying out civic functions in the Greater Bengaluru Area or take such assistance from these agencies as is necessary for successful execution of the projects. The agencies shall be bound to assist the Greater Bengaluru Authority when called up on to do so."
"Score" left blank: the Citation Sheet doesn't decide it.</t>
  </si>
  <si>
    <t xml:space="preserve">The Bangalore Metropolitan Region Development Authority Act, 1985 (Karnataka Act 39 of 1985), full text with amendments (PDF hosted by India Water Portal) [BMRDA-08]</t>
  </si>
  <si>
    <t xml:space="preserve">Chapter III – Powers and Functions of the Authority</t>
  </si>
  <si>
    <t xml:space="preserve">Section 9(1)</t>
  </si>
  <si>
    <t xml:space="preserve">Section 9(1)(ii); also checked s.9(1)(viii)-(ix), s.10, s.18, s.31 (inserting s.81-C into the Karnataka Town and Country Planning Act)</t>
  </si>
  <si>
    <t xml:space="preserve">10</t>
  </si>
  <si>
    <t xml:space="preserve">https://prod-qt-images.s3.amazonaws.com/indiawaterportal/import/sites/default/files/iwp2/Bangalore_Metropolitan_Region_Development_Authority_Act_Bangalore_Metropolitan_Region_Development_Authority_1985.pdf</t>
  </si>
  <si>
    <t xml:space="preserve">AI: left for a person. Step 2 found no evidence (Insufficient Evidence). Source needed: Needed: (1) the full current text of the Bangalore Metropolitan Region Development Authority Act, 1985 (Karnataka Act 39 of 1985), especially the sections on how the Structure Plan and schemes are prepared, published, approved and consulted on with local authorities; (2) the BMRDA Regulations 1996/1999/2000 and any BMRDA Rules; (3) the full text of Greater Bengaluru Governance Act s.14(2)(c) (BMPC and draft development plan) and any BMPC rules; (4) any official notification or amendment substituting the GBA or City Corporations for BBMP / Corporation of the City of Bangalore in the BMRDA Act.</t>
  </si>
  <si>
    <t xml:space="preserve">AI: left for a person. Step 2 found no evidence (Insufficient Evidence). Source needed: A readable official text of the Gujarat Town Planning and Urban Development Act, 1976 as amended (especially ss.9-17 on preparing, publishing and sanctioning the development plan, s.22 on the Authority's make-up, and ss.40-42 on town planning schemes), from the Gujarat Legislative and Parliamentary Affairs or UD&amp;UH Department or the Gazette. Also the SUDA constitution notification of 30-01-1978 and any later reconstitution notifications. These are needed to show whether SMC must approve, concur in or be consulted on SUDA's development plan, or has no formal role.</t>
  </si>
  <si>
    <t xml:space="preserve">AI: left for a person. Step 2 found no evidence (Insufficient Evidence). Source needed: The full current text of the Metro Railways (Construction of Works) Act 1978 and the Metro Railways (Operation &amp; Maintenance) Act 2002 as amended, plus any Rules or notifications applying them to Surat; GMRC's Memorandum/Articles and the tripartite MoU; the Gujarat Town Planning &amp; Urban Development Act 1976 and the Surat Development Plan/GDCR provisions on metro corridors or transit-oriented zones; the Surat ULG's governing Act; any Gujarat UMTA Act or notification. Together these would show whether GMRC's plans need ULG approval, concurrence or consultation.</t>
  </si>
  <si>
    <t xml:space="preserve">JICA – Bengaluru Water Supply and Sewerage Project (Phase 3), Final Report (Main Report), November 2017 [BWSSB-22]</t>
  </si>
  <si>
    <t xml:space="preserve">Chapter 5 Water Demand Projection for the Three Areas by Target Year</t>
  </si>
  <si>
    <t xml:space="preserve">Section 5.1.5 Projection of Population in the BBMP for the Water Balance Study (report p. 5-7, PDF p. 227)</t>
  </si>
  <si>
    <t xml:space="preserve">Item 2) 110 Villages; also the note under Table 5.1.10: 'Growth rates were authorized by BDA, BWSSB, BBMP and DHV for 110 Villages Project, 19 August 2014'</t>
  </si>
  <si>
    <t xml:space="preserve">227</t>
  </si>
  <si>
    <t xml:space="preserve">https://openjicareport.jica.go.jp/pdf/12300356_01.pdf</t>
  </si>
  <si>
    <t xml:space="preserve">AI: left for a person. Step 2 found no evidence (Insufficient Evidence). Source needed: Any of these would answer it: (a) the BWSSB Vision Document 2050 / strategic master plan, especially its stakeholder-consultation chapter or annex showing GBA, City Corporation or BBMP input; (b) BWSSB Board or Technical Committee minutes from the current plan cycle recording ULG participation, comments or concurrence; (c) GBA Authority or Executive Committee minutes or proceedings reviewing or approving BWSSB plans; (d) ULG resolutions or letters commenting on BWSSB plans, and BWSSB's responses; (e) a recent BWSSB annual report recording such consultation.</t>
  </si>
  <si>
    <t xml:space="preserve">AI: left for a person. Step 2 found no evidence (Insufficient Evidence). Source needed: Any of these would answer it: BMTC's latest plan document (e.g. the full BMTC Vision 2025 text, or a current business, fleet or route-rationalisation plan) showing who prepared it and who was consulted; BMTC board minutes approving that plan; consultation records or letters inviting GBA, the City Corporations or BBMP to comment, with any replies; GBA or City Corporation (or earlier BBMP council) resolutions commenting on BMTC plans; or a record of the Bengaluru ORR bus-priority-lane proposal showing a joint BBMP/GBA and BMTC submission.</t>
  </si>
  <si>
    <t xml:space="preserve">AI: left for a person. Step 2 found no evidence (Insufficient Evidence). Source needed: BDA's latest master plan (Revised Master Plan) report and draft, with its chapter on stakeholder or ULG consultation. Records of objections and suggestions received during the KTCP s.13 comment period, showing any comments from BBMP, GBA or the City Corporations and how BDA disposed of them. Minutes of BDA Board meetings, or of BBMP/GBA council or standing-committee meetings, where the draft plan was discussed. Any ULG resolution on the BDA plan. Also needed: an official notification showing when the KTCP amendment (Bill 55 of 2025) took effect, to fix which plan cycle is BDA's 'latest'.</t>
  </si>
  <si>
    <t xml:space="preserve">AI: left for a person. Step 2 found no evidence (Insufficient Evidence). Source needed: BMRCL's latest plan documents (e.g. the Phase-3 or Phase-2A/2B DPRs, TOD or multimodal integration plans) with their stakeholder-consultation annexes. Minutes of meetings between BMRCL and BBMP/GBA on plan preparation. BBMP/GBA council or standing-committee resolutions or comments on metro alignments or station-area plans, and BMRCL's responses. The approval or adoption record of the 2025 Metro Parking Policy, showing who was consulted. BMRCL annual reports from FY 2021-22 onward.</t>
  </si>
  <si>
    <t xml:space="preserve">AI: left for a person. Step 2 found no evidence (Insufficient Evidence). Source needed: Any of these would settle it: the Revised Structure Plan-2031 report or its draft, especially any chapter on stakeholder or local-body consultation; BMRDA Authority or Executive Committee minutes from the preparation and approval period (about 2014-2017) showing BBMP or Mayor input; BBMP council or standing-committee resolutions or letters commenting on the draft; the Government approval order UDD/149/BMR/2014 with its recitals. If the current GBA era is the relevant cycle, records of GBA or City Corporation input into any BMRDA plan now under preparation would also answer it.</t>
  </si>
  <si>
    <t xml:space="preserve">Chapter 21 (modified Draft DP-2035 for submission u/s 16)</t>
  </si>
  <si>
    <t xml:space="preserve">Note below the list-of-reservations table (PDF p.256, report p.239)</t>
  </si>
  <si>
    <t xml:space="preserve">Reservations marked with letters after the * sign, added after publication u/s 13</t>
  </si>
  <si>
    <t xml:space="preserve">256</t>
  </si>
  <si>
    <t xml:space="preserve">AI (low confidence), from Step 2 answer (Answered — Verified Source) and SUDA-14: SCALE-MISMATCH: I left Score blank. The rubric bands for UPD1b run from 0 to 10, but the column allows only 0 to 5, and the top band is not 5 or a sum of parts. The Step 2 notes also flag this as a question-bank anomaly, so I am not converting the result to the 5-point scale. A person needs to confirm the scale. Raw result: band 10 (raw value 10), which needs confirming. Why band 10: I re-read SUDA-14 and it supports the Step 2 claim. The p.256 note says that reservations marked with letters were added to Draft DP-2035 after its publication under s.13, on the recommendation of Surat Municipal Corporation. That is a recorded response by the parastatal to input from the city government (the ULG, here SMC). The 5-point band (formal invitation) also appears to be met. Step 2 cites Ch.16.3.2 (p.183): the Mayor of SMC was invited on 22.04.2016 together with all MPs, MLAs and the Zilla Panchayat President. My targeted read did not bring up that passage, so it still needs checking. Things a person should check: (1) Whether this short, partly unclear note is enough for band 10. It does not name the SMC reservations or give a date, and its second clause shows that some of the lettered reservations did not come from SMC. The sheet has no SMC letter or resolution. (2) Whether the ULG is SMC. The task input left the ULG blank; SUDA-14 names SMC throughout. (3) Board membership (Table 5, 2016: Standing Committee Chairman, Municipal Commissioner and City Engineer of SMC) only shows a structural link. It is not proof of participation in this plan cycle. (4) The sheet has no SUDA Board minutes, no Core Committee or sub-committee membership lists, and no proof of final sanction under s.17. Period: DP 2035 cycle. The revision started on 03-08-2013, the draft was published under s.13 on 10-05-2016, and the report dated 2017 was prepared for submission under s.16. Era: n/a.
Quote: "Such reservations have been added at the recommendation of Surat Municipal Corp oration; in other cases, these reservations were not highlighted in the published Draft DP- 2035 and hence these have been added in this report."
"Score" left blank: the Citation Sheet doesn't decide it.</t>
  </si>
  <si>
    <t xml:space="preserve">Chapter 1 – Introduction</t>
  </si>
  <si>
    <t xml:space="preserve">DPR for Metro Rail Project in Surat, Gujarat (December 2018), Ch.1 section on corridor selection (p.92 of PDF), with Table 1.7 / Annexure-A referenced</t>
  </si>
  <si>
    <t xml:space="preserve">Corridor shortlisting on SMC &amp; CEPT suggestions; HPC meeting of 13.01.2017; HPC minutes letter GUDC/METRO/HPC/2017/182 dated 23.01.2017</t>
  </si>
  <si>
    <t xml:space="preserve">92</t>
  </si>
  <si>
    <t xml:space="preserve">AI (low confidence), from Step 2 answer (Partially Answered) and GMRC-08: SCALE-MISMATCH: the score is left blank. 1) The source matches the Step 2 answer. GMRC-08 says the corridor options were 'presented before the concerned authorities of Surat Municipal Corporation (SMC) on various occasions'. It also says the three Phase-I corridors were shortlisted 'on the suggestions of SMC &amp; CEPT' before the state HPC approved two of them. The DPR's travel demand chapter rests on a study that SMC commissioned from CEPT (letter CE-Spl. Cell/Out/339, 31.08.2016), and the DPR includes the gist of SMC's 2017 CMP. Step 2 also cites other SMC inputs: the Commissioner's revision request, TOD revenue figures and land rates. I did not re-check those against the full text; only the CEPT/CMP inputs appear in the excerpt I read. Together this points to the top band (SMC inputs documented and acted on). 2) Ownership caveat now resolved. Step 2 flagged that the MEGA-to-GMRC link was not shown. GMRC-11 (EIA Final Report, Dec 2020, pp.1-3) names the client as 'Gujarat Metro Rail Corporation (GMRC) Limited ... [Formerly known as Metro-Link Express for Gandhinagar and Ahmedabad (MEGA) Company Limited]'. GMRC-08 (p.672) also calls Surat Metro an SPV under MEGA. So the DPR submitted to SMC and MEGA belongs to GMRC's predecessor, and it is the plan that GMRC is carrying out. 3) Why the score is blank. Step 2 reports that the rubric's top band is 10 on a 0-10 scale, but this input allows only 0-5, the Max Score. The question-bank anomaly for UPD 1b says the same. Under the scale-mismatch rule I must not rescale or interpolate (for example, 10 becoming 5). A person needs to confirm how the band maps to the 5-point scale. My reading of the evidence is the top band (raw band 10), which would be the maximum (5) if the scale is simply halved, but this needs confirmation. 4) Other open points. SMC's role was suggestions and inputs; the final route decision was made by the state-level HPC, not SMC. Table 1.7 / Annexure-A (the record of the SMC presentations) and the SMC letters were not in the excerpts. The Citation Sheet has no later Surat plan cycle (e.g. a Phase-II DPR), so I cannot confirm this is the latest cycle. The material is from 2016-2018 (DPR revised up to Dec 2018). GMRC-05, -09, -10 and -11 show no SMC plan-making participation beyond thanks or consultation with the public.
Quote: "Subsequently, on the suggestions of SMC &amp; CEPT, following three corridors were shortlisted and presented before High Powered Committee (HPC) in a meeting held on 13.01.2017 at Ahmedabad under the Chairmanship of Hon’ble Dy. Chief Minister, Govt. of Gujarat"
"Score" left blank: the Citation Sheet doesn't decide it.</t>
  </si>
  <si>
    <t xml:space="preserve">ENTER A NUMBER 0 TO 2.5</t>
  </si>
  <si>
    <t xml:space="preserve">Section 15(1); also read with s.14(2)(a), s.14(2)(c), s.14(3)(b), s.14(4), s.15(5), s.223</t>
  </si>
  <si>
    <t xml:space="preserve">s.15(1): duty to make the master plan; only the City Corporations 'shall incorporate' it</t>
  </si>
  <si>
    <t xml:space="preserve">AI (low confidence), from Step 2 answer (Partially Answered) and BWSSB-04: SCORE LEFT BLANK. The Step 2 'not determined' answer holds up.
(1) No 'shall' or 'may' consistency provision binds BWSSB in the sources available. I re-read the BWSSB Act 1964 (BWSSB-02, PRS copy with amendments up to at least Act 32 of 2010). s.15(2) gives the Board the duty of 'preparing and carrying out schemes', with State approval for schemes costing more than Rs 1 crore. That is a financial approval, not a check against the master plan. s.14 sets up the Consultative Committee, which is advisory only. A targeted search found no master plan, development plan or conformity wording.
On the ULG side, the GBA Act 2024 (BWSSB-04, Act 36 of 2025, GBA era) says:
- s.14(2)(a): GBA is the Planning Authority under the KTCP Act.
- s.14(2)(c): the State sets up the BMPC, and a draft development plan is to be prepared.
- s.15(1): GBA makes the master plan, but only the City Corporations 'shall incorporate' its infrastructure plan.
- s.223: conformity with the KTCP master plan is required only of the Corporation and its officers.
- s.14(3)(b) and s.14(4): GBA can issue binding directions to public authorities, naming BWSSB, and they must obey.
- s.15(5): GBA 'may' give public authorities the task of planning major projects, and they are 'bound to assist'.
These are general coordination and direction powers. None says BWSSB's water or sewerage plans must be consistent with the master plan or the BMPC plan. Counting them as a consistency mandate would be an interpretive stretch, so a person needs to decide that (see Step 2 CONFIRM item 2).
(2) A score of 0 cannot be given because I cannot show affirmative absence. The methodology also requires the Karnataka Town and Country Planning Act, 1961, and it is not in the Citation Sheet. Searches across the sheet found it only as a cross-reference inside the GBA Act. That Act could hold a rule that development by public authorities must conform to the master plan. The sheet also has no Rules or Regulations under the BWSSB Act, and no BMPC rules or notifications.
What I checked: BWSSB-02 (the Act, s.14 and s.15), BWSSB-04 (s.8, s.14, s.15, s.103, s.223, and the sector-wise functions schedule), and sheet-wide searches for 'master plan', 'conform', 'Town and Country Planning' and 'development plan'.
Action for the team:
- Add the KTCP Act 1961 (current amended text from an official Karnataka source) and any BMPC notification, then re-score.
- Confirm whether GBA's binding direction power counts as consistency.
- Note that the BWSSB Act still uses BBMP-era wording (Palike, City Improvement Trust Board), and no source here shows a successor body substituted.
Quote: "The Greater Bengaluru Authority shall be responsible to make master plan and mobility plans for the infrastructure development of the Greater Bengaluru Area."
"Score" left blank: the Citation Sheet doesn't decide it.</t>
  </si>
  <si>
    <t xml:space="preserve">NO</t>
  </si>
  <si>
    <t xml:space="preserve">AI: left for a person. Step 2 found no evidence (Insufficient Evidence). Source needed: Needed: (1) BWSSB's current water and sewerage master plan or the 'Vision document upto 2050 / strategic Master plan', plus recent DPRs such as the CWSS Stage V or 110-villages DPR, so they can be checked for explicit references to the statutory master plan, for use of its growth, service-area or land-use framework when siting network expansion and major works, and for use of its population projections. (2) The statutory plan that applies: the BDA Revised Master Plan for Bengaluru, or any GBA or BMPC development plan under the GBG Act 2024 and KTCP Act 1961, and the BMRDA structure or regional plan. (3) Where available, land-use change or regularisation orders under the KTCP Act for BWSSB treatment plant, reservoir or trunk main sites.</t>
  </si>
  <si>
    <t xml:space="preserve">Chapter VI – Sectoral and City Mobility Investment Program and Annual Implementation Plan</t>
  </si>
  <si>
    <t xml:space="preserve">Section 24</t>
  </si>
  <si>
    <t xml:space="preserve">24(a); see also s.2(v), s.2(ff), s.19, s.21(2) first proviso, s.22, s.25(1)(c)</t>
  </si>
  <si>
    <t xml:space="preserve">19</t>
  </si>
  <si>
    <t xml:space="preserve">AI (low confidence), from Step 2 answer (Partially Answered) and BMTC-06: I left the score blank. It depends on a judgement the rubric must settle (RUBRIC-GAP / CONFIRM). The question text and Detailed Methodology were not in the task input, so I could not check the bands myself. I relied on the bands described in the Step 2 answer: 2.5 for a mandatory duty to stay consistent with the metropolitan/regional or city master plan or strategic plan, 1.25 for a non-mandatory or partial duty, 0 for none. These need confirming.
What the Citation Sheet shows:
(1) BMLTA Act 2022 (BMTC-06, PRS copy with Amendment 10 of 2026 appended). Under s.24(a) and s.2(v), the Sectoral Mobility Investment Program that each Urban Transport Agency prepares 'shall be aligned with the goals of the Comprehensive Mobility Plan'. Under s.25(1)(c), additional projects 'shall align with the Comprehensive Mobility Plan goals'. The s.21(2) first proviso says plans of other authorities 'shall be in compliance with the Urban Mobility policies of the Authority'. These duties are mandatory, but they point to the CMP, a statutory transport plan for the metropolitan Urban Mobility Region. They do not point to the Master Plan. The CMP is prepared 'in conjunction with ... the land use plan' (s.21(2)), and s.22 makes the Master Plan take the CMP into account. So the Master Plan link is indirect. The Act also never names BMTC as an 'Urban Transport Agency'. BMTC appears only in the preamble, among the institutions that need coordinating, so its UTA status is inferred from the s.2(ff) definition.
(2) GBG Act 2024 (BMTC-04, GBA era). s.14(4) names BMTC: GBA's directions 'shall be binding', and all public authorities 'shall cooperate ... and obey its directions'. BMTC must also write GBA's coordinating role into its Memorandum of Association. s.14(3)(b) gives GBA binding directions on carrying out schemes that implement GBA plans, and s.15(1) makes GBA responsible for the master plan and mobility plans. This is a power to coordinate and direct. It does not, by itself, require BMTC's own plans to be consistent with the Master Plan. s.15(1) requires plan incorporation only from the City Corporations.
(3) RTC Act 1950 (BMTC-02). As read in Step 2, s.18, s.20 and s.35 contain no master plan link.
(4) KTCP Act (BMTC-07). s.14 conformity applies to development generally and was not read in full.
A 0 cannot be given because affirmative absence is not established. The Citation Sheet has no Rules under the RTC Act for BMTC, no BMLTA regulations under s.54, and no BMTC constitution notification. Mandatory linkages also clearly exist, through the CMP and GBA's binding directions.
For the team to confirm: (a) whether a mandatory duty to align with the CMP counts as a 'metropolitan strategic plan' duty, which would support 2.5; (b) whether GBA's binding-direction power over BMTC counts; (c) whether BMTC is an Urban Transport Agency under BMLTA s.2(ff).
Quote: "(a) The Sectoral Mobility Investment Program shall be aligned with the goals of the Comprehensive Mobility Plan;"
"Score" left blank: the Citation Sheet doesn't decide it.</t>
  </si>
  <si>
    <t xml:space="preserve">AI: left for a person. Step 2 found no evidence (Insufficient Evidence). Source needed: Any of these would answer the question: BMTC's current network or route-rationalisation plan, depot/terminal expansion plan or vision document (e.g. the BMTC Vision 2025 study, the latest Annual Administrative Report or planning presentations); the current Comprehensive Mobility Plan for Bengaluru and BMTC's Sectoral Mobility Investment Program / Annual Implementation Plan under the BMLTA Act (ss.24-25); and the statutory master plan in force for the Greater Bengaluru Area, so its growth corridors and population/density projections can be compared with BMTC's route and depot planning. For the extra quality check: land-use change or regularisation orders for major BMTC depots and terminals.</t>
  </si>
  <si>
    <t xml:space="preserve">Chapter on functions and duties of the Board</t>
  </si>
  <si>
    <t xml:space="preserve">Section 15</t>
  </si>
  <si>
    <t xml:space="preserve">Sub-section (3)(a)-(b); see also s.15(5), s.38(1), s.61A(d), s.31, s.16(1)</t>
  </si>
  <si>
    <t xml:space="preserve">17</t>
  </si>
  <si>
    <t xml:space="preserve">AI (low confidence), from Step 2 answer (Partially Answered) and BWSSB-02: I left the Score blank. There are two reasons.
(1) The rubric is missing. I was given no question wording, Detailed Methodology or bands for UPD3a, so I cannot apply a scoring rule. Step 2 mentions possible bands of 5, 2.5 and 0, but I cannot check those against the rubric.
(2) The evidence does not settle the band anyway (RUBRIC-GAP / CONFIRM).
What I checked against the source:
- BWSSB-02, the BWSSB Act 1964, PRS copy, amended up to Acts 15 and 32 of 2010. s.15(3)(a)-(b) sets a binding 'shall' duty: piped domestic supply to every part of the Bangalore Metropolitan Area where there are houses, or supply by other means within a reasonable distance of every house. The duty is limited to what is 'practicable at a reasonable cost'.
- It does not name women, the poor, slum dwellers, persons with disabilities or economically weaker sections (EWS).
- Other provisions are discretionary ('may'): s.38(1), free public supply, conditional on payment by the city corporation (BBMP); s.61A(d), bye-laws on 'equitable distribution'; s.31, different rates by purpose.
- s.16(1) sets charges on a cost-recovery basis.
- So Step 2 is right that the Act has a universal-access duty but no duty tied to particular groups.
Why a 0 is not possible: I found no group-specific provision, but there is no affirmative absence. These layers are not in the Citation Sheet:
- the BWSSB Regulations under s.61 and s.31
- tariff notifications
- bye-laws under s.61A
- any Board resolution on slum connections
- any Karnataka state water and sanitation policy
I also read BWSSB-38 (the Notifications page). The text returned was only website boilerplate, with no tariff or regulation text. That is a VERIFICATION-LIMIT.
Other sources:
- BWSSB-13 (website, undated) describes reduced connection charges for slum houses: Rs 550 for houses up to 150 sq ft and Rs 800 for 151-600 sq ft. It names no instrument, so it is not a binding provision.
- BWSSB-04 (Greater Bengaluru Governance Act 2024, Schedule I) gives the city government duties on slums, urban poverty and disability. These duties are not BWSSB's.
- The Act still names BBMP. Nothing in the sheet shows the Greater Bengaluru Authority or its city corporations substituted in its place.
For the team:
(a) Supply the UPD3a methodology and bands.
(b) Confirm whether a universal-access duty that names no group counts as an 'explicit requirement'.
(c) Obtain the BWSSB Regulations and tariff notifications, and any Board order on slum connections.
Quote: "A scheme under clause (b) of sub-section (2) shall inter alia make provision,— (a) for a supply of wholesome water in pipes to every part of the Bangalore Metropolitan Area in which there are houses, for the domestic purposes of the occupants thereof"
"Score" left blank: the Citation Sheet doesn't decide it.</t>
  </si>
  <si>
    <t xml:space="preserve">Our Services</t>
  </si>
  <si>
    <t xml:space="preserve">Services for Urban Poor – BWSSB's Experiments and Future Plans</t>
  </si>
  <si>
    <t xml:space="preserve">The service levels offered to the different categories of slums; Free Connections to the Urban Poor</t>
  </si>
  <si>
    <t xml:space="preserve">192</t>
  </si>
  <si>
    <t xml:space="preserve">AI (low confidence), from Step 2 answer (Partially Answered) and BWSSB-13: SCORE LEFT BLANK. I agree with Step 2 after checking it against the source. Component 1 (affordability and service planning for slums): BWSSB-13 does say what Step 2 says. It names specific measures for slum dwellers: lower connection charges by house size (Rs.550 or Rs.800), payment in two instalments, simpler documents (hakku patras, ration card or election ID accepted in place of title), and shared metered connections for communities without secure tenure. It also mentions the Social Development Unit and a JICA slum component covering 96 slums in Phase 1. These are measures aimed at specific groups, not generic wording. But the page is undated. The programmes it describes ran in 2000-2002 (AusAID pilots) and 2003-2006 (Package Programme), and the JICA 'currently under implementation' phase has no date. So nothing shows this is BWSSB's current planning framework. BWSSB-41 (free meters for 22,000 slum households, interest waiver) is also undated. Component 2 (gender, disability, elderly or accessible design): I re-searched the Sheet (women / disabled / elderly / public taps) and found nothing about BWSSB. The only accessibility text is the website's WCAG screen-reader notice. That is about the web portal, not water service design, so it earns no credit. A 0 for Component 2 would need affirmative absence, but these are not in the Sheet: the current water supply master plan or Vision 2050 document, the CWSS Stage V and 110-villages DPRs, the current tariff order or slum connection-concession order, design or service standards, and a current annual report (BWSSB-29 covers only FY 2016-17). So Component 2 is 'not found', not absent. With Component 2 undetermined and Component 1 not shown to be current, the total cannot be worked out. Sources checked: BWSSB-13, BWSSB-41, BWSSB-07, BWSSB-29, BWSSB-02, BWSSB-04, plus searches across the whole Sheet. FOR THE TEAM TO CONFIRM: can an undated web page that describes 2000-2006 programmes count as the current planning framework for Component 1? If so, Component 1 might earn its share (about 2.5 per Step 2), but Component 2 would still need the current plan, DPR or design standards. RTI-TARGET: ask BWSSB's PIO for the current master plan or Vision 2050 document, the social or GESI chapters of the DPRs, the current slum or EWS connection-concession and tariff orders, and design standards for public water points.
Quote: "BWSSB has offered a rationalized reduction in the connection rates. A house with an area of 150 sq.ft. is required to pay only the meter cost of Rs.550/; between 151sq.ft. and 600 sq.ft. RS. 800/ (meter cost of Rs.550 + Rs.250 as cost of UGD connection) and a house above 600 sq. ft. has to pay the regular rates."
"Score" left blank: the Citation Sheet doesn't decide it.</t>
  </si>
  <si>
    <t xml:space="preserve">Comprehensive Mobility Plan chapter (BMLTA Act, 2022, Karnataka Act 6 of 2023)</t>
  </si>
  <si>
    <t xml:space="preserve">Section 21(2)(h) (Preparation of Comprehensive Mobility Plan)</t>
  </si>
  <si>
    <t xml:space="preserve">s.21(2)(h); see also the s.21(2) first proviso and s.19</t>
  </si>
  <si>
    <t xml:space="preserve">AI (low confidence), from Step 2 answer (Partially Answered) and BMTC-06: SCORE LEFT BLANK. The Score cell is empty because the Citation Sheet does not support any band, including 0. I could not see the question text or its full rubric. The Step 2 answer points to bands of 5, 2.5 and 0, with 2.5 meaning 'limited to specific groups'. This needs a human check.
What I checked:
(1) BMTC-06, BMLTA Act 2022 (Karnataka Act 6 of 2023, with Amendment Act 10 of 2026 appended; PRS-republished text, so secondary). s.21(2)(h) requires the Comprehensive Mobility Plan (CMP) to include accessible mobility for persons with disabilities. That requirement falls on BMLTA, not BMTC. It reaches BMTC only indirectly: through the first proviso to s.21(2), which requires other authorities' plans to comply with BMLTA's Urban Mobility policies (the s.20 policies, none of which concern vulnerable groups), and through s.19 project approval. It covers one group only. Whether an indirect duty on BMLTA counts as a mandate on BMTC is a methodology question for the team.
(2) BMTC-02, RTC Act 1950. s.18 sets a general service duty and names no group. s.19(1)(d) is a discretionary power to issue free or concessional passes, with no group named. s.17 Advisory Councils use 'may'.
(3) BMTC-04, GBA Act 2024 (GBA-era). Step 2 found no transport duty towards vulnerable groups. I did not re-read it.
(4) BMTC-20, BMTC Rules and Regulations page. It lists only KSRTC employee, cadre and service regulations and the KSRTC Rules 1961. I could not see the text of those PDFs. There is nothing on concessions or passenger groups.
(5) BMTC-27, Student Pass page. It says BMTC issues free student passes 'As per the directions of the Government of Karnataka'. The government direction itself is not in the Citation Sheet, and students may not count as a vulnerable group under the rubric.
(6) BMTC-32, mission statement. 'Extend travel concession to the weaker sections of the society' is a website statement, not a binding instrument.
(7) BMTC-28, press releases. These are one-off 2023 practices (Women's Day free travel, free travel for PUC exam candidates). Practice is not a mandate.
Why 0 is not available: there is no affirmative absence. The Citation Sheet lacks the Karnataka GOs on free travel for women and on student, disability and senior-citizen concessions, BMTC's concession regulations under RTC Act s.45, BMTC's fare and concession policy, and the Karnataka Motor Vehicles Rules provisions on concessions and accessibility.
Why 2.5 is not safe: the only binding provision is a BMLTA CMP duty covering one group (persons with disabilities). BMTC has no direct duty.
What the team should do:
- Decide whether the BMLTA s.21(2)(h) duty counts.
- Add the concession GOs and regulations listed above.
- Confirm the BMLTA Act's commencement and whether a CMP has been adopted.
- Note that s.2(cc) of the BMLTA Act still names the BBMP; no official source in the sheet shows a successor substituted.
Quote: "(h) accessible mobility and transport for persons who are persons with benchmark disability"
"Score" left blank: the Citation Sheet doesn't decide it.</t>
  </si>
  <si>
    <t xml:space="preserve">Students can apply for Student Pass for the Academic year 2026-27 in BMTC website, Bangalore One Counters and Seva Sindhu portal. As per the directions of the Government of Karnataka Bangalore Metropolitan Transport Corporation is issuing student passes at a free from the date of its formation for the benefit of students community. The online applications for Degree/ professional/ technical/ medical/ evening college students can apply for student pass through online. After the approval from the BMTC student can schedule his choice of Bangalore-one centre, date &amp; time and visit the counter along with the acknowledgment copy of scheduling and his school/ college id card/ fee receipt/ Head of the institution attested copy Student passes will be issued in Bangalore-one centers from 08.00 hrs to 18.30 hrs in all working days</t>
  </si>
  <si>
    <t xml:space="preserve">BMTC Student Pass page, 'Student Pass 2026-27' section</t>
  </si>
  <si>
    <t xml:space="preserve">Free student passes; apply through the BMTC website, Bangalore One counters or Seva Sindhu (page last updated 30-09-2026)</t>
  </si>
  <si>
    <t xml:space="preserve">AI (low confidence), from Step 2 answer (Partially Answered) and BMTC-27: The score is left blank because the Citation Sheet only partly answers the question. The full Detailed Methodology text was not given to me, so I read the components from the Step 2 band notes. On that reading, the score is Component 1 (up to 2.5) plus Component 2 (up to 2.5). I checked the Step 2 answer against the sources. COMPONENT 1, fare concessions: these are present for this agency. BMTC-27 is the BMTC Student Pass page, last updated 30-09-2026. It shows free student passes for academic year 2026-27, issued 'as per the directions of the Government of Karnataka'. BMTC-30 is the KarnatakaOne page, reviewed July 2026. It lists Senior Citizen Black Board and Pushpak passes at Rs 650 and Rs 830, against Rs 725 and Rs 925 for the general passes. The page says the rates are subject to change and gives no date for them. COMPONENT 1, route or coverage measures for vulnerable groups: not found. My searches for feeder, slum, underserved, wheelchair and low-floor returned nothing specific to BMTC. Metro feeder services are not aimed at any identified group. This is 'not found', not an affirmative absence. Some instruments were never read in full or exist in the sheet only as link titles: the Shakthi Scheme, the Physically Challenged Scheme and the 2026 disabled-pass notice (BMTC-01 titles only), BMTC fare/concession orders (none in the sheet), and BMTC-15. So Component 1 is at least the concession part, but whether it is the partial or full band cannot be decided. COMPONENT 2, planning or design framework: undetermined. BMTC-10 lists only the titles of Nirbhaya tenders: the 01/12/2020 tender for a BMTC mobile app with a women-safety feature and in-bus surveillance, a functional-audit tender from August 2023, and an October 2023 tender. The tender documents are not in the sheet, and nothing shows the system is in operation now. BMTC-32 (Vision and Mission) says 'Extend travel concession to the weaker sections of the society', but that is a generic mission statement and is not credited. BMTC-28 shows free travel for women on Women's Day 8/3/2023 only, a one-day measure. BMTC-06 (BMLTA Act, Comprehensive Mobility Plan, accessible mobility for persons with disabilities) puts the duty on BMLTA, not BMTC, and is a mandate, not evidence of practice. FOR A HUMAN: (1) Open the Shakthi Scheme and Physically Challenged Scheme pages and the 2026 disabled bus-pass notice linked from BMTC-01. (2) Open the Nirbhaya tender PDFs in BMTC-10 and look for current evidence that the women-safety and surveillance system is operating. (3) Look for a BMTC concession order or administrative report for the current year. (4) Confirm whether the tenders count as a Component 2 framework. Capture dated screenshots as the question bank requires. VERIFICATION-LIMIT: the scheme documents exist only as link titles and were not read; this is not a negative finding.
Quote: "As per the directions of the Government of Karnataka Bangalore Metropolitan Transport Corporation is issuing student passes at a free from the date of its formation for the benefit of students community."
"Score" left blank: the Citation Sheet doesn't decide it.</t>
  </si>
  <si>
    <t xml:space="preserve">Chapter V – Sewers and Sewerage (also Chapter II s.15; Chapter IV ss.49, 52)</t>
  </si>
  <si>
    <t xml:space="preserve">Section 72A(1), as substituted by Karnataka Act 29 of 2021 (Gazette Extraordinary, 07.10.2021)</t>
  </si>
  <si>
    <t xml:space="preserve">s.72A(1)-(3); also s.15(6), s.72, s.74 second proviso</t>
  </si>
  <si>
    <t xml:space="preserve">84</t>
  </si>
  <si>
    <t xml:space="preserve">AI (low confidence), from Step 2 answer (Partially Answered) and BWSSB-02: Score left blank. The evidence in the Citation Sheet points to the middle band ('limited to particular functions/concerns', 2.5 as Step 2 records it). But that band can't be confirmed for two reasons. First, the question's Detailed Methodology text was not given to me, so the band labels and values are taken from the Step 2 notes. Second, several instrument layers the question covers are not in the Citation Sheet.
What I checked in BWSSB-02 (BWSSB Act 1964, PRS consolidated copy with amending Acts up to Act 29 of 2021):
(a) s.15 general duties: supply 'sufficiency and wholesomeness' and sewerage schemes, with no environmental or sustainability wording. s.15(6) (Act 15 of 2010, from 16.04.2010) gives only a 'power to insist' on rainwater harvesting and wastewater recycling. That is a power, not a duty.
(b) s.72A (Act 29 of 2021): rainwater harvesting is mandatory ('shall') for owners on 108 sq m or more. Dual piping plus rainwater harvesting is mandatory on 1000 sq m or more. The duty falls on owners, and the conditions are left to Board regulations and guidelines.
(c) s.72: the Board 'shall be competent' to require separate drains, with rainwater emptying into a rainwater harvesting system.
(d) s.74 second proviso: no sewage may be discharged into a watercourse until treated as the bye-laws prescribe. This applies only 'on and after such date as may be appointed by the Board'.
(e) s.49 prohibits waste or misuse and contamination of supplied water. s.52 bars placing pipes where the water would be polluted. Both are consumer-side prohibitions.
BWSSB-33 (Karnataka Ground Water Act 2011, PRS copy): s.2(k) names BWSSB as a 'Local Authority'. Under s.22(4) a local authority 'may' impose rooftop rainwater harvesting conditions on sites of 100 sq m or more and withhold connections until they are met. This is discretionary and rainwater-harvesting-only. The s.22(1)-(3) duties fall on the Groundwater Authority, not on BWSSB.
Searching the sheet for 'environmental sustainability / source protection' found no further binding provision. Every provision found is tied to a particular function (rainwater harvesting and dual piping, treatment before discharge, waste and pollution of supplied water). None makes sustainability a duty across core planning and service delivery.
Why blank, not 2.5: these binding layers are NOT in the Citation Sheet and were not read:
- the BWSSB Regulations and bye-laws (rainwater harvesting regulations under s.72A; sewage treatment and effluent bye-laws under s.74 and s.84A; water supply bye-laws under s.61A);
- any Rules under the Act;
- the 1999 Karnataka Ground Water (Protection of Sources of Drinking Water) Act as amended by Act 15 of 2010 s.33, under which a BWSSB officer becomes 'appropriate authority'. Only the Statement of Objects and Reasons was seen;
- any Karnataka state water or urban water and sanitation policy.
The 1999 Act and a state policy could widen the scope beyond particular functions.
The Step 2 summary of s.15(6), s.72A and s.74 matches the source. Its claim that s.49 and s.52 were 'not read' is now resolved: I read both, and they don't change the result.
For the reviewer: (1) apply the actual methodology bands; (2) confirm whether an owner-side duty enforced through the Board counts as a Board mandate; (3) check the missing layers. If none of them adds a duty across core functions, 2.5 is supported.
Website statements (BWSSB-13, BWSSB-40) are administrative and get no credit under a Law/Policy question.
Quote: "Every owner who proposes to construct a building on a sital area of not less than 108 square meter shall provide rain water harvesting structure for storage, for use or for ground water recharge in such manner and subject to such conditions as may be provided in the regulations and guidelines issued by the Board."
"Score" left blank: the Citation Sheet doesn't decide it.</t>
  </si>
  <si>
    <t xml:space="preserve">About BWSSB (BWSSB website page, undated)</t>
  </si>
  <si>
    <t xml:space="preserve">Ongoing Water Supply projects, item 3 'Water supply improvement works'; also 'Proposed Sewerage System works' and 'Rain Water Harvesting, Rejuvenation of Lakes'</t>
  </si>
  <si>
    <t xml:space="preserve">Also relevant on the same page: item 4 'Exclusive leak detection works'; item 7 'Sewerage Works' and the Environmental Action Plans; 'Proposed Water Supply works'; 'Proposed Sewerage System works'</t>
  </si>
  <si>
    <t xml:space="preserve">AI (low confidence), from Step 2 answer (Partially Answered) and BWSSB-07: SCORE LEFT BLANK. This is an Implementation question about how BWSSB plans for environmental sustainability today. The Citation Sheet only has evidence that is old or undated. I checked the Step 2 answer against the sources and the quotes and details match.
What the evidence shows for each component (2.5 points each, total 5):
(1) Sources, conservation and losses. BWSSB-07 describes:
- unaccounted-for-water (UFW) and leakage-control works covering about 50% of the core area, aiming to cut overall water losses to 16%;
- a JICA leak-detection grant and helium leak-detection work;
- 5 to 10 TMC of rainwater to be used to recharge groundwater;
- sewage plants proposed upstream to protect Bellandur and Varthur lakes.
BWSSB-41 (Achievements, undated) lists: 280 km of leaky pipeline restored; 218 bulk flow meters installed 'for plugging water leakage'; rules amended to make rainwater harvesting mandatory; rainwater harvesting installed in 23,000 buildings. BWSSB-40 covers rainwater harvesting on BWSSB's own buildings.
(2) Wastewater, reuse and resilience. BWSSB-07 lists:
- 6 proposed new sewage plants totalling 520 MLD (DPRs prepared; funding still being sought);
- Environmental Action Plans A, B and C, and the Hebbal 'zero flow' scheme;
- about 30% of treated effluent sent to lakes for recharge.
BWSSB-29 (Annual Report FY2016-17) records Board approval for 15 MLD of tertiary-treated water to go to the KPCL power plant.
Why no score:
- Timing. BWSSB-07 is a live page (footer © 2026), but its content dates to about 2015-16. It refers to works 'planned to be completed in 2016' and to BBMP-era jurisdiction. BWSSB-41 is undated and refers to an award for 2011-12 and a calendar award for 2015. BWSSB-29 covers FY2016-17. None of these shows how BWSSB plans today, in the GBA era.
- Plans not shown as carried out. Many items are only proposals (DPRs, 'proposed', funding requested), and there is no evidence they were implemented.
- Generic wording. The 'Future Outlook' lines (water loss reduction programme, conservation programme, water reuse, climate change) and the vision document up to 2050 are general statements; the vision document has no date or outcome. They earn no credit.
- Missing evidence. I found no energy-efficiency or drought/flood-resilience measure with a target.
- Legal powers only. The BWSSB Act s.16(6) and s.72A (BWSSB-02) give powers, not evidence of practice.
- No current documents. BWSSB-25 (press releases from 2021-23) lists only water shutdowns, adalaths and summer supply; it contains no sustainability plan.
If the team accepts the undated website content as BWSSB's current planning framework, the old evidence would support about 2.5 + 2.5 = 5. However, the Detailed Methodology text was not given to me here, so a person must confirm the band mapping. Please also supply a current BWSSB plan or annual report: the latest NRW/UFW programme, the treated-water reuse policy or programme, and an energy or climate-resilience plan. Reviewer to capture a dated screenshot.
Quote: "For proper water accounting and loss reduction with the aims of improvement in water distribution system, reduction in unaccounted for water and leakage control three major works are taken covering about 50% of the core area (133 sqkm) wherein it is envisaged to reduce the overall water losses to 16%."
"Score" left blank: the Citation Sheet doesn't decide it.</t>
  </si>
  <si>
    <t xml:space="preserve">Section 25(1)(c), read with s.24(a)-(b), s.2(aa), s.2(h) and s.2(ff)</t>
  </si>
  <si>
    <t xml:space="preserve">s.25(1)(c); s.24(a); s.2(aa) 'Sustainable Urban Transport'; s.2(h) 'Comprehensive Mobility Plan'; s.2(ff) 'Urban Transport Agency'</t>
  </si>
  <si>
    <t xml:space="preserve">AI (low confidence), from Step 2 answer (Partially Answered) and BMTC-06: Proposed score: 2.5 (environmental duties exist but are limited). A person should check it.
**One open point fixed.** Step 2 said it had not read the s.2(ff) definition. I read it in BMTC-06: "'Urban Transport Agency' means and includes both the private and public agencies engaged in providing of Urban Mobility in Urban Mobility Region". BMTC is a public bus operator in the Urban Mobility Region, so it is covered. Its Managing Director also sits on the Authority (s.4) and the Executive Committee (s.12). So s.24 and s.25 do bind BMTC.
**Why 2.5 and not 5:**
- BMTC's own Act, the Road Transport Corporations Act, 1950 (BMTC-02), sets no environmental duty. s.3 and s.18 are only about an efficient, adequate, economical and co-ordinated service.
- The duties that do bind BMTC come indirectly, through the separate BMLTA Act 2022 (Act 6 of 2023; BMTC-06). Its Sectoral Mobility Investment Programme 'shall be aligned with the goals of the Comprehensive Mobility Plan' (s.24(a)). Its additional annual-plan projects 'shall... promote sustainable urban transport' (s.25(1)(c)).
- Those goals are narrow. s.2(aa) defines 'Sustainable Urban Transport' only as cutting private-vehicle use and raising public and non-motorised transport. s.2(h) describes the Comprehensive Mobility Plan as providing 'safe, clean and efficient urban transport', which is general wording.
- I found no binding duty on BMTC about emissions, fleet fuel or electrification, energy efficiency, environmental assessment or climate resilience.
- The Greater Bengaluru Governance Act (BMTC-04): the Climate Action Cell in s.17 is a duty of the Greater Bengaluru Authority, not of BMTC.
- The 'environment-friendly' line on BMTC's website (BMTC-32) is a mission statement, not a binding rule. Mentions of electric and BS-VI buses on BMTC-01 show practice, not a provision.
- On this reading the duties cover one specific objective (mode shift), applied through plan alignment. That fits 'limited to specific objectives' (2.5), not 'embedded across core functions' (5). It is not 0, because 'shall' duties do exist.
**What a person should check:**
- The question's full Detailed Methodology was not in my task input. I took the 0 / 2.5 / 5 bands from the Step 2 notes. Please confirm that band wording before accepting the score.
- Missing from the Citation Sheet:
  - Rules or regulations under the BMLTA Act or the RTC Act
  - any approved Comprehensive Mobility Plan
  - Karnataka electric-vehicle or clean-fuel policy instruments
  - the 2026 amendment (Act 10 of 2026), which I did not review
- Any of these could add BMTC-specific environmental duties and raise the score.
- The BMLTA text is a PRS secondary copy.
Quote: "These additional projects shall align with the Comprehensive Mobility Plan goals and promote sustainable urban transport."</t>
  </si>
  <si>
    <t xml:space="preserve">UITP Working Paper – Fleet Wide Transition to Zero Emission Buses: A Roadmap for the City of Bengaluru (August 2023) [BMTC-39]</t>
  </si>
  <si>
    <t xml:space="preserve">Section 3, Overview of current BMTC operations; sidebar 'BMTC Electric Bus Procurement'; Section 4, BMTC 2030 fleet needs and procurement timeline</t>
  </si>
  <si>
    <t xml:space="preserve">UITP/ICCT Working Paper (August 2023), pages 4-5</t>
  </si>
  <si>
    <t xml:space="preserve">Sidebar 'BMTC Electric Bus Procurement' and the text under Table 2 (1,101 12m non-AC e-buses under FAME-II; 840 BS VI diesel buses; all 1,941 to be deployed in 2023)</t>
  </si>
  <si>
    <t xml:space="preserve">4</t>
  </si>
  <si>
    <t xml:space="preserve">https://www.uitp.org/wp-content/uploads/sites/7/2025/04/Working-Paper_Fleet-Wide-Transition.pdf</t>
  </si>
  <si>
    <t xml:space="preserve">AI: left for a person. Step 2 found no evidence (Insufficient Evidence). Source needed: Any of these would answer it: BMTC's latest Annual Administrative Report (FY 2024-25 or 2025-26), with fleet composition, electric/CNG share, fuel efficiency (KMPL) or emissions figures and targets; BMTC's fleet plan or electric-bus induction and scrapping plan, with a transition target and a phase-out schedule for old diesel buses; BMTC's environmental policy document; and BMTC's route/network rationalisation plan or metro-feeder and interchange plan, showing NMT, multimodal integration and depot energy measures. The BMTC Vision 2025 document listed on the DULT page would also help, if it is adopted as BMTC's planning framework.</t>
  </si>
  <si>
    <t xml:space="preserve">Schedule I (see section 111)</t>
  </si>
  <si>
    <t xml:space="preserve">Schedule I, (1) Core Functions</t>
  </si>
  <si>
    <t xml:space="preserve">(v); see also (vi) and (3)(vii)(f)</t>
  </si>
  <si>
    <t xml:space="preserve">134</t>
  </si>
  <si>
    <t xml:space="preserve">AI (low confidence), from Step 2 answer (Partially Answered) and BWSSB-04: I left the Score blank. The sources don't let me choose a band, and a 0 needs proof that nothing in the law separates the two roles. That proof isn't there.
(1) City government side (BWSSB-04, GBA Act 2024, Act 36 of 2025, PRS copy as enacted, GBA era). Schedule I(1)(v) makes 'Water supply for domestic, industrial and commercial purposes' a core function of the City Corporations. Schedule I(1)(vi) does the same for sanitation, including liquid waste management. Schedule I(3)(vii)(f) adds 'provision for unfiltered water supply for non-domestic uses'. In the parts read, no clause leaves these functions to BWSSB. BWSSB is mentioned only in the property-tax exemption in s.154(1)(k).
(2) Parastatal side (BWSSB-02, BWSSB Act 1964, PRS copy as amended up to Act 29 of 2021). I read further than Step 2 did, and this changes the picture. s.15(1) gives the Board 'the general duty of providing a supply ... of water in the Bangalore Metropolitan Area' and sewerage. s.26 says all reservoirs, pipes, taps, conduits and 'other works connected with the supply of water to the Bangalore Metropolitan Area', whether built at the cost of the Government, the BBMP 'or otherwise', 'shall vest in the Board and be subject to its control'. The sewerage vesting section (s.63 by position in the text; its heading was cut off) vests all public sewers and sewage disposal works in the Board. s.64(2) says the Board 'shall maintain and keep in repair all Board sewers'. The Statement of Objects and Reasons says the 1964 Act moved water distribution from the Corporation to the Board. So the BWSSB Act itself allocates the whole water and sewerage system to the Board. The later GBA Act then gives the same functions to the City Corporations without saying how the two fit together. That is a real conflict between two laws, not just a missing distinction. Whether it counts as 'no clear distinction' (Step 2's Scenario B, score 0) or as Scenario A or D depends on the Detailed Methodology's scenario definitions. Those weren't given to me in this task, so I could not apply them. RUBRIC-GAP / CONFIRM.
(3) What is still missing:
- s.15(2)-(5) of the BWSSB Act still could not be read; only the fragment '...ide a supply of water thereto' shows.
- No BWSSB Rules or Regulations, and no GO on functions, are in the sheet.
- The BWSSB Act still names the BBMP (s.2(1a), s.14, s.26, s.63). No source shows the GBA or City Corporations were substituted.
- Whether the GBA Amendment Bills (BWSSB-23, BWSSB-28) were enacted is not shown.
- Both Acts are PRS copies only.
Checked: BWSSB-02 (s.2(1a), 14, 15, 26, 27, 63-64, Statement of Objects and Reasons, 2010 amendment); BWSSB-04 (s.111, s.154, Schedule I); a search across the sheet for vesting or transfer provisions.
A person should: confirm the DPG1a scenario bands; read BWSSB Act s.15(2)-(5); and check whether any GBA-era instrument amends the BWSSB Act or clarifies who does what.
Quote: "(v) Water supply for domestic, industrial and commercial purposes;"
"Score" left blank: the Citation Sheet doesn't decide it.</t>
  </si>
  <si>
    <t xml:space="preserve">Greater Bengaluru Governance Act, 2024 (Karnataka Act 36 of 2025): Chapter on licences/fees (s.234); Chapter on GBA functions (s.14-15); Schedule I (s.111)</t>
  </si>
  <si>
    <t xml:space="preserve">s.234(2)-(3); also s.14(4), s.15(1), s.111 read with Schedule I core (iv), (xii), (xvii) and sector-wise (3)(vi); s.112(1)</t>
  </si>
  <si>
    <t xml:space="preserve">s.234(2) and its proviso; s.234(3) ground rent</t>
  </si>
  <si>
    <t xml:space="preserve">91</t>
  </si>
  <si>
    <t xml:space="preserve">AI (low confidence), from Step 2 answer (Partially Answered) and BMTC-04: SCORE LEFT BLANK. I did not just accept the Step 2 answer; I re-read the sources. (1) The DPG1a detailed methodology and rubric bands were not in my task. Step 2 refers to 'Scenario A/B/C' and to a '0 band', but I cannot check those bands or how they map to points on the 0-5 scale. So I cannot give a number without making up the rubric. A person must apply the actual bands. (2) What the Citation Sheet does show. CITY GOVERNMENT SIDE (BMTC-04, GBA Act, PRS secondary copy, GBA era; commencement date not shown): - s.111 makes Schedule I's core functions City Corporation functions. These include (iv) roads, (xii) 'waiting sheds for travelers' and (xvii) 'parking spaces for vehicles, bus stops'. - Sector-wise item (3)(vi) is Public Works (roads). This time I read sector-wise items (i) to (xi): none of them is a transport or bus-service item. That closes the gap Step 2 flagged up to item (xi); I could not see the items after (xi). - s.112(1): the City Corporation 'may', with State approval and funding, take on 'urban transport'. That is discretionary, not an assigned function. - s.14(4): the GBA has binding supervision and directions over BMTC, and BMTC must put the GBA's coordinating role into its Memorandum of Association. - s.15(1): the GBA 'shall' make mobility plans. - s.234(2)-(3) is the only explicit dividing rule. BMTC needs no licence to put up bus-stop posts, shelters, ticket booths or bus stands on City Corporation roads or land. Shelters, booths and stands need prior Government sanction, and BMTC pays the City Corporation ground rent. The Act names the body 'Bengaluru Metropolitan Transport City Corporation' here; s.14(4) uses 'Bangalore Metropolitan Transport Corporation (Limited)'. PARASTATAL SIDE (BMTC-02, RTC Act 1950, as amended to Act 63 of 1982): - s.18 is a general duty, s.19(1)(a) is 'to operate road transport services', and s.19(1)(b) is 'to provide for any ancillary service', which the Act does not define. - Nothing in it refers to the city government, bus stops or shelters, or splits roles with the city government. (3) Open questions the team must decide: (a) Does the GBA's binding supervision and mobility planning, plus the City Corporations' bus-stop and waiting-shed functions, count as devolving the function (Scenario B/C)? Or is it Scenario A, since running bus services is not given to the city government? (b) Can a dividing rule found only in the city government's law (s.234) count as demarcation when the methodology looks to the parastatal's own Act? (4) Missing evidence: BMTC's s.3 establishing notification under the RTC Act, its Memorandum of Association, and any Rules or regulations setting out its functions are not in the Citation Sheet. BMTC-20 (Rules and Regulations page) was not checked for a functions instrument. Because the evidence is incomplete, a 0 score would not meet the affirmative-absence test either. RUBRIC-GAP / methodology not supplied.
Quote: "no licence or permission shall be necessary for the Bengaluru Metropolitan Transport City Corporation in respect of the fixation or erection of posts showing places of stoppage of buses or erection or construction of passenger-shelters, ticket booths and bus stands on any road or land vested in the City Corporation"
"Score" left blank: the Citation Sheet doesn't decide it.</t>
  </si>
  <si>
    <t xml:space="preserve">Greater Bengaluru Authority – powers and functions</t>
  </si>
  <si>
    <t xml:space="preserve">Section 14(2)(a)-(b); read with s.111 and Schedule I(1)(i)-(ii)</t>
  </si>
  <si>
    <t xml:space="preserve">s.14(2)(a) Planning Authority for the Greater Bengaluru Area; s.14(2)(b) layout approval 'may be done by' GBA</t>
  </si>
  <si>
    <t xml:space="preserve">14</t>
  </si>
  <si>
    <t xml:space="preserve">AI (low confidence), from Step 2 answer (Partially Answered) and BDA-03: I have left the score blank. The Sheet shows a partial split of roles: it is neither clean demarcation nor plain duplication, and I don't have a rubric band I can apply to that.
What the sources say (I checked Step 2 against BDA-02, BDA-03 and BDA-05):
(1) City government side (BDA-03, Greater Bengaluru Governance Act, Act 36 of 2025, PRS copy):
- Schedule I(1), read with s.111, gives each City Corporation '(i) Urban planning including town planning' and '(ii) Regulation of land-use' as core functions.
- Section 14(2)(a) says that, 'notwithstanding anything contained in any other law', GBA is the KTCP Planning Authority for the Greater Bengaluru Area. This overrides any other law, so in effect it takes the planning-authority role for that area away from BDA. That counts against Step 2's suggestion that both Acts give the same function with no distinction.
- Section 14(2)(b) is only permissive: layout approval 'may be done by' GBA.
(2) BDA side (BDA-02, BDA Act 1976, PRS copy):
- I confirmed that Amendment Act 42 of 2026 (Gazette, 7 Sept 2026, in force 'at once') changes only s.10 (financial limits) and s.38D (allotment rates and eviction). It contains no carve-out for the Greater Bengaluru Area.
- BDA's development-scheme mandate is unchanged: s.14 objects, s.15(1) schemes and works 'for the development of the Bangalore Metropolitan Area', and s.16 scheme contents. Nothing in the Sheet removes the Greater Bengaluru Area or the City Corporations' planning role from it.
- Sections 15(2)(ii), 25(1) proviso, 26, 28 and 28A are only interface or consultation provisions. They still name the 'Corporation' and the 'City of Bangalore'. No official source in the Sheet shows the new bodies substituted for these names (flagged for the team).
(3) Planning law (BDA-05, KTCP Amendment Bill 2025, passed by the Assembly):
- It would make BDA the Planning Authority for the Bengaluru Metropolitan Area 'excluding the Greater Bengaluru Area' (amended s.81-B) and add s.81-G for GBA.
- Its s.1(2) says it starts only on a date the government notifies. The Sheet has no commencement notification, so I can't treat it as in force.
- It doesn't amend the BDA Act.
Why I didn't score:
- RUBRIC-GAP / confirmation needed. The planning-authority role is split by area under an override clause in the city government's law. BDA's development and layout-scheme role overlaps with the City Corporations' 'urban planning' and 'land-use' functions, with no distinction drawn.
- The detailed rubric bands weren't supplied to me. Step 2 cites only the Scenario B band 'Score 0 – both Acts assign the same function with no distinction'. A 0 doesn't fit cleanly because of s.14(2)(a), and I won't interpolate a partial band.
- Not checked: the BDA Act s.2 definition of 'Bangalore Metropolitan Area' (not in the excerpts I could read). BDA Rules and Regulations aren't in the Sheet.
For a person to confirm:
- the DPG1a bands for partial or area-wise demarcation;
- whether the KTCP amendment (BDA-05) has been notified to start;
- whether the GBGA amendment bills (BDA-04, BDA-13) were enacted;
- the GBA constitution date.
Quote: "(2) Planning Functions: Notwithstanding anything contained in any other law for the time being in force,- (a) the Greater Bengaluru Authority shall be the “Planning Authority” as defined under the Karnataka Town and Country Planning Act, 1961, for the areas comprising of the Greater Bengaluru Area;"
"Score" left blank: the Citation Sheet doesn't decide it.</t>
  </si>
  <si>
    <t xml:space="preserve">Section 14(4) (read with s.8(3), s.15(1), s.111(1), s.112(1), Schedule I)</t>
  </si>
  <si>
    <t xml:space="preserve">s.14(4) Co-ordination and Supervision of Public Authorities</t>
  </si>
  <si>
    <t xml:space="preserve">AI (low confidence), from Step 2 answer (Partially Answered) and BMRCL-02: I left the score blank. The evidence on BMRCL's side is missing, so a 0 would break the affirmative-absence rule.
City side, checked in BMRCL-02 (GBA Act 2024, Karnataka Act 36 of 2025, PRS copy, GBA era):
- s.14(4) gives the Greater Bengaluru Authority (GBA) power to integrate and supervise BMRCL by name and to issue directions to it that are binding.
- s.8(3) makes the GBA the coordinator among all agencies.
- s.15(1) makes the GBA responsible for mobility plans.
- Schedule I gives the City Corporations no metro function.
- s.112 treats urban transport as a State/Central function that a City Corporation 'may' take on only with approval.
Because the GBA has a supervision role in law, Scenario A is ruled out. Scenario C (partially devolved) is the nearest fit, and I agree with Step 2 on this.
Under C, the score depends on whether BMRCL's founding instrument states its role explicitly and without overlapping the GBA's. BMRCL is a Government Company (BMRCL-09) and has no statute of its own. Its Memorandum and Articles of Association (objects clause) are not in the Citation Sheet; I searched for them with search_citation_sheet and did not find them. The other sources do not fill the gap:
- BMRCL-09 (Annual Report FY2020-21, historical) only describes the company as promoted 'to implement the Metro Rail Project in the city of Bangalore', and its principal business as 'running &amp; maintenance of Metro Rail Facility in Bangalore'. That is a description in the accounts notes, not the founding instrument.
- BMRCL-04 (Metro Railways O&amp;M Act 2002, central) is a regulatory overlay. The notification extending it to Bengaluru is not in the sheet, and the Act does not set BMRCL's role against the city government's (ULG's).
- BMRCL-06 (Companies Act 2013) is general company law and defines no functions.
- BMRCL-08 (BMLTA Act) is a state transport authority law, not the parastatal's own instrument.
- BMRCL-03 (2025 Amendment Bill) leaves s.14(4) unchanged; whether it was enacted is not shown.
For a person to check:
1. Obtain BMRCL's Memorandum and Articles of Association.
2. Confirm Scenario C.
3. Decide how 'Parastatal Act' should apply to a company that has no statute: the MoA, the O&amp;M Act 2002, or both.
4. Decide whether GBA mobility planning and binding directions overlap with BMRCL's planning and operations.
The question's full Detailed Methodology text was not given to me. I have relied on the scenario framework as Step 2 reports it.
Quote: "Co-ordination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"Score" left blank: the Citation Sheet doesn't decide it.</t>
  </si>
  <si>
    <t xml:space="preserve">Section 14 (Functions of the Greater Bengaluru Authority); also s.8(3), s.14(2)(a), s.14(2)(c), s.15(1), s.9(3)(u), s.13(1)(e)</t>
  </si>
  <si>
    <t xml:space="preserve">s.14(4); s.14(2)(a)</t>
  </si>
  <si>
    <t xml:space="preserve">AI (low confidence), from Step 2 answer (Partially Answered) and BMRDA-10: I left the Score blank. A person needs to score this. Reasons: (1) The parastatal's own law is missing. The Citation Sheet has no primary text of the BMRDA Act, 1985 (Karnataka Act 39 of 1985), current or as enacted. Its s.9 functions appear only as reproduced in BMRDA's Annual Report 2022-23 (BMRDA-03, p.10, BBMP era) and on the BMRDA website (BMRDA-02, undated). I searched the sheet for 'Bangalore Metropolitan Region Development Authority Act 1985 section 9 functions' and found no primary or PRS copy. So I cannot check whether the Act carves the Greater Bengaluru Area out of BMRDA's jurisdiction, or whether it was amended after the GBA Act. Not found is not absent, so I cannot give the 0 that the overlap reading would suggest. (2) This task did not give me DPG1a's Detailed Methodology or its Scenario A/B/C bands. I cannot confirm how 'clear demarcation' versus 'overlap' maps to a score from 0 to 5 without guessing. RUBRIC-GAP / please confirm the rubric. What the ULG side shows (GBA Act 2024, Act 36 of 2025, PRS text, GBA era; effective date not verified): s.14(2)(a) makes GBA the 'Planning Authority' under the KTCP Act for the Greater Bengaluru Area, 'Notwithstanding anything contained in any other law'. s.14(2)(c) creates a Metropolitan Planning Committee for an area 'including but not limited to' the Greater Bengaluru Area. s.8(3) makes GBA 'coordinator among all the City Corporations and other agencies'. s.14(4) gives GBA binding supervision over listed public authorities plus 'such other bodies'; BMRDA is not named in that list. s.15(1) makes GBA responsible for master and mobility plans. BMRDA's Metropolitan Commissioner sits ex officio on GBA (s.9(3)(u)) and its Executive Committee (s.13(1)(e)). Taken together, this points to overlapping coordination and planning roles with no rule on which prevails. The Step 2 provisional reading (Scenario C with overlap, suggesting 0) is plausible but rests on secondary text of the BMRDA Act. Also: the website version of BMRDA s.9 still names the 'Corporation of the City of Bangalore', and no official source in the sheet shows a successor substituted. To score this, a person should: obtain the official current text of the BMRDA Act (and any BMRDA Rules or jurisdiction notification, and any post-2025 amendment); confirm DPG1a's scenario bands; then score.
Quote: "Co-ordination and Supervision of Public Authorities: Integrating and supervising the activities of public authorities like the Bangalore Development Authority, the Bengaluru Water Supply and Sewerage Board, Bangalore Metropolitan Transport Corporation, Bengaluru Solid Waste Management Corporation, Bengaluru Metro Rail Corporation Limited, the Bangalore Electricity Supply Company and such other bodies connected with municipal activities in the Greater Bengaluru Area"
"Score" left blank: the Citation Sheet doesn't decide it.</t>
  </si>
  <si>
    <t xml:space="preserve">AI: left for a person. The AI's quote couldn't be found word for word in SUDA-04, so its answer was discarded. AI comments: I have left the score blank because two things are missing. RUBRIC-GAP: the Detailed Methodology and the score bands for DPG1a were not in the task input. I cannot map the evidence to a number from 0 to 5 without them, and I will not take the rubric from Step 2's paraphrase of a 'scenario A/B/C' rule. The second gap is explained below.
I also re-checked Step 2. Its main limit was that the city government's Act was unreadable, and that limit is now partly fixed. SUDA-04, the GPMC Act as modified up to 30.11.2017, does give readable text on the Surat Municipal Corporation side:
(a) s.63(1) obligatory duties ('It shall be incumbent on the Corporation'). These include sewage collection and disposal (cl.3), drains and drainage works (cl.4), public streets (cl.18), municipal water works and a sufficient supply of water (cl.20), plans for economic development and social justice (cl.23A), and schemes entrusted by the State (cl.23B).
(b) s.66(8B), a discretionary duty ('may'): 'urban planning including town planning and regulation of land use'.
(c) Chapter XV, ss.253-268: building regulation through notices to the Commissioner and the Commissioner's permission and enforcement powers.
On SUDA's side, s.23(1) of the Gujarat Town Planning and Urban Development Act (GTPUD Act) is visible only as SUDA's own reproduction in Development Plan 2035, para 1.4.2 (SUDA-14, pp.27-28). It gives SUDA these functions across the whole urban development area, which includes the SMC area: TP schemes (i); controlling development (v); water supply, sewerage and other service works (vi); and to 'guide, direct and assist the local authority' (iv).
The draft General Development Control Regulations (SUDA-05) apply 'including Surat Municipal Corporation area'. Their permission form can be issued under either the GTPUD Act s.29/49 or the GPMC Act s.253/254. Read together, these sources point to overlapping planning, water, sewerage and building-permission functions over the same land. I found no explicit carve-out in the text I could read.
A 0 would need affirmative absence, and that is not met here. The GTPUD Act's own text (SUDA-01, pp.2-86) has no extractable text, so I could not check the definitions in s.2 (e.g. 'appropriate authority' or 'local authority'), s.22, s.23 or the permission sections for a SUDA/SMC demarcation. I also found no s.23(2) delegation notification for Surat in the sheet. This is a VERIFICATION-LIMIT, not a negative finding. The Gujarat Town Planning and Urban Development Rules, 1979 (SUDA-03) are procedural only, and the draft GDCR is undated.
For the team:
(1) Supply the DPG1a methodology and rubric.
(2) Supply a readable official copy of the GTPUD Act ss.2, 22, 23, 29 and 49, to check whether the local authority keeps planning or permission powers within its own limits.
(3) Confirm whether any s.23(2) delegation notification exists for Surat.
If the rubric scores 'overlap with no carve-out' as 0, the GPMC Act evidence above plus the DP 2035 reproduction of s.23(1) would support that, but only after point (2) is checked against the primary Act text.</t>
  </si>
  <si>
    <t xml:space="preserve">AI: left for a person. Step 2 found no evidence (Insufficient Evidence). Source needed: (1) The current amended text of the Gujarat municipal law governing Surat, especially the sections listing the corporation's obligatory and discretionary functions (for example, any power to run transport or a transport undertaking). This decides whether metro or mass transit is devolved (scenario A, B or C). (2) The full text of the Metro Railways (Construction of Works) Act 1978 and the Metro Railways (Operation &amp; Maintenance) Act 2002, with Rules, from an official source. (3) GMRC's Memorandum and Articles of Association, for its objects clause. (4) Any Gujarat Urban Development and Urban Housing Department order setting out the roles of GMRC and the city corporation for the Surat metro.</t>
  </si>
  <si>
    <t xml:space="preserve">Chapter I – Preliminary</t>
  </si>
  <si>
    <t xml:space="preserve">Section 2 (Definitions), clause (1a); read with clause (3) and clause (8a)</t>
  </si>
  <si>
    <t xml:space="preserve">s.2(1a), substituted by Karnataka Act 15 of 2010 w.e.f. 16.04.2010</t>
  </si>
  <si>
    <t xml:space="preserve">AI (medium confidence), from Step 2 answer (Answered — Verified Source) and BWSSB-02: Score: 2.5, the band for a jurisdiction defined only in general terms. 5 is ruled out because the Act has no boundary description, schedule or map. 0 is ruled out because a definition does exist. I was given the bands only through the Step 2 notes (5 / 2.5 / 0). The full question text and Detailed Methodology for DPG1b were not supplied, so a person should check the band against the rubric.
What the Act says (checked against BWSSB-02, the PRS copy of the BWSSB Act, 1964):
- s.2(1a) sets BWSSB's area by reference to another body: 'the area falling within the jurisdiction of the Bruhat Bangalore Mahanagara Palike' (BBMP), plus adjacent areas the State 'may, by notification, from time to time specify'.
- s.2(3) defines 'Bruhat Bangalore Mahanagara' as the area of the BBMP 'constituted under the Karnataka Municipal Corporations Act, 1976'.
- s.2(8a) says 'Mahanagara Palike' means the BBMP.
- Act 15 of 2010 s.31 replaced 'City of Bangalore' and 'Corporation' with the BBMP terms throughout the Act.
- No schedule or boundary description appears anywhere in the Act.
- The later amending Acts I read do not touch s.2: Act 5 of 2011, Act 28 of 2013 and Act 29 of 2021 deal only with s.72A and s.109A.
Why this is only general:
- The area depends on BBMP's jurisdiction and on State notifications.
- No s.2(1a) notification adding adjacent areas is in the Citation Sheet. A search across the sheet found none, and the '110 Village Connections' documents listed on BWSSB-38 were not shown to be such notifications.
Points for a person to check:
1. The reference to BBMP is out of date. The Greater Bengaluru Governance Act, 2024 (BWSSB-04, PRS copy) repeals the BBMP Act, 2020 (s.361) and reconstitutes the BBMP into City Corporations (s.7). No source in the sheet replaces the BWSSB Act's reference to BBMP with these successor bodies. The team should decide whether this makes the definition less definite. On the current evidence the band stays at 2.5.
2. Both Acts were read only in PRS secondary copies. The official gazette text should be confirmed.
3. The commencement date of the GBA Act is not established in the sheet.
Period: BWSSB Act as amended up to Act 29 of 2021 (amendments appended in the PRS copy). The definition dates from the BBMP era.
Quote: "(1a) ‘Bangalore Metropolitan Area’   means the area falling within the jurisdiction of the Bruhat Bangalore Mahanagara Palike and includes such other areas adjacent thereto as the State Government may, by notification, from time to time specify;"</t>
  </si>
  <si>
    <t xml:space="preserve">Section 3 (Establishment of Road Transport Corporations in the States)</t>
  </si>
  <si>
    <t xml:space="preserve">closing words of s.3, after clauses (a)-(c)</t>
  </si>
  <si>
    <t xml:space="preserve">3</t>
  </si>
  <si>
    <t xml:space="preserve">AI (low confidence), from Step 2 answer (Partially Answered) and BMTC-02: I left the Score blank because the source that decides it is not in the Citation Sheet. This is not a negative finding.
What the Act says: section 3 of the Road Transport Corporations Act, 1950 (BMTC-02) only lets the State set up a corporation 'for the whole or any part of the State', with the area left to a Gazette notification. The copy has no boundary description, schedule or map. The text runs to the amendment by Act 63 of 1982. The copy is hosted on the Telangana transport site; it is a central Act that applies in Karnataka.
Step 2 check: I agree with Step 2. Read on its own, the Act describes the area only in general terms, which would fit the 2.5 band that Step 2 describes. However, the Karnataka Gazette notification that set up BMTC under s.3 (and any later notification changing its area) is missing from the sheet. That notification may name a specific area, such as a district or city limits. The rubric, as Step 2 reports it, also asks reviewers to cross-check notifications. So I cannot confirm the band.
RUBRIC CONFIRMATION NEEDED: the question's own detailed methodology was not included in this task. I only have Step 2's summary of the bands. The team should check:
1. whether the 5 band is limited to the enabling Act's own text; if it is, the Act evidence points to 2.5;
2. what the 0 band requires.
What I read in addition to Step 2:
- BMTC-15 (BMTC Glance): operating statistics only; nothing on legal area or the notification.
- BMTC-20 (Rules and Regulations page): navigation and boilerplate only; no notification text.
- A sheet-wide search for the BMTC establishment notification, its area and its boundary found nothing for BMTC.
- Step 2 also reviewed the other relevant sources, and none of them sets BMTC's area:
  - BMTC-01 (official website): only a general description of serving urban, sub-urban and rural areas.
  - BMTC-04 (Greater Bengaluru Governance Act) and BMTC-06 (BMLTA Act): the Urban Mobility Region and its map in BMTC-06 belong to BMLTA, not BMTC.
  - BMTC-07 (Karnataka Town and Country Planning Act).
No Karnataka Rules under the Road Transport Corporations Act are in the sheet either.
ACTION: get the Karnataka Gazette notification establishing BMTC under s.3 (and any notifications changing its area), from the Transport Department or BMTC's RTI officer, then score.
Quote: "may, by notification in the Official Gazette, establish a Road Transport Corporation for the whole or any part of the State under such name as may be specified in the notification."
"Score" left blank: the Citation Sheet doesn't decide it.</t>
  </si>
  <si>
    <t xml:space="preserve">Chapter I – Preliminary (s.2 Definitions); Chapter II – The Bangalore Development Authority (s.3)</t>
  </si>
  <si>
    <t xml:space="preserve">Section 2(c), read with Section 3(1)</t>
  </si>
  <si>
    <t xml:space="preserve">s.2(c) 'Bangalore Metropolitan Area'; s.3(1) 'constitute for the Bangalore Metropolitan Area an Authority'</t>
  </si>
  <si>
    <t xml:space="preserve">AI (medium confidence), from Step 2 answer (Answered — Verified Source) and BDA-02: Score 2.5: the BDA Act defines BDA's area only in general terms. It does not describe a boundary itself. I checked the PRS copy of the BDA Act myself (BDA-02, amendments appended up to Act 42 of 2026). Section 3(1) says the Government 'shall, by notification, constitute for the Bangalore Metropolitan Area an Authority'. Section 2(c) defines that area by pointing to three things: the City of Bangalore under the 1949 Corporation Act, the areas where the 1945 Improvement Act applied, and 'such other areas adjacent to the aforesaid as the Government may from time to time by notification specify'. I read the Act's list of sections and searched the text. There is no Schedule that sets out the area. The only schedules I found are about officers (s.49) and the rateable-value schedule for each development scheme (s.18(1)(e)). The Act has no map or boundary description of its own. Maps appear only for individual schemes (ss.17 and 19). This matches the Step 2 answer: the area is defined in general terms and depends on notifications, which is the 2.5 band and not the 5 band. CHECK THE RUBRIC: the Detailed Methodology text for DPG1b was not in the material I was given. I took the bands (5 = schedule, boundary description or map in the enabling Act; 2.5 = notified or general area with no schedule) from the Step 2 answer. A reviewer should confirm 2.5 against the actual rubric. Other points to check: (1) The Act text is a PRS copy only, a secondary source. No official gazette copy is in the Citation Sheet. (2) The KTCP and certain other laws (Amendment) Bill, 2025 (BDA-05, as passed by the Assembly) would make BDA the planning authority for the 'Bengaluru Metropolitan Area ... excluding the Greater Bengaluru Area'. Nothing in the Citation Sheet shows that it was enacted or came into force. Its wording also depends on notifications and has no schedule, so it would not change the band. (3) s.2(c) and s.2(i) still name the 1949 City of Bangalore Act and the 'Corporation of the City of Bangalore'. No official source here shows the GBA or the City Corporations put in their place. (4) The s.2(c) notifications adding adjacent areas are not in the Citation Sheet. So BDA's current actual boundary cannot be stated from this sheet.
Quote: "(c) ‘Bangalore Metropolitan Area’ means the area comprising the City of Bangalore as defined in the City of Bangalore Municipal Corporation Act, 1949 (Mysore Act 69 of 1949), the areas where the City of Bangalore Improvement Act, 1945 (Mysore Act 5 of 1945) was immediately before the commencement  of this Act in force and such other areas adjacent to the aforesaid as the Government may from time to time by notification specify;"</t>
  </si>
  <si>
    <t xml:space="preserve">Section 1(2); read with s.2(1)(h), s.2(1)(ha), s.3(1), s.5(a)</t>
  </si>
  <si>
    <t xml:space="preserve">s.1(2) extent; s.2(1)(h) 'metropolitan area' (Art. 243P(c)); s.2(1)(ha) 'metropolitan city' = Bombay, Calcutta, Delhi, Madras</t>
  </si>
  <si>
    <t xml:space="preserve">5</t>
  </si>
  <si>
    <t xml:space="preserve">AI (low confidence), from Step 2 answer (Partially Answered) and BMRCL-04: Score left blank because the Citation Sheet does not contain the instrument that would decide between the 2.5 band and the 5 band. I agree with the Step 2 answer after checking it against the source. (1) BMRCL-04, the Metro Railways (O&amp;M) Act 2002 as amended by Act 34 of 2009 (w.e.f. 7-9-2009), describes its territory only in general terms. s.1(2) says it covers the NCR 'in the first instance' and 'such other metropolitan area' as the Centre extends it to by notification. s.2(1)(ha) limits 'metropolitan city' to Bombay, Calcutta, Delhi and Madras, so Bengaluru could only come in as a notified 'metropolitan area'. The Act has no schedule, boundary description or map. On its own, the Act fits the 'general terms' band. (2) The decisive layers are not in the Sheet. I searched for them ('Metro Railways Act extended to Bangalore metropolitan area notification'; 'BMRCL jurisdiction boundary area of operation Memorandum of Association objects') and found nothing. The missing items are: the Central Government notification extending the O&amp;M Act to Bengaluru, which may name a specific area; BMRCL's Memorandum and Articles of Association; any notification or alignment instrument under the Metro Railways (Construction of Works) Act 1978; and Rules or Regulations under the O&amp;M Act. The search only turned up the blank Table A model Memorandum in the Companies Act Schedule I (BMRCL-06), which is not BMRCL's own Memorandum. (3) The other sources set out scope or coordination, not BMRCL's boundary. BMRCL-09 (Annual Report FY2020-21, BBMP-era, historical) says only that BMRCL is to 'implement the Metro Rail Project in the city of Bangalore'. BMRCL-02 (GBA Act 2024) s.14(4) sets the area in which the Greater Bengaluru Authority coordinates public authorities including BMRCL, and s.13(1)(j) makes BMRCL's MD a member of the GBA Executive Committee. BMRCL-08 (BMLTA Act) s.3 sets BMLTA's mobility region, not BMRCL's. Not found is not absent, so 0 cannot be justified. The evidence also cannot rule out 5. A person should obtain and read the O&amp;M Act extension notification for Bengaluru and BMRCL's MoA/AoA. They should also confirm whether BMRCL counts as a Government or a non-Government metro railway under s.2(1)(f)/(l). Note: the full question text and methodology were not given in this task. The band reading (2.5 = general terms; 5 = specific boundary in a notification or instrument) is taken from the Step 2 answer, so a person should check it against the question bank.
Quote: "It extends in the first instance to the National Capital Region and the Central Government may, by notification, after consultation with the State Government, extend this Act to such other metropolitan area and metropolitan city, except the metropolitan city of Calcutta, and with effect from such date as may be specified in that notification and thereupon the provisions of this Act shall apply  to that metropolitan area or metropolitan city accordingly."
"Score" left blank: the Citation Sheet doesn't decide it.</t>
  </si>
  <si>
    <t xml:space="preserve">Bengaluru Metropolitan Region(BMR) is a statutory authority constituted on date 01-02-1986 under the provisions of the Bengaluru Metropolitan Region Development Authority Act 1985, for planning, coordinating and supervising the proper and orderly development of the areas within BMR. BMR comprises Bengaluru Urban District, Bengaluru Rural District &amp; Ramanagaram District. The total area Bengaluru Metropolitan Region is about 8005 Sq Kms.In the BMR the following authorities constituted for the respective local planning areas :</t>
  </si>
  <si>
    <t xml:space="preserve">BMRDA website, 'Local Planning Areas' page (undated; captured 2026)</t>
  </si>
  <si>
    <t xml:space="preserve">2(c), as substituted by Karnataka Act 8 of 2005 w.e.f. 23.03.2005</t>
  </si>
  <si>
    <t xml:space="preserve">AI (low confidence), from Step 2 answer (Partially Answered) and BMRDA-07: I left the score blank because the Citation Sheet does not hold the evidence this question needs. Step 2 also left it blank, and I agree after checking the sources myself.
What the rubric tests: whether the enabling Act defines the jurisdiction specifically, with a district list, schedule or map (5), or only in general terms such as 'as notified' (2.5). Answering that needs the text of the BMRDA Act, 1985 (Karnataka Act 39 of 1985), especially its definition of 'Bangalore Metropolitan Region' and any schedule, plus the jurisdiction notification.
Why that text is missing: the BMRDA website links to the Act ('act 1985 ka.pdf'), the 'Jurisdiction Notification' (noti.pdf) and the 'Jurisdiction Map' (2 a i.pdf). These links appear on BMRDA-05, BMRDA-07, BMRDA-13 and BMRDA-16. Only the link text was captured. None of these documents' contents is in the sheet.
What the sheet does show:
- BMRDA-07 (and the same page as BMRDA-12) and BMRDA-03 (Annual Report FY 2022-23, page 11) describe BMR as the three districts, about 8,005 sq km.
- These are secondary descriptions from the agency's own website and annual report. They cannot stand in for the Act's provision, and they do not show whether the boundary comes from the Act itself or from a later government notification.
Why I did not score 0: there is no affirmative absence. The Act and the notification exist but were not read, so this is 'not found', not 'absent'.
Sources I checked:
- BMRDA-07, BMRDA-13, BMRDA-16 (read directly).
- A search across the whole sheet for a definition of 'Bangalore Metropolitan Region'. It returned only BMRDA-11, BMRDA-03, BMRDA-05 and BMRDA-07, none with a definition.
- The BMLTA Act (BMRDA-11) covers a different body's region. The KTCP Act (BMRDA-08) covers local planning areas inside BMR. The GBA Act (BMRDA-10) does not define BMR. None of these is evidence for this question.
For a human scorer:
1. Open the BMRDA Act, 1985 PDF and noti.pdf from the official BMRDA site and check how the definition section (likely s.2) and any schedule set the boundary. Use the current amended text.
2. Check whether the district names and limits, including 'Ramanagaram' and any later renaming or change of boundary, still match the notified BMR.
Quote: "BMR comprises Bengaluru Urban District, Bengaluru Rural District &amp; Ramanagaram District. The total area Bengaluru Metropolitan Region is about 8005 Sq Kms."
"Score" left blank: the Citation Sheet doesn't decide it.</t>
  </si>
  <si>
    <t xml:space="preserve">Chapter 1 (1.4.1 Constitution of SUDA; 1.4.3 Jurisdiction of SUDA); Chapter 21.1 Exclusion of Villages</t>
  </si>
  <si>
    <t xml:space="preserve">Describes notifications under GTPUD Act 1976 s.22(1), (2), (2A) and (4)</t>
  </si>
  <si>
    <t xml:space="preserve">pp. 9-12 (PDF pp. 26-29); pp. 216-217 (PDF pp. 233-234)</t>
  </si>
  <si>
    <t xml:space="preserve">AI (low confidence), from Step 2 answer (Partially Answered) and SUDA-14: Score left blank. I could not decide the band from the Citation Sheet, and a person should score this.
1) What the sources show:
- The State Government set SUDA's area by notification under s.22 of the GTPUD Act 1976, not in the Act itself.
- SUDA-14 (DP 2035, 2017) says SUDA was constituted by notification GHB/23/UDA/1177/646(5)-Q2 dated 30.01.1978 under s.22(1), (2) and (4), covering SMC plus 148 villages (722 sq km).
- The area was then changed by later notifications: Delad village deleted (715 sq km); 100 villages added on 9.12.2015 and 18.12.2015 (1351 sq km); Khajod UDA carved out under s.22(2A) on 19.07.2016; 54 villages excluded on 24.10.2016; 7 more excluded on 03.11.2016. Table 153 gives 985.16 sq km.
- SUDA-05 (GDCR reg. 1.1.3) also refers to the area as 'notified under sub-section (2) of section 22' by notification 646(4) dated 31.01.1978.
2) Which band this probably fits:
- The evidence points to a notified area with no schedule in the Act. That looks like the lower (2.5) band the Step 2 answer describes, not the 5 band (schedule in the enabling Act).
- But the full DPG1b rubric text was not in my task input. The team also needs to decide whether a s.22 notification that lists villages counts as part of the 'enabling legal framework' for the 5 band. That is a RUBRIC-GAP / interpretation call for a human.
3) Why I cannot rule anything out:
- The text of GTPUD Act s.22 (SUDA-01, PRS copy) is a scan with no readable text for the principal Act (pp. 2-86). Only the amendment Acts of 2017 and 2019 can be read, and they do not deal with territory.
- So I cannot confirm that the Act has no schedule, or check the wording of s.22(1)/(2)/(2A).
- None of the notifications from 1978, 2015 or 2016 is in the Citation Sheet. They are known only from SUDA's own plan and regulations, which are secondary descriptions.
4) Other things to check:
- The two 1978 notifications have different numbers and dates (646(4) dated 31.01.1978 vs 646(5) dated 30.01.1978).
- The Asnabad village mismatch in the 24.10.2016 notification.
- No source dated after 2017 shows the current boundary.
Checked: SUDA-01 (s.22 searched; amendments read), SUDA-03, SUDA-04, SUDA-05 (reg. 1.1.3), SUDA-13, SUDA-14.
Quote: "The Government of Gujarat in Panchayats, Housing and Urban Development Department constituted the Surat Urban Development Authority vide Government notification number GHB/23/ UDA/1177/646(5)-Q2 dated January 30, 1978, in exercise of the powers conferred b y sub sections (1), (2) and (4) of section 22 of the Gujarat Town Planning and Urban Development Act 1976 for the development area consisting of Surat Municipal Corporation and 148 villages admeasuring 722 sq. km."
"Score" left blank: the Citation Sheet doesn't decide it.</t>
  </si>
  <si>
    <t xml:space="preserve">AI: left for a person. Step 2 found no evidence (Insufficient Evidence). Source needed: (a) The central gazette notification under the Metro Railways (Amendment) Act, 2009 that applies the Metro Railways Acts to Surat or declares the Surat metropolitan area, with its area description or schedule. (b) The full current text of the Metro Railways (Construction of Works) Act 1978, the O&amp;M Act 2002 and the Amendment Act 2009 (definitions and extent). (c) GMRC's Memorandum of Association (objects and area of operation). (d) The Gujarat municipal corporation Act provisions covering Surat. (e) Any GMRC website page or government notification setting out the current jurisdiction.</t>
  </si>
  <si>
    <t xml:space="preserve">Chapter II – Establishment of the Board</t>
  </si>
  <si>
    <t xml:space="preserve">Section 3 (Constitution and composition of the Board), read with s.6(1)(d)</t>
  </si>
  <si>
    <t xml:space="preserve">s.3(2), s.3(3)(a)-(c), s.3(5) (substituted by Act 15 of 2010 w.e.f. 16.04.2010)</t>
  </si>
  <si>
    <t xml:space="preserve">67</t>
  </si>
  <si>
    <t xml:space="preserve">AI (low confidence), from Step 2 answer (Partially Answered) and BWSSB-02: I left the score blank. The evidence rules out 5 but does not settle 2.5 versus 0, and a 0 needs affirmative absence that I cannot show.
WHAT THE ACT SAYS (BWSSB-02: BWSSB Act 1964, PRS copy, amended up to Act 29 of 2021; secondary source):
- s.3(2): the State Government appoints all 3-9 Board members.
- s.3(3): members are chosen by expertise (commerce/administration, engineering, accounts). No seat is reserved for the city government (ULG).
- s.3(5): anyone who is a member of any local authority is disqualified. That bars elected councillors and the Mayor.
- s.6(1)(d): a member can be removed for becoming, or seeking to become, a member of a local authority.
- So the 5-point band (elected ULG representatives with voting rights) cannot be met in law.
WHAT HAPPENED IN PRACTICE, 2016-17 ONLY (BWSSB-29, Annual Report pp.64-66, BBMP era, historical):
- The BBMP Commissioner (G. Kumar Naik, then N. Manjunath Prasad, both IAS) is listed as a Board member.
- From 27-08-2016, N. Manjunath Prasad, Commissioner, BBMP, is also listed as a 'Special/Permanent Invitee'.
- No councillor or Mayor is listed.
- The Commissioner is a state-appointed officer, not an elected representative. Whether his seat as member or invitee counts as 'ULG representation' for the 2.5 band is a question about how to apply the method. It needs team confirmation.
WHAT IS MISSING:
(a) A current (GBA-era) Board constitution notification or member list. BWSSB-01, -07 and -11 do not supply one in the sheet; my search for current members found nothing.
(b) The Rules made under s.4 (term and conditions) and the Board regulations. They are not in the sheet, so affirmative absence for a 0 cannot be shown.
(c) The ULG side. The GBA Act 2024 (BWSSB-04) shows no ULG seat on the BWSSB Board. The Second Amendment Bill (BWSSB-28) puts the BWSSB on the GBA's committee, which runs the other way, and it is only a Bill.
(d) The Act still names BBMP. No official source shows a GBA-era body substituted for it.
FOR THE TEAM: rule on whether a Commissioner (an officer) counts as ULG representation, and get the current Board composition, e.g. by RTI to the BWSSB Public Information Officer. Then score 2.5 or 0. 5 is excluded by s.3(5).
Quote: "(5) A person shall be disqualif ied for being appointed or being a member of the Board if he is a member of the Parliament or of any State Legislature or any local authority."
"Score" left blank: the Citation Sheet doesn't decide it.</t>
  </si>
  <si>
    <t xml:space="preserve">Road Transport Corporations Act, 1950, as amended (consolidated text in BMTC-02)</t>
  </si>
  <si>
    <t xml:space="preserve">Section 5(2) (read with s.5(4) and s.45(2)(a))</t>
  </si>
  <si>
    <t xml:space="preserve">s.5(2)</t>
  </si>
  <si>
    <t xml:space="preserve">AI (low confidence), from Step 2 answer (Partially Answered) and BMTC-02: Score left blank: absence of city-government representation on the BMTC board is not proven. The task gave no scoring bands for DPG2a, so no in-between score can be set. A 0 needs every layer checked, and two are missing.
What I checked:
(1) Road Transport Corporations Act, 1950 (BMTC-02), as amended. s.5(2): the State Government appoints the Chairman and 5-17 Directors 'as the State Government may think fit to appoint'. s.5(4): Rules 'shall provide' only for Central Government, State Government and shareholder representation. No seat is reserved for a local body. s.45(2)(a) leaves the make-up of the Board to Rules.
(2) BMTC Directors List (BMTC-09), undated (the 'Last Updated: 30-09-2026' footer covers the whole site). Of 11 members, 9 are labelled 'DIRECTOR (Official)': the Transport and Finance (Expenditure) Secretaries, the Managing Directors of KSRTC, BMTC, KKRTC and NWKRTC, BMTC's Directors of Security &amp; Vigilance and of IT, and a Ministry of Road Transport and Highways (MoRTH) Director. None is from the Greater Bengaluru Authority (GBA) or a City Corporation, and no mayor or councillor is listed. The page does not say who nominated the Chairman (V.S. Aaradhya) or the Vice-Chairman (M. Niketh Raj).
(3) Greater Bengaluru Governance Act (BMTC-04), GBA era. s.9(3)(i) makes BMTC's Managing Director a member of the GBA. That is the opposite direction to what the question asks. s.14(4) gives the GBA binding coordination and supervision powers over BMTC. Neither is a seat on BMTC's board.
(4) A search of the Citation Sheet found no text of the KSRTC Rules, 1961 or of any BMTC board-constitution rules. BMTC-20 lists them only as a link.
What a person needs to check:
(a) Read the KSRTC Rules, 1961 (and any BMTC-specific rules) on how the Board is made up, and BMTC's founding notification, for any seat or invitee for a local body.
(b) Get a dated board-appointment GO, showing who nominated the Chairman and Vice-Chairman.
(c) Confirm the DPG2a rubric bands. Everything seen so far points to a 0 (no representation), but it is not confirmed.
Quote: "(2) The Board shall consist of a Chairman and such other Directors, being not less than five and not more than seventeen, as the State Government may think fit to appoint."
"Score" left blank: the Citation Sheet doesn't decide it.</t>
  </si>
  <si>
    <t xml:space="preserve">Chapter II – Constitution of the Authority</t>
  </si>
  <si>
    <t xml:space="preserve">Section 3(3)(l), read with ss.3(3)(f), 3(6), 4(1)(f), 5(1) proviso, 8(4), 69(2)(b)</t>
  </si>
  <si>
    <t xml:space="preserve">s.3(3)(l) and its proviso</t>
  </si>
  <si>
    <t xml:space="preserve">AI (low confidence), from Step 2 answer (Partially Answered) and BDA-02: Score left blank. A person should score this question.
(1) The BDA Act on paper (BDA-02, PRS copy, amended up to Act 42 of 2026):
- s.3(3)(l) gives two seats to persons 'elected by the councillors of the Bangalore City Corporation from among themselves'.
- These are full members. s.8(4) says 'All questions… shall be decided by a majority of the votes of the members present and voting'. Nothing makes the councillor members non-voting or invitees. This settles caveat (c) from Step 2: they do vote.
- s.3(3)(f) gives a seat to the Corporation Commissioner. He sits ex officio as an official, not as an elected representative.
(2) Why I did not give a score:
- (a) The seats are tied to a body that no longer exists. s.3(3)(l) still names the 'Bangalore City Corporation'. The GBA Act, 2024 (BDA-03) repeals the BBMP Act (s.361). s.360 carries over only rules, notifications, orders and appointments. I found no clause, in BDA-03 or in any amending Act in BDA-02, that substitutes the GBA or its City Corporations for the 'Corporation' in BDA Act s.3. s.130(3) of the GBA Act redirects only references to the Mayor, and only while a City Corporation is dissolved. So no source shows which body, if any, now elects the two members.
- (b) The proviso to s.3(3)(l) matters. While the Corporation is superseded or under an Administrator, the seats go to officers nominated by the Administrator, not to elected councillors. GBA Act ss.130-131 provide for dissolution and an Administrator. Whether City Corporation councils are now elected is a fact about practice, and nothing in the Citation Sheet establishes it.
- (c) The Citation Sheet has no current BDA member list published by notification under s.3(6). Step 2 notes that the evidence requirement asks for the current board list.
- (d) This task did not give me the question's Detailed Methodology or its bands. I cannot tell which band would apply to 'seats provided in law for a predecessor body, filled now by nominated officials or not at all', as opposed to 'elected ULG representatives with full votes'. A 5 would rest on inference, and I have no affirmative basis for a lower band. RUBRIC-GAP / methodology not supplied.
(3) Other things I checked:
- GBA Act s.9(3)(g) and s.13(1)(d), plus BDA-13: the BDA Commissioner sits on GBA bodies. That is the opposite direction (parastatal on the ULG body) and does not answer this question.
- BDA-05: the KTCP amendment bill would take the Greater Bengaluru Area out of BDA's planning area. It does not change BDA's board.
- I found no BDA Rules under s.69(2)(b) on how councillors elect members.
(4) For the team to check:
- Whether any official instrument substitutes the GBA City Corporations into BDA Act s.3(3)(l).
- Whether City Corporation councils are currently elected.
- The current s.3(6) notification of BDA members.
- The scoring band for DPG2a.
Quote: "(l) two persons elected by the councillors of  the Bangalore  City Corporation from among themselves in the prescribed manner : 
 Provided that during the period of supersession of the Corporation or where any Administrator has been appointed, the two persons shall be nominated by the Administrator from among the  officers of the Corporations."
"Score" left blank: the Citation Sheet doesn't decide it.</t>
  </si>
  <si>
    <t xml:space="preserve">Board's Report – Corporate Governance Report (and 'Board of Directors' list at the front of the report)</t>
  </si>
  <si>
    <t xml:space="preserve">Board of Directors / Constitution of the Board / Composition of the Board</t>
  </si>
  <si>
    <t xml:space="preserve">Annual Report FY2020-21, printed pp.2 and 45-46 (PDF pp.4, 47-48)</t>
  </si>
  <si>
    <t xml:space="preserve">47</t>
  </si>
  <si>
    <t xml:space="preserve">AI (low confidence), from Step 2 answer (Partially Answered) and BMRCL-09: Score left blank. I agree with Step 2 that no score can be given, with one correction.
(1) What the source shows (FY2020-21, BBMP era):
- The Corporate Governance Report summarises the Articles of Association. The board is to be 'whole-time functional Directors or Part-time Directors nominated by the Promoter Government(s)'. The promoters are the Government of India (GoI) and the Government of Karnataka (GoK), at 50:50. Each nominates 5 directors.
- The 'Board of Directors' list at the front of the report gives a designation for every director. It names no BBMP official and no councillor.
- Correction to Step 2: Step 2 says some nominees' designations are missing. They are not. The front-of-report list shows M. Nagaraj as Director (Corporate Planning), HUDCO. The Finance &amp; Audit Committee list shows E. V. Ramana Reddy as Additional Chief Secretary to the Chief Minister, GoK.
- On this 2021 evidence the board had no city government (ULG) representation, voting or non-voting.
(2) Why I did not score 0. A 0 needs affirmative absence, and that is not met:
- (a) The Memorandum and Articles of Association themselves are not in the Citation Sheet. The Annual Report only describes them second-hand.
- (b) The board evidence dates from 2021, in the BBMP era. The city government has since been restructured into the GBA and its City Corporations under Karnataka Act 36 of 2025. There is no current, GBA-era board list.
(3) Other sources checked:
- BMRCL-02, the GBA Act: s.9(3)(j) and s.13(1)(j) put BMRCL's Managing Director on the GBA and its Executive Committee. That runs the other way: the parastatal sits on the ULG. It is not ULG representation on BMRCL's board, so it earns no credit here.
- BMRCL-03, the 2025 Amendment Bill: amends only ss.8(2) and 14(1). It says nothing about BMRCL's board.
- BMRCL-04 (Metro Railways O&amp;M Act), BMRCL-06 (Companies Act), BMRCL-08 (BMLTA Act): none of these sets a BMRCL board-composition clause. A sheet-wide search found no GBA or Corporation nominee on BMRCL's board.
(4) For the team:
- Get the current Articles of Association and the current list of directors, with each one's nominating authority. RTI to the BMRCL Company Secretary/PIO, or the latest Annual Report.
- If those confirm that only GoI/GoK nominees and functional directors sit on the board, with no GBA or City Corporation seat or invitee, a score of 0 would be justified.
Quote: "Both the Governments have the right to nominate five (5) Directors each on the Board of Directors. The Government of India ha s the righ t t o appoin t the p art-time non-Ex ecutive Chairman and the Government of Karnataka has the right to appoint the full-time Managing Director &amp; Chief Executive Officer of the Company."
"Score" left blank: the Citation Sheet doesn't decide it.</t>
  </si>
  <si>
    <t xml:space="preserve">Annual Report 2022-23, p.10</t>
  </si>
  <si>
    <t xml:space="preserve">Para 3: Composition of the Authority and its Executive Committee</t>
  </si>
  <si>
    <t xml:space="preserve">Summary of the BMRDA Act, 1985 composition provisions; the section numbers are not given in the report</t>
  </si>
  <si>
    <t xml:space="preserve">AI (low confidence), from Step 2 answer (Partially Answered) and BMRDA-03: I left the score blank because the evidence can't settle it. A person needs to score this question.
(1) The only description of BMRDA's board in the Citation Sheet is BMRDA-03, the FY 2022-23 Annual Report from the BBMP era. It only summarises the BMRDA Act, 1985.
- The governing Authority: the Act 'provides for nomination by the Government' of 'representatives of the Local Authorities from the Region'. The report doesn't say whether these nominees must be elected members of the city government, whether they vote, or whether the nomination is required ('shall') or optional ('may'). It also says these seats 'fell vacant since July 2005'.
- The 'Mayor of Bangalore' is listed only on the Executive Committee, not on the Authority. His voting rights are not stated.
(2) The Act's own composition section is not in the sheet. BMRDA-13 and BMRDA-05 only link to the 'Constitution of the Authority' page and to the Act 1985 and Regulations 1996/1999 PDFs; their text was not captured. So I can't confirm the exact wording or voting rights.
(3) City-government side, BMRDA-10 (Greater Bengaluru Governance Act): s.9(3)(u) and s.13(1)(e) put BMRDA's Metropolitan Commissioner on the Greater Bengaluru Authority (GBA) and its Executive Committee. That is the reverse direction from what this question asks. Nothing I read in BMRDA-10 puts GBA or City Corporation members on BMRDA's board. Nothing shows a successor to the 'Mayor of Bangalore' seat now that BBMP has been replaced.
(4) A score of 0 isn't possible. Absence isn't established, because the Act, its Regulations and a current member list weren't read. The 2005 vacancy is a fact about practice; it doesn't show the law lacks such seats.
The detailed methodology and its bands were not given to me with this task. So I also can't check which band an Executive Committee seat or a Government-nominated seat would fall into (RUBRIC-GAP until confirmed).
Please confirm:
(a) Does the Executive Committee count as the 'governing board'?
(b) Do the local-authority nominees under the BMRDA Act have to be elected city-government members, and do they vote?
(c) Has any GBA-era Mayor or official officially taken over the 'Mayor of Bangalore' seat?
Suggested RTI to BMRDA's PIO: the current members of the Authority and the Executive Committee, with their voting status.
Quote: "The Act also provides for nomination by the Government of individuals representing labour, women, scheduled castes, scheduled tribes, members of the State Legislature and representatives of the Local Authorities from the Region. Such representations fell vacant since July 2005 due to removal / resignation of the nominees."
"Score" left blank: the Citation Sheet doesn't decide it.</t>
  </si>
  <si>
    <t xml:space="preserve">Chapter 1, 1.4 Surat Urban Development Authority</t>
  </si>
  <si>
    <t xml:space="preserve">1.4.1 Constitution of SUDA, Table 4 (first Board, 1978) and Table 5 (Members of SUDA Board, 2016)</t>
  </si>
  <si>
    <t xml:space="preserve">pp. 26-27 of the PDF (plan pages 9-10)</t>
  </si>
  <si>
    <t xml:space="preserve">27</t>
  </si>
  <si>
    <t xml:space="preserve">AI (low confidence), from Step 2 answer (Partially Answered) and SUDA-14: Score left blank. The evidence points to the top band, but one input I would need, voting rights, is not shown by any source in the sheet. I could not see the full rubric, so I took its bands from the Step 2 note, which says the 5 band needs an elected city-government (SMC) representative WITH voting rights.
What the sources show:
(1) SUDA-14, SUDA's own Development Plan 2035, dated 2017. Table 5 lists the 2016 Board with 'Chairman, Standing Committee, SMC' as a 'Member'. 'Municipal Commissioner, SMC' and 'City Engineer, SMC' sit as 'Ex-Officio Member'. The first Board in 1978 (Table 4) also had the Standing Committee Chairman as a Member, appointed 'as per the provisions of section 22(4) of the Act'.
(2) SUDA-04, the GPMC Act 1949 as modified up to 30-11-2017, the city government's law. I checked that the Standing Committee Chairman is an elected councillor. Section 20(1): 'The Standing Committee shall consist of twelve councillors.' Section 20(2): the Corporation appoints them 'out of its own body'. Section 21(1): the members appoint one of themselves as Chairman. So the seat is held by an elected representative, which Step 2 had left unconfirmed.
What is still missing:
(a) Voting rights. SUDA-14 calls the seat 'Member', not invitee, but says nothing about votes. I searched for rules on meetings, quorum and voting at the authority. Nothing turned up in SUDA-03 (GTPUD Rules 1979), SUDA-01 or SUDA-05. The only voting rules found are for SMC's own committees in SUDA-04.
(b) The legal basis. In SUDA-01 (PRS copy of the GTPUD Act 1976), the main text including section 22(4) on board makeup is scanned with no readable text. Only the 2017 and 2019 amending Acts can be read, and neither touches board membership. The seat therefore rests on SUDA's own description, not on the statute.
(c) The current board. The latest list is from 2016. Under v2 it is only partial evidence of today's board.
A score of 0 is clearly ruled out, because the city government does sit on the board.
Human check needed:
- Read section 22(4) of the GTPUD Act 1976 as amended by Guj. 2 of 1999, from a readable official copy. If it names the Standing Committee Chairman (or another elected SMC representative) as a member, and nothing makes that seat non-voting, a score of 5 looks justified.
- Get the current SUDA board list.
- Note the context: SMC covers only part of SUDA's area, and the District Panchayat President also sits on the board.
Quote: "After the amendment in the Section 22 of the Act in 1999, the Municipal Commissioner was added as ex-officio member of the Urban Development Authority. The present board members of SUDA are shown in the Table below."
"Score" left blank: the Citation Sheet doesn't decide it.</t>
  </si>
  <si>
    <t xml:space="preserve">Chapter 8: Statement of the Board &amp; Subcommittees of the Board</t>
  </si>
  <si>
    <t xml:space="preserve">RTI Act 2005 s.4(1)(b) proactive disclosure (GMRC website), Chapter 8</t>
  </si>
  <si>
    <t xml:space="preserve">Board composition paragraph</t>
  </si>
  <si>
    <t xml:space="preserve">AI (low confidence), from Step 2 answer (Partially Answered) and GMRC-03: I left the Score blank. The sources point to a 0 (no representation for the city government on the board), but the rule for a 0 is not met yet.
What the sources show:
- GMRC-03 (Chapter 8) says the board has 13 directors: five nominated by the Government of India, five by the Government of Gujarat, and three functional directors.
- GMRC-04 is the board page, last updated 12-Oct-2026. I re-read it this session. Its directors are:
  - Government of India nominees: Secretary of the Union housing and urban affairs ministry (MoHUA), as Chairman; Joint Secretary &amp; Financial Adviser, MoHUA.
  - Government of Gujarat nominees: Additional Chief Secretary (Finance); Principal Secretary, Urban Development &amp; Urban Housing Department; MD of Gujarat Energy Ltd; GMRC's Managing Director.
  - Functional directors: Director (Project &amp; Planning) and Director (Finance).
  - No Surat Municipal Corporation (SMC) Mayor, councillor or Commissioner is listed.
- GMRC-05 (Annual Report 2024-25, Parts XII-XIII) and GMRC-06 (Annual Report 2023-24, Part 25) say the same, as Step 2 summarised.
- I searched all sources for 'Surat Municipal Commissioner director nominee board'. Nothing turned up that puts the city government on the board.
Why this is 'not found' rather than a confirmed 0:
- GMRC's Memorandum and Articles of Association are not in the Citation Sheet. They are the binding instrument for board composition, and GMRC-05 says the Articles allow up to 15 directors. The Articles could reserve a seat for the city government or let Gujarat nominate an SMC official.
- There are no board minutes or invitee lists, so I cannot rule out SMC attending as a special or permanent invitee, which would score in an invitee band if the rubric has one. GMRC-03 says board meetings are 'generally not accessible to the public'.
- The Gujarat municipal Act that governs SMC is not in the sheet. For a relationship question, that city-side law would also need to be read.
I agree with Step 2's 'not found'. The full question wording and Detailed Methodology were not in the task input, so I could not check the bands myself. I relied on Step 2's description: 0 for no representation, 2.5 for invitee status.
Other flags:
- The city government field is blank in the task input. SMC is identified only from GMRC-08 and GMRC-09. The team should confirm this from an official source.
- The Surat Phase-1 project is still under construction, so apply the PRE-OPERATIONAL flag.
To close the gap, an RTI request to GMRC's Public Information Officer (PIO) should ask for:
- a certified copy of the Articles of Association, specifically the clause on director composition;
- the list of permanent and special invitees to board meetings, FY 2024-25 to date.
If the Articles show no city-government seat and there are no SMC invitees, a person can then record 0.
Quote: "The board of directors of GMRCL consists of 13 directors, which include five nominees from the Government of India, five nominees from the Government of Gujarat Three functional directors."
"Score" left blank: the Citation Sheet doesn't decide it.</t>
  </si>
  <si>
    <t xml:space="preserve">Chapter III (Finance, Accounts and Audit); Chapter VI (Miscellaneous)</t>
  </si>
  <si>
    <t xml:space="preserve">BWSSB Act 1964 ss.14(5), 15(2), 17(1)-(5), 25(4)-(5), 86(1)-(3); GBA Act 2024 ss.14(4), 15(5), 19(1), 21, 22</t>
  </si>
  <si>
    <t xml:space="preserve">s.86(1)</t>
  </si>
  <si>
    <t xml:space="preserve">44</t>
  </si>
  <si>
    <t xml:space="preserve">AI (medium confidence), from Step 2 answer (Answered — Verified Source) and BWSSB-02: Score is 0 because both Acts send BWSSB's plans, budgets and reports only to the State, never to the city government. I checked the Step 2 answer against the sources and it holds.
BWSSB Act 1964 (BWSSB-02; PRS copy, amended up to Act 29 of 2021):
- Budget: s.17(1) says the annual financial statement goes 'to the State Government'. Under s.17(3) the State lays it before the State Legislature.
- Activities report: s.86(2) covers the past year and the activities planned for the next year. It goes to the State Government and is laid before the State Legislature.
- Annual report: under s.86(1) it goes to the State Government and is published in the Gazette.
- Statistics and scheme particulars: s.86(3) sends these to the State Government.
- Audited accounts: under s.25(4)-(5) they go to the State Government and the Legislature.
- Schemes: the s.15 proviso needs State approval only for schemes costing more than a crore. Nothing sends plans to the city government.
- Consultative Committee (s.14): it receives the budget statement (s.14(5)), but it is an advisory body of Board members plus State appointees. Bodies such as the BBMP are only consulted when those members are chosen. It is not the city government or its council.
Greater Bengaluru Governance Act 2024 (BWSSB-04, Act 36 of 2025):
- s.14(4) gives the GBA general power to supervise and direct BWSSB. s.15(5) lets the GBA give planning tasks to public authorities. Neither section requires BWSSB to submit or table plans, budgets or reports.
- s.19(1) lets 'the Government' (the State) call for periodic reports.
- ss.21-22 cover the GBA's own budget and annual report. s.22(2) sends them to the City Corporations, but this applies to the GBA itself, not to BWSSB, so it earns no credit.
- A sheet-wide search for any duty on a public authority to submit to the City Corporations or the GBA found nothing.
Score 0 = plans 0 + budgets 0 + reports 0, based on the affirmative absence set out above.
For the team to check:
1. The BWSSB Rules made under s.87 are not in the Citation Sheet. They set the form and date of the s.86 annual report (s.87(2)(g)). The BWSSB Regulations are not in the sheet either. Step 2 says the question's methodology limits review to the Parastatal Act and the Municipal Act. I could not see the methodology text myself, so please confirm this. If the Rules or Regulations are in scope, they need a check, and the score should be reviewed if they require copies to go to the GBA or the City Corporations.
2. s.14(1) of the BWSSB Act still names the BBMP. No source in the sheet shows a successor body substituted.
3. Both Acts are PRS secondary copies, not gazette texts.
Quote: "The Board shall, before such date and in such form as may be prescribed by rules, submit to the State Government an annual report upon such matters as may be prescribed by rules, and the State Government shall cause such report to be published in the official Gazette."</t>
  </si>
  <si>
    <t xml:space="preserve">Chapter IV – Finance, Accounts and Audit (Road Transport Corporations Act, 1950)</t>
  </si>
  <si>
    <t xml:space="preserve">Section 32(1); also s.35(1)-(3) (returns and annual report), s.33 (accounts and CAG audit), s.44(2)(i) and (l) (Rules prescribe the form and date of the budget and reports)</t>
  </si>
  <si>
    <t xml:space="preserve">s.32(1)</t>
  </si>
  <si>
    <t xml:space="preserve">22</t>
  </si>
  <si>
    <t xml:space="preserve">AI (low confidence), from Step 2 answer (Partially Answered) and BMTC-02: I left the score blank. Every provision I found points to 0 for all three parts (plans, budgets, reports), but I cannot prove the law is silent everywhere, so I did not enter 0. A person should score this once the missing Rules have been read.
What the sources say:
(1) Budgets: Road Transport Corporations Act s.32(1) says the budget goes 'to the State Government for approval'. Under s.32(2), money can only be spent against a budget the State has approved. The budget does not go to the GBA, a City Corporation or its council.
(2) Reports: under s.35(1), returns go to the State Government. Under s.35(2), the annual report on 'exercise and performance ... and on its policy and programme' goes 'to the Central and the State Governments'. Under s.35(3), the State lays it before the State Legislature. Under s.33, the accounts are audited by the CAG.
(3) Plans: no section requires plans to go to a city government. s.3A(2)(f) covers subsidiary corporations only, and their plans go to the parent Corporation and the State.
(4) City government side, GBA Act 2024 (BMTC-04):
- s.14(4) lets the GBA supervise and direct BMTC. Supervision is not a duty to submit documents.
- s.19(1) lets 'The Government' call for periodic reports from public authorities. That is the State, not the GBA or a City Corporation.
- s.21 and s.22(2) cover only the GBA's own budget and report, which go to the City Corporations.
- A search for public authorities submitting plans, budgets or reports to the GBA or a council found nothing.
I checked the Step 2 answer against these texts and it is correct.
Why not 0: under the v2 affirmative-absence rule, a 0 needs the Rules, regulations and notifications to have been read. BMTC-20 (BMTC's Rules and Regulations page) lists 'KSRTC Rules, 1961'. These are the Rules made under s.44 that set the form and date of the budget (s.44(2)(i)) and of returns and reports (s.44(2)(l)). Only the link appears in the Citation Sheet, not the text of the Rules. Also missing:
- BMTC's s.3 constitution notification;
- any BMTC-specific regulations on finance;
- any Rules under the GBA Act.
For the team to check:
(a) Does the Detailed Methodology limit scoring to the parent Act and the Municipal Act? If so, the evidence above gives 0+0+0 = 0/5. The methodology text was not reproduced in my input, only Step 2's paraphrase of it.
(b) BMTC's legal form. GBA Act s.14(4) calls it 'Bangalore Metropolitan Transport Corporation Limited' with a Memorandum of Association, which conflicts with it being a corporation under the 1950 Act.
(c) The GBA Act's effective date and era are not established in the sheet.
Period: Road Transport Corporations Act as amended up to Act 63 of 1982. GBA Act 2024 (Act 36 of 2025), PRS text, GBA era.
Quote: "32. Budget.—(1)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</si>
  <si>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Development Schemes; Finance, Accounts and Audit</t>
  </si>
  <si>
    <t xml:space="preserve">BDA Act 1976 s.17(2) and s.17(4) (plans); s.42–45 (budget); s.47(5) and s.47A (reports)</t>
  </si>
  <si>
    <t xml:space="preserve">s.17(2)</t>
  </si>
  <si>
    <t xml:space="preserve">AI (low confidence), from Step 2 answer (Partially Answered) and BDA-02: I left the score blank. One part needs a judgement call and the successor body is not shown in any source. The other two parts would be 0, but the absence of a requirement cannot be confirmed from the Citation Sheet.
(1) PLANS: I checked the Step 2 answer against BDA-02 and the source supports it. Under s.17(2), the development-scheme notification 'shall be sent to the Corporation', which may send a representation within 30 days. Under s.17(4), if it does not, its concurrence is 'deemed to have been given'. Under s.25(1), the Corporation 'shall be consulted' on further-development works inside City limits. This is a duty to send schemes to the city government for comment. It is not tabling before a council. Whether it earns the plans component (likely 1.67) needs a person's judgement. Two further issues:
- s.2(i) still defines 'Corporation' as the Corporation of the City of Bangalore. No source in the Sheet shows the GBA or the City Corporations put in its place.
- BDA-05 (KTCP amendment bill, as passed by the Assembly) removes the Greater Bengaluru Area from BDA's local planning area under s.81-B and s.81-G. BDA-03 s.14(2)(a) makes the GBA the 'Planning Authority' for that area. Neither source shows whether this is enacted and in force.
(2) BUDGETS: Under s.42–46, the estimate is laid before the Authority, approved by it and then submitted to 'the Government'. The Corporation is not mentioned. KTCP Act s.68B (BDA-06) sends the planning authority's budget to the State Government and the Board only.
(3) REPORTS: s.47(5) sends audited accounts and the auditor's report to the State Government and the Legislature. s.47A has the Authority submit reports to the State Government, laid before each House, 'in such form... as may be prescribed'. KTCP s.68C and s.68D send audited accounts and the annual report to the Government and Board only.
(4) ULG SIDE: I re-read BDA-03 (GBA Act 2024) s.14(3)–(4), s.15 and s.19–22.
- s.14(4) lets the GBA supervise BDA and issue binding directions.
- s.19(1) lets 'the Government' call for periodic reports from public authorities.
- s.22(2) requires the GBA's own report and budget to go to the City Corporations.
None of these requires BDA to submit its plans, budget or reports to the GBA or the City Corporations. I did not read the whole GBA Act or the amendment bills BDA-04 and BDA-13 line by line.
Why budgets and reports are not scored 0: s.47A and the KTCP sections leave the form and recipients of reports and budgets to rules ('as may be prescribed'). No BDA Rules, Regulations or notifications are in the Citation Sheet, so a 0 cannot rest on a full check of all instruments.
The likely outcome is 1.67 if the plans part is accepted and 'Corporation' is confirmed to cover today's city government. It would be 0 if the plans part is rejected and the Rules confirm nothing more.
FOR A PERSON TO CHECK:
(a) Does sending the scheme to the city government for comment, with deemed concurrence, count as 'plans submitted to the ULG'?
(b) Which official instrument makes the GBA or the City Corporations the successor to the 'Corporation'?
(c) Is the KTCP s.81-G amendment in force?
(d) Add the BDA Rules and Regulations to the Citation Sheet.
Period: BDA Act PRS copy, amended up to Act 42 of 2026 (s.17 and s.42–47A not recently amended); GBA Act 2024 (Act 36 of 2025), GBA era.
Quote: "A copy of the said notification shall be sent to the Corporation which shall, within thirty days from the date of  receipt thereof, forward to the Authority for transmission to the Government as hereinafter  provided, any representation which the Corporation may think fit to  make with regard to the scheme."
"Score" left blank: the Citation Sheet doesn't decide it.</t>
  </si>
  <si>
    <t xml:space="preserve">Section 19(1); also s.14(4), s.15(5), s.9(3)(j), s.21-22</t>
  </si>
  <si>
    <t xml:space="preserve">s.19(1) Power of supervision and to issue directions to authorities</t>
  </si>
  <si>
    <t xml:space="preserve">AI (low confidence), from Step 2 answer (Partially Answered) and BMRCL-02: I left the score blank. Nothing in the Citation Sheet requires BMRCL to submit or table its plans, budgets or annual reports before the ULG council (City Corporations / GBA), but I can't confirm that no such requirement exists. That is 'not found', not proven absence, so I can't give a 0.
What I checked:
(1) GBA Act, Karnataka Act 36 of 2025 (BMRCL-02), as enacted, GBA era.
- s.19(1): the 'Government', not the GBA or a council, may call for periodic reports from public authorities.
- s.14(4): the GBA may supervise BMRCL and issue binding directions, and public authorities 'shall cooperate'. It sets no duty to submit plans, budgets or reports. It also requires only BESCOM and BMTC, not BMRCL, to amend their Memorandum of Association.
- s.15(5): agencies must help the GBA when it asks. That is help on request, not tabling BMRCL's own plans.
- s.9(3)(j): BMRCL's MD is an ex-officio member of the GBA. Membership is not a submission requirement.
- s.21-22: these cover the GBA's own budget and annual report going to the Government and the City Corporations. That is the other direction.
(2) GBA (Amendment) Bill 2025 (BMRCL-03): it changes only s.8(2) and s.14(1).
(3) Companies Act 2013 (BMRCL-06): s.394 says the annual report is laid before Parliament and the State Legislature, and s.134 sends the Board's report to the general meeting. Under the methodology, reporting to Government or a Legislature doesn't count.
(4) Metro Railways (Operation and Maintenance) Act 2002 (BMRCL-04): it covers the Chief Commissioner of Railway Safety's report and returns of accidents to the Central Government. Nothing goes to a ULG.
(5) BMRCL Annual Report FY2020-21 (BMRCL-09): Board's Report and Corporate Governance section. Budget estimates go to the BMRCL Board, and the annual report goes to the shareholders (the Government of India and the Government of Karnataka) and to Parliament through the C&amp;AG and the Central Government. It shows no submission to the BBMP/ULG. It is also from FY2020-21, before the GBA era.
Why this can't be a 0:
- BMRCL-09 says BMRCL is governed by its Memorandum and Articles of Association, and these aren't in the Citation Sheet. The Metro Railways (Construction of Works) Act 1978, the Rules under the 2002 Act, the GBA Rules/Regulations and the GoI-GoK joint-venture GOs are also missing.
- I didn't read BMRCL-07 (Karnataka Town and Country Planning Act) or BMRCL-08 (BMLTA Act) in full for metro plan submission, but BMLTA is not a ULG council.
- The Step 2 answer agrees with the sources.
If the team gets these instruments and confirms there is nothing in them, a score of 0 looks likely. The team also needs to decide whether the GBA counts as the 'ULG/council' for this question, and to confirm that BMRCL qualifies as a parastatal, since it is a 50:50 GoI-GoK Government company.
Quote: "The Government shall be entitled to call for periodic reports from such Public Authorities, agencies and departments of the Government discharging municipal functions in the Greater Bengaluru Area"
"Score" left blank: the Citation Sheet doesn't decide it.</t>
  </si>
  <si>
    <t xml:space="preserve">Chapter III (Powers and Functions); Chapter IV (Finance, Accounts and Audit); Chapter V (Miscellaneous)</t>
  </si>
  <si>
    <t xml:space="preserve">Sections 9(1)(ii), 12, 13, 16(3), 19 and 31 (inserting Section 81-C into the Karnataka Town and Country Planning Act, 1961), BMRDA Act, 1985</t>
  </si>
  <si>
    <t xml:space="preserve">Section 12 (Budget); Section 13 (Annual report)</t>
  </si>
  <si>
    <t xml:space="preserve">12</t>
  </si>
  <si>
    <t xml:space="preserve">AI: left for a person. Step 2 found no evidence (Insufficient Evidence). Source needed: The full current text of the BMRDA Act, 1985 (Karnataka Act 39 of 1985), from the state legislation portal, the gazette or BMRDA's 'Acts and Rules' page: its structure-plan, budget, accounts and annual-report sections. Also any Rules made under it and the BMRDA Regulations 1996/1999/2000. These would show whether any of BMRDA's plans, budgets or reports must be submitted to the GBA, the City Corporations or a council, or only to the State Government.</t>
  </si>
  <si>
    <t xml:space="preserve">Chapter VI (finance, budget, accounts and reports)</t>
  </si>
  <si>
    <t xml:space="preserve">Rules 47 and 49, Gujarat Town Planning and Urban Development Rules, 1979</t>
  </si>
  <si>
    <t xml:space="preserve">r.47(1) and (4) budget and programme of work; r.49(1) annual report; r.49(3) half-yearly progress report</t>
  </si>
  <si>
    <t xml:space="preserve">20</t>
  </si>
  <si>
    <t xml:space="preserve">AI (low confidence), from Step 2 answer (Partially Answered) and SUDA-03: I left the score blank. Nothing found so far shows SUDA must submit or table its plans, budgets or annual reports before Surat Municipal Corporation (SMC) or its council. But a 0 needs proof that nothing exists anywhere, and the Citation Sheet does not give that proof.
What I checked:
(1) GTPUD Rules, 1979 (SUDA-03). These confirm the Step 2 reading. r.47(1): the authority 'shall submit to the State Government for approval' its annual Financial Statement and programme of work. r.47(4): a note on works goes to the State Government. r.49(1): the Annual Report goes to the State Government. r.49(3): a six-monthly progress report goes to the State Government. None of these mentions the local authority or the Corporation. Forms A and B (Rules 5 and 6) also show the draft development plan going to the State Government under s.9.
(2) GTPUD Act, 1976 (SUDA-01, PRS copy). I re-read it searching for ss.9, 16 and 94. Only the 2017 and 2019 amendment Acts can be read; the main Act text is still unreadable. The 2017 amendment lets the State Government delegate UDA powers to a local authority (s.23(2)). The 2019 amendment requires the development plan to include the spatial-planning proposals sanctioned under the Gujarat Metropolitan Planning Committees Act, 2008 (MPC Act) or the District Planning Committees Act. Neither is a duty to submit or table documents before the ULG.
(3) Gujarat Provincial Municipal Corporations Act, 1949 (SUDA-04, as modified up to 30-11-2017). Searches turned up only provisions on the Corporation's own budget and administration report (around pp.83-85). Nothing showed a UDA tabling documents before the Corporation, but the Act was not read in full.
(4) SUDA-14, SUDA-05 and SUDA-13. Searches found no duty to submit to SMC. SUDA-14 says SMC office-holders sit on SUDA's board. Board membership is not a submission duty, so I did not count it.
Why this is 'not found', not 0: the main text of the parent Act (ss.9-16 on development plans, s.94 onward on budget, accounts and reports) cannot be read. Also, the detailed methodology and rubric for DPG2b were not given in this task, so I could not check the bands against the 0-5 Max Score.
For a person to check: get a readable official copy of the GTPUD Act, 1976 (ss.9, 16, 94-97) and search the whole GPMC Act, 1949 for any provision on UDAs. If neither requires submission to SMC or its council, the evidence points to a total of 0 under the rubric's three components (plans, budgets, annual reports). Also confirm that the ULG is SMC; the task input did not name it.
Quote: "The appropriate authority shall within three months of the date of closing of each year submit Annual Report to the State Government."
"Score" left blank: the Citation Sheet doesn't decide it.</t>
  </si>
  <si>
    <t xml:space="preserve">AI: left for a person. Step 2 found no evidence (Insufficient Evidence). Source needed: Sources that would answer this: (a) GMRC's Memorandum and Articles of Association, current amended version, and the tripartite GoI-GoG-GMRC MoU for the Surat Metro, checking for any duty to share plans, budgets or reports with Surat's city government; (b) the full text of the Metro Railways (Construction of Works) Act 1978 and Metro Railways (O&amp;M) Act 2002 as amended, with any Gujarat notification applying them to Surat; (c) the Act governing Surat's city government (name to be confirmed from an official source), for any power to call for plans, budgets or reports from public bodies or companies working in the city; (d) any Gujarat Act or GO setting up a UMTA or metro coordination body in which the city government receives GMRC documents.</t>
  </si>
  <si>
    <t xml:space="preserve">ENTER A NUMBER 0 TO 10</t>
  </si>
  <si>
    <t xml:space="preserve">Press Release page (bwssb.karnataka.gov.in) – 'Water Related Press Release' table</t>
  </si>
  <si>
    <t xml:space="preserve">BWSSB official website homepage (bwssb.karnataka.gov.in/english): 'Latest News' / 'News and Events' list and footer</t>
  </si>
  <si>
    <t xml:space="preserve">Latest News item 5 ('3 days ago'); footer 'Content Owned and maintained by: Bengaluru Water Supply and Sewerage Board'</t>
  </si>
  <si>
    <t xml:space="preserve">AI (medium confidence), from Step 2 answer (Answered — Verified Source) and BWSSB-01: I propose a score of 10. A reviewer needs to confirm it against the DPG4 rubric, because the Detailed Methodology text was not in my task input. I used the band description Step 2 recorded: score 10 means the website exists, is accessible, has been updated within the last 12 months and works.
I checked each part against the saved pages:
(1) Existence and official status: the site is on bwssb.karnataka.gov.in, a *.gov.in domain. Per BWSSB-01, its footer reads 'Content Owned and maintained by: Bengaluru Water Supply and Sewerage Board' and says it is hosted by the Centre for e-governance, Karnataka, © 2026.
(2) Accessibility: the homepage and several inner pages have readable saved text. These are BWSSB-07 (About), BWSSB-13 (Our Services), BWSSB-25 (Press Release) and BWSSB-30 (Vision and Mission). The site has English (/en) and Kannada (/kn) versions.
(3) Currency: BWSSB-25 lists 'Water Shutdown on 31-07-2026.' dated 27.07.2026 and 'Water Shutdown on 22-07-2026.' dated 20.07.2026. The homepage Latest News also shows 'Deployment of Officers/Employees after Re-Organisation 2026' (2 weeks ago) and Direct Recruitment-2025 document-verification lists (3 days ago). That is dated content within 12 months.
(4) Functionality: the pages loaded. I did not test individual links or the outside portals (JALAMITHRA, bwsajala, kaveri on wheels).
Things a reviewer should check:
(a) The footer's 'Last Updated:' field is blank, so the currency finding rests on dated content, not a site update stamp.
(b) The Citation Sheet does not record the date the pages were captured. Late July 2026 is inferred from the 27.07.2026 press release and the relative 'days ago' labels. Record the exact date of verification and keep a dated screenshot or archive copy.
(c) Much of the Press Release page is old (2021–2023 entries), but recent entries also appear.
(d) If the actual DPG4 rubric needs more than existence, accessibility, currency and functionality (for example a specific list of disclosures), re-score against it.
Quote: "Water Shutdown on 22-07-2026."</t>
  </si>
  <si>
    <t xml:space="preserve">BMTC Tenders page (mybmtc.karnataka.gov.in), tender list and page footer</t>
  </si>
  <si>
    <t xml:space="preserve">Latest dated tender entry; footer 'Last Updated: 30-09-2026'; footer 'Content Owned and maintained by: Bengaluru Metropolitan Transport Corporation, Government of Karnataka'</t>
  </si>
  <si>
    <t xml:space="preserve">Footer: 'Last Updated: 30-09-2026'; 'Content Owned and maintained by: Bengaluru Metropolitan Transport Corporation, Government of Karnataka'</t>
  </si>
  <si>
    <t xml:space="preserve">AI (medium confidence), from Step 2 answer (Answered — Verified Source) and BMTC-10: Score is 10 because the source supports all four parts of the score-10 band described in the Step 2 answer. (1) Existence: BMTC has its own official website. The BMTC-10 footer reads 'Content Owned and maintained by: Bengaluru Metropolitan Transport Corporation, Government of Karnataka' and 'Designed , Developed &amp; Hosted by: Centre for e-governance - Webportal karnataka government'. The site is on a karnataka.gov.in subdomain. (2) Accessibility: the saved copy is the full, readable page body, including navigation and the tender list. (3) Currency: there are dated tender and EOI notices every month from about Oct 2025 to Sep 2026. The latest is 'TENDER NOTIFICATION NO: 24/2026-27 ... 23/09/2026', and the footer says 'Last Updated: 30-09-2026'. This is within 12 months of the Sept 2026 assessment. (4) Functionality: the page links to working service pages (RTI, Online RTI, feedback, employee and department logins, sitemap). I checked these points against BMTC-10 myself, so I am not just copying Step 2.
Points for the person checking:
(a) My input did not include the Detailed Methodology or rubric text for DPG4. I relied on the score-10 band criteria as Step 2 describes them (existence, accessibility, currency within 12 months, functionality). Please confirm against the question bank that this band equals the Max Score of 10.
(b) The Citation Sheet does not record the exact date of the check, and there is no dated screenshot or archive capture, which the question bank asks for. The check can only be dated as on or after 30-09-2026, from page content. The reviewer should capture a dated screenshot.
(c) The KarnatakaOne portal (BMTC-30) links to www.mybmtc.com rather than mybmtc.karnataka.gov.in. Please confirm which is the current canonical address.
(d) The Press Releases page (BMTC-28) is stale, with the latest entries from Nov 2022. This matters for DPG5, not for this band.
(e) Some tender PDF links are badly formed, e.g. a doubled 'mybmtc.karnataka.gov.in/mybmtc.karnataka.gov.in/' path. The linked PDFs were not tested one by one. That is a VERIFICATION-LIMIT on whether documents open, not a negative finding.
Quote: "TENDER NOTIFICATION NO: 24/2026-27 (e-Procurement Platform): 23/09/2026"</t>
  </si>
  <si>
    <t xml:space="preserve">AI: left for a person. Step 2 found no evidence (Insufficient Evidence). Source needed: A saved, readable copy of BDA's official website home page, plus its notices or circulars page. It should be fetched on a recorded date, with proof that the domain is official (for example a link to it from a Karnataka gov.in page or the Urban Development Department). It needs to show at least one dated notice, circular or 'last updated' date within the 12 months before the check, plus a dated screenshot or web-archive capture.</t>
  </si>
  <si>
    <t xml:space="preserve">Board's Report; Corporate Governance Report</t>
  </si>
  <si>
    <t xml:space="preserve">Board's Report: 'Risk Management/Fraud Prevention Policy/Whistle Blower Policy', 'BMRC Newsletter', 'Fraud Reporting &amp; Vigil Mechanism'; Corporate Governance Report item 7 'Company's Website'</t>
  </si>
  <si>
    <t xml:space="preserve">PDF pp.40, 42, 55-56 (printed pp.38, 40, 53-54)</t>
  </si>
  <si>
    <t xml:space="preserve">42</t>
  </si>
  <si>
    <t xml:space="preserve">AI (low confidence), from Step 2 answer (Partially Answered) and BMRCL-09: SCORE-BLANK because of a VERIFICATION-LIMIT. A 0 would need affirmative absence, and there is none. I agree with the Step 2 answer after checking the source. BMRCL-09 is BMRCL's Annual Report for FY 2020-21, the company describing itself. It names an official website (www.bmrc.co.in) and says the site carries the Whistle Blower and Fraud Prevention Policies, the monthly 'BMRC Newsletter', the annual return, RTI PIO and appellate details, and all tenders (p.56). It also says the site is 'continuously updated'. So the website existed in 2021, which rules out the 0 band ('no official website found'). The 10 band needs a site that opens without error now and has content dated within the last 12 months. The Citation Sheet has no fetched copy, screenshot or dated capture of BMRCL's own website, so neither condition can be checked. A 2021 self-description is too old to show the site's current state. BMRCL-33 is a CPPP eProcurement page (etenders.gov.in) captured with an on-page date of 12-Oct-2026. It shows BMRCL tender 2025_BMRCL_222481_1, published 04-Jan-2025. That is a government portal, not BMRCL's own site, so it earns no DPG4 credit. I searched the sheet for 'bmrc.co.in website updated' and found nothing beyond BMRCL-09. BMRCL-02, -03, -04, -06, -07, -08 and -32 are laws, a bill or a policy, and say nothing about whether the website works. The URL appears only as text in the annual report and was never returned as a fetched page, so it is not reported as a verified URL. ACTION FOR REVIEWER: open BMRCL's official website (the annual report is the proof it is official), note the date of the check, confirm it loads without error, find dated content (notices, tenders, circulars) from the last 12 months, and capture a dated screenshot. Then score 10 if both conditions hold. If the site opens but nothing current can be found, leave the score blank (RUBRIC-GAP) rather than make up an in-between band. The full DPG4 band text was not in the task input. The bands used here (10 = live and updated within 12 months; 0 = no official website) come from the Step 2 answer, so please confirm them against the question bank.
Quote: "Your Directors have approved the BMRCL Fraud Prevention Policy and BMRCL Whistle Blower Policy which are available on the Company’s official website www.bmrc.co.in."
"Score" left blank: the Citation Sheet doesn't decide it.</t>
  </si>
  <si>
    <t xml:space="preserve">Home page – 'Department Documents' &gt; Acts and Rules</t>
  </si>
  <si>
    <t xml:space="preserve">Home page (English), https://bmrda.karnataka.gov.in/english</t>
  </si>
  <si>
    <t xml:space="preserve">Department Documents list; also the 'News and Events' / 'Latest News' boxes and 'Notifications &gt; CA Site Paper Notifications'</t>
  </si>
  <si>
    <r>
      <rPr>
        <sz val="11"/>
        <color theme="1"/>
        <rFont val="Calibri"/>
        <family val="2"/>
        <charset val="1"/>
      </rPr>
      <t xml:space="preserve">AI (medium confidence), from Step 2 answer (Answered — Verified Source) and BMRDA-05: I scored 10. I checked the source myself instead of copying the Step 2 answer. The question's Detailed Methodology text was not in my task input, so I took the bands from the Step 2 answer. On that reading, 10 points needs three things: an official website exists, it opens without error, and it has content updated within the last 12 months. A person should check this against the question bank. What the sources show: (1) The site exists: BMRDA-05 is bmrda.karnataka.gov.in, a Government of Karnataka .gov.in domain (allowed domain A). Its footer reads 'Content Owned and maintained by: Bengaluru Metropolitan Region Development Authority(BMRDA), Government of Karnataka'. (2) It opens: the English home page (BMRDA-05) and the Kannada home page (BMRDA-01) both came back as full, readable pages with working menus. The Citation Sheet also holds inner pages BMRDA-07, -16, -17 and -18. (3) It is current: the 'Department Documents' list includes a Rules instrument dated 2026 (the quote above). The 'News and Events' box lists 'CA Site Paper Notification – 2 months ago'. The CA notice PDFs have filenames dated 29-07-2026 and 30-07-2026, in both the English and Kannada versions. The upload IDs embedded in the filenames are consistent with mid-to-late 2026 uploads, including 'Proposed Draft Mobility Plan' files. The gallery shows 'INDEPENDENCE DAY 2025'. The footer reads © 2026. I read BMRDA-01 to confirm: it shows the same '2 months ago' CA item and the same 2026 Rules. Caveats: the footer's 'Last Updated' field (Kannada page: '</t>
    </r>
    <r>
      <rPr>
        <sz val="11"/>
        <color theme="1"/>
        <rFont val="Noto Sans"/>
        <family val="2"/>
      </rPr>
      <t xml:space="preserve">ಇತ್ತೀಚಿನ ನವೀಕರಣ</t>
    </r>
    <r>
      <rPr>
        <sz val="11"/>
        <color theme="1"/>
        <rFont val="Calibri"/>
        <family val="2"/>
        <charset val="1"/>
      </rPr>
      <t xml:space="preserve">:') is blank, so currency rests on dated content, not a site-wide update stamp. The July 2026 dates come from filenames, not dated text on the page. 'Two months ago' is relative to a capture date that the Citation Sheet does not record. Some linked documents are older (Citizen Charter 2020-21, RTI 4(1)(b) 2019-20, Annual Report 2023-24). On the rubric as described, that does not change the band. Checks for a person: (a) record the verification date and take a dated screenshot, as the question bank's evidence rule requires; (b) confirm the DPG4 bands; (c) the team's scope note says BMRDA's place in the parastatal register is still under review. That is a scope question and does not affect this rubric.
Quote: "The Karnataka Planning Authorities (Allotment of Civic Amenity Sites within the Bengaluru Metropolitan Region) Rules, 2026."</t>
    </r>
  </si>
  <si>
    <t xml:space="preserve">AI: left for a person. Step 2 found no evidence (Insufficient Evidence). Source needed: Needed: (1) a dated, saved copy of SUDA's official homepage, ideally with a screenshot or web-archive capture, showing that it opens without error; (2) dated content from the last 12 months, such as a notice, circular, tender or 'last updated' stamp; (3) proof the domain is official, e.g. a link to SUDA's website from a Gujarat Urban Development &amp; Urban Housing Department page or another gov.in/nic.in page, or an official instrument naming the domain.</t>
  </si>
  <si>
    <t xml:space="preserve">Tenders page (gujaratmetrorail.com/tenders/)</t>
  </si>
  <si>
    <t xml:space="preserve">Tender listing, first entry; page footer</t>
  </si>
  <si>
    <t xml:space="preserve">Document sale 12/10/2026 to 03/11/2026; footer 'Last Updated on : 12-Oct-2026 @ 6:16 PM'</t>
  </si>
  <si>
    <t xml:space="preserve">AI (medium confidence), from Step 2 answer (Answered — Verified Source) and GMRC-12: Proposed score: 10. The saved copy of GMRC's own website is active, opens with the full page text, and has content dated within the last 12 months. I checked this myself rather than taking the Step 2 answer on trust. (1) GMRC-12, Tenders page: the first entry is GeM bid GEM/2026/B/8141296, with document sale running 12/10/2026 to 03/11/2026. NIT GMRC/CONS/STNS+VDCT-5/2026, -6/2026 and -7/2026 have sale dates from 07/10/2026, and the -5 and -6 NIT PDFs are filed under /uploads/2026/10/. The page also lists Surat Metro Phase-1 tenders: the multi-modal integration works tender (GMRC/MMI-2/SURAT/PH-1/2026, 15/05/2026, with addenda up to 30/07/2026), the in-building mobile coverage tender (IBS/SURAT, 11/02/2026), the AFC consultant tender (07/03/2026) and the Surat office facility-management tender (29/04/2026). The footer reads 'Last Updated on : 12-Oct-2026 @ 6:16 PM'. (2) GMRC-02, home page: the page text loaded in full. It has a 'Surat Phase-1' project block (38 stations, 40.35 km) with links to tenders, RTI, Reports and Feedback/Grievance, and press notes and timetables from May and July 2026. It also links to gujaratindia.gov.in and mohua.gov.in. That only shows GMRC links out to government sites; it is not a government page vouching for GMRC's domain. So the Step 2 answer holds: the site exists, is accessible, is current, and appears to work. Points for a person to check: (a) My task input did not include the full text of question DPG4, its Detailed Methodology or the scorer notes. I used the bands set out in the Step 2 notes (existence, accessibility, currency, functionality = band 10). Please confirm DPG4's rubric gives 10 for this. If it does not, treat this as a RUBRIC-GAP. (b) Under source rule B, the domain should be shown to be GMRC's by a link from a gov.in/nic.in page or by naming in an Act or GO. The Citation Sheet has neither. It rests on the site footer and GMRC's own 14th Annual Report (GMRC-06, p.68). The team should add such a link. (c) The question bank asks for a dated screenshot or web-archive capture, and the sheet has none. The saved copies show only that the check was on or after 12-Oct-2026. The reviewer should record the date of check and capture a screenshot. (d) I did not re-test each document link, so the functionality check is only partial.
Quote: "GEM/2026/B/8141296Hiring / Rental of Truck-Mounted Man Lift (Cherry Picker) for the period of Five Years"</t>
  </si>
  <si>
    <t xml:space="preserve">ENTER A NUMBER 0 TO 1</t>
  </si>
  <si>
    <t xml:space="preserve">AI: left for a person. Step 2 found no evidence (Insufficient Evidence). Source needed: Dated saved copies of: (a) the BWSSB budget page linked from the official site's Accounts menu, and (b) the RTI s.4(1)(b)(x) budget file, plus any FY 2025-26 or FY 2026-27 Annual Financial Statement or budget document from BWSSB, or as laid in the Karnataka Legislature. For each, record the FY covered and the actual file type (XLSX/CSV/structured HTML vs text PDF vs scanned PDF), and capture a dated screenshot.</t>
  </si>
  <si>
    <t xml:space="preserve">AI: left for a person. Step 2 found no evidence (Insufficient Evidence). Source needed: A BMTC budget estimate (Budget Estimates / Revised Estimates) for FY 2026-27 or FY 2025-26 on the BMTC website or a Karnataka government site, with its file format recorded. Places to look: BMTC's 'More about BMTC' and Annual Administrative Report pages, its RTI Act s.4(1)(b) proactive disclosure (budget allocated to each agency), or Transport Department documents laid before the Karnataka Legislature.</t>
  </si>
  <si>
    <t xml:space="preserve">AI: left for a person. Step 2 found no evidence (Insufficient Evidence). Source needed: BDA's budget (annual estimate of income and expenditure) for FY 2026-27 or FY 2025-26, from BDA's official website or an official Karnataka government page, saved with the date it was accessed. The saved copy must show the file format (XLS/XLSX/CSV/structured HTML, text PDF or scanned PDF) so the format component can be judged. Other possible sources: BDA Board meeting proceedings approving the estimate under s.43, or the Government's sanction order under s.44, if published online.</t>
  </si>
  <si>
    <t xml:space="preserve">AI: left for a person. Step 2 found no evidence (Insufficient Evidence). Source needed: Needed: (1) BMRCL's own budget for FY 2026-27 or FY 2025-26 as published online (BE/RE for project and O&amp;M), saved with the date of access and its file type (XLS/CSV/structured HTML vs text PDF vs scanned PDF); or (2) a Karnataka state budget or Demand-for-Grants document, or a GoI MoHUA document, showing BMRCL's budget for those years; and (3) a dated capture of BMRCL's official website finance or annual-report pages, to confirm whether a budget is or is not published.</t>
  </si>
  <si>
    <t xml:space="preserve">AI: left for a person. Step 2 found no evidence (Insufficient Evidence). Source needed: A saved, dated copy of BMRDA's 'Budget' page and the budget document(s) it links to (BMRDA budget estimates for FY 2026-27 or FY 2025-26). This should record the FY covered and the file type (XLS/XLSX/CSV/structured HTML vs text PDF vs scanned PDF). Failing that, the Authority's approved budget for those years as forwarded to the State Government / UDD.</t>
  </si>
  <si>
    <t xml:space="preserve">AI: left for a person. Step 2 found no evidence (Insufficient Evidence). Source needed: SUDA's budget (annual financial statement / budget estimates) for FY 2025-26 or 2026-27, as published on SUDA's official website (domain proven official) or on a Gujarat government portal (gov.in / nic.in), with the file type recorded (XLS/CSV/structured HTML vs text PDF vs scanned PDF). A dated capture of SUDA's website budget or finance and RTI proactive-disclosure pages would show whether it exists and how current it is. If nothing is published, a dated, documented search of those pages is needed before a 0 can be given.</t>
  </si>
  <si>
    <t xml:space="preserve">AI: left for a person. Step 2 found no evidence (Insufficient Evidence). Source needed: GMRC's approved annual budget (Budget Estimates / Revised Estimates) for FY 2026-27 or FY 2025-26, published on GMRC's official website or a Government of Gujarat / GoI portal (e.g. the Gujarat budget publications showing GMRC's equity, subordinate-debt and loan allocations), with its file format noted. Alternatively, the full GMRC website sitemap or finance pages and the linked 'Budget Allocation &amp; Expenditure' PDF, to establish whether any annual budget is published and in what format.</t>
  </si>
  <si>
    <t xml:space="preserve">AI: left for a person. Step 2 found no evidence (Insufficient Evidence). Source needed: Either (a) a saved, dated copy of the BWSSB website page that publishes its audited annual accounts or audit report (for example the Financial Advisor and Chief Accountant / finance section), showing the latest FY and the file format; or (b) the audited BWSSB accounts and audit report laid before the Karnataka Legislature under s.25(5)(a), from the Legislature's papers-laid pages, with FY and format recorded. The BWSSB regulations on publishing accounts under s.25(5)(b) would also help.</t>
  </si>
  <si>
    <t xml:space="preserve">Recent Updates</t>
  </si>
  <si>
    <t xml:space="preserve">BMTC English homepage, 'Recent Updates' block (link to storage/pdf-files/bs-eng.pdf)</t>
  </si>
  <si>
    <t xml:space="preserve">Link to storage/pdf-files/bs-eng.pdf</t>
  </si>
  <si>
    <t xml:space="preserve">AI (low confidence), from Step 2 answer (Partially Answered) and BMTC-01: I left the score blank. The Citation Sheet does not show that newer accounts are absent, so I cannot give a 0, and it does not show anything that would earn credit either.
What the sheet shows: the BMTC homepage (BMTC-01, footer 'Last Updated: 30-09-2026') links to a PDF titled 'Balance Sheet and Profit and Loss Account for the Year ended 31st March 2020'. That covers FY 2019-20, which is well outside the assessment window (FY 2025-26, or FY 2024-25 with the one-year lag). The Kannada homepage (BMTC-12) has the matching link. The source supports the Step 2 answer.
Why I did not score:
(1) Currency. The same 'Recent Updates' block links to an 'Annual Administrative Report' page (/80/annual-administrative-report/en). That page is not in the Citation Sheet, so I cannot rule out newer accounts posted there. BMTC-14 (Performance Indicator page) lists 'Performance Indicators from 2018-19 to 2025-26 (Estimated)', with a 'Financial Performance' PDF link. That is a performance-indicator file with estimated figures, not audited annual accounts, and the PDF was not saved, so it cannot earn credit. A person should still open it.
(2) Audited status. The FY 2019-20 link title does not say 'audited', and the PDF itself was not opened.
(3) Format. The only accounts file seen is a PDF. Whether it is scanned or has text that can be extracted is unknown. No XLS, CSV or structured HTML version appears in the sheet.
What I checked: BMTC-01, BMTC-12, BMTC-14 and BMTC-15. I also ran a search across the whole sheet for 'annual accounts balance sheet audited annual report'. The only hits apart from BMTC-01 were law provisions: BMTC-02 (RTC Act s.33, which requires accounts and a CAG audit but says nothing about publishing them online), BMTC-04 and BMTC-06. Those govern accounts duties, not BMTC's online disclosure.
This is a VERIFICATION-LIMIT: the bs-eng.pdf file, the Annual Administrative Report page and the Financial Performance PDF are all not in the sheet.
For the human scorer:
- Open /80/annual-administrative-report/en and bs-eng.pdf.
- Check whether any audited accounts for FY 2024-25 or FY 2025-26 are posted, and what format they are in.
- If FY 2019-20 is confirmed as the latest, the availability/currency component would likely score 0. The format component would then depend on how the rubric treats the PDF.
- Capture a dated screenshot.
Quote: "Balance Sheet and Profit and Loss Account for the Year ended 31st March 2020"
"Score" left blank: the Citation Sheet doesn't decide it.</t>
  </si>
  <si>
    <t xml:space="preserve">AI: left for a person. Step 2 found no evidence (Insufficient Evidence). Source needed: Any of these would answer the question: BDA's audited annual accounts and auditor's report for FY 2024-25 (or FY 2023-25, allowing the one-year lag), as posted on BDA's official website or on a Karnataka government (.gov.in/.nic.in) page; the Karnataka Legislature papers-laid records showing BDA accounts tabled under s.47(5); or the State Audit and Accounts Department or CAG audit report on BDA. The saved copy must show the FY covered and the file type (XLS/CSV/structured HTML vs text PDF vs scanned PDF).</t>
  </si>
  <si>
    <t xml:space="preserve">Annual Report, 15th AGM: C&amp;AG comments on the accounts</t>
  </si>
  <si>
    <t xml:space="preserve">C&amp;AG covering letter No. DGCA/A/c/Desk/2020-21/BMRCL/1.59/212 dated 22 October 2021 (p.76). Index: Balance Sheet as at 31 March 2021 at p.81</t>
  </si>
  <si>
    <t xml:space="preserve">78</t>
  </si>
  <si>
    <t xml:space="preserve">AI: left for a person. Step 2 found no evidence (Insufficient Evidence). Source needed: A dated capture of BMRCL's official website page for annual reports or financial statements, showing audited accounts for FY 2024-25 or FY 2025-26 and their file formats (PDF vs XLS/CSV/HTML). Alternatively, a later BMRCL annual report laid before the Karnataka Legislature, with its online location.</t>
  </si>
  <si>
    <t xml:space="preserve">AI: left for a person. Step 2 found no evidence (Insufficient Evidence). Source needed: BMRDA's audited annual accounts (balance sheet, income and expenditure, receipts and payments) with the auditor's certificate or report, ideally for FY 2024-25 (or FY 2023-24 if one year's lag is allowed), published on bmrda.karnataka.gov.in or on an official state portal such as the Legislature papers-laid pages. Also needed: the Controller of State Accounts' or CAG's audit report on BMRDA, and the BMRDA Act 1985 and its Rules, to fix when the audit falls due. For the format half: the file type of any audited statement found (XLS/CSV/structured HTML, text PDF, or scanned PDF).</t>
  </si>
  <si>
    <t xml:space="preserve">AI: left for a person. Step 2 found no evidence (Insufficient Evidence). Source needed: Needed: SUDA's audited annual accounts (balance sheet and income &amp; expenditure statement with the auditor's report) for the latest FY due, found online on SUDA's official website (e.g. an accounts, annual report or RTI proactive-disclosure page) or a Gujarat government portal. It should be captured with a dated access record and its file type noted (XLSX/CSV/structured HTML vs text PDF vs scanned PDF). Failing that, SUDA's latest Annual Report under r.49 with audited financial statements, or the Local Fund Audit / CAG audit report on SUDA.</t>
  </si>
  <si>
    <t xml:space="preserve">Independent Auditor's Report (15th Annual Report 2024-25)</t>
  </si>
  <si>
    <t xml:space="preserve">Opinion paragraph, PDF page 73 (printed Page 71 of 152); statements listed in Contents items 12-16 (pp. 92-152)</t>
  </si>
  <si>
    <t xml:space="preserve">Opinion</t>
  </si>
  <si>
    <t xml:space="preserve">73</t>
  </si>
  <si>
    <t xml:space="preserve">AI (medium confidence), from Step 2 answer (Answered — Verified Source) and GMRC-05: Score 0.5 out of 1: 0.5 for availability and currency, 0 for format.
Availability (0.5): I checked this against the sources. GMRC-01 is GMRC's official Reports &amp; Downloads page (captured 'Last Updated on: 12-Oct-2026'). It links '15TH Annual Report 2024-25' at https://www.gujaratmetrorail.com/wp-content/uploads/2026/05/Annual-Report-for-FY-2024-2025.pdf. That PDF is GMRC-05. Its contents page lists the Balance Sheet, P&amp;L, Changes in Equity and Cash Flow statements for the year ended 31 March 2025, plus notes (pp. 92-152). The auditor's opinion signed by DGSM &amp; Co on 11/08/2025 covers the Balance Sheet as at 31 March 2025. These are audited accounts for FY 2024-25. With assessment around late 2026, that is one FY behind the immediately preceding FY (2025-26). The Step 2 answer says the methodology allows a one-FY lag, so FY 2024-25 qualifies.
Format (0): every annual report on GMRC-01, from the 5th (2014-15) to the 15th (2024-25), is a .pdf. No XLS, CSV or structured HTML version of the accounts is listed. I also checked GMRC-03, the RTI 4(1)(b) disclosure. Chapter 11 has HTML tables of funding pattern and project expenditure, but those are marked 'Provisional &amp; Unaudited'. They are not the audited annual accounts, so they don't meet the format standard. Other pages checked for a structured copy of the accounts: GMRC-01 (Reports &amp; Downloads), GMRC-03 (RTI disclosure) and GMRC-06 (14th Annual Report, also PDF). None was found, so format = 0.
Points for a person to check:
(1) The question text, Detailed Methodology and Notes for scorers were not included in my task input. I took the bands from the Step 2 answer: 0.5 for audited accounts of the immediately preceding FY, or one FY behind, available online; 0.5 for XLS, CSV or structured HTML format. Please check these bands against the question bank.
(2) Currency depends on the assessment date. If the team counts FY 2025-26 accounts as already due (Companies Act AGM deadline 30 Sep 2026) and allows no lag, availability would drop to 0 and the total to 0.
(3) The accounts cover all of GMRC (Ahmedabad and Surat together), not Surat alone.
(4) The primary statement pages appear to be image-only or non-extractable. Either way they are PDF, so the format band is 0.
(5) The evidence requirement asks for a dated screenshot, and none is in the Citation Sheet.
Quote: "We have audited the accompanying Ind AS financial s tatements of Gujarat Metro Rail Corporation Limited (“the Company”), which comprise the Balance Sheet as at March 31, 2025, the Statement of Profit and Loss (including Other Comprehensive Income), the Statement of Changes in Equity and the Statement of Cash Flows for the year ended on that date"</t>
  </si>
  <si>
    <t xml:space="preserve">Introduction</t>
  </si>
  <si>
    <t xml:space="preserve">Annual report prepared under Section 86(2), BWSSB Act 1964 (preface)</t>
  </si>
  <si>
    <t xml:space="preserve">Title page and introduction of the Annual Report 2016-17 (page 61 of the Legislative Council paper)</t>
  </si>
  <si>
    <t xml:space="preserve">61</t>
  </si>
  <si>
    <t xml:space="preserve">AI (low confidence), from Step 2 answer (Partially Answered) and BWSSB-29: I have left the score blank. It needs a person to open the newer report links.
(1) Newest report I could read: BWSSB-29 is the Board's own annual report for FY 2016-17, laid in the Karnataka Legislative Council. Its English sections have text you can search. The Kannada sections use an old non-Unicode font, so their extracted text is garbled. The preface says 'The Annual report of 2017-18', but the title and body both say 2016-17. This report is about nine years older than the target year (FY 2025-26, assessed as of Sept 2026), so it cannot earn credit for being current.
(2) Why the score cannot be 0: BWSSB's RTI page (BWSSB-12, re-read) has an 'Annual report' table with three entries:
- '2022-23', linked to https://bwssb.karnataka.gov.in/storage/pdf-files/rti-YearlyReport-PROSec.pdf
- '2019', linked to the 'new-page/Annual Report 2019/kn' page
- '2017', linked to the 'new-page/Annual Report 2017/kn' page
The same page also links a '4 (1) (b) xvii - Annual Performance Report' PDF. None of these files is in the Citation Sheet, so I cannot tell whether any of them is the Board's annual report under s.86. The file name of the 2022-23 entry points to an RTI yearly report from the PRO section, but that is only a guess. VERIFICATION-LIMIT: these are website links that were not opened, which limits verification. It is not evidence that no newer report exists.
(3) Also not in the Citation Sheet: the Karnataka Legislature's lists of papers laid from 2018 onwards, Gazette publications under s.86(1), and any BWSSB Reports or Publications page. Because these are missing, I cannot show that no newer report exists, so the 0 cannot be justified.
(4) Format: the 2016-17 PDF can be downloaded and its text is machine-readable. However, that report fails the currency test, and the rubric does not say whether format is scored for an out-of-date report. I have not credited format. RUBRIC-GAP, for the team to confirm.
(5) Step 2's reading matches the sources.
What the reviewer needs to do:
(a) Open the 2022-23, 2019 and 2017 links and the 4(1)(b)(xvii) Annual Performance Report on BWSSB-12. Check whether any is the Board's s.86 report, note its year and file format, and capture a dated screenshot.
(b) Search the Legislative Assembly and Council lists of papers laid for BWSSB annual reports for FY 2017-18 to FY 2025-26.
(c) If nothing newer than 2016-17 is found anywhere, score 0 for availability, recording 2016-17 as the latest report found.
Checked: BWSSB-29, BWSSB-12, BWSSB-02 (s.86), and searches across the whole Citation Sheet for newer annual reports.
Quote: "ANNUAL REPORT FOR THE YEAR 2016-17"
"Score" left blank: the Citation Sheet doesn't decide it.</t>
  </si>
  <si>
    <t xml:space="preserve">AI: left for a person. Step 2 found no evidence (Insufficient Evidence). Source needed: A saved copy of BMTC's 'Annual Administrative Report' page (the /80/annual-administrative-report/en page on the official site), showing the reports listed with their FYs, plus the latest report file itself (FY 2025-26, or the latest due, e.g. FY 2024-25), so its text can be tested as searchable or scanned. Alternatively, a copy of BMTC's annual report laid before the Karnataka Legislature under RTC Act s.35(3) and published on an official state portal.</t>
  </si>
  <si>
    <t xml:space="preserve">AI: left for a person. Step 2 found no evidence (Insufficient Evidence). Source needed: Any of these would answer it: (a) BDA's official website page listing annual reports, with the latest report document, so the FY and the file type (searchable PDF vs scanned) can be checked; (b) the Karnataka Legislature papers-laid record showing BDA annual reports tabled under s.47A, with an official online copy; (c) a dated capture of the BDA website showing no annual report section, which would support a 0 on availability.</t>
  </si>
  <si>
    <t xml:space="preserve">Comments of the Comptroller and Auditor General of India (covering letter)</t>
  </si>
  <si>
    <t xml:space="preserve">C&amp;AG letter No. DGCA/A/c/Desk/2020-21/BMRCL/1.59/212 dated 22 October 2021</t>
  </si>
  <si>
    <t xml:space="preserve">para 4 (printed page 76 / PDF page 78)</t>
  </si>
  <si>
    <t xml:space="preserve">AI (low confidence), from Step 2 answer (Partially Answered) and BMRCL-09: I left the Score blank because the evidence cannot settle it.
1. The only BMRCL annual report in the Citation Sheet is BMRCL-09, for FY 2020-21 (Balance Sheet as at 31 March 2021, auditor's report dated 24-08-2021, C&amp;AG letter dated 22 October 2021). It is a PDF of papers laid before the Karnataka Legislative Council, at https://kla.kar.nic.in/council/house/Paperlaid/146/33.pdf.
2. The question needs the report for the immediately preceding FY or the latest one due. For an assessment in Sept-Oct 2026 that is FY 2025-26, or at the earliest FY 2024-25. The FY 2020-21 report is 4-5 years out of date, so it cannot earn credit as the current report.
3. I also cannot score 0, because absence is not proven. The Citation Sheet has no saved copy of BMRCL's own website (www.bmrc.co.in) or its annual-report page. It also has no later legislature papers-laid entries for FY 2021-22 to 2025-26. BMRCL-09 itself says the company puts material on www.bmrc.co.in: the annual return, the Whistle Blower Policy and financial results. That page was never checked. VERIFICATION-LIMIT: a person needs to check it.
4. I searched the Citation Sheet ('BMRCL annual report 2024-25 2025-26') and found no later report. The other sources for this agency are Acts, a Bill, the parking policy and a tender page (BMRCL-02, 03, 04, 06, 07, 08, 32, 33). None of them is an annual report, so they cannot fill the gap.
5. Format, for this old document only: the body text from page 3 onward can be extracted, so it is searchable. The cover pages and some pages near the end extracted no text. This tells us nothing about the format of a current report.
The Step 2 answer agrees with the source.
For the reviewer:
- Check www.bmrc.co.in and the Karnataka Legislature papers-laid pages for BMRCL annual reports for FY 2024-25 and 2025-26. Note the publication date and whether each is a searchable, downloadable PDF, and take a dated screenshot.
- Confirm BMRCL's eligibility and legal form (a government company), as the research-team note asks.
- If the website check is not conclusive, the fallback is an RTI request to the BMRCL Public Information Officer.
Quote: "4. Ten copies of the Annual Report for the year 2020-21 may please be furnished in due course."
"Score" left blank: the Citation Sheet doesn't decide it.</t>
  </si>
  <si>
    <t xml:space="preserve">BMRDA official website homepage, 'Department Documents' menu</t>
  </si>
  <si>
    <t xml:space="preserve">Budget and Annual Reports &gt; Annual Report (link to file '2023-24 Anual Report.pdf')</t>
  </si>
  <si>
    <t xml:space="preserve">page 10</t>
  </si>
  <si>
    <t xml:space="preserve">AI (low confidence), from Step 2 answer (Partially Answered) and BMRDA-05: I left Score blank because the Citation Sheet doesn't let me decide it. I checked the Step 2 answer against the sources and agree with it.
What the sources show:
(1) BMRDA-05 (BMRDA homepage, 2026 snapshot: footer '© 2026', notices dated July 2026) links to a file named '2023-24 Anual Report.pdf'. The file itself is not in the Citation Sheet. That means I can't check what it contains, which year it really covers, or whether its text can be read by a machine. This is a VERIFICATION-LIMIT, not a negative finding.
(2) BMRDA-03 is the latest report actually read: FY 2022-23 (1 Apr 2022 to 31 Mar 2023), laid in the Karnataka Legislative Council and hosted on kla.kar.nic.in. Pages 1-19 have text that can be extracted. Pages 1-9 are Kannada in a legacy font encoding; the English section starts at p.10 (introduction, functions, RTI status, website, staff position as on 31.03.2023, budget, and the income and expenditure statements in Annexures 2-3). Pages 20-36 returned no text and may be scanned images.
(3) As of September 2026, the immediately preceding financial year is FY 2025-26. No report for FY 2024-25 or FY 2025-26 is in the Citation Sheet.
(4) No due date for BMRDA's annual report has been established. The BMRDA Act 1985 is only linked from the website (BMRDA-05); its text is not in the Citation Sheet. KTCP Act s.68D (BMRDA-08, PRS) covers 'Planning Authorities' and may not govern BMRDA. So I can't say which report is the 'latest report due'.
Why no 0: a 0 needs affirmative absence. The newest linked report was never opened, the legislature's papers-laid lists for 2024-26 weren't checked, and there is no due-date rule. Why no partial credit: I can't confirm either currency or format for the latest report.
One more limit: the full question text and Detailed Methodology for DPG5c were not given in this task. I used the Step 2 framing (whether a report is available and current, and what format it is in). A person should check which rubric bands apply.
For the reviewer:
(a) Open the 2023-24 annual report PDF and the 'Budget and Annual Reports' page; record the year covered and whether the text is machine-readable or scanned.
(b) Find the annual-report due date in the BMRDA Act 1985 or its rules.
(c) Search the Karnataka Legislature papers-laid pages for BMRDA reports for FY 2024-25 and FY 2025-26.
(d) Check whether pp.20-36 of the FY 2022-23 report are scanned images.
(e) Capture a dated screenshot.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</si>
  <si>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Needed: a saved, dated copy of SUDA's official website page (with its domain shown to be official) that lists annual reports, and the latest SUDA Annual Report file itself (ideally FY 2025-26, or the latest due under r.49). The file is needed to record its FY and check whether it is text-searchable or a scanned image. Alternatively, a Gujarat Urban Development &amp; Urban Housing Department page publishing development authority annual reports.</t>
  </si>
  <si>
    <t xml:space="preserve">Reports &amp; Downloads page – Annual Reports tab</t>
  </si>
  <si>
    <t xml:space="preserve">Annual Reports listing (5th 2014-15 to 15th 2024-25)</t>
  </si>
  <si>
    <t xml:space="preserve">Entry '15TH Annual Report 2024-25'; page footer 'Last Updated on : 12-Oct-2026 @ 6:05 PM'</t>
  </si>
  <si>
    <t xml:space="preserve">AI (low confidence), from Step 2 answer (Partially Answered) and GMRC-01: Score left blank. Half of the score is settled and half is not.
What checks out: GMRC-01, the 'Reports &amp; Downloads' page, lists annual reports from the 5th (2014-15) to the 15th (2024-25). The footer reads 'Last Updated on : 12-Oct-2026'. GMRC-05, the FY 2024-25 report, is a 152-page PDF whose text could be extracted, so it is searchable. That supports the format part of the score (0.5). GMRC-05 confirms that the report covers the FY ended 31 March 2025. Its 15th AGM notice is dated 22/12/2025, for an AGM on 24 December 2025. The Step 2 answer says the FY 2023-24 AGM notice is dated 18.12.2024, which gives a pattern of adopting each report in December; I did not re-read GMRC-06 to confirm that date. Searching the whole Citation Sheet found no FY 2025-26 report.
Why the score is blank: the question's detailed methodology and notes for scorers were not included in this task, so I cannot confirm the bands or the permitted lag. The Citation Sheet also does not fix the assessment date. Read literally, the 'immediately preceding FY' as of Sept/Oct 2026 is FY 2025-26, and that report is not listed. That would make currency 0 and the total 0.5. If the team accepts FY 2024-25 as the latest report due (GMRC adopts its reports at a December AGM), currency is 0.5 and the total is 1.0. I could not apply a 0 for currency even if FY 2025-26 counts, because no rule about the cut-off date is in front of me. CONFIRM the assessment date and permitted lag; then the score is 1.0 or 0.5.
Other points to check:
(a) Scope: GMRC is a 50:50 company of the Government of India and the Government of Gujarat. Its report covers Ahmedabad, Gandhinagar and Surat together, not Surat alone. Whether GMRC counts as a Surat parastatal is still a team decision.
(b) The URL folder 2026/05 suggests the FY 2024-25 report went online around May 2026. That is only an inference from the URL.
(c) The question bank asks for a dated screenshot as evidence; a reviewer should capture one.
Quote: "[https://www.gujaratmetrorail.com/wp-content/uploads/2026/05/Annual-Report-for-FY-2024-2025.pdf] 15TH Annual Report 2024-25"
"Score" left blank: the Citation Sheet doesn't decide it.</t>
  </si>
  <si>
    <t xml:space="preserve">AI: left for a person. Step 2 found no evidence (Insufficient Evidence). Source needed: A full, dated crawl of the BWSSB official website (bwssb.karnataka.gov.in), with menus fully expanded, showing either a 'Board proceedings / minutes / resolutions' page with minutes dated FY 2025-26 or FY 2026-27, or affirmative absence. Also the saved text of the RTI Section 4(1)(b) files, especially item viii, and any Board meeting minutes or proceedings PDF from the current or preceding FY, with its file type recorded (searchable vs scanned).</t>
  </si>
  <si>
    <t xml:space="preserve">AI: left for a person. Step 2 found no evidence (Insufficient Evidence). Source needed: Any of these would answer it: (a) a saved copy of the BMTC website page that hosts governing-board minutes or proceedings, dated in FY 2025-26 or FY 2026-27, with the file type recorded (searchable PDF, HTML or DOC versus scanned image); (b) BMTC's RTI Act s.4(1)(b) proactive-disclosure page, if it lists or links board minutes; (c) the content of the Directors List, Sub committees, Circulars and Annual Administrative Report pages, plus a documented site search for 'board meeting' and 'proceedings'. That record would be needed to show affirmative absence if the minutes really aren't published.</t>
  </si>
  <si>
    <t xml:space="preserve">AI: left for a person. Step 2 found no evidence (Insufficient Evidence). Source needed: Needed: BDA's official website section for board/Authority meeting proceedings or minutes, opened and saved with access date, with at least one set of minutes dated in FY 2025-26 or FY 2026-27. Its file type must also be recorded: searchable PDF, HTML or DOC/DOCX versus scanned or image-only. The site must be shown to be official through a link from a Karnataka .gov.in page or a naming in an Act or GO. A RTI-Act s.4(1)(b) proactive disclosure page from BDA listing board minutes would also help.</t>
  </si>
  <si>
    <t xml:space="preserve">AI: left for a person. Step 2 found no evidence (Insufficient Evidence). Source needed: A saved, dated copy of the BMRCL Board-minutes or disclosure page on BMRCL's official domain (shown to be official by a .gov.in link or an official instrument), or a Government of Karnataka page hosting BMRCL Board minutes. It would need to show at least one set of Board minutes dated FY 2025-26 or FY 2026-27, record the file type (searchable PDF/HTML/DOC vs scanned image), and give the access date. If nothing is published, an RTI reply from BMRCL would settle whether the minutes exist and whether they are disclosed.</t>
  </si>
  <si>
    <t xml:space="preserve">AI: left for a person. Step 2 found no evidence (Insufficient Evidence). Source needed: Two things would answer this. (1) A dated, complete capture of the BMRDA website's menu or sitemap, plus any 'Authority/Executive Committee meeting proceedings' page, showing whether minutes from FY 2025-26 or FY 2026-27 are posted and in what format (searchable PDF or HTML vs scanned). (2) The minutes or proceedings of the latest BMRDA Authority or Executive Committee meeting, if published anywhere on an official site. The RTI 4(1)(b) disclosure and the 2023-24 Annual Report linked from the homepage should also be checked for meeting records.</t>
  </si>
  <si>
    <t xml:space="preserve">AI: left for a person. Step 2 found no evidence (Insufficient Evidence). Source needed: Pages on SUDA's own official website where board (Authority) meeting minutes or resolutions are published, or SUDA's RTI Section 4(1)(b) proactive disclosure, or a Gujarat UD&amp;UHD page hosting SUDA board minutes. Each needs the date of the latest minutes and the file type (searchable PDF/HTML/DOC or scanned image). It also needs proof that the SUDA domain is official (a link from a gov.in/nic.in page). The latest date found should be recorded even if the score is 0.</t>
  </si>
  <si>
    <t xml:space="preserve">AI: left for a person. Step 2 found no evidence (Insufficient Evidence). Source needed: Saved copies of every GMRC website page where Board minutes could be posted: the 'Present Board of Directors' and 'Board Level Committees' pages and the sitemap. These would establish proven absence (score 0 for both components) or locate minutes for FY 2025-26 or 2026-27 (allowing currency and file format to be checked). Alternatively, an RTI reply from GMRC's PIO confirming whether Board minutes are published.</t>
  </si>
  <si>
    <t xml:space="preserve">Organization Chart page (official BWSSB website, bwssb.karnataka.gov.in)</t>
  </si>
  <si>
    <t xml:space="preserve">Document table, item 2: 'Re-Organisation Chart 2026' (Download link to uploads/1_1775286932.pdf)</t>
  </si>
  <si>
    <t xml:space="preserve">AI (low confidence), from Step 2 answer (Partially Answered) and BWSSB-11: I left the score blank because I could only check half of what the question asks. The two halves are whether the chart is available and current (0.5) and whether it is in a usable format (0.5).
(1) Available and current. BWSSB-11, the official Organization Chart page on a karnataka.gov.in domain, lists 'Re-Organisation Chart 2026'. It also lists 'OM-Deployment of Officers/Employees after Re-Organisation 2026' and Annexures 1 and 2. A 2026 chart falls in the current or the previous financial year, so this half probably earns 0.5. However, that rests only on the document title in the listing. The chart PDF itself was not saved, so I could not read its date or contents.
(2) Format. Nothing in the Citation Sheet shows whether the 2026 chart PDF has searchable text naming posts and officials (which would earn 0.5) or is a scanned image (which would earn 0). I searched the whole sheet for the chart's content and found nothing. BWSSB-12 (the RTI page) lists Chief Engineer pages, but that is a different document and does not show the chart's format. The Senior Management page is linked from BWSSB-11 but is not in the sheet.
Older material does not count towards the score. That covers the 2016 and 2020 charts listed on the same page, the Annual Report 2016-17 (BWSSB-29), the Duties and Responsibilities page (BWSSB-42) and the 2023 Provisional Seniority List (BWSSB-43). These are historical or too old for the period allowed.
I did not score 0 for anything, because the documents I could not open are VERIFICATION-LIMIT gaps, not evidence of absence.
For the reviewer:
- Open https://bwssb.karnataka.gov.in/uploads/1_1775286932.pdf and the deployment memo and annexures linked from BWSSB-11.
- Confirm the document date.
- Check whether the text is searchable and names posts and officials.
- Save a dated screenshot.
If the PDF is searchable and dated within the allowed period, the score would likely be 1. If it is a scanned image, it would likely be 0.5.
Quote: "Re-Organisation Chart 2026"
"Score" left blank: the Citation Sheet doesn't decide it.</t>
  </si>
  <si>
    <t xml:space="preserve">BMTC website, Departments page (info-1/Departments/en)</t>
  </si>
  <si>
    <t xml:space="preserve">BMTC website &gt; About Us &gt; Officers List page, table 'BMTC Officers Details' (PDF links 01–03)</t>
  </si>
  <si>
    <t xml:space="preserve">AI (low confidence), from Step 2 answer (Partially Answered) and BMTC-11: I left the score blank. The evidence shows BMTC publishes organisation and staffing information, but it does not show that the information is current or what format the PDFs are in. One limit on this check: the full Detailed Methodology text was not in the task input. I relied on the Step 2 summary of the bands: credit for being available and current in this FY, and credit for a searchable or structured format (the 0.5 standard). A person should confirm the band wording before scoring.
What I checked:
(1) BMTC-11, the Officers List page at mybmtc.karnataka.gov.in. It links to three PDFs: 'List of Management', 'List of Officers Working in BMTC' and 'List of Depot Managers Working in BMTC'. Their filenames contain 'updated eng 3107', with upload IDs around 1785482xxx. That suggests 31 July 2026, which is in FY 2026-27. But this date comes only from the filenames. No date appears in any document I could read. The PDFs themselves are not in the Citation Sheet, so I cannot tell whether they are searchable or scanned, or confirm their date.
(2) BMTC-18, the Departments page. It is a searchable HTML table with the columns SN / Department / Head / Description, from 1 Traffic Operations (Chief Traffic Manager (Operation)) through 16 departments. It lists posts only, without names, and the page itself has no date.
(3) BMTC-01 and BMTC-12, the English and Kannada home pages. Their menus link to an 'Organization Structure' page (/31/organization-structure/), but that page was never captured, so I don't know its format or date.
(4) A search of the Citation Sheet for 'organization structure chart' found no other source.
The footer 'Last Updated: 30-09-2026' appears on every page of the site. It is part of the site template and does not show when the organisation content was updated.
Currency: undetermined. A date read only from a filename should not count as an update in the current FY without a person checking it.
Format: the HTML Departments page probably meets the searchable standard. The PDFs and the organisation chart could not be checked. This is a VERIFICATION-LIMIT, not a negative finding.
I did not score 0 because the information exists and is partly verified, so there is no affirmative absence.
For the reviewer:
(a) Open the three officer-list PDFs. Record the date printed in each and whether it is searchable or scanned.
(b) Open the Organization Structure page (/31/organization-structure/en). Record whether it is an image or searchable, and its date.
(c) Capture a dated screenshot, as the question bank requires.
(d) Confirm the rubric bands, then score.
Quote: "List of Officers Working in BMTC"
"Score" left blank: the Citation Sheet doesn't decide it.</t>
  </si>
  <si>
    <t xml:space="preserve">AI: left for a person. Step 2 found no evidence (Insufficient Evidence). Source needed: BDA's official website pages, saved with the date accessed. Specifically: (a) its organisation chart or officers/staff directory (HTML, searchable PDF, or XLS/CSV list of posts) showing a date or update in FY 2025-26 or FY 2024-25; and/or (b) its RTI Act s.4(1)(b) proactive disclosure (organisation, functions and duties, directory of officers and employees), dated. The record must show the file type (HTML vs searchable PDF vs scanned/image-only) so the format half can be scored. BDA's own domain must be shown to be official by a link from a .gov.in/.nic.in page.</t>
  </si>
  <si>
    <t xml:space="preserve">AI: left for a person. Step 2 found no evidence (Insufficient Evidence). Source needed: One of these, dated: a saved copy of BMRCL's official website organisation chart / 'Who's Who' / officers' directory page, or its RTI Act s.4(1)(b) proactive-disclosure directory of officers and staff, showing a date in FY 2025-26 or FY 2026-27 and its file format (HTML, searchable PDF, or image/scanned). Alternatively, the latest BMRCL Annual Report (FY 2024-25 or FY 2025-26) with its organisational set-up and staff strength.</t>
  </si>
  <si>
    <t xml:space="preserve">BMRDA official website (bmrda.karnataka.gov.in): Contact Us page</t>
  </si>
  <si>
    <t xml:space="preserve">Staff directory table (Name / Designation / Office Number)</t>
  </si>
  <si>
    <t xml:space="preserve">Footer: 'Last Updated:' is blank; '© 2026'</t>
  </si>
  <si>
    <t xml:space="preserve">AI (low confidence), from Step 2 answer (Partially Answered) and BMRDA-06: I left the score blank because the directory's currency can't be shown from the Citation Sheet. The full question text and Detailed Methodology for DPG5f were not given to me. I used the rubric as Step 2 describes it: 0.5 for availability and currency, plus 0.5 for format. A person should confirm that against the question bank.
(1) FORMAT: the evidence supports the format half. BMRDA-06 is an HTML Contact Us page on BMRDA's official site (bmrda.karnataka.gov.in, a gov.in domain). It is a searchable table listing names, designations and office phone numbers. Filled posts are named: Metropolitan Commissioner Sri. Rajendra P Cholan; Metropolitan Planner and Director Smt. Suma J; Additional Metropolitan Commissioner; Joint Metropolitan Commissioner; two Joint Directors; an Assistant Director; and an Accounts Officer. Vacant posts are marked 'Vacant', including the Additional Director, the Deputy Metropolitan Commissioner, four Deputy Directors and three Assistant Directors.
(2) CURRENCY: not settled. The page carries no date: its footer 'Last Updated:' field is blank, and '© 2026' is the site template's copyright line, not a content date. The home page (BMRDA-05) names 'SRI RAJENDRA CHOLAN P , IAS, Metropolitan Commissioner BMRDA', matching the directory. Annexure-1 of the Annual Report 2022-23 (BMRDA-03) names a different Metropolitan Commissioner (Girish C. Hosur, IFS). So the directory was probably revised after FY 2022-23, but that is an inference, not a dated update. The latest dated staffing information in the Citation Sheet is BMRDA-03 section 11: 'sanctioned staff strength ... as on the 31.03.2023 is 56 ... 27 posts have been filled up'. That is FY 2022-23, older than the window the currency criterion would accept.
(3) NOT A ZERO: a score of 0 needs affirmative absence, and that isn't met. Two linked documents are not in the Citation Sheet: the 'Organisation chart' PDF (ORGNenglish.pdf) linked from BMRDA-05 and the 'RTI 4(1) B' PDF. Their dates and formats are unknown. VERIFICATION-LIMIT: a dated screenshot or capture of the Contact Us page is needed.
What I checked: BMRDA-06 (the directory and its footer), BMRDA-05 (home page and its links), BMRDA-03 (sections 10-11 and Annexure-1), and a search across the whole sheet for an organisation chart or staff directory. I found no dated directory.
For the reviewer: if a dated capture or the organisation chart shows the directory reflects the current structure within the window, the score would be 1.0 (0.5 + 0.5). If currency fails, it would be 0.5 for format only.
Quote: "Sri. Rajendra P Cholan
Metropolitan Commissioner
080-22255493"
"Score" left blank: the Citation Sheet doesn't decide it.</t>
  </si>
  <si>
    <t xml:space="preserve">AI: left for a person. Step 2 found no evidence (Insufficient Evidence). Source needed: A dated capture of SUDA's official website showing its current organisation structure: an organisation chart, staff or officer directory with posts and names, or a sanctioned/working staff-position list. Examples are an 'Organisation' or 'Who's who' page or the RTI Act s.4(1)(b) proactive-disclosure manual (items on organisation, functions and staff directory), dated FY 2025-26 or later. For each, record the format: HTML, searchable PDF, XLS/CSV, or image/scanned.</t>
  </si>
  <si>
    <t xml:space="preserve">Proactive Disclosure under Section 4(1)(b) of RTI Act 2005: Ch.2 (Powers and duties of officers and staff), Ch.3 (Decision-making channel), Ch.8 (Board), Ch.9 (Directory of officers and employees), Ch.10 (Remuneration and designations)</t>
  </si>
  <si>
    <t xml:space="preserve">Chapter 3: decision-making channel BOARD OF DIRECTORS -&gt; MANAGING DIRECTOR -&gt; FUNCTIONAL HEADS</t>
  </si>
  <si>
    <t xml:space="preserve">AI (low confidence), from Step 2 answer (Partially Answered) and GMRC-03: SCORE LEFT BLANK. RUBRIC-GAP: the evidence doesn't clearly fit either band. The full Detailed Methodology text wasn't in my inputs. I worked from Step 2's summary of it: (a) current organisational structure available, (b) searchable format, 0.5 each. A person must decide whether GMRC's text-only disclosures count as a 'current organisational structure'.
WHAT THE CITATION SHEET SHOWS:
(1) GMRC-03, the 4(1)(b) page (HTML, searchable). Ch.3 gives the hierarchy: Board -&gt; MD -&gt; Functional Heads. Ch.2 lists department functions but names no officials. Ch.9 says only 'Kindly contact Public Information Officer (PIO) for information', so there is no staff directory. Ch.10 lists grade-wise designations from MD (E10) down to Peon (NE1), with no post counts. Ch.8 says the board has 13 directors.
(2) GMRC-04, the Present Board of Directors page (HTML, searchable). Step 2 said this page wasn't in the Citation Sheet, but it is. It names 8 people: 2 GoI nominees (including the Chairman), 3 GoG nominees, MD S.S. Rathore, Director (Project &amp; Planning) Anand Singh Bisht and Director (Finance) Ridham Bhadja. That conflicts with the '13 directors' in GMRC-03 Ch.8, so Ch.8 looks stale. The page footer says 'Last Updated on: 12-Oct-2026'. The same timestamp and visit count appear on GMRC-14, so it is a site-wide stamp, not proof that this page was updated then.
(3) GMRC-14, the PIO/Appellate Authority page. It names four officers with their designations (I/c CAO; JGM-Operations; Sr. DGM Civil/Safety as PIO Surat; DGM Administration).
(4) GMRC-05, Annual Report 2024-25. It names the board, CFO and Company Secretary. Its 'Organizational Set-up' section describes the structure in text only.
A search of the Citation Sheet for 'organisation chart / organogram / organizational structure' found no organisation chart.
IF THE REVIEWER ACCEPTS named top management plus the department and designation hierarchy as the 'current organisational structure', both components look met and the score would be 1. All of this material is searchable HTML or text PDF, not image-only. IF NOT, a score of 0 would still need affirmative absence. The Contact Us and Board Level Committees pages are not in the Citation Sheet, so I can't rule out an organisation chart or directory there.
OTHER POINTS: GMRC is state-wide, and nothing in the sources shows a Surat-specific structure. The QB asks for a dated screenshot, which a reviewer should capture.
Quote: "The day-to-day management of the company in entrusted to the Managing Director andother Directors and Functional heads of the Company."
"Score" left blank: the Citation Sheet doesn't decide it.</t>
  </si>
  <si>
    <t xml:space="preserve">About BWSSB (web page, undated)</t>
  </si>
  <si>
    <t xml:space="preserve">Section 'Ongoing Water Supply projects'</t>
  </si>
  <si>
    <t xml:space="preserve">Item 7, Sewerage Works</t>
  </si>
  <si>
    <t xml:space="preserve">AI: left for a person. Step 2 found no evidence (Insufficient Evidence). Source needed: Saved copies of BWSSB's dedicated 'Projects' pages (general Projects page, Cauvery Stage IV, Cauvery Water Supply Scheme for 110 Villages, the Technical &gt; Projects page), the 'Vision Document - 2050' PDF (with its date and whether its text can be searched or it is a scan), and the Budget page or a current budget or annual report listing ongoing projects for FY 2025-26 or 2026-27. Each should come with its date of access and its file format.</t>
  </si>
  <si>
    <t xml:space="preserve">AI: left for a person. Step 2 found no evidence (Insufficient Evidence). Source needed: Any of these, dated FY 2025-26 or FY 2026-27 and published on BMTC's own site: BMTC's Annual Implementation Plan or Sectoral Mobility Investment Program (required under BMLTA Act s.25/s.24), a corporate or fleet plan, a projects or ongoing-works page or dashboard (e-bus induction, depots, TTMCs, bus priority), or the latest Annual Administrative Report with a project-status section. Each needs a date and a check of its format (text-searchable PDF/HTML/XLS vs scanned image).</t>
  </si>
  <si>
    <t xml:space="preserve">AI: left for a person. Step 2 found no evidence (Insufficient Evidence). Source needed: These would answer it: (a) BDA's official-website pages listing ongoing projects and schemes (e.g. layouts, flyovers or road works, housing projects), with dated status updates in FY 2025-26 or FY 2026-27, captured as dated screenshots or archived URLs, plus the format (HTML table/dashboard, XLS/CSV, or images); (b) BDA's current major plan documents (e.g. development scheme notifications, a master plan if BDA is still the Planning Authority for any area), with the file type recorded (text-searchable PDF vs scanned); (c) proof that the BDA domain is official, i.e. a link from a karnataka.gov.in page. A BDA annual report or budget listing ongoing projects on a .gov.in page would back up currency.</t>
  </si>
  <si>
    <t xml:space="preserve">1. Background</t>
  </si>
  <si>
    <t xml:space="preserve">Metro Parking Policy, p.5 (pg.3)</t>
  </si>
  <si>
    <t xml:space="preserve">Background paragraph on sanctioned network and corridors under construction</t>
  </si>
  <si>
    <t xml:space="preserve">AI (low confidence), from Step 2 answer (Partially Answered) and BMRCL-32: Score left blank. The Citation Sheet is not enough to score this question, and the rules do not allow a 0. What I checked: (1) BMRCL-32, the Metro Parking Policy (cover says 2025; file name dated 02-04-2026; on bmrc.co.in). It is a text-readable PDF. Its only project content is one narrative paragraph in the background section, which says the rest of Phase-2 (21.26 km), Phase-2A (19.75 km), Phase-2B (38.44 km) and Phase-3 (44.65 km) are 'under construction'. It is a sector policy. The paragraph gives no progress, timelines or costs, and it is not a project list, page or dashboard. Whether it counts as a 'major plan' or as 'information on ongoing projects' is a judgement for the team. (2) BMRCL-09, Annual Report FY 2020-21. It says 'The Website also provides all important events, activities and progress of the Metro Rail Project... which is continuously updated' (p.54), and it gives Phase-2 progress as of August 2021. This is FY 2020-21 evidence, outside the current/preceding-FY window (assessment date 12-Oct-2026, FY 2026-27). It cannot show current practice. (3) BMRCL-33, an eTenders notice on a central portal. It is not project information on BMRCL's own website. (4) BMRCL-02 (GBG Act), BMRCL-08 (BMLTA Act s.25), BMRCL-04, BMRCL-06 and BMRCL-07 are legal duties. They are not evidence of what BMRCL publishes. I searched the Sheet for 'ongoing projects status website' and found no capture of a BMRCL projects or phase page and no current major plan (DPR, CMP or business plan). Missing evidence: a dated capture of the bmrc.co.in projects/progress pages and any current major plan published there. Because those pages are not in the Sheet, absence is not proven: this is a VERIFICATION-LIMIT, not a negative finding. The full Detailed Methodology and rubric bands for DPG5g were not in the task text, so I could not check how a 0–1 score splits between availability and format. A reviewer should capture a dated screenshot. Website officialness: the only proof that bmrc.co.in is official is BMRCL's own Annual Report (pp.40, 54). No .gov.in page in the Sheet links to it.
Quote: "Bangalore Metro Rail Network of Phase-1 and part of Phase-2 comprising a total length of 96.1 Km with 83 Metro stations is already under operation with an average daily ridership of about 9.5 lakhs commuters. The remaining portion of Phase - 2 of 21.26 Km length is under construction."
"Score" left blank: the Citation Sheet doesn't decide it.</t>
  </si>
  <si>
    <t xml:space="preserve">Home - Bangalore Metropolitan Region Development Authority (BMRDA) (English home page) [BMRDA-02]</t>
  </si>
  <si>
    <t xml:space="preserve">Official BMRDA English homepage, 'Department Documents' section</t>
  </si>
  <si>
    <t xml:space="preserve">Notifications &gt; Proposed Draft Mobility Plan (links for 9 Local Planning Authorities); also 'GBIT BROCHURE', 'Structure Plan', 'Reports'</t>
  </si>
  <si>
    <t xml:space="preserve">AI: left for a person. Step 2 found no evidence (Insufficient Evidence). Source needed: Saved, dated copies of the plan and project documents linked from BMRDA's website. These are the Structure Plan report ('St report.pdf'), the nine LPA 'Proposed Draft Mobility Plan' PDFs, the GBIT brochure, the 2023-24 and any later Annual Report, and the 'Land Utilization Plan - 2031' and 'Transport Networks 2031' pages. Each copy should record its date or FY and its file type (text-searchable vs scanned PDF; HTML or XLS/CSV project list). The most direct evidence would be a current (FY 2025-26 or 2026-27) BMRDA annual report or project-status page on the website.</t>
  </si>
  <si>
    <t xml:space="preserve">AI: left for a person. Step 2 found no evidence (Insufficient Evidence). Source needed: Dated saved copies of SUDA's official website showing (i) its current major plan, e.g. the sanctioned DP-2035 or any later revision or Local Area Plan, as a searchable PDF, and (ii) an ongoing-projects page, table, dashboard or XLS/CSV list with status for FY 2025-26 or FY 2026-27. Alternatively, SUDA's latest Annual Report or programme of work under GTPUD Rules r.47/r.49, if published online. Also proof that sudaonline.org is SUDA's official domain, either a link from a gov.in/nic.in page or a government notification naming it.</t>
  </si>
  <si>
    <t xml:space="preserve">Chapter 11: Budget Allocation &amp; Expenditure</t>
  </si>
  <si>
    <t xml:space="preserve">RTI Act 2005 Section 4(1)(b) proactive disclosure page on GMRC's website (gujaratmetrorail.com), last updated 12-Oct-2026</t>
  </si>
  <si>
    <t xml:space="preserve">Funding Pattern table; 'Details of Expenditure incurred till 31-03-2026' table; 'Surat Metro Rail Project Phase-I' corridor-wise estimated completion cost table</t>
  </si>
  <si>
    <t xml:space="preserve">AI (medium confidence), from Step 2 answer (Answered — Verified Source) and GMRC-03: Score 1 = 0.5 for having current information + 0.5 for searchable format. I checked this against the source rather than copying Step 2. (1) Current information: GMRC-03, Chapter 11, is a text HTML page. For 'Surat Metro Rail Project Phase-I' it gives the sanctioned cost (12,020.32 Cr) and spending to 31.03.2026 (8,751.76 Cr, provisional and unaudited). It also gives cost by corridor: Sarthana to Dream City 7,386.27 Cr; Bhesan to Saroli 4,452.05 Cr; interest during construction (IDC) 182.00 Cr. Data dated 31-03-2026 falls in FY 2025-26. That is the year just before FY 2026-27, when the page was last updated (12-Oct-2026), so it meets the 'current or immediately preceding FY' window. GMRC-01 (Reports &amp; Downloads, last updated 12-Oct-2026) confirms that Surat Phase-1 is listed as 'Under Implementation', so this is an ongoing project. (2) Format: the figures were pulled from the page as text table cells, so they are searchable HTML, not an image. All Surat plan documents on GMRC-01 are older than the window: the DPR (Dec 2018, linked as Surat-DPR-2020), and the EIA, SEP, ESMP and GAP (2020). The newest annual report is FY 2024-25 (GMRC-05). So credit for currency rests only on the project/financial information, not on a plan. Points for the reviewer: (a) Check whether the Detailed Methodology accepts financial progress data (sanctioned cost, spending to date, cost by corridor) as 'project information'. The Citation Sheet has no current physical-progress data for Surat. GMRC's project-overview (#posrt) and Milestones pages are linked from GMRC-01 but are not in the Citation Sheet. If the methodology requires physical or status information, the currency component may need review. (b) The same Chapter 11 still carries an old line, 'Sanctioned Project Cost is Rs.10773 Cr' / spending to 30.06.2019. It is an old Ahmedabad Phase-I figure and does not cancel out the 2026 table. (c) The full Detailed Methodology text for DPG5g was not in my task input. The 0.5 + 0.5 structure is taken from Step 2's account of the bands and should be confirmed. (d) Capture a dated screenshot, as the QB evidence requirement asks.
Quote: "Details of Expenditure incurred till 31-03-2026"</t>
  </si>
  <si>
    <t xml:space="preserve">AI: left for a person. Step 2 found no evidence (Insufficient Evidence). Source needed: Any of these would answer the question: BWSSB's annual report or administration report for FY 2024-25 or FY 2025-26 on the Board's website or in the Karnataka Legislature's papers-laid pages; a saved, dated copy of BWSSB's water-quality dashboard and Achievements page showing dated performance values and whether data can be downloaded (CSV/XLSX/structured HTML); a service-level benchmark (SLB) publication for BWSSB covering water supply and sewerage indicators for the current or preceding FY.</t>
  </si>
  <si>
    <t xml:space="preserve">BMTC website – 'BMTC Glance' page (mybmtc.karnataka.gov.in)</t>
  </si>
  <si>
    <t xml:space="preserve">BMTC Glance page (mybmtc.karnataka.gov.in), official BMTC website</t>
  </si>
  <si>
    <t xml:space="preserve">Header 'BMTC at a glance / As on 25 September, 2026'; 9 label-value rows (schedules, vehicles, daily km, trips, daily traffic revenue, GCC e-buses, depots/bus stations, staff, bus-staff ratio)</t>
  </si>
  <si>
    <t xml:space="preserve">AI (low confidence), from Step 2 answer (Partially Answered) and BMTC-15: I left the score blank because I can't settle the format half of the question (machine-readable or not). As far as I can tell from the Step 2 notes, the score has two parts: 0.5 for information that is online and current, and 0.5 for a structured, reusable format.
Part 1, online and current: the evidence probably meets this. (1) BMTC-15 is BMTC's own page on the karnataka.gov.in portal and is dated 'As on 25 September, 2026', which is FY 2026-27. It gives operating statistics: 6248 schedules, 6921 vehicles, 12.39 lakh km a day, 61740 trips, Rs 7.28 cr daily traffic revenue, 1771 GCC e-buses, 50 depots, 48 bus stations, 28382 staff and a bus-staff ratio of 4.54. (2) BMTC-14 has the heading 'Performance Indicators from 2018-19 to 2025-26( Estimated)', with Physical and Financial Performance offered as PDF links, and the page says 'Last Updated: 30-09-2026'. A reviewer still needs to decide whether an operating 'at a glance' summary counts as 'performance information'. Also, the 2025-26 indicator figures are estimates, not actuals.
Part 2, structured and reusable format: I can't decide this. BMTC-15 is a short HTML list of labels and values with no download option. Read literally, the rubric needs 'downloadable data', so this page alone would probably not earn the format half. But the performance-indicator PDFs linked from BMTC-14 are not saved in the Citation Sheet. So I can't tell whether they are text PDFs or scans, what they contain, or whether a text PDF meets the format standard. I also searched the Citation Sheet for CSV, XLS, dashboard or open-data releases. The only hit was a general link to karnataka.data.gov.in in the footer of the BMTC homepage (BMTC-01), with no BMTC dataset shown.
This means I haven't shown affirmative absence for the format half, so I can't score it 0. I also can't award it. Scoring 0.5 would mean marking the format half as 0 without that proof, and scoring 1 isn't supported.
I checked BMTC-14, BMTC-15 and BMTC-01 (via a sheet-wide search). Step 2 also reviewed BMTC-18 and BMTC-28.
For the human scorer: (a) open the Performance Indicators PDF linked on BMTC-14 (the link is cut off in the saved text) and check whether it is a text or scanned file and which years it covers; (b) check whether BMTC publishes any CSV/XLS or downloadable dashboard, including on karnataka.data.gov.in; (c) confirm whether an HTML label-value list counts as a 'structured HTML table'; (d) take a dated screenshot. This is a VERIFICATION-LIMIT on the linked PDFs, not a negative finding.
Quote: "BMTC at a glance
As on 25 September, 2026"
"Score" left blank: the Citation Sheet doesn't decide it.</t>
  </si>
  <si>
    <t xml:space="preserve">AI: left for a person. Step 2 found no evidence (Insufficient Evidence). Source needed: Pages from BDA's official website, or official .gov.in / .nic.in portals, that hold BDA performance information for FY 2025-26 or 2026-27, each with the date it was opened. Examples: the latest annual report or s.47A report; service-level or Sakala service-delivery statistics for BDA services; or a performance dashboard. The file format of each also needs recording (CSV/XLSX/structured HTML vs text PDF vs scanned PDF). Annual reports laid before the Karnataka Legislature under s.47A would also count if published online.</t>
  </si>
  <si>
    <t xml:space="preserve">AI: left for a person. Step 2 found no evidence (Insufficient Evidence). Source needed: Needed: BMRCL's official website pages with dated ridership or service performance data (daily or monthly ridership, punctuality, train availability) for FY 2025-26 or 2026-27, including the file format (CSV/XLSX/structured HTML vs PDF). Also needed: BMRCL's annual report for FY 2024-25 or 2025-26, from its official domain or the Karnataka legislature papers-laid pages, and any BMRCL dataset on data.gov.in. Each needs a dated screenshot or archived URL.</t>
  </si>
  <si>
    <t xml:space="preserve">BMRDA homepage, 'Department Documents' menu</t>
  </si>
  <si>
    <t xml:space="preserve">'Budget and Annual Reports' link, 'Annual Report' link (file name '2023-24 Anual Report.pdf') and 'Budget' link</t>
  </si>
  <si>
    <t xml:space="preserve">Annual Report link (file name '2023-24 Anual Report.pdf')</t>
  </si>
  <si>
    <t xml:space="preserve">AI (low confidence), from Step 2 answer (Partially Answered) and BMRDA-05: I left the score blank because the sheet cannot show that newer reports are absent, and the newest reports it does show are outside the allowed period.
What I checked against the Step 2 answer:
- I confirmed the Step 2 reading. BMRDA-05 (English homepage) and BMRDA-01 (Kannada homepage) both show only menu links: 'Budget and Annual Reports', an 'Annual Report' PDF named '2023-24 Anual Report.pdf', and 'Budget'. None of these pages or files had their content captured in the sheet.
- The only performance document whose content is in the sheet is BMRDA-03, the BMRDA Annual Report for FY 2022-23 (1 April 2022 to 31 March 2023), as laid before the Legislative Council. It is a narrative PDF, not structured or downloadable data such as CSV/XLS or an HTML table.
- The allowed window, as stated in the Step 2 answer, is FY 2026-27 or FY 2025-26. The latest content-verified report is FY 2022-23, and the latest linked file is labelled 2023-24 but was not verified. Both are older than the window.
Why I did not score 0:
- A 0 needs proof of absence, and I don't have it. The 'Budget and Annual Reports' page (/40/), the 2023-24 PDF, the 'Budget' page (/44/), the Citizen Charter 2020-21 and any Sakala service-delivery statistics for BMRDA are not in the sheet.
- Website pages that were not captured are a VERIFICATION-LIMIT, not a negative finding.
- I searched the whole sheet for '2024-25 2025-26 performance' and for annual report or budget material. Nothing newer turned up.
- I also checked BMRDA-02, 06, 07, 12 and 13 and found no performance reports, service-level benchmark (SLB) tables or dashboards.
- BMRDA-08 (KTCP Act s.68D, s.4H(1)(d)) and BMRDA-11 (BMLTA Act s.36) are law. They require annual reports but do not show that any were published.
What a reviewer should do:
1. Open https://bmrda.karnataka.gov.in/40/budget-and-annual-reports/en and check whether any performance or annual report for FY 2025-26 or later is published, and in what format.
2. If none exists, the score is probably 0.
3. Confirm whether a narrative annual activity report counts as 'performance information' for a planning authority that publishes no SLBs.
4. Take a dated screenshot as the evidence requirement asks.
Quote: "[https://bmrda.karnataka.gov.in/40/budget-and-annual-reports/en] Budget and Annual Reports [https://bmrda.karnataka.gov.in/storage/pdf-files/2023-24 Anual Report.pdf] Annual Report"
"Score" left blank: the Citation Sheet doesn't decide it.</t>
  </si>
  <si>
    <t xml:space="preserve">AI: left for a person. Step 2 found no evidence (Insufficient Evidence). Source needed: Needed: SUDA's latest Annual Report under r.49, or another dated performance or service-level report for the current or previous FY (e.g. a progress or performance statement or dashboard on SUDA's official website). It should be saved with the date it was accessed and its file format (XLSX/CSV/structured HTML vs text or scanned PDF) recorded. Also needed: a full page-by-page check of SUDA's official website, so that a 0 can be supported by confirmed absence if nothing is there.</t>
  </si>
  <si>
    <t xml:space="preserve">AI: left for a person. Step 2 found no evidence (Insufficient Evidence). Source needed: What would answer this question: (1) a team decision on whether DPG h applies to a pre-operational parastatal in Surat, or whether GMRC's company-wide reporting counts; (2) a dated, fuller capture of GMRC's website (project, passenger and ridership pages) and of any GMRC or Surat Metro dashboard or open-data file on a gov.in or nic.in portal, such as MoHUA or the Gujarat Urban Development Department; (3) any GMRC performance or service-level report for FY 2025-26 or FY 2026-27, with its file type recorded.</t>
  </si>
  <si>
    <t xml:space="preserve">Our Services page &gt; Consumer Services</t>
  </si>
  <si>
    <t xml:space="preserve">ANNEXURE: CITIZEN CHARTER FOR SERVICES</t>
  </si>
  <si>
    <t xml:space="preserve">Sanctioning of water supply and sanitary connection; Change of Owner Ship/name</t>
  </si>
  <si>
    <t xml:space="preserve">AI (low confidence), from Step 2 answer (Partially Answered) and BWSSB-13: I left the score blank on purpose. Please do not read it as 0.
1) No affirmative absence. BWSSB does have a charter online. BWSSB-13 is BWSSB's 'Our Services' page on its official bwssb.karnataka.gov.in domain. It shows an 'ANNEXURE: CITIZEN CHARTER FOR SERVICES' as plain HTML text. The charter sets time limits for connection sanction tied to the Sakala Act 2011: 14 days for residential buildings, 42 days for multi-storied buildings and 3 working days for change of name. It also lists the required documents and fees, and says the demand note is valid for 90 days. Because the charter exists, 0 is ruled out.
2) Why I gave no partial score. The Detailed Methodology text was not included in this task. The only description of the rubric is in the Step 2 answer: an availability/currency part worth 0.5 and a format/accessibility part worth 0.5. I checked BWSSB-13 directly. The charter has no date, version number or approval reference. The page around it holds clearly old material: the AusAID project of 2000-2002, the Package Programme of 2003-2006, and references to 'BMP' and 'BBMP area'. The charter itself names nothing later than the Sakala Act 2011. So the Citation Sheet cannot show that this charter is the one in force now. On format, the HTML text would likely earn the 0.5 if the rubric is as Step 2 describes it. Because I could not confirm the rubric wording, I did not enter 0.5 on its own as a partial score.
3) BWSSB-12 (the RTI page) has a 'Civil Charter' row linking to a 'Citizen charter.pdf' file in BWSSB's storage folder. That PDF is not in the Citation Sheet, so I could not check its date, content or whether it is text or a scan. VERIFICATION-LIMIT: a person should open the PDF and capture a dated screenshot, as the question bank requires.
4) I also searched the whole Citation Sheet for 'citizen charter' with dates or updates. Nothing else dates the charter. BWSSB-34, the Sakala 'About Act' page, does not list BWSSB's services or their current time limits.
If a reviewer confirms that the HTML charter (or the PDF) is BWSSB's current charter, and that the rubric is currency 0.5 + format 0.5, the score would be 1. If the charter turns out to be outdated, the score would be 0.5 for format only. One more point for reviewers: the charter covers only connection sanction and change of name, not billing or complaints.
Quote: "The time duration for sanction of each type of connections is as per Karnataka Sakala Services Act-2011."
"Score" left blank: the Citation Sheet doesn't decide it.</t>
  </si>
  <si>
    <t xml:space="preserve">AI: left for a person. Step 2 found no evidence (Insufficient Evidence). Source needed: A saved copy of BMTC's Citizen or Service Charter page or document on its official website (or on the state's Sakala service-guarantee portal listing BMTC services), with the date it was adopted or revised and its file type (HTML or searchable PDF vs scanned). Failing that, a saved copy of the full BMTC Sitemap, RTI 4(1)(b) disclosure page and Kannada site showing that no charter is published (needed before a 0 can be given).</t>
  </si>
  <si>
    <t xml:space="preserve">AI: left for a person. Step 2 found no evidence (Insufficient Evidence). Source needed: The BDA Citizen/Service Charter page or document from BDA's official website, saved and dated, showing the charter's date or version and its file type (HTML, searchable PDF, or scanned image). Also useful: the Karnataka Sakala service schedule entry listing BDA services, which may contain or link to the charter. Both would need a dated screenshot or archived URL.</t>
  </si>
  <si>
    <t xml:space="preserve">AI: left for a person. Step 2 found no evidence (Insufficient Evidence). Source needed: A dated, saved copy of BMRCL's Citizen's/Service Charter as published on its official website, with the website's official status proven by a link from a .gov.in/.nic.in page or by a government order. If no charter is published there, a fetched copy of the BMRCL website sections (citizen services, RTI, downloads) showing it is absent. Alternatively, the Karnataka Sakala (service-guarantee) schedule listing BMRCL services. For each, record the date or FY of the charter and its file type (HTML, text PDF or scanned PDF).</t>
  </si>
  <si>
    <t xml:space="preserve">BMRDA official website (English home page), 'INTRODUCTION' menu</t>
  </si>
  <si>
    <t xml:space="preserve">Link labelled 'Citizen Charter' (file name CITIZEN CHARTER-2020-21 eng.pdf)</t>
  </si>
  <si>
    <r>
      <rPr>
        <sz val="11"/>
        <color theme="1"/>
        <rFont val="Calibri"/>
        <family val="2"/>
        <charset val="1"/>
      </rPr>
      <t xml:space="preserve">Link labelled '</t>
    </r>
    <r>
      <rPr>
        <sz val="11"/>
        <color theme="1"/>
        <rFont val="Noto Sans"/>
        <family val="2"/>
      </rPr>
      <t xml:space="preserve">ನಾಗರಿಕ ಸನ್ನದ್ದು</t>
    </r>
    <r>
      <rPr>
        <sz val="11"/>
        <color theme="1"/>
        <rFont val="Calibri"/>
        <family val="2"/>
        <charset val="1"/>
      </rPr>
      <t xml:space="preserve">' (Citizen Charter), next to </t>
    </r>
    <r>
      <rPr>
        <sz val="11"/>
        <color theme="1"/>
        <rFont val="Noto Sans"/>
        <family val="2"/>
      </rPr>
      <t xml:space="preserve">ಪರಿಚಯ </t>
    </r>
    <r>
      <rPr>
        <sz val="11"/>
        <color theme="1"/>
        <rFont val="Calibri"/>
        <family val="2"/>
        <charset val="1"/>
      </rPr>
      <t xml:space="preserve">/ </t>
    </r>
    <r>
      <rPr>
        <sz val="11"/>
        <color theme="1"/>
        <rFont val="Noto Sans"/>
        <family val="2"/>
      </rPr>
      <t xml:space="preserve">ಕಾರ್ಯಗಳು </t>
    </r>
    <r>
      <rPr>
        <sz val="11"/>
        <color theme="1"/>
        <rFont val="Calibri"/>
        <family val="2"/>
        <charset val="1"/>
      </rPr>
      <t xml:space="preserve">/ </t>
    </r>
    <r>
      <rPr>
        <sz val="11"/>
        <color theme="1"/>
        <rFont val="Noto Sans"/>
        <family val="2"/>
      </rPr>
      <t xml:space="preserve">ಸಂಸ್ಥೆಯ ರಚನೆ</t>
    </r>
  </si>
  <si>
    <t xml:space="preserve">AI (low confidence), from Step 2 answer (Partially Answered) and BMRDA-05: Score left blank because of a VERIFICATION-LIMIT. The Step 2 answer is correct. BMRDA-05 (English home page, official karnataka.gov.in domain) has a 'Citizen Charter' link in its INTRODUCTION menu, and BMRDA-01 (Kannada home page) has a matching link. Both file names say '2020-21'. The charter PDF itself was never saved to the Citation Sheet. That means none of the facts the score depends on can be confirmed: whether the file opens, what it says, whether it is still in force or has been replaced, and whether it is a text-searchable or scanned PDF. A link with '2020-21' in its file name is only a lead. It does not prove the charter is available or current, so no credit can be given. A score of 0 is also ruled out. A web document that was not opened is a verification limit, not proof that no charter exists, and the home page shows a charter link. What I checked: (1) search_citation_sheet for 'citizen charter', which found nothing beyond the home-page navigation in BMRDA-01, -05 and -13, plus unrelated wording in the GBG Act (BMRDA-10). (2) The BMRDA-03 Annual Report 2022-23: its website section (item 10) lists what the website contains and does not mention a citizen charter. Its Kannada pages did not extract as readable text (legacy font encoding). (3) The other web-page citations contain only navigation. (4) The legal texts (BMRDA-08, -10, -11) are not relevant to whether a charter exists. For the team: open both charter PDFs on the BMRDA website. Confirm that each file loads, record the date and whether the charter is still in force or has been superseded, and check whether the PDF is text-searchable. Then apply the rubric bands, taking a dated screenshot. The question's Detailed Methodology was not included in this task's input, so a reviewer should also confirm the band definitions (availability/currency and format components, as the Step 2 notes describe them) before scoring.
Quote: "[https://bmrda.karnataka.gov.in/storage/pdf-files/CITIZEN CHARTER-2020-21 eng.pdf] Citizen Charter"
"Score" left blank: the Citation Sheet doesn't decide it.</t>
  </si>
  <si>
    <t xml:space="preserve">AI: left for a person. Step 2 found no evidence (Insufficient Evidence). Source needed: Three things would answer this. (1) SUDA's own Citizen Charter or Service Charter, from SUDA's official website (a citizen services, RTI or downloads page), with its date, the services it covers and its file format (HTML, searchable PDF or scanned image). (2) Any Gujarat government page listing citizen charters for urban development authorities, or a service-guarantee schedule naming SUDA's services. (3) A dated screenshot or archived URL showing the date it was accessed.</t>
  </si>
  <si>
    <t xml:space="preserve">AI: left for a person. Step 2 found no evidence (Insufficient Evidence). Source needed: Any of these: a Citizen's or Passenger Charter published by GMRC on its own website (e.g. under For Passengers, Help or Sitemap), with its date and file type (HTML, searchable PDF or scanned); a saved copy of the GMRC sitemap showing whether such a page exists; or a charter for GMRC metro services on a Gujarat government or MoHUA site (.gov.in/.nic.in). For Surat, also a document showing whether Surat metro passenger services, and so any service charter, have started.</t>
  </si>
  <si>
    <t xml:space="preserve">Right to information Act page: 'List of files under Section 4(1)(b)' table</t>
  </si>
  <si>
    <t xml:space="preserve">Rows 15 (4(1)(b)(xvi) list of First Appellate Authority and PIOs), 17 (List of Public Information Officers) and 18 (PIO for stores)</t>
  </si>
  <si>
    <t xml:space="preserve">Item 15 (4(1)(b) xvi list of PIOs and first appellate authorities, KANNADA(1).pdf); item 17 (List of Public Information Officers, KM_226_03719.pdf); item 18 (PIO for stores, 20190701_123241.jpg)</t>
  </si>
  <si>
    <t xml:space="preserve">AI (low confidence), from Step 2 answer (Partially Answered) and BWSSB-12: I left the score blank. The Citation Sheet can't decide either part of the score (whether the PIO details are available and current, and what format they are in). I agree with Step 2. What BWSSB-12 shows: BWSSB's official RTI page (bwssb.karnataka.gov.in) links to three files. (1) Row 15, '4 (1) (b) xvi List of First Appeal, Authority, Public Information Officers', points to KANNADA(1).pdf. (2) Row 17, 'List of Public Information Officers', points to KM_226_03719.pdf; the file name looks like a scanner or copier output, but that is not confirmed. (3) Row 18, 'PIO for stores', points to a JPG image (20190701_123241.jpg); the file name suggests a 2019 date, which is not confirmed, and it covers only the stores PIO. None of these files is in the Citation Sheet. So the PIO names, designations and contacts, the dates of the lists, whether the officers are current, and whether the files are searchable or scanned images are all unverified. This is a VERIFICATION LIMIT, not proof of absence, so a 0 cannot be given. A positive score also has no support: the page only links to the lists, and linking is not evidence of current, usable PIO details. The page text has no RTI procedure (fee, form, time limits, appeals), and its footer says 'Last Updated:' with no date. The menu links to rtionline.gov.in (BWSSB-12, BWSSB-16), and the BWSSB-01 footer links to rtionline.karnataka.gov.in. Neither link shows a BWSSB-specific procedure. Other sources checked, none with PIO lists or RTI procedure text: BWSSB-16 (Contact Info; only menu links to RTI pages) and BWSSB-01, -02, -04, -13, -33. I also searched the whole Citation Sheet for PIO, appellate authority, RTI fee and application form. For the human scorer: open KANNADA(1).pdf, KM_226_03719.pdf and the stores-PIO JPG from the BWSSB RTI page. For each, record its date, check that the named office-holders and contact details are current, and note whether it is a searchable PDF or a scanned/image-only file. Also check for any RTI procedure text on BWSSB's site. Then apply the DPG5j rubric and capture a dated screenshot.
Quote: "4 (1) (b) xvi List of First Appeal, Authority, Public Information Officers"
"Score" left blank: the Citation Sheet doesn't decide it.</t>
  </si>
  <si>
    <t xml:space="preserve">BMTC website, Departments page (menu block and departments table)</t>
  </si>
  <si>
    <t xml:space="preserve">RTI menu links; table rows 3 (Law) and 11 (Internal Audit)</t>
  </si>
  <si>
    <t xml:space="preserve">Row 3: 'Chief Law Officer and Public Information Officer'; Row 11: 'nodalofficer for RTI'</t>
  </si>
  <si>
    <t xml:space="preserve">AI (low confidence), from Step 2 answer (Partially Answered) and BMTC-18: I left the score blank because of a VERIFICATION-LIMIT. This is not a finding that the information is missing. I checked the Step 2 answer against the source and it holds. BMTC-18 (Departments page, footer 'Last Updated: 30-09-2026') has links to: BMTC's own RTI page, the RTI 4(1)A and RTI 4(1) B pages, the state Online RTI portal, and a PDF called 'List of PIO-APIO-AA'. The PDF's file name suggests it was updated on 04-06-2024. I did not open it, so that date is unconfirmed. In the departments table, the Law department's head is 'Chief Law Officer and Public Information Officer', and the Internal Audit row names the 'Dy CAO/ IA' as 'nodalofficer for RTI'. Both rows give only a post title: no officer's name, phone number or email. What I checked: I searched the whole Citation Sheet for PIO, APIO, appellate authority, RTI fee and contact details, and read BMTC-18 and BMTC-11 (Officers List). Neither had PIO/APIO names, contact details or the RTI procedure. The Step 2 answer reports the same for BMTC-16 (Contact Us) and BMTC-01 (home page). The pages that would decide the score are not in the Citation Sheet: the BMTC RTI page, the RTI 4(1)(a) and 4(1)(b) pages, and the PIO-APIO-AA PDF. Without them I cannot judge whether the details are available and current, or what format they are in (searchable PDF, scanned PDF or HTML). A 0 would need proof of absence, which I don't have. A partial score would credit a list I haven't read. So the score stays blank. For the reviewer: (1) Open https://mybmtc.karnataka.gov.in/3/rti/en, the 4(1)(a) and 4(1)(b) pages, and the PIO-APIO-AA PDF. (2) Check that PIO/APIO/Appellate Authority names and contacts are listed and still current against the Officers List, and confirm the list's date. (3) Check whether the PDF text is searchable. (4) Take a dated screenshot, as the question bank requires.
Quote: "[https://mybmtc.karnataka.gov.in/storage/pdf-files/RTIPIOENGupdated04-6-24.pdf] List of PIO-APIO-AA"
"Score" left blank: the Citation Sheet doesn't decide it.</t>
  </si>
  <si>
    <t xml:space="preserve">AI: left for a person. Step 2 found no evidence (Insufficient Evidence). Source needed: A saved, dated copy of BDA's own official RTI page or Section 4(1)(b) disclosure (from a BDA domain shown to be official) that names the current PIO/APIO and First Appellate Authority, gives their contact details, and explains how to file a request (fees, address, online/offline). Alternatively, a saved copy of the Karnataka RTI Online portal's PIO/FAA listing or department list showing BDA's entry. Record the file format of each (HTML or searchable PDF, versus scanned or image-only).</t>
  </si>
  <si>
    <t xml:space="preserve">AI: left for a person. Step 2 found no evidence (Insufficient Evidence). Source needed: A dated, saved copy of BMRCL's current RTI page or Section 4(1)(b) disclosure on its official website. It should list the current PIO, APIOs and First Appellate Authority with contact details, and explain how to file an RTI application (fee, mode, address or online portal). We also need the file type (HTML, searchable PDF or scanned image) and proof that the domain is official, ideally a link from a Government of Karnataka or Government of India page. Failing that, a current Annual Report or official notification naming the PIO.</t>
  </si>
  <si>
    <t xml:space="preserve">Annual Report 2022-23 (01-04-2022 to 31-03-2023)</t>
  </si>
  <si>
    <t xml:space="preserve">Section 9, 'RTI Act - Status and Report', p.14; Section 10, 'Website', p.15</t>
  </si>
  <si>
    <t xml:space="preserve">Table of PIOs (s.5(1)), APIOs (s.5(2)) and Appellate Authorities (s.19(1)), listed by section</t>
  </si>
  <si>
    <t xml:space="preserve">AI: left for a person. Step 2 found no evidence (Insufficient Evidence). Source needed: A saved, dated copy of BMRDA's own 'Right To Information' page and its 'RTI online services' page, showing the current PIO/APIO/Appellate Authority names, phone and email, and how to file an RTI application. Also the current RTI s.4(1)(b) disclosure PDF with its PIO particulars, recorded as searchable or scanned, and the BMRDA entry on the Karnataka RTI Online portal. Each needs a date of access.</t>
  </si>
  <si>
    <t xml:space="preserve">AI: left for a person. Step 2 found no evidence (Insufficient Evidence). Source needed: SUDA's official RTI webpage or its RTI Act s.4(1)(b) proactive-disclosure manual. It should name the current PIO, APIO and Appellate Authority with designation, address, phone and email, describe the application procedure and fees, and carry a date. The format should also be recorded: HTML page, searchable PDF, or scanned/image-only PDF. A dated screenshot or archived copy with the access date is also needed.</t>
  </si>
  <si>
    <t xml:space="preserve">RTI &gt; Details of Public Information Officer and Appellate Authority (HTML page)</t>
  </si>
  <si>
    <t xml:space="preserve">List of officers appointed under the RTI Act 2005, entries 1-4</t>
  </si>
  <si>
    <t xml:space="preserve">Entry 3 (PIO, Surat); also Entry 1 (Central First Appellate Authority) and Entry 4 (PIO for 'all Surat')</t>
  </si>
  <si>
    <t xml:space="preserve">AI (medium confidence), from Step 2 answer (Answered — Verified Source) and GMRC-14: I scored 1, made up of two parts of 0.5 each. One part is availability and currency of RTI details; the other is minimum format. My input did not include the question's Detailed Methodology text. I took these two bands from the Step 2 notes, so a reviewer should check them against the DPG5j methodology before accepting the score. (1) Availability and currency, 0.5: I checked this against the sources and it holds. GMRC-14 is GMRC's official RTI page in HTML. It names a Central First Appellate Authority (Shri Dhaval R Jani, cao@gujaratmetrorail.com, Ext 528). It also names a PIO for Surat (Shri Deepak Mahana, Sr. DGM, by email) and a PIO for 'all Surat' (Ms. Bhoomi Shah, DGM-Administration, by email, Ext 520). GMRC-03 is the Section 4(1)(b) disclosure page, also HTML. Ch.15 explains how to apply to the PIO and says the prescribed fee must be paid. Ch.16 links to the PIO page. Ch.17 gives the fee schedule (Rs.20 application; Rs.2 per page; nil for BPL applicants) and the time limits (PIO 30 days, APIO 35 days). The GMRC-14 footer says 'Last Updated on : 12-Oct-2026 @ 6:16 PM'. GMRC-03 has spending figures to 31.03.2026. Nothing in the Citation Sheet shows these officers or contacts are out of date. (2) Minimum format, 0.5: both pages are searchable HTML, not scanned images. Points for the reviewer: (a) The 'Last Updated' footer may be a date for the whole site, not this page. No one has checked that the named officers are still in post or that their email addresses work. If the methodology requires independent proof of currency, this part could fall to 0, so please capture a dated screenshot. (b) The Surat PIO entry gives only an email address: no phone number and no Surat postal address. The only postal address given is the Gandhinagar registered office. (c) The procedure text has errors and dated wording: it says 'Within 48 days' for life-or-liberty requests, where the Act says 48 hours, and it mentions diskettes and floppies. No APIO is named, although the link text mentions 'assistant-pio'. (d) No gov.in or nic.in page in the Citation Sheet links to gujaratmetrorail.com as GMRC's official domain. Its official status rests on the site's own ownership statement and on the team's listing.
Quote: "3.Shri Deepak Mahana, Senior Deputy General Manager (Sr. DGM) – Civil/SafetyPublic Information Officer(Surat)Email: deepak.mahna@gujaratmetrorail.com"</t>
  </si>
  <si>
    <t xml:space="preserve">BWSSB homepage, 'News and Events' / 'Latest News' list, item 9; Services menu heading 'Tender'</t>
  </si>
  <si>
    <t xml:space="preserve">BWSSB homepage, 'News and Events' / 'Latest News' list, item 9 (4 weeks ago); 'Tender' heading in the menu</t>
  </si>
  <si>
    <t xml:space="preserve">AI: left for a person. Step 2 found no evidence (Insufficient Evidence). Source needed: Two things are needed, each with a dated saved copy or screenshot: (a) BWSSB's tender/notifications page on its official website, and (b) BWSSB's tender and award listings on the Karnataka e-Procurement portal, filtered to BWSSB. Together these should show the date of the latest tender and award (current or previous FY) and the format: a searchable table or downloadable CSV/XLS, versus individual or scanned PDFs. A published BWSSB contract or work-order register would also answer the awarded-contract part.</t>
  </si>
  <si>
    <t xml:space="preserve">BMTC Tenders</t>
  </si>
  <si>
    <t xml:space="preserve">BMTC Tenders page (mybmtc.karnataka.gov.in), top entry</t>
  </si>
  <si>
    <t xml:space="preserve">Chronological tender list, latest entry dated 23/09/2026</t>
  </si>
  <si>
    <t xml:space="preserve">AI (low confidence), from Step 2 answer (Partially Answered) and BMTC-10: SCORE LEFT BLANK. The question has two halves, each worth 0.5: (a) availability and currency, and (b) format. Only (a) can be decided from the Citation Sheet. (b) is a RUBRIC-GAP and is also incomplete evidence.
(a) Availability and currency. BMTC-10 is BMTC's official Tenders page on mybmtc.karnataka.gov.in. It lists dated notices from the current FY 2026-27. The latest is 'TENDER NOTIFICATION NO: 24/2026-27 (e-Procurement Platform): 23/09/2026', and others follow from 17/09/2026, 09/09/2026 and 08/09/2026. The list runs back to 2022-23. If the methodology's 'tenders/awards' wording means tender notices alone are enough, this half supports 0.5. The reviewer should confirm that.
Awards. I found no awarded-contract details for BMTC (awardee, contract value or award date) anywhere in the sheet. A sheet-wide search for 'awarded contracts work order successful bidder kppp' found only BMTC-04, the GBA Act. Its ss.142-143 cover contracts and tenders for the City Corporation, not BMTC, and the Act shows no practice.
(b) Format. The page is an HTML list grouped by month. Each entry gives a title, number and date and links to its own PDF or DOCX file. The page shows no structured fields (value, closing date, awardee), no tender filter or search and no CSV/XLS download. The only search mentioned is the site-wide 'search here' box in the Help text. This looks close to the rubric's 0 example ('individual PDFs with no searchable/indexed tender/award register'). Still, two things stop me from entering a 0:
(i) It is a judgement call whether a dated, ordered link list counts as an 'indexed register'.
(ii) Many entries say bids go 'through Kpp Portal' / 'e-Procurement Platform'. The Karnataka Public Procurement portal may hold a structured, searchable BMTC tender and award register, but it is not in the Citation Sheet. Without it there is no affirmative absence.
Outcome: the total is 0.5 if format is confirmed as 0, or 1 if format earns 0.5 (for example through a dated KPP capture).
VERIFICATION-LIMIT: Some PDF links repeat the domain in their path (e.g. 'mybmtc.karnataka.gov.in/mybmtc.karnataka.gov.in/uploads/...'), so I could not confirm those links work. None of the individual PDFs were opened.
Other sources checked: BMTC-01, BMTC-18 and BMTC-28 have no procurement content. A reviewer should take a dated screenshot of the Tenders page and the KPP portal BMTC listing.
Quote: "TENDER NOTIFICATION NO: 24/2026-27 (e-Procurement Platform): 23/09/2026"
"Score" left blank: the Citation Sheet doesn't decide it.</t>
  </si>
  <si>
    <t xml:space="preserve">AI: left for a person. Step 2 found no evidence (Insufficient Evidence). Source needed: Two things would answer this. First, a saved and dated copy of the tender or notification page on BDA's official website; its official status needs proof such as a link from a gov.in page. Second, the Karnataka public-procurement (KPPP) portal's tender and award listings filtered to Bangalore Development Authority. Either should show dated tender notices and contract awards from FY 2025-26 or 2026-27, and whether they appear as a searchable table or downloadable CSV/XLS, or only as individual or scanned PDFs. A published BDA contract or award register would also answer it.</t>
  </si>
  <si>
    <t xml:space="preserve">Government eProcurement System (etenders.gov.in) – Tender Details page</t>
  </si>
  <si>
    <t xml:space="preserve">Tender ID 2025_BMRCL_222481_1; Organisation Chain 'Bangalore Metro Rail Corporation Limited||Projects Division - AFC-BMRCL'</t>
  </si>
  <si>
    <t xml:space="preserve">Work Item Details (Title); Critical Dates (Published Date 04-Jan-2025; Bid Submission 17–27 May 2025; Bid Opening Date 28-May-2025); Latest Corrigendum List (Addendumno5dated17042025)</t>
  </si>
  <si>
    <t xml:space="preserve">AI (low confidence), from Step 2 answer (Partially Answered) and BMRCL-33: I left the Score blank because the evidence does not support a number. A blank Score is a not-found result, not a 0. The full question text and Detailed Methodology for DPG5k were not given to me. I relied on the Step 2 notes, which describe two components: 'Availability &amp; currency' (0.5) and 'Format' (0.5). I re-read the sources myself. (1) BMRCL-33 is one BMRCL tender-detail record on the central eProcurement portal (etenders.gov.in), not on BMRCL's own website. It was published on 04-Jan-2025, which is FY 2024-25. Bids were submitted and opened in May 2025 (FY 2025-26). The page was accessed on 12-Oct-2026 (FY 2026-27). Whether this tender counts as current depends on which date is used for the FY window, so a reviewer has to rule on it. The page has no award details: no winning bidder, no contract value (it shows 'Tender Value in ₹ NA') and no award date. The portal menu lists 'Results of Tenders' and 'Awards', but the saved page has no BMRCL content under those headings. (2) In BMRCL-09, the Annual Report for FY 2020-21 (Corporate Governance Report, item 7, p.54), the company says it 'hosts all its tenders on the Website' (www.bmrc.co.in) under the KTPP Act, 1999. This is the company describing itself in FY 2020-21. It is not evidence of current practice, and no saved copy of BMRCL's tenders page exists in the Citation Sheet. (3) The other sources are laws and policies, and none of them is a procurement disclosure: BMRCL-02, -03, -04, -06, -07, -08, -32. A search across the Citation Sheet for tender, award and contract disclosures found nothing more. A 0 is not justified, because nothing shows affirmatively that disclosure is absent. BMRCL's own website was never captured, so this is a VERIFICATION-LIMIT. A part-score (for example 0.5 for availability) is also not justified: currency is ambiguous, awarded-contract details are missing, it is unclear whether a central portal counts as 'the website', and I could not see the methodology bands. For the reviewer to confirm: (a) Do the FY window rules use the publication date or the bid-opening date? (b) Does etenders.gov.in count as the parastatal's website? (c) Are both tender notices and award details required? (d) Please capture a dated screenshot of the bmrc.co.in tenders and awards pages and of the BMRCL 'Results of Tenders' / 'Awards' listings on etenders.gov.in for FY 2025-26 and FY 2026-27.
Quote: "Design, Manufacture, Supply, Installation, Testing and Commissioning of Automatic Fare Collection System (SLE, SC and CCS) for Phase-2A and 2B and Integration with Existing AFC System"
"Score" left blank: the Citation Sheet doesn't decide it.</t>
  </si>
  <si>
    <t xml:space="preserve">AI: left for a person. Step 2 found no evidence (Insufficient Evidence). Source needed: Needed: (a) a capture of the Karnataka e-Procurement portal's tender search and awarded-contract results filtered for BMRDA as the department, with dated tenders or awards from FY 2025-26 or 2026-27 and a note of the format (searchable table or downloadable dataset vs PDF); or (b) a BMRDA website page on tenders or contracts, if one exists. A dated screenshot or archived URL with access date for each document type (tender notices; awarded contracts).</t>
  </si>
  <si>
    <t xml:space="preserve">AI: left for a person. Step 2 found no evidence (Insufficient Evidence). Source needed: A saved, dated copy of SUDA's own tenders or notices page, and/or SUDA's listing on the Gujarat state e-procurement portal, showing tenders and awarded contracts from FY 2025-26 or FY 2024-25. It should also record the format (searchable table or downloadable data file, versus single PDFs or scanned notices), plus any contract register or list of awards SUDA publishes.</t>
  </si>
  <si>
    <t xml:space="preserve">Awarded Tenders page (gujaratmetrorail.com)</t>
  </si>
  <si>
    <t xml:space="preserve">Awarded-contract register table (columns: Tender No. / Work Details / Metro Rail Project / Awarded To / Work Order Date)</t>
  </si>
  <si>
    <t xml:space="preserve">Rows for FY 2026-27, including the Surat Phase-1 road resurfacing award (15/05/2026) and the Dream City Depot horticulture award (18/04/2026); top row dated 19/08/2026</t>
  </si>
  <si>
    <t xml:space="preserve">AI (medium confidence), from Step 2 answer (Answered — Verified Source) and GMRC-13: I propose a Score of 1. This uses the two-part rubric the Step 2 answer quotes: availability and currency 0.5, plus format 0.5. The question text and Detailed Methodology were not in my task input, so a reviewer should check that this 0.5 + 0.5 split matches the question bank for DPG5k.
I re-read the sources myself rather than copying Step 2.
(1) Availability and currency (0.5). GMRC-13 is an awarded-contract register with work order dates in FY 2026-27. The latest is 19/08/2026. Surat-specific awards include GMRC/ROAD RESURFACE/SURAT/PH-1/2026 (M/s. Sunil A. Domadia, 15/05/2026) and GMRC/HORTICULTURE/DC-01/SURAT/PH-1/2026 (M/s. Bhavani Garden Consultant, 18/04/2026). GMRC-12 lists tender notices in FY 2026-27. The newest is GEM/2026/B/8141296, with document sale from 12/10/2026. Surat tenders include GMRC/MMI-2/SURAT/PH-1/2026 (15/05/2026 to 10/08/2026) and GMRC/AFC-Consultant/Surat/Ph-1/2026. The page footer reads 'Last Updated on : 12-Oct-2026'. Both tender notices and award details are therefore current.
(2) Format (0.5). Both indexes are structured HTML tables with fixed columns. The tenders table has Tender No., Work Details &amp; Document, Metro Rail Project, Document Sale Date, Submission Date and Opening Date, and links each row to its NIT, addendum or PDF. The awards table has contractor and work order date. This fits the 'HTML contract register' example that Step 2 says the rubric gives.
Caveats for the reviewer:
(a) Domain proof is not settled under source rule B. The Citation Sheet has no gov.in/nic.in page or Act/GO naming gujaratmetrorail.com as GMRC's domain. The only support is the site's own footer ('This website belongs to Gujarat Metro Rail Corporation (GMRC) Limited') and GMRC's 2024-25 Annual Report (GMRC-05). The team should confirm.
(b) The saved text cannot show whether the page has a search or filter box. If the methodology requires search or filter, a reviewer should check the live page. VERIFICATION-LIMIT for that feature only.
(c) Both registers cover all of GMRC, not only Surat. The 'Metro Rail Project' column marks the Surat rows, but some Surat rows carry the wrong label. For example, GMRC/ENVIRONMENT/SURAT/N&amp;V STUDY/2023 is tagged 'Ahmedabad Metro Rail Project Phase – 1'. This is a data-quality issue.
(d) Surat Metro is still pre-operational.
(e) No dated screenshot is in the Citation Sheet. A reviewer should capture one if the question bank requires it.
Confidence is medium because the score rests on two sources read together (GMRC-12 and GMRC-13), the rubric was taken from Step 2 rather than given to me, and domain proof is open.
Quote: "GMRC/ROAD RESURFACE/SURAT/PH-1/2026Resurfacing and Repair of Roads along with Ancillary Works in Corridor-I &amp; II alignment of Surat Metro Rail Project, Phase-1Surat Metro Rail Project Phase – 1M/s. Sunil A. Domadia15/05/2026"</t>
  </si>
  <si>
    <t xml:space="preserve">Miscellaneous (ss.118-122); Chapter IV Water Supply (s.59), applied to sewerage by s.82(2)</t>
  </si>
  <si>
    <t xml:space="preserve">Section 120 (Appeals); read with Section 59(7)(c) and Section 121 (Revision)</t>
  </si>
  <si>
    <t xml:space="preserve">s.120; s.59(7)(c); s.82(2)</t>
  </si>
  <si>
    <t xml:space="preserve">54</t>
  </si>
  <si>
    <t xml:space="preserve">AI (medium confidence), from Step 2 answer (Answered — Verified Source) and BWSSB-02: I checked the Step 2 answer against the text of BWSSB-02 (the Bangalore Water Supply and Sewerage Act, 1964, PRS copy with amendments appended up to Act 29 of 2021). The source supports it.
What the Act says:
(1) s.120 gives a statutory appeal. Any person aggrieved by a decision or order of the Water Supply Engineer, the Sanitary Engineer or another officer under the Act, rules or regulations may appeal within 60 days to the authority prescribed by the regulations. The appellate order is final, subject to the Board's revision. Here 'may' is the citizen's right to appeal, not discretion for the Board.
(2) s.121 lets the Board call for and revise the proceedings of subordinate officers.
(3) s.59(7)(c) is mandatory: 'The Board shall make regulations providing for ... the hearing and disposal of complaints made by the owners or occupiers of premises' about licensed plumbers' work, materials, delay and charges. s.82(2) applies s.59 to drain and sewerage work.
Together these mean the law requires a grievance or complaint channel, which fits the band Step 2 describes ('requires a grievance-redressal mechanism (any channel)'). I score that as 5.
Supporting practice evidence only: BWSSB-29 (Annual Report FY 2016-17, p.101) records monthly Water Adalats, Appeal Committees and Higher Appeal Committees for bill disputes and public grievances. This is old and is not used for the score.
FOR THE TEAM TO CONFIRM:
(a) RUBRIC CHECK NEEDED: the question text and Detailed Methodology for DPG6a were not in my task input. I took the band wording ('any channel' = 5) from the Step 2 answer. A person should check that 5 is the right band for 'law requires a grievance mechanism'.
(b) Both provisions are narrow. s.120 covers appeals against officers' decisions or orders. s.59(7)(c) covers only complaints about licensed plumbers. Neither is a general mechanism for complaints about service. If the rubric wants a general service-complaint mechanism, the BWSSB Citizen Charter, the BWSSB Regulations and any Sakala schedule entry need to be added to the sheet. None of these texts is in the sheet now: BWSSB-12 only links to the Charter, and BWSSB-34 does not show a BWSSB schedule entry.
(c) The Act text is a PRS copy only. ss.59 and 120 should be checked against an official Karnataka gazette or e-Gazette copy.
(d) The regulations that name the s.120 appellate authority are not in the sheet, so it is not confirmed that they have been made.
Quote: "order of the Water Supply Engineer or the Sanitary Engineer or other officer under this Act or any rule or regulation made thereunder may within a period of sixty days from the date of such decision or order appeal to the authority prescribed by the regulations and subject to revision by the Board, the orders of the appellate authority on such appeal shall be final."</t>
  </si>
  <si>
    <t xml:space="preserve">AI: left for a person. Step 2 found no evidence (Insufficient Evidence). Source needed: Any one of these could settle the question: (a) the BMTC Citizen's Charter or Service Charter, if one is issued, showing it commits to a complaint or grievance channel; (b) the Karnataka Guarantee of Services to Citizens (Sakala) Act schedule or notification listing BMTC services, with its designated officers and appeal authorities; (c) the readable text of KSRTC Rules 1961 and any BMTC/KSRTC regulations that apply to BMTC, checked for passenger complaint or grievance provisions; (d) any State Government order under RTC Act s.34 directing BMTC to keep a public grievance mechanism, or a Karnataka IPGRS/e-Spandana order that covers BMTC. To score 0, all of these would need to be in the sheet, read, and found silent.</t>
  </si>
  <si>
    <t xml:space="preserve">Chapter VIII (Miscellaneous)</t>
  </si>
  <si>
    <t xml:space="preserve">Section 62A (Appeal against assessment etc.); see also s.63 (Revision), s.69 (rules), s.70 (regulations), s.71 (bye-laws)</t>
  </si>
  <si>
    <t xml:space="preserve">s.62A(1)</t>
  </si>
  <si>
    <t xml:space="preserve">50</t>
  </si>
  <si>
    <t xml:space="preserve">AI (low confidence), from Step 2 answer (Partially Answered) and BDA-02: Score left blank. Not found, and absence is not shown. I agree with Step 2 after checking BDA-02 (PRS copy of the BDA Act 1976, amended up to Act 42 of 2026).
What the Act contains:
- No section on general citizen grievance redressal or complaints.
- s.62A gives a narrow appeal against tax under s.28B. The appeal goes to an Appellate Authority that the Government notifies, and its decision is final (s.62A(3)). It covers one subject only, so it is not a general grievance mechanism.
- s.63 is a discretionary ('may') revision power held by the Government and the Authority. It is not a channel for citizen complaints.
- s.69 (rules) and s.70 (regulations) list no grievance-redressal subject.
- s.71 (bye-laws) covers only houses, building construction and layouts.
Why I gave neither 0 nor 5:
- A 0 needs affirmative absence across every layer. Several are not in the Citation Sheet: BDA Rules under s.69, BDA Regulations under s.70, any BDA citizen or service charter, the Karnataka Sakala Services Act and its schedule notifications for BDA services, and any Government directions to BDA under s.65.
- I searched the sheet for 'grievance redressal' and 'Sakala guarantee of services citizen charter'. Neither search found these instruments.
- A 5 is not supported. The only redress provision is the s.62A tax appeal, and whether that alone meets the methodology's 'mechanism' needs a person to decide.
Other sources checked:
- GBG Act 2024 (BDA-03) s.96(c): an assembly-constituency-level committee 'shall' receive grievances about 'any authority empowered under this Act'. This is a provision of the city government's own law, not BDA's, and it is unclear whether BDA counts as such an authority.
- BDA-04, BDA-05, BDA-06, BDA-13 and BDA-27 hold no grievance mandate for BDA. BDA-27 is the RTI portal: RTI is a right to information, not a grievance mechanism.
For the team:
(a) Add the Sakala schedule entries for BDA, any BDA citizen charter, and the BDA Rules and Regulations.
(b) Decide whether the s.62A tax appeal counts as a grievance-redressal mechanism through 'any channel'.
(c) Decide whether GBG Act s.96(c) covers BDA.
BDA-02 is a secondary PRS copy.
Quote: "Any person aggrieved by the assessment, levy  or imposition of any tax  under section  28B may, within a period  of one month  next after service of notice of demand, appeal to such authority  as the Government may, by notification, specify (hereinafter referred to as the  Appellate Authority) ;"
"Score" left blank: the Citation Sheet doesn't decide it.</t>
  </si>
  <si>
    <t xml:space="preserve">Objective 5 (Parking charges and Enforcement/Monitoring)</t>
  </si>
  <si>
    <t xml:space="preserve">Objective 5, item 7</t>
  </si>
  <si>
    <t xml:space="preserve">page 17 of the PDF (printed pg. 15)</t>
  </si>
  <si>
    <t xml:space="preserve">AI (low confidence), from Step 2 answer (Partially Answered) and BMRCL-32: I have left the score blank because the evidence fits neither the 5 band nor a 0.
What I found:
(1) The only grievance provision in the Citation Sheet is BMRCL-32, the Metro Parking Policy 2025, Objective 5 item 7, quoted above. It covers parking complaints only. It uses 'will' and 'should be able to', not 'shall'. It is a policy document, not an Act, subordinate legislation or a citizen/service charter.
(2) The question text and Detailed Methodology were not in the task input. I took the 5 band from the Step 2 notes: 'Act, subordinate legislation or charter requires a grievance mechanism'. A person should check this against the question bank.
(3) RUBRIC-GAP: a parking-only clause in a policy document matches neither the 5 band nor a 0. The team needs to confirm: (a) whether this policy counts as a policy mandate or charter; (b) whether a channel limited to parking is enough.
Why not 0: a 0 needs affirmative absence, and these are not in the Citation Sheet:
- any BMRCL Citizen's or Service Charter;
- regulations made under s.101 of the Metro Railways (Operation and Maintenance) Act, 2002;
- Rules made under s.32 of the same Act;
- BMRCL's Memorandum and Articles of Association;
- the Karnataka Sakala (service-guarantee) schedule.
What I checked:
- BMRCL-04, Metro Railways (Operation and Maintenance) Act, 2002: s.48 and ss.57-58 are accident compensation before a Claims Commissioner, which is adjudication, not a grievance channel. s.70 covers emergency communication in trains. Neither is credited.
- BMRCL-06, Companies Act, 2013: s.178(6) covers grievances of security holders only, not the public.
- BMRCL-08, BMLTA Act, 2022: puts no grievance duty on BMRCL. The Schedule lists 'Helpline system' only as an Intelligent Transport System category.
- BMRCL-09, Annual Report FY2020-21: mentions only RTI officers, the Internal Complaints Committee and a labour grievance matter.
- BMRCL-02, Greater Bengaluru Governance Act, 2024, s.96(c): a grievance channel run by the city government's consultative committee, not a duty on BMRCL.
- I also searched the whole sheet for 'grievance redressal' and for 'complaint passengers citizen charter'.
The Step 2 answer matches what the sources say.
Quote: "The redressal cell of BMRCL will address the complaints related to parking  on regular basis. The complainant should be able to submit his /her grievances through online mode also."
"Score" left blank: the Citation Sheet doesn't decide it.</t>
  </si>
  <si>
    <t xml:space="preserve">Chapter III (powers and functions of the Authority; s.10 is just before Chapter IV, Finance, Accounts and Audit)</t>
  </si>
  <si>
    <t xml:space="preserve">Section 10(5); see also Section 26(3)</t>
  </si>
  <si>
    <t xml:space="preserve">s.10(5): appeal to the State Government against BMRDA's decision on development permission under s.10(4)</t>
  </si>
  <si>
    <t xml:space="preserve">11</t>
  </si>
  <si>
    <t xml:space="preserve">AI: left for a person. Step 2 found no evidence (Insufficient Evidence). Source needed: Any one of these would decide the question: (a) the full text of the BMRDA Act, 1985 as amended, plus any BMRDA Rules or regulations, checked for a grievance or complaint provision; (b) the text of the BMRDA Citizen Charter (the 2020-21 charter or a later one) and any grievance-redressal clause in it; (c) the Karnataka Sakala service-guarantee schedule, if it lists BMRDA services such as change of land use or layout approval, together with its appeal and redress provisions.</t>
  </si>
  <si>
    <t xml:space="preserve">AI: left for a person. Step 2 found no evidence (Insufficient Evidence). Source needed: (a) A readable official text of the Gujarat Town Planning and Urban Development Act, 1976, as amended, from the state legislative or urban development department, to check for any complaint or appeal provision on development permission (e.g. appeals against permission orders). (b) A full search of SUDA's current approved General Development Control Regulations for any appeal or complaint clause. (c) SUDA's citizen or service charter, if one exists. (d) Any Gujarat service-guarantee law or government order, with its schedule, that lists SUDA's services with time limits and an appeal or redress officer. (e) Any SUDA-specific government order requiring a grievance cell.</t>
  </si>
  <si>
    <t xml:space="preserve">Section 5 (Social Management Unit / ESMU roles) and Section 7 'Grievance Redressal Mechanism'</t>
  </si>
  <si>
    <t xml:space="preserve">Duties of the Sr. Social Development Officer (p. 31); GRM (pp. 27-30)</t>
  </si>
  <si>
    <t xml:space="preserve">31</t>
  </si>
  <si>
    <t xml:space="preserve">AI (low confidence), from Step 2 answer (Partially Answered) and GMRC-09: I left the score blank because no qualifying instrument is in the Citation Sheet, and no 0 can be given without proof of absence. The Step 2 answer agrees with the source. (1) The 5 band needs an Act, subordinate legislation or a citizen/service charter that requires a grievance mechanism. GMRC-03 lists GMRC's governing laws: the Metro Railway (O&amp;M) Act 2002 as amended in 2009, the Railways Act 1989, and the Metro Railways General Rules 2020 and other Rules. GMRC-07, para 8.2, makes these laws apply. But the texts of these Acts and Rules are not in the Citation Sheet, so I could not check whether any of them requires a grievance mechanism. GMRC-03 also names GMRC's Memorandum and Articles of Association, but their text is not in the sheet either. (2) GMRC-09 is the December 2020 Stakeholder Engagement Plan for Surat Metro Phase-I. It sets up a grievance process for project-affected people: a Grievance Redress Committee with a local-body representative, timelines, and a Grievance Redressal Officer. It is a safeguard plan written for the lenders, AFD and KfW. It is not an Act, Rules or a citizen/service charter, and it covers resettlement and construction grievances, not service users. Whether it can count as a 'charter' needs team confirmation; I treated it as not counting. (3) GMRC-11, the EIA, p. 47, says Indian regulations 'may designate' a grievance officer. That is discretionary wording ('may'), not 'shall'. (4) GMRC-05, the 2024-25 annual report, and GMRC-15, the website's Feedback/Grievance form (a bare name/email/message form, page dated 12-Oct-2026), show a working feedback channel. The annual report relates to the Ahmedabad Metro. Both are evidence of practice, not of a mandate, so they do not support a Law/Policy score. GMRC-15 contains no charter, timelines or binding provision. I also searched the whole sheet for 'citizen charter' and found nothing relevant. The Surat project is listed as 'Under Implementation', so it is pre-operational. Missing evidence for the team to add: the texts of the Metro Railways (O&amp;M) Act 2002/2009 and the Metro Railways General Rules 2020, GMRC's Memorandum and Articles of Association, and any GMRC passenger or citizen charter. The full question text and Detailed Methodology were not given in the task, so I scored from the band description recorded in the Step 2 notes. A person should confirm that against the question bank.
Quote: "Manage the grievance mechanism set up for the project affected areas;"
"Score" left blank: the Citation Sheet doesn't decide it.</t>
  </si>
  <si>
    <t xml:space="preserve">BWSSB official website homepage, 'Quick Announcements' / 'Contact Us' block</t>
  </si>
  <si>
    <t xml:space="preserve">Helpline numbers block; services menu item 'Lodge Complaint'; news list item 'Revised Water Adalath Schedule'</t>
  </si>
  <si>
    <t xml:space="preserve">AI (low confidence), from Step 2 answer (Partially Answered) and BWSSB-01: Score left blank. Only 1 of the 5 grievance-channel components is confirmed, so no total (0-5) can be given. Treat 1 as the lowest possible score, not as the score. What the sources show, read against the Step 2 answer: (1) Telephone channel: MET. BWSSB-01, BWSSB-16 and BWSSB-36 all show the homepage block 'Helpline numbers: Call center-1916', a designated helpline. BWSSB-29 (Annual Report FY2016-17) also mentions a 24x7 call centre, but that report is historical only. (2) Web channel: VERIFICATION-LIMIT. BWSSB-01 and BWSSB-36 list a services link 'Lodge Complaint' (cms.bwssb.gov.in/module/complain/new_complaint), and the staff menu lists 'Complaint Management System (CMS)'. The complaint page itself is not in the Citation Sheet, so it is not shown that a citizen can actually submit a complaint there. (3) Mobile/electronic channel (app, email, WhatsApp): not found. The website copies I read (BWSSB-01, BWSSB-13, BWSSB-16, BWSSB-36, BWSSB-41) show no grievance app, email or WhatsApp channel. The only app listed is 'HRMS &amp; Payroll Mobile app' under Staff login, which is not for citizens. The FAQ and helpline 'Read more' pages are not saved in the Sheet, so this is not proven absent and cannot score 0. (4) In-person channel: not confirmed. BWSSB-36 lists 'Revised Water Adalath Schedule', posted '2 weeks ago' (around July 2026), but the schedule's contents are not saved. BWSSB-29 describes monthly Water Adalats in FY2016-17, which is too old to prove current practice. (5) Acknowledgement/tracking: not found. Nothing in the Sheet shows a complaint reference number or status tracking for BWSSB grievances. The Sakala status check in BWSSB-34 covers service-guarantee services, not BWSSB grievances. 'Safa Mitra 14420' is not counted because its purpose is not stated. IPGRS is in the generic state-government footer, not presented as a BWSSB channel. I agree with the Step 2 answer. For a person to check: open the CMS 'Lodge Complaint' page and see whether it accepts a complaint and gives a reference number with tracking; open the Revised Water Adalath Schedule page; open the FAQ and helpline 'Read more' pages for an email, WhatsApp or app channel; take dated screenshots. Website period: as captured around July 2026 (Water Shutdown notice dated 22-07-2026, © 2026).
Quote: "Helpline numbers: Call center-1916, Safa Mitra -14420"
"Score" left blank: the Citation Sheet doesn't decide it.</t>
  </si>
  <si>
    <t xml:space="preserve">Contact Us page, mybmtc.karnataka.gov.in</t>
  </si>
  <si>
    <t xml:space="preserve">Page body: address block and helpline</t>
  </si>
  <si>
    <t xml:space="preserve">AI (low confidence), from Step 2 answer (Partially Answered) and BMTC-16: I left the Score blank. The Citation Sheet does not let me verify all five grievance components (web, mobile/electronic, telephone, in-person, and acknowledgement/tracking), and a 0-5 total can't be given while some components are not found rather than shown to be absent.
What each component shows:
(1) Web: The menu on BMTC-01, BMTC-09, BMTC-10 and BMTC-16 links to 'Complaints' (mybmtc.karnataka.gov.in/10/complaints/en), 'New Complaint' (http://crm.mybmtc.com) and 'Public Grievance Dashboard' (http://crm.mybmtc.com/All_module). None of these target pages is in the sheet, so I can't confirm the channel works. This is a VERIFICATION-LIMIT, not a negative finding.
(2) Mobile/electronic: Not found. BMTC-10 has only tenders for a 'BMTC Mobile App with Women safety feature'. BMTC-28 mentions an app for passes, which is ticketing, not grievances. The Contact Us page gives no designated grievance email or WhatsApp.
(3) Telephone: BMTC-16 publishes 'Helpline Number: 080 22483777', but the page never says it takes complaints or grievances. Someone needs to confirm whether it counts.
(4) In-person: Not found. BMTC-30 (KarnatakaOne) covers only monthly pass issue for BMTC. Its 'Grievance' link is KarnatakaOne's own, not BMTC's. BMTC-01 mentions a KIA Terminal 2 helpdesk but doesn't show it takes grievances.
(5) Acknowledgement/tracking: A dashboard link exists, but no reference-number or tracking function is verified.
I checked BMTC-16 and BMTC-30, and searched the whole sheet for 'complaint grievance'. I agree with the Step 2 caveats. BMTC-04 (the GBA Act committee grievances) is a channel on the city government's side, not BMTC's.
Why no partial score: crediting only the web link and the helpline would be a guess, because neither is verified as working. Scoring the missing components as 0 would need affirmative absence, and the CRM portal, complaints page, app listing and Citizen Charter were never in the sheet.
A reviewer needs to: open and take dated screenshots of the complaints page, the crm.mybmtc.com complaint form and the dashboard; check for a BMTC app grievance feature, a grievance email/WhatsApp, and in-person depot or grievance-officer arrangements; and confirm whether the helpline takes complaints.
QB anomaly from Step 2: the 5th component is labelled 'in-person' but its qualification is about tracking. This needs confirmation.
Quote: "Helpline Number: 080 22483777"
"Score" left blank: the Citation Sheet doesn't decide it.</t>
  </si>
  <si>
    <t xml:space="preserve">AI: left for a person. Step 2 found no evidence (Insufficient Evidence). Source needed: Any of these, saved with dates: (1) BDA's own website, with its official status proven by a link from a .gov.in page or by an official instrument naming it, showing an online grievance form or a redirect to a state grievance portal; (2) the website or an app listing that names a grievance email, WhatsApp number or mobile app; (3) the website showing a designated grievance helpline or call-centre number; (4) BDA's Citizen's Charter or an office order naming a grievance counter, helpdesk or grievance officer; (5) a portal page showing that complaints get an acknowledgement or reference number and can be tracked (e.g. the state grievance portal or Sakala with BDA listed).</t>
  </si>
  <si>
    <t xml:space="preserve">AI: left for a person. Step 2 found no evidence (Insufficient Evidence). Source needed: Dated saved copies or screenshots of BMRCL's official website showing: (a) an online grievance form or a redirect to a state/central grievance portal; (b) a designated grievance email, the Namma Metro app's grievance feature with its app-store listing, or a WhatsApp channel; (c) a dedicated customer-care or helpline number for complaints; (d) a Citizen's Charter or notice naming an in-person grievance counter or officer (e.g. station customer-care desks); (e) a grievance acknowledgement or status-tracking screen with a complaint number. A current BMRCL annual report section on commuter grievances would add practice evidence.</t>
  </si>
  <si>
    <t xml:space="preserve">Annual Report 2022-23</t>
  </si>
  <si>
    <t xml:space="preserve">Section 10 'Website', p.15 (English); Kannada equivalent Section 11, pp.8-9</t>
  </si>
  <si>
    <t xml:space="preserve">AI: left for a person. Step 2 found no evidence (Insufficient Evidence). Source needed: To score this, the team needs: (a) the BMRDA feedback page, opened and saved, to show whether it accepts grievances and works; (b) the current BMRDA Citizen Charter, or an office order naming a grievance redressal officer, counter or helpline; (c) a BMRDA page or order sending citizens to IPGRS, e-Spandana or Sakala, plus the portal page showing BMRDA as a selectable department; (d) a screen showing acknowledgement or status tracking (complaint or reference number); (e) any grievance email or helpline that BMRDA has officially notified as such.</t>
  </si>
  <si>
    <t xml:space="preserve">AI: left for a person. Step 2 found no evidence (Insufficient Evidence). Source needed: Dated saved copies (with screenshots) of SUDA's official website pages, plus any state grievance portal SUDA sends users to, showing: (1) an online grievance form or link to an integrated grievance portal; (2) a designated grievance email, app or WhatsApp number; (3) a designated grievance helpline; (4) a citizen charter, office order or web page naming an in-person grievance desk or officer; (5) a complaint reference number or status-tracking page. Reviewer to capture a dated screenshot for each.</t>
  </si>
  <si>
    <t xml:space="preserve">Directors' Report – Passenger Satisfaction (GMRC 15th Annual Report 2024-25)</t>
  </si>
  <si>
    <t xml:space="preserve">Page 15 (report page 13 of 152)</t>
  </si>
  <si>
    <t xml:space="preserve">Passenger Satisfaction paragraph; complaint and suggestion summary tables on p.16</t>
  </si>
  <si>
    <t xml:space="preserve">AI (low confidence), from Step 2 answer (Partially Answered) and GMRC-05: I left the score blank. Some components have evidence, but none of the five is decided for Surat today. A number cannot be summed without each component, and a 0 needs affirmative absence, which is not shown.
What I found when checking the Step 2 answer:
(1) Web channel. GMRC-15 is the Feedback/Grievance page on GMRC's own site (last updated 12-Oct-2026). It shows a form with First Name, Last Name, Email and 'Message / Feedback / Grievance Details' fields. Nobody test-submitted it, so whether it works is a VERIFICATION-LIMIT. The page also does not say which city it covers.
(2) Step 2 missed the FY2024-25 Annual Report (GMRC-05, p.15). It says 'Passengers can lodge their grievance through multiple channels such as Telephone, E-Mail and Station Walk-in.' It reports about 14,000 queries, complaints and suggestions received and resolved, with summary tables on p.16. The 2023-24 report (GMRC-06, pp.16-17) reports 1,820 complaints redressed 'within stipulated Turn Around Time (TAT)'. Both describe passenger services on the Ahmedabad Metro. The home page lists Surat Phase-1 as 'Under Implementation', so these telephone, email and station walk-in channels are not shown to operate for Surat. Neither report gives the actual phone number or email address.
(3) For Surat, the only in-person channel and the only acknowledgement/tracking arrangement appear in the December 2020 Stakeholder Engagement Plan (GMRC-09, pp.33-35). It names a Grievance Redressal Officer at SUDA Bhawan, Vesu, leaves the phone number blank, and proposes 'Acknowledge within 24 hours' and a centralised GRM system. That is a plan written for project-affected people, not evidence of how things work now.
(4) Acknowledgement/tracking. No complaint reference number or status-tracking page was found on the website. 'Within stipulated TAT' in the Annual Reports is not evidence of acknowledgement or tracking.
For the team to confirm:
(a) Scope. Should DPG6b be scored at GMRC company level? If so, the Ahmedabad telephone, email and walk-in channels in GMRC-05 count. Or should it cover Surat only (project-affected-person grievance channels, since the metro is not yet open)? PRE-OPERATIONAL flag.
(b) The Contact Us and Help pages are linked from GMRC-15 but are not in the Citation Sheet. They may list the helpline or grievance email. They need to be captured, with a dated screenshot as the evidence requirement asks.
(c) Someone should test-submit the web form to check for an acknowledgement or reference number.
(d) QB anomaly: the fifth component is labelled 'in-person', but its Qualification is about acknowledgement and tracking.
RTI target: GMRC PIO, for grievance channels and GRM records for the Surat project, FY2025-26 to date.
Quote: "Your Company has established an effective the public grievance redressed mechanism to address complaints/suggestions/feedback/queries  in timely manner .  Passengers can lodge their grievance through multiple channels such as Telephone, E-Mail and Station Walk-in."
"Score" left blank: the Citation Sheet doesn't decide it.</t>
  </si>
  <si>
    <t xml:space="preserve">Chapter II (Board and Consultative Committee) / Chapter III (duties)</t>
  </si>
  <si>
    <t xml:space="preserve">Sections 14 and 15(2)</t>
  </si>
  <si>
    <t xml:space="preserve">s.14(1), s.14(4)(i); s.15(2)(b)-(c) and proviso</t>
  </si>
  <si>
    <t xml:space="preserve">AI (low confidence), from Step 2 answer (Partially Answered) and BWSSB-02: I left the score blank because the sources don't settle it. The full text of the question, its Detailed Methodology and its rubric were not in the task input. I took the bands (5 = participation required by law; 2.5 = participation provided for but discretionary; 0 = none) from the Step 2 answer. A person should check them against the question bank.
What I checked:
(1) BWSSB Act 1964, PRS copy, as amended up to Karnataka Act 5 of 2011 (BWSSB-02). s.15(2)(b)-(c) gives the Board a duty of 'preparing and carrying out schemes' for water supply and sewerage. Under the s.15(2) proviso, schemes costing over Rs 1 crore need State Government approval. The Act has no step for publishing a draft scheme, calling for objections or holding a public hearing. s.14 tells the State Government to set up a Consultative Committee ('shall constitute'). Its 3-9 outside members are appointed after consulting representatives of BBMP, the City Improvement Trust Board and 'consumers of water', 'as the State Government thinks fit'. Its role is only 'to advise the Board on major questions of policy and major schemes'. This is appointed, advisory representation, not a citizen participation process. Whether it counts for the 2.5 'discretionary' band is a judgement the team must confirm. I would not credit it on my own (advisory is not participation, and consumer representation is not guaranteed). s.87 (Rules) and s.88 (Regulations) do not specifically cover plan consultation.
(2) GBA Act 2024, Act 36 of 2025 (BWSSB-04, PRS copy, GBA era). s.14(2): GBA is the Planning Authority under the KTCP Act 1961, and a BMPC prepares a draft development plan. s.14(4): GBA supervises BWSSB through binding directions. s.15(1): GBA makes the master plan. None of these requires citizen participation in BWSSB's own plans. s.103(1)(c): the Ward Sabha meeting gives input to the corporation's Ward Development Plan, not to BWSSB plans. The objection clauses on pp. 8-9 cover boundary notifications, and s.248 covers building regulation; neither is relevant here.
(3) Other sources: BWSSB-33 (Ground Water Act), BWSSB-07/29 (website and Annual Report 2016-17), and a sheet-wide search for objections, suggestions and consultation. None shows a requirement for public participation in BWSSB plans.
I cannot score 0 because affirmative absence is not shown. These are not in the Citation Sheet: the BWSSB Rules (s.87), the BWSSB Regulations and bye-laws (s.88), the KTCP Act 1961 and its master plan objections procedure, BMPC rules, and any GO requiring consultation on water or sewerage master plans. Amendments to the BWSSB Act after 2011 were also not checked. All legal texts here are PRS copies, which are secondary.
For the team to confirm: (a) whether the s.14 Consultative Committee earns 2.5; (b) whether a KTCP or BMPC objections process run by GBA or BMPC counts for BWSSB's plans; (c) find and add the BWSSB Rules and Regulations and the KTCP Act.
Quote: "(4) The functions of the Consultative Committee shall be as follows:— (i) to advise the Board on major questions of policy and major schemes; (ii) to review the progress and the work of the Board from time to time;"
"Score" left blank: the Citation Sheet doesn't decide it.</t>
  </si>
  <si>
    <t xml:space="preserve">Chapter V (Comprehensive Mobility Plan) and Chapter VI (Sectoral and City Mobility Investment Program and Annual Implementation Plan)</t>
  </si>
  <si>
    <t xml:space="preserve">Section 21(3); read with ss. 21(2)(l), 23, 24(b),(c),(e), 25(1)-(2), 54(1)(viii)-(x)</t>
  </si>
  <si>
    <t xml:space="preserve">s.21(3): draft plan, notice inviting objections and suggestions from any person, maximum two months</t>
  </si>
  <si>
    <t xml:space="preserve">AI (low confidence), from Step 2 answer (Partially Answered) and BMTC-06: SCORE LEFT BLANK. I checked the Step 2 answer against BMTC-06 and the source supports it, but no score can be confirmed. (1) What the source says: BMLTA Act s.21(3) requires the Authority to publish a draft plan before finalising 'any plan as under this Act'. The notice must invite 'objections and suggestions from any person', for up to two months, and the Authority must consider them before finalising. s.23 applies s.21 to each five-yearly revision of the CMP. BMTC's Sectoral Mobility Investment Program goes into the City Mobility Investment Program 'with or without modification' (s.24(c)), and that programme 'shall be part of the Comprehensive Mobility Plan' (s.24(e)). (2) What it does not say: s.24(b) only requires the Sectoral programme to be 'prepared in consultation with the Authority'. That is consultation with BMLTA, not with citizens. s.25 sets no citizen step for the Annual Implementation Plan that agencies prepare and the Authority 'shall review and approve'. So the participation duty falls on BMLTA, a coordinating authority, and reaches BMTC's plans only at the CMP stage. Whether that counts as participation in 'the parastatal's plans', and so earns the 2.5 band ('specified plan types/stages'), is a methodology question for a person to decide. The full Detailed Methodology / rubric text for DPG7a was not in my task input. (3) Why not 0: there is no affirmative absence. The BMTC Rules and Regulations page (BMTC-20) links the 'KSRTC Rules, 1961' and several KSRTC regulations. Their text is not in the Citation Sheet and I have not read it. Also missing: Karnataka rules under the Road Transport Corporations Act, BMTC's constitution notification, any BMLTA regulations under s.54 (s.54(1)(viii) leaves the 'form and manner of publishing draft plan and notice' to regulations), and the Motor Vehicles Act provisions on route schemes and objections. (4) Why not 5: nothing I read in the RTC Act 1950 (BMTC-02: ss.18, 30, 32, 35), the KTCP Act (BMTC-07, which covers Planning Authorities only, and BMTC is not one) or the GBG Act (BMTC-04) requires BMTC itself to involve citizens in its own plans. (5) Implementation: the Citation Sheet does not show that BMLTA has been set up, that any CMP draft has been published under s.21(3), or that regulations exist. (6) Source quality: BMTC-06 is the PRS copy (secondary), as enacted in 2023 with Amendment Act 10 of 2026 appended. GBA era. The amendment does not change ss.21-25. A person should confirm: (a) whether indirect CMP-stage participation through BMLTA earns 2.5; (b) whether 'any plan as under this Act' in s.21(3) covers the s.25 Annual Implementation Plans; (c) the contents of the KSRTC Rules 1961 and any BMLTA regulations; (d) the official gazette text of the BMLTA Act.
Quote: "(3) Before finalizing any plan as under this Act, the Authority shall cause to pu blish a draft plan by making a copy thereof available for inspection"
"Score" left blank: the Citation Sheet doesn't decide it.</t>
  </si>
  <si>
    <t xml:space="preserve">Section 21(3), read with ss.21(2)(l), 23, 24(b)-(e), 25</t>
  </si>
  <si>
    <t xml:space="preserve">s.21(3): draft plan published, objections and suggestions invited 'from any person' for up to two months; s.24(e): City Mobility Investment Program 'shall be part of the Comprehensive Mobility Plan'</t>
  </si>
  <si>
    <t xml:space="preserve">AI (low confidence), from Step 2 answer (Partially Answered) and BMRCL-08: I left the score blank. The facts are clear, but the methodology text for DPG7a was not given to me, and the band depends on a judgement about indirect coverage.
What the source says (checked against BMRCL-08, the PRS copy of the BMLTA Act as enacted, with Amendment Act 10 of 2026 appended):
1. Mandatory duty, on the BMLTA: under s.21(3), 'Before finalizing any plan as under this Act, the Authority shall' publish a draft plan, invite 'objections and suggestions from any person' for up to two months, and finalise the plan 'after considering such suggestions, objections'. Under s.23, the same process applies to each five-yearly revision of the Comprehensive Mobility Plan (CMP).
2. How BMRCL's plan gets in: BMRCL prepares its Sectoral Mobility Investment Program. Under s.24(b) it 'shall be prepared in consultation with the Authority'. Under s.24(c) the Authority incorporates it 'with or without modification' into the City Mobility Investment Program, which s.24(e) says 'shall be part of' the CMP (also s.21(2)(l)). So the public only reaches BMRCL's program through the BMLTA's draft CMP, at one stage, after BMRCL has prepared it.
3. Annual Implementation Plans (s.25), which the agencies prepare: no public participation, only review and approval by the Authority.
4. Project approval inquiry (s.19): no public process specified.
Other instruments checked: the Metro Railways (O&amp;M) Act 2002 (BMRCL-04, read in part), the Companies Act 2013 (BMRCL-06), the KTCP Act s.10 (BMRCL-07; this binds the Planning Authority's Master Plan, not BMRCL), and the GBA Act 2024 (BMRCL-02; its public-objection clause on p.113 is about the heritage list). None of them requires citizen participation before BMRCL finalises its own plans. A search of the whole Citation Sheet found nothing more.
Candidate band: 2.5 (participation for one plan type at one stage, indirectly through the BMLTA's CMP), if the team decides that a mandatory public process run by another body on a consolidated plan containing BMRCL's program counts as participation 'applying to the parastatal'. The 5 band is not met: there is no defined process before BMRCL finalises its own plans. A score of 0 is not available, because I cannot show affirmative absence. Missing from the Citation Sheet: BMLTA regulations under s.54(1)(viii)-(ix), Metro rules, the Metro Railways (Construction of Works) Act 1978, and BMRCL's Memorandum and Articles of Association. The O&amp;M Act was only partly read.
Correction to the Step 2 answer: I read the appended BMLTA Amendment Act 10 of 2026 (Karnataka Gazette, 08.01.2026). It amends only ss.2(cc), 4 and 12. It substitutes the 'Greater Bengaluru Authority, as defined in the Greater Bengaluru Governance Act, 2024' for the BBMP in s.2(cc) and adds GBA officials to the Authority and the Executive Committee. It does not change ss.21-25. So Step 2's caveat that the GBA substitution was unverified is now resolved: the substitution is confirmed in BMRCL-08. This text is a PRS secondary copy.
PERIOD: the BMLTA Act as enacted (Act 6 of 2023), as amended by Act 10 of 2026; GBA era.
CONFIRM: does indirect coverage through the BMLTA's s.21(3) process earn the 2.5 band for BMRCL?
Quote: "(3) Before finalizing any plan as under this Act, the Authority shall cause to pu blish a draft plan by making a copy thereof available for inspection and publis"
"Score" left blank: the Citation Sheet doesn't decide it.</t>
  </si>
  <si>
    <t xml:space="preserve">AI: left for a person. Step 2 found no evidence (Insufficient Evidence). Source needed: Needed to answer: (1) full official texts of the Metro Railways (Construction of Works) Act, 1978 and the Metro Railways (Operation &amp; Maintenance) Act, 2002 as amended, with Rules made under them, checked for any requirement to publish alignments or plans and invite objections; (2) GMRC's Memorandum and Articles of Association; (3) the Gujarat town planning Act and Rules, current consolidated text, for draft-plan publication and objection procedures and whether they bind metro or transit plans; (4) the Gujarat municipal corporations Act, for any participation requirement on transport or mobility plans; (5) any Gujarat order on transit-oriented development or metro influence-zone planning that sets a public-objection process.</t>
  </si>
  <si>
    <t xml:space="preserve">JICA – Bengaluru Water Supply and Sewerage Project (Phase 3) Final Report (sewerage / O&amp;M volume) [BWSSB-23]</t>
  </si>
  <si>
    <t xml:space="preserve">Chapter 14 Environmental and Social Considerations</t>
  </si>
  <si>
    <t xml:space="preserve">Section 14.12 Stakeholders' Meeting</t>
  </si>
  <si>
    <t xml:space="preserve">p. 14-100 / PDF page ~135 of the JICA Phase 3 Final Report (NJS Consultants, November 2017)</t>
  </si>
  <si>
    <t xml:space="preserve">135</t>
  </si>
  <si>
    <t xml:space="preserve">https://openjicareport.jica.go.jp/pdf/12300364_04.pdf</t>
  </si>
  <si>
    <t xml:space="preserve">AI: left for a person. Step 2 found no evidence (Insufficient Evidence). Source needed: BWSSB's latest finalised plan (for example the Vision Document 2050 or Master Plan, or a recent water or sewerage master plan) with a section on consultation. Any public notice inviting objections or suggestions on a draft plan. Consultation or public-hearing reports or minutes, or minutes of the s.14 Consultative Committee showing citizen or consumer input before the plan was finalised, published on BWSSB's official website or a Karnataka government site.</t>
  </si>
  <si>
    <t xml:space="preserve">AI: left for a person. Step 2 found no evidence (Insufficient Evidence). Source needed: Any of these would answer it: BMTC's latest plan document (e.g. a fleet augmentation or route rationalisation plan, its Annual Implementation Plan under BMLTA Act s.25, or a corporate or business plan) together with any public notice from BMTC inviting citizens' objections or suggestions on the draft, a consultation report, minutes of public hearings or stakeholder consultations, or a statement in the final plan describing the consultation held. Each should be dated and taken from BMTC's official website or an official government source.</t>
  </si>
  <si>
    <t xml:space="preserve">Environmental Impact Assessment – Gottigere–Nagavara Corridor (Line 6), Bangalore Metro Rail Project Phase II (EIB register) [BMRCL-21]</t>
  </si>
  <si>
    <t xml:space="preserve">G. Consultations, Participation and Information Disclosure</t>
  </si>
  <si>
    <t xml:space="preserve">1.2 Public Consultation, para 223 (with Table 28, paras 224-225 and Appendix 4)</t>
  </si>
  <si>
    <t xml:space="preserve">para 223</t>
  </si>
  <si>
    <t xml:space="preserve">66</t>
  </si>
  <si>
    <t xml:space="preserve">https://www.eib.org/attachments/registers/143756287.pdf</t>
  </si>
  <si>
    <t xml:space="preserve">AI: left for a person. Step 2 found no evidence (Insufficient Evidence). Source needed: Something on BMRCL's official website (or a .gov.in page) showing citizen consultation before a BMRCL plan was finalised would answer this. Examples: a public notice inviting objections or suggestions on a draft plan or policy (e.g. a draft Metro Parking Policy or a DPR or alignment for Phase 2A/2B/3); reports or minutes of public consultations or hearings (e.g. environmental or social-impact public hearings for metro phases); or a final plan that records a consultation process with dates.</t>
  </si>
  <si>
    <t xml:space="preserve">Chapter 8: Public Consultations</t>
  </si>
  <si>
    <t xml:space="preserve">Section 8.3 Public Consultation at Project Level; Table 8.1 Minutes of Public Consultations (pp. 229-232); also Executive Summary s.0.8</t>
  </si>
  <si>
    <t xml:space="preserve">242</t>
  </si>
  <si>
    <t xml:space="preserve">AI (medium confidence), from Step 2 answer (Partially Answered) and GMRC-11: My score is 2.5. GMRC's own published documents give credible evidence that citizens were consulted on the Surat Metro Phase-I plans. But the evidence is only a set of summary minutes inside the final reports. It does not show that people had a proper chance to take part before the plan was finished.
What I checked:
(1) GMRC-11, the EIA (Dec 2020), s.8.3 and Table 8.1. It says the consultations on 8-9 Nov 2019 were 'informal unstructured interviews' at 10 places, with 5-16 participants each. The table lists the issues raised and the suggestions. s.0.8 confirms the 10 locations.
(2) GMRC-09, the Stakeholder Engagement Plan (Dec 2020), s.2.3.3. It confirms that RITES held informal consultations in Aug and Nov 2019 and says the mitigation plan was based on the suggestions. Appendix-1 Table 8 repeats the minutes with a 'GMRC Reply' column. It also records the Althan Tenament group meeting of 13.08.2019 on relocation and livelihood.
The Step 2 answer also cites three other sources:
- GMRC-08, the DPR (Dec 2018), s.14.12A: an undated 'preliminary consultations' reference. s.14.12B says no public hearing was needed under the EIA Notification 2006.
- GMRC-07, the sanction letter: PIB approval on 06.03.2019. So the recorded consultations came after the DPR was approved.
- GMRC-10, the Gender Action Plan: focus-group minutes.
Why not the 5 band: none of the documents shows a public notice, a window for objections or suggestions, a public hearing record, attendance sheets or a separate consultation report. For the DPR, the only evidence is the undated reference inside the plan itself. For the EIA, SEP and GAP, the consultations came before they were finalised, but they were informal interviews with small groups, recorded only as minutes. Both readings fall in the Step 2 answer's 2.5 band ('credible evidence ... only minutes/proceedings, a reference in the final plan').
Why not 0: consultation evidence clearly exists, so 0 would be wrong.
For reviewers to check:
(a) The question text and Detailed Methodology for DPG7b were not in my task input. I took the band wording (5 / 2.5 / 0) from the Step 2 answer's quote of the rubric. Please check it against the question bank.
(b) DPG7b is labelled Law/Policy but asks about practice. I assessed practice.
(c) Which document counts as 'the plan': the DPR, approved March 2019, or the EIA/SEP/ESMP, December 2020. A reviewer might decide that the published minutes with GMRC replies earn 5 for the safeguard plans.
(d) The ESMP is not in the Citation Sheet.
(e) I could not confirm that GMRC-08 (Dec 2018) is the same version as the 'Surat-DPR-2020' file on the Reports page.
Quote: "The consultations were conducted from November 8 to November 9, 2019 during the field visit and based on informal unstructured interviews and  stakeholder consultation."</t>
  </si>
  <si>
    <t xml:space="preserve">Financial statements of the FA-CAO (Financial Adviser &amp; Chief Accounts Officer)</t>
  </si>
  <si>
    <t xml:space="preserve">Revenue Accounts for 2016-17 (p.110; Kannada copy p.54); Capital Accounts for 2016-17 (pp.111-112)</t>
  </si>
  <si>
    <t xml:space="preserve">Income rows a (Water Revenue including Meter Hire) and b (Other Income); Expenditure TOTAL; Application of Funds TOTAL</t>
  </si>
  <si>
    <t xml:space="preserve">AI (low confidence), from Step 2 answer (Partially Answered) and BWSSB-29: I left the Score blank. The Citation Sheet has no BWSSB financial data for the last three completed financial years, so a current own-revenue share cannot be worked out.
The only financial source is BWSSB-29, the Annual Report 2016-17. It gives actuals for FY 2015-16 and FY 2016-17 only, about nine years old, and an old document is never evidence of the current position. I checked the source against the Step 2 answer and it agrees:
- Revenue-account income (Rs lakh): 128089.61 for 2015-16 and 142618.71 for 2016-17.
- Revenue expenditure (Rs lakh): 132746.25 and 146365.27. This includes depreciation of 19123.94 and 21222.04, which is not a cash cost.
- Capital application of funds (Rs lakh): 79615.98 and 84263.00.
These figures give only an indicative ratio, which must not be used as a score. Counting all revenue income as own revenue and dividing by revenue plus capital spending gives about 60.3% and 61.8%. Dividing by revenue spending alone gives about 96.5% and 97.4%.
Three questions are unresolved, and each one changes the result a lot:
- Does 'Other Income' include any government grants or subventions? The source gives no breakdown.
- Does 'Prorata Capitalised' (Rs 73521.68 lakh and 29631.76 lakh, charges paid by users) count as own revenue?
- Should deposit works (paid for by BBMP, BDA and KIADB) and depreciation stay in 'total expenditure'?
The report also gives two different revenue figures for 2015-16: 112476.34 in the budget summary on p.89 and 128089.61 in the revenue accounts on p.110.
I searched the Citation Sheet for 2023-24 budget and revenue data. It returned only BWSSB-29, BWSSB-04 (Greater Bengaluru Governance Act budget sections, which cover the city government, not BWSSB) and BWSSB-01 (website navigation links). Step 2 had already checked BWSSB-02, 07, 11, 13, 28, 33 and 40, and none contains BWSSB accounts. This is a case of 'not found', not proof that the data does not exist, so a score of 0 is not justified. BWSSB-02 sections 16 and 17 set out a legal duty to raise revenue and present an annual financial statement; that is a mandate, not evidence of the ratio.
For a person to score this:
- Get BWSSB's audited revenue and capital accounts, or its annual financial statements, for FY 2022-23, 2023-24 and 2024-25, with a breakdown of 'Other Income'.
- Look first at the Karnataka Legislature's papers-laid pages; if not there, file an RTI with the BWSSB Public Information Officer in the FA-CAO's office.
- Confirm how the methodology defines 'own revenue' and 'total expenditure'.
Quote: "b Other Income 19421.01 23059.09"
"Score" left blank: the Citation Sheet doesn't decide it.</t>
  </si>
  <si>
    <t xml:space="preserve">AI: left for a person. Step 2 found no evidence (Insufficient Evidence). Source needed: BMTC's audited annual accounts (profit and loss account and income and expenditure schedules) or its annual budgets / Annual Administrative Reports for at least 2, ideally 3, of the latest completed financial years (for example FY2022-23 to FY2024-25). These should show traffic revenue, non-traffic revenue, government grants, subsidies and reimbursements shown separately, and total expenditure. The CAG audit report on Karnataka State Public Sector Undertakings, or the annual report laid before the Karnataka Legislature, would also answer it.</t>
  </si>
  <si>
    <t xml:space="preserve">AI: left for a person. Step 2 found no evidence (Insufficient Evidence). Source needed: BDA's approved and Government-sanctioned budget estimates (ss.42-44, with revised estimates and previous-year actuals) for the last three completed FYs, or better, its audited annual statements of accounts (s.47). These should be the published copies or the copies laid before the Karnataka Legislature. They need to show receipts by source (own tax and non-tax revenue, separate from government grants and loans) and total expenditure. A BDA annual report under s.47A with the same breakdown would also work.</t>
  </si>
  <si>
    <t xml:space="preserve">AI: left for a person. Step 2 found no evidence (Insufficient Evidence). Source needed: Four things are needed: (1) BWSSB's audited annual accounts or annual report for the latest completed FY (2024-25 or 2025-26), showing actual capital spending, ideally separating own capital works from deposit works done for other bodies. (2) BWSSB's Annual Financial Statement (budget) with actual capital payments for that year, e.g. as tabled in the Karnataka Legislature. (3) An official population figure for BWSSB's current service area: Census 2011 tables for the relevant wards and areas, or an official projection from the state government or GBA. (4) Ranks for other assessed water supply boards, to turn the figure into a percentile score.</t>
  </si>
  <si>
    <t xml:space="preserve">AI: left for a person. Step 2 found no evidence (Insufficient Evidence). Source needed: Two things are missing. (1) BMTC's latest audited annual accounts or annual report for the most recent completed financial year, showing capital expenditure (additions to fixed assets, especially bus purchases, depots and bus stations). This could be the CAG-audited statement under s.33 of the Road Transport Corporations Act, the annual report laid before the Karnataka Legislature, or BMTC's capital budget with actuals. (2) An official population figure for the area BMTC serves, from the latest Census or an official projection (for example Census 2011 for the BBMP/GBA area plus BMTC's suburban service area, or a state projection), with its source cited.</t>
  </si>
  <si>
    <t xml:space="preserve">AI: left for a person. Step 2 found no evidence (Insufficient Evidence). Source needed: (a) BDA's audited annual accounts for the latest completed FY, or its budget showing actual capital expenditure (capital account or works, layout development and land acquisition outlay). Look for copies on BDA's official site or among the papers laid before the Karnataka Legislature under s.47(5). (b) A Census 2011 figure or an official population projection for BDA's jurisdiction, defined as of that FY: the Bengaluru Metropolitan Area as notified, or that area excluding the Greater Bengaluru Area if the 2025 KTCP amendment is in force. (c) The commencement notification for the KTCP and Certain Other Laws (Amendment) Act, 2025. (d) Per-capita capital expenditure figures for other assessed development authorities, for the peer rank.</t>
  </si>
  <si>
    <t xml:space="preserve">Financial Statements for the year ended 31st March 2021: Statement of Cash Flows</t>
  </si>
  <si>
    <t xml:space="preserve">Cash flows from Investing Activities: Purchase of fixed assets, including CWIP and capital advances (Net)</t>
  </si>
  <si>
    <t xml:space="preserve">Printed page 87 (PDF page 89); amounts in Rs lakh; FY 2020-21 and FY 2019-20</t>
  </si>
  <si>
    <t xml:space="preserve">89</t>
  </si>
  <si>
    <t xml:space="preserve">AI: left for a person. Step 2 found no evidence (Insufficient Evidence). Source needed: BMRCL's annual report or audited financial statements for the latest completed financial year (FY 2024-25 or FY 2025-26), with capital expenditure for the year (cash-flow investing line or additions to property, plant and equipment and capital work in progress), or its latest budget showing actual capex. Also an official population figure for the area BMRCL serves (Census 2011 or an official Government of Karnataka or Census projection), with its source. Also a team decision on what 'jurisdiction served' means for a metro rail company, and peer figures from other assessed metro or transport parastatals for the rank.</t>
  </si>
  <si>
    <t xml:space="preserve">Financial Statements – Statement of Cash Flows for the year ended 31 March 2024, and its notes</t>
  </si>
  <si>
    <t xml:space="preserve">Cash Flow Statement (B) Cash Flow From Investing Activities; Ind AS-7 disclosure notes</t>
  </si>
  <si>
    <t xml:space="preserve">PDF p.96 (statement); notes on PDF p.97, report p.94</t>
  </si>
  <si>
    <t xml:space="preserve">97</t>
  </si>
  <si>
    <t xml:space="preserve">AI (low confidence), from Step 2 answer (Partially Answered) and GMRC-06: SCORE LEFT BLANK. SC2 (per-capita capital expenditure) is scored by peer rank. I couldn't calculate the per-capita figure, and no peer set is in the Citation Sheet.
What I checked:
(1) GMRC-06 (14th Annual Report, FY 2023-24). The cash flow statement shows 'Purchase of Property Plant Equipments including Capital Works in Progress (3,37,033.36)' lakh for FY 2023-24 and (1,90,093.17) lakh for FY 2022-23. The note under the statement gives a slightly different FY 2023-24 figure: Rs 3,36,420.87 lakh, of which Rs 1,15,323.70 lakh is working-capital change. That is about Rs 612 lakh apart; the team should confirm which figure counts. Both figures are company-wide. GMRC runs Ahmedabad Phase I, Ahmedabad–Gandhinagar Phase II and Surat Phase I (Corporate Information, PDF p.98), so the figure isn't Surat-specific.
(2) GMRC-05 (15th Annual Report, FY 2024-25). I read it again with a cash flow / investing activities query. Its cash flow statement (pp.95-96) still did not come back; only CSR, auditor's report and accounting policy pages were returned. So the latest audited annual capex figure can't be read from the sheet. VERIFICATION-LIMIT: a person should open GMRC-05 pp.95-96.
(3) GMRC-03 (RTI s.4(1)(b) disclosure, as reported in Step 2) gives Surat Phase-I expenditure only as a cumulative total: Rs 8,751.76 crore to 31.03.2026, provisional and unaudited. It is not an annual figure.
(4) Population: GMRC-08 (DPR, Dec 2018) gives Census 2011 SMC population 44,66,826, or 45,91,246 including outgrowths and the urban agglomeration. It also has a DPR projection for 2021. No official current projection is in the sheet.
The team needs to decide:
(a) Jurisdiction: Surat only, or GMRC's whole network with combined population?
(b) Latest completed FY: 2024-25 or 2025-26? No FY 2025-26 accounts are in the sheet.
(c) Is the Surat project, still pre-operational, in scope?
(d) Is the DPR projection acceptable as the population base?
Even with a per-capita figure, a 0-10 score needs a peer percentile rank, which the sheet doesn't have. Absence isn't shown, so a 0 is not justified.
RTI target: PIO, GMRC Gandhinagar. Ask for Surat Metro Phase-I annual capex for FY 2023-24 to 2025-26.
Quote: "Purchases of Property, Plant and Equipments are stated inclusive of movements of Capital Work in Progress."
"Score" left blank: the Citation Sheet doesn't decide it.</t>
  </si>
  <si>
    <t xml:space="preserve">Board resolutions 2016-17; Revenue Accounts for 2016-17</t>
  </si>
  <si>
    <t xml:space="preserve">Board meeting 10-03-2017, Subject No.12 (Annual Financial Statement 2017-18 and Revised Estimates 2016-17), overall position table</t>
  </si>
  <si>
    <t xml:space="preserve">pp.32-33 / 88-89 (budget table); p.110 (Revenue Accounts 2016-17); pp.111-112 (Capital Accounts 2016-17)</t>
  </si>
  <si>
    <t xml:space="preserve">33</t>
  </si>
  <si>
    <t xml:space="preserve">AI (low confidence), from Step 2 answer (Partially Answered) and BWSSB-29: Score left blank. The method needs budget-versus-actual figures for at least 2 financial years, averaged. The Citation Sheet has both for only one year, FY 2016-17. I checked BWSSB-29 against the Step 2 answer and confirmed it. Revenue: BE 182839.67 (p.33/89) against actual expenditure 146365.27 in the Revenue Accounts (p.110), variance about 19.95%. Capital: BE payments 169581.10 against actual application of funds 84263.00, about 50.31%. Combined: about 34.56%. All are above 15%, but they cover a single year. FY 2015-16 has actuals but no BE; FY 2017-18 has a BE but no actuals. A Sheet search for budget and actual figures for 2017-18 to 2019-20 found no other BWSSB data. The BWSSB-04 hits are GBA city-government budget provisions, not BWSSB's. BWSSB-12 links an 'Annual Report 2017', but its contents are not in the Sheet (VERIFICATION-LIMIT: a person could open it for more years). Other problems: (a) the BE comes from the Board's budget table while the actuals come from accrual-basis accounts that include depreciation (21222.04) and provisions (7398.60), so they may not be like for like; the 2015-16 actuals also differ between the two documents (130882.47 against 132746.25). (b) No audit certificate is shown. (c) FY 2016-17 is BBMP-era and out of date for a current Implementation question. A 0 is not allowed because absence is not affirmatively shown: not found is not absent. To do: get BWSSB budget documents and audited accounts for at least 2 recent years (e.g. Annual Report 2017 onward, or budget papers laid before the Legislature), and confirm which variance measure to use (revenue, capital or combined).
Quote: "B EXPENDITURE 130882.47 182839.67 160824.35 175482.92"
"Score" left blank: the Citation Sheet doesn't decide it.</t>
  </si>
  <si>
    <t xml:space="preserve">AI: left for a person. Step 2 found no evidence (Insufficient Evidence). Source needed: Two things are needed for the same 2-5 completed financial years (latest 3 preferred): BMTC's approved budget, giving budgeted total expenditure, and its audited annual accounts or annual report, giving actual total expenditure. These may be in annual reports tabled in the Karnataka Legislature, in the CAG's audit of BMTC accounts, or in budget papers submitted to the State Government under s.32 of the Road Transport Corporations Act.</t>
  </si>
  <si>
    <t xml:space="preserve">AI: left for a person. Step 2 found no evidence (Insufficient Evidence). Source needed: BDA's budget estimates as approved under s.43 and sanctioned under s.44, with the original and any supplementary estimates. Also BDA's audited annual accounts under s.47 for the same 2-5 completed financial years (preferably the latest 3), so that budgeted and actual expenditure can be compared side by side. Places to look: audited accounts and audit reports laid before the Karnataka Legislature (papers-laid pages), BDA's own published budget and accounts, or the Government auditor's reports on BDA.</t>
  </si>
  <si>
    <t xml:space="preserve">AI: left for a person. Step 2 found no evidence (Insufficient Evidence). Source needed: BMRCL's Board-approved annual budgets (Budget Estimate and Revised Estimate of revenue and capital expenditure) for at least 2 and up to 5 recent completed FYs (e.g. FY 2021-22 to 2023-24), set side by side with the audited actual expenditure in the annual reports and financial statements for the same years. These could come from BMRCL's budget documents, annual reports that include a budget-vs-actual statement, or Government of Karnataka Urban Development Department papers laid before the Legislature.</t>
  </si>
  <si>
    <t xml:space="preserve">AI: left for a person. Step 2 found no evidence (Insufficient Evidence). Source needed: For at least 2 and up to 5 recent completed financial years: BMRDA's budget (budget estimates, with revised estimates if any) showing budgeted total expenditure, plus the audited annual accounts for the same years (certified by the auditor) showing actual expenditure, compared side by side. Places to look: the content of the 'Budget' page on BMRDA's website, the Annual Reports for 2023-24 and later, and audited accounts tabled in the Karnataka Legislature.</t>
  </si>
  <si>
    <t xml:space="preserve">AI: left for a person. Step 2 found no evidence (Insufficient Evidence). Source needed: Needed: SUDA's annual budget (Form N financial statement under r.47) for at least 2 and up to 5 recent completed FYs, plus its audited annual accounts (Form Q under r.48) or annual reports (r.49) for the same FYs. These would give budgeted and actual total expenditure side by side for each year.</t>
  </si>
  <si>
    <t xml:space="preserve">AI: left for a person. Step 2 found no evidence (Insufficient Evidence). Source needed: GMRC's approved annual budgets (budget estimates and/or revised estimates of total expenditure) for at least 2, ideally 3, of the latest completed FYs (e.g. FY 2022-23 to FY 2024-25). These would come from Board-approved budget documents or the Annual Finance Budget, or from the Government of Gujarat or MoHUA budget papers showing GMRC allocations. Each must be set against the audited expenditure for the same FY, which is already in GMRC-05 and GMRC-06.</t>
  </si>
  <si>
    <t xml:space="preserve">Chapter III – The Board's Finance, Accounts and Audit</t>
  </si>
  <si>
    <t xml:space="preserve">Section 17</t>
  </si>
  <si>
    <t xml:space="preserve">17(1)</t>
  </si>
  <si>
    <t xml:space="preserve">18</t>
  </si>
  <si>
    <t xml:space="preserve">AI (low confidence), from Step 2 answer (Partially Answered) and BWSSB-02: I left the score blank: I found no requirement, but I could not confirm one is absent, and I could not apply the scoring bands. (1) What I checked in BWSSB-02 (BWSSB Act 1964, PRS copy, amended up to Act 15 of 2010, with Act 29 of 2021 appended). The Act only requires planning one year at a time. s.17(1) requires a statement of estimated receipts and expenditure 'for the ensuing year'. s.17(5) allows supplementary statements during the year. s.18 limits spending that is not in the budget. s.16(1)(c) requires charges high enough 'to finance year to year improvement'; this is a rule about raising enough revenue, not a plan covering a set number of years. ss.24 and 24A require reserves to be credited 'at the end of every year'. s.86(2) requires the annual report to cover activities planned for 'the next financial year'. No section requires a 3-5 year (medium-term) or longer fiscal plan. Step 2 read the Act the same way and the source supports it. (2) The Greater Bengaluru Governance Act 2024 (BWSSB-04): definition (42) and the budget sections require a medium-term fiscal plan, but only from the City Corporation, not from BWSSB. I gave BWSSB no credit for it. (3) BWSSB-07 describes a 'Vision document upto 2050'. That is BWSSB's own initiative, not a legal requirement. (4) Why I cannot score 0. A 0 needs proof of absence across every layer of the law. The Citation Sheet does not contain the Rules the State Government makes under s.87; s.87(2)(c) lets those Rules set the form and contents of the s.17 statement. Nor does it contain the Board's own Regulations under s.88 on funds and accounts. I searched the sheet for both and found neither. Also, the Act text is only the PRS copy (a secondary source), and any amendments after 2021 are unchecked. (5) This task did not give me the full question text or the scoring bands for SC4a, so I could not match the evidence to a band. A person should: obtain and read the s.87 Rules and the s.88 Regulations, and an official current text of the Act; confirm the SC4a bands; and decide whether a 0 can be given from the Act alone.
Quote: "In February of each year the Board shall submit to the State Government a statement in the form prescribed by 1[regulations]1 of the estimated capital and revenue receipts and expenditure for the ensuing year."
"Score" left blank: the Citation Sheet doesn't decide it.</t>
  </si>
  <si>
    <t xml:space="preserve">Finance, Accounts and Audit</t>
  </si>
  <si>
    <t xml:space="preserve">Section 32</t>
  </si>
  <si>
    <t xml:space="preserve">32(1)-(4); see also s.30, s.35(2), s.44(2)(i)</t>
  </si>
  <si>
    <t xml:space="preserve">AI (low confidence), from Step 2 answer (Partially Answered) and BMTC-02: Score left blank. A 0 is likely, but the Citation Sheet cannot show that the requirement is absent.
1) What the enabling Act says. I checked this against BMTC-02, the Road Transport Corporations Act, 1950. The consolidation date of this copy is unclear: the latest amendment footnote I saw is Act 4 of 2005.
- s.32(1) requires only a budget for 'the next financial year'.
- s.32(2)-(4) cover the budget grant, moving money between heads, and spending above the budget.
- s.30 says the Corporation 'may' use part of its net profits for 'expansion programmes'. This is discretionary and sets no time horizon.
- s.35(2) requires an annual report that looks back over the year.
- s.44(2)(i) leaves the date and form of the annual budget to the Rules.
The Act has no requirement for a 3-5 year or longer fiscal or financial plan.
2) Layers I could not check. The BMTC 'Rules And Regulations' page (BMTC-20) lists 'KSRTC Rules, 1961' and several KSRTC regulations as the instruments BMTC applies. The text of those Rules is not in the Citation Sheet. They are made under s.44, and s.44(2)(i) covers the form of the budget, so they could include multi-year projections. Also missing from the Sheet:
- the s.3 notification establishing BMTC;
- BMTC's s.45 finance regulations;
- any GO requiring state transport undertakings to prepare multi-year business or corporate plans.
Under rule 5, a rubric 0 needs proof of absence across every layer. That is not met.
3) BMLTA Act 2022 (BMTC-06), PRS text with Act 10 of 2026 appended.
- s.24 makes the Authority ('shall') prepare a City Mobility Investment Program built from the Sectoral Mobility Investment Programs of Urban Transport Agencies.
- s.24(d) sets a 'short to medium term planning horizon' for the City program.
- s.2(o) defines 'Medium Term' as up to five years.
- s.25 requires each agency to prepare an Annual Implementation Plan with yearly spending estimates.
This is a project-investment program inside the Comprehensive Mobility Plan, not a fiscal plan of receipts and expenditure. It is not BMTC's enabling Act. The Sheet also does not show whether BMLTA is in force. The team should decide whether it counts.
4) GBG Act 2024 s.187 (BMTC-04). Its five-year medium-term fiscal plan applies to the City Corporations only, not BMTC.
What a person should check: obtain and read the KSRTC Rules, 1961 (as applied to BMTC), BMTC's establishment notification and any state GO on multi-year plans. If none of them requires a 3-5 year or longer fiscal plan, score 0.
Quote: "Every Corporation shall, by such date in each year as may be prescribed, prepare and submit to the State Government for approval a budget for the next financial year showing the estimated receipts and expenditure during that financial year in such form as may be prescribed."
"Score" left blank: the Citation Sheet doesn't decide it.</t>
  </si>
  <si>
    <t xml:space="preserve">Chapter V – Property and Finance</t>
  </si>
  <si>
    <t xml:space="preserve">Section 42 (read with ss.39-47A)</t>
  </si>
  <si>
    <t xml:space="preserve">s.42(1)</t>
  </si>
  <si>
    <t xml:space="preserve">43</t>
  </si>
  <si>
    <t xml:space="preserve">AI (low confidence), from Step 2 answer (Partially Answered) and BDA-02: I left the score blank. The Act provides only an annual budget, but I could not check every layer of the legal stack, so I cannot confirm that a multi-year fiscal plan is absent. I checked the Step 2 answer against the source, and it holds. (1) BDA Act, 1976 (BDA-02, PRS copy, amended up to Karnataka Act 42 of 2026, published 7 Sept 2026). In Chapter V, s.42(1) says the Commissioner 'shall' lay an estimate of income and expenditure 'for the year commencing on the first day of April then next ensuing'. Sections 43-46 cover approval, government sanction, supplementary estimates and spending control. Section 47 covers accounts and audit, and s.47A covers reports. Section 39 is a power to borrow and is not a fiscal plan. None of these, and nothing in the list of sections, requires a medium-term (3-5 year) or long-term fiscal plan. Act 42 of 2026 changes only s.10 (money limits) and s.38D, which I confirmed on pages 78-79. (2) The rule-making powers in s.69 and s.70 give no matter that relates to fiscal planning. However, the BDA Rules and Regulations themselves are not in the Citation Sheet, and nor is any state order on multi-year financial planning for development authorities. That means absence across the whole stack is unconfirmed ('not found', not 'absent'), so I cannot score 0. (3) BDA-06, the KTCP Act s.68B, requires a Planning Authority budget for the year ahead only. (4) BDA-03, the GBA Act ss.2(42), 187 and 189, places the medium-term fiscal plan duty on the City Corporations, not on BDA, so it cannot be credited to BDA. A search of the Citation Sheet for a medium-term fiscal plan found only the GBA Act's provisions for City Corporations. I did not have the full rubric bands, so I did not test the score scale for a mismatch. NEXT STEPS: (a) Supply the BDA Rules made under s.69, the Regulations under s.70 and any Karnataka GO on fiscal planning for development authorities. If none of them requires a multi-year plan, the team can then record the affirmative absence and score 0. (b) Note that the BDA Act text here is a PRS secondary copy; an official consolidated copy (.gov.in) is preferred.
Quote: "The 1[Commissioner]1 shall, at a special meeting to be held not later than the first day of February in each year, lay before the Authority an estimate of the income and  of the expenditure of the Authority for the year commencing on the first  day of April then next ensuing in such detail and form as the Authority shall, from time to time, direct."
"Score" left blank: the Citation Sheet doesn't decide it.</t>
  </si>
  <si>
    <t xml:space="preserve">Chapter IX – Accounts of Companies</t>
  </si>
  <si>
    <t xml:space="preserve">Section 129(1) (read with ss.128, 129(2), 131, 143)</t>
  </si>
  <si>
    <t xml:space="preserve">s. 2(g), s. 2(o), s. 24(d), s. 25(1)(b)</t>
  </si>
  <si>
    <t xml:space="preserve">74</t>
  </si>
  <si>
    <t xml:space="preserve">AI (low confidence), from Step 2 answer (Partially Answered) and BMRCL-06: Score is blank. No layer of BMRCL's legal framework in the Citation Sheet shows a requirement for a 3-5 year or &gt;5 year fiscal plan, which is what a positive score would need. The sheet also doesn't hold every relevant instrument, so I can't show the requirement is absent, which a 0 would need. This agrees with the Step 2 'Partially Answered' finding.
What I checked:
(1) Companies Act, 2013 (BMRCL-06, PRS republication of the Gazette text, as enacted). BMRCL is described as a company in BMRCL-09 (Annual Report FY 2020-21). Chapter IX is entirely year-based: s.128 requires books 'for every financial year', s.129(2) financial statements 'for the financial year', and s.143 the auditor's report on the financial year. I found no forward-looking fiscal plan with a set horizon. My searches for 'medium term fiscal plan corporate plan five year financial projections' and 'Memorandum Articles of Association BMRCL' found no such provision and no BMRCL MoA/AoA. The Act's MoA/AoA hits were only the model Tables in its Schedule I.
(2) Metro Railways (O&amp;M) Act, 2002 (BMRCL-04). Step 2 searched it and read part of it, and found no budget or fiscal-plan provision. I did not read it in full.
(3) BMLTA Act, 2022 (BMRCL-08). Under s.24, BMLTA 'shall prepare the City Mobility Investment Program', which includes Sectoral Mobility Investment Programs of Urban Transport Agencies 'as specified in the regulations'. Under s.24(d) it is for a 'short to medium term planning horizon'. Under s.25, the agencies prepare an Annual Implementation Plan. This is a mobility investment program prepared by BMLTA, not a fiscal plan in BMRCL's own enabling law. It is also not shown that BMRCL is a designated Urban Transport Agency, because the regulations are not in the sheet. I did not credit it. TEAM TO CONFIRM.
(4) GBG Act 2024 (BMRCL-02), GBA era. The s.187 medium-term fiscal plan (s.2(42), five years) binds City Corporations only, not BMRCL.
Missing, so a 0 can't be confirmed: BMRCL's Memorandum and Articles of Association; Karnataka GOs or GoI–GoK agreements on BMRCL's finances or corporate planning; the Metro Railways (Construction of Works) Act, 1978; Rules under the Metro Acts; and BMLTA regulations naming Urban Transport Agencies.
Team to confirm what 'enabling act' means for a company-form parastatal: the Companies Act alone, or also the MoA/AoA and state instruments. If it means the Companies Act alone, the year-based Chapter IX provisions would support a 0, subject to a full reading of the amended Act.
The question's own methodology text was not given to me. The bands used here (5 = required by the enabling act; 0 = no requirement) come from the Step 2 notes and should be checked against the question bank.
Quote: "129.  (1) The financial statements shall give a true and fair view of the state of affairs of the company or companies, comply with the accounting standards notified under section 133 and shall be in the form or forms as may be provided for different class or classes of companies in Schedule III:"
"Score" left blank: the Citation Sheet doesn't decide it.</t>
  </si>
  <si>
    <t xml:space="preserve">Chapter IV (Finance)</t>
  </si>
  <si>
    <t xml:space="preserve">Section 12 (Budget); also Sections 11, 13-16 and Section 9(1)(ii),(vi)</t>
  </si>
  <si>
    <t xml:space="preserve">AI: left for a person. Step 2 found no evidence (Insufficient Evidence). Source needed: Full text of the BMRDA Act, 1985 (Karnataka Act No. 39 of 1985), current amended version, especially its finance, budget, accounts and planning chapters. Also any Rules made under it and the BMRDA Regulations 1996/1999/2000, read for any duty to prepare a medium-term (3-5 year) or long-term (more than 5 year) fiscal or financial plan. An official copy from the state legislation portal or the e-Gazette, or the agency's own copy, should be added to the Citation Sheet.</t>
  </si>
  <si>
    <t xml:space="preserve">Chapter VI (finance provisions; Chapter VII starts at r.50)</t>
  </si>
  <si>
    <t xml:space="preserve">Rule 47, Budget and Programme of work under section 94</t>
  </si>
  <si>
    <t xml:space="preserve">r.47(1)-(4); Forms N and O</t>
  </si>
  <si>
    <t xml:space="preserve">AI (low confidence), from Step 2 answer (Partially Answered) and SUDA-03: I left the score blank because no score could be given without guessing. The 0-band needs affirmative absence, and I could not establish it.
What the Rules say: I checked the Step 2 answer against SUDA-03 and the source supports it. Rule 47(1) of the GTPUD Rules, 1979 requires only an annual financial statement and programme of work for the succeeding financial year. Form N looks back at three years of actuals and covers the current and next year. Form O is the 'Annual Programme of work'. Rule 47(4) asks for a history note on each work with its financial implications. Rule 48 covers annual accounts (Form Q) and rule 49 covers the annual report and the half-yearly progress report. None of these sets a medium-term (3-5 year) or long-term (more than 5 year) fiscal plan.
What I could not read (VERIFICATION-LIMIT): I re-read SUDA-01 looking for s.94. The only readable text is the appended amendment gazettes from 2017 and 2019, which deal with Local Area Plans, s.119 and MPC/DPC spatial planning. The principal Act text, including s.94 and the finance chapter, has no text layer. So the Act layer was not checked, and any SUDA finance regulations would also need checking; none are in the sheet.
What I did not count as a fiscal-plan mandate:
- s.21, the development-plan revision at least once in 10 years (quoted in SUDA-13). This is a spatial plan.
- The DP 2035 statement that implementation 'calls for long term fiscal planning' (SUDA-14, s.20.5) and its cost tables. This is narrative in a plan document, not a mandate.
- SUDA-04 (GPMC Act). This is the city corporation's law, not SUDA's.
- SUDA-05 (GDCR). This deals with development control only.
Rubric not supplied (RUBRIC-GAP): the task input did not include SC4a's detailed methodology or rubric bands, so the 0-5 scale could not be mapped.
Outcome: if the team gets a readable official text of GTPUD Act 1976 s.94 and finance provisions, and it shows no multi-year fiscal plan, then 0 (annual only) is the likely result under a typical rubric. Please confirm against the actual rubric.
Quote: "The appropriate authority shall submit to the State Government for approval before 1 st day of  February of each year the annual Financial Statement and programme of work, in triplicate for the succeeding financial year."
"Score" left blank: the Citation Sheet doesn't decide it.</t>
  </si>
  <si>
    <t xml:space="preserve">AI: left for a person. Step 2 found no evidence (Insufficient Evidence). Source needed: The full text of GMRC's Memorandum and Articles of Association, the founding documents of the joint-venture company. Also the relevant Companies Act 2013 provisions, the Metro Railway (Operation and Maintenance) Act 2002 as amended, the Metro Railways (Construction of Works) Act 1978, and any binding Government of India, Government of Gujarat or Department of Public Enterprises order requiring a corporate or fiscal plan of 3–5 years or longer. Each should be checked for a 'shall' duty to prepare such a plan.</t>
  </si>
  <si>
    <t xml:space="preserve">AI: left for a person. Step 2 found no evidence (Insufficient Evidence). Source needed: A dated capture of BWSSB's website Budget and Accounts pages and any published multi-year document (e.g. the Vision 2050 / strategic master plan, a business plan or a multi-year financial projection with receipts and expenditure for 3+ years), showing whether a medium- or long-term fiscal plan is posted online.</t>
  </si>
  <si>
    <t xml:space="preserve">AI: left for a person. Step 2 found no evidence (Insufficient Evidence). Source needed: Needed: a complete check of BMTC's official website (sitemap, Annual Administrative Report, Presentations, any Finance/Accounts or Reports section) for a published medium- or long-term fiscal, corporate or business plan. Failing that, a BMTC annual report or a Board-approved multi-year financial plan that states its time horizon.</t>
  </si>
  <si>
    <t xml:space="preserve">AI: left for a person. Step 2 found no evidence (Insufficient Evidence). Source needed: BDA's official website, checked on a stated date: its budget, finance or proactive-disclosure (RTI s.4) pages, looking for a published medium-term (3-5 year) or long-term (more than 5 years) fiscal or financial plan. Supporting documents would be BDA's latest budget estimates and annual report (for example as tabled in the Karnataka Legislature), which would show whether a multi-year plan exists.</t>
  </si>
  <si>
    <t xml:space="preserve">AI: left for a person. Step 2 found no evidence (Insufficient Evidence). Source needed: Needed: a dated capture of BMRCL's official website (www.bmrc.co.in, named in the FY2020-21 Annual Report), including its finance, reports and disclosures pages. It should show whether a medium- or long-term fiscal plan is published, e.g. a corporate or business plan or a multi-year financial projection with receipts and payments. Also needed: BMRCL's latest annual report, and any MoU or corporate plan filed with the Government of Karnataka or MoHUA.</t>
  </si>
  <si>
    <t xml:space="preserve">BMRDA official website, English home page, 'Department Documents' menu</t>
  </si>
  <si>
    <t xml:space="preserve">Menu items 'Budget and Annual Reports' and 'Budget' (https://bmrda.karnataka.gov.in/44/budget/en)</t>
  </si>
  <si>
    <t xml:space="preserve">AI: left for a person. Step 2 found no evidence (Insufficient Evidence). Source needed: The text of BMRDA's 'Budget' and 'Budget and Annual Reports' pages on its official website, plus the documents posted there (e.g. the 2023-24 Annual Report and any budget PDFs). These would show whether a fiscal plan with receipts and expenditure projections over 3+ years is published. If those pages contain no such plan, that confirmed check would support a 0.</t>
  </si>
  <si>
    <t xml:space="preserve">Chapter 20 – Cost Estimates</t>
  </si>
  <si>
    <t xml:space="preserve">Section 20.5 Finance &amp; Resource Mobilisation (with Table 152 Total cost estimates and Section 20.4 Phasing)</t>
  </si>
  <si>
    <t xml:space="preserve">pages 214-215 of the report (PDF pages 231-232)</t>
  </si>
  <si>
    <t xml:space="preserve">231</t>
  </si>
  <si>
    <t xml:space="preserve">AI (low confidence), from Step 2 answer (Partially Answered) and SUDA-14: I left the score blank. The sources neither support a 5 nor allow a 0.
Why not 5 (fiscal plan published on the agency's website):
- The nearest item is SUDA-14, the Development Plan 2035 report. Its file is named 22.02.2017 and its plan period runs to 2035. The source URL is under sudaonline.org.
- Chapter 20 gives capital-cost estimates for the plan. Tables 139-149 cover water, sewerage and solid waste: Rs 23,723 crore at 5% inflation, phased 2016-2025 and 2026-2035. Table 151 gives roads at Rs 1,470 crore. Section 20.3 gives land acquisition at Rs 5,100 crore. Table 152 totals these at Rs 30,293 crore.
- Section 20.4 says only that phasing 'will be spread over 20 years'.
- Section 20.5 is a description of possible funding sources: section 24 contributions, development charges under sections 99-100, fees, paid FSI, TP-scheme land, and government grants and loans. It sets no figures for SUDA's own revenue and spending over a medium (3-5 year) or long (more than 5 year) horizon.
- The report itself says the plan 'calls for long term fiscal planning'. That reads as a stated need for a fiscal plan, not as the plan itself.
- Many of these cost estimates are for services that SMC delivers (the tables cite SMC records). So this is a spatial plan's investment estimate, not an organisational fiscal plan of the parastatal.
- I checked the Step 2 answer against the source and it holds up.
Why not 0 (no affirmative absence):
- The Citation Sheet has no capture of SUDA's website budget, finance, annual-report or proactive-disclosure pages. A search of the whole sheet for medium-term, multi-year, budget-projection or fiscal-plan material found only these:
  - SUDA-03 (GTPUD Rules 1979): annual budget forms and schedules. These are a yearly budget format in law, not a multi-year plan, and not website practice.
  - SUDA-04 (GPMC Act 1949, as modified up to 30-11-2017): municipal budget provisions for the city government, not SUDA.
- I also checked:
  - SUDA-01 (GTPUD Act 1976, PRS copy): legal text only.
  - SUDA-05 (revised draft GDCR): regulations, no fiscal plan.
  - SUDA-13 (presentation of 03-08-2013 starting the DP 2035 revision): no fiscal plan.
- Not finding something on an uncaptured website is a VERIFICATION-LIMIT, not a negative finding.
For the team to confirm:
1. RUBRIC-GAP: does a development plan's capital-cost estimate plus a funding narrative (DP 2035, Chapter 20) count as a medium- or long-term fiscal plan under SC4b? I judge that it does not.
2. Nothing in the sheet proves sudaonline.org is SUDA's official domain: no link from a gov.in or nic.in page, and no Act or GO naming it.
3. A reviewer should capture SUDA's current website finance and budget pages with a dated screenshot.
4. Possible RTI request to the PIO at SUDA for any adopted multi-year fiscal or financial plan, FY 2021-22 to date.
Period: DP 2035 report of 2017, covering 2015-2035. The current state of the website is unknown.
Quote: "The implementation of the development plan calls for long term fiscal planning."
"Score" left blank: the Citation Sheet doesn't decide it.</t>
  </si>
  <si>
    <t xml:space="preserve">Chapter 20 – Financing Options, Fare Structure and Financial Viability</t>
  </si>
  <si>
    <t xml:space="preserve">Para 20.4.1 (FIRR); Tables 20.9.1 and 20.14 (year-by-year cash flows, 2019-20 to 2048-49)</t>
  </si>
  <si>
    <t xml:space="preserve">DPR pp. 726 and 734-736 (December 2018)</t>
  </si>
  <si>
    <t xml:space="preserve">75</t>
  </si>
  <si>
    <t xml:space="preserve">AI (low confidence), from Step 2 answer (Partially Answered) and GMRC-08: I left the score blank: the Citation Sheet supports neither 5 nor 0.
(1) Why I can't give 5. The rubric gives 5 for a fiscal plan published on the parastatal's website and 0 if none is available. The only candidate in the Citation Sheet is the Surat Metro Phase-1 DPR (GMRC-08, December 2018). The GMRC-01 Reports &amp; Downloads page lists it as 'Detailed Project Report – Surat Metro Rail Project Phase-1'.
- Its Chapter 20 has 30-year cash-flow tables. Table 20.14 covers the SPV model with the JICA loan from 2019-20 to 2048-49: costs, fare-box and PD revenue, loans, interest and cumulative cash.
- But it is a project-level appraisal prepared before sanction. Para 20.6 states it is meant to check viability against the Metro Rail Policy 2017 EIRR threshold for approval.
- It was prepared in 2018 for one project. It is not an institution-wide medium- or long-term fiscal plan adopted by GMRC, and its construction years (2019-20 to 2023-24) are already past.
- Counting it as a 'fiscal plan' would rest on the existence of projections, not on a plan document. Whether a DPR qualifies is a methodology question the team needs to confirm.
(2) Why I can't give 0. Affirmative absence is not established. I checked:
- the GMRC-01 Reports &amp; Downloads list (annual reports 2014-15 to 2024-25, MoA, AoA, ESIA, EIA, SEP, ESMP, GAP, DPRs, maps, sanction letters, CSR policy, pension circular, standardisation report). No item is titled as a fiscal, financial, corporate or business plan.
- GMRC-03, the RTI 4(1)(b) disclosure. It lists an 'Annual Finance Budget' and 'forecast of cash flow requirements' as functions or documents held, but no multi-year plan is published there.
- A keyword search across the sheet, including the GMRC-05 and GMRC-06 annual reports (FY2024-25 and FY2023-24), which found no plan.
Other GMRC website sections linked from GMRC-01 are not in the Citation Sheet, so absence across the whole site is not shown: Sitemap, Board Level Committees, Project Overview and others. This is a VERIFICATION-LIMIT, not a negative finding.
For the team to decide:
(a) Does a pre-sanction project DPR with multi-year projections count for SC-4b?
(b) Is GMRC, a GoI–GoG SPV whose Surat line is still under implementation, eligible as a Surat parastatal?
(c) A person should check the full GMRC website, especially the Sitemap and Board Level Committees pages, for any corporate, financial or medium-term plan, and capture a dated screenshot.
(d) An RTI request to the PIO for any multi-year financial or corporate plan for FY2025-26 onward would settle the question.
I agree with Step 2's answer (not determined) on the source text.
Quote: "The Financial Internal Rate of Return (FIRR) obtained for 30 years life cycle business model including construction period without additional PD and TOD &amp; VCF Income is 6.90% and with additional PD and TOD &amp; VCF Income is 7.38%."
"Score" left blank: the Citation Sheet doesn't decide it.</t>
  </si>
  <si>
    <t xml:space="preserve">Chapter II (Establishment of the Board)</t>
  </si>
  <si>
    <t xml:space="preserve">Section 4; read with Section 6 and Section 87(2)(a)</t>
  </si>
  <si>
    <t xml:space="preserve">s.4 (term of office left to the Rules); s.6(1)(a)-(f) and s.6(5) (removal); s.87(2)(a) (Rules may cover the Chairman's term)</t>
  </si>
  <si>
    <t xml:space="preserve">AI (low confidence), from Step 2 answer (Partially Answered) and BWSSB-02: Score left blank. I can't fill it because the instrument that decides the tenure is not in the Citation Sheet, so the result is 'not found'. It is not proof of absence. I checked the Step 2 answer against the source and it holds. (1) The BWSSB Act, 1964 (PRS copy, amended up to Act 5 of 2011) sets no period of office itself. Section 4 sends the Chairman's and members' term to 'the rules', and s.87(2)(a) says the Rules 'may provide for ... the term of office of the Chairman'. (2) I searched the Citation Sheet twice ('term of office of Chairman rules years' and 'Bangalore Water Supply and Sewerage Rules'). Neither search found any Rules made under the Act, and neither found any appointment notification or GO for the Chairman. The only hits were the Act itself (BWSSB-02) and the GBG Act (BWSSB-04, which deals with Councillor and Mayor tenure, not BWSSB's head). A 0 would need affirmative absence across the Act, its Rules and its notifications. The Rules layer is missing, so I can't give a 0. I can't give 5 or 10 either, because no term is shown. (3) On removal, s.6(1) lists grounds. But s.6(1)(e)(iv) lets the Government remove a member who, 'in the opinion of the State Government', is 'otherwise unfit to continue'. Separately, s.6(5) lets the Government remove the Chairman and all members if the Board fails to carry out its functions or to follow directions under s.89. s.6(3) does require a chance to explain first. Even if the Rules set a fixed term, a person must decide whether these grounds count as 'defined grounds' or as discretionary removal. The note on this question's anomaly suggests that a fixed term with discretionary removal fits neither the 10 band nor the 5 band, which would be a RUBRIC-GAP. (4) Who counts as the executive authority still needs confirming. The Act creates no MD or CEO post: s.12 has only a CAO-cum-Secretary and an Engineer-in-Chief, appointed by the Board with State approval and with no tenure given. The 2016-17 annual report (BWSSB-29) shows IAS officers serving as whole-time Chairmen with short terms (08-10-2015 to 20-04-2016). That record is about practice, not law. ACTIONS FOR A PERSON: get the Rules under ss.4/87(2)(a) and the current appointment GO for the Chairman, check whether any amendment after 2011 changed s.4 or s.6, and confirm that the Chairman is the executive authority for SC5.
Quote: "The Chairman and other members of the Board shall hold office for such period, and shall be eligible for re-appointment under such conditions, as may be prescribed by the rules."
"Score" left blank: the Citation Sheet doesn't decide it.</t>
  </si>
  <si>
    <t xml:space="preserve">Road Transport Corporations Act, 1950: officers and servants of the Corporation</t>
  </si>
  <si>
    <t xml:space="preserve">Section 14(3)(a), read with s.2(d), s.45(2)(e), s.8(1)-(2) and s.5(5)</t>
  </si>
  <si>
    <t xml:space="preserve">s.14(3)(a): the MD's conditions of appointment and service 'be such, as may be prescribed'</t>
  </si>
  <si>
    <t xml:space="preserve">9</t>
  </si>
  <si>
    <t xml:space="preserve">AI: left for a person. Step 2 found no evidence (Human Verification Required). Source needed: Full text of the Rules under the Road Transport Corporations Act, 1950 that apply to BMTC: the Karnataka State Road Transport Corporation Rules, 1961 and any BMTC-specific Rules or amendments. Look for provisions on the Managing Director's term, conditions of service and removal. Also needed: the Karnataka notification establishing BMTC and stating which Rules apply, and any GO fixing the MD's tenure. Official copies only, e.g. the Karnataka eGazette or the state legislation portal.</t>
  </si>
  <si>
    <t xml:space="preserve">Chapter II – The Bangalore Development Authority</t>
  </si>
  <si>
    <t xml:space="preserve">Section 12 (Appointment of Commissioner), substituted by Act 18 of 1981 w.e.f. 30-12-1980; read with ss. 3(3)(m), 5(1), 6, 13(1), 69(2)(c), 70(1)(f)</t>
  </si>
  <si>
    <t xml:space="preserve">s.12(1)-(3)</t>
  </si>
  <si>
    <t xml:space="preserve">23</t>
  </si>
  <si>
    <t xml:space="preserve">AI (low confidence), from Step 2 answer (Partially Answered) and BDA-02: Score left blank because the evidence does not let me pick a band, and a 0 cannot be confirmed as an affirmative absence.
1. What the Act says. I checked this myself against BDA-02, the PRS copy (amended up to Act 42 of 2026).
- s.13(1): 'The Commissioner shall be the Chief Executive and Administrative Officer of the Authority.' This makes the Commissioner the executive authority. The Chairman is the political head and is excluded.
- s.12(1)-(3): covers only appointment (an officer 'not below the rank of Divisional Commissioner'), salary and leave. It sets no term, no minimum tenure and no protection against removal.
- s.3(3)(m): the Commissioner is a member 'ex-officio'.
- s.5(1): 'Subject to the pleasure of the Government and the provisions of section 6, the Chairman and other members of the Authority shall hold office for a period of three years'.
- s.6: lists grounds on which the Government 'shall remove a member'. Because s.5(1) keeps the pleasure clause, removal is not limited to those grounds.
- Whether the s.5 term applies to an ex-officio member at all is open to interpretation. Even if it does, it is a term the Government can end at will, not a guaranteed minimum tenure. The Step 2 answer flags this as the SC-5 anomaly: it fits neither the 10 band nor the 5 band. This is a RUBRIC-GAP, so a person needs to confirm it.
2. Why I cannot score 0. Affirmative absence needs the whole instrument stack, and several layers are missing from the Citation Sheet:
- the BDA Rules made under s.69. s.5(2) says other conditions of service of members 'shall be such as may be prescribed', and s.69(2)(c) covers 'the conditions of service of the Chairman and other members'. These Rules could set a term.
- any BDA regulations made under s.70. Note that s.70(1)(f) excludes officers 'lent' from Government service.
- the service rules for the officer posted as Commissioner (All India Services or Karnataka civil services), including any minimum-tenure rule for postings.
- any government order fixing the Commissioner's tenure.
Under the not-found rule, the score stays blank.
3. Other sources I checked:
- BDA-03 (GBA Act 2024), BDA-04 and BDA-13 (GBA amendment Bills): the BDA Commissioner appears only as an ex-officio member. No tenure provision.
- BDA-05 (KTCP Amendment Bill 2025): nothing on the BDA Commissioner's tenure.
- BDA-06 (KTCP Act) and BDA-27 (RTI portal): nothing relevant.
- Searching the sheet for 'Rules' and 'tenure' found no BDA Rules or GO.
4. Source quality. BDA-02 is a PRS copy, which is secondary. The authoritative gazette text should be checked.
5. RTI target: the PIO of the Urban Development Department, Government of Karnataka, and the BDA PIO. Ask for the Rules, government orders and service rules currently in force on the BDA Commissioner's term, minimum tenure and removal.
Quote: "(1) The State  Government shall appoint an officer, not  below the rank of Divisional Commissioner, to be the Commissioner  for  the Authority. (2) The Commissioner shall receive such  monthly salary  and other allowances as the State Government may, from time to time determine."
"Score" left blank: the Citation Sheet doesn't decide it.</t>
  </si>
  <si>
    <t xml:space="preserve">Chapter XIII – Appointment and Remuneration of Managerial Personnel</t>
  </si>
  <si>
    <t xml:space="preserve">Section 196 (read with Section 169)</t>
  </si>
  <si>
    <t xml:space="preserve">s.196(2)</t>
  </si>
  <si>
    <t xml:space="preserve">119</t>
  </si>
  <si>
    <t xml:space="preserve">AI (low confidence), from Step 2 answer (Partially Answered) and BMRCL-06: I left the Score blank. The Citation Sheet does not show a minimum tenure for BMRCL's Managing Director (MD), but it does not prove there is none either. The documents that would decide this are not in the sheet, so 0 cannot be given.
I checked Step 2 against the sources and it holds up.
(1) The Companies Act, 2013 (BMRCL-06, PRS copy of the Gazette text as enacted) has s.196(2). It sets only a maximum term: no 'term exceeding five years at a time'. It sets no minimum term. s.169(1) lets the shareholders remove a director by ordinary resolution after a hearing. That is a procedure, not a list of defined grounds for removal.
(2) The Annual Report for FY2020-21 (BMRCL-09) says BMRCL is a Government Company under s.2(45) and a 50:50 joint venture of the Government of India and the Government of Karnataka. It says the Government of Karnataka 'has the right to appoint the full-time Managing Director &amp; Chief Executive Officer'. It refers to the Articles of Association only for board strength (3 to 15 directors). It says nothing on the MD's term or removal. It also shows frequent MD changes: Rakesh Singh on concurrent charge from 9 April 2021, then Anjum Parwez from 15 July 2021. These are practice only, not law.
(3) The Metro Railways (Operation and Maintenance) Act, 2002 (BMRCL-04): ss.50-51 set term and removal grounds for the Claims Commissioner only.
(4) The Greater Bengaluru Governance Act, 2024 (BMRCL-02): s.13(1)(j) only names the MD as a member of the Executive Committee. BMRCL-03, 07, 08, 32 and 33 (the GBG Amendment Bill, Town and Country Planning Act, Metropolitan Land Transport Authority Act, parking policy and a tender notice) do not cover MD tenure.
The instruments that would decide this are missing:
- BMRCL's Memorandum and Articles of Association (the MD's appointment, term and removal);
- the Government of Karnataka's orders and terms of appointment for the MD;
- any Government of Karnataka service rules or policy on the tenure of officers posted to state companies or joint ventures;
- the current consolidated Companies Act and Rules (later amendments to ss.169 and 196 were not checked).
Without these, the result is 'not found', not an affirmative absence. I could not confirm the score bands from a Detailed Methodology in the input. Step 2's notes suggest 10 = a minimum term plus removal only on defined grounds, 5 = a minimum term only, 0 = none. The scorer should confirm these bands. RTI target: the PIO at BMRCL or at the Urban Development Department, Government of Karnataka, for the current Articles of Association and the MD's appointment orders and terms from 2021 to now.
Quote: "(2) No company shall appoint or re-appoint any person as its managing director, whole-time director or manager for a term exceeding five years at a time:"
"Score" left blank: the Citation Sheet doesn't decide it.</t>
  </si>
  <si>
    <t xml:space="preserve">AI: left for a person. Step 2 found no evidence (Insufficient Evidence). Source needed: The full official text of the Bangalore Metropolitan Region Development Authority Act, 1985 (Karnataka Act No. 39 of 1985), current amended version, especially the section on appointing the Metropolitan Commissioner. Also: the BMRDA Cadre and Recruitment Rules, 2008; any Rules made under the BMRDA Act; and the BMRDA Regulations of 1996, 1999 and 2000. These would show whether a term, a minimum tenure or limits on removal are prescribed. If they are silent, the Karnataka state rules on IAS posting tenure (e.g. a Civil Services Board/minimum-tenure GO) could be checked, but only if the team accepts them as part of the stack.</t>
  </si>
  <si>
    <t xml:space="preserve">AI: left for a person. Step 2 found no evidence (Insufficient Evidence). Source needed: Needed: (a) the full principal text of section 22 of the GTPUD Act, 1976 (current consolidated version), especially s.22(4) and any provision on the Member-Secretary/Chief Executive Authority's appointment, term and removal; (b) the full GTPUD Rules, 1979 (and any amendments), checked for rules on members' or the Chief Executive Authority's term and conditions; (c) the GoG notification of 30-01-1978 constituting SUDA and any later notification appointing or re-designating the Chief Executive Authority; (d) any service or tenure rules that apply to the post.</t>
  </si>
  <si>
    <t xml:space="preserve">AI: left for a person. Step 2 found no evidence (Insufficient Evidence). Source needed: GMRC's Articles of Association, especially the articles on appointing, setting the term of and removing the Managing Director. The Companies Act, 2013 provisions and Rules on MD appointment and term. The DPE guidelines on tenure of board-level executives in jointly owned companies, adopted under sanction para 8.5. The GoG/Board appointment order for the current MD, showing the term and the conditions for removal.</t>
  </si>
  <si>
    <t xml:space="preserve">AI: left for a person. Step 2 found no evidence (Insufficient Evidence). Source needed: Government of Karnataka (DPAR / Urban Development Department) orders appointing, transferring or giving additional charge to the Chairman, BWSSB, for the last five years, or the matching Karnataka Gazette notifications. Alternatively, BWSSB annual reports for FY 2020-21 to 2024-25 (laid in the Legislature) that list Chairpersons with dates in office, or a dated official BWSSB list of past Chairmen.</t>
  </si>
  <si>
    <t xml:space="preserve">Press Releases - Bengaluru Metropolitan Transport Corporation [BMTC-28]</t>
  </si>
  <si>
    <t xml:space="preserve">Press Releases page, 2021-22 / April-2022 list</t>
  </si>
  <si>
    <t xml:space="preserve">Press release entry dated 20/04/2022 (title only; links to 'MD BMTC - Kan.pdf')</t>
  </si>
  <si>
    <t xml:space="preserve">https://mybmtc.karnataka.gov.in/info-4/Press+Releases/en</t>
  </si>
  <si>
    <t xml:space="preserve">AI: left for a person. Step 2 found no evidence (Insufficient Evidence). Source needed: The Karnataka government's (DPAR) appointment, transfer and additional-charge orders for the post of BMTC Managing Director from about Oct 2021 to Sep 2026, or the matching Karnataka Gazette notifications. Each order should give the officer's name, the date charge was taken or handed over, and whether the charge was substantive or additional. A dated BMTC list of past Managing Directors, or annual reports naming the MD each year, would serve as a cross-check.</t>
  </si>
  <si>
    <t xml:space="preserve">AI: left for a person. Step 2 found no evidence (Insufficient Evidence). Source needed: Karnataka DPAR (Services) notifications or eGazette orders appointing or transferring the Commissioner, BDA, covering the last five years, including any additional or concurrent charge orders. Alternatively, an official BDA list of past Commissioners with their dates in office, or BDA annual reports naming the Commissioner each year.</t>
  </si>
  <si>
    <t xml:space="preserve">BMRCL Annual Report 2020-21 (Board's Report, Independent Auditor's Report, CAG comments, audited Balance Sheet, P&amp;L and Cash Flow for FY 2020-21), laid before the Karnataka Legislative Council [BMRCL-01]</t>
  </si>
  <si>
    <t xml:space="preserve">Board's Report – General Information</t>
  </si>
  <si>
    <t xml:space="preserve">Appointment of Managing Director and Director after the end of the Financial year 31.03.2021</t>
  </si>
  <si>
    <t xml:space="preserve">Page 39 of the PDF (page 37 of the report); also the Board of Directors list on page 4 of the PDF</t>
  </si>
  <si>
    <t xml:space="preserve">39</t>
  </si>
  <si>
    <t xml:space="preserve">AI: left for a person. Step 2 found no evidence (Insufficient Evidence). Source needed: Any of these would close the gap: BMRCL annual reports (Board's Reports) for FY 2021-22 to 2025-26, which list MD appointments and cessations with dates; GoK orders appointing or transferring each BMRCL MD from 2021 to 2026, noting any concurrent or additional charge; or a dated BMRCL official-website page listing past and present MDs with their dates.</t>
  </si>
  <si>
    <t xml:space="preserve">Annexure-1 (officers and staff serving 01-04-2022 to 31-03-2023)</t>
  </si>
  <si>
    <t xml:space="preserve">Annexure-1, row 1 (Metropolitan Commissioner)</t>
  </si>
  <si>
    <t xml:space="preserve">p.16</t>
  </si>
  <si>
    <t xml:space="preserve">AI: left for a person. Step 2 found no evidence (Insufficient Evidence). Source needed: DPAR (Government of Karnataka) appointment, transfer and posting orders for the post of Metropolitan Commissioner, BMRDA, covering the last five years, including any additional or concurrent charge orders. Alternatively, a BMRDA list of past Metropolitan Commissioners with dates (e.g. Annexure-1 of each annual report from FY 2020-21 to FY 2025-26). Also the BMRDA Act, 1985, to confirm the Metropolitan Commissioner's statutory executive role.</t>
  </si>
  <si>
    <t xml:space="preserve">AI: left for a person. Step 2 found no evidence (Insufficient Evidence). Source needed: Two kinds of record would answer this. First, the Government of Gujarat (General Administration Department / Urban Development &amp; Urban Housing Department) orders or Gazette notifications posting or transferring officers as Chief Executive Authority, SUDA, from about 2021 to 2026, with dates and a note of any additional, concurrent or ex-officio charge. Second, a dated official list of past and present SUDA CEAs, either from SUDA's own website or from a .gov.in source.</t>
  </si>
  <si>
    <t xml:space="preserve">Board's Report, XII General Information – Organizational Set-up; XIII Details of Directors &amp; KMP</t>
  </si>
  <si>
    <t xml:space="preserve">Annual Report 2024-25, pp.30-32 (printed page numbers); KMP list under s.203 Companies Act 2013</t>
  </si>
  <si>
    <t xml:space="preserve">32</t>
  </si>
  <si>
    <t xml:space="preserve">AI (low confidence), from Step 2 answer (Partially Answered) and GMRC-05: I left the score blank because the Citation Sheet does not cover the whole five-year window. I checked the Step 2 answer against the sources and it holds. GMRC's chief executive is the Managing Director: GMRC-05, section XII, says 'The general powers of Management are vested in the Managing Director'. The Chairman is the ex-officio Secretary of MoHUA (the Union housing ministry) and is not counted.
What the sources show:
(a) GMRC-06, Annual Report 2023-24, MGT-9 table (v) 'Shareholding of Directors and KMP' (printed p.60). At the start of the year (01/04/2023), Shri S. S. Rathore held 20 shares 'On behalf of Hon'ble Governor of Gujarat &amp; Managing Director', with no transfer noted. So he was MD from at least 1 April 2023.
(b) GMRC-06, p.40 and GMRC-05, p.32: the KMP lists name only Rathore as MD. Neither report's list of director changes (FY2023-24, FY2024-25, and FY2025-26 up to the AGM) shows an MD change.
(c) GMRC-05: Rathore signs as MD (DIN 00128987) up to 24/12/2025.
(d) GMRC-04 (website, last updated 12-Oct-2026) still shows him as MD.
Shri Sanjay Gupta became Joint Managing Director from 21.12.2024. He is a functional director, not the chief executive, so I did not count him. Please confirm that the Joint MD post is excluded.
What is missing: nothing in the Sheet covers about Oct 2021 to 31 Mar 2023. There are no annual reports for FY2021-22 or FY2022-23, no Board resolution or Government of Gujarat order appointing the MD, no start date for Rathore, and no record of a predecessor or of anyone holding acting or additional charge. My searches of the Sheet for 'Rathore', 'Managing Director' with 2020-2022 dates, 'additional charge' and his DIN found nothing earlier. So the count could be 1 MD (top band) or 2-3 MDs (middle band). I cannot pick a band, and with no evidence of a change I cannot score 0 either.
The rubric bands are not given in this task. The Step 2 notes refer to a 10-band (1 MD) and a 5-band (2-3 MDs); a person should confirm these against the question bank.
Action for a person: obtain the GMRC annual reports for FY2021-22 and FY2022-23 (the MGT-9 and directors'-changes sections), or file an RTI request with the GMRC PIO for the orders appointing the MD and any acting MD, with dates, from Oct 2021 to date. If those show Rathore in office throughout with no interim MD, the top band would apply.
Quote: "The Managing Director is the nominee of Government of Gujarat with prior concurrence of Government of India and appointed by the Board of Directors."
"Score" left blank: the Citation Sheet doesn't decide it.</t>
  </si>
  <si>
    <t xml:space="preserve">Chapter 2, Section 2.2.3 Relevant Organizations to the Sectors, (3) BWSSB (page 2-38, PDF page 116)</t>
  </si>
  <si>
    <t xml:space="preserve">Table 2.2.11 Present Number of BWSSB Permanent Staff (Source: BWSSB as of August, 2017)</t>
  </si>
  <si>
    <t xml:space="preserve">Total row: Sanctioned 3,501 / Actual working 2,157 / Vacancy 1,344</t>
  </si>
  <si>
    <t xml:space="preserve">116</t>
  </si>
  <si>
    <t xml:space="preserve">AI: left for a person. Step 2 found no evidence (Insufficient Evidence). Source needed: A current, dated official record giving both sanctioned and filled (working) posts for BWSSB, broken down by cadre, including any contractual posts that are part of the approved structure. Possible sources: BWSSB's latest Annual Report (FY 2023-24 or 2024-25) laid in the Karnataka Legislature; the sanctioned vs working strength statement in BWSSB's RTI section 4(1)(b) disclosure; the cadre and recruitment regulations or Board resolution fixing the sanctioned strength; or an RTI reply from the BWSSB PIO (Chief Administrative Officer-cum-Secretary's office).</t>
  </si>
  <si>
    <t xml:space="preserve">AI: left for a person. Step 2 found no evidence (Insufficient Evidence). Source needed: Any one of these would answer it: a BMTC staffing record showing sanctioned and working (filled) strength by cadre, including contractual staff in the approved structure, as of a recent date. Possible sources are the 'staff strength' or 'number of employees' table in BMTC's latest annual report (which may have been tabled in the Karnataka Legislature), BMTC's RTI Act s.4(1)(b) disclosure, or a formal data request or RTI reply from BMTC.</t>
  </si>
  <si>
    <t xml:space="preserve">AI: left for a person. Step 2 found no evidence (Insufficient Evidence). Source needed: A dated official record of BDA's sanctioned and filled posts (ideally split into permanent, contractual and deputation staff) for a recent year. Possible sources: BDA's latest annual report or s.47A report laid before the Karnataka Legislature; the current staff schedule sanctioned by the Government under s.49, with its working strength; BDA's RTI s.4(1)(b) disclosures (staff directory and vacancy position); a Karnataka Urban Development Department or legislature answer on BDA vacancies; or a formal data request or RTI reply from BDA.</t>
  </si>
  <si>
    <t xml:space="preserve">AI: left for a person. Step 2 found no evidence (Insufficient Evidence). Source needed: BMRCL's sanctioned versus working strength, by wing (Project and O&amp;M) and by cadre, for the latest completed FY, stating whether contract or deputation posts count as sanctioned. Possible sources: a current BMRCL annual report or Board's Report with a sanctioned-strength table, a Board resolution or GoK/MoHUA order sanctioning posts (including Phase-2), or an RTI reply from BMRCL.</t>
  </si>
  <si>
    <t xml:space="preserve">Para 11 'Staff position', p.15; Annexure-1, p.16 onward</t>
  </si>
  <si>
    <t xml:space="preserve">Post-by-post list in Annexure-1 (Kannada), p.16 onward; matching Kannada paragraph is para 12</t>
  </si>
  <si>
    <r>
      <rPr>
        <sz val="11"/>
        <color theme="1"/>
        <rFont val="Calibri"/>
        <family val="2"/>
        <charset val="1"/>
      </rPr>
      <t xml:space="preserve">AI (low confidence), from Step 2 answer (Partially Answered) and BMRDA-03: I left the score blank. The likely score is 2, but a person needs to confirm it first. What the source says: BMRDA's Annual Report for 2022-23 (BMRDA-03, para 11, p.15) is the only staffing figure in the Citation Sheet. It says 27 of 56 sanctioned posts were filled as of 31.03.2023. That is a fill rate of 27/56 = 48.21%. The Step 2 answer puts this in the 40%-59% band, which scores 2. I checked the figures against the source and they match. Why I did not enter the score: (1) The data is from 31.03.2023, about 3.5 years before this September 2026 Implementation assessment. Old evidence is at most partial evidence of current practice. I searched the whole Citation Sheet and found no staffing figure for FY 2023-24, 2024-25 or 2025-26. (2) The methodology counts contractual staff when they are part of the approved staffing structure. The report gives no contractual or outsourced headcount. In Annexure-1 (Kannada), several posts are marked '</t>
    </r>
    <r>
      <rPr>
        <sz val="11"/>
        <color theme="1"/>
        <rFont val="Noto Sans"/>
        <family val="2"/>
      </rPr>
      <t xml:space="preserve">ತಾತ್ಕಾಲಿಕ ಹುದ್ದೆ</t>
    </r>
    <r>
      <rPr>
        <sz val="11"/>
        <color theme="1"/>
        <rFont val="Calibri"/>
        <family val="2"/>
        <charset val="1"/>
      </rPr>
      <t xml:space="preserve">' (temporary post). The report does not say whether these are inside the 56 sanctioned posts or extra to them. (3) The band boundaries were not given to me directly; I took them from the Step 2 answer. The reviewer should check them against the question bank. A score of 0 does not apply, because staffing data exists. Sources checked: BMRDA-03 (para 11 and Annexure-1). I also searched across all sources; BMRDA-05/06/07/12 (website pages) and BMRDA-08/10/11 (Acts) contain no BMRDA staffing data. For the reviewer: if the latest available official figure (FY 2022-23) is acceptable and contractual staff are outside the approved structure, enter 2. Otherwise get current figures through an RTI request to BMRDA's Public Information Officer for Administration &amp; Revenue (the Assistant Metropolitan Commissioner). Ask for sanctioned posts, filled posts (regular, deputation, contractual) and vacancies as of the latest date.
Quote: "The sanctioned staff strength for the Authority as on the 31.03.2023 is 56, out of this, only 27   posts have been filled up and the remaining 29 posts are vacant."
"Score" left blank: the Citation Sheet doesn't decide it.</t>
    </r>
  </si>
  <si>
    <t xml:space="preserve">AI: left for a person. Step 2 found no evidence (Insufficient Evidence). Source needed: A dated official record of SUDA's sanctioned and working strength by post or cadre, including contractual posts in the approved structure. This could be SUDA's RTI section 4(1)(b) proactive-disclosure staff list, an annual report with a sanctioned-vs-filled table, or the Gujarat Urban Development Department GO approving SUDA's staffing. Failing these, an RTI reply or formal data request to SUDA.</t>
  </si>
  <si>
    <t xml:space="preserve">AI: left for a person. Step 2 found no evidence (Insufficient Evidence). Source needed: A dated GMRC staffing record showing sanctioned posts and filled posts, ideally by cadre and split between permanent and contractual staff within the approved structure. Possible sources: an HR or establishment statement or annual report table showing sanctioned and working strength, the Board-approved organisation chart or manpower sanction, or an RTI reply from GMRC's PIO. Figures should be company-wide, with a Surat Metro breakdown if available.</t>
  </si>
  <si>
    <t xml:space="preserve">AI: left for a person. Step 2 found no evidence (Insufficient Evidence). Source needed: Needed: current staffing data from BWSSB that splits filled posts by sex, ideally also by cadre (Group A/B/C/D, technical or engineering, senior posts). Possible sources: a recent BWSSB annual report laid before the Karnataka Legislature, the RTI s.4(1)(b) employee directory, an HR or establishment statement, or a reply to an RTI or formal data request.</t>
  </si>
  <si>
    <t xml:space="preserve">AI: left for a person. Step 2 found no evidence (Insufficient Evidence). Source needed: A gender-wise staff table from BMTC: the latest annual report (Section 33 RTC Act annual report tabled in the Karnataka Legislature), the RTI section 4(1)(b) proactive disclosure of employees, or a formal data request/RTI reply. It should give total filled posts and women employees as of a stated date, with a cadre-wise split (senior/decision-making posts; technical/professional cadres such as drivers, mechanics and engineers).</t>
  </si>
  <si>
    <t xml:space="preserve">AI: left for a person. Step 2 found no evidence (Insufficient Evidence). Source needed: Any of the following, dated as recently as possible: BDA's latest annual report or establishment statement giving filled posts with a male/female split; BDA's RTI s.4(1)(b) disclosure (staff directory, or staff numbers by cadre and gender); a written reply to a formal data request or RTI giving total filled posts and women employees by cadre (Group A/B/C/D, technical/engineering/town-planning, senior management).</t>
  </si>
  <si>
    <t xml:space="preserve">AI: left for a person. Step 2 found no evidence (Insufficient Evidence). Source needed: The latest staffing record from BMRCL showing total filled posts and the number of women employees, ideally split by cadre (executive/senior, technical/engineering, non-technical) and by wing (Project and O&amp;M), with contract/deputation staff identified. Possible sources: a recent BMRCL annual report with a gender breakdown of manpower, an HR disclosure on BMRCL's website, a legislature-tabled report, or an RTI reply.</t>
  </si>
  <si>
    <t xml:space="preserve">AI: left for a person. Step 2 found no evidence (Insufficient Evidence). Source needed: Gender-disaggregated staffing data for BMRDA, giving the number of women among filled posts, ideally split by cadre (senior/decision-making, technical/professional). Possible sources: a clean or human-read copy of Annexure-1 of the Annual Report showing Sri/Smt. honorifics, a later Annual Report (FY 2023-24 or after), an establishment register, or an RTI reply.</t>
  </si>
  <si>
    <t xml:space="preserve">AI: left for a person. Step 2 found no evidence (Insufficient Evidence). Source needed: SUDA's latest staffing record giving total filled posts and the number of women employees, ideally broken down by cadre (senior/decision-making, technical/professional), with a date or FY. Possible sources: an annual report, an establishment/sanctioned-vs-working strength schedule, the staff list in the RTI Act s.4(1)(b) proactive disclosure, or an RTI reply or formal data request to SUDA.</t>
  </si>
  <si>
    <t xml:space="preserve">AI: left for a person. Step 2 found no evidence (Insufficient Evidence). Source needed: Current GMRC staffing records: total filled posts and the number of women employees as of the latest date, ideally split by grade (E-grades and NE-grades, to show senior and technical cadres). These could come from an HR disclosure in an annual report, an employee directory or staffing statement on the website, or an RTI reply from GMRC's Public Information Officer.</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</si>
</sst>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sz val="11"/>
      <color theme="1"/>
      <name val="Noto Sans"/>
      <family val="2"/>
    </font>
    <font>
      <b val="true"/>
      <sz val="14"/>
      <name val="Cambria"/>
      <family val="0"/>
      <charset val="1"/>
    </font>
    <font>
      <i val="true"/>
      <sz val="11"/>
      <name val="Cambria"/>
      <family val="0"/>
      <charset val="1"/>
    </font>
    <font>
      <b val="true"/>
      <sz val="9"/>
      <name val="Cambria"/>
      <family val="0"/>
      <charset val="1"/>
    </font>
  </fonts>
  <fills count="7">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FF6D5"/>
      </patternFill>
    </fill>
    <fill>
      <patternFill patternType="solid">
        <fgColor rgb="FFFFF6D5"/>
        <bgColor rgb="FFFFF2B3"/>
      </patternFill>
    </fill>
    <fill>
      <patternFill patternType="solid">
        <fgColor rgb="FFE7E6E6"/>
        <bgColor rgb="FFDDE7F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DDE7F0"/>
          <bgColor rgb="FF000000"/>
        </patternFill>
      </fill>
    </dxf>
    <dxf>
      <fill>
        <patternFill patternType="solid">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FBD5B5"/>
        </patternFill>
      </fill>
    </dxf>
    <dxf>
      <fill>
        <patternFill>
          <bgColor rgb="FFF4B6B6"/>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DDE7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2B3"/>
      <rgbColor rgb="FF99CCFF"/>
      <rgbColor rgb="FFF4B6B6"/>
      <rgbColor rgb="FFCC99FF"/>
      <rgbColor rgb="FFFBD5B5"/>
      <rgbColor rgb="FF3366FF"/>
      <rgbColor rgb="FF33CCCC"/>
      <rgbColor rgb="FF99CC00"/>
      <rgbColor rgb="FFF2C2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16"/>
    <col collapsed="false" customWidth="true" hidden="false" outlineLevel="0" max="10" min="10" style="0" width="20"/>
    <col collapsed="false" customWidth="true" hidden="false" outlineLevel="0" max="11" min="11" style="0" width="60"/>
    <col collapsed="false" customWidth="true" hidden="false" outlineLevel="0" max="12" min="12" style="0" width="36"/>
    <col collapsed="false" customWidth="true" hidden="false" outlineLevel="0" max="13" min="13" style="0" width="30"/>
    <col collapsed="false" customWidth="true" hidden="false" outlineLevel="0" max="14" min="14" style="0" width="50"/>
    <col collapsed="false" customWidth="true" hidden="false" outlineLevel="0" max="15" min="15" style="0" width="70"/>
    <col collapsed="false" customWidth="true" hidden="false" outlineLevel="0" max="16" min="16" style="0" width="50"/>
  </cols>
  <sheetData>
    <row r="1" customFormat="false" ht="39.55" hidden="false" customHeight="fals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row>
    <row r="2" customFormat="false" ht="538.8" hidden="false" customHeight="false" outlineLevel="0" collapsed="false">
      <c r="A2" s="3" t="s">
        <v>16</v>
      </c>
      <c r="B2" s="3" t="s">
        <v>17</v>
      </c>
      <c r="C2" s="3"/>
      <c r="D2" s="3" t="n">
        <f aca="false">IFERROR(UPD1a!J13,"")</f>
        <v>1.25</v>
      </c>
      <c r="E2" s="3"/>
      <c r="F2" s="4"/>
      <c r="G2" s="4"/>
      <c r="H2" s="5" t="str">
        <f aca="false">IF(OR(F2="",NOT(ISNUMBER(D2))),"",IF(ABS(F2-D2)&lt;0.001,"Yes","No"))</f>
        <v/>
      </c>
      <c r="I2" s="3" t="s">
        <v>18</v>
      </c>
      <c r="J2" s="3" t="s">
        <v>19</v>
      </c>
      <c r="K2" s="3" t="s">
        <v>20</v>
      </c>
      <c r="L2" s="3" t="s">
        <v>21</v>
      </c>
      <c r="M2" s="3" t="s">
        <v>22</v>
      </c>
      <c r="N2" s="3" t="s">
        <v>23</v>
      </c>
      <c r="O2" s="3" t="s">
        <v>24</v>
      </c>
      <c r="P2" s="3" t="s">
        <v>25</v>
      </c>
    </row>
    <row r="3" customFormat="false" ht="303.7" hidden="false" customHeight="false" outlineLevel="0" collapsed="false">
      <c r="A3" s="3" t="s">
        <v>16</v>
      </c>
      <c r="B3" s="3" t="s">
        <v>26</v>
      </c>
      <c r="C3" s="3"/>
      <c r="D3" s="3" t="str">
        <f aca="false">IFERROR(UPD1a!J14,"")</f>
        <v/>
      </c>
      <c r="E3" s="3"/>
      <c r="F3" s="4"/>
      <c r="G3" s="4"/>
      <c r="H3" s="5" t="str">
        <f aca="false">IF(OR(F3="",NOT(ISNUMBER(D3))),"",IF(ABS(F3-D3)&lt;0.001,"Yes","No"))</f>
        <v/>
      </c>
      <c r="I3" s="3" t="s">
        <v>18</v>
      </c>
      <c r="J3" s="3" t="s">
        <v>19</v>
      </c>
      <c r="K3" s="3" t="s">
        <v>27</v>
      </c>
      <c r="L3" s="3" t="s">
        <v>28</v>
      </c>
      <c r="M3" s="3" t="s">
        <v>29</v>
      </c>
      <c r="N3" s="3" t="s">
        <v>30</v>
      </c>
      <c r="O3" s="3" t="s">
        <v>31</v>
      </c>
      <c r="P3" s="3" t="s">
        <v>25</v>
      </c>
    </row>
    <row r="4" customFormat="false" ht="505.2" hidden="false" customHeight="false" outlineLevel="0" collapsed="false">
      <c r="A4" s="3" t="s">
        <v>16</v>
      </c>
      <c r="B4" s="3" t="s">
        <v>32</v>
      </c>
      <c r="C4" s="3"/>
      <c r="D4" s="3" t="n">
        <f aca="false">IFERROR(UPD1a!J15,"")</f>
        <v>3.75</v>
      </c>
      <c r="E4" s="3"/>
      <c r="F4" s="4"/>
      <c r="G4" s="4"/>
      <c r="H4" s="5" t="str">
        <f aca="false">IF(OR(F4="",NOT(ISNUMBER(D4))),"",IF(ABS(F4-D4)&lt;0.001,"Yes","No"))</f>
        <v/>
      </c>
      <c r="I4" s="3" t="s">
        <v>18</v>
      </c>
      <c r="J4" s="3" t="s">
        <v>19</v>
      </c>
      <c r="K4" s="3" t="s">
        <v>33</v>
      </c>
      <c r="L4" s="3" t="s">
        <v>34</v>
      </c>
      <c r="M4" s="3" t="s">
        <v>35</v>
      </c>
      <c r="N4" s="3" t="s">
        <v>36</v>
      </c>
      <c r="O4" s="3" t="s">
        <v>37</v>
      </c>
      <c r="P4" s="3" t="s">
        <v>25</v>
      </c>
    </row>
    <row r="5" customFormat="false" ht="561.15" hidden="false" customHeight="false" outlineLevel="0" collapsed="false">
      <c r="A5" s="3" t="s">
        <v>16</v>
      </c>
      <c r="B5" s="3" t="s">
        <v>38</v>
      </c>
      <c r="C5" s="3"/>
      <c r="D5" s="3" t="n">
        <f aca="false">IFERROR(UPD1a!J16,"")</f>
        <v>0</v>
      </c>
      <c r="E5" s="3"/>
      <c r="F5" s="4"/>
      <c r="G5" s="4"/>
      <c r="H5" s="5" t="str">
        <f aca="false">IF(OR(F5="",NOT(ISNUMBER(D5))),"",IF(ABS(F5-D5)&lt;0.001,"Yes","No"))</f>
        <v/>
      </c>
      <c r="I5" s="3" t="s">
        <v>18</v>
      </c>
      <c r="J5" s="3" t="s">
        <v>19</v>
      </c>
      <c r="K5" s="3" t="s">
        <v>39</v>
      </c>
      <c r="L5" s="3" t="s">
        <v>40</v>
      </c>
      <c r="M5" s="3" t="s">
        <v>29</v>
      </c>
      <c r="N5" s="3" t="s">
        <v>41</v>
      </c>
      <c r="O5" s="3" t="s">
        <v>42</v>
      </c>
      <c r="P5" s="3" t="s">
        <v>25</v>
      </c>
    </row>
    <row r="6" customFormat="false" ht="158.2" hidden="false" customHeight="false" outlineLevel="0" collapsed="false">
      <c r="A6" s="3" t="s">
        <v>16</v>
      </c>
      <c r="B6" s="3" t="s">
        <v>43</v>
      </c>
      <c r="C6" s="3"/>
      <c r="D6" s="3" t="n">
        <f aca="false">IFERROR(UPD1a!J17,"")</f>
        <v>0</v>
      </c>
      <c r="E6" s="3"/>
      <c r="F6" s="4"/>
      <c r="G6" s="4"/>
      <c r="H6" s="5" t="str">
        <f aca="false">IF(OR(F6="",NOT(ISNUMBER(D6))),"",IF(ABS(F6-D6)&lt;0.001,"Yes","No"))</f>
        <v/>
      </c>
      <c r="I6" s="3" t="s">
        <v>18</v>
      </c>
      <c r="J6" s="3" t="s">
        <v>44</v>
      </c>
      <c r="K6" s="3"/>
      <c r="L6" s="3"/>
      <c r="M6" s="3"/>
      <c r="N6" s="3"/>
      <c r="O6" s="3"/>
      <c r="P6" s="3" t="s">
        <v>45</v>
      </c>
    </row>
    <row r="7" customFormat="false" ht="147" hidden="false" customHeight="false" outlineLevel="0" collapsed="false">
      <c r="A7" s="3" t="s">
        <v>16</v>
      </c>
      <c r="B7" s="3" t="s">
        <v>46</v>
      </c>
      <c r="C7" s="3"/>
      <c r="D7" s="3" t="str">
        <f aca="false">IFERROR(UPD1a!J18,"")</f>
        <v/>
      </c>
      <c r="E7" s="3"/>
      <c r="F7" s="4"/>
      <c r="G7" s="4"/>
      <c r="H7" s="5" t="str">
        <f aca="false">IF(OR(F7="",NOT(ISNUMBER(D7))),"",IF(ABS(F7-D7)&lt;0.001,"Yes","No"))</f>
        <v/>
      </c>
      <c r="I7" s="3" t="s">
        <v>18</v>
      </c>
      <c r="J7" s="3" t="s">
        <v>44</v>
      </c>
      <c r="K7" s="3"/>
      <c r="L7" s="3"/>
      <c r="M7" s="3"/>
      <c r="N7" s="3"/>
      <c r="O7" s="3"/>
      <c r="P7" s="3" t="s">
        <v>47</v>
      </c>
    </row>
    <row r="8" customFormat="false" ht="147" hidden="false" customHeight="false" outlineLevel="0" collapsed="false">
      <c r="A8" s="3" t="s">
        <v>16</v>
      </c>
      <c r="B8" s="3" t="s">
        <v>48</v>
      </c>
      <c r="C8" s="3"/>
      <c r="D8" s="3" t="str">
        <f aca="false">IFERROR(UPD1a!J19,"")</f>
        <v/>
      </c>
      <c r="E8" s="3"/>
      <c r="F8" s="4"/>
      <c r="G8" s="4"/>
      <c r="H8" s="5" t="str">
        <f aca="false">IF(OR(F8="",NOT(ISNUMBER(D8))),"",IF(ABS(F8-D8)&lt;0.001,"Yes","No"))</f>
        <v/>
      </c>
      <c r="I8" s="3" t="s">
        <v>18</v>
      </c>
      <c r="J8" s="3" t="s">
        <v>44</v>
      </c>
      <c r="K8" s="3"/>
      <c r="L8" s="3"/>
      <c r="M8" s="3"/>
      <c r="N8" s="3"/>
      <c r="O8" s="3"/>
      <c r="P8" s="3" t="s">
        <v>49</v>
      </c>
    </row>
    <row r="9" customFormat="false" ht="147" hidden="false" customHeight="false" outlineLevel="0" collapsed="false">
      <c r="A9" s="3" t="s">
        <v>50</v>
      </c>
      <c r="B9" s="3" t="s">
        <v>17</v>
      </c>
      <c r="C9" s="3"/>
      <c r="D9" s="3" t="n">
        <f aca="false">IFERROR(UPD1b!J13,"")</f>
        <v>5</v>
      </c>
      <c r="E9" s="3"/>
      <c r="F9" s="4"/>
      <c r="G9" s="4"/>
      <c r="H9" s="5" t="str">
        <f aca="false">IF(OR(F9="",NOT(ISNUMBER(D9))),"",IF(ABS(F9-D9)&lt;0.001,"Yes","No"))</f>
        <v/>
      </c>
      <c r="I9" s="3" t="s">
        <v>18</v>
      </c>
      <c r="J9" s="3" t="s">
        <v>44</v>
      </c>
      <c r="K9" s="3"/>
      <c r="L9" s="3"/>
      <c r="M9" s="3"/>
      <c r="N9" s="3"/>
      <c r="O9" s="3"/>
      <c r="P9" s="3" t="s">
        <v>51</v>
      </c>
    </row>
    <row r="10" customFormat="false" ht="147" hidden="false" customHeight="false" outlineLevel="0" collapsed="false">
      <c r="A10" s="3" t="s">
        <v>50</v>
      </c>
      <c r="B10" s="3" t="s">
        <v>26</v>
      </c>
      <c r="C10" s="3"/>
      <c r="D10" s="3" t="str">
        <f aca="false">IFERROR(UPD1b!J14,"")</f>
        <v/>
      </c>
      <c r="E10" s="3"/>
      <c r="F10" s="4"/>
      <c r="G10" s="4"/>
      <c r="H10" s="5" t="str">
        <f aca="false">IF(OR(F10="",NOT(ISNUMBER(D10))),"",IF(ABS(F10-D10)&lt;0.001,"Yes","No"))</f>
        <v/>
      </c>
      <c r="I10" s="3" t="s">
        <v>18</v>
      </c>
      <c r="J10" s="3" t="s">
        <v>44</v>
      </c>
      <c r="K10" s="3"/>
      <c r="L10" s="3"/>
      <c r="M10" s="3"/>
      <c r="N10" s="3"/>
      <c r="O10" s="3"/>
      <c r="P10" s="3" t="s">
        <v>52</v>
      </c>
    </row>
    <row r="11" customFormat="false" ht="158.2" hidden="false" customHeight="false" outlineLevel="0" collapsed="false">
      <c r="A11" s="3" t="s">
        <v>50</v>
      </c>
      <c r="B11" s="3" t="s">
        <v>32</v>
      </c>
      <c r="C11" s="3"/>
      <c r="D11" s="3" t="str">
        <f aca="false">IFERROR(UPD1b!J15,"")</f>
        <v/>
      </c>
      <c r="E11" s="3"/>
      <c r="F11" s="4"/>
      <c r="G11" s="4"/>
      <c r="H11" s="5" t="str">
        <f aca="false">IF(OR(F11="",NOT(ISNUMBER(D11))),"",IF(ABS(F11-D11)&lt;0.001,"Yes","No"))</f>
        <v/>
      </c>
      <c r="I11" s="3" t="s">
        <v>18</v>
      </c>
      <c r="J11" s="3" t="s">
        <v>44</v>
      </c>
      <c r="K11" s="3"/>
      <c r="L11" s="3"/>
      <c r="M11" s="3"/>
      <c r="N11" s="3"/>
      <c r="O11" s="3"/>
      <c r="P11" s="3" t="s">
        <v>53</v>
      </c>
    </row>
    <row r="12" customFormat="false" ht="135.8" hidden="false" customHeight="false" outlineLevel="0" collapsed="false">
      <c r="A12" s="3" t="s">
        <v>50</v>
      </c>
      <c r="B12" s="3" t="s">
        <v>38</v>
      </c>
      <c r="C12" s="3"/>
      <c r="D12" s="3" t="str">
        <f aca="false">IFERROR(UPD1b!J16,"")</f>
        <v/>
      </c>
      <c r="E12" s="3"/>
      <c r="F12" s="4"/>
      <c r="G12" s="4"/>
      <c r="H12" s="5" t="str">
        <f aca="false">IF(OR(F12="",NOT(ISNUMBER(D12))),"",IF(ABS(F12-D12)&lt;0.001,"Yes","No"))</f>
        <v/>
      </c>
      <c r="I12" s="3" t="s">
        <v>18</v>
      </c>
      <c r="J12" s="3" t="s">
        <v>44</v>
      </c>
      <c r="K12" s="3"/>
      <c r="L12" s="3"/>
      <c r="M12" s="3"/>
      <c r="N12" s="3"/>
      <c r="O12" s="3"/>
      <c r="P12" s="3" t="s">
        <v>54</v>
      </c>
    </row>
    <row r="13" customFormat="false" ht="158.2" hidden="false" customHeight="false" outlineLevel="0" collapsed="false">
      <c r="A13" s="3" t="s">
        <v>50</v>
      </c>
      <c r="B13" s="3" t="s">
        <v>43</v>
      </c>
      <c r="C13" s="3"/>
      <c r="D13" s="3" t="str">
        <f aca="false">IFERROR(UPD1b!J17,"")</f>
        <v/>
      </c>
      <c r="E13" s="3"/>
      <c r="F13" s="4"/>
      <c r="G13" s="4"/>
      <c r="H13" s="5" t="str">
        <f aca="false">IF(OR(F13="",NOT(ISNUMBER(D13))),"",IF(ABS(F13-D13)&lt;0.001,"Yes","No"))</f>
        <v/>
      </c>
      <c r="I13" s="3" t="s">
        <v>18</v>
      </c>
      <c r="J13" s="3" t="s">
        <v>44</v>
      </c>
      <c r="K13" s="3"/>
      <c r="L13" s="3"/>
      <c r="M13" s="3"/>
      <c r="N13" s="3"/>
      <c r="O13" s="3"/>
      <c r="P13" s="3" t="s">
        <v>55</v>
      </c>
    </row>
    <row r="14" customFormat="false" ht="270.1" hidden="false" customHeight="false" outlineLevel="0" collapsed="false">
      <c r="A14" s="3" t="s">
        <v>50</v>
      </c>
      <c r="B14" s="3" t="s">
        <v>46</v>
      </c>
      <c r="C14" s="3"/>
      <c r="D14" s="3" t="str">
        <f aca="false">IFERROR(UPD1b!J18,"")</f>
        <v/>
      </c>
      <c r="E14" s="3"/>
      <c r="F14" s="4"/>
      <c r="G14" s="4"/>
      <c r="H14" s="5" t="str">
        <f aca="false">IF(OR(F14="",NOT(ISNUMBER(D14))),"",IF(ABS(F14-D14)&lt;0.001,"Yes","No"))</f>
        <v/>
      </c>
      <c r="I14" s="3" t="s">
        <v>18</v>
      </c>
      <c r="J14" s="3" t="s">
        <v>56</v>
      </c>
      <c r="K14" s="3" t="s">
        <v>57</v>
      </c>
      <c r="L14" s="3" t="s">
        <v>58</v>
      </c>
      <c r="M14" s="3" t="s">
        <v>59</v>
      </c>
      <c r="N14" s="3" t="s">
        <v>60</v>
      </c>
      <c r="O14" s="3" t="s">
        <v>61</v>
      </c>
      <c r="P14" s="3" t="s">
        <v>25</v>
      </c>
    </row>
    <row r="15" customFormat="false" ht="337.3" hidden="false" customHeight="false" outlineLevel="0" collapsed="false">
      <c r="A15" s="3" t="s">
        <v>50</v>
      </c>
      <c r="B15" s="3" t="s">
        <v>48</v>
      </c>
      <c r="C15" s="3"/>
      <c r="D15" s="3" t="str">
        <f aca="false">IFERROR(UPD1b!J19,"")</f>
        <v/>
      </c>
      <c r="E15" s="3"/>
      <c r="F15" s="4"/>
      <c r="G15" s="4"/>
      <c r="H15" s="5" t="str">
        <f aca="false">IF(OR(F15="",NOT(ISNUMBER(D15))),"",IF(ABS(F15-D15)&lt;0.001,"Yes","No"))</f>
        <v/>
      </c>
      <c r="I15" s="3" t="s">
        <v>18</v>
      </c>
      <c r="J15" s="3" t="s">
        <v>19</v>
      </c>
      <c r="K15" s="3" t="s">
        <v>62</v>
      </c>
      <c r="L15" s="3" t="s">
        <v>63</v>
      </c>
      <c r="M15" s="3" t="s">
        <v>64</v>
      </c>
      <c r="N15" s="3" t="s">
        <v>65</v>
      </c>
      <c r="O15" s="3" t="s">
        <v>66</v>
      </c>
      <c r="P15" s="3" t="s">
        <v>25</v>
      </c>
    </row>
    <row r="16" customFormat="false" ht="494" hidden="false" customHeight="false" outlineLevel="0" collapsed="false">
      <c r="A16" s="3" t="s">
        <v>67</v>
      </c>
      <c r="B16" s="3" t="s">
        <v>17</v>
      </c>
      <c r="C16" s="3"/>
      <c r="D16" s="3" t="n">
        <f aca="false">IFERROR(UPD2a!J13,"")</f>
        <v>0</v>
      </c>
      <c r="E16" s="3"/>
      <c r="F16" s="4"/>
      <c r="G16" s="4"/>
      <c r="H16" s="5" t="str">
        <f aca="false">IF(OR(F16="",NOT(ISNUMBER(D16))),"",IF(ABS(F16-D16)&lt;0.001,"Yes","No"))</f>
        <v/>
      </c>
      <c r="I16" s="3" t="s">
        <v>18</v>
      </c>
      <c r="J16" s="3" t="s">
        <v>19</v>
      </c>
      <c r="K16" s="3" t="s">
        <v>68</v>
      </c>
      <c r="L16" s="3" t="s">
        <v>69</v>
      </c>
      <c r="M16" s="3" t="s">
        <v>29</v>
      </c>
      <c r="N16" s="3" t="s">
        <v>30</v>
      </c>
      <c r="O16" s="3" t="s">
        <v>70</v>
      </c>
      <c r="P16" s="3" t="s">
        <v>25</v>
      </c>
    </row>
    <row r="17" customFormat="false" ht="191.75" hidden="false" customHeight="false" outlineLevel="0" collapsed="false">
      <c r="A17" s="3" t="s">
        <v>71</v>
      </c>
      <c r="B17" s="3" t="s">
        <v>17</v>
      </c>
      <c r="C17" s="3"/>
      <c r="D17" s="3" t="str">
        <f aca="false">IFERROR(UPD2b!J13,"")</f>
        <v/>
      </c>
      <c r="E17" s="3"/>
      <c r="F17" s="4"/>
      <c r="G17" s="4"/>
      <c r="H17" s="5" t="str">
        <f aca="false">IF(OR(F17="",NOT(ISNUMBER(D17))),"",IF(ABS(F17-D17)&lt;0.001,"Yes","No"))</f>
        <v/>
      </c>
      <c r="I17" s="3" t="s">
        <v>18</v>
      </c>
      <c r="J17" s="3" t="s">
        <v>44</v>
      </c>
      <c r="K17" s="3"/>
      <c r="L17" s="3"/>
      <c r="M17" s="3"/>
      <c r="N17" s="3"/>
      <c r="O17" s="3"/>
      <c r="P17" s="3" t="s">
        <v>72</v>
      </c>
    </row>
    <row r="18" customFormat="false" ht="527.6" hidden="false" customHeight="false" outlineLevel="0" collapsed="false">
      <c r="A18" s="3" t="s">
        <v>73</v>
      </c>
      <c r="B18" s="3" t="s">
        <v>26</v>
      </c>
      <c r="C18" s="3"/>
      <c r="D18" s="3" t="n">
        <f aca="false">IFERROR(UPD2c!J14,"")</f>
        <v>2.5</v>
      </c>
      <c r="E18" s="3"/>
      <c r="F18" s="4"/>
      <c r="G18" s="4"/>
      <c r="H18" s="5" t="str">
        <f aca="false">IF(OR(F18="",NOT(ISNUMBER(D18))),"",IF(ABS(F18-D18)&lt;0.001,"Yes","No"))</f>
        <v/>
      </c>
      <c r="I18" s="3" t="s">
        <v>18</v>
      </c>
      <c r="J18" s="3" t="s">
        <v>19</v>
      </c>
      <c r="K18" s="3" t="s">
        <v>74</v>
      </c>
      <c r="L18" s="3" t="s">
        <v>75</v>
      </c>
      <c r="M18" s="3" t="s">
        <v>76</v>
      </c>
      <c r="N18" s="3" t="s">
        <v>77</v>
      </c>
      <c r="O18" s="3" t="s">
        <v>78</v>
      </c>
      <c r="P18" s="3" t="s">
        <v>25</v>
      </c>
    </row>
    <row r="19" customFormat="false" ht="180.55" hidden="false" customHeight="false" outlineLevel="0" collapsed="false">
      <c r="A19" s="3" t="s">
        <v>79</v>
      </c>
      <c r="B19" s="3" t="s">
        <v>26</v>
      </c>
      <c r="C19" s="3"/>
      <c r="D19" s="3" t="str">
        <f aca="false">IFERROR(UPD2d!J14,"")</f>
        <v/>
      </c>
      <c r="E19" s="3"/>
      <c r="F19" s="4"/>
      <c r="G19" s="4"/>
      <c r="H19" s="5" t="str">
        <f aca="false">IF(OR(F19="",NOT(ISNUMBER(D19))),"",IF(ABS(F19-D19)&lt;0.001,"Yes","No"))</f>
        <v/>
      </c>
      <c r="I19" s="3" t="s">
        <v>18</v>
      </c>
      <c r="J19" s="3" t="s">
        <v>44</v>
      </c>
      <c r="K19" s="3"/>
      <c r="L19" s="3"/>
      <c r="M19" s="3"/>
      <c r="N19" s="3"/>
      <c r="O19" s="3"/>
      <c r="P19" s="3" t="s">
        <v>80</v>
      </c>
    </row>
    <row r="20" customFormat="false" ht="550" hidden="false" customHeight="false" outlineLevel="0" collapsed="false">
      <c r="A20" s="3" t="s">
        <v>81</v>
      </c>
      <c r="B20" s="3" t="s">
        <v>17</v>
      </c>
      <c r="C20" s="3"/>
      <c r="D20" s="3" t="n">
        <f aca="false">IFERROR(UPD3a!J13,"")</f>
        <v>2.5</v>
      </c>
      <c r="E20" s="3"/>
      <c r="F20" s="4"/>
      <c r="G20" s="4"/>
      <c r="H20" s="5" t="str">
        <f aca="false">IF(OR(F20="",NOT(ISNUMBER(D20))),"",IF(ABS(F20-D20)&lt;0.001,"Yes","No"))</f>
        <v/>
      </c>
      <c r="I20" s="3" t="s">
        <v>18</v>
      </c>
      <c r="J20" s="3" t="s">
        <v>19</v>
      </c>
      <c r="K20" s="3" t="s">
        <v>82</v>
      </c>
      <c r="L20" s="3" t="s">
        <v>21</v>
      </c>
      <c r="M20" s="3" t="s">
        <v>22</v>
      </c>
      <c r="N20" s="3" t="s">
        <v>83</v>
      </c>
      <c r="O20" s="3" t="s">
        <v>84</v>
      </c>
      <c r="P20" s="3" t="s">
        <v>25</v>
      </c>
    </row>
    <row r="21" customFormat="false" ht="359.7" hidden="false" customHeight="false" outlineLevel="0" collapsed="false">
      <c r="A21" s="3" t="s">
        <v>85</v>
      </c>
      <c r="B21" s="3" t="s">
        <v>17</v>
      </c>
      <c r="C21" s="3"/>
      <c r="D21" s="3" t="n">
        <f aca="false">IFERROR(UPD3b!J13,"")</f>
        <v>2.5</v>
      </c>
      <c r="E21" s="3"/>
      <c r="F21" s="4"/>
      <c r="G21" s="4"/>
      <c r="H21" s="5" t="str">
        <f aca="false">IF(OR(F21="",NOT(ISNUMBER(D21))),"",IF(ABS(F21-D21)&lt;0.001,"Yes","No"))</f>
        <v/>
      </c>
      <c r="I21" s="3" t="s">
        <v>18</v>
      </c>
      <c r="J21" s="3" t="s">
        <v>19</v>
      </c>
      <c r="K21" s="3" t="s">
        <v>86</v>
      </c>
      <c r="L21" s="3" t="s">
        <v>87</v>
      </c>
      <c r="M21" s="3" t="s">
        <v>88</v>
      </c>
      <c r="N21" s="3" t="s">
        <v>89</v>
      </c>
      <c r="O21" s="3" t="s">
        <v>90</v>
      </c>
      <c r="P21" s="3" t="s">
        <v>25</v>
      </c>
    </row>
    <row r="22" customFormat="false" ht="538.8" hidden="false" customHeight="false" outlineLevel="0" collapsed="false">
      <c r="A22" s="3" t="s">
        <v>91</v>
      </c>
      <c r="B22" s="3" t="s">
        <v>26</v>
      </c>
      <c r="C22" s="3"/>
      <c r="D22" s="3" t="str">
        <f aca="false">IFERROR(UPD4a!J14,"")</f>
        <v/>
      </c>
      <c r="E22" s="3"/>
      <c r="F22" s="4"/>
      <c r="G22" s="4"/>
      <c r="H22" s="5" t="str">
        <f aca="false">IF(OR(F22="",NOT(ISNUMBER(D22))),"",IF(ABS(F22-D22)&lt;0.001,"Yes","No"))</f>
        <v/>
      </c>
      <c r="I22" s="3" t="s">
        <v>18</v>
      </c>
      <c r="J22" s="3" t="s">
        <v>19</v>
      </c>
      <c r="K22" s="3" t="s">
        <v>92</v>
      </c>
      <c r="L22" s="3" t="s">
        <v>75</v>
      </c>
      <c r="M22" s="3" t="s">
        <v>76</v>
      </c>
      <c r="N22" s="3" t="s">
        <v>93</v>
      </c>
      <c r="O22" s="3" t="s">
        <v>94</v>
      </c>
      <c r="P22" s="3" t="s">
        <v>25</v>
      </c>
    </row>
    <row r="23" customFormat="false" ht="426.85" hidden="false" customHeight="false" outlineLevel="0" collapsed="false">
      <c r="A23" s="3" t="s">
        <v>95</v>
      </c>
      <c r="B23" s="3" t="s">
        <v>26</v>
      </c>
      <c r="C23" s="3"/>
      <c r="D23" s="3" t="n">
        <f aca="false">IFERROR(UPD4b!J14,"")</f>
        <v>1.25</v>
      </c>
      <c r="E23" s="3"/>
      <c r="F23" s="4"/>
      <c r="G23" s="4"/>
      <c r="H23" s="5" t="str">
        <f aca="false">IF(OR(F23="",NOT(ISNUMBER(D23))),"",IF(ABS(F23-D23)&lt;0.001,"Yes","No"))</f>
        <v/>
      </c>
      <c r="I23" s="3" t="s">
        <v>18</v>
      </c>
      <c r="J23" s="3" t="s">
        <v>19</v>
      </c>
      <c r="K23" s="3" t="s">
        <v>96</v>
      </c>
      <c r="L23" s="3" t="s">
        <v>97</v>
      </c>
      <c r="M23" s="3" t="s">
        <v>98</v>
      </c>
      <c r="N23" s="3" t="s">
        <v>99</v>
      </c>
      <c r="O23" s="3" t="s">
        <v>100</v>
      </c>
      <c r="P23" s="3" t="s">
        <v>25</v>
      </c>
    </row>
    <row r="24" customFormat="false" ht="695.5" hidden="false" customHeight="false" outlineLevel="0" collapsed="false">
      <c r="A24" s="3" t="s">
        <v>101</v>
      </c>
      <c r="B24" s="3" t="s">
        <v>17</v>
      </c>
      <c r="C24" s="3"/>
      <c r="D24" s="3" t="n">
        <f aca="false">IFERROR(UPD5a!J13,"")</f>
        <v>2.5</v>
      </c>
      <c r="E24" s="3"/>
      <c r="F24" s="4"/>
      <c r="G24" s="4"/>
      <c r="H24" s="5" t="str">
        <f aca="false">IF(OR(F24="",NOT(ISNUMBER(D24))),"",IF(ABS(F24-D24)&lt;0.001,"Yes","No"))</f>
        <v/>
      </c>
      <c r="I24" s="3" t="s">
        <v>18</v>
      </c>
      <c r="J24" s="3" t="s">
        <v>19</v>
      </c>
      <c r="K24" s="3" t="s">
        <v>102</v>
      </c>
      <c r="L24" s="3" t="s">
        <v>21</v>
      </c>
      <c r="M24" s="3" t="s">
        <v>22</v>
      </c>
      <c r="N24" s="3" t="s">
        <v>103</v>
      </c>
      <c r="O24" s="3" t="s">
        <v>104</v>
      </c>
      <c r="P24" s="3" t="s">
        <v>25</v>
      </c>
    </row>
    <row r="25" customFormat="false" ht="550" hidden="false" customHeight="false" outlineLevel="0" collapsed="false">
      <c r="A25" s="3" t="s">
        <v>105</v>
      </c>
      <c r="B25" s="3" t="s">
        <v>17</v>
      </c>
      <c r="C25" s="3"/>
      <c r="D25" s="3" t="n">
        <f aca="false">IFERROR(UPD5b!J13,"")</f>
        <v>5</v>
      </c>
      <c r="E25" s="3"/>
      <c r="F25" s="4"/>
      <c r="G25" s="4"/>
      <c r="H25" s="5" t="str">
        <f aca="false">IF(OR(F25="",NOT(ISNUMBER(D25))),"",IF(ABS(F25-D25)&lt;0.001,"Yes","No"))</f>
        <v/>
      </c>
      <c r="I25" s="3" t="s">
        <v>18</v>
      </c>
      <c r="J25" s="3" t="s">
        <v>19</v>
      </c>
      <c r="K25" s="3" t="s">
        <v>106</v>
      </c>
      <c r="L25" s="3" t="s">
        <v>107</v>
      </c>
      <c r="M25" s="3" t="s">
        <v>108</v>
      </c>
      <c r="N25" s="3" t="s">
        <v>109</v>
      </c>
      <c r="O25" s="3" t="s">
        <v>110</v>
      </c>
      <c r="P25" s="3" t="s">
        <v>25</v>
      </c>
    </row>
    <row r="26" customFormat="false" ht="505.2" hidden="false" customHeight="false" outlineLevel="0" collapsed="false">
      <c r="A26" s="3" t="s">
        <v>111</v>
      </c>
      <c r="B26" s="3" t="s">
        <v>26</v>
      </c>
      <c r="C26" s="3"/>
      <c r="D26" s="3" t="n">
        <f aca="false">IFERROR(UPD6a!J14,"")</f>
        <v>2.5</v>
      </c>
      <c r="E26" s="3"/>
      <c r="F26" s="4"/>
      <c r="G26" s="4"/>
      <c r="H26" s="5" t="str">
        <f aca="false">IF(OR(F26="",NOT(ISNUMBER(D26))),"",IF(ABS(F26-D26)&lt;0.001,"Yes","No"))</f>
        <v/>
      </c>
      <c r="I26" s="3" t="s">
        <v>112</v>
      </c>
      <c r="J26" s="3" t="s">
        <v>19</v>
      </c>
      <c r="K26" s="3" t="s">
        <v>113</v>
      </c>
      <c r="L26" s="3" t="s">
        <v>75</v>
      </c>
      <c r="M26" s="3" t="s">
        <v>76</v>
      </c>
      <c r="N26" s="3" t="s">
        <v>114</v>
      </c>
      <c r="O26" s="3" t="s">
        <v>115</v>
      </c>
      <c r="P26" s="3"/>
    </row>
    <row r="27" customFormat="false" ht="158.2" hidden="false" customHeight="false" outlineLevel="0" collapsed="false">
      <c r="A27" s="3" t="s">
        <v>116</v>
      </c>
      <c r="B27" s="3" t="s">
        <v>26</v>
      </c>
      <c r="C27" s="3"/>
      <c r="D27" s="3" t="n">
        <f aca="false">IFERROR(UPD6b!J14,"")</f>
        <v>1.25</v>
      </c>
      <c r="E27" s="3"/>
      <c r="F27" s="4"/>
      <c r="G27" s="4"/>
      <c r="H27" s="5" t="str">
        <f aca="false">IF(OR(F27="",NOT(ISNUMBER(D27))),"",IF(ABS(F27-D27)&lt;0.001,"Yes","No"))</f>
        <v/>
      </c>
      <c r="I27" s="3" t="s">
        <v>18</v>
      </c>
      <c r="J27" s="3" t="s">
        <v>44</v>
      </c>
      <c r="K27" s="3"/>
      <c r="L27" s="3"/>
      <c r="M27" s="3"/>
      <c r="N27" s="3"/>
      <c r="O27" s="3"/>
      <c r="P27" s="3" t="s">
        <v>117</v>
      </c>
    </row>
    <row r="28" customFormat="false" ht="415.65" hidden="false" customHeight="false" outlineLevel="0" collapsed="false">
      <c r="A28" s="3" t="s">
        <v>118</v>
      </c>
      <c r="B28" s="3" t="s">
        <v>17</v>
      </c>
      <c r="C28" s="3"/>
      <c r="D28" s="3" t="n">
        <f aca="false">IFERROR(DPG1a!J13,"")</f>
        <v>0</v>
      </c>
      <c r="E28" s="3"/>
      <c r="F28" s="4"/>
      <c r="G28" s="4"/>
      <c r="H28" s="5" t="str">
        <f aca="false">IF(OR(F28="",NOT(ISNUMBER(D28))),"",IF(ABS(F28-D28)&lt;0.001,"Yes","No"))</f>
        <v/>
      </c>
      <c r="I28" s="3" t="s">
        <v>18</v>
      </c>
      <c r="J28" s="3" t="s">
        <v>19</v>
      </c>
      <c r="K28" s="3" t="s">
        <v>119</v>
      </c>
      <c r="L28" s="3" t="s">
        <v>69</v>
      </c>
      <c r="M28" s="3" t="s">
        <v>29</v>
      </c>
      <c r="N28" s="3" t="s">
        <v>120</v>
      </c>
      <c r="O28" s="3" t="s">
        <v>121</v>
      </c>
      <c r="P28" s="3" t="s">
        <v>25</v>
      </c>
    </row>
    <row r="29" customFormat="false" ht="415.65" hidden="false" customHeight="false" outlineLevel="0" collapsed="false">
      <c r="A29" s="3" t="s">
        <v>118</v>
      </c>
      <c r="B29" s="3" t="s">
        <v>26</v>
      </c>
      <c r="C29" s="3"/>
      <c r="D29" s="3" t="str">
        <f aca="false">IFERROR(DPG1a!J14,"")</f>
        <v/>
      </c>
      <c r="E29" s="3"/>
      <c r="F29" s="4"/>
      <c r="G29" s="4"/>
      <c r="H29" s="5" t="str">
        <f aca="false">IF(OR(F29="",NOT(ISNUMBER(D29))),"",IF(ABS(F29-D29)&lt;0.001,"Yes","No"))</f>
        <v/>
      </c>
      <c r="I29" s="3" t="s">
        <v>18</v>
      </c>
      <c r="J29" s="3" t="s">
        <v>19</v>
      </c>
      <c r="K29" s="3" t="s">
        <v>122</v>
      </c>
      <c r="L29" s="3" t="s">
        <v>28</v>
      </c>
      <c r="M29" s="3" t="s">
        <v>29</v>
      </c>
      <c r="N29" s="3" t="s">
        <v>123</v>
      </c>
      <c r="O29" s="3" t="s">
        <v>124</v>
      </c>
      <c r="P29" s="3" t="s">
        <v>25</v>
      </c>
    </row>
    <row r="30" customFormat="false" ht="594.75" hidden="false" customHeight="false" outlineLevel="0" collapsed="false">
      <c r="A30" s="3" t="s">
        <v>118</v>
      </c>
      <c r="B30" s="3" t="s">
        <v>32</v>
      </c>
      <c r="C30" s="3"/>
      <c r="D30" s="3" t="n">
        <f aca="false">IFERROR(DPG1a!J15,"")</f>
        <v>0</v>
      </c>
      <c r="E30" s="3"/>
      <c r="F30" s="4"/>
      <c r="G30" s="4"/>
      <c r="H30" s="5" t="str">
        <f aca="false">IF(OR(F30="",NOT(ISNUMBER(D30))),"",IF(ABS(F30-D30)&lt;0.001,"Yes","No"))</f>
        <v/>
      </c>
      <c r="I30" s="3" t="s">
        <v>18</v>
      </c>
      <c r="J30" s="3" t="s">
        <v>19</v>
      </c>
      <c r="K30" s="3" t="s">
        <v>125</v>
      </c>
      <c r="L30" s="3" t="s">
        <v>126</v>
      </c>
      <c r="M30" s="3" t="s">
        <v>29</v>
      </c>
      <c r="N30" s="3" t="s">
        <v>127</v>
      </c>
      <c r="O30" s="3" t="s">
        <v>128</v>
      </c>
      <c r="P30" s="3" t="s">
        <v>25</v>
      </c>
    </row>
    <row r="31" customFormat="false" ht="516.4" hidden="false" customHeight="false" outlineLevel="0" collapsed="false">
      <c r="A31" s="3" t="s">
        <v>118</v>
      </c>
      <c r="B31" s="3" t="s">
        <v>38</v>
      </c>
      <c r="C31" s="3"/>
      <c r="D31" s="3" t="n">
        <f aca="false">IFERROR(DPG1a!J16,"")</f>
        <v>5</v>
      </c>
      <c r="E31" s="3"/>
      <c r="F31" s="4"/>
      <c r="G31" s="4"/>
      <c r="H31" s="5" t="str">
        <f aca="false">IF(OR(F31="",NOT(ISNUMBER(D31))),"",IF(ABS(F31-D31)&lt;0.001,"Yes","No"))</f>
        <v/>
      </c>
      <c r="I31" s="3" t="s">
        <v>18</v>
      </c>
      <c r="J31" s="3" t="s">
        <v>19</v>
      </c>
      <c r="K31" s="3" t="s">
        <v>129</v>
      </c>
      <c r="L31" s="3" t="s">
        <v>40</v>
      </c>
      <c r="M31" s="3" t="s">
        <v>29</v>
      </c>
      <c r="N31" s="3" t="s">
        <v>130</v>
      </c>
      <c r="O31" s="3" t="s">
        <v>131</v>
      </c>
      <c r="P31" s="3" t="s">
        <v>25</v>
      </c>
    </row>
    <row r="32" customFormat="false" ht="337.3" hidden="false" customHeight="false" outlineLevel="0" collapsed="false">
      <c r="A32" s="3" t="s">
        <v>118</v>
      </c>
      <c r="B32" s="3" t="s">
        <v>43</v>
      </c>
      <c r="C32" s="3"/>
      <c r="D32" s="3" t="str">
        <f aca="false">IFERROR(DPG1a!J17,"")</f>
        <v/>
      </c>
      <c r="E32" s="3"/>
      <c r="F32" s="4"/>
      <c r="G32" s="4"/>
      <c r="H32" s="5" t="str">
        <f aca="false">IF(OR(F32="",NOT(ISNUMBER(D32))),"",IF(ABS(F32-D32)&lt;0.001,"Yes","No"))</f>
        <v/>
      </c>
      <c r="I32" s="3" t="s">
        <v>18</v>
      </c>
      <c r="J32" s="3" t="s">
        <v>19</v>
      </c>
      <c r="K32" s="3" t="s">
        <v>132</v>
      </c>
      <c r="L32" s="3" t="s">
        <v>133</v>
      </c>
      <c r="M32" s="3" t="s">
        <v>29</v>
      </c>
      <c r="N32" s="3" t="s">
        <v>134</v>
      </c>
      <c r="O32" s="3" t="s">
        <v>135</v>
      </c>
      <c r="P32" s="3" t="s">
        <v>25</v>
      </c>
    </row>
    <row r="33" customFormat="false" ht="785.05" hidden="false" customHeight="false" outlineLevel="0" collapsed="false">
      <c r="A33" s="3" t="s">
        <v>118</v>
      </c>
      <c r="B33" s="3" t="s">
        <v>46</v>
      </c>
      <c r="C33" s="3"/>
      <c r="D33" s="3" t="str">
        <f aca="false">IFERROR(DPG1a!J18,"")</f>
        <v/>
      </c>
      <c r="E33" s="3"/>
      <c r="F33" s="4"/>
      <c r="G33" s="4"/>
      <c r="H33" s="5" t="str">
        <f aca="false">IF(OR(F33="",NOT(ISNUMBER(D33))),"",IF(ABS(F33-D33)&lt;0.001,"Yes","No"))</f>
        <v/>
      </c>
      <c r="I33" s="3" t="s">
        <v>18</v>
      </c>
      <c r="J33" s="3" t="s">
        <v>19</v>
      </c>
      <c r="K33" s="3" t="s">
        <v>136</v>
      </c>
      <c r="L33" s="3"/>
      <c r="M33" s="3"/>
      <c r="N33" s="3"/>
      <c r="O33" s="3" t="s">
        <v>137</v>
      </c>
      <c r="P33" s="3" t="s">
        <v>138</v>
      </c>
    </row>
    <row r="34" customFormat="false" ht="180.55" hidden="false" customHeight="false" outlineLevel="0" collapsed="false">
      <c r="A34" s="3" t="s">
        <v>118</v>
      </c>
      <c r="B34" s="3" t="s">
        <v>48</v>
      </c>
      <c r="C34" s="3"/>
      <c r="D34" s="3" t="str">
        <f aca="false">IFERROR(DPG1a!J19,"")</f>
        <v/>
      </c>
      <c r="E34" s="3"/>
      <c r="F34" s="4"/>
      <c r="G34" s="4"/>
      <c r="H34" s="5" t="str">
        <f aca="false">IF(OR(F34="",NOT(ISNUMBER(D34))),"",IF(ABS(F34-D34)&lt;0.001,"Yes","No"))</f>
        <v/>
      </c>
      <c r="I34" s="3" t="s">
        <v>18</v>
      </c>
      <c r="J34" s="3" t="s">
        <v>44</v>
      </c>
      <c r="K34" s="3"/>
      <c r="L34" s="3"/>
      <c r="M34" s="3"/>
      <c r="N34" s="3"/>
      <c r="O34" s="3"/>
      <c r="P34" s="3" t="s">
        <v>139</v>
      </c>
    </row>
    <row r="35" customFormat="false" ht="438.05" hidden="false" customHeight="false" outlineLevel="0" collapsed="false">
      <c r="A35" s="3" t="s">
        <v>140</v>
      </c>
      <c r="B35" s="3" t="s">
        <v>17</v>
      </c>
      <c r="C35" s="3"/>
      <c r="D35" s="3" t="n">
        <f aca="false">IFERROR(DPG1b!J13,"")</f>
        <v>2.5</v>
      </c>
      <c r="E35" s="3"/>
      <c r="F35" s="4"/>
      <c r="G35" s="4"/>
      <c r="H35" s="5" t="str">
        <f aca="false">IF(OR(F35="",NOT(ISNUMBER(D35))),"",IF(ABS(F35-D35)&lt;0.001,"Yes","No"))</f>
        <v/>
      </c>
      <c r="I35" s="3" t="s">
        <v>112</v>
      </c>
      <c r="J35" s="3" t="s">
        <v>56</v>
      </c>
      <c r="K35" s="3" t="s">
        <v>141</v>
      </c>
      <c r="L35" s="3" t="s">
        <v>21</v>
      </c>
      <c r="M35" s="3" t="s">
        <v>22</v>
      </c>
      <c r="N35" s="3" t="s">
        <v>142</v>
      </c>
      <c r="O35" s="3" t="s">
        <v>143</v>
      </c>
      <c r="P35" s="3"/>
    </row>
    <row r="36" customFormat="false" ht="505.2" hidden="false" customHeight="false" outlineLevel="0" collapsed="false">
      <c r="A36" s="3" t="s">
        <v>140</v>
      </c>
      <c r="B36" s="3" t="s">
        <v>26</v>
      </c>
      <c r="C36" s="3"/>
      <c r="D36" s="3" t="str">
        <f aca="false">IFERROR(DPG1b!J14,"")</f>
        <v/>
      </c>
      <c r="E36" s="3"/>
      <c r="F36" s="4"/>
      <c r="G36" s="4"/>
      <c r="H36" s="5" t="str">
        <f aca="false">IF(OR(F36="",NOT(ISNUMBER(D36))),"",IF(ABS(F36-D36)&lt;0.001,"Yes","No"))</f>
        <v/>
      </c>
      <c r="I36" s="3" t="s">
        <v>18</v>
      </c>
      <c r="J36" s="3" t="s">
        <v>19</v>
      </c>
      <c r="K36" s="3" t="s">
        <v>144</v>
      </c>
      <c r="L36" s="3" t="s">
        <v>145</v>
      </c>
      <c r="M36" s="3" t="s">
        <v>146</v>
      </c>
      <c r="N36" s="3" t="s">
        <v>147</v>
      </c>
      <c r="O36" s="3" t="s">
        <v>148</v>
      </c>
      <c r="P36" s="3" t="s">
        <v>25</v>
      </c>
    </row>
    <row r="37" customFormat="false" ht="326.1" hidden="false" customHeight="false" outlineLevel="0" collapsed="false">
      <c r="A37" s="3" t="s">
        <v>140</v>
      </c>
      <c r="B37" s="3" t="s">
        <v>32</v>
      </c>
      <c r="C37" s="3"/>
      <c r="D37" s="3" t="n">
        <f aca="false">IFERROR(DPG1b!J15,"")</f>
        <v>2.5</v>
      </c>
      <c r="E37" s="3"/>
      <c r="F37" s="4"/>
      <c r="G37" s="4"/>
      <c r="H37" s="5" t="str">
        <f aca="false">IF(OR(F37="",NOT(ISNUMBER(D37))),"",IF(ABS(F37-D37)&lt;0.001,"Yes","No"))</f>
        <v/>
      </c>
      <c r="I37" s="3" t="s">
        <v>112</v>
      </c>
      <c r="J37" s="3" t="s">
        <v>56</v>
      </c>
      <c r="K37" s="3" t="s">
        <v>149</v>
      </c>
      <c r="L37" s="3" t="s">
        <v>34</v>
      </c>
      <c r="M37" s="3" t="s">
        <v>35</v>
      </c>
      <c r="N37" s="3" t="s">
        <v>150</v>
      </c>
      <c r="O37" s="3" t="s">
        <v>151</v>
      </c>
      <c r="P37" s="3"/>
    </row>
    <row r="38" customFormat="false" ht="370.85" hidden="false" customHeight="false" outlineLevel="0" collapsed="false">
      <c r="A38" s="3" t="s">
        <v>140</v>
      </c>
      <c r="B38" s="3" t="s">
        <v>38</v>
      </c>
      <c r="C38" s="3"/>
      <c r="D38" s="3" t="n">
        <f aca="false">IFERROR(DPG1b!J16,"")</f>
        <v>2.5</v>
      </c>
      <c r="E38" s="3"/>
      <c r="F38" s="4"/>
      <c r="G38" s="4"/>
      <c r="H38" s="5" t="str">
        <f aca="false">IF(OR(F38="",NOT(ISNUMBER(D38))),"",IF(ABS(F38-D38)&lt;0.001,"Yes","No"))</f>
        <v/>
      </c>
      <c r="I38" s="3" t="s">
        <v>18</v>
      </c>
      <c r="J38" s="3" t="s">
        <v>19</v>
      </c>
      <c r="K38" s="3" t="s">
        <v>152</v>
      </c>
      <c r="L38" s="3" t="s">
        <v>153</v>
      </c>
      <c r="M38" s="3" t="s">
        <v>154</v>
      </c>
      <c r="N38" s="3" t="s">
        <v>155</v>
      </c>
      <c r="O38" s="3" t="s">
        <v>156</v>
      </c>
      <c r="P38" s="3" t="s">
        <v>25</v>
      </c>
    </row>
    <row r="39" customFormat="false" ht="460.4" hidden="false" customHeight="false" outlineLevel="0" collapsed="false">
      <c r="A39" s="3" t="s">
        <v>140</v>
      </c>
      <c r="B39" s="3" t="s">
        <v>43</v>
      </c>
      <c r="C39" s="3"/>
      <c r="D39" s="3" t="n">
        <f aca="false">IFERROR(DPG1b!J17,"")</f>
        <v>5</v>
      </c>
      <c r="E39" s="3"/>
      <c r="F39" s="4"/>
      <c r="G39" s="4"/>
      <c r="H39" s="5" t="str">
        <f aca="false">IF(OR(F39="",NOT(ISNUMBER(D39))),"",IF(ABS(F39-D39)&lt;0.001,"Yes","No"))</f>
        <v/>
      </c>
      <c r="I39" s="3" t="s">
        <v>18</v>
      </c>
      <c r="J39" s="3" t="s">
        <v>19</v>
      </c>
      <c r="K39" s="3" t="s">
        <v>157</v>
      </c>
      <c r="L39" s="3" t="s">
        <v>158</v>
      </c>
      <c r="M39" s="3" t="s">
        <v>159</v>
      </c>
      <c r="N39" s="3" t="s">
        <v>160</v>
      </c>
      <c r="O39" s="3" t="s">
        <v>161</v>
      </c>
      <c r="P39" s="3" t="s">
        <v>25</v>
      </c>
    </row>
    <row r="40" customFormat="false" ht="482.8" hidden="false" customHeight="false" outlineLevel="0" collapsed="false">
      <c r="A40" s="3" t="s">
        <v>140</v>
      </c>
      <c r="B40" s="3" t="s">
        <v>46</v>
      </c>
      <c r="C40" s="3"/>
      <c r="D40" s="3" t="str">
        <f aca="false">IFERROR(DPG1b!J18,"")</f>
        <v/>
      </c>
      <c r="E40" s="3"/>
      <c r="F40" s="4"/>
      <c r="G40" s="4"/>
      <c r="H40" s="5" t="str">
        <f aca="false">IF(OR(F40="",NOT(ISNUMBER(D40))),"",IF(ABS(F40-D40)&lt;0.001,"Yes","No"))</f>
        <v/>
      </c>
      <c r="I40" s="3" t="s">
        <v>18</v>
      </c>
      <c r="J40" s="3" t="s">
        <v>19</v>
      </c>
      <c r="K40" s="3" t="s">
        <v>162</v>
      </c>
      <c r="L40" s="3" t="s">
        <v>58</v>
      </c>
      <c r="M40" s="3" t="s">
        <v>59</v>
      </c>
      <c r="N40" s="3" t="s">
        <v>163</v>
      </c>
      <c r="O40" s="3" t="s">
        <v>164</v>
      </c>
      <c r="P40" s="3" t="s">
        <v>25</v>
      </c>
    </row>
    <row r="41" customFormat="false" ht="158.2" hidden="false" customHeight="false" outlineLevel="0" collapsed="false">
      <c r="A41" s="3" t="s">
        <v>140</v>
      </c>
      <c r="B41" s="3" t="s">
        <v>48</v>
      </c>
      <c r="C41" s="3"/>
      <c r="D41" s="3" t="str">
        <f aca="false">IFERROR(DPG1b!J19,"")</f>
        <v/>
      </c>
      <c r="E41" s="3"/>
      <c r="F41" s="4"/>
      <c r="G41" s="4"/>
      <c r="H41" s="5" t="str">
        <f aca="false">IF(OR(F41="",NOT(ISNUMBER(D41))),"",IF(ABS(F41-D41)&lt;0.001,"Yes","No"))</f>
        <v/>
      </c>
      <c r="I41" s="3" t="s">
        <v>18</v>
      </c>
      <c r="J41" s="3" t="s">
        <v>44</v>
      </c>
      <c r="K41" s="3"/>
      <c r="L41" s="3"/>
      <c r="M41" s="3"/>
      <c r="N41" s="3"/>
      <c r="O41" s="3"/>
      <c r="P41" s="3" t="s">
        <v>165</v>
      </c>
    </row>
    <row r="42" customFormat="false" ht="460.4" hidden="false" customHeight="false" outlineLevel="0" collapsed="false">
      <c r="A42" s="3" t="s">
        <v>166</v>
      </c>
      <c r="B42" s="3" t="s">
        <v>17</v>
      </c>
      <c r="C42" s="3"/>
      <c r="D42" s="3" t="n">
        <f aca="false">IFERROR(DPG2a!J13,"")</f>
        <v>0</v>
      </c>
      <c r="E42" s="3"/>
      <c r="F42" s="4"/>
      <c r="G42" s="4"/>
      <c r="H42" s="5" t="str">
        <f aca="false">IF(OR(F42="",NOT(ISNUMBER(D42))),"",IF(ABS(F42-D42)&lt;0.001,"Yes","No"))</f>
        <v/>
      </c>
      <c r="I42" s="3" t="s">
        <v>18</v>
      </c>
      <c r="J42" s="3" t="s">
        <v>19</v>
      </c>
      <c r="K42" s="3" t="s">
        <v>167</v>
      </c>
      <c r="L42" s="3" t="s">
        <v>21</v>
      </c>
      <c r="M42" s="3" t="s">
        <v>22</v>
      </c>
      <c r="N42" s="3" t="s">
        <v>168</v>
      </c>
      <c r="O42" s="3" t="s">
        <v>169</v>
      </c>
      <c r="P42" s="3" t="s">
        <v>25</v>
      </c>
    </row>
    <row r="43" customFormat="false" ht="370.85" hidden="false" customHeight="false" outlineLevel="0" collapsed="false">
      <c r="A43" s="3" t="s">
        <v>166</v>
      </c>
      <c r="B43" s="3" t="s">
        <v>26</v>
      </c>
      <c r="C43" s="3"/>
      <c r="D43" s="3" t="str">
        <f aca="false">IFERROR(DPG2a!J14,"")</f>
        <v/>
      </c>
      <c r="E43" s="3"/>
      <c r="F43" s="4"/>
      <c r="G43" s="4"/>
      <c r="H43" s="5" t="str">
        <f aca="false">IF(OR(F43="",NOT(ISNUMBER(D43))),"",IF(ABS(F43-D43)&lt;0.001,"Yes","No"))</f>
        <v/>
      </c>
      <c r="I43" s="3" t="s">
        <v>18</v>
      </c>
      <c r="J43" s="3" t="s">
        <v>19</v>
      </c>
      <c r="K43" s="3" t="s">
        <v>170</v>
      </c>
      <c r="L43" s="3" t="s">
        <v>145</v>
      </c>
      <c r="M43" s="3" t="s">
        <v>146</v>
      </c>
      <c r="N43" s="3" t="s">
        <v>171</v>
      </c>
      <c r="O43" s="3" t="s">
        <v>172</v>
      </c>
      <c r="P43" s="3" t="s">
        <v>25</v>
      </c>
    </row>
    <row r="44" customFormat="false" ht="538.8" hidden="false" customHeight="false" outlineLevel="0" collapsed="false">
      <c r="A44" s="3" t="s">
        <v>166</v>
      </c>
      <c r="B44" s="3" t="s">
        <v>32</v>
      </c>
      <c r="C44" s="3"/>
      <c r="D44" s="3" t="n">
        <f aca="false">IFERROR(DPG2a!J15,"")</f>
        <v>5</v>
      </c>
      <c r="E44" s="3"/>
      <c r="F44" s="4"/>
      <c r="G44" s="4"/>
      <c r="H44" s="5" t="str">
        <f aca="false">IF(OR(F44="",NOT(ISNUMBER(D44))),"",IF(ABS(F44-D44)&lt;0.001,"Yes","No"))</f>
        <v/>
      </c>
      <c r="I44" s="3" t="s">
        <v>18</v>
      </c>
      <c r="J44" s="3" t="s">
        <v>19</v>
      </c>
      <c r="K44" s="3" t="s">
        <v>173</v>
      </c>
      <c r="L44" s="3" t="s">
        <v>34</v>
      </c>
      <c r="M44" s="3" t="s">
        <v>35</v>
      </c>
      <c r="N44" s="3" t="s">
        <v>174</v>
      </c>
      <c r="O44" s="3" t="s">
        <v>175</v>
      </c>
      <c r="P44" s="3" t="s">
        <v>25</v>
      </c>
    </row>
    <row r="45" customFormat="false" ht="359.7" hidden="false" customHeight="false" outlineLevel="0" collapsed="false">
      <c r="A45" s="3" t="s">
        <v>166</v>
      </c>
      <c r="B45" s="3" t="s">
        <v>38</v>
      </c>
      <c r="C45" s="3"/>
      <c r="D45" s="3" t="n">
        <f aca="false">IFERROR(DPG2a!J16,"")</f>
        <v>0</v>
      </c>
      <c r="E45" s="3"/>
      <c r="F45" s="4"/>
      <c r="G45" s="4"/>
      <c r="H45" s="5" t="str">
        <f aca="false">IF(OR(F45="",NOT(ISNUMBER(D45))),"",IF(ABS(F45-D45)&lt;0.001,"Yes","No"))</f>
        <v/>
      </c>
      <c r="I45" s="3" t="s">
        <v>18</v>
      </c>
      <c r="J45" s="3" t="s">
        <v>19</v>
      </c>
      <c r="K45" s="3" t="s">
        <v>176</v>
      </c>
      <c r="L45" s="3" t="s">
        <v>177</v>
      </c>
      <c r="M45" s="3" t="s">
        <v>178</v>
      </c>
      <c r="N45" s="3" t="s">
        <v>179</v>
      </c>
      <c r="O45" s="3" t="s">
        <v>180</v>
      </c>
      <c r="P45" s="3" t="s">
        <v>25</v>
      </c>
    </row>
    <row r="46" customFormat="false" ht="482.8" hidden="false" customHeight="false" outlineLevel="0" collapsed="false">
      <c r="A46" s="3" t="s">
        <v>166</v>
      </c>
      <c r="B46" s="3" t="s">
        <v>43</v>
      </c>
      <c r="C46" s="3"/>
      <c r="D46" s="3" t="n">
        <f aca="false">IFERROR(DPG2a!J17,"")</f>
        <v>5</v>
      </c>
      <c r="E46" s="3"/>
      <c r="F46" s="4"/>
      <c r="G46" s="4"/>
      <c r="H46" s="5" t="str">
        <f aca="false">IF(OR(F46="",NOT(ISNUMBER(D46))),"",IF(ABS(F46-D46)&lt;0.001,"Yes","No"))</f>
        <v/>
      </c>
      <c r="I46" s="3" t="s">
        <v>18</v>
      </c>
      <c r="J46" s="3" t="s">
        <v>19</v>
      </c>
      <c r="K46" s="3" t="s">
        <v>181</v>
      </c>
      <c r="L46" s="3" t="s">
        <v>182</v>
      </c>
      <c r="M46" s="3" t="s">
        <v>183</v>
      </c>
      <c r="N46" s="3" t="s">
        <v>184</v>
      </c>
      <c r="O46" s="3" t="s">
        <v>185</v>
      </c>
      <c r="P46" s="3" t="s">
        <v>25</v>
      </c>
    </row>
    <row r="47" customFormat="false" ht="471.6" hidden="false" customHeight="false" outlineLevel="0" collapsed="false">
      <c r="A47" s="3" t="s">
        <v>166</v>
      </c>
      <c r="B47" s="3" t="s">
        <v>46</v>
      </c>
      <c r="C47" s="3"/>
      <c r="D47" s="3" t="str">
        <f aca="false">IFERROR(DPG2a!J18,"")</f>
        <v/>
      </c>
      <c r="E47" s="3"/>
      <c r="F47" s="4"/>
      <c r="G47" s="4"/>
      <c r="H47" s="5" t="str">
        <f aca="false">IF(OR(F47="",NOT(ISNUMBER(D47))),"",IF(ABS(F47-D47)&lt;0.001,"Yes","No"))</f>
        <v/>
      </c>
      <c r="I47" s="3" t="s">
        <v>18</v>
      </c>
      <c r="J47" s="3" t="s">
        <v>19</v>
      </c>
      <c r="K47" s="3" t="s">
        <v>186</v>
      </c>
      <c r="L47" s="3" t="s">
        <v>58</v>
      </c>
      <c r="M47" s="3" t="s">
        <v>59</v>
      </c>
      <c r="N47" s="3" t="s">
        <v>187</v>
      </c>
      <c r="O47" s="3" t="s">
        <v>188</v>
      </c>
      <c r="P47" s="3" t="s">
        <v>25</v>
      </c>
    </row>
    <row r="48" customFormat="false" ht="605.95" hidden="false" customHeight="false" outlineLevel="0" collapsed="false">
      <c r="A48" s="3" t="s">
        <v>166</v>
      </c>
      <c r="B48" s="3" t="s">
        <v>48</v>
      </c>
      <c r="C48" s="3"/>
      <c r="D48" s="3" t="str">
        <f aca="false">IFERROR(DPG2a!J19,"")</f>
        <v/>
      </c>
      <c r="E48" s="3"/>
      <c r="F48" s="4"/>
      <c r="G48" s="4"/>
      <c r="H48" s="5" t="str">
        <f aca="false">IF(OR(F48="",NOT(ISNUMBER(D48))),"",IF(ABS(F48-D48)&lt;0.001,"Yes","No"))</f>
        <v/>
      </c>
      <c r="I48" s="3" t="s">
        <v>18</v>
      </c>
      <c r="J48" s="3" t="s">
        <v>19</v>
      </c>
      <c r="K48" s="3" t="s">
        <v>189</v>
      </c>
      <c r="L48" s="3" t="s">
        <v>190</v>
      </c>
      <c r="M48" s="3" t="s">
        <v>191</v>
      </c>
      <c r="N48" s="3" t="s">
        <v>192</v>
      </c>
      <c r="O48" s="3" t="s">
        <v>193</v>
      </c>
      <c r="P48" s="3" t="s">
        <v>25</v>
      </c>
    </row>
    <row r="49" customFormat="false" ht="527.6" hidden="false" customHeight="false" outlineLevel="0" collapsed="false">
      <c r="A49" s="3" t="s">
        <v>194</v>
      </c>
      <c r="B49" s="3" t="s">
        <v>17</v>
      </c>
      <c r="C49" s="3"/>
      <c r="D49" s="3" t="n">
        <f aca="false">IFERROR(DPG2b!J13,"")</f>
        <v>0</v>
      </c>
      <c r="E49" s="3"/>
      <c r="F49" s="4"/>
      <c r="G49" s="4"/>
      <c r="H49" s="5" t="str">
        <f aca="false">IF(OR(F49="",NOT(ISNUMBER(D49))),"",IF(ABS(F49-D49)&lt;0.001,"Yes","No"))</f>
        <v/>
      </c>
      <c r="I49" s="3" t="s">
        <v>112</v>
      </c>
      <c r="J49" s="3" t="s">
        <v>56</v>
      </c>
      <c r="K49" s="3" t="s">
        <v>195</v>
      </c>
      <c r="L49" s="3" t="s">
        <v>21</v>
      </c>
      <c r="M49" s="3" t="s">
        <v>22</v>
      </c>
      <c r="N49" s="3" t="s">
        <v>196</v>
      </c>
      <c r="O49" s="3" t="s">
        <v>197</v>
      </c>
      <c r="P49" s="3"/>
    </row>
    <row r="50" customFormat="false" ht="538.8" hidden="false" customHeight="false" outlineLevel="0" collapsed="false">
      <c r="A50" s="3" t="s">
        <v>194</v>
      </c>
      <c r="B50" s="3" t="s">
        <v>26</v>
      </c>
      <c r="C50" s="3"/>
      <c r="D50" s="3" t="str">
        <f aca="false">IFERROR(DPG2b!J14,"")</f>
        <v/>
      </c>
      <c r="E50" s="3"/>
      <c r="F50" s="4"/>
      <c r="G50" s="4"/>
      <c r="H50" s="5" t="str">
        <f aca="false">IF(OR(F50="",NOT(ISNUMBER(D50))),"",IF(ABS(F50-D50)&lt;0.001,"Yes","No"))</f>
        <v/>
      </c>
      <c r="I50" s="3" t="s">
        <v>18</v>
      </c>
      <c r="J50" s="3" t="s">
        <v>19</v>
      </c>
      <c r="K50" s="3" t="s">
        <v>198</v>
      </c>
      <c r="L50" s="3" t="s">
        <v>145</v>
      </c>
      <c r="M50" s="3" t="s">
        <v>146</v>
      </c>
      <c r="N50" s="3" t="s">
        <v>199</v>
      </c>
      <c r="O50" s="3" t="s">
        <v>200</v>
      </c>
      <c r="P50" s="3" t="s">
        <v>25</v>
      </c>
    </row>
    <row r="51" customFormat="false" ht="639.55" hidden="false" customHeight="false" outlineLevel="0" collapsed="false">
      <c r="A51" s="3" t="s">
        <v>194</v>
      </c>
      <c r="B51" s="3" t="s">
        <v>32</v>
      </c>
      <c r="C51" s="3"/>
      <c r="D51" s="3" t="n">
        <f aca="false">IFERROR(DPG2b!J15,"")</f>
        <v>0</v>
      </c>
      <c r="E51" s="3"/>
      <c r="F51" s="4"/>
      <c r="G51" s="4"/>
      <c r="H51" s="5" t="str">
        <f aca="false">IF(OR(F51="",NOT(ISNUMBER(D51))),"",IF(ABS(F51-D51)&lt;0.001,"Yes","No"))</f>
        <v/>
      </c>
      <c r="I51" s="3" t="s">
        <v>18</v>
      </c>
      <c r="J51" s="3" t="s">
        <v>19</v>
      </c>
      <c r="K51" s="3" t="s">
        <v>201</v>
      </c>
      <c r="L51" s="3" t="s">
        <v>34</v>
      </c>
      <c r="M51" s="3" t="s">
        <v>35</v>
      </c>
      <c r="N51" s="3" t="s">
        <v>202</v>
      </c>
      <c r="O51" s="3" t="s">
        <v>203</v>
      </c>
      <c r="P51" s="3" t="s">
        <v>25</v>
      </c>
    </row>
    <row r="52" customFormat="false" ht="538.8" hidden="false" customHeight="false" outlineLevel="0" collapsed="false">
      <c r="A52" s="3" t="s">
        <v>194</v>
      </c>
      <c r="B52" s="3" t="s">
        <v>38</v>
      </c>
      <c r="C52" s="3"/>
      <c r="D52" s="3" t="n">
        <f aca="false">IFERROR(DPG2b!J16,"")</f>
        <v>0</v>
      </c>
      <c r="E52" s="3"/>
      <c r="F52" s="4"/>
      <c r="G52" s="4"/>
      <c r="H52" s="5" t="str">
        <f aca="false">IF(OR(F52="",NOT(ISNUMBER(D52))),"",IF(ABS(F52-D52)&lt;0.001,"Yes","No"))</f>
        <v/>
      </c>
      <c r="I52" s="3" t="s">
        <v>18</v>
      </c>
      <c r="J52" s="3" t="s">
        <v>19</v>
      </c>
      <c r="K52" s="3" t="s">
        <v>204</v>
      </c>
      <c r="L52" s="3" t="s">
        <v>40</v>
      </c>
      <c r="M52" s="3" t="s">
        <v>29</v>
      </c>
      <c r="N52" s="3" t="s">
        <v>205</v>
      </c>
      <c r="O52" s="3" t="s">
        <v>206</v>
      </c>
      <c r="P52" s="3" t="s">
        <v>25</v>
      </c>
    </row>
    <row r="53" customFormat="false" ht="124.6" hidden="false" customHeight="false" outlineLevel="0" collapsed="false">
      <c r="A53" s="3" t="s">
        <v>194</v>
      </c>
      <c r="B53" s="3" t="s">
        <v>43</v>
      </c>
      <c r="C53" s="3"/>
      <c r="D53" s="3" t="n">
        <f aca="false">IFERROR(DPG2b!J17,"")</f>
        <v>0</v>
      </c>
      <c r="E53" s="3"/>
      <c r="F53" s="4"/>
      <c r="G53" s="4"/>
      <c r="H53" s="5" t="str">
        <f aca="false">IF(OR(F53="",NOT(ISNUMBER(D53))),"",IF(ABS(F53-D53)&lt;0.001,"Yes","No"))</f>
        <v/>
      </c>
      <c r="I53" s="3" t="s">
        <v>18</v>
      </c>
      <c r="J53" s="3" t="s">
        <v>44</v>
      </c>
      <c r="K53" s="3"/>
      <c r="L53" s="3"/>
      <c r="M53" s="3"/>
      <c r="N53" s="3"/>
      <c r="O53" s="3"/>
      <c r="P53" s="3" t="s">
        <v>207</v>
      </c>
    </row>
    <row r="54" customFormat="false" ht="438.05" hidden="false" customHeight="false" outlineLevel="0" collapsed="false">
      <c r="A54" s="3" t="s">
        <v>194</v>
      </c>
      <c r="B54" s="3" t="s">
        <v>46</v>
      </c>
      <c r="C54" s="3"/>
      <c r="D54" s="3" t="str">
        <f aca="false">IFERROR(DPG2b!J18,"")</f>
        <v/>
      </c>
      <c r="E54" s="3"/>
      <c r="F54" s="4"/>
      <c r="G54" s="4"/>
      <c r="H54" s="5" t="str">
        <f aca="false">IF(OR(F54="",NOT(ISNUMBER(D54))),"",IF(ABS(F54-D54)&lt;0.001,"Yes","No"))</f>
        <v/>
      </c>
      <c r="I54" s="3" t="s">
        <v>18</v>
      </c>
      <c r="J54" s="3" t="s">
        <v>19</v>
      </c>
      <c r="K54" s="3" t="s">
        <v>208</v>
      </c>
      <c r="L54" s="3" t="s">
        <v>209</v>
      </c>
      <c r="M54" s="3" t="s">
        <v>210</v>
      </c>
      <c r="N54" s="3" t="s">
        <v>211</v>
      </c>
      <c r="O54" s="3" t="s">
        <v>212</v>
      </c>
      <c r="P54" s="3" t="s">
        <v>25</v>
      </c>
    </row>
    <row r="55" customFormat="false" ht="180.55" hidden="false" customHeight="false" outlineLevel="0" collapsed="false">
      <c r="A55" s="3" t="s">
        <v>194</v>
      </c>
      <c r="B55" s="3" t="s">
        <v>48</v>
      </c>
      <c r="C55" s="3"/>
      <c r="D55" s="3" t="str">
        <f aca="false">IFERROR(DPG2b!J19,"")</f>
        <v/>
      </c>
      <c r="E55" s="3"/>
      <c r="F55" s="4"/>
      <c r="G55" s="4"/>
      <c r="H55" s="5" t="str">
        <f aca="false">IF(OR(F55="",NOT(ISNUMBER(D55))),"",IF(ABS(F55-D55)&lt;0.001,"Yes","No"))</f>
        <v/>
      </c>
      <c r="I55" s="3" t="s">
        <v>18</v>
      </c>
      <c r="J55" s="3" t="s">
        <v>44</v>
      </c>
      <c r="K55" s="3"/>
      <c r="L55" s="3"/>
      <c r="M55" s="3"/>
      <c r="N55" s="3"/>
      <c r="O55" s="3"/>
      <c r="P55" s="3" t="s">
        <v>213</v>
      </c>
    </row>
    <row r="56" customFormat="false" ht="370.85" hidden="false" customHeight="false" outlineLevel="0" collapsed="false">
      <c r="A56" s="3" t="s">
        <v>214</v>
      </c>
      <c r="B56" s="3" t="s">
        <v>17</v>
      </c>
      <c r="C56" s="3"/>
      <c r="D56" s="3" t="n">
        <f aca="false">IFERROR('DPG4'!J13,"")</f>
        <v>10</v>
      </c>
      <c r="E56" s="3"/>
      <c r="F56" s="4"/>
      <c r="G56" s="4"/>
      <c r="H56" s="5" t="str">
        <f aca="false">IF(OR(F56="",NOT(ISNUMBER(D56))),"",IF(ABS(F56-D56)&lt;0.001,"Yes","No"))</f>
        <v/>
      </c>
      <c r="I56" s="3" t="s">
        <v>112</v>
      </c>
      <c r="J56" s="3" t="s">
        <v>56</v>
      </c>
      <c r="K56" s="3" t="s">
        <v>215</v>
      </c>
      <c r="L56" s="3" t="s">
        <v>216</v>
      </c>
      <c r="M56" s="3" t="s">
        <v>217</v>
      </c>
      <c r="N56" s="3" t="s">
        <v>218</v>
      </c>
      <c r="O56" s="3" t="s">
        <v>219</v>
      </c>
      <c r="P56" s="3"/>
    </row>
    <row r="57" customFormat="false" ht="359.7" hidden="false" customHeight="false" outlineLevel="0" collapsed="false">
      <c r="A57" s="3" t="s">
        <v>214</v>
      </c>
      <c r="B57" s="3" t="s">
        <v>26</v>
      </c>
      <c r="C57" s="3"/>
      <c r="D57" s="3" t="n">
        <f aca="false">IFERROR('DPG4'!J14,"")</f>
        <v>10</v>
      </c>
      <c r="E57" s="3"/>
      <c r="F57" s="4"/>
      <c r="G57" s="4"/>
      <c r="H57" s="5" t="str">
        <f aca="false">IF(OR(F57="",NOT(ISNUMBER(D57))),"",IF(ABS(F57-D57)&lt;0.001,"Yes","No"))</f>
        <v/>
      </c>
      <c r="I57" s="3" t="s">
        <v>112</v>
      </c>
      <c r="J57" s="3" t="s">
        <v>56</v>
      </c>
      <c r="K57" s="3" t="s">
        <v>220</v>
      </c>
      <c r="L57" s="3" t="s">
        <v>221</v>
      </c>
      <c r="M57" s="3" t="s">
        <v>222</v>
      </c>
      <c r="N57" s="3" t="s">
        <v>223</v>
      </c>
      <c r="O57" s="3" t="s">
        <v>224</v>
      </c>
      <c r="P57" s="3"/>
    </row>
    <row r="58" customFormat="false" ht="124.6" hidden="false" customHeight="false" outlineLevel="0" collapsed="false">
      <c r="A58" s="3" t="s">
        <v>214</v>
      </c>
      <c r="B58" s="3" t="s">
        <v>32</v>
      </c>
      <c r="C58" s="3"/>
      <c r="D58" s="3" t="str">
        <f aca="false">IFERROR('DPG4'!J15,"")</f>
        <v/>
      </c>
      <c r="E58" s="3"/>
      <c r="F58" s="4"/>
      <c r="G58" s="4"/>
      <c r="H58" s="5" t="str">
        <f aca="false">IF(OR(F58="",NOT(ISNUMBER(D58))),"",IF(ABS(F58-D58)&lt;0.001,"Yes","No"))</f>
        <v/>
      </c>
      <c r="I58" s="3" t="s">
        <v>18</v>
      </c>
      <c r="J58" s="3" t="s">
        <v>44</v>
      </c>
      <c r="K58" s="3"/>
      <c r="L58" s="3"/>
      <c r="M58" s="3"/>
      <c r="N58" s="3"/>
      <c r="O58" s="3"/>
      <c r="P58" s="3" t="s">
        <v>225</v>
      </c>
    </row>
    <row r="59" customFormat="false" ht="314.9" hidden="false" customHeight="false" outlineLevel="0" collapsed="false">
      <c r="A59" s="3" t="s">
        <v>214</v>
      </c>
      <c r="B59" s="3" t="s">
        <v>38</v>
      </c>
      <c r="C59" s="3"/>
      <c r="D59" s="3" t="str">
        <f aca="false">IFERROR('DPG4'!J16,"")</f>
        <v/>
      </c>
      <c r="E59" s="3"/>
      <c r="F59" s="4"/>
      <c r="G59" s="4"/>
      <c r="H59" s="5" t="str">
        <f aca="false">IF(OR(F59="",NOT(ISNUMBER(D59))),"",IF(ABS(F59-D59)&lt;0.001,"Yes","No"))</f>
        <v/>
      </c>
      <c r="I59" s="3" t="s">
        <v>18</v>
      </c>
      <c r="J59" s="3" t="s">
        <v>19</v>
      </c>
      <c r="K59" s="3" t="s">
        <v>226</v>
      </c>
      <c r="L59" s="3" t="s">
        <v>177</v>
      </c>
      <c r="M59" s="3" t="s">
        <v>178</v>
      </c>
      <c r="N59" s="3" t="s">
        <v>227</v>
      </c>
      <c r="O59" s="3" t="s">
        <v>228</v>
      </c>
      <c r="P59" s="3" t="s">
        <v>25</v>
      </c>
    </row>
    <row r="60" customFormat="false" ht="344.75" hidden="false" customHeight="false" outlineLevel="0" collapsed="false">
      <c r="A60" s="3" t="s">
        <v>214</v>
      </c>
      <c r="B60" s="3" t="s">
        <v>43</v>
      </c>
      <c r="C60" s="3"/>
      <c r="D60" s="3" t="n">
        <f aca="false">IFERROR('DPG4'!J17,"")</f>
        <v>10</v>
      </c>
      <c r="E60" s="3"/>
      <c r="F60" s="4"/>
      <c r="G60" s="4"/>
      <c r="H60" s="5" t="str">
        <f aca="false">IF(OR(F60="",NOT(ISNUMBER(D60))),"",IF(ABS(F60-D60)&lt;0.001,"Yes","No"))</f>
        <v/>
      </c>
      <c r="I60" s="3" t="s">
        <v>112</v>
      </c>
      <c r="J60" s="3" t="s">
        <v>56</v>
      </c>
      <c r="K60" s="3" t="s">
        <v>229</v>
      </c>
      <c r="L60" s="3" t="s">
        <v>230</v>
      </c>
      <c r="M60" s="3" t="s">
        <v>231</v>
      </c>
      <c r="N60" s="3" t="s">
        <v>232</v>
      </c>
      <c r="O60" s="3" t="s">
        <v>233</v>
      </c>
      <c r="P60" s="3"/>
    </row>
    <row r="61" customFormat="false" ht="124.6" hidden="false" customHeight="false" outlineLevel="0" collapsed="false">
      <c r="A61" s="3" t="s">
        <v>214</v>
      </c>
      <c r="B61" s="3" t="s">
        <v>46</v>
      </c>
      <c r="C61" s="3"/>
      <c r="D61" s="3" t="str">
        <f aca="false">IFERROR('DPG4'!J18,"")</f>
        <v/>
      </c>
      <c r="E61" s="3"/>
      <c r="F61" s="4"/>
      <c r="G61" s="4"/>
      <c r="H61" s="5" t="str">
        <f aca="false">IF(OR(F61="",NOT(ISNUMBER(D61))),"",IF(ABS(F61-D61)&lt;0.001,"Yes","No"))</f>
        <v/>
      </c>
      <c r="I61" s="3" t="s">
        <v>18</v>
      </c>
      <c r="J61" s="3" t="s">
        <v>44</v>
      </c>
      <c r="K61" s="3"/>
      <c r="L61" s="3"/>
      <c r="M61" s="3"/>
      <c r="N61" s="3"/>
      <c r="O61" s="3"/>
      <c r="P61" s="3" t="s">
        <v>234</v>
      </c>
    </row>
    <row r="62" customFormat="false" ht="337.3" hidden="false" customHeight="false" outlineLevel="0" collapsed="false">
      <c r="A62" s="3" t="s">
        <v>214</v>
      </c>
      <c r="B62" s="3" t="s">
        <v>48</v>
      </c>
      <c r="C62" s="3"/>
      <c r="D62" s="3" t="n">
        <f aca="false">IFERROR('DPG4'!J19,"")</f>
        <v>10</v>
      </c>
      <c r="E62" s="3"/>
      <c r="F62" s="4"/>
      <c r="G62" s="4"/>
      <c r="H62" s="5" t="str">
        <f aca="false">IF(OR(F62="",NOT(ISNUMBER(D62))),"",IF(ABS(F62-D62)&lt;0.001,"Yes","No"))</f>
        <v/>
      </c>
      <c r="I62" s="3" t="s">
        <v>112</v>
      </c>
      <c r="J62" s="3" t="s">
        <v>56</v>
      </c>
      <c r="K62" s="3" t="s">
        <v>235</v>
      </c>
      <c r="L62" s="3" t="s">
        <v>236</v>
      </c>
      <c r="M62" s="3" t="s">
        <v>237</v>
      </c>
      <c r="N62" s="3" t="s">
        <v>238</v>
      </c>
      <c r="O62" s="3" t="s">
        <v>239</v>
      </c>
      <c r="P62" s="3"/>
    </row>
    <row r="63" customFormat="false" ht="113.4" hidden="false" customHeight="false" outlineLevel="0" collapsed="false">
      <c r="A63" s="3" t="s">
        <v>240</v>
      </c>
      <c r="B63" s="3" t="s">
        <v>17</v>
      </c>
      <c r="C63" s="3"/>
      <c r="D63" s="3" t="str">
        <f aca="false">IFERROR(DPG5a!J13,"")</f>
        <v/>
      </c>
      <c r="E63" s="3"/>
      <c r="F63" s="4"/>
      <c r="G63" s="4"/>
      <c r="H63" s="5" t="str">
        <f aca="false">IF(OR(F63="",NOT(ISNUMBER(D63))),"",IF(ABS(F63-D63)&lt;0.001,"Yes","No"))</f>
        <v/>
      </c>
      <c r="I63" s="3" t="s">
        <v>18</v>
      </c>
      <c r="J63" s="3" t="s">
        <v>44</v>
      </c>
      <c r="K63" s="3"/>
      <c r="L63" s="3"/>
      <c r="M63" s="3"/>
      <c r="N63" s="3"/>
      <c r="O63" s="3"/>
      <c r="P63" s="3" t="s">
        <v>241</v>
      </c>
    </row>
    <row r="64" customFormat="false" ht="113.4" hidden="false" customHeight="false" outlineLevel="0" collapsed="false">
      <c r="A64" s="3" t="s">
        <v>240</v>
      </c>
      <c r="B64" s="3" t="s">
        <v>26</v>
      </c>
      <c r="C64" s="3"/>
      <c r="D64" s="3" t="str">
        <f aca="false">IFERROR(DPG5a!J14,"")</f>
        <v/>
      </c>
      <c r="E64" s="3"/>
      <c r="F64" s="4"/>
      <c r="G64" s="4"/>
      <c r="H64" s="5" t="str">
        <f aca="false">IF(OR(F64="",NOT(ISNUMBER(D64))),"",IF(ABS(F64-D64)&lt;0.001,"Yes","No"))</f>
        <v/>
      </c>
      <c r="I64" s="3" t="s">
        <v>18</v>
      </c>
      <c r="J64" s="3" t="s">
        <v>44</v>
      </c>
      <c r="K64" s="3"/>
      <c r="L64" s="3"/>
      <c r="M64" s="3"/>
      <c r="N64" s="3"/>
      <c r="O64" s="3"/>
      <c r="P64" s="3" t="s">
        <v>242</v>
      </c>
    </row>
    <row r="65" customFormat="false" ht="135.8" hidden="false" customHeight="false" outlineLevel="0" collapsed="false">
      <c r="A65" s="3" t="s">
        <v>240</v>
      </c>
      <c r="B65" s="3" t="s">
        <v>32</v>
      </c>
      <c r="C65" s="3"/>
      <c r="D65" s="3" t="str">
        <f aca="false">IFERROR(DPG5a!J15,"")</f>
        <v/>
      </c>
      <c r="E65" s="3"/>
      <c r="F65" s="4"/>
      <c r="G65" s="4"/>
      <c r="H65" s="5" t="str">
        <f aca="false">IF(OR(F65="",NOT(ISNUMBER(D65))),"",IF(ABS(F65-D65)&lt;0.001,"Yes","No"))</f>
        <v/>
      </c>
      <c r="I65" s="3" t="s">
        <v>18</v>
      </c>
      <c r="J65" s="3" t="s">
        <v>44</v>
      </c>
      <c r="K65" s="3"/>
      <c r="L65" s="3"/>
      <c r="M65" s="3"/>
      <c r="N65" s="3"/>
      <c r="O65" s="3"/>
      <c r="P65" s="3" t="s">
        <v>243</v>
      </c>
    </row>
    <row r="66" customFormat="false" ht="135.8" hidden="false" customHeight="false" outlineLevel="0" collapsed="false">
      <c r="A66" s="3" t="s">
        <v>240</v>
      </c>
      <c r="B66" s="3" t="s">
        <v>38</v>
      </c>
      <c r="C66" s="3"/>
      <c r="D66" s="3" t="str">
        <f aca="false">IFERROR(DPG5a!J16,"")</f>
        <v/>
      </c>
      <c r="E66" s="3"/>
      <c r="F66" s="4"/>
      <c r="G66" s="4"/>
      <c r="H66" s="5" t="str">
        <f aca="false">IF(OR(F66="",NOT(ISNUMBER(D66))),"",IF(ABS(F66-D66)&lt;0.001,"Yes","No"))</f>
        <v/>
      </c>
      <c r="I66" s="3" t="s">
        <v>18</v>
      </c>
      <c r="J66" s="3" t="s">
        <v>44</v>
      </c>
      <c r="K66" s="3"/>
      <c r="L66" s="3"/>
      <c r="M66" s="3"/>
      <c r="N66" s="3"/>
      <c r="O66" s="3"/>
      <c r="P66" s="3" t="s">
        <v>244</v>
      </c>
    </row>
    <row r="67" customFormat="false" ht="102.2" hidden="false" customHeight="false" outlineLevel="0" collapsed="false">
      <c r="A67" s="3" t="s">
        <v>240</v>
      </c>
      <c r="B67" s="3" t="s">
        <v>43</v>
      </c>
      <c r="C67" s="3"/>
      <c r="D67" s="3" t="str">
        <f aca="false">IFERROR(DPG5a!J17,"")</f>
        <v/>
      </c>
      <c r="E67" s="3"/>
      <c r="F67" s="4"/>
      <c r="G67" s="4"/>
      <c r="H67" s="5" t="str">
        <f aca="false">IF(OR(F67="",NOT(ISNUMBER(D67))),"",IF(ABS(F67-D67)&lt;0.001,"Yes","No"))</f>
        <v/>
      </c>
      <c r="I67" s="3" t="s">
        <v>18</v>
      </c>
      <c r="J67" s="3" t="s">
        <v>44</v>
      </c>
      <c r="K67" s="3"/>
      <c r="L67" s="3"/>
      <c r="M67" s="3"/>
      <c r="N67" s="3"/>
      <c r="O67" s="3"/>
      <c r="P67" s="3" t="s">
        <v>245</v>
      </c>
    </row>
    <row r="68" customFormat="false" ht="135.8" hidden="false" customHeight="false" outlineLevel="0" collapsed="false">
      <c r="A68" s="3" t="s">
        <v>240</v>
      </c>
      <c r="B68" s="3" t="s">
        <v>46</v>
      </c>
      <c r="C68" s="3"/>
      <c r="D68" s="3" t="str">
        <f aca="false">IFERROR(DPG5a!J18,"")</f>
        <v/>
      </c>
      <c r="E68" s="3"/>
      <c r="F68" s="4"/>
      <c r="G68" s="4"/>
      <c r="H68" s="5" t="str">
        <f aca="false">IF(OR(F68="",NOT(ISNUMBER(D68))),"",IF(ABS(F68-D68)&lt;0.001,"Yes","No"))</f>
        <v/>
      </c>
      <c r="I68" s="3" t="s">
        <v>18</v>
      </c>
      <c r="J68" s="3" t="s">
        <v>44</v>
      </c>
      <c r="K68" s="3"/>
      <c r="L68" s="3"/>
      <c r="M68" s="3"/>
      <c r="N68" s="3"/>
      <c r="O68" s="3"/>
      <c r="P68" s="3" t="s">
        <v>246</v>
      </c>
    </row>
    <row r="69" customFormat="false" ht="135.8" hidden="false" customHeight="false" outlineLevel="0" collapsed="false">
      <c r="A69" s="3" t="s">
        <v>240</v>
      </c>
      <c r="B69" s="3" t="s">
        <v>48</v>
      </c>
      <c r="C69" s="3"/>
      <c r="D69" s="3" t="str">
        <f aca="false">IFERROR(DPG5a!J19,"")</f>
        <v/>
      </c>
      <c r="E69" s="3"/>
      <c r="F69" s="4"/>
      <c r="G69" s="4"/>
      <c r="H69" s="5" t="str">
        <f aca="false">IF(OR(F69="",NOT(ISNUMBER(D69))),"",IF(ABS(F69-D69)&lt;0.001,"Yes","No"))</f>
        <v/>
      </c>
      <c r="I69" s="3" t="s">
        <v>18</v>
      </c>
      <c r="J69" s="3" t="s">
        <v>44</v>
      </c>
      <c r="K69" s="3"/>
      <c r="L69" s="3"/>
      <c r="M69" s="3"/>
      <c r="N69" s="3"/>
      <c r="O69" s="3"/>
      <c r="P69" s="3" t="s">
        <v>247</v>
      </c>
    </row>
    <row r="70" customFormat="false" ht="135.8" hidden="false" customHeight="false" outlineLevel="0" collapsed="false">
      <c r="A70" s="3" t="s">
        <v>248</v>
      </c>
      <c r="B70" s="3" t="s">
        <v>17</v>
      </c>
      <c r="C70" s="3"/>
      <c r="D70" s="3" t="str">
        <f aca="false">IFERROR(DPG5b!J13,"")</f>
        <v/>
      </c>
      <c r="E70" s="3"/>
      <c r="F70" s="4"/>
      <c r="G70" s="4"/>
      <c r="H70" s="5" t="str">
        <f aca="false">IF(OR(F70="",NOT(ISNUMBER(D70))),"",IF(ABS(F70-D70)&lt;0.001,"Yes","No"))</f>
        <v/>
      </c>
      <c r="I70" s="3" t="s">
        <v>18</v>
      </c>
      <c r="J70" s="3" t="s">
        <v>44</v>
      </c>
      <c r="K70" s="3"/>
      <c r="L70" s="3"/>
      <c r="M70" s="3"/>
      <c r="N70" s="3"/>
      <c r="O70" s="3"/>
      <c r="P70" s="3" t="s">
        <v>249</v>
      </c>
    </row>
    <row r="71" customFormat="false" ht="482.8" hidden="false" customHeight="false" outlineLevel="0" collapsed="false">
      <c r="A71" s="3" t="s">
        <v>248</v>
      </c>
      <c r="B71" s="3" t="s">
        <v>26</v>
      </c>
      <c r="C71" s="3"/>
      <c r="D71" s="3" t="str">
        <f aca="false">IFERROR(DPG5b!J14,"")</f>
        <v/>
      </c>
      <c r="E71" s="3"/>
      <c r="F71" s="4"/>
      <c r="G71" s="4"/>
      <c r="H71" s="5" t="str">
        <f aca="false">IF(OR(F71="",NOT(ISNUMBER(D71))),"",IF(ABS(F71-D71)&lt;0.001,"Yes","No"))</f>
        <v/>
      </c>
      <c r="I71" s="3" t="s">
        <v>18</v>
      </c>
      <c r="J71" s="3" t="s">
        <v>19</v>
      </c>
      <c r="K71" s="3" t="s">
        <v>250</v>
      </c>
      <c r="L71" s="3" t="s">
        <v>251</v>
      </c>
      <c r="M71" s="3" t="s">
        <v>252</v>
      </c>
      <c r="N71" s="3" t="s">
        <v>253</v>
      </c>
      <c r="O71" s="3" t="s">
        <v>254</v>
      </c>
      <c r="P71" s="3" t="s">
        <v>25</v>
      </c>
    </row>
    <row r="72" customFormat="false" ht="135.8" hidden="false" customHeight="false" outlineLevel="0" collapsed="false">
      <c r="A72" s="3" t="s">
        <v>248</v>
      </c>
      <c r="B72" s="3" t="s">
        <v>32</v>
      </c>
      <c r="C72" s="3"/>
      <c r="D72" s="3" t="str">
        <f aca="false">IFERROR(DPG5b!J15,"")</f>
        <v/>
      </c>
      <c r="E72" s="3"/>
      <c r="F72" s="4"/>
      <c r="G72" s="4"/>
      <c r="H72" s="5" t="str">
        <f aca="false">IF(OR(F72="",NOT(ISNUMBER(D72))),"",IF(ABS(F72-D72)&lt;0.001,"Yes","No"))</f>
        <v/>
      </c>
      <c r="I72" s="3" t="s">
        <v>18</v>
      </c>
      <c r="J72" s="3" t="s">
        <v>44</v>
      </c>
      <c r="K72" s="3"/>
      <c r="L72" s="3"/>
      <c r="M72" s="3"/>
      <c r="N72" s="3"/>
      <c r="O72" s="3"/>
      <c r="P72" s="3" t="s">
        <v>255</v>
      </c>
    </row>
    <row r="73" customFormat="false" ht="91" hidden="false" customHeight="false" outlineLevel="0" collapsed="false">
      <c r="A73" s="3" t="s">
        <v>248</v>
      </c>
      <c r="B73" s="3" t="s">
        <v>38</v>
      </c>
      <c r="C73" s="3"/>
      <c r="D73" s="3" t="n">
        <f aca="false">IFERROR(DPG5b!J16,"")</f>
        <v>0</v>
      </c>
      <c r="E73" s="3"/>
      <c r="F73" s="4"/>
      <c r="G73" s="4"/>
      <c r="H73" s="5" t="str">
        <f aca="false">IF(OR(F73="",NOT(ISNUMBER(D73))),"",IF(ABS(F73-D73)&lt;0.001,"Yes","No"))</f>
        <v/>
      </c>
      <c r="I73" s="3" t="s">
        <v>18</v>
      </c>
      <c r="J73" s="3" t="s">
        <v>44</v>
      </c>
      <c r="K73" s="3"/>
      <c r="L73" s="3"/>
      <c r="M73" s="3"/>
      <c r="N73" s="3"/>
      <c r="O73" s="3"/>
      <c r="P73" s="3" t="s">
        <v>256</v>
      </c>
    </row>
    <row r="74" customFormat="false" ht="147" hidden="false" customHeight="false" outlineLevel="0" collapsed="false">
      <c r="A74" s="3" t="s">
        <v>248</v>
      </c>
      <c r="B74" s="3" t="s">
        <v>43</v>
      </c>
      <c r="C74" s="3"/>
      <c r="D74" s="3" t="str">
        <f aca="false">IFERROR(DPG5b!J17,"")</f>
        <v/>
      </c>
      <c r="E74" s="3"/>
      <c r="F74" s="4"/>
      <c r="G74" s="4"/>
      <c r="H74" s="5" t="str">
        <f aca="false">IF(OR(F74="",NOT(ISNUMBER(D74))),"",IF(ABS(F74-D74)&lt;0.001,"Yes","No"))</f>
        <v/>
      </c>
      <c r="I74" s="3" t="s">
        <v>18</v>
      </c>
      <c r="J74" s="3" t="s">
        <v>44</v>
      </c>
      <c r="K74" s="3"/>
      <c r="L74" s="3"/>
      <c r="M74" s="3"/>
      <c r="N74" s="3"/>
      <c r="O74" s="3"/>
      <c r="P74" s="3" t="s">
        <v>257</v>
      </c>
    </row>
    <row r="75" customFormat="false" ht="135.8" hidden="false" customHeight="false" outlineLevel="0" collapsed="false">
      <c r="A75" s="3" t="s">
        <v>248</v>
      </c>
      <c r="B75" s="3" t="s">
        <v>46</v>
      </c>
      <c r="C75" s="3"/>
      <c r="D75" s="3" t="str">
        <f aca="false">IFERROR(DPG5b!J18,"")</f>
        <v/>
      </c>
      <c r="E75" s="3"/>
      <c r="F75" s="4"/>
      <c r="G75" s="4"/>
      <c r="H75" s="5" t="str">
        <f aca="false">IF(OR(F75="",NOT(ISNUMBER(D75))),"",IF(ABS(F75-D75)&lt;0.001,"Yes","No"))</f>
        <v/>
      </c>
      <c r="I75" s="3" t="s">
        <v>18</v>
      </c>
      <c r="J75" s="3" t="s">
        <v>44</v>
      </c>
      <c r="K75" s="3"/>
      <c r="L75" s="3"/>
      <c r="M75" s="3"/>
      <c r="N75" s="3"/>
      <c r="O75" s="3"/>
      <c r="P75" s="3" t="s">
        <v>258</v>
      </c>
    </row>
    <row r="76" customFormat="false" ht="426.85" hidden="false" customHeight="false" outlineLevel="0" collapsed="false">
      <c r="A76" s="3" t="s">
        <v>248</v>
      </c>
      <c r="B76" s="3" t="s">
        <v>48</v>
      </c>
      <c r="C76" s="3"/>
      <c r="D76" s="3" t="n">
        <f aca="false">IFERROR(DPG5b!J19,"")</f>
        <v>0.5</v>
      </c>
      <c r="E76" s="3"/>
      <c r="F76" s="4"/>
      <c r="G76" s="4"/>
      <c r="H76" s="5" t="str">
        <f aca="false">IF(OR(F76="",NOT(ISNUMBER(D76))),"",IF(ABS(F76-D76)&lt;0.001,"Yes","No"))</f>
        <v/>
      </c>
      <c r="I76" s="3" t="s">
        <v>112</v>
      </c>
      <c r="J76" s="3" t="s">
        <v>56</v>
      </c>
      <c r="K76" s="3" t="s">
        <v>259</v>
      </c>
      <c r="L76" s="3" t="s">
        <v>260</v>
      </c>
      <c r="M76" s="3" t="s">
        <v>261</v>
      </c>
      <c r="N76" s="3" t="s">
        <v>262</v>
      </c>
      <c r="O76" s="3" t="s">
        <v>263</v>
      </c>
      <c r="P76" s="3"/>
    </row>
    <row r="77" customFormat="false" ht="516.4" hidden="false" customHeight="false" outlineLevel="0" collapsed="false">
      <c r="A77" s="3" t="s">
        <v>264</v>
      </c>
      <c r="B77" s="3" t="s">
        <v>17</v>
      </c>
      <c r="C77" s="3"/>
      <c r="D77" s="3" t="str">
        <f aca="false">IFERROR(DPG5c!J13,"")</f>
        <v/>
      </c>
      <c r="E77" s="3"/>
      <c r="F77" s="4"/>
      <c r="G77" s="4"/>
      <c r="H77" s="5" t="str">
        <f aca="false">IF(OR(F77="",NOT(ISNUMBER(D77))),"",IF(ABS(F77-D77)&lt;0.001,"Yes","No"))</f>
        <v/>
      </c>
      <c r="I77" s="3" t="s">
        <v>18</v>
      </c>
      <c r="J77" s="3" t="s">
        <v>19</v>
      </c>
      <c r="K77" s="3" t="s">
        <v>265</v>
      </c>
      <c r="L77" s="3" t="s">
        <v>266</v>
      </c>
      <c r="M77" s="3" t="s">
        <v>267</v>
      </c>
      <c r="N77" s="3" t="s">
        <v>268</v>
      </c>
      <c r="O77" s="3" t="s">
        <v>269</v>
      </c>
      <c r="P77" s="3" t="s">
        <v>25</v>
      </c>
    </row>
    <row r="78" customFormat="false" ht="124.6" hidden="false" customHeight="false" outlineLevel="0" collapsed="false">
      <c r="A78" s="3" t="s">
        <v>264</v>
      </c>
      <c r="B78" s="3" t="s">
        <v>26</v>
      </c>
      <c r="C78" s="3"/>
      <c r="D78" s="3" t="str">
        <f aca="false">IFERROR(DPG5c!J14,"")</f>
        <v/>
      </c>
      <c r="E78" s="3"/>
      <c r="F78" s="4"/>
      <c r="G78" s="4"/>
      <c r="H78" s="5" t="str">
        <f aca="false">IF(OR(F78="",NOT(ISNUMBER(D78))),"",IF(ABS(F78-D78)&lt;0.001,"Yes","No"))</f>
        <v/>
      </c>
      <c r="I78" s="3" t="s">
        <v>18</v>
      </c>
      <c r="J78" s="3" t="s">
        <v>44</v>
      </c>
      <c r="K78" s="3"/>
      <c r="L78" s="3"/>
      <c r="M78" s="3"/>
      <c r="N78" s="3"/>
      <c r="O78" s="3"/>
      <c r="P78" s="3" t="s">
        <v>270</v>
      </c>
    </row>
    <row r="79" customFormat="false" ht="113.4" hidden="false" customHeight="false" outlineLevel="0" collapsed="false">
      <c r="A79" s="3" t="s">
        <v>264</v>
      </c>
      <c r="B79" s="3" t="s">
        <v>32</v>
      </c>
      <c r="C79" s="3"/>
      <c r="D79" s="3" t="str">
        <f aca="false">IFERROR(DPG5c!J15,"")</f>
        <v/>
      </c>
      <c r="E79" s="3"/>
      <c r="F79" s="4"/>
      <c r="G79" s="4"/>
      <c r="H79" s="5" t="str">
        <f aca="false">IF(OR(F79="",NOT(ISNUMBER(D79))),"",IF(ABS(F79-D79)&lt;0.001,"Yes","No"))</f>
        <v/>
      </c>
      <c r="I79" s="3" t="s">
        <v>18</v>
      </c>
      <c r="J79" s="3" t="s">
        <v>44</v>
      </c>
      <c r="K79" s="3"/>
      <c r="L79" s="3"/>
      <c r="M79" s="3"/>
      <c r="N79" s="3"/>
      <c r="O79" s="3"/>
      <c r="P79" s="3" t="s">
        <v>271</v>
      </c>
    </row>
    <row r="80" customFormat="false" ht="426.85" hidden="false" customHeight="false" outlineLevel="0" collapsed="false">
      <c r="A80" s="3" t="s">
        <v>264</v>
      </c>
      <c r="B80" s="3" t="s">
        <v>38</v>
      </c>
      <c r="C80" s="3"/>
      <c r="D80" s="3" t="str">
        <f aca="false">IFERROR(DPG5c!J16,"")</f>
        <v/>
      </c>
      <c r="E80" s="3"/>
      <c r="F80" s="4"/>
      <c r="G80" s="4"/>
      <c r="H80" s="5" t="str">
        <f aca="false">IF(OR(F80="",NOT(ISNUMBER(D80))),"",IF(ABS(F80-D80)&lt;0.001,"Yes","No"))</f>
        <v/>
      </c>
      <c r="I80" s="3" t="s">
        <v>18</v>
      </c>
      <c r="J80" s="3" t="s">
        <v>19</v>
      </c>
      <c r="K80" s="3" t="s">
        <v>272</v>
      </c>
      <c r="L80" s="3" t="s">
        <v>177</v>
      </c>
      <c r="M80" s="3" t="s">
        <v>178</v>
      </c>
      <c r="N80" s="3" t="s">
        <v>273</v>
      </c>
      <c r="O80" s="3" t="s">
        <v>274</v>
      </c>
      <c r="P80" s="3" t="s">
        <v>25</v>
      </c>
    </row>
    <row r="81" customFormat="false" ht="471.6" hidden="false" customHeight="false" outlineLevel="0" collapsed="false">
      <c r="A81" s="3" t="s">
        <v>264</v>
      </c>
      <c r="B81" s="3" t="s">
        <v>43</v>
      </c>
      <c r="C81" s="3"/>
      <c r="D81" s="3" t="str">
        <f aca="false">IFERROR(DPG5c!J17,"")</f>
        <v/>
      </c>
      <c r="E81" s="3"/>
      <c r="F81" s="4"/>
      <c r="G81" s="4"/>
      <c r="H81" s="5" t="str">
        <f aca="false">IF(OR(F81="",NOT(ISNUMBER(D81))),"",IF(ABS(F81-D81)&lt;0.001,"Yes","No"))</f>
        <v/>
      </c>
      <c r="I81" s="3" t="s">
        <v>18</v>
      </c>
      <c r="J81" s="3" t="s">
        <v>19</v>
      </c>
      <c r="K81" s="3" t="s">
        <v>275</v>
      </c>
      <c r="L81" s="3" t="s">
        <v>230</v>
      </c>
      <c r="M81" s="3" t="s">
        <v>231</v>
      </c>
      <c r="N81" s="3" t="s">
        <v>276</v>
      </c>
      <c r="O81" s="3" t="s">
        <v>277</v>
      </c>
      <c r="P81" s="3" t="s">
        <v>25</v>
      </c>
    </row>
    <row r="82" customFormat="false" ht="124.6" hidden="false" customHeight="false" outlineLevel="0" collapsed="false">
      <c r="A82" s="3" t="s">
        <v>264</v>
      </c>
      <c r="B82" s="3" t="s">
        <v>46</v>
      </c>
      <c r="C82" s="3"/>
      <c r="D82" s="3" t="str">
        <f aca="false">IFERROR(DPG5c!J18,"")</f>
        <v/>
      </c>
      <c r="E82" s="3"/>
      <c r="F82" s="4"/>
      <c r="G82" s="4"/>
      <c r="H82" s="5" t="str">
        <f aca="false">IF(OR(F82="",NOT(ISNUMBER(D82))),"",IF(ABS(F82-D82)&lt;0.001,"Yes","No"))</f>
        <v/>
      </c>
      <c r="I82" s="3" t="s">
        <v>18</v>
      </c>
      <c r="J82" s="3" t="s">
        <v>44</v>
      </c>
      <c r="K82" s="3"/>
      <c r="L82" s="3"/>
      <c r="M82" s="3"/>
      <c r="N82" s="3"/>
      <c r="O82" s="3"/>
      <c r="P82" s="3" t="s">
        <v>278</v>
      </c>
    </row>
    <row r="83" customFormat="false" ht="370.85" hidden="false" customHeight="false" outlineLevel="0" collapsed="false">
      <c r="A83" s="3" t="s">
        <v>264</v>
      </c>
      <c r="B83" s="3" t="s">
        <v>48</v>
      </c>
      <c r="C83" s="3"/>
      <c r="D83" s="3" t="str">
        <f aca="false">IFERROR(DPG5c!J19,"")</f>
        <v/>
      </c>
      <c r="E83" s="3"/>
      <c r="F83" s="4"/>
      <c r="G83" s="4"/>
      <c r="H83" s="5" t="str">
        <f aca="false">IF(OR(F83="",NOT(ISNUMBER(D83))),"",IF(ABS(F83-D83)&lt;0.001,"Yes","No"))</f>
        <v/>
      </c>
      <c r="I83" s="3" t="s">
        <v>18</v>
      </c>
      <c r="J83" s="3" t="s">
        <v>19</v>
      </c>
      <c r="K83" s="3" t="s">
        <v>279</v>
      </c>
      <c r="L83" s="3" t="s">
        <v>280</v>
      </c>
      <c r="M83" s="3" t="s">
        <v>281</v>
      </c>
      <c r="N83" s="3" t="s">
        <v>282</v>
      </c>
      <c r="O83" s="3" t="s">
        <v>283</v>
      </c>
      <c r="P83" s="3" t="s">
        <v>25</v>
      </c>
    </row>
    <row r="84" customFormat="false" ht="124.6" hidden="false" customHeight="false" outlineLevel="0" collapsed="false">
      <c r="A84" s="3" t="s">
        <v>284</v>
      </c>
      <c r="B84" s="3" t="s">
        <v>17</v>
      </c>
      <c r="C84" s="3"/>
      <c r="D84" s="3" t="str">
        <f aca="false">IFERROR(DPG5d!J13,"")</f>
        <v/>
      </c>
      <c r="E84" s="3"/>
      <c r="F84" s="4"/>
      <c r="G84" s="4"/>
      <c r="H84" s="5" t="str">
        <f aca="false">IF(OR(F84="",NOT(ISNUMBER(D84))),"",IF(ABS(F84-D84)&lt;0.001,"Yes","No"))</f>
        <v/>
      </c>
      <c r="I84" s="3" t="s">
        <v>18</v>
      </c>
      <c r="J84" s="3" t="s">
        <v>44</v>
      </c>
      <c r="K84" s="3"/>
      <c r="L84" s="3"/>
      <c r="M84" s="3"/>
      <c r="N84" s="3"/>
      <c r="O84" s="3"/>
      <c r="P84" s="3" t="s">
        <v>285</v>
      </c>
    </row>
    <row r="85" customFormat="false" ht="147" hidden="false" customHeight="false" outlineLevel="0" collapsed="false">
      <c r="A85" s="3" t="s">
        <v>284</v>
      </c>
      <c r="B85" s="3" t="s">
        <v>26</v>
      </c>
      <c r="C85" s="3"/>
      <c r="D85" s="3" t="str">
        <f aca="false">IFERROR(DPG5d!J14,"")</f>
        <v/>
      </c>
      <c r="E85" s="3"/>
      <c r="F85" s="4"/>
      <c r="G85" s="4"/>
      <c r="H85" s="5" t="str">
        <f aca="false">IF(OR(F85="",NOT(ISNUMBER(D85))),"",IF(ABS(F85-D85)&lt;0.001,"Yes","No"))</f>
        <v/>
      </c>
      <c r="I85" s="3" t="s">
        <v>18</v>
      </c>
      <c r="J85" s="3" t="s">
        <v>44</v>
      </c>
      <c r="K85" s="3"/>
      <c r="L85" s="3"/>
      <c r="M85" s="3"/>
      <c r="N85" s="3"/>
      <c r="O85" s="3"/>
      <c r="P85" s="3" t="s">
        <v>286</v>
      </c>
    </row>
    <row r="86" customFormat="false" ht="135.8" hidden="false" customHeight="false" outlineLevel="0" collapsed="false">
      <c r="A86" s="3" t="s">
        <v>284</v>
      </c>
      <c r="B86" s="3" t="s">
        <v>32</v>
      </c>
      <c r="C86" s="3"/>
      <c r="D86" s="3" t="str">
        <f aca="false">IFERROR(DPG5d!J15,"")</f>
        <v/>
      </c>
      <c r="E86" s="3"/>
      <c r="F86" s="4"/>
      <c r="G86" s="4"/>
      <c r="H86" s="5" t="str">
        <f aca="false">IF(OR(F86="",NOT(ISNUMBER(D86))),"",IF(ABS(F86-D86)&lt;0.001,"Yes","No"))</f>
        <v/>
      </c>
      <c r="I86" s="3" t="s">
        <v>18</v>
      </c>
      <c r="J86" s="3" t="s">
        <v>44</v>
      </c>
      <c r="K86" s="3"/>
      <c r="L86" s="3"/>
      <c r="M86" s="3"/>
      <c r="N86" s="3"/>
      <c r="O86" s="3"/>
      <c r="P86" s="3" t="s">
        <v>287</v>
      </c>
    </row>
    <row r="87" customFormat="false" ht="135.8" hidden="false" customHeight="false" outlineLevel="0" collapsed="false">
      <c r="A87" s="3" t="s">
        <v>284</v>
      </c>
      <c r="B87" s="3" t="s">
        <v>38</v>
      </c>
      <c r="C87" s="3"/>
      <c r="D87" s="3" t="str">
        <f aca="false">IFERROR(DPG5d!J16,"")</f>
        <v/>
      </c>
      <c r="E87" s="3"/>
      <c r="F87" s="4"/>
      <c r="G87" s="4"/>
      <c r="H87" s="5" t="str">
        <f aca="false">IF(OR(F87="",NOT(ISNUMBER(D87))),"",IF(ABS(F87-D87)&lt;0.001,"Yes","No"))</f>
        <v/>
      </c>
      <c r="I87" s="3" t="s">
        <v>18</v>
      </c>
      <c r="J87" s="3" t="s">
        <v>44</v>
      </c>
      <c r="K87" s="3"/>
      <c r="L87" s="3"/>
      <c r="M87" s="3"/>
      <c r="N87" s="3"/>
      <c r="O87" s="3"/>
      <c r="P87" s="3" t="s">
        <v>288</v>
      </c>
    </row>
    <row r="88" customFormat="false" ht="147" hidden="false" customHeight="false" outlineLevel="0" collapsed="false">
      <c r="A88" s="3" t="s">
        <v>284</v>
      </c>
      <c r="B88" s="3" t="s">
        <v>43</v>
      </c>
      <c r="C88" s="3"/>
      <c r="D88" s="3" t="str">
        <f aca="false">IFERROR(DPG5d!J17,"")</f>
        <v/>
      </c>
      <c r="E88" s="3"/>
      <c r="F88" s="4"/>
      <c r="G88" s="4"/>
      <c r="H88" s="5" t="str">
        <f aca="false">IF(OR(F88="",NOT(ISNUMBER(D88))),"",IF(ABS(F88-D88)&lt;0.001,"Yes","No"))</f>
        <v/>
      </c>
      <c r="I88" s="3" t="s">
        <v>18</v>
      </c>
      <c r="J88" s="3" t="s">
        <v>44</v>
      </c>
      <c r="K88" s="3"/>
      <c r="L88" s="3"/>
      <c r="M88" s="3"/>
      <c r="N88" s="3"/>
      <c r="O88" s="3"/>
      <c r="P88" s="3" t="s">
        <v>289</v>
      </c>
    </row>
    <row r="89" customFormat="false" ht="124.6" hidden="false" customHeight="false" outlineLevel="0" collapsed="false">
      <c r="A89" s="3" t="s">
        <v>284</v>
      </c>
      <c r="B89" s="3" t="s">
        <v>46</v>
      </c>
      <c r="C89" s="3"/>
      <c r="D89" s="3" t="str">
        <f aca="false">IFERROR(DPG5d!J18,"")</f>
        <v/>
      </c>
      <c r="E89" s="3"/>
      <c r="F89" s="4"/>
      <c r="G89" s="4"/>
      <c r="H89" s="5" t="str">
        <f aca="false">IF(OR(F89="",NOT(ISNUMBER(D89))),"",IF(ABS(F89-D89)&lt;0.001,"Yes","No"))</f>
        <v/>
      </c>
      <c r="I89" s="3" t="s">
        <v>18</v>
      </c>
      <c r="J89" s="3" t="s">
        <v>44</v>
      </c>
      <c r="K89" s="3"/>
      <c r="L89" s="3"/>
      <c r="M89" s="3"/>
      <c r="N89" s="3"/>
      <c r="O89" s="3"/>
      <c r="P89" s="3" t="s">
        <v>290</v>
      </c>
    </row>
    <row r="90" customFormat="false" ht="113.4" hidden="false" customHeight="false" outlineLevel="0" collapsed="false">
      <c r="A90" s="3" t="s">
        <v>284</v>
      </c>
      <c r="B90" s="3" t="s">
        <v>48</v>
      </c>
      <c r="C90" s="3"/>
      <c r="D90" s="3" t="str">
        <f aca="false">IFERROR(DPG5d!J19,"")</f>
        <v/>
      </c>
      <c r="E90" s="3"/>
      <c r="F90" s="4"/>
      <c r="G90" s="4"/>
      <c r="H90" s="5" t="str">
        <f aca="false">IF(OR(F90="",NOT(ISNUMBER(D90))),"",IF(ABS(F90-D90)&lt;0.001,"Yes","No"))</f>
        <v/>
      </c>
      <c r="I90" s="3" t="s">
        <v>18</v>
      </c>
      <c r="J90" s="3" t="s">
        <v>44</v>
      </c>
      <c r="K90" s="3"/>
      <c r="L90" s="3"/>
      <c r="M90" s="3"/>
      <c r="N90" s="3"/>
      <c r="O90" s="3"/>
      <c r="P90" s="3" t="s">
        <v>291</v>
      </c>
    </row>
    <row r="91" customFormat="false" ht="393.25" hidden="false" customHeight="false" outlineLevel="0" collapsed="false">
      <c r="A91" s="3" t="s">
        <v>292</v>
      </c>
      <c r="B91" s="3" t="s">
        <v>17</v>
      </c>
      <c r="C91" s="3"/>
      <c r="D91" s="3" t="str">
        <f aca="false">IFERROR(DPG5f!J13,"")</f>
        <v/>
      </c>
      <c r="E91" s="3"/>
      <c r="F91" s="4"/>
      <c r="G91" s="4"/>
      <c r="H91" s="5" t="str">
        <f aca="false">IF(OR(F91="",NOT(ISNUMBER(D91))),"",IF(ABS(F91-D91)&lt;0.001,"Yes","No"))</f>
        <v/>
      </c>
      <c r="I91" s="3" t="s">
        <v>18</v>
      </c>
      <c r="J91" s="3" t="s">
        <v>19</v>
      </c>
      <c r="K91" s="3" t="s">
        <v>293</v>
      </c>
      <c r="L91" s="3" t="s">
        <v>294</v>
      </c>
      <c r="M91" s="3" t="s">
        <v>295</v>
      </c>
      <c r="N91" s="3" t="s">
        <v>296</v>
      </c>
      <c r="O91" s="3" t="s">
        <v>297</v>
      </c>
      <c r="P91" s="3" t="s">
        <v>25</v>
      </c>
    </row>
    <row r="92" customFormat="false" ht="516.4" hidden="false" customHeight="false" outlineLevel="0" collapsed="false">
      <c r="A92" s="3" t="s">
        <v>292</v>
      </c>
      <c r="B92" s="3" t="s">
        <v>26</v>
      </c>
      <c r="C92" s="3"/>
      <c r="D92" s="3" t="str">
        <f aca="false">IFERROR(DPG5f!J14,"")</f>
        <v/>
      </c>
      <c r="E92" s="3"/>
      <c r="F92" s="4"/>
      <c r="G92" s="4"/>
      <c r="H92" s="5" t="str">
        <f aca="false">IF(OR(F92="",NOT(ISNUMBER(D92))),"",IF(ABS(F92-D92)&lt;0.001,"Yes","No"))</f>
        <v/>
      </c>
      <c r="I92" s="3" t="s">
        <v>18</v>
      </c>
      <c r="J92" s="3" t="s">
        <v>19</v>
      </c>
      <c r="K92" s="3" t="s">
        <v>298</v>
      </c>
      <c r="L92" s="3" t="s">
        <v>299</v>
      </c>
      <c r="M92" s="3" t="s">
        <v>300</v>
      </c>
      <c r="N92" s="3" t="s">
        <v>301</v>
      </c>
      <c r="O92" s="3" t="s">
        <v>302</v>
      </c>
      <c r="P92" s="3" t="s">
        <v>25</v>
      </c>
    </row>
    <row r="93" customFormat="false" ht="147" hidden="false" customHeight="false" outlineLevel="0" collapsed="false">
      <c r="A93" s="3" t="s">
        <v>292</v>
      </c>
      <c r="B93" s="3" t="s">
        <v>32</v>
      </c>
      <c r="C93" s="3"/>
      <c r="D93" s="3" t="str">
        <f aca="false">IFERROR(DPG5f!J15,"")</f>
        <v/>
      </c>
      <c r="E93" s="3"/>
      <c r="F93" s="4"/>
      <c r="G93" s="4"/>
      <c r="H93" s="5" t="str">
        <f aca="false">IF(OR(F93="",NOT(ISNUMBER(D93))),"",IF(ABS(F93-D93)&lt;0.001,"Yes","No"))</f>
        <v/>
      </c>
      <c r="I93" s="3" t="s">
        <v>18</v>
      </c>
      <c r="J93" s="3" t="s">
        <v>44</v>
      </c>
      <c r="K93" s="3"/>
      <c r="L93" s="3"/>
      <c r="M93" s="3"/>
      <c r="N93" s="3"/>
      <c r="O93" s="3"/>
      <c r="P93" s="3" t="s">
        <v>303</v>
      </c>
    </row>
    <row r="94" customFormat="false" ht="124.6" hidden="false" customHeight="false" outlineLevel="0" collapsed="false">
      <c r="A94" s="3" t="s">
        <v>292</v>
      </c>
      <c r="B94" s="3" t="s">
        <v>38</v>
      </c>
      <c r="C94" s="3"/>
      <c r="D94" s="3" t="str">
        <f aca="false">IFERROR(DPG5f!J16,"")</f>
        <v/>
      </c>
      <c r="E94" s="3"/>
      <c r="F94" s="4"/>
      <c r="G94" s="4"/>
      <c r="H94" s="5" t="str">
        <f aca="false">IF(OR(F94="",NOT(ISNUMBER(D94))),"",IF(ABS(F94-D94)&lt;0.001,"Yes","No"))</f>
        <v/>
      </c>
      <c r="I94" s="3" t="s">
        <v>18</v>
      </c>
      <c r="J94" s="3" t="s">
        <v>44</v>
      </c>
      <c r="K94" s="3"/>
      <c r="L94" s="3"/>
      <c r="M94" s="3"/>
      <c r="N94" s="3"/>
      <c r="O94" s="3"/>
      <c r="P94" s="3" t="s">
        <v>304</v>
      </c>
    </row>
    <row r="95" customFormat="false" ht="460.4" hidden="false" customHeight="false" outlineLevel="0" collapsed="false">
      <c r="A95" s="3" t="s">
        <v>292</v>
      </c>
      <c r="B95" s="3" t="s">
        <v>43</v>
      </c>
      <c r="C95" s="3"/>
      <c r="D95" s="3" t="n">
        <f aca="false">IFERROR(DPG5f!J17,"")</f>
        <v>1</v>
      </c>
      <c r="E95" s="3"/>
      <c r="F95" s="4"/>
      <c r="G95" s="4"/>
      <c r="H95" s="5" t="str">
        <f aca="false">IF(OR(F95="",NOT(ISNUMBER(D95))),"",IF(ABS(F95-D95)&lt;0.001,"Yes","No"))</f>
        <v/>
      </c>
      <c r="I95" s="3" t="s">
        <v>18</v>
      </c>
      <c r="J95" s="3" t="s">
        <v>19</v>
      </c>
      <c r="K95" s="3" t="s">
        <v>305</v>
      </c>
      <c r="L95" s="3" t="s">
        <v>306</v>
      </c>
      <c r="M95" s="3" t="s">
        <v>307</v>
      </c>
      <c r="N95" s="3" t="s">
        <v>308</v>
      </c>
      <c r="O95" s="3" t="s">
        <v>309</v>
      </c>
      <c r="P95" s="3" t="s">
        <v>25</v>
      </c>
    </row>
    <row r="96" customFormat="false" ht="124.6" hidden="false" customHeight="false" outlineLevel="0" collapsed="false">
      <c r="A96" s="3" t="s">
        <v>292</v>
      </c>
      <c r="B96" s="3" t="s">
        <v>46</v>
      </c>
      <c r="C96" s="3"/>
      <c r="D96" s="3" t="str">
        <f aca="false">IFERROR(DPG5f!J18,"")</f>
        <v/>
      </c>
      <c r="E96" s="3"/>
      <c r="F96" s="4"/>
      <c r="G96" s="4"/>
      <c r="H96" s="5" t="str">
        <f aca="false">IF(OR(F96="",NOT(ISNUMBER(D96))),"",IF(ABS(F96-D96)&lt;0.001,"Yes","No"))</f>
        <v/>
      </c>
      <c r="I96" s="3" t="s">
        <v>18</v>
      </c>
      <c r="J96" s="3" t="s">
        <v>44</v>
      </c>
      <c r="K96" s="3"/>
      <c r="L96" s="3"/>
      <c r="M96" s="3"/>
      <c r="N96" s="3"/>
      <c r="O96" s="3"/>
      <c r="P96" s="3" t="s">
        <v>310</v>
      </c>
    </row>
    <row r="97" customFormat="false" ht="438.05" hidden="false" customHeight="false" outlineLevel="0" collapsed="false">
      <c r="A97" s="3" t="s">
        <v>292</v>
      </c>
      <c r="B97" s="3" t="s">
        <v>48</v>
      </c>
      <c r="C97" s="3"/>
      <c r="D97" s="3" t="str">
        <f aca="false">IFERROR(DPG5f!J19,"")</f>
        <v/>
      </c>
      <c r="E97" s="3"/>
      <c r="F97" s="4"/>
      <c r="G97" s="4"/>
      <c r="H97" s="5" t="str">
        <f aca="false">IF(OR(F97="",NOT(ISNUMBER(D97))),"",IF(ABS(F97-D97)&lt;0.001,"Yes","No"))</f>
        <v/>
      </c>
      <c r="I97" s="3" t="s">
        <v>18</v>
      </c>
      <c r="J97" s="3" t="s">
        <v>19</v>
      </c>
      <c r="K97" s="3" t="s">
        <v>311</v>
      </c>
      <c r="L97" s="3" t="s">
        <v>190</v>
      </c>
      <c r="M97" s="3" t="s">
        <v>191</v>
      </c>
      <c r="N97" s="3" t="s">
        <v>312</v>
      </c>
      <c r="O97" s="3" t="s">
        <v>313</v>
      </c>
      <c r="P97" s="3" t="s">
        <v>25</v>
      </c>
    </row>
    <row r="98" customFormat="false" ht="124.6" hidden="false" customHeight="false" outlineLevel="0" collapsed="false">
      <c r="A98" s="3" t="s">
        <v>314</v>
      </c>
      <c r="B98" s="3" t="s">
        <v>17</v>
      </c>
      <c r="C98" s="3"/>
      <c r="D98" s="3" t="str">
        <f aca="false">IFERROR(DPG5g!J13,"")</f>
        <v/>
      </c>
      <c r="E98" s="3"/>
      <c r="F98" s="4"/>
      <c r="G98" s="4"/>
      <c r="H98" s="5" t="str">
        <f aca="false">IF(OR(F98="",NOT(ISNUMBER(D98))),"",IF(ABS(F98-D98)&lt;0.001,"Yes","No"))</f>
        <v/>
      </c>
      <c r="I98" s="3" t="s">
        <v>18</v>
      </c>
      <c r="J98" s="3" t="s">
        <v>44</v>
      </c>
      <c r="K98" s="3"/>
      <c r="L98" s="3"/>
      <c r="M98" s="3"/>
      <c r="N98" s="3"/>
      <c r="O98" s="3"/>
      <c r="P98" s="3" t="s">
        <v>315</v>
      </c>
    </row>
    <row r="99" customFormat="false" ht="135.8" hidden="false" customHeight="false" outlineLevel="0" collapsed="false">
      <c r="A99" s="3" t="s">
        <v>314</v>
      </c>
      <c r="B99" s="3" t="s">
        <v>26</v>
      </c>
      <c r="C99" s="3"/>
      <c r="D99" s="3" t="str">
        <f aca="false">IFERROR(DPG5g!J14,"")</f>
        <v/>
      </c>
      <c r="E99" s="3"/>
      <c r="F99" s="4"/>
      <c r="G99" s="4"/>
      <c r="H99" s="5" t="str">
        <f aca="false">IF(OR(F99="",NOT(ISNUMBER(D99))),"",IF(ABS(F99-D99)&lt;0.001,"Yes","No"))</f>
        <v/>
      </c>
      <c r="I99" s="3" t="s">
        <v>18</v>
      </c>
      <c r="J99" s="3" t="s">
        <v>44</v>
      </c>
      <c r="K99" s="3"/>
      <c r="L99" s="3"/>
      <c r="M99" s="3"/>
      <c r="N99" s="3"/>
      <c r="O99" s="3"/>
      <c r="P99" s="3" t="s">
        <v>316</v>
      </c>
    </row>
    <row r="100" customFormat="false" ht="180.55" hidden="false" customHeight="false" outlineLevel="0" collapsed="false">
      <c r="A100" s="3" t="s">
        <v>314</v>
      </c>
      <c r="B100" s="3" t="s">
        <v>32</v>
      </c>
      <c r="C100" s="3"/>
      <c r="D100" s="3" t="str">
        <f aca="false">IFERROR(DPG5g!J15,"")</f>
        <v/>
      </c>
      <c r="E100" s="3"/>
      <c r="F100" s="4"/>
      <c r="G100" s="4"/>
      <c r="H100" s="5" t="str">
        <f aca="false">IF(OR(F100="",NOT(ISNUMBER(D100))),"",IF(ABS(F100-D100)&lt;0.001,"Yes","No"))</f>
        <v/>
      </c>
      <c r="I100" s="3" t="s">
        <v>18</v>
      </c>
      <c r="J100" s="3" t="s">
        <v>44</v>
      </c>
      <c r="K100" s="3"/>
      <c r="L100" s="3"/>
      <c r="M100" s="3"/>
      <c r="N100" s="3"/>
      <c r="O100" s="3"/>
      <c r="P100" s="3" t="s">
        <v>317</v>
      </c>
    </row>
    <row r="101" customFormat="false" ht="303.7" hidden="false" customHeight="false" outlineLevel="0" collapsed="false">
      <c r="A101" s="3" t="s">
        <v>314</v>
      </c>
      <c r="B101" s="3" t="s">
        <v>38</v>
      </c>
      <c r="C101" s="3"/>
      <c r="D101" s="3" t="str">
        <f aca="false">IFERROR(DPG5g!J16,"")</f>
        <v/>
      </c>
      <c r="E101" s="3"/>
      <c r="F101" s="4"/>
      <c r="G101" s="4"/>
      <c r="H101" s="5" t="str">
        <f aca="false">IF(OR(F101="",NOT(ISNUMBER(D101))),"",IF(ABS(F101-D101)&lt;0.001,"Yes","No"))</f>
        <v/>
      </c>
      <c r="I101" s="3" t="s">
        <v>18</v>
      </c>
      <c r="J101" s="3" t="s">
        <v>19</v>
      </c>
      <c r="K101" s="3" t="s">
        <v>318</v>
      </c>
      <c r="L101" s="3" t="s">
        <v>319</v>
      </c>
      <c r="M101" s="3" t="s">
        <v>320</v>
      </c>
      <c r="N101" s="3" t="s">
        <v>321</v>
      </c>
      <c r="O101" s="3" t="s">
        <v>322</v>
      </c>
      <c r="P101" s="3" t="s">
        <v>25</v>
      </c>
    </row>
    <row r="102" customFormat="false" ht="147" hidden="false" customHeight="false" outlineLevel="0" collapsed="false">
      <c r="A102" s="3" t="s">
        <v>314</v>
      </c>
      <c r="B102" s="3" t="s">
        <v>43</v>
      </c>
      <c r="C102" s="3"/>
      <c r="D102" s="3" t="str">
        <f aca="false">IFERROR(DPG5g!J17,"")</f>
        <v/>
      </c>
      <c r="E102" s="3"/>
      <c r="F102" s="4"/>
      <c r="G102" s="4"/>
      <c r="H102" s="5" t="str">
        <f aca="false">IF(OR(F102="",NOT(ISNUMBER(D102))),"",IF(ABS(F102-D102)&lt;0.001,"Yes","No"))</f>
        <v/>
      </c>
      <c r="I102" s="3" t="s">
        <v>18</v>
      </c>
      <c r="J102" s="3" t="s">
        <v>44</v>
      </c>
      <c r="K102" s="3"/>
      <c r="L102" s="3"/>
      <c r="M102" s="3"/>
      <c r="N102" s="3"/>
      <c r="O102" s="3"/>
      <c r="P102" s="3" t="s">
        <v>323</v>
      </c>
    </row>
    <row r="103" customFormat="false" ht="147" hidden="false" customHeight="false" outlineLevel="0" collapsed="false">
      <c r="A103" s="3" t="s">
        <v>314</v>
      </c>
      <c r="B103" s="3" t="s">
        <v>46</v>
      </c>
      <c r="C103" s="3"/>
      <c r="D103" s="3" t="str">
        <f aca="false">IFERROR(DPG5g!J18,"")</f>
        <v/>
      </c>
      <c r="E103" s="3"/>
      <c r="F103" s="4"/>
      <c r="G103" s="4"/>
      <c r="H103" s="5" t="str">
        <f aca="false">IF(OR(F103="",NOT(ISNUMBER(D103))),"",IF(ABS(F103-D103)&lt;0.001,"Yes","No"))</f>
        <v/>
      </c>
      <c r="I103" s="3" t="s">
        <v>18</v>
      </c>
      <c r="J103" s="3" t="s">
        <v>44</v>
      </c>
      <c r="K103" s="3"/>
      <c r="L103" s="3"/>
      <c r="M103" s="3"/>
      <c r="N103" s="3"/>
      <c r="O103" s="3"/>
      <c r="P103" s="3" t="s">
        <v>324</v>
      </c>
    </row>
    <row r="104" customFormat="false" ht="303.7" hidden="false" customHeight="false" outlineLevel="0" collapsed="false">
      <c r="A104" s="3" t="s">
        <v>314</v>
      </c>
      <c r="B104" s="3" t="s">
        <v>48</v>
      </c>
      <c r="C104" s="3"/>
      <c r="D104" s="3" t="n">
        <f aca="false">IFERROR(DPG5g!J19,"")</f>
        <v>1</v>
      </c>
      <c r="E104" s="3"/>
      <c r="F104" s="4"/>
      <c r="G104" s="4"/>
      <c r="H104" s="5" t="str">
        <f aca="false">IF(OR(F104="",NOT(ISNUMBER(D104))),"",IF(ABS(F104-D104)&lt;0.001,"Yes","No"))</f>
        <v/>
      </c>
      <c r="I104" s="3" t="s">
        <v>112</v>
      </c>
      <c r="J104" s="3" t="s">
        <v>56</v>
      </c>
      <c r="K104" s="3" t="s">
        <v>325</v>
      </c>
      <c r="L104" s="3" t="s">
        <v>190</v>
      </c>
      <c r="M104" s="3" t="s">
        <v>191</v>
      </c>
      <c r="N104" s="3" t="s">
        <v>326</v>
      </c>
      <c r="O104" s="3" t="s">
        <v>327</v>
      </c>
      <c r="P104" s="3"/>
    </row>
    <row r="105" customFormat="false" ht="135.8" hidden="false" customHeight="false" outlineLevel="0" collapsed="false">
      <c r="A105" s="3" t="s">
        <v>328</v>
      </c>
      <c r="B105" s="3" t="s">
        <v>17</v>
      </c>
      <c r="C105" s="3"/>
      <c r="D105" s="3" t="str">
        <f aca="false">IFERROR(DPG5h!J13,"")</f>
        <v/>
      </c>
      <c r="E105" s="3"/>
      <c r="F105" s="4"/>
      <c r="G105" s="4"/>
      <c r="H105" s="5" t="str">
        <f aca="false">IF(OR(F105="",NOT(ISNUMBER(D105))),"",IF(ABS(F105-D105)&lt;0.001,"Yes","No"))</f>
        <v/>
      </c>
      <c r="I105" s="3" t="s">
        <v>18</v>
      </c>
      <c r="J105" s="3" t="s">
        <v>44</v>
      </c>
      <c r="K105" s="3"/>
      <c r="L105" s="3"/>
      <c r="M105" s="3"/>
      <c r="N105" s="3"/>
      <c r="O105" s="3"/>
      <c r="P105" s="3" t="s">
        <v>329</v>
      </c>
    </row>
    <row r="106" customFormat="false" ht="449.25" hidden="false" customHeight="false" outlineLevel="0" collapsed="false">
      <c r="A106" s="3" t="s">
        <v>328</v>
      </c>
      <c r="B106" s="3" t="s">
        <v>26</v>
      </c>
      <c r="C106" s="3"/>
      <c r="D106" s="3" t="str">
        <f aca="false">IFERROR(DPG5h!J14,"")</f>
        <v/>
      </c>
      <c r="E106" s="3"/>
      <c r="F106" s="4"/>
      <c r="G106" s="4"/>
      <c r="H106" s="5" t="str">
        <f aca="false">IF(OR(F106="",NOT(ISNUMBER(D106))),"",IF(ABS(F106-D106)&lt;0.001,"Yes","No"))</f>
        <v/>
      </c>
      <c r="I106" s="3" t="s">
        <v>18</v>
      </c>
      <c r="J106" s="3" t="s">
        <v>19</v>
      </c>
      <c r="K106" s="3" t="s">
        <v>330</v>
      </c>
      <c r="L106" s="3" t="s">
        <v>331</v>
      </c>
      <c r="M106" s="3" t="s">
        <v>332</v>
      </c>
      <c r="N106" s="3" t="s">
        <v>333</v>
      </c>
      <c r="O106" s="3" t="s">
        <v>334</v>
      </c>
      <c r="P106" s="3" t="s">
        <v>25</v>
      </c>
    </row>
    <row r="107" customFormat="false" ht="135.8" hidden="false" customHeight="false" outlineLevel="0" collapsed="false">
      <c r="A107" s="3" t="s">
        <v>328</v>
      </c>
      <c r="B107" s="3" t="s">
        <v>32</v>
      </c>
      <c r="C107" s="3"/>
      <c r="D107" s="3" t="str">
        <f aca="false">IFERROR(DPG5h!J15,"")</f>
        <v/>
      </c>
      <c r="E107" s="3"/>
      <c r="F107" s="4"/>
      <c r="G107" s="4"/>
      <c r="H107" s="5" t="str">
        <f aca="false">IF(OR(F107="",NOT(ISNUMBER(D107))),"",IF(ABS(F107-D107)&lt;0.001,"Yes","No"))</f>
        <v/>
      </c>
      <c r="I107" s="3" t="s">
        <v>18</v>
      </c>
      <c r="J107" s="3" t="s">
        <v>44</v>
      </c>
      <c r="K107" s="3"/>
      <c r="L107" s="3"/>
      <c r="M107" s="3"/>
      <c r="N107" s="3"/>
      <c r="O107" s="3"/>
      <c r="P107" s="3" t="s">
        <v>335</v>
      </c>
    </row>
    <row r="108" customFormat="false" ht="124.6" hidden="false" customHeight="false" outlineLevel="0" collapsed="false">
      <c r="A108" s="3" t="s">
        <v>328</v>
      </c>
      <c r="B108" s="3" t="s">
        <v>38</v>
      </c>
      <c r="C108" s="3"/>
      <c r="D108" s="3" t="str">
        <f aca="false">IFERROR(DPG5h!J16,"")</f>
        <v/>
      </c>
      <c r="E108" s="3"/>
      <c r="F108" s="4"/>
      <c r="G108" s="4"/>
      <c r="H108" s="5" t="str">
        <f aca="false">IF(OR(F108="",NOT(ISNUMBER(D108))),"",IF(ABS(F108-D108)&lt;0.001,"Yes","No"))</f>
        <v/>
      </c>
      <c r="I108" s="3" t="s">
        <v>18</v>
      </c>
      <c r="J108" s="3" t="s">
        <v>44</v>
      </c>
      <c r="K108" s="3"/>
      <c r="L108" s="3"/>
      <c r="M108" s="3"/>
      <c r="N108" s="3"/>
      <c r="O108" s="3"/>
      <c r="P108" s="3" t="s">
        <v>336</v>
      </c>
    </row>
    <row r="109" customFormat="false" ht="415.65" hidden="false" customHeight="false" outlineLevel="0" collapsed="false">
      <c r="A109" s="3" t="s">
        <v>328</v>
      </c>
      <c r="B109" s="3" t="s">
        <v>43</v>
      </c>
      <c r="C109" s="3"/>
      <c r="D109" s="3" t="n">
        <f aca="false">IFERROR(DPG5h!J17,"")</f>
        <v>0</v>
      </c>
      <c r="E109" s="3"/>
      <c r="F109" s="4"/>
      <c r="G109" s="4"/>
      <c r="H109" s="5" t="str">
        <f aca="false">IF(OR(F109="",NOT(ISNUMBER(D109))),"",IF(ABS(F109-D109)&lt;0.001,"Yes","No"))</f>
        <v/>
      </c>
      <c r="I109" s="3" t="s">
        <v>18</v>
      </c>
      <c r="J109" s="3" t="s">
        <v>19</v>
      </c>
      <c r="K109" s="3" t="s">
        <v>337</v>
      </c>
      <c r="L109" s="3" t="s">
        <v>230</v>
      </c>
      <c r="M109" s="3" t="s">
        <v>231</v>
      </c>
      <c r="N109" s="3" t="s">
        <v>276</v>
      </c>
      <c r="O109" s="3" t="s">
        <v>338</v>
      </c>
      <c r="P109" s="3" t="s">
        <v>25</v>
      </c>
    </row>
    <row r="110" customFormat="false" ht="124.6" hidden="false" customHeight="false" outlineLevel="0" collapsed="false">
      <c r="A110" s="3" t="s">
        <v>328</v>
      </c>
      <c r="B110" s="3" t="s">
        <v>46</v>
      </c>
      <c r="C110" s="3"/>
      <c r="D110" s="3" t="str">
        <f aca="false">IFERROR(DPG5h!J18,"")</f>
        <v/>
      </c>
      <c r="E110" s="3"/>
      <c r="F110" s="4"/>
      <c r="G110" s="4"/>
      <c r="H110" s="5" t="str">
        <f aca="false">IF(OR(F110="",NOT(ISNUMBER(D110))),"",IF(ABS(F110-D110)&lt;0.001,"Yes","No"))</f>
        <v/>
      </c>
      <c r="I110" s="3" t="s">
        <v>18</v>
      </c>
      <c r="J110" s="3" t="s">
        <v>44</v>
      </c>
      <c r="K110" s="3"/>
      <c r="L110" s="3"/>
      <c r="M110" s="3"/>
      <c r="N110" s="3"/>
      <c r="O110" s="3"/>
      <c r="P110" s="3" t="s">
        <v>339</v>
      </c>
    </row>
    <row r="111" customFormat="false" ht="147" hidden="false" customHeight="false" outlineLevel="0" collapsed="false">
      <c r="A111" s="3" t="s">
        <v>328</v>
      </c>
      <c r="B111" s="3" t="s">
        <v>48</v>
      </c>
      <c r="C111" s="3"/>
      <c r="D111" s="3" t="str">
        <f aca="false">IFERROR(DPG5h!J19,"")</f>
        <v/>
      </c>
      <c r="E111" s="3"/>
      <c r="F111" s="4"/>
      <c r="G111" s="4"/>
      <c r="H111" s="5" t="str">
        <f aca="false">IF(OR(F111="",NOT(ISNUMBER(D111))),"",IF(ABS(F111-D111)&lt;0.001,"Yes","No"))</f>
        <v/>
      </c>
      <c r="I111" s="3" t="s">
        <v>18</v>
      </c>
      <c r="J111" s="3" t="s">
        <v>44</v>
      </c>
      <c r="K111" s="3"/>
      <c r="L111" s="3"/>
      <c r="M111" s="3"/>
      <c r="N111" s="3"/>
      <c r="O111" s="3"/>
      <c r="P111" s="3" t="s">
        <v>340</v>
      </c>
    </row>
    <row r="112" customFormat="false" ht="415.65" hidden="false" customHeight="false" outlineLevel="0" collapsed="false">
      <c r="A112" s="3" t="s">
        <v>341</v>
      </c>
      <c r="B112" s="3" t="s">
        <v>17</v>
      </c>
      <c r="C112" s="3"/>
      <c r="D112" s="3" t="str">
        <f aca="false">IFERROR(DPG5i!J13,"")</f>
        <v/>
      </c>
      <c r="E112" s="3"/>
      <c r="F112" s="4"/>
      <c r="G112" s="4"/>
      <c r="H112" s="5" t="str">
        <f aca="false">IF(OR(F112="",NOT(ISNUMBER(D112))),"",IF(ABS(F112-D112)&lt;0.001,"Yes","No"))</f>
        <v/>
      </c>
      <c r="I112" s="3" t="s">
        <v>18</v>
      </c>
      <c r="J112" s="3" t="s">
        <v>19</v>
      </c>
      <c r="K112" s="3" t="s">
        <v>342</v>
      </c>
      <c r="L112" s="3" t="s">
        <v>87</v>
      </c>
      <c r="M112" s="3" t="s">
        <v>88</v>
      </c>
      <c r="N112" s="3" t="s">
        <v>343</v>
      </c>
      <c r="O112" s="3" t="s">
        <v>344</v>
      </c>
      <c r="P112" s="3" t="s">
        <v>25</v>
      </c>
    </row>
    <row r="113" customFormat="false" ht="113.4" hidden="false" customHeight="false" outlineLevel="0" collapsed="false">
      <c r="A113" s="3" t="s">
        <v>341</v>
      </c>
      <c r="B113" s="3" t="s">
        <v>26</v>
      </c>
      <c r="C113" s="3"/>
      <c r="D113" s="3" t="str">
        <f aca="false">IFERROR(DPG5i!J14,"")</f>
        <v/>
      </c>
      <c r="E113" s="3"/>
      <c r="F113" s="4"/>
      <c r="G113" s="4"/>
      <c r="H113" s="5" t="str">
        <f aca="false">IF(OR(F113="",NOT(ISNUMBER(D113))),"",IF(ABS(F113-D113)&lt;0.001,"Yes","No"))</f>
        <v/>
      </c>
      <c r="I113" s="3" t="s">
        <v>18</v>
      </c>
      <c r="J113" s="3" t="s">
        <v>44</v>
      </c>
      <c r="K113" s="3"/>
      <c r="L113" s="3"/>
      <c r="M113" s="3"/>
      <c r="N113" s="3"/>
      <c r="O113" s="3"/>
      <c r="P113" s="3" t="s">
        <v>345</v>
      </c>
    </row>
    <row r="114" customFormat="false" ht="102.2" hidden="false" customHeight="false" outlineLevel="0" collapsed="false">
      <c r="A114" s="3" t="s">
        <v>341</v>
      </c>
      <c r="B114" s="3" t="s">
        <v>32</v>
      </c>
      <c r="C114" s="3"/>
      <c r="D114" s="3" t="str">
        <f aca="false">IFERROR(DPG5i!J15,"")</f>
        <v/>
      </c>
      <c r="E114" s="3"/>
      <c r="F114" s="4"/>
      <c r="G114" s="4"/>
      <c r="H114" s="5" t="str">
        <f aca="false">IF(OR(F114="",NOT(ISNUMBER(D114))),"",IF(ABS(F114-D114)&lt;0.001,"Yes","No"))</f>
        <v/>
      </c>
      <c r="I114" s="3" t="s">
        <v>18</v>
      </c>
      <c r="J114" s="3" t="s">
        <v>44</v>
      </c>
      <c r="K114" s="3"/>
      <c r="L114" s="3"/>
      <c r="M114" s="3"/>
      <c r="N114" s="3"/>
      <c r="O114" s="3"/>
      <c r="P114" s="3" t="s">
        <v>346</v>
      </c>
    </row>
    <row r="115" customFormat="false" ht="135.8" hidden="false" customHeight="false" outlineLevel="0" collapsed="false">
      <c r="A115" s="3" t="s">
        <v>341</v>
      </c>
      <c r="B115" s="3" t="s">
        <v>38</v>
      </c>
      <c r="C115" s="3"/>
      <c r="D115" s="3" t="str">
        <f aca="false">IFERROR(DPG5i!J16,"")</f>
        <v/>
      </c>
      <c r="E115" s="3"/>
      <c r="F115" s="4"/>
      <c r="G115" s="4"/>
      <c r="H115" s="5" t="str">
        <f aca="false">IF(OR(F115="",NOT(ISNUMBER(D115))),"",IF(ABS(F115-D115)&lt;0.001,"Yes","No"))</f>
        <v/>
      </c>
      <c r="I115" s="3" t="s">
        <v>18</v>
      </c>
      <c r="J115" s="3" t="s">
        <v>44</v>
      </c>
      <c r="K115" s="3"/>
      <c r="L115" s="3"/>
      <c r="M115" s="3"/>
      <c r="N115" s="3"/>
      <c r="O115" s="3"/>
      <c r="P115" s="3" t="s">
        <v>347</v>
      </c>
    </row>
    <row r="116" customFormat="false" ht="281.3" hidden="false" customHeight="false" outlineLevel="0" collapsed="false">
      <c r="A116" s="3" t="s">
        <v>341</v>
      </c>
      <c r="B116" s="3" t="s">
        <v>43</v>
      </c>
      <c r="C116" s="3"/>
      <c r="D116" s="3" t="str">
        <f aca="false">IFERROR(DPG5i!J17,"")</f>
        <v/>
      </c>
      <c r="E116" s="3"/>
      <c r="F116" s="4"/>
      <c r="G116" s="4"/>
      <c r="H116" s="5" t="str">
        <f aca="false">IF(OR(F116="",NOT(ISNUMBER(D116))),"",IF(ABS(F116-D116)&lt;0.001,"Yes","No"))</f>
        <v/>
      </c>
      <c r="I116" s="3" t="s">
        <v>18</v>
      </c>
      <c r="J116" s="3" t="s">
        <v>19</v>
      </c>
      <c r="K116" s="3" t="s">
        <v>348</v>
      </c>
      <c r="L116" s="3" t="s">
        <v>230</v>
      </c>
      <c r="M116" s="3" t="s">
        <v>231</v>
      </c>
      <c r="N116" s="3" t="s">
        <v>349</v>
      </c>
      <c r="O116" s="3" t="s">
        <v>350</v>
      </c>
      <c r="P116" s="3" t="s">
        <v>25</v>
      </c>
    </row>
    <row r="117" customFormat="false" ht="124.6" hidden="false" customHeight="false" outlineLevel="0" collapsed="false">
      <c r="A117" s="3" t="s">
        <v>341</v>
      </c>
      <c r="B117" s="3" t="s">
        <v>46</v>
      </c>
      <c r="C117" s="3"/>
      <c r="D117" s="3" t="str">
        <f aca="false">IFERROR(DPG5i!J18,"")</f>
        <v/>
      </c>
      <c r="E117" s="3"/>
      <c r="F117" s="4"/>
      <c r="G117" s="4"/>
      <c r="H117" s="5" t="str">
        <f aca="false">IF(OR(F117="",NOT(ISNUMBER(D117))),"",IF(ABS(F117-D117)&lt;0.001,"Yes","No"))</f>
        <v/>
      </c>
      <c r="I117" s="3" t="s">
        <v>18</v>
      </c>
      <c r="J117" s="3" t="s">
        <v>44</v>
      </c>
      <c r="K117" s="3"/>
      <c r="L117" s="3"/>
      <c r="M117" s="3"/>
      <c r="N117" s="3"/>
      <c r="O117" s="3"/>
      <c r="P117" s="3" t="s">
        <v>351</v>
      </c>
    </row>
    <row r="118" customFormat="false" ht="124.6" hidden="false" customHeight="false" outlineLevel="0" collapsed="false">
      <c r="A118" s="3" t="s">
        <v>341</v>
      </c>
      <c r="B118" s="3" t="s">
        <v>48</v>
      </c>
      <c r="C118" s="3"/>
      <c r="D118" s="3" t="str">
        <f aca="false">IFERROR(DPG5i!J19,"")</f>
        <v/>
      </c>
      <c r="E118" s="3"/>
      <c r="F118" s="4"/>
      <c r="G118" s="4"/>
      <c r="H118" s="5" t="str">
        <f aca="false">IF(OR(F118="",NOT(ISNUMBER(D118))),"",IF(ABS(F118-D118)&lt;0.001,"Yes","No"))</f>
        <v/>
      </c>
      <c r="I118" s="3" t="s">
        <v>18</v>
      </c>
      <c r="J118" s="3" t="s">
        <v>44</v>
      </c>
      <c r="K118" s="3"/>
      <c r="L118" s="3"/>
      <c r="M118" s="3"/>
      <c r="N118" s="3"/>
      <c r="O118" s="3"/>
      <c r="P118" s="3" t="s">
        <v>352</v>
      </c>
    </row>
    <row r="119" customFormat="false" ht="303.7" hidden="false" customHeight="false" outlineLevel="0" collapsed="false">
      <c r="A119" s="3" t="s">
        <v>353</v>
      </c>
      <c r="B119" s="3" t="s">
        <v>17</v>
      </c>
      <c r="C119" s="3"/>
      <c r="D119" s="3" t="str">
        <f aca="false">IFERROR(DPG5j!J13,"")</f>
        <v/>
      </c>
      <c r="E119" s="3"/>
      <c r="F119" s="4"/>
      <c r="G119" s="4"/>
      <c r="H119" s="5" t="str">
        <f aca="false">IF(OR(F119="",NOT(ISNUMBER(D119))),"",IF(ABS(F119-D119)&lt;0.001,"Yes","No"))</f>
        <v/>
      </c>
      <c r="I119" s="3" t="s">
        <v>18</v>
      </c>
      <c r="J119" s="3" t="s">
        <v>19</v>
      </c>
      <c r="K119" s="3" t="s">
        <v>354</v>
      </c>
      <c r="L119" s="3" t="s">
        <v>355</v>
      </c>
      <c r="M119" s="3" t="s">
        <v>356</v>
      </c>
      <c r="N119" s="3" t="s">
        <v>357</v>
      </c>
      <c r="O119" s="3" t="s">
        <v>358</v>
      </c>
      <c r="P119" s="3" t="s">
        <v>25</v>
      </c>
    </row>
    <row r="120" customFormat="false" ht="270.1" hidden="false" customHeight="false" outlineLevel="0" collapsed="false">
      <c r="A120" s="3" t="s">
        <v>353</v>
      </c>
      <c r="B120" s="3" t="s">
        <v>26</v>
      </c>
      <c r="C120" s="3"/>
      <c r="D120" s="3" t="str">
        <f aca="false">IFERROR(DPG5j!J14,"")</f>
        <v/>
      </c>
      <c r="E120" s="3"/>
      <c r="F120" s="4"/>
      <c r="G120" s="4"/>
      <c r="H120" s="5" t="str">
        <f aca="false">IF(OR(F120="",NOT(ISNUMBER(D120))),"",IF(ABS(F120-D120)&lt;0.001,"Yes","No"))</f>
        <v/>
      </c>
      <c r="I120" s="3" t="s">
        <v>18</v>
      </c>
      <c r="J120" s="3" t="s">
        <v>19</v>
      </c>
      <c r="K120" s="3" t="s">
        <v>359</v>
      </c>
      <c r="L120" s="3" t="s">
        <v>360</v>
      </c>
      <c r="M120" s="3" t="s">
        <v>361</v>
      </c>
      <c r="N120" s="3" t="s">
        <v>362</v>
      </c>
      <c r="O120" s="3" t="s">
        <v>363</v>
      </c>
      <c r="P120" s="3" t="s">
        <v>25</v>
      </c>
    </row>
    <row r="121" customFormat="false" ht="135.8" hidden="false" customHeight="false" outlineLevel="0" collapsed="false">
      <c r="A121" s="3" t="s">
        <v>353</v>
      </c>
      <c r="B121" s="3" t="s">
        <v>32</v>
      </c>
      <c r="C121" s="3"/>
      <c r="D121" s="3" t="str">
        <f aca="false">IFERROR(DPG5j!J15,"")</f>
        <v/>
      </c>
      <c r="E121" s="3"/>
      <c r="F121" s="4"/>
      <c r="G121" s="4"/>
      <c r="H121" s="5" t="str">
        <f aca="false">IF(OR(F121="",NOT(ISNUMBER(D121))),"",IF(ABS(F121-D121)&lt;0.001,"Yes","No"))</f>
        <v/>
      </c>
      <c r="I121" s="3" t="s">
        <v>18</v>
      </c>
      <c r="J121" s="3" t="s">
        <v>44</v>
      </c>
      <c r="K121" s="3"/>
      <c r="L121" s="3"/>
      <c r="M121" s="3"/>
      <c r="N121" s="3"/>
      <c r="O121" s="3"/>
      <c r="P121" s="3" t="s">
        <v>364</v>
      </c>
    </row>
    <row r="122" customFormat="false" ht="135.8" hidden="false" customHeight="false" outlineLevel="0" collapsed="false">
      <c r="A122" s="3" t="s">
        <v>353</v>
      </c>
      <c r="B122" s="3" t="s">
        <v>38</v>
      </c>
      <c r="C122" s="3"/>
      <c r="D122" s="3" t="str">
        <f aca="false">IFERROR(DPG5j!J16,"")</f>
        <v/>
      </c>
      <c r="E122" s="3"/>
      <c r="F122" s="4"/>
      <c r="G122" s="4"/>
      <c r="H122" s="5" t="str">
        <f aca="false">IF(OR(F122="",NOT(ISNUMBER(D122))),"",IF(ABS(F122-D122)&lt;0.001,"Yes","No"))</f>
        <v/>
      </c>
      <c r="I122" s="3" t="s">
        <v>18</v>
      </c>
      <c r="J122" s="3" t="s">
        <v>44</v>
      </c>
      <c r="K122" s="3"/>
      <c r="L122" s="3"/>
      <c r="M122" s="3"/>
      <c r="N122" s="3"/>
      <c r="O122" s="3"/>
      <c r="P122" s="3" t="s">
        <v>365</v>
      </c>
    </row>
    <row r="123" customFormat="false" ht="113.4" hidden="false" customHeight="false" outlineLevel="0" collapsed="false">
      <c r="A123" s="3" t="s">
        <v>353</v>
      </c>
      <c r="B123" s="3" t="s">
        <v>43</v>
      </c>
      <c r="C123" s="3"/>
      <c r="D123" s="3" t="str">
        <f aca="false">IFERROR(DPG5j!J17,"")</f>
        <v/>
      </c>
      <c r="E123" s="3"/>
      <c r="F123" s="4"/>
      <c r="G123" s="4"/>
      <c r="H123" s="5" t="str">
        <f aca="false">IF(OR(F123="",NOT(ISNUMBER(D123))),"",IF(ABS(F123-D123)&lt;0.001,"Yes","No"))</f>
        <v/>
      </c>
      <c r="I123" s="3" t="s">
        <v>18</v>
      </c>
      <c r="J123" s="3" t="s">
        <v>44</v>
      </c>
      <c r="K123" s="3"/>
      <c r="L123" s="3"/>
      <c r="M123" s="3"/>
      <c r="N123" s="3"/>
      <c r="O123" s="3"/>
      <c r="P123" s="3" t="s">
        <v>366</v>
      </c>
    </row>
    <row r="124" customFormat="false" ht="113.4" hidden="false" customHeight="false" outlineLevel="0" collapsed="false">
      <c r="A124" s="3" t="s">
        <v>353</v>
      </c>
      <c r="B124" s="3" t="s">
        <v>46</v>
      </c>
      <c r="C124" s="3"/>
      <c r="D124" s="3" t="str">
        <f aca="false">IFERROR(DPG5j!J18,"")</f>
        <v/>
      </c>
      <c r="E124" s="3"/>
      <c r="F124" s="4"/>
      <c r="G124" s="4"/>
      <c r="H124" s="5" t="str">
        <f aca="false">IF(OR(F124="",NOT(ISNUMBER(D124))),"",IF(ABS(F124-D124)&lt;0.001,"Yes","No"))</f>
        <v/>
      </c>
      <c r="I124" s="3" t="s">
        <v>18</v>
      </c>
      <c r="J124" s="3" t="s">
        <v>44</v>
      </c>
      <c r="K124" s="3"/>
      <c r="L124" s="3"/>
      <c r="M124" s="3"/>
      <c r="N124" s="3"/>
      <c r="O124" s="3"/>
      <c r="P124" s="3" t="s">
        <v>367</v>
      </c>
    </row>
    <row r="125" customFormat="false" ht="314.9" hidden="false" customHeight="false" outlineLevel="0" collapsed="false">
      <c r="A125" s="3" t="s">
        <v>353</v>
      </c>
      <c r="B125" s="3" t="s">
        <v>48</v>
      </c>
      <c r="C125" s="3"/>
      <c r="D125" s="3" t="n">
        <f aca="false">IFERROR(DPG5j!J19,"")</f>
        <v>1</v>
      </c>
      <c r="E125" s="3"/>
      <c r="F125" s="4"/>
      <c r="G125" s="4"/>
      <c r="H125" s="5" t="str">
        <f aca="false">IF(OR(F125="",NOT(ISNUMBER(D125))),"",IF(ABS(F125-D125)&lt;0.001,"Yes","No"))</f>
        <v/>
      </c>
      <c r="I125" s="3" t="s">
        <v>112</v>
      </c>
      <c r="J125" s="3" t="s">
        <v>56</v>
      </c>
      <c r="K125" s="3" t="s">
        <v>368</v>
      </c>
      <c r="L125" s="3" t="s">
        <v>369</v>
      </c>
      <c r="M125" s="3" t="s">
        <v>370</v>
      </c>
      <c r="N125" s="3" t="s">
        <v>371</v>
      </c>
      <c r="O125" s="3" t="s">
        <v>372</v>
      </c>
      <c r="P125" s="3"/>
    </row>
    <row r="126" customFormat="false" ht="135.8" hidden="false" customHeight="false" outlineLevel="0" collapsed="false">
      <c r="A126" s="3" t="s">
        <v>373</v>
      </c>
      <c r="B126" s="3" t="s">
        <v>17</v>
      </c>
      <c r="C126" s="3"/>
      <c r="D126" s="3" t="str">
        <f aca="false">IFERROR(DPG5k!J13,"")</f>
        <v/>
      </c>
      <c r="E126" s="3"/>
      <c r="F126" s="4"/>
      <c r="G126" s="4"/>
      <c r="H126" s="5" t="str">
        <f aca="false">IF(OR(F126="",NOT(ISNUMBER(D126))),"",IF(ABS(F126-D126)&lt;0.001,"Yes","No"))</f>
        <v/>
      </c>
      <c r="I126" s="3" t="s">
        <v>18</v>
      </c>
      <c r="J126" s="3" t="s">
        <v>44</v>
      </c>
      <c r="K126" s="3"/>
      <c r="L126" s="3"/>
      <c r="M126" s="3"/>
      <c r="N126" s="3"/>
      <c r="O126" s="3"/>
      <c r="P126" s="3" t="s">
        <v>374</v>
      </c>
    </row>
    <row r="127" customFormat="false" ht="471.6" hidden="false" customHeight="false" outlineLevel="0" collapsed="false">
      <c r="A127" s="3" t="s">
        <v>373</v>
      </c>
      <c r="B127" s="3" t="s">
        <v>26</v>
      </c>
      <c r="C127" s="3"/>
      <c r="D127" s="3" t="str">
        <f aca="false">IFERROR(DPG5k!J14,"")</f>
        <v/>
      </c>
      <c r="E127" s="3"/>
      <c r="F127" s="4"/>
      <c r="G127" s="4"/>
      <c r="H127" s="5" t="str">
        <f aca="false">IF(OR(F127="",NOT(ISNUMBER(D127))),"",IF(ABS(F127-D127)&lt;0.001,"Yes","No"))</f>
        <v/>
      </c>
      <c r="I127" s="3" t="s">
        <v>18</v>
      </c>
      <c r="J127" s="3" t="s">
        <v>19</v>
      </c>
      <c r="K127" s="3" t="s">
        <v>375</v>
      </c>
      <c r="L127" s="3" t="s">
        <v>221</v>
      </c>
      <c r="M127" s="3" t="s">
        <v>222</v>
      </c>
      <c r="N127" s="3" t="s">
        <v>223</v>
      </c>
      <c r="O127" s="3" t="s">
        <v>376</v>
      </c>
      <c r="P127" s="3" t="s">
        <v>25</v>
      </c>
    </row>
    <row r="128" customFormat="false" ht="147" hidden="false" customHeight="false" outlineLevel="0" collapsed="false">
      <c r="A128" s="3" t="s">
        <v>373</v>
      </c>
      <c r="B128" s="3" t="s">
        <v>32</v>
      </c>
      <c r="C128" s="3"/>
      <c r="D128" s="3" t="str">
        <f aca="false">IFERROR(DPG5k!J15,"")</f>
        <v/>
      </c>
      <c r="E128" s="3"/>
      <c r="F128" s="4"/>
      <c r="G128" s="4"/>
      <c r="H128" s="5" t="str">
        <f aca="false">IF(OR(F128="",NOT(ISNUMBER(D128))),"",IF(ABS(F128-D128)&lt;0.001,"Yes","No"))</f>
        <v/>
      </c>
      <c r="I128" s="3" t="s">
        <v>18</v>
      </c>
      <c r="J128" s="3" t="s">
        <v>44</v>
      </c>
      <c r="K128" s="3"/>
      <c r="L128" s="3"/>
      <c r="M128" s="3"/>
      <c r="N128" s="3"/>
      <c r="O128" s="3"/>
      <c r="P128" s="3" t="s">
        <v>377</v>
      </c>
    </row>
    <row r="129" customFormat="false" ht="348.5" hidden="false" customHeight="false" outlineLevel="0" collapsed="false">
      <c r="A129" s="3" t="s">
        <v>373</v>
      </c>
      <c r="B129" s="3" t="s">
        <v>38</v>
      </c>
      <c r="C129" s="3"/>
      <c r="D129" s="3" t="str">
        <f aca="false">IFERROR(DPG5k!J16,"")</f>
        <v/>
      </c>
      <c r="E129" s="3"/>
      <c r="F129" s="4"/>
      <c r="G129" s="4"/>
      <c r="H129" s="5" t="str">
        <f aca="false">IF(OR(F129="",NOT(ISNUMBER(D129))),"",IF(ABS(F129-D129)&lt;0.001,"Yes","No"))</f>
        <v/>
      </c>
      <c r="I129" s="3" t="s">
        <v>18</v>
      </c>
      <c r="J129" s="3" t="s">
        <v>19</v>
      </c>
      <c r="K129" s="3" t="s">
        <v>378</v>
      </c>
      <c r="L129" s="3" t="s">
        <v>379</v>
      </c>
      <c r="M129" s="3" t="s">
        <v>380</v>
      </c>
      <c r="N129" s="3" t="s">
        <v>381</v>
      </c>
      <c r="O129" s="3" t="s">
        <v>382</v>
      </c>
      <c r="P129" s="3" t="s">
        <v>25</v>
      </c>
    </row>
    <row r="130" customFormat="false" ht="124.6" hidden="false" customHeight="false" outlineLevel="0" collapsed="false">
      <c r="A130" s="3" t="s">
        <v>373</v>
      </c>
      <c r="B130" s="3" t="s">
        <v>43</v>
      </c>
      <c r="C130" s="3"/>
      <c r="D130" s="3" t="str">
        <f aca="false">IFERROR(DPG5k!J17,"")</f>
        <v/>
      </c>
      <c r="E130" s="3"/>
      <c r="F130" s="4"/>
      <c r="G130" s="4"/>
      <c r="H130" s="5" t="str">
        <f aca="false">IF(OR(F130="",NOT(ISNUMBER(D130))),"",IF(ABS(F130-D130)&lt;0.001,"Yes","No"))</f>
        <v/>
      </c>
      <c r="I130" s="3" t="s">
        <v>18</v>
      </c>
      <c r="J130" s="3" t="s">
        <v>44</v>
      </c>
      <c r="K130" s="3"/>
      <c r="L130" s="3"/>
      <c r="M130" s="3"/>
      <c r="N130" s="3"/>
      <c r="O130" s="3"/>
      <c r="P130" s="3" t="s">
        <v>383</v>
      </c>
    </row>
    <row r="131" customFormat="false" ht="113.4" hidden="false" customHeight="false" outlineLevel="0" collapsed="false">
      <c r="A131" s="3" t="s">
        <v>373</v>
      </c>
      <c r="B131" s="3" t="s">
        <v>46</v>
      </c>
      <c r="C131" s="3"/>
      <c r="D131" s="3" t="str">
        <f aca="false">IFERROR(DPG5k!J18,"")</f>
        <v/>
      </c>
      <c r="E131" s="3"/>
      <c r="F131" s="4"/>
      <c r="G131" s="4"/>
      <c r="H131" s="5" t="str">
        <f aca="false">IF(OR(F131="",NOT(ISNUMBER(D131))),"",IF(ABS(F131-D131)&lt;0.001,"Yes","No"))</f>
        <v/>
      </c>
      <c r="I131" s="3" t="s">
        <v>18</v>
      </c>
      <c r="J131" s="3" t="s">
        <v>44</v>
      </c>
      <c r="K131" s="3"/>
      <c r="L131" s="3"/>
      <c r="M131" s="3"/>
      <c r="N131" s="3"/>
      <c r="O131" s="3"/>
      <c r="P131" s="3" t="s">
        <v>384</v>
      </c>
    </row>
    <row r="132" customFormat="false" ht="494" hidden="false" customHeight="false" outlineLevel="0" collapsed="false">
      <c r="A132" s="3" t="s">
        <v>373</v>
      </c>
      <c r="B132" s="3" t="s">
        <v>48</v>
      </c>
      <c r="C132" s="3"/>
      <c r="D132" s="3" t="n">
        <f aca="false">IFERROR(DPG5k!J19,"")</f>
        <v>1</v>
      </c>
      <c r="E132" s="3"/>
      <c r="F132" s="4"/>
      <c r="G132" s="4"/>
      <c r="H132" s="5" t="str">
        <f aca="false">IF(OR(F132="",NOT(ISNUMBER(D132))),"",IF(ABS(F132-D132)&lt;0.001,"Yes","No"))</f>
        <v/>
      </c>
      <c r="I132" s="3" t="s">
        <v>112</v>
      </c>
      <c r="J132" s="3" t="s">
        <v>56</v>
      </c>
      <c r="K132" s="3" t="s">
        <v>385</v>
      </c>
      <c r="L132" s="3" t="s">
        <v>386</v>
      </c>
      <c r="M132" s="3" t="s">
        <v>387</v>
      </c>
      <c r="N132" s="3" t="s">
        <v>388</v>
      </c>
      <c r="O132" s="3" t="s">
        <v>389</v>
      </c>
      <c r="P132" s="3"/>
    </row>
    <row r="133" customFormat="false" ht="449.25" hidden="false" customHeight="false" outlineLevel="0" collapsed="false">
      <c r="A133" s="3" t="s">
        <v>390</v>
      </c>
      <c r="B133" s="3" t="s">
        <v>17</v>
      </c>
      <c r="C133" s="3"/>
      <c r="D133" s="3" t="n">
        <f aca="false">IFERROR(DPG6a!J13,"")</f>
        <v>5</v>
      </c>
      <c r="E133" s="3"/>
      <c r="F133" s="4"/>
      <c r="G133" s="4"/>
      <c r="H133" s="5" t="str">
        <f aca="false">IF(OR(F133="",NOT(ISNUMBER(D133))),"",IF(ABS(F133-D133)&lt;0.001,"Yes","No"))</f>
        <v/>
      </c>
      <c r="I133" s="3" t="s">
        <v>112</v>
      </c>
      <c r="J133" s="3" t="s">
        <v>56</v>
      </c>
      <c r="K133" s="3" t="s">
        <v>391</v>
      </c>
      <c r="L133" s="3" t="s">
        <v>21</v>
      </c>
      <c r="M133" s="3" t="s">
        <v>22</v>
      </c>
      <c r="N133" s="3" t="s">
        <v>392</v>
      </c>
      <c r="O133" s="3" t="s">
        <v>393</v>
      </c>
      <c r="P133" s="3"/>
    </row>
    <row r="134" customFormat="false" ht="180.55" hidden="false" customHeight="false" outlineLevel="0" collapsed="false">
      <c r="A134" s="3" t="s">
        <v>390</v>
      </c>
      <c r="B134" s="3" t="s">
        <v>26</v>
      </c>
      <c r="C134" s="3"/>
      <c r="D134" s="3" t="str">
        <f aca="false">IFERROR(DPG6a!J14,"")</f>
        <v/>
      </c>
      <c r="E134" s="3"/>
      <c r="F134" s="4"/>
      <c r="G134" s="4"/>
      <c r="H134" s="5" t="str">
        <f aca="false">IF(OR(F134="",NOT(ISNUMBER(D134))),"",IF(ABS(F134-D134)&lt;0.001,"Yes","No"))</f>
        <v/>
      </c>
      <c r="I134" s="3" t="s">
        <v>18</v>
      </c>
      <c r="J134" s="3" t="s">
        <v>44</v>
      </c>
      <c r="K134" s="3"/>
      <c r="L134" s="3"/>
      <c r="M134" s="3"/>
      <c r="N134" s="3"/>
      <c r="O134" s="3"/>
      <c r="P134" s="3" t="s">
        <v>394</v>
      </c>
    </row>
    <row r="135" customFormat="false" ht="460.4" hidden="false" customHeight="false" outlineLevel="0" collapsed="false">
      <c r="A135" s="3" t="s">
        <v>390</v>
      </c>
      <c r="B135" s="3" t="s">
        <v>32</v>
      </c>
      <c r="C135" s="3"/>
      <c r="D135" s="3" t="n">
        <f aca="false">IFERROR(DPG6a!J15,"")</f>
        <v>0</v>
      </c>
      <c r="E135" s="3"/>
      <c r="F135" s="4"/>
      <c r="G135" s="4"/>
      <c r="H135" s="5" t="str">
        <f aca="false">IF(OR(F135="",NOT(ISNUMBER(D135))),"",IF(ABS(F135-D135)&lt;0.001,"Yes","No"))</f>
        <v/>
      </c>
      <c r="I135" s="3" t="s">
        <v>18</v>
      </c>
      <c r="J135" s="3" t="s">
        <v>19</v>
      </c>
      <c r="K135" s="3" t="s">
        <v>395</v>
      </c>
      <c r="L135" s="3" t="s">
        <v>34</v>
      </c>
      <c r="M135" s="3" t="s">
        <v>35</v>
      </c>
      <c r="N135" s="3" t="s">
        <v>396</v>
      </c>
      <c r="O135" s="3" t="s">
        <v>397</v>
      </c>
      <c r="P135" s="3" t="s">
        <v>25</v>
      </c>
    </row>
    <row r="136" customFormat="false" ht="449.25" hidden="false" customHeight="false" outlineLevel="0" collapsed="false">
      <c r="A136" s="3" t="s">
        <v>390</v>
      </c>
      <c r="B136" s="3" t="s">
        <v>38</v>
      </c>
      <c r="C136" s="3"/>
      <c r="D136" s="3" t="str">
        <f aca="false">IFERROR(DPG6a!J16,"")</f>
        <v/>
      </c>
      <c r="E136" s="3"/>
      <c r="F136" s="4"/>
      <c r="G136" s="4"/>
      <c r="H136" s="5" t="str">
        <f aca="false">IF(OR(F136="",NOT(ISNUMBER(D136))),"",IF(ABS(F136-D136)&lt;0.001,"Yes","No"))</f>
        <v/>
      </c>
      <c r="I136" s="3" t="s">
        <v>18</v>
      </c>
      <c r="J136" s="3" t="s">
        <v>19</v>
      </c>
      <c r="K136" s="3" t="s">
        <v>398</v>
      </c>
      <c r="L136" s="3" t="s">
        <v>319</v>
      </c>
      <c r="M136" s="3" t="s">
        <v>320</v>
      </c>
      <c r="N136" s="3" t="s">
        <v>399</v>
      </c>
      <c r="O136" s="3" t="s">
        <v>400</v>
      </c>
      <c r="P136" s="3" t="s">
        <v>25</v>
      </c>
    </row>
    <row r="137" customFormat="false" ht="124.6" hidden="false" customHeight="false" outlineLevel="0" collapsed="false">
      <c r="A137" s="3" t="s">
        <v>390</v>
      </c>
      <c r="B137" s="3" t="s">
        <v>43</v>
      </c>
      <c r="C137" s="3"/>
      <c r="D137" s="3" t="str">
        <f aca="false">IFERROR(DPG6a!J17,"")</f>
        <v/>
      </c>
      <c r="E137" s="3"/>
      <c r="F137" s="4"/>
      <c r="G137" s="4"/>
      <c r="H137" s="5" t="str">
        <f aca="false">IF(OR(F137="",NOT(ISNUMBER(D137))),"",IF(ABS(F137-D137)&lt;0.001,"Yes","No"))</f>
        <v/>
      </c>
      <c r="I137" s="3" t="s">
        <v>18</v>
      </c>
      <c r="J137" s="3" t="s">
        <v>44</v>
      </c>
      <c r="K137" s="3"/>
      <c r="L137" s="3"/>
      <c r="M137" s="3"/>
      <c r="N137" s="3"/>
      <c r="O137" s="3"/>
      <c r="P137" s="3" t="s">
        <v>401</v>
      </c>
    </row>
    <row r="138" customFormat="false" ht="169.4" hidden="false" customHeight="false" outlineLevel="0" collapsed="false">
      <c r="A138" s="3" t="s">
        <v>390</v>
      </c>
      <c r="B138" s="3" t="s">
        <v>46</v>
      </c>
      <c r="C138" s="3"/>
      <c r="D138" s="3" t="str">
        <f aca="false">IFERROR(DPG6a!J18,"")</f>
        <v/>
      </c>
      <c r="E138" s="3"/>
      <c r="F138" s="4"/>
      <c r="G138" s="4"/>
      <c r="H138" s="5" t="str">
        <f aca="false">IF(OR(F138="",NOT(ISNUMBER(D138))),"",IF(ABS(F138-D138)&lt;0.001,"Yes","No"))</f>
        <v/>
      </c>
      <c r="I138" s="3" t="s">
        <v>18</v>
      </c>
      <c r="J138" s="3" t="s">
        <v>44</v>
      </c>
      <c r="K138" s="3"/>
      <c r="L138" s="3"/>
      <c r="M138" s="3"/>
      <c r="N138" s="3"/>
      <c r="O138" s="3"/>
      <c r="P138" s="3" t="s">
        <v>402</v>
      </c>
    </row>
    <row r="139" customFormat="false" ht="348.5" hidden="false" customHeight="false" outlineLevel="0" collapsed="false">
      <c r="A139" s="3" t="s">
        <v>390</v>
      </c>
      <c r="B139" s="3" t="s">
        <v>48</v>
      </c>
      <c r="C139" s="3"/>
      <c r="D139" s="3" t="str">
        <f aca="false">IFERROR(DPG6a!J19,"")</f>
        <v/>
      </c>
      <c r="E139" s="3"/>
      <c r="F139" s="4"/>
      <c r="G139" s="4"/>
      <c r="H139" s="5" t="str">
        <f aca="false">IF(OR(F139="",NOT(ISNUMBER(D139))),"",IF(ABS(F139-D139)&lt;0.001,"Yes","No"))</f>
        <v/>
      </c>
      <c r="I139" s="3" t="s">
        <v>18</v>
      </c>
      <c r="J139" s="3" t="s">
        <v>19</v>
      </c>
      <c r="K139" s="3" t="s">
        <v>403</v>
      </c>
      <c r="L139" s="3" t="s">
        <v>404</v>
      </c>
      <c r="M139" s="3" t="s">
        <v>405</v>
      </c>
      <c r="N139" s="3" t="s">
        <v>406</v>
      </c>
      <c r="O139" s="3" t="s">
        <v>407</v>
      </c>
      <c r="P139" s="3" t="s">
        <v>25</v>
      </c>
    </row>
    <row r="140" customFormat="false" ht="337.3" hidden="false" customHeight="false" outlineLevel="0" collapsed="false">
      <c r="A140" s="3" t="s">
        <v>408</v>
      </c>
      <c r="B140" s="3" t="s">
        <v>17</v>
      </c>
      <c r="C140" s="3"/>
      <c r="D140" s="3" t="str">
        <f aca="false">IFERROR(DPG6b!J13,"")</f>
        <v/>
      </c>
      <c r="E140" s="3"/>
      <c r="F140" s="4"/>
      <c r="G140" s="4"/>
      <c r="H140" s="5" t="str">
        <f aca="false">IF(OR(F140="",NOT(ISNUMBER(D140))),"",IF(ABS(F140-D140)&lt;0.001,"Yes","No"))</f>
        <v/>
      </c>
      <c r="I140" s="3" t="s">
        <v>18</v>
      </c>
      <c r="J140" s="3" t="s">
        <v>19</v>
      </c>
      <c r="K140" s="3" t="s">
        <v>409</v>
      </c>
      <c r="L140" s="3" t="s">
        <v>216</v>
      </c>
      <c r="M140" s="3" t="s">
        <v>217</v>
      </c>
      <c r="N140" s="3" t="s">
        <v>410</v>
      </c>
      <c r="O140" s="3" t="s">
        <v>411</v>
      </c>
      <c r="P140" s="3" t="s">
        <v>25</v>
      </c>
    </row>
    <row r="141" customFormat="false" ht="471.6" hidden="false" customHeight="false" outlineLevel="0" collapsed="false">
      <c r="A141" s="3" t="s">
        <v>408</v>
      </c>
      <c r="B141" s="3" t="s">
        <v>26</v>
      </c>
      <c r="C141" s="3"/>
      <c r="D141" s="3" t="str">
        <f aca="false">IFERROR(DPG6b!J14,"")</f>
        <v/>
      </c>
      <c r="E141" s="3"/>
      <c r="F141" s="4"/>
      <c r="G141" s="4"/>
      <c r="H141" s="5" t="str">
        <f aca="false">IF(OR(F141="",NOT(ISNUMBER(D141))),"",IF(ABS(F141-D141)&lt;0.001,"Yes","No"))</f>
        <v/>
      </c>
      <c r="I141" s="3" t="s">
        <v>18</v>
      </c>
      <c r="J141" s="3" t="s">
        <v>19</v>
      </c>
      <c r="K141" s="3" t="s">
        <v>412</v>
      </c>
      <c r="L141" s="3" t="s">
        <v>413</v>
      </c>
      <c r="M141" s="3" t="s">
        <v>414</v>
      </c>
      <c r="N141" s="3" t="s">
        <v>415</v>
      </c>
      <c r="O141" s="3" t="s">
        <v>416</v>
      </c>
      <c r="P141" s="3" t="s">
        <v>25</v>
      </c>
    </row>
    <row r="142" customFormat="false" ht="169.4" hidden="false" customHeight="false" outlineLevel="0" collapsed="false">
      <c r="A142" s="3" t="s">
        <v>408</v>
      </c>
      <c r="B142" s="3" t="s">
        <v>32</v>
      </c>
      <c r="C142" s="3"/>
      <c r="D142" s="3" t="str">
        <f aca="false">IFERROR(DPG6b!J15,"")</f>
        <v/>
      </c>
      <c r="E142" s="3"/>
      <c r="F142" s="4"/>
      <c r="G142" s="4"/>
      <c r="H142" s="5" t="str">
        <f aca="false">IF(OR(F142="",NOT(ISNUMBER(D142))),"",IF(ABS(F142-D142)&lt;0.001,"Yes","No"))</f>
        <v/>
      </c>
      <c r="I142" s="3" t="s">
        <v>18</v>
      </c>
      <c r="J142" s="3" t="s">
        <v>44</v>
      </c>
      <c r="K142" s="3"/>
      <c r="L142" s="3"/>
      <c r="M142" s="3"/>
      <c r="N142" s="3"/>
      <c r="O142" s="3"/>
      <c r="P142" s="3" t="s">
        <v>417</v>
      </c>
    </row>
    <row r="143" customFormat="false" ht="169.4" hidden="false" customHeight="false" outlineLevel="0" collapsed="false">
      <c r="A143" s="3" t="s">
        <v>408</v>
      </c>
      <c r="B143" s="3" t="s">
        <v>38</v>
      </c>
      <c r="C143" s="3"/>
      <c r="D143" s="3" t="str">
        <f aca="false">IFERROR(DPG6b!J16,"")</f>
        <v/>
      </c>
      <c r="E143" s="3"/>
      <c r="F143" s="4"/>
      <c r="G143" s="4"/>
      <c r="H143" s="5" t="str">
        <f aca="false">IF(OR(F143="",NOT(ISNUMBER(D143))),"",IF(ABS(F143-D143)&lt;0.001,"Yes","No"))</f>
        <v/>
      </c>
      <c r="I143" s="3" t="s">
        <v>18</v>
      </c>
      <c r="J143" s="3" t="s">
        <v>44</v>
      </c>
      <c r="K143" s="3"/>
      <c r="L143" s="3"/>
      <c r="M143" s="3"/>
      <c r="N143" s="3"/>
      <c r="O143" s="3"/>
      <c r="P143" s="3" t="s">
        <v>418</v>
      </c>
    </row>
    <row r="144" customFormat="false" ht="147" hidden="false" customHeight="false" outlineLevel="0" collapsed="false">
      <c r="A144" s="3" t="s">
        <v>408</v>
      </c>
      <c r="B144" s="3" t="s">
        <v>43</v>
      </c>
      <c r="C144" s="3"/>
      <c r="D144" s="3" t="str">
        <f aca="false">IFERROR(DPG6b!J17,"")</f>
        <v/>
      </c>
      <c r="E144" s="3"/>
      <c r="F144" s="4"/>
      <c r="G144" s="4"/>
      <c r="H144" s="5" t="str">
        <f aca="false">IF(OR(F144="",NOT(ISNUMBER(D144))),"",IF(ABS(F144-D144)&lt;0.001,"Yes","No"))</f>
        <v/>
      </c>
      <c r="I144" s="3" t="s">
        <v>18</v>
      </c>
      <c r="J144" s="3" t="s">
        <v>44</v>
      </c>
      <c r="K144" s="3"/>
      <c r="L144" s="3"/>
      <c r="M144" s="3"/>
      <c r="N144" s="3"/>
      <c r="O144" s="3"/>
      <c r="P144" s="3" t="s">
        <v>419</v>
      </c>
    </row>
    <row r="145" customFormat="false" ht="135.8" hidden="false" customHeight="false" outlineLevel="0" collapsed="false">
      <c r="A145" s="3" t="s">
        <v>408</v>
      </c>
      <c r="B145" s="3" t="s">
        <v>46</v>
      </c>
      <c r="C145" s="3"/>
      <c r="D145" s="3" t="str">
        <f aca="false">IFERROR(DPG6b!J18,"")</f>
        <v/>
      </c>
      <c r="E145" s="3"/>
      <c r="F145" s="4"/>
      <c r="G145" s="4"/>
      <c r="H145" s="5" t="str">
        <f aca="false">IF(OR(F145="",NOT(ISNUMBER(D145))),"",IF(ABS(F145-D145)&lt;0.001,"Yes","No"))</f>
        <v/>
      </c>
      <c r="I145" s="3" t="s">
        <v>18</v>
      </c>
      <c r="J145" s="3" t="s">
        <v>44</v>
      </c>
      <c r="K145" s="3"/>
      <c r="L145" s="3"/>
      <c r="M145" s="3"/>
      <c r="N145" s="3"/>
      <c r="O145" s="3"/>
      <c r="P145" s="3" t="s">
        <v>420</v>
      </c>
    </row>
    <row r="146" customFormat="false" ht="505.2" hidden="false" customHeight="false" outlineLevel="0" collapsed="false">
      <c r="A146" s="3" t="s">
        <v>408</v>
      </c>
      <c r="B146" s="3" t="s">
        <v>48</v>
      </c>
      <c r="C146" s="3"/>
      <c r="D146" s="3" t="str">
        <f aca="false">IFERROR(DPG6b!J19,"")</f>
        <v/>
      </c>
      <c r="E146" s="3"/>
      <c r="F146" s="4"/>
      <c r="G146" s="4"/>
      <c r="H146" s="5" t="str">
        <f aca="false">IF(OR(F146="",NOT(ISNUMBER(D146))),"",IF(ABS(F146-D146)&lt;0.001,"Yes","No"))</f>
        <v/>
      </c>
      <c r="I146" s="3" t="s">
        <v>18</v>
      </c>
      <c r="J146" s="3" t="s">
        <v>19</v>
      </c>
      <c r="K146" s="3" t="s">
        <v>421</v>
      </c>
      <c r="L146" s="3" t="s">
        <v>260</v>
      </c>
      <c r="M146" s="3" t="s">
        <v>261</v>
      </c>
      <c r="N146" s="3" t="s">
        <v>422</v>
      </c>
      <c r="O146" s="3" t="s">
        <v>423</v>
      </c>
      <c r="P146" s="3" t="s">
        <v>25</v>
      </c>
    </row>
    <row r="147" customFormat="false" ht="494" hidden="false" customHeight="false" outlineLevel="0" collapsed="false">
      <c r="A147" s="3" t="s">
        <v>424</v>
      </c>
      <c r="B147" s="3" t="s">
        <v>17</v>
      </c>
      <c r="C147" s="3"/>
      <c r="D147" s="3" t="n">
        <f aca="false">IFERROR(DPG7a!J13,"")</f>
        <v>0</v>
      </c>
      <c r="E147" s="3"/>
      <c r="F147" s="4"/>
      <c r="G147" s="4"/>
      <c r="H147" s="5" t="str">
        <f aca="false">IF(OR(F147="",NOT(ISNUMBER(D147))),"",IF(ABS(F147-D147)&lt;0.001,"Yes","No"))</f>
        <v/>
      </c>
      <c r="I147" s="3" t="s">
        <v>18</v>
      </c>
      <c r="J147" s="3" t="s">
        <v>19</v>
      </c>
      <c r="K147" s="3" t="s">
        <v>425</v>
      </c>
      <c r="L147" s="3" t="s">
        <v>21</v>
      </c>
      <c r="M147" s="3" t="s">
        <v>22</v>
      </c>
      <c r="N147" s="3" t="s">
        <v>426</v>
      </c>
      <c r="O147" s="3" t="s">
        <v>427</v>
      </c>
      <c r="P147" s="3" t="s">
        <v>25</v>
      </c>
    </row>
    <row r="148" customFormat="false" ht="404.45" hidden="false" customHeight="false" outlineLevel="0" collapsed="false">
      <c r="A148" s="3" t="s">
        <v>424</v>
      </c>
      <c r="B148" s="3" t="s">
        <v>26</v>
      </c>
      <c r="C148" s="3"/>
      <c r="D148" s="3" t="n">
        <f aca="false">IFERROR(DPG7a!J14,"")</f>
        <v>2.5</v>
      </c>
      <c r="E148" s="3"/>
      <c r="F148" s="4"/>
      <c r="G148" s="4"/>
      <c r="H148" s="5" t="str">
        <f aca="false">IF(OR(F148="",NOT(ISNUMBER(D148))),"",IF(ABS(F148-D148)&lt;0.001,"Yes","No"))</f>
        <v/>
      </c>
      <c r="I148" s="3" t="s">
        <v>18</v>
      </c>
      <c r="J148" s="3" t="s">
        <v>19</v>
      </c>
      <c r="K148" s="3" t="s">
        <v>428</v>
      </c>
      <c r="L148" s="3" t="s">
        <v>75</v>
      </c>
      <c r="M148" s="3" t="s">
        <v>76</v>
      </c>
      <c r="N148" s="3" t="s">
        <v>429</v>
      </c>
      <c r="O148" s="3" t="s">
        <v>430</v>
      </c>
      <c r="P148" s="3" t="s">
        <v>25</v>
      </c>
    </row>
    <row r="149" customFormat="false" ht="561.15" hidden="false" customHeight="false" outlineLevel="0" collapsed="false">
      <c r="A149" s="3" t="s">
        <v>424</v>
      </c>
      <c r="B149" s="3" t="s">
        <v>38</v>
      </c>
      <c r="C149" s="3"/>
      <c r="D149" s="3" t="n">
        <f aca="false">IFERROR(DPG7a!J16,"")</f>
        <v>2.5</v>
      </c>
      <c r="E149" s="3"/>
      <c r="F149" s="4"/>
      <c r="G149" s="4"/>
      <c r="H149" s="5" t="str">
        <f aca="false">IF(OR(F149="",NOT(ISNUMBER(D149))),"",IF(ABS(F149-D149)&lt;0.001,"Yes","No"))</f>
        <v/>
      </c>
      <c r="I149" s="3" t="s">
        <v>18</v>
      </c>
      <c r="J149" s="3" t="s">
        <v>19</v>
      </c>
      <c r="K149" s="3" t="s">
        <v>431</v>
      </c>
      <c r="L149" s="3" t="s">
        <v>432</v>
      </c>
      <c r="M149" s="3" t="s">
        <v>76</v>
      </c>
      <c r="N149" s="3" t="s">
        <v>433</v>
      </c>
      <c r="O149" s="3" t="s">
        <v>434</v>
      </c>
      <c r="P149" s="3" t="s">
        <v>25</v>
      </c>
    </row>
    <row r="150" customFormat="false" ht="180.55" hidden="false" customHeight="false" outlineLevel="0" collapsed="false">
      <c r="A150" s="3" t="s">
        <v>424</v>
      </c>
      <c r="B150" s="3" t="s">
        <v>48</v>
      </c>
      <c r="C150" s="3"/>
      <c r="D150" s="3" t="str">
        <f aca="false">IFERROR(DPG7a!J19,"")</f>
        <v/>
      </c>
      <c r="E150" s="3"/>
      <c r="F150" s="4"/>
      <c r="G150" s="4"/>
      <c r="H150" s="5" t="str">
        <f aca="false">IF(OR(F150="",NOT(ISNUMBER(D150))),"",IF(ABS(F150-D150)&lt;0.001,"Yes","No"))</f>
        <v/>
      </c>
      <c r="I150" s="3" t="s">
        <v>18</v>
      </c>
      <c r="J150" s="3" t="s">
        <v>44</v>
      </c>
      <c r="K150" s="3"/>
      <c r="L150" s="3"/>
      <c r="M150" s="3"/>
      <c r="N150" s="3"/>
      <c r="O150" s="3"/>
      <c r="P150" s="3" t="s">
        <v>435</v>
      </c>
    </row>
    <row r="151" customFormat="false" ht="124.6" hidden="false" customHeight="false" outlineLevel="0" collapsed="false">
      <c r="A151" s="3" t="s">
        <v>436</v>
      </c>
      <c r="B151" s="3" t="s">
        <v>17</v>
      </c>
      <c r="C151" s="3"/>
      <c r="D151" s="3" t="n">
        <f aca="false">IFERROR(DPG7b!J13,"")</f>
        <v>2.5</v>
      </c>
      <c r="E151" s="3"/>
      <c r="F151" s="4"/>
      <c r="G151" s="4"/>
      <c r="H151" s="5" t="str">
        <f aca="false">IF(OR(F151="",NOT(ISNUMBER(D151))),"",IF(ABS(F151-D151)&lt;0.001,"Yes","No"))</f>
        <v/>
      </c>
      <c r="I151" s="3" t="s">
        <v>18</v>
      </c>
      <c r="J151" s="3" t="s">
        <v>44</v>
      </c>
      <c r="K151" s="3"/>
      <c r="L151" s="3"/>
      <c r="M151" s="3"/>
      <c r="N151" s="3"/>
      <c r="O151" s="3"/>
      <c r="P151" s="3" t="s">
        <v>437</v>
      </c>
    </row>
    <row r="152" customFormat="false" ht="147" hidden="false" customHeight="false" outlineLevel="0" collapsed="false">
      <c r="A152" s="3" t="s">
        <v>436</v>
      </c>
      <c r="B152" s="3" t="s">
        <v>26</v>
      </c>
      <c r="C152" s="3"/>
      <c r="D152" s="3" t="str">
        <f aca="false">IFERROR(DPG7b!J14,"")</f>
        <v/>
      </c>
      <c r="E152" s="3"/>
      <c r="F152" s="4"/>
      <c r="G152" s="4"/>
      <c r="H152" s="5" t="str">
        <f aca="false">IF(OR(F152="",NOT(ISNUMBER(D152))),"",IF(ABS(F152-D152)&lt;0.001,"Yes","No"))</f>
        <v/>
      </c>
      <c r="I152" s="3" t="s">
        <v>18</v>
      </c>
      <c r="J152" s="3" t="s">
        <v>44</v>
      </c>
      <c r="K152" s="3"/>
      <c r="L152" s="3"/>
      <c r="M152" s="3"/>
      <c r="N152" s="3"/>
      <c r="O152" s="3"/>
      <c r="P152" s="3" t="s">
        <v>438</v>
      </c>
    </row>
    <row r="153" customFormat="false" ht="124.6" hidden="false" customHeight="false" outlineLevel="0" collapsed="false">
      <c r="A153" s="3" t="s">
        <v>436</v>
      </c>
      <c r="B153" s="3" t="s">
        <v>38</v>
      </c>
      <c r="C153" s="3"/>
      <c r="D153" s="3" t="n">
        <f aca="false">IFERROR(DPG7b!J16,"")</f>
        <v>2.5</v>
      </c>
      <c r="E153" s="3"/>
      <c r="F153" s="4"/>
      <c r="G153" s="4"/>
      <c r="H153" s="5" t="str">
        <f aca="false">IF(OR(F153="",NOT(ISNUMBER(D153))),"",IF(ABS(F153-D153)&lt;0.001,"Yes","No"))</f>
        <v/>
      </c>
      <c r="I153" s="3" t="s">
        <v>18</v>
      </c>
      <c r="J153" s="3" t="s">
        <v>44</v>
      </c>
      <c r="K153" s="3"/>
      <c r="L153" s="3"/>
      <c r="M153" s="3"/>
      <c r="N153" s="3"/>
      <c r="O153" s="3"/>
      <c r="P153" s="3" t="s">
        <v>439</v>
      </c>
    </row>
    <row r="154" customFormat="false" ht="505.2" hidden="false" customHeight="false" outlineLevel="0" collapsed="false">
      <c r="A154" s="3" t="s">
        <v>436</v>
      </c>
      <c r="B154" s="3" t="s">
        <v>48</v>
      </c>
      <c r="C154" s="3"/>
      <c r="D154" s="3" t="n">
        <f aca="false">IFERROR(DPG7b!J19,"")</f>
        <v>2.5</v>
      </c>
      <c r="E154" s="3"/>
      <c r="F154" s="4"/>
      <c r="G154" s="4"/>
      <c r="H154" s="5" t="str">
        <f aca="false">IF(OR(F154="",NOT(ISNUMBER(D154))),"",IF(ABS(F154-D154)&lt;0.001,"Yes","No"))</f>
        <v/>
      </c>
      <c r="I154" s="3" t="s">
        <v>112</v>
      </c>
      <c r="J154" s="3" t="s">
        <v>19</v>
      </c>
      <c r="K154" s="3" t="s">
        <v>440</v>
      </c>
      <c r="L154" s="3" t="s">
        <v>441</v>
      </c>
      <c r="M154" s="3" t="s">
        <v>442</v>
      </c>
      <c r="N154" s="3" t="s">
        <v>443</v>
      </c>
      <c r="O154" s="3" t="s">
        <v>444</v>
      </c>
      <c r="P154" s="3"/>
    </row>
    <row r="155" customFormat="false" ht="516.4" hidden="false" customHeight="false" outlineLevel="0" collapsed="false">
      <c r="A155" s="3" t="s">
        <v>445</v>
      </c>
      <c r="B155" s="3" t="s">
        <v>17</v>
      </c>
      <c r="C155" s="3"/>
      <c r="D155" s="3" t="str">
        <f aca="false">IFERROR('SC1'!J13,"")</f>
        <v/>
      </c>
      <c r="E155" s="3"/>
      <c r="F155" s="4"/>
      <c r="G155" s="4"/>
      <c r="H155" s="5" t="str">
        <f aca="false">IF(OR(F155="",NOT(ISNUMBER(D155))),"",IF(ABS(F155-D155)&lt;0.001,"Yes","No"))</f>
        <v/>
      </c>
      <c r="I155" s="3" t="s">
        <v>18</v>
      </c>
      <c r="J155" s="3" t="s">
        <v>19</v>
      </c>
      <c r="K155" s="3" t="s">
        <v>446</v>
      </c>
      <c r="L155" s="3" t="s">
        <v>266</v>
      </c>
      <c r="M155" s="3" t="s">
        <v>267</v>
      </c>
      <c r="N155" s="3" t="s">
        <v>447</v>
      </c>
      <c r="O155" s="3" t="s">
        <v>448</v>
      </c>
      <c r="P155" s="3" t="s">
        <v>25</v>
      </c>
    </row>
    <row r="156" customFormat="false" ht="135.8" hidden="false" customHeight="false" outlineLevel="0" collapsed="false">
      <c r="A156" s="3" t="s">
        <v>445</v>
      </c>
      <c r="B156" s="3" t="s">
        <v>26</v>
      </c>
      <c r="C156" s="3"/>
      <c r="D156" s="3" t="str">
        <f aca="false">IFERROR('SC1'!J14,"")</f>
        <v/>
      </c>
      <c r="E156" s="3"/>
      <c r="F156" s="4"/>
      <c r="G156" s="4"/>
      <c r="H156" s="5" t="str">
        <f aca="false">IF(OR(F156="",NOT(ISNUMBER(D156))),"",IF(ABS(F156-D156)&lt;0.001,"Yes","No"))</f>
        <v/>
      </c>
      <c r="I156" s="3" t="s">
        <v>18</v>
      </c>
      <c r="J156" s="3" t="s">
        <v>44</v>
      </c>
      <c r="K156" s="3"/>
      <c r="L156" s="3"/>
      <c r="M156" s="3"/>
      <c r="N156" s="3"/>
      <c r="O156" s="3"/>
      <c r="P156" s="3" t="s">
        <v>449</v>
      </c>
    </row>
    <row r="157" customFormat="false" ht="135.8" hidden="false" customHeight="false" outlineLevel="0" collapsed="false">
      <c r="A157" s="3" t="s">
        <v>445</v>
      </c>
      <c r="B157" s="3" t="s">
        <v>32</v>
      </c>
      <c r="C157" s="3"/>
      <c r="D157" s="3" t="str">
        <f aca="false">IFERROR('SC1'!J15,"")</f>
        <v/>
      </c>
      <c r="E157" s="3"/>
      <c r="F157" s="4"/>
      <c r="G157" s="4"/>
      <c r="H157" s="5" t="str">
        <f aca="false">IF(OR(F157="",NOT(ISNUMBER(D157))),"",IF(ABS(F157-D157)&lt;0.001,"Yes","No"))</f>
        <v/>
      </c>
      <c r="I157" s="3" t="s">
        <v>18</v>
      </c>
      <c r="J157" s="3" t="s">
        <v>44</v>
      </c>
      <c r="K157" s="3"/>
      <c r="L157" s="3"/>
      <c r="M157" s="3"/>
      <c r="N157" s="3"/>
      <c r="O157" s="3"/>
      <c r="P157" s="3" t="s">
        <v>450</v>
      </c>
    </row>
    <row r="158" customFormat="false" ht="158.2" hidden="false" customHeight="false" outlineLevel="0" collapsed="false">
      <c r="A158" s="3" t="s">
        <v>451</v>
      </c>
      <c r="B158" s="3" t="s">
        <v>17</v>
      </c>
      <c r="C158" s="3"/>
      <c r="D158" s="3" t="str">
        <f aca="false">IFERROR('SC2'!J13,"")</f>
        <v/>
      </c>
      <c r="E158" s="3"/>
      <c r="F158" s="4"/>
      <c r="G158" s="4"/>
      <c r="H158" s="5" t="str">
        <f aca="false">IF(OR(F158="",NOT(ISNUMBER(D158))),"",IF(ABS(F158-D158)&lt;0.001,"Yes","No"))</f>
        <v/>
      </c>
      <c r="I158" s="3" t="s">
        <v>18</v>
      </c>
      <c r="J158" s="3" t="s">
        <v>44</v>
      </c>
      <c r="K158" s="3"/>
      <c r="L158" s="3"/>
      <c r="M158" s="3"/>
      <c r="N158" s="3"/>
      <c r="O158" s="3"/>
      <c r="P158" s="3" t="s">
        <v>452</v>
      </c>
    </row>
    <row r="159" customFormat="false" ht="169.4" hidden="false" customHeight="false" outlineLevel="0" collapsed="false">
      <c r="A159" s="3" t="s">
        <v>451</v>
      </c>
      <c r="B159" s="3" t="s">
        <v>26</v>
      </c>
      <c r="C159" s="3"/>
      <c r="D159" s="3" t="str">
        <f aca="false">IFERROR('SC2'!J14,"")</f>
        <v/>
      </c>
      <c r="E159" s="3"/>
      <c r="F159" s="4"/>
      <c r="G159" s="4"/>
      <c r="H159" s="5" t="str">
        <f aca="false">IF(OR(F159="",NOT(ISNUMBER(D159))),"",IF(ABS(F159-D159)&lt;0.001,"Yes","No"))</f>
        <v/>
      </c>
      <c r="I159" s="3" t="s">
        <v>18</v>
      </c>
      <c r="J159" s="3" t="s">
        <v>44</v>
      </c>
      <c r="K159" s="3"/>
      <c r="L159" s="3"/>
      <c r="M159" s="3"/>
      <c r="N159" s="3"/>
      <c r="O159" s="3"/>
      <c r="P159" s="3" t="s">
        <v>453</v>
      </c>
    </row>
    <row r="160" customFormat="false" ht="180.55" hidden="false" customHeight="false" outlineLevel="0" collapsed="false">
      <c r="A160" s="3" t="s">
        <v>451</v>
      </c>
      <c r="B160" s="3" t="s">
        <v>32</v>
      </c>
      <c r="C160" s="3"/>
      <c r="D160" s="3" t="str">
        <f aca="false">IFERROR('SC2'!J15,"")</f>
        <v/>
      </c>
      <c r="E160" s="3"/>
      <c r="F160" s="4"/>
      <c r="G160" s="4"/>
      <c r="H160" s="5" t="str">
        <f aca="false">IF(OR(F160="",NOT(ISNUMBER(D160))),"",IF(ABS(F160-D160)&lt;0.001,"Yes","No"))</f>
        <v/>
      </c>
      <c r="I160" s="3" t="s">
        <v>18</v>
      </c>
      <c r="J160" s="3" t="s">
        <v>44</v>
      </c>
      <c r="K160" s="3"/>
      <c r="L160" s="3"/>
      <c r="M160" s="3"/>
      <c r="N160" s="3"/>
      <c r="O160" s="3"/>
      <c r="P160" s="3" t="s">
        <v>454</v>
      </c>
    </row>
    <row r="161" customFormat="false" ht="158.2" hidden="false" customHeight="false" outlineLevel="0" collapsed="false">
      <c r="A161" s="3" t="s">
        <v>451</v>
      </c>
      <c r="B161" s="3" t="s">
        <v>38</v>
      </c>
      <c r="C161" s="3"/>
      <c r="D161" s="3" t="str">
        <f aca="false">IFERROR('SC2'!J16,"")</f>
        <v/>
      </c>
      <c r="E161" s="3"/>
      <c r="F161" s="4"/>
      <c r="G161" s="4"/>
      <c r="H161" s="5" t="str">
        <f aca="false">IF(OR(F161="",NOT(ISNUMBER(D161))),"",IF(ABS(F161-D161)&lt;0.001,"Yes","No"))</f>
        <v/>
      </c>
      <c r="I161" s="3" t="s">
        <v>18</v>
      </c>
      <c r="J161" s="3" t="s">
        <v>44</v>
      </c>
      <c r="K161" s="3"/>
      <c r="L161" s="3"/>
      <c r="M161" s="3"/>
      <c r="N161" s="3"/>
      <c r="O161" s="3"/>
      <c r="P161" s="3" t="s">
        <v>455</v>
      </c>
    </row>
    <row r="162" customFormat="false" ht="415.65" hidden="false" customHeight="false" outlineLevel="0" collapsed="false">
      <c r="A162" s="3" t="s">
        <v>451</v>
      </c>
      <c r="B162" s="3" t="s">
        <v>48</v>
      </c>
      <c r="C162" s="3"/>
      <c r="D162" s="3" t="str">
        <f aca="false">IFERROR('SC2'!J19,"")</f>
        <v/>
      </c>
      <c r="E162" s="3"/>
      <c r="F162" s="4"/>
      <c r="G162" s="4"/>
      <c r="H162" s="5" t="str">
        <f aca="false">IF(OR(F162="",NOT(ISNUMBER(D162))),"",IF(ABS(F162-D162)&lt;0.001,"Yes","No"))</f>
        <v/>
      </c>
      <c r="I162" s="3" t="s">
        <v>18</v>
      </c>
      <c r="J162" s="3" t="s">
        <v>19</v>
      </c>
      <c r="K162" s="3" t="s">
        <v>456</v>
      </c>
      <c r="L162" s="3" t="s">
        <v>457</v>
      </c>
      <c r="M162" s="3" t="s">
        <v>458</v>
      </c>
      <c r="N162" s="3" t="s">
        <v>459</v>
      </c>
      <c r="O162" s="3" t="s">
        <v>460</v>
      </c>
      <c r="P162" s="3" t="s">
        <v>25</v>
      </c>
    </row>
    <row r="163" customFormat="false" ht="258.95" hidden="false" customHeight="false" outlineLevel="0" collapsed="false">
      <c r="A163" s="3" t="s">
        <v>461</v>
      </c>
      <c r="B163" s="3" t="s">
        <v>17</v>
      </c>
      <c r="C163" s="3"/>
      <c r="D163" s="3" t="str">
        <f aca="false">IFERROR('SC3'!J13,"")</f>
        <v/>
      </c>
      <c r="E163" s="3"/>
      <c r="F163" s="4"/>
      <c r="G163" s="4"/>
      <c r="H163" s="5" t="str">
        <f aca="false">IF(OR(F163="",NOT(ISNUMBER(D163))),"",IF(ABS(F163-D163)&lt;0.001,"Yes","No"))</f>
        <v/>
      </c>
      <c r="I163" s="3" t="s">
        <v>18</v>
      </c>
      <c r="J163" s="3" t="s">
        <v>19</v>
      </c>
      <c r="K163" s="3" t="s">
        <v>462</v>
      </c>
      <c r="L163" s="3" t="s">
        <v>266</v>
      </c>
      <c r="M163" s="3" t="s">
        <v>267</v>
      </c>
      <c r="N163" s="3" t="s">
        <v>463</v>
      </c>
      <c r="O163" s="3" t="s">
        <v>464</v>
      </c>
      <c r="P163" s="3" t="s">
        <v>25</v>
      </c>
    </row>
    <row r="164" customFormat="false" ht="124.6" hidden="false" customHeight="false" outlineLevel="0" collapsed="false">
      <c r="A164" s="3" t="s">
        <v>461</v>
      </c>
      <c r="B164" s="3" t="s">
        <v>26</v>
      </c>
      <c r="C164" s="3"/>
      <c r="D164" s="3" t="str">
        <f aca="false">IFERROR('SC3'!J14,"")</f>
        <v/>
      </c>
      <c r="E164" s="3"/>
      <c r="F164" s="4"/>
      <c r="G164" s="4"/>
      <c r="H164" s="5" t="str">
        <f aca="false">IF(OR(F164="",NOT(ISNUMBER(D164))),"",IF(ABS(F164-D164)&lt;0.001,"Yes","No"))</f>
        <v/>
      </c>
      <c r="I164" s="3" t="s">
        <v>18</v>
      </c>
      <c r="J164" s="3" t="s">
        <v>44</v>
      </c>
      <c r="K164" s="3"/>
      <c r="L164" s="3"/>
      <c r="M164" s="3"/>
      <c r="N164" s="3"/>
      <c r="O164" s="3"/>
      <c r="P164" s="3" t="s">
        <v>465</v>
      </c>
    </row>
    <row r="165" customFormat="false" ht="135.8" hidden="false" customHeight="false" outlineLevel="0" collapsed="false">
      <c r="A165" s="3" t="s">
        <v>461</v>
      </c>
      <c r="B165" s="3" t="s">
        <v>32</v>
      </c>
      <c r="C165" s="3"/>
      <c r="D165" s="3" t="str">
        <f aca="false">IFERROR('SC3'!J15,"")</f>
        <v/>
      </c>
      <c r="E165" s="3"/>
      <c r="F165" s="4"/>
      <c r="G165" s="4"/>
      <c r="H165" s="5" t="str">
        <f aca="false">IF(OR(F165="",NOT(ISNUMBER(D165))),"",IF(ABS(F165-D165)&lt;0.001,"Yes","No"))</f>
        <v/>
      </c>
      <c r="I165" s="3" t="s">
        <v>18</v>
      </c>
      <c r="J165" s="3" t="s">
        <v>44</v>
      </c>
      <c r="K165" s="3"/>
      <c r="L165" s="3"/>
      <c r="M165" s="3"/>
      <c r="N165" s="3"/>
      <c r="O165" s="3"/>
      <c r="P165" s="3" t="s">
        <v>466</v>
      </c>
    </row>
    <row r="166" customFormat="false" ht="135.8" hidden="false" customHeight="false" outlineLevel="0" collapsed="false">
      <c r="A166" s="3" t="s">
        <v>461</v>
      </c>
      <c r="B166" s="3" t="s">
        <v>38</v>
      </c>
      <c r="C166" s="3"/>
      <c r="D166" s="3" t="str">
        <f aca="false">IFERROR('SC3'!J16,"")</f>
        <v/>
      </c>
      <c r="E166" s="3"/>
      <c r="F166" s="4"/>
      <c r="G166" s="4"/>
      <c r="H166" s="5" t="str">
        <f aca="false">IF(OR(F166="",NOT(ISNUMBER(D166))),"",IF(ABS(F166-D166)&lt;0.001,"Yes","No"))</f>
        <v/>
      </c>
      <c r="I166" s="3" t="s">
        <v>18</v>
      </c>
      <c r="J166" s="3" t="s">
        <v>44</v>
      </c>
      <c r="K166" s="3"/>
      <c r="L166" s="3"/>
      <c r="M166" s="3"/>
      <c r="N166" s="3"/>
      <c r="O166" s="3"/>
      <c r="P166" s="3" t="s">
        <v>467</v>
      </c>
    </row>
    <row r="167" customFormat="false" ht="135.8" hidden="false" customHeight="false" outlineLevel="0" collapsed="false">
      <c r="A167" s="3" t="s">
        <v>461</v>
      </c>
      <c r="B167" s="3" t="s">
        <v>43</v>
      </c>
      <c r="C167" s="3"/>
      <c r="D167" s="3" t="str">
        <f aca="false">IFERROR('SC3'!J17,"")</f>
        <v/>
      </c>
      <c r="E167" s="3"/>
      <c r="F167" s="4"/>
      <c r="G167" s="4"/>
      <c r="H167" s="5" t="str">
        <f aca="false">IF(OR(F167="",NOT(ISNUMBER(D167))),"",IF(ABS(F167-D167)&lt;0.001,"Yes","No"))</f>
        <v/>
      </c>
      <c r="I167" s="3" t="s">
        <v>18</v>
      </c>
      <c r="J167" s="3" t="s">
        <v>44</v>
      </c>
      <c r="K167" s="3"/>
      <c r="L167" s="3"/>
      <c r="M167" s="3"/>
      <c r="N167" s="3"/>
      <c r="O167" s="3"/>
      <c r="P167" s="3" t="s">
        <v>468</v>
      </c>
    </row>
    <row r="168" customFormat="false" ht="91" hidden="false" customHeight="false" outlineLevel="0" collapsed="false">
      <c r="A168" s="3" t="s">
        <v>461</v>
      </c>
      <c r="B168" s="3" t="s">
        <v>46</v>
      </c>
      <c r="C168" s="3"/>
      <c r="D168" s="3" t="str">
        <f aca="false">IFERROR('SC3'!J18,"")</f>
        <v/>
      </c>
      <c r="E168" s="3"/>
      <c r="F168" s="4"/>
      <c r="G168" s="4"/>
      <c r="H168" s="5" t="str">
        <f aca="false">IF(OR(F168="",NOT(ISNUMBER(D168))),"",IF(ABS(F168-D168)&lt;0.001,"Yes","No"))</f>
        <v/>
      </c>
      <c r="I168" s="3" t="s">
        <v>18</v>
      </c>
      <c r="J168" s="3" t="s">
        <v>44</v>
      </c>
      <c r="K168" s="3"/>
      <c r="L168" s="3"/>
      <c r="M168" s="3"/>
      <c r="N168" s="3"/>
      <c r="O168" s="3"/>
      <c r="P168" s="3" t="s">
        <v>469</v>
      </c>
    </row>
    <row r="169" customFormat="false" ht="135.8" hidden="false" customHeight="false" outlineLevel="0" collapsed="false">
      <c r="A169" s="3" t="s">
        <v>461</v>
      </c>
      <c r="B169" s="3" t="s">
        <v>48</v>
      </c>
      <c r="C169" s="3"/>
      <c r="D169" s="3" t="str">
        <f aca="false">IFERROR('SC3'!J19,"")</f>
        <v/>
      </c>
      <c r="E169" s="3"/>
      <c r="F169" s="4"/>
      <c r="G169" s="4"/>
      <c r="H169" s="5" t="str">
        <f aca="false">IF(OR(F169="",NOT(ISNUMBER(D169))),"",IF(ABS(F169-D169)&lt;0.001,"Yes","No"))</f>
        <v/>
      </c>
      <c r="I169" s="3" t="s">
        <v>18</v>
      </c>
      <c r="J169" s="3" t="s">
        <v>44</v>
      </c>
      <c r="K169" s="3"/>
      <c r="L169" s="3"/>
      <c r="M169" s="3"/>
      <c r="N169" s="3"/>
      <c r="O169" s="3"/>
      <c r="P169" s="3" t="s">
        <v>470</v>
      </c>
    </row>
    <row r="170" customFormat="false" ht="303.7" hidden="false" customHeight="false" outlineLevel="0" collapsed="false">
      <c r="A170" s="3" t="s">
        <v>471</v>
      </c>
      <c r="B170" s="3" t="s">
        <v>17</v>
      </c>
      <c r="C170" s="3"/>
      <c r="D170" s="3" t="n">
        <f aca="false">IFERROR(SC4a!J13,"")</f>
        <v>0</v>
      </c>
      <c r="E170" s="3"/>
      <c r="F170" s="4"/>
      <c r="G170" s="4"/>
      <c r="H170" s="5" t="str">
        <f aca="false">IF(OR(F170="",NOT(ISNUMBER(D170))),"",IF(ABS(F170-D170)&lt;0.001,"Yes","No"))</f>
        <v/>
      </c>
      <c r="I170" s="3" t="s">
        <v>18</v>
      </c>
      <c r="J170" s="3" t="s">
        <v>19</v>
      </c>
      <c r="K170" s="3" t="s">
        <v>472</v>
      </c>
      <c r="L170" s="3" t="s">
        <v>21</v>
      </c>
      <c r="M170" s="3" t="s">
        <v>22</v>
      </c>
      <c r="N170" s="3" t="s">
        <v>473</v>
      </c>
      <c r="O170" s="3" t="s">
        <v>474</v>
      </c>
      <c r="P170" s="3" t="s">
        <v>25</v>
      </c>
    </row>
    <row r="171" customFormat="false" ht="516.4" hidden="false" customHeight="false" outlineLevel="0" collapsed="false">
      <c r="A171" s="3" t="s">
        <v>471</v>
      </c>
      <c r="B171" s="3" t="s">
        <v>26</v>
      </c>
      <c r="C171" s="3"/>
      <c r="D171" s="3" t="n">
        <f aca="false">IFERROR(SC4a!J14,"")</f>
        <v>0</v>
      </c>
      <c r="E171" s="3"/>
      <c r="F171" s="4"/>
      <c r="G171" s="4"/>
      <c r="H171" s="5" t="str">
        <f aca="false">IF(OR(F171="",NOT(ISNUMBER(D171))),"",IF(ABS(F171-D171)&lt;0.001,"Yes","No"))</f>
        <v/>
      </c>
      <c r="I171" s="3" t="s">
        <v>18</v>
      </c>
      <c r="J171" s="3" t="s">
        <v>19</v>
      </c>
      <c r="K171" s="3" t="s">
        <v>475</v>
      </c>
      <c r="L171" s="3" t="s">
        <v>145</v>
      </c>
      <c r="M171" s="3" t="s">
        <v>146</v>
      </c>
      <c r="N171" s="3" t="s">
        <v>476</v>
      </c>
      <c r="O171" s="3" t="s">
        <v>477</v>
      </c>
      <c r="P171" s="3" t="s">
        <v>25</v>
      </c>
    </row>
    <row r="172" customFormat="false" ht="303.7" hidden="false" customHeight="false" outlineLevel="0" collapsed="false">
      <c r="A172" s="3" t="s">
        <v>471</v>
      </c>
      <c r="B172" s="3" t="s">
        <v>32</v>
      </c>
      <c r="C172" s="3"/>
      <c r="D172" s="3" t="n">
        <f aca="false">IFERROR(SC4a!J15,"")</f>
        <v>0</v>
      </c>
      <c r="E172" s="3"/>
      <c r="F172" s="4"/>
      <c r="G172" s="4"/>
      <c r="H172" s="5" t="str">
        <f aca="false">IF(OR(F172="",NOT(ISNUMBER(D172))),"",IF(ABS(F172-D172)&lt;0.001,"Yes","No"))</f>
        <v/>
      </c>
      <c r="I172" s="3" t="s">
        <v>18</v>
      </c>
      <c r="J172" s="3" t="s">
        <v>19</v>
      </c>
      <c r="K172" s="3" t="s">
        <v>478</v>
      </c>
      <c r="L172" s="3" t="s">
        <v>34</v>
      </c>
      <c r="M172" s="3" t="s">
        <v>35</v>
      </c>
      <c r="N172" s="3" t="s">
        <v>479</v>
      </c>
      <c r="O172" s="3" t="s">
        <v>480</v>
      </c>
      <c r="P172" s="3" t="s">
        <v>25</v>
      </c>
    </row>
    <row r="173" customFormat="false" ht="471.6" hidden="false" customHeight="false" outlineLevel="0" collapsed="false">
      <c r="A173" s="3" t="s">
        <v>471</v>
      </c>
      <c r="B173" s="3" t="s">
        <v>38</v>
      </c>
      <c r="C173" s="3"/>
      <c r="D173" s="3" t="n">
        <f aca="false">IFERROR(SC4a!J16,"")</f>
        <v>0</v>
      </c>
      <c r="E173" s="3"/>
      <c r="F173" s="4"/>
      <c r="G173" s="4"/>
      <c r="H173" s="5" t="str">
        <f aca="false">IF(OR(F173="",NOT(ISNUMBER(D173))),"",IF(ABS(F173-D173)&lt;0.001,"Yes","No"))</f>
        <v/>
      </c>
      <c r="I173" s="3" t="s">
        <v>18</v>
      </c>
      <c r="J173" s="3" t="s">
        <v>19</v>
      </c>
      <c r="K173" s="3" t="s">
        <v>481</v>
      </c>
      <c r="L173" s="3" t="s">
        <v>482</v>
      </c>
      <c r="M173" s="3" t="s">
        <v>483</v>
      </c>
      <c r="N173" s="3" t="s">
        <v>484</v>
      </c>
      <c r="O173" s="3" t="s">
        <v>485</v>
      </c>
      <c r="P173" s="3" t="s">
        <v>25</v>
      </c>
    </row>
    <row r="174" customFormat="false" ht="124.6" hidden="false" customHeight="false" outlineLevel="0" collapsed="false">
      <c r="A174" s="3" t="s">
        <v>471</v>
      </c>
      <c r="B174" s="3" t="s">
        <v>43</v>
      </c>
      <c r="C174" s="3"/>
      <c r="D174" s="3" t="n">
        <f aca="false">IFERROR(SC4a!J17,"")</f>
        <v>0</v>
      </c>
      <c r="E174" s="3"/>
      <c r="F174" s="4"/>
      <c r="G174" s="4"/>
      <c r="H174" s="5" t="str">
        <f aca="false">IF(OR(F174="",NOT(ISNUMBER(D174))),"",IF(ABS(F174-D174)&lt;0.001,"Yes","No"))</f>
        <v/>
      </c>
      <c r="I174" s="3" t="s">
        <v>18</v>
      </c>
      <c r="J174" s="3" t="s">
        <v>44</v>
      </c>
      <c r="K174" s="3"/>
      <c r="L174" s="3"/>
      <c r="M174" s="3"/>
      <c r="N174" s="3"/>
      <c r="O174" s="3"/>
      <c r="P174" s="3" t="s">
        <v>486</v>
      </c>
    </row>
    <row r="175" customFormat="false" ht="382.05" hidden="false" customHeight="false" outlineLevel="0" collapsed="false">
      <c r="A175" s="3" t="s">
        <v>471</v>
      </c>
      <c r="B175" s="3" t="s">
        <v>46</v>
      </c>
      <c r="C175" s="3"/>
      <c r="D175" s="3" t="str">
        <f aca="false">IFERROR(SC4a!J18,"")</f>
        <v/>
      </c>
      <c r="E175" s="3"/>
      <c r="F175" s="4"/>
      <c r="G175" s="4"/>
      <c r="H175" s="5" t="str">
        <f aca="false">IF(OR(F175="",NOT(ISNUMBER(D175))),"",IF(ABS(F175-D175)&lt;0.001,"Yes","No"))</f>
        <v/>
      </c>
      <c r="I175" s="3" t="s">
        <v>18</v>
      </c>
      <c r="J175" s="3" t="s">
        <v>19</v>
      </c>
      <c r="K175" s="3" t="s">
        <v>487</v>
      </c>
      <c r="L175" s="3" t="s">
        <v>209</v>
      </c>
      <c r="M175" s="3" t="s">
        <v>210</v>
      </c>
      <c r="N175" s="3" t="s">
        <v>488</v>
      </c>
      <c r="O175" s="3" t="s">
        <v>489</v>
      </c>
      <c r="P175" s="3" t="s">
        <v>25</v>
      </c>
    </row>
    <row r="176" customFormat="false" ht="147" hidden="false" customHeight="false" outlineLevel="0" collapsed="false">
      <c r="A176" s="3" t="s">
        <v>471</v>
      </c>
      <c r="B176" s="3" t="s">
        <v>48</v>
      </c>
      <c r="C176" s="3"/>
      <c r="D176" s="3" t="str">
        <f aca="false">IFERROR(SC4a!J19,"")</f>
        <v/>
      </c>
      <c r="E176" s="3"/>
      <c r="F176" s="4"/>
      <c r="G176" s="4"/>
      <c r="H176" s="5" t="str">
        <f aca="false">IF(OR(F176="",NOT(ISNUMBER(D176))),"",IF(ABS(F176-D176)&lt;0.001,"Yes","No"))</f>
        <v/>
      </c>
      <c r="I176" s="3" t="s">
        <v>18</v>
      </c>
      <c r="J176" s="3" t="s">
        <v>44</v>
      </c>
      <c r="K176" s="3"/>
      <c r="L176" s="3"/>
      <c r="M176" s="3"/>
      <c r="N176" s="3"/>
      <c r="O176" s="3"/>
      <c r="P176" s="3" t="s">
        <v>490</v>
      </c>
    </row>
    <row r="177" customFormat="false" ht="91" hidden="false" customHeight="false" outlineLevel="0" collapsed="false">
      <c r="A177" s="3" t="s">
        <v>491</v>
      </c>
      <c r="B177" s="3" t="s">
        <v>17</v>
      </c>
      <c r="C177" s="3"/>
      <c r="D177" s="3" t="str">
        <f aca="false">IFERROR(SC4b!J13,"")</f>
        <v/>
      </c>
      <c r="E177" s="3"/>
      <c r="F177" s="4"/>
      <c r="G177" s="4"/>
      <c r="H177" s="5" t="str">
        <f aca="false">IF(OR(F177="",NOT(ISNUMBER(D177))),"",IF(ABS(F177-D177)&lt;0.001,"Yes","No"))</f>
        <v/>
      </c>
      <c r="I177" s="3" t="s">
        <v>18</v>
      </c>
      <c r="J177" s="3" t="s">
        <v>44</v>
      </c>
      <c r="K177" s="3"/>
      <c r="L177" s="3"/>
      <c r="M177" s="3"/>
      <c r="N177" s="3"/>
      <c r="O177" s="3"/>
      <c r="P177" s="3" t="s">
        <v>492</v>
      </c>
    </row>
    <row r="178" customFormat="false" ht="102.2" hidden="false" customHeight="false" outlineLevel="0" collapsed="false">
      <c r="A178" s="3" t="s">
        <v>491</v>
      </c>
      <c r="B178" s="3" t="s">
        <v>26</v>
      </c>
      <c r="C178" s="3"/>
      <c r="D178" s="3" t="str">
        <f aca="false">IFERROR(SC4b!J14,"")</f>
        <v/>
      </c>
      <c r="E178" s="3"/>
      <c r="F178" s="4"/>
      <c r="G178" s="4"/>
      <c r="H178" s="5" t="str">
        <f aca="false">IF(OR(F178="",NOT(ISNUMBER(D178))),"",IF(ABS(F178-D178)&lt;0.001,"Yes","No"))</f>
        <v/>
      </c>
      <c r="I178" s="3" t="s">
        <v>18</v>
      </c>
      <c r="J178" s="3" t="s">
        <v>44</v>
      </c>
      <c r="K178" s="3"/>
      <c r="L178" s="3"/>
      <c r="M178" s="3"/>
      <c r="N178" s="3"/>
      <c r="O178" s="3"/>
      <c r="P178" s="3" t="s">
        <v>493</v>
      </c>
    </row>
    <row r="179" customFormat="false" ht="113.4" hidden="false" customHeight="false" outlineLevel="0" collapsed="false">
      <c r="A179" s="3" t="s">
        <v>491</v>
      </c>
      <c r="B179" s="3" t="s">
        <v>32</v>
      </c>
      <c r="C179" s="3"/>
      <c r="D179" s="3" t="str">
        <f aca="false">IFERROR(SC4b!J15,"")</f>
        <v/>
      </c>
      <c r="E179" s="3"/>
      <c r="F179" s="4"/>
      <c r="G179" s="4"/>
      <c r="H179" s="5" t="str">
        <f aca="false">IF(OR(F179="",NOT(ISNUMBER(D179))),"",IF(ABS(F179-D179)&lt;0.001,"Yes","No"))</f>
        <v/>
      </c>
      <c r="I179" s="3" t="s">
        <v>18</v>
      </c>
      <c r="J179" s="3" t="s">
        <v>44</v>
      </c>
      <c r="K179" s="3"/>
      <c r="L179" s="3"/>
      <c r="M179" s="3"/>
      <c r="N179" s="3"/>
      <c r="O179" s="3"/>
      <c r="P179" s="3" t="s">
        <v>494</v>
      </c>
    </row>
    <row r="180" customFormat="false" ht="124.6" hidden="false" customHeight="false" outlineLevel="0" collapsed="false">
      <c r="A180" s="3" t="s">
        <v>491</v>
      </c>
      <c r="B180" s="3" t="s">
        <v>38</v>
      </c>
      <c r="C180" s="3"/>
      <c r="D180" s="3" t="str">
        <f aca="false">IFERROR(SC4b!J16,"")</f>
        <v/>
      </c>
      <c r="E180" s="3"/>
      <c r="F180" s="4"/>
      <c r="G180" s="4"/>
      <c r="H180" s="5" t="str">
        <f aca="false">IF(OR(F180="",NOT(ISNUMBER(D180))),"",IF(ABS(F180-D180)&lt;0.001,"Yes","No"))</f>
        <v/>
      </c>
      <c r="I180" s="3" t="s">
        <v>18</v>
      </c>
      <c r="J180" s="3" t="s">
        <v>44</v>
      </c>
      <c r="K180" s="3"/>
      <c r="L180" s="3"/>
      <c r="M180" s="3"/>
      <c r="N180" s="3"/>
      <c r="O180" s="3"/>
      <c r="P180" s="3" t="s">
        <v>495</v>
      </c>
    </row>
    <row r="181" customFormat="false" ht="102.2" hidden="false" customHeight="false" outlineLevel="0" collapsed="false">
      <c r="A181" s="3" t="s">
        <v>491</v>
      </c>
      <c r="B181" s="3" t="s">
        <v>43</v>
      </c>
      <c r="C181" s="3"/>
      <c r="D181" s="3" t="str">
        <f aca="false">IFERROR(SC4b!J17,"")</f>
        <v/>
      </c>
      <c r="E181" s="3"/>
      <c r="F181" s="4"/>
      <c r="G181" s="4"/>
      <c r="H181" s="5" t="str">
        <f aca="false">IF(OR(F181="",NOT(ISNUMBER(D181))),"",IF(ABS(F181-D181)&lt;0.001,"Yes","No"))</f>
        <v/>
      </c>
      <c r="I181" s="3" t="s">
        <v>18</v>
      </c>
      <c r="J181" s="3" t="s">
        <v>44</v>
      </c>
      <c r="K181" s="3"/>
      <c r="L181" s="3"/>
      <c r="M181" s="3"/>
      <c r="N181" s="3"/>
      <c r="O181" s="3"/>
      <c r="P181" s="3" t="s">
        <v>496</v>
      </c>
    </row>
    <row r="182" customFormat="false" ht="583.55" hidden="false" customHeight="false" outlineLevel="0" collapsed="false">
      <c r="A182" s="3" t="s">
        <v>491</v>
      </c>
      <c r="B182" s="3" t="s">
        <v>46</v>
      </c>
      <c r="C182" s="3"/>
      <c r="D182" s="3" t="str">
        <f aca="false">IFERROR(SC4b!J18,"")</f>
        <v/>
      </c>
      <c r="E182" s="3"/>
      <c r="F182" s="4"/>
      <c r="G182" s="4"/>
      <c r="H182" s="5" t="str">
        <f aca="false">IF(OR(F182="",NOT(ISNUMBER(D182))),"",IF(ABS(F182-D182)&lt;0.001,"Yes","No"))</f>
        <v/>
      </c>
      <c r="I182" s="3" t="s">
        <v>18</v>
      </c>
      <c r="J182" s="3" t="s">
        <v>19</v>
      </c>
      <c r="K182" s="3" t="s">
        <v>497</v>
      </c>
      <c r="L182" s="3" t="s">
        <v>58</v>
      </c>
      <c r="M182" s="3" t="s">
        <v>59</v>
      </c>
      <c r="N182" s="3" t="s">
        <v>498</v>
      </c>
      <c r="O182" s="3" t="s">
        <v>499</v>
      </c>
      <c r="P182" s="3" t="s">
        <v>25</v>
      </c>
    </row>
    <row r="183" customFormat="false" ht="516.4" hidden="false" customHeight="false" outlineLevel="0" collapsed="false">
      <c r="A183" s="3" t="s">
        <v>491</v>
      </c>
      <c r="B183" s="3" t="s">
        <v>48</v>
      </c>
      <c r="C183" s="3"/>
      <c r="D183" s="3" t="str">
        <f aca="false">IFERROR(SC4b!J19,"")</f>
        <v/>
      </c>
      <c r="E183" s="3"/>
      <c r="F183" s="4"/>
      <c r="G183" s="4"/>
      <c r="H183" s="5" t="str">
        <f aca="false">IF(OR(F183="",NOT(ISNUMBER(D183))),"",IF(ABS(F183-D183)&lt;0.001,"Yes","No"))</f>
        <v/>
      </c>
      <c r="I183" s="3" t="s">
        <v>18</v>
      </c>
      <c r="J183" s="3" t="s">
        <v>19</v>
      </c>
      <c r="K183" s="3" t="s">
        <v>500</v>
      </c>
      <c r="L183" s="3" t="s">
        <v>63</v>
      </c>
      <c r="M183" s="3" t="s">
        <v>64</v>
      </c>
      <c r="N183" s="3" t="s">
        <v>501</v>
      </c>
      <c r="O183" s="3" t="s">
        <v>502</v>
      </c>
      <c r="P183" s="3" t="s">
        <v>25</v>
      </c>
    </row>
    <row r="184" customFormat="false" ht="337.3" hidden="false" customHeight="false" outlineLevel="0" collapsed="false">
      <c r="A184" s="3" t="s">
        <v>503</v>
      </c>
      <c r="B184" s="3" t="s">
        <v>17</v>
      </c>
      <c r="C184" s="3"/>
      <c r="D184" s="3" t="n">
        <f aca="false">IFERROR('SC5'!J13,"")</f>
        <v>0</v>
      </c>
      <c r="E184" s="3"/>
      <c r="F184" s="4"/>
      <c r="G184" s="4"/>
      <c r="H184" s="5" t="str">
        <f aca="false">IF(OR(F184="",NOT(ISNUMBER(D184))),"",IF(ABS(F184-D184)&lt;0.001,"Yes","No"))</f>
        <v/>
      </c>
      <c r="I184" s="3" t="s">
        <v>18</v>
      </c>
      <c r="J184" s="3" t="s">
        <v>19</v>
      </c>
      <c r="K184" s="3" t="s">
        <v>504</v>
      </c>
      <c r="L184" s="3" t="s">
        <v>21</v>
      </c>
      <c r="M184" s="3" t="s">
        <v>22</v>
      </c>
      <c r="N184" s="3" t="s">
        <v>505</v>
      </c>
      <c r="O184" s="3" t="s">
        <v>506</v>
      </c>
      <c r="P184" s="3" t="s">
        <v>25</v>
      </c>
    </row>
    <row r="185" customFormat="false" ht="258.95" hidden="false" customHeight="false" outlineLevel="0" collapsed="false">
      <c r="A185" s="3" t="s">
        <v>503</v>
      </c>
      <c r="B185" s="3" t="s">
        <v>26</v>
      </c>
      <c r="C185" s="3"/>
      <c r="D185" s="3" t="str">
        <f aca="false">IFERROR('SC5'!J14,"")</f>
        <v/>
      </c>
      <c r="E185" s="3"/>
      <c r="F185" s="4"/>
      <c r="G185" s="4"/>
      <c r="H185" s="5" t="str">
        <f aca="false">IF(OR(F185="",NOT(ISNUMBER(D185))),"",IF(ABS(F185-D185)&lt;0.001,"Yes","No"))</f>
        <v/>
      </c>
      <c r="I185" s="3" t="s">
        <v>18</v>
      </c>
      <c r="J185" s="3" t="s">
        <v>507</v>
      </c>
      <c r="K185" s="3" t="s">
        <v>508</v>
      </c>
      <c r="L185" s="3"/>
      <c r="M185" s="3"/>
      <c r="N185" s="3"/>
      <c r="O185" s="3"/>
      <c r="P185" s="3" t="s">
        <v>509</v>
      </c>
    </row>
    <row r="186" customFormat="false" ht="572.35" hidden="false" customHeight="false" outlineLevel="0" collapsed="false">
      <c r="A186" s="3" t="s">
        <v>503</v>
      </c>
      <c r="B186" s="3" t="s">
        <v>32</v>
      </c>
      <c r="C186" s="3"/>
      <c r="D186" s="3" t="n">
        <f aca="false">IFERROR('SC5'!J15,"")</f>
        <v>0</v>
      </c>
      <c r="E186" s="3"/>
      <c r="F186" s="4"/>
      <c r="G186" s="4"/>
      <c r="H186" s="5" t="str">
        <f aca="false">IF(OR(F186="",NOT(ISNUMBER(D186))),"",IF(ABS(F186-D186)&lt;0.001,"Yes","No"))</f>
        <v/>
      </c>
      <c r="I186" s="3" t="s">
        <v>18</v>
      </c>
      <c r="J186" s="3" t="s">
        <v>19</v>
      </c>
      <c r="K186" s="3" t="s">
        <v>510</v>
      </c>
      <c r="L186" s="3" t="s">
        <v>34</v>
      </c>
      <c r="M186" s="3" t="s">
        <v>35</v>
      </c>
      <c r="N186" s="3" t="s">
        <v>511</v>
      </c>
      <c r="O186" s="3" t="s">
        <v>512</v>
      </c>
      <c r="P186" s="3" t="s">
        <v>25</v>
      </c>
    </row>
    <row r="187" customFormat="false" ht="471.6" hidden="false" customHeight="false" outlineLevel="0" collapsed="false">
      <c r="A187" s="3" t="s">
        <v>503</v>
      </c>
      <c r="B187" s="3" t="s">
        <v>38</v>
      </c>
      <c r="C187" s="3"/>
      <c r="D187" s="3" t="n">
        <f aca="false">IFERROR('SC5'!J16,"")</f>
        <v>0</v>
      </c>
      <c r="E187" s="3"/>
      <c r="F187" s="4"/>
      <c r="G187" s="4"/>
      <c r="H187" s="5" t="str">
        <f aca="false">IF(OR(F187="",NOT(ISNUMBER(D187))),"",IF(ABS(F187-D187)&lt;0.001,"Yes","No"))</f>
        <v/>
      </c>
      <c r="I187" s="3" t="s">
        <v>18</v>
      </c>
      <c r="J187" s="3" t="s">
        <v>19</v>
      </c>
      <c r="K187" s="3" t="s">
        <v>513</v>
      </c>
      <c r="L187" s="3" t="s">
        <v>482</v>
      </c>
      <c r="M187" s="3" t="s">
        <v>483</v>
      </c>
      <c r="N187" s="3" t="s">
        <v>514</v>
      </c>
      <c r="O187" s="3" t="s">
        <v>515</v>
      </c>
      <c r="P187" s="3" t="s">
        <v>25</v>
      </c>
    </row>
    <row r="188" customFormat="false" ht="158.2" hidden="false" customHeight="false" outlineLevel="0" collapsed="false">
      <c r="A188" s="3" t="s">
        <v>503</v>
      </c>
      <c r="B188" s="3" t="s">
        <v>43</v>
      </c>
      <c r="C188" s="3"/>
      <c r="D188" s="3" t="str">
        <f aca="false">IFERROR('SC5'!J17,"")</f>
        <v/>
      </c>
      <c r="E188" s="3"/>
      <c r="F188" s="4"/>
      <c r="G188" s="4"/>
      <c r="H188" s="5" t="str">
        <f aca="false">IF(OR(F188="",NOT(ISNUMBER(D188))),"",IF(ABS(F188-D188)&lt;0.001,"Yes","No"))</f>
        <v/>
      </c>
      <c r="I188" s="3" t="s">
        <v>18</v>
      </c>
      <c r="J188" s="3" t="s">
        <v>44</v>
      </c>
      <c r="K188" s="3"/>
      <c r="L188" s="3"/>
      <c r="M188" s="3"/>
      <c r="N188" s="3"/>
      <c r="O188" s="3"/>
      <c r="P188" s="3" t="s">
        <v>516</v>
      </c>
    </row>
    <row r="189" customFormat="false" ht="147" hidden="false" customHeight="false" outlineLevel="0" collapsed="false">
      <c r="A189" s="3" t="s">
        <v>503</v>
      </c>
      <c r="B189" s="3" t="s">
        <v>46</v>
      </c>
      <c r="C189" s="3"/>
      <c r="D189" s="3" t="str">
        <f aca="false">IFERROR('SC5'!J18,"")</f>
        <v/>
      </c>
      <c r="E189" s="3"/>
      <c r="F189" s="4"/>
      <c r="G189" s="4"/>
      <c r="H189" s="5" t="str">
        <f aca="false">IF(OR(F189="",NOT(ISNUMBER(D189))),"",IF(ABS(F189-D189)&lt;0.001,"Yes","No"))</f>
        <v/>
      </c>
      <c r="I189" s="3" t="s">
        <v>18</v>
      </c>
      <c r="J189" s="3" t="s">
        <v>44</v>
      </c>
      <c r="K189" s="3"/>
      <c r="L189" s="3"/>
      <c r="M189" s="3"/>
      <c r="N189" s="3"/>
      <c r="O189" s="3"/>
      <c r="P189" s="3" t="s">
        <v>517</v>
      </c>
    </row>
    <row r="190" customFormat="false" ht="113.4" hidden="false" customHeight="false" outlineLevel="0" collapsed="false">
      <c r="A190" s="3" t="s">
        <v>503</v>
      </c>
      <c r="B190" s="3" t="s">
        <v>48</v>
      </c>
      <c r="C190" s="3"/>
      <c r="D190" s="3" t="str">
        <f aca="false">IFERROR('SC5'!J19,"")</f>
        <v/>
      </c>
      <c r="E190" s="3"/>
      <c r="F190" s="4"/>
      <c r="G190" s="4"/>
      <c r="H190" s="5" t="str">
        <f aca="false">IF(OR(F190="",NOT(ISNUMBER(D190))),"",IF(ABS(F190-D190)&lt;0.001,"Yes","No"))</f>
        <v/>
      </c>
      <c r="I190" s="3" t="s">
        <v>18</v>
      </c>
      <c r="J190" s="3" t="s">
        <v>44</v>
      </c>
      <c r="K190" s="3"/>
      <c r="L190" s="3"/>
      <c r="M190" s="3"/>
      <c r="N190" s="3"/>
      <c r="O190" s="3"/>
      <c r="P190" s="3" t="s">
        <v>518</v>
      </c>
    </row>
    <row r="191" customFormat="false" ht="113.4" hidden="false" customHeight="false" outlineLevel="0" collapsed="false">
      <c r="A191" s="3" t="s">
        <v>519</v>
      </c>
      <c r="B191" s="3" t="s">
        <v>17</v>
      </c>
      <c r="C191" s="3"/>
      <c r="D191" s="3" t="str">
        <f aca="false">IFERROR('SC6'!J13,"")</f>
        <v/>
      </c>
      <c r="E191" s="3"/>
      <c r="F191" s="4"/>
      <c r="G191" s="4"/>
      <c r="H191" s="5" t="str">
        <f aca="false">IF(OR(F191="",NOT(ISNUMBER(D191))),"",IF(ABS(F191-D191)&lt;0.001,"Yes","No"))</f>
        <v/>
      </c>
      <c r="I191" s="3" t="s">
        <v>18</v>
      </c>
      <c r="J191" s="3" t="s">
        <v>44</v>
      </c>
      <c r="K191" s="3"/>
      <c r="L191" s="3"/>
      <c r="M191" s="3"/>
      <c r="N191" s="3"/>
      <c r="O191" s="3"/>
      <c r="P191" s="3" t="s">
        <v>520</v>
      </c>
    </row>
    <row r="192" customFormat="false" ht="124.6" hidden="false" customHeight="false" outlineLevel="0" collapsed="false">
      <c r="A192" s="3" t="s">
        <v>519</v>
      </c>
      <c r="B192" s="3" t="s">
        <v>26</v>
      </c>
      <c r="C192" s="3"/>
      <c r="D192" s="3" t="str">
        <f aca="false">IFERROR('SC6'!J14,"")</f>
        <v/>
      </c>
      <c r="E192" s="3"/>
      <c r="F192" s="4"/>
      <c r="G192" s="4"/>
      <c r="H192" s="5" t="str">
        <f aca="false">IF(OR(F192="",NOT(ISNUMBER(D192))),"",IF(ABS(F192-D192)&lt;0.001,"Yes","No"))</f>
        <v/>
      </c>
      <c r="I192" s="3" t="s">
        <v>18</v>
      </c>
      <c r="J192" s="3" t="s">
        <v>44</v>
      </c>
      <c r="K192" s="3"/>
      <c r="L192" s="3"/>
      <c r="M192" s="3"/>
      <c r="N192" s="3"/>
      <c r="O192" s="3"/>
      <c r="P192" s="3" t="s">
        <v>521</v>
      </c>
    </row>
    <row r="193" customFormat="false" ht="102.2" hidden="false" customHeight="false" outlineLevel="0" collapsed="false">
      <c r="A193" s="3" t="s">
        <v>519</v>
      </c>
      <c r="B193" s="3" t="s">
        <v>32</v>
      </c>
      <c r="C193" s="3"/>
      <c r="D193" s="3" t="str">
        <f aca="false">IFERROR('SC6'!J15,"")</f>
        <v/>
      </c>
      <c r="E193" s="3"/>
      <c r="F193" s="4"/>
      <c r="G193" s="4"/>
      <c r="H193" s="5" t="str">
        <f aca="false">IF(OR(F193="",NOT(ISNUMBER(D193))),"",IF(ABS(F193-D193)&lt;0.001,"Yes","No"))</f>
        <v/>
      </c>
      <c r="I193" s="3" t="s">
        <v>18</v>
      </c>
      <c r="J193" s="3" t="s">
        <v>44</v>
      </c>
      <c r="K193" s="3"/>
      <c r="L193" s="3"/>
      <c r="M193" s="3"/>
      <c r="N193" s="3"/>
      <c r="O193" s="3"/>
      <c r="P193" s="3" t="s">
        <v>522</v>
      </c>
    </row>
    <row r="194" customFormat="false" ht="102.2" hidden="false" customHeight="false" outlineLevel="0" collapsed="false">
      <c r="A194" s="3" t="s">
        <v>519</v>
      </c>
      <c r="B194" s="3" t="s">
        <v>38</v>
      </c>
      <c r="C194" s="3"/>
      <c r="D194" s="3" t="str">
        <f aca="false">IFERROR('SC6'!J16,"")</f>
        <v/>
      </c>
      <c r="E194" s="3"/>
      <c r="F194" s="4"/>
      <c r="G194" s="4"/>
      <c r="H194" s="5" t="str">
        <f aca="false">IF(OR(F194="",NOT(ISNUMBER(D194))),"",IF(ABS(F194-D194)&lt;0.001,"Yes","No"))</f>
        <v/>
      </c>
      <c r="I194" s="3" t="s">
        <v>18</v>
      </c>
      <c r="J194" s="3" t="s">
        <v>44</v>
      </c>
      <c r="K194" s="3"/>
      <c r="L194" s="3"/>
      <c r="M194" s="3"/>
      <c r="N194" s="3"/>
      <c r="O194" s="3"/>
      <c r="P194" s="3" t="s">
        <v>523</v>
      </c>
    </row>
    <row r="195" customFormat="false" ht="124.6" hidden="false" customHeight="false" outlineLevel="0" collapsed="false">
      <c r="A195" s="3" t="s">
        <v>519</v>
      </c>
      <c r="B195" s="3" t="s">
        <v>43</v>
      </c>
      <c r="C195" s="3"/>
      <c r="D195" s="3" t="str">
        <f aca="false">IFERROR('SC6'!J17,"")</f>
        <v/>
      </c>
      <c r="E195" s="3"/>
      <c r="F195" s="4"/>
      <c r="G195" s="4"/>
      <c r="H195" s="5" t="str">
        <f aca="false">IF(OR(F195="",NOT(ISNUMBER(D195))),"",IF(ABS(F195-D195)&lt;0.001,"Yes","No"))</f>
        <v/>
      </c>
      <c r="I195" s="3" t="s">
        <v>18</v>
      </c>
      <c r="J195" s="3" t="s">
        <v>44</v>
      </c>
      <c r="K195" s="3"/>
      <c r="L195" s="3"/>
      <c r="M195" s="3"/>
      <c r="N195" s="3"/>
      <c r="O195" s="3"/>
      <c r="P195" s="3" t="s">
        <v>524</v>
      </c>
    </row>
    <row r="196" customFormat="false" ht="124.6" hidden="false" customHeight="false" outlineLevel="0" collapsed="false">
      <c r="A196" s="3" t="s">
        <v>519</v>
      </c>
      <c r="B196" s="3" t="s">
        <v>46</v>
      </c>
      <c r="C196" s="3"/>
      <c r="D196" s="3" t="str">
        <f aca="false">IFERROR('SC6'!J18,"")</f>
        <v/>
      </c>
      <c r="E196" s="3"/>
      <c r="F196" s="4"/>
      <c r="G196" s="4"/>
      <c r="H196" s="5" t="str">
        <f aca="false">IF(OR(F196="",NOT(ISNUMBER(D196))),"",IF(ABS(F196-D196)&lt;0.001,"Yes","No"))</f>
        <v/>
      </c>
      <c r="I196" s="3" t="s">
        <v>18</v>
      </c>
      <c r="J196" s="3" t="s">
        <v>44</v>
      </c>
      <c r="K196" s="3"/>
      <c r="L196" s="3"/>
      <c r="M196" s="3"/>
      <c r="N196" s="3"/>
      <c r="O196" s="3"/>
      <c r="P196" s="3" t="s">
        <v>525</v>
      </c>
    </row>
    <row r="197" customFormat="false" ht="449.25" hidden="false" customHeight="false" outlineLevel="0" collapsed="false">
      <c r="A197" s="3" t="s">
        <v>519</v>
      </c>
      <c r="B197" s="3" t="s">
        <v>48</v>
      </c>
      <c r="C197" s="3"/>
      <c r="D197" s="3" t="str">
        <f aca="false">IFERROR('SC6'!J19,"")</f>
        <v/>
      </c>
      <c r="E197" s="3"/>
      <c r="F197" s="4"/>
      <c r="G197" s="4"/>
      <c r="H197" s="5" t="str">
        <f aca="false">IF(OR(F197="",NOT(ISNUMBER(D197))),"",IF(ABS(F197-D197)&lt;0.001,"Yes","No"))</f>
        <v/>
      </c>
      <c r="I197" s="3" t="s">
        <v>18</v>
      </c>
      <c r="J197" s="3" t="s">
        <v>19</v>
      </c>
      <c r="K197" s="3" t="s">
        <v>526</v>
      </c>
      <c r="L197" s="3" t="s">
        <v>260</v>
      </c>
      <c r="M197" s="3" t="s">
        <v>261</v>
      </c>
      <c r="N197" s="3" t="s">
        <v>527</v>
      </c>
      <c r="O197" s="3" t="s">
        <v>528</v>
      </c>
      <c r="P197" s="3" t="s">
        <v>25</v>
      </c>
    </row>
    <row r="198" customFormat="false" ht="147" hidden="false" customHeight="false" outlineLevel="0" collapsed="false">
      <c r="A198" s="3" t="s">
        <v>529</v>
      </c>
      <c r="B198" s="3" t="s">
        <v>17</v>
      </c>
      <c r="C198" s="3"/>
      <c r="D198" s="3" t="n">
        <f aca="false">IFERROR(SC7a!J13,"")</f>
        <v>3</v>
      </c>
      <c r="E198" s="3"/>
      <c r="F198" s="4"/>
      <c r="G198" s="4"/>
      <c r="H198" s="5" t="str">
        <f aca="false">IF(OR(F198="",NOT(ISNUMBER(D198))),"",IF(ABS(F198-D198)&lt;0.001,"Yes","No"))</f>
        <v/>
      </c>
      <c r="I198" s="3" t="s">
        <v>18</v>
      </c>
      <c r="J198" s="3" t="s">
        <v>44</v>
      </c>
      <c r="K198" s="3"/>
      <c r="L198" s="3"/>
      <c r="M198" s="3"/>
      <c r="N198" s="3"/>
      <c r="O198" s="3"/>
      <c r="P198" s="3" t="s">
        <v>530</v>
      </c>
    </row>
    <row r="199" customFormat="false" ht="124.6" hidden="false" customHeight="false" outlineLevel="0" collapsed="false">
      <c r="A199" s="3" t="s">
        <v>529</v>
      </c>
      <c r="B199" s="3" t="s">
        <v>26</v>
      </c>
      <c r="C199" s="3"/>
      <c r="D199" s="3" t="str">
        <f aca="false">IFERROR(SC7a!J14,"")</f>
        <v/>
      </c>
      <c r="E199" s="3"/>
      <c r="F199" s="4"/>
      <c r="G199" s="4"/>
      <c r="H199" s="5" t="str">
        <f aca="false">IF(OR(F199="",NOT(ISNUMBER(D199))),"",IF(ABS(F199-D199)&lt;0.001,"Yes","No"))</f>
        <v/>
      </c>
      <c r="I199" s="3" t="s">
        <v>18</v>
      </c>
      <c r="J199" s="3" t="s">
        <v>44</v>
      </c>
      <c r="K199" s="3"/>
      <c r="L199" s="3"/>
      <c r="M199" s="3"/>
      <c r="N199" s="3"/>
      <c r="O199" s="3"/>
      <c r="P199" s="3" t="s">
        <v>531</v>
      </c>
    </row>
    <row r="200" customFormat="false" ht="135.8" hidden="false" customHeight="false" outlineLevel="0" collapsed="false">
      <c r="A200" s="3" t="s">
        <v>529</v>
      </c>
      <c r="B200" s="3" t="s">
        <v>32</v>
      </c>
      <c r="C200" s="3"/>
      <c r="D200" s="3" t="str">
        <f aca="false">IFERROR(SC7a!J15,"")</f>
        <v/>
      </c>
      <c r="E200" s="3"/>
      <c r="F200" s="4"/>
      <c r="G200" s="4"/>
      <c r="H200" s="5" t="str">
        <f aca="false">IF(OR(F200="",NOT(ISNUMBER(D200))),"",IF(ABS(F200-D200)&lt;0.001,"Yes","No"))</f>
        <v/>
      </c>
      <c r="I200" s="3" t="s">
        <v>18</v>
      </c>
      <c r="J200" s="3" t="s">
        <v>44</v>
      </c>
      <c r="K200" s="3"/>
      <c r="L200" s="3"/>
      <c r="M200" s="3"/>
      <c r="N200" s="3"/>
      <c r="O200" s="3"/>
      <c r="P200" s="3" t="s">
        <v>532</v>
      </c>
    </row>
    <row r="201" customFormat="false" ht="113.4" hidden="false" customHeight="false" outlineLevel="0" collapsed="false">
      <c r="A201" s="3" t="s">
        <v>529</v>
      </c>
      <c r="B201" s="3" t="s">
        <v>38</v>
      </c>
      <c r="C201" s="3"/>
      <c r="D201" s="3" t="str">
        <f aca="false">IFERROR(SC7a!J16,"")</f>
        <v/>
      </c>
      <c r="E201" s="3"/>
      <c r="F201" s="4"/>
      <c r="G201" s="4"/>
      <c r="H201" s="5" t="str">
        <f aca="false">IF(OR(F201="",NOT(ISNUMBER(D201))),"",IF(ABS(F201-D201)&lt;0.001,"Yes","No"))</f>
        <v/>
      </c>
      <c r="I201" s="3" t="s">
        <v>18</v>
      </c>
      <c r="J201" s="3" t="s">
        <v>44</v>
      </c>
      <c r="K201" s="3"/>
      <c r="L201" s="3"/>
      <c r="M201" s="3"/>
      <c r="N201" s="3"/>
      <c r="O201" s="3"/>
      <c r="P201" s="3" t="s">
        <v>533</v>
      </c>
    </row>
    <row r="202" customFormat="false" ht="285.05" hidden="false" customHeight="false" outlineLevel="0" collapsed="false">
      <c r="A202" s="3" t="s">
        <v>529</v>
      </c>
      <c r="B202" s="3" t="s">
        <v>43</v>
      </c>
      <c r="C202" s="3"/>
      <c r="D202" s="3" t="str">
        <f aca="false">IFERROR(SC7a!J17,"")</f>
        <v/>
      </c>
      <c r="E202" s="3"/>
      <c r="F202" s="4"/>
      <c r="G202" s="4"/>
      <c r="H202" s="5" t="str">
        <f aca="false">IF(OR(F202="",NOT(ISNUMBER(D202))),"",IF(ABS(F202-D202)&lt;0.001,"Yes","No"))</f>
        <v/>
      </c>
      <c r="I202" s="3" t="s">
        <v>18</v>
      </c>
      <c r="J202" s="3" t="s">
        <v>19</v>
      </c>
      <c r="K202" s="3" t="s">
        <v>534</v>
      </c>
      <c r="L202" s="3" t="s">
        <v>182</v>
      </c>
      <c r="M202" s="3" t="s">
        <v>183</v>
      </c>
      <c r="N202" s="3" t="s">
        <v>535</v>
      </c>
      <c r="O202" s="3" t="s">
        <v>536</v>
      </c>
      <c r="P202" s="3" t="s">
        <v>25</v>
      </c>
    </row>
    <row r="203" customFormat="false" ht="113.4" hidden="false" customHeight="false" outlineLevel="0" collapsed="false">
      <c r="A203" s="3" t="s">
        <v>529</v>
      </c>
      <c r="B203" s="3" t="s">
        <v>46</v>
      </c>
      <c r="C203" s="3"/>
      <c r="D203" s="3" t="str">
        <f aca="false">IFERROR(SC7a!J18,"")</f>
        <v/>
      </c>
      <c r="E203" s="3"/>
      <c r="F203" s="4"/>
      <c r="G203" s="4"/>
      <c r="H203" s="5" t="str">
        <f aca="false">IF(OR(F203="",NOT(ISNUMBER(D203))),"",IF(ABS(F203-D203)&lt;0.001,"Yes","No"))</f>
        <v/>
      </c>
      <c r="I203" s="3" t="s">
        <v>18</v>
      </c>
      <c r="J203" s="3" t="s">
        <v>44</v>
      </c>
      <c r="K203" s="3"/>
      <c r="L203" s="3"/>
      <c r="M203" s="3"/>
      <c r="N203" s="3"/>
      <c r="O203" s="3"/>
      <c r="P203" s="3" t="s">
        <v>537</v>
      </c>
    </row>
    <row r="204" customFormat="false" ht="124.6" hidden="false" customHeight="false" outlineLevel="0" collapsed="false">
      <c r="A204" s="3" t="s">
        <v>529</v>
      </c>
      <c r="B204" s="3" t="s">
        <v>48</v>
      </c>
      <c r="C204" s="3"/>
      <c r="D204" s="3" t="str">
        <f aca="false">IFERROR(SC7a!J19,"")</f>
        <v/>
      </c>
      <c r="E204" s="3"/>
      <c r="F204" s="4"/>
      <c r="G204" s="4"/>
      <c r="H204" s="5" t="str">
        <f aca="false">IF(OR(F204="",NOT(ISNUMBER(D204))),"",IF(ABS(F204-D204)&lt;0.001,"Yes","No"))</f>
        <v/>
      </c>
      <c r="I204" s="3" t="s">
        <v>18</v>
      </c>
      <c r="J204" s="3" t="s">
        <v>44</v>
      </c>
      <c r="K204" s="3"/>
      <c r="L204" s="3"/>
      <c r="M204" s="3"/>
      <c r="N204" s="3"/>
      <c r="O204" s="3"/>
      <c r="P204" s="3" t="s">
        <v>538</v>
      </c>
    </row>
    <row r="205" customFormat="false" ht="102.2" hidden="false" customHeight="false" outlineLevel="0" collapsed="false">
      <c r="A205" s="3" t="s">
        <v>539</v>
      </c>
      <c r="B205" s="3" t="s">
        <v>17</v>
      </c>
      <c r="C205" s="3"/>
      <c r="D205" s="3" t="str">
        <f aca="false">IFERROR(SC7b!J13,"")</f>
        <v/>
      </c>
      <c r="E205" s="3"/>
      <c r="F205" s="4"/>
      <c r="G205" s="4"/>
      <c r="H205" s="5" t="str">
        <f aca="false">IF(OR(F205="",NOT(ISNUMBER(D205))),"",IF(ABS(F205-D205)&lt;0.001,"Yes","No"))</f>
        <v/>
      </c>
      <c r="I205" s="3" t="s">
        <v>18</v>
      </c>
      <c r="J205" s="3" t="s">
        <v>44</v>
      </c>
      <c r="K205" s="3"/>
      <c r="L205" s="3"/>
      <c r="M205" s="3"/>
      <c r="N205" s="3"/>
      <c r="O205" s="3"/>
      <c r="P205" s="3" t="s">
        <v>540</v>
      </c>
    </row>
    <row r="206" customFormat="false" ht="113.4" hidden="false" customHeight="false" outlineLevel="0" collapsed="false">
      <c r="A206" s="3" t="s">
        <v>539</v>
      </c>
      <c r="B206" s="3" t="s">
        <v>26</v>
      </c>
      <c r="C206" s="3"/>
      <c r="D206" s="3" t="str">
        <f aca="false">IFERROR(SC7b!J14,"")</f>
        <v/>
      </c>
      <c r="E206" s="3"/>
      <c r="F206" s="4"/>
      <c r="G206" s="4"/>
      <c r="H206" s="5" t="str">
        <f aca="false">IF(OR(F206="",NOT(ISNUMBER(D206))),"",IF(ABS(F206-D206)&lt;0.001,"Yes","No"))</f>
        <v/>
      </c>
      <c r="I206" s="3" t="s">
        <v>18</v>
      </c>
      <c r="J206" s="3" t="s">
        <v>44</v>
      </c>
      <c r="K206" s="3"/>
      <c r="L206" s="3"/>
      <c r="M206" s="3"/>
      <c r="N206" s="3"/>
      <c r="O206" s="3"/>
      <c r="P206" s="3" t="s">
        <v>541</v>
      </c>
    </row>
    <row r="207" customFormat="false" ht="124.6" hidden="false" customHeight="false" outlineLevel="0" collapsed="false">
      <c r="A207" s="3" t="s">
        <v>539</v>
      </c>
      <c r="B207" s="3" t="s">
        <v>32</v>
      </c>
      <c r="C207" s="3"/>
      <c r="D207" s="3" t="str">
        <f aca="false">IFERROR(SC7b!J15,"")</f>
        <v/>
      </c>
      <c r="E207" s="3"/>
      <c r="F207" s="4"/>
      <c r="G207" s="4"/>
      <c r="H207" s="5" t="str">
        <f aca="false">IF(OR(F207="",NOT(ISNUMBER(D207))),"",IF(ABS(F207-D207)&lt;0.001,"Yes","No"))</f>
        <v/>
      </c>
      <c r="I207" s="3" t="s">
        <v>18</v>
      </c>
      <c r="J207" s="3" t="s">
        <v>44</v>
      </c>
      <c r="K207" s="3"/>
      <c r="L207" s="3"/>
      <c r="M207" s="3"/>
      <c r="N207" s="3"/>
      <c r="O207" s="3"/>
      <c r="P207" s="3" t="s">
        <v>542</v>
      </c>
    </row>
    <row r="208" customFormat="false" ht="124.6" hidden="false" customHeight="false" outlineLevel="0" collapsed="false">
      <c r="A208" s="3" t="s">
        <v>539</v>
      </c>
      <c r="B208" s="3" t="s">
        <v>38</v>
      </c>
      <c r="C208" s="3"/>
      <c r="D208" s="3" t="str">
        <f aca="false">IFERROR(SC7b!J16,"")</f>
        <v/>
      </c>
      <c r="E208" s="3"/>
      <c r="F208" s="4"/>
      <c r="G208" s="4"/>
      <c r="H208" s="5" t="str">
        <f aca="false">IF(OR(F208="",NOT(ISNUMBER(D208))),"",IF(ABS(F208-D208)&lt;0.001,"Yes","No"))</f>
        <v/>
      </c>
      <c r="I208" s="3" t="s">
        <v>18</v>
      </c>
      <c r="J208" s="3" t="s">
        <v>44</v>
      </c>
      <c r="K208" s="3"/>
      <c r="L208" s="3"/>
      <c r="M208" s="3"/>
      <c r="N208" s="3"/>
      <c r="O208" s="3"/>
      <c r="P208" s="3" t="s">
        <v>543</v>
      </c>
    </row>
    <row r="209" customFormat="false" ht="113.4" hidden="false" customHeight="false" outlineLevel="0" collapsed="false">
      <c r="A209" s="3" t="s">
        <v>539</v>
      </c>
      <c r="B209" s="3" t="s">
        <v>43</v>
      </c>
      <c r="C209" s="3"/>
      <c r="D209" s="3" t="str">
        <f aca="false">IFERROR(SC7b!J17,"")</f>
        <v/>
      </c>
      <c r="E209" s="3"/>
      <c r="F209" s="4"/>
      <c r="G209" s="4"/>
      <c r="H209" s="5" t="str">
        <f aca="false">IF(OR(F209="",NOT(ISNUMBER(D209))),"",IF(ABS(F209-D209)&lt;0.001,"Yes","No"))</f>
        <v/>
      </c>
      <c r="I209" s="3" t="s">
        <v>18</v>
      </c>
      <c r="J209" s="3" t="s">
        <v>44</v>
      </c>
      <c r="K209" s="3"/>
      <c r="L209" s="3"/>
      <c r="M209" s="3"/>
      <c r="N209" s="3"/>
      <c r="O209" s="3"/>
      <c r="P209" s="3" t="s">
        <v>544</v>
      </c>
    </row>
    <row r="210" customFormat="false" ht="113.4" hidden="false" customHeight="false" outlineLevel="0" collapsed="false">
      <c r="A210" s="3" t="s">
        <v>539</v>
      </c>
      <c r="B210" s="3" t="s">
        <v>46</v>
      </c>
      <c r="C210" s="3"/>
      <c r="D210" s="3" t="str">
        <f aca="false">IFERROR(SC7b!J18,"")</f>
        <v/>
      </c>
      <c r="E210" s="3"/>
      <c r="F210" s="4"/>
      <c r="G210" s="4"/>
      <c r="H210" s="5" t="str">
        <f aca="false">IF(OR(F210="",NOT(ISNUMBER(D210))),"",IF(ABS(F210-D210)&lt;0.001,"Yes","No"))</f>
        <v/>
      </c>
      <c r="I210" s="3" t="s">
        <v>18</v>
      </c>
      <c r="J210" s="3" t="s">
        <v>44</v>
      </c>
      <c r="K210" s="3"/>
      <c r="L210" s="3"/>
      <c r="M210" s="3"/>
      <c r="N210" s="3"/>
      <c r="O210" s="3"/>
      <c r="P210" s="3" t="s">
        <v>545</v>
      </c>
    </row>
    <row r="211" customFormat="false" ht="102.2" hidden="false" customHeight="false" outlineLevel="0" collapsed="false">
      <c r="A211" s="3" t="s">
        <v>539</v>
      </c>
      <c r="B211" s="3" t="s">
        <v>48</v>
      </c>
      <c r="C211" s="3"/>
      <c r="D211" s="3" t="str">
        <f aca="false">IFERROR(SC7b!J19,"")</f>
        <v/>
      </c>
      <c r="E211" s="3"/>
      <c r="F211" s="4"/>
      <c r="G211" s="4"/>
      <c r="H211" s="5" t="str">
        <f aca="false">IF(OR(F211="",NOT(ISNUMBER(D211))),"",IF(ABS(F211-D211)&lt;0.001,"Yes","No"))</f>
        <v/>
      </c>
      <c r="I211" s="3" t="s">
        <v>18</v>
      </c>
      <c r="J211" s="3" t="s">
        <v>44</v>
      </c>
      <c r="K211" s="3"/>
      <c r="L211" s="3"/>
      <c r="M211" s="3"/>
      <c r="N211" s="3"/>
      <c r="O211" s="3"/>
      <c r="P211" s="3" t="s">
        <v>546</v>
      </c>
    </row>
  </sheetData>
  <autoFilter ref="A1:P211"/>
  <conditionalFormatting sqref="I2:I211">
    <cfRule type="expression" priority="2" aboveAverage="0" equalAverage="0" bottom="0" percent="0" rank="0" text="" dxfId="6">
      <formula>$I2="Left for a person"</formula>
    </cfRule>
  </conditionalFormatting>
  <conditionalFormatting sqref="H2:H211">
    <cfRule type="expression" priority="3" aboveAverage="0" equalAverage="0" bottom="0" percent="0" rank="0" text="" dxfId="7">
      <formula>$H2="No"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6" width="120"/>
  </cols>
  <sheetData>
    <row r="1" customFormat="false" ht="17.25" hidden="false" customHeight="true" outlineLevel="0" collapsed="false">
      <c r="A1" s="7" t="s">
        <v>547</v>
      </c>
    </row>
    <row r="2" customFormat="false" ht="15" hidden="false" customHeight="true" outlineLevel="0" collapsed="false">
      <c r="A2" s="3"/>
    </row>
    <row r="3" customFormat="false" ht="15" hidden="false" customHeight="true" outlineLevel="0" collapsed="false">
      <c r="A3" s="3" t="s">
        <v>548</v>
      </c>
    </row>
    <row r="4" customFormat="false" ht="23.25" hidden="false" customHeight="true" outlineLevel="0" collapsed="false">
      <c r="A4" s="3" t="s">
        <v>549</v>
      </c>
    </row>
    <row r="5" customFormat="false" ht="23.25" hidden="false" customHeight="true" outlineLevel="0" collapsed="false">
      <c r="A5" s="3" t="s">
        <v>550</v>
      </c>
    </row>
    <row r="6" customFormat="false" ht="15" hidden="false" customHeight="true" outlineLevel="0" collapsed="false">
      <c r="A6" s="3" t="s">
        <v>551</v>
      </c>
    </row>
    <row r="7" customFormat="false" ht="15" hidden="false" customHeight="true" outlineLevel="0" collapsed="false">
      <c r="A7" s="3"/>
    </row>
    <row r="8" customFormat="false" ht="15" hidden="false" customHeight="true" outlineLevel="0" collapsed="false">
      <c r="A8" s="3" t="s">
        <v>552</v>
      </c>
    </row>
    <row r="9" customFormat="false" ht="15" hidden="false" customHeight="true" outlineLevel="0" collapsed="false">
      <c r="A9" s="3" t="s">
        <v>553</v>
      </c>
    </row>
    <row r="10" customFormat="false" ht="15" hidden="false" customHeight="true" outlineLevel="0" collapsed="false">
      <c r="A10" s="3" t="s">
        <v>554</v>
      </c>
    </row>
    <row r="11" customFormat="false" ht="15" hidden="false" customHeight="true" outlineLevel="0" collapsed="false">
      <c r="A11" s="3" t="s">
        <v>555</v>
      </c>
    </row>
    <row r="12" customFormat="false" ht="15" hidden="false" customHeight="true" outlineLevel="0" collapsed="false">
      <c r="A12" s="3" t="s">
        <v>556</v>
      </c>
    </row>
    <row r="13" customFormat="false" ht="15" hidden="false" customHeight="true" outlineLevel="0" collapsed="false">
      <c r="A13" s="3" t="s">
        <v>557</v>
      </c>
    </row>
    <row r="14" customFormat="false" ht="15" hidden="false" customHeight="true" outlineLevel="0" collapsed="false">
      <c r="A14" s="3" t="s">
        <v>558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G3" activePane="bottomRight" state="frozen"/>
      <selection pane="topLeft" activeCell="A1" activeCellId="0" sqref="A1"/>
      <selection pane="topRight" activeCell="G1" activeCellId="0" sqref="G1"/>
      <selection pane="bottomLeft" activeCell="A3" activeCellId="0" sqref="A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14"/>
    <col collapsed="false" customWidth="true" hidden="false" outlineLevel="0" max="2" min="2" style="6" width="24"/>
    <col collapsed="false" customWidth="true" hidden="false" outlineLevel="0" max="4" min="4" style="6" width="50"/>
    <col collapsed="false" customWidth="true" hidden="false" outlineLevel="0" max="5" min="5" style="6" width="18"/>
  </cols>
  <sheetData>
    <row r="1" customFormat="false" ht="39" hidden="false" customHeight="true" outlineLevel="0" collapsed="false">
      <c r="A1" s="1" t="s">
        <v>559</v>
      </c>
      <c r="B1" s="1" t="s">
        <v>560</v>
      </c>
      <c r="C1" s="1" t="s">
        <v>561</v>
      </c>
      <c r="D1" s="1" t="s">
        <v>0</v>
      </c>
      <c r="E1" s="1" t="s">
        <v>562</v>
      </c>
      <c r="F1" s="1" t="s">
        <v>563</v>
      </c>
      <c r="G1" s="1" t="s">
        <v>17</v>
      </c>
      <c r="H1" s="1" t="s">
        <v>26</v>
      </c>
      <c r="I1" s="1" t="s">
        <v>32</v>
      </c>
      <c r="J1" s="1" t="s">
        <v>38</v>
      </c>
      <c r="K1" s="1" t="s">
        <v>43</v>
      </c>
      <c r="L1" s="1" t="s">
        <v>46</v>
      </c>
      <c r="M1" s="1" t="s">
        <v>48</v>
      </c>
    </row>
    <row r="2" customFormat="false" ht="15" hidden="false" customHeight="true" outlineLevel="0" collapsed="false">
      <c r="A2" s="6" t="s">
        <v>564</v>
      </c>
      <c r="B2" s="6" t="s">
        <v>565</v>
      </c>
      <c r="C2" s="6" t="s">
        <v>565</v>
      </c>
      <c r="D2" s="6" t="s">
        <v>565</v>
      </c>
      <c r="E2" s="6" t="s">
        <v>565</v>
      </c>
      <c r="F2" s="6" t="s">
        <v>565</v>
      </c>
      <c r="G2" s="6" t="s">
        <v>565</v>
      </c>
      <c r="H2" s="6" t="s">
        <v>565</v>
      </c>
      <c r="I2" s="6" t="s">
        <v>565</v>
      </c>
      <c r="J2" s="6" t="s">
        <v>565</v>
      </c>
      <c r="K2" s="6" t="s">
        <v>565</v>
      </c>
      <c r="L2" s="6" t="s">
        <v>565</v>
      </c>
      <c r="M2" s="6" t="s">
        <v>565</v>
      </c>
    </row>
    <row r="3" customFormat="false" ht="15" hidden="false" customHeight="true" outlineLevel="0" collapsed="false">
      <c r="A3" s="8" t="s">
        <v>566</v>
      </c>
      <c r="B3" s="8" t="str">
        <f aca="false">VLOOKUP($A3,'PARASTATAL Questions'!$A:$J,3,0)&amp;""</f>
        <v>Urban Planning &amp; Design (UPD)</v>
      </c>
      <c r="C3" s="8" t="str">
        <f aca="false">VLOOKUP($A3,'PARASTATAL Questions'!$A:$J,4,0)&amp;""</f>
        <v>MQ</v>
      </c>
      <c r="D3" s="8" t="str">
        <f aca="false">VLOOKUP($A3,'PARASTATAL Questions'!$A:$J,5,0)&amp;""</f>
        <v>Does the parastatal coordinate with the ULG(s) in preparing its spatial and/or sectoral plans?</v>
      </c>
      <c r="E3" s="8" t="str">
        <f aca="false">VLOOKUP($A3,'PARASTATAL Questions'!$A:$J,7,0)&amp;""</f>
        <v/>
      </c>
      <c r="F3" s="8" t="n">
        <f aca="false">VLOOKUP($A3,'PARASTATAL Questions'!$A:$J,6,0)</f>
        <v>10</v>
      </c>
      <c r="G3" s="8" t="n">
        <f aca="false">IF(OR(G4="ER",G5="ER"),"ER",IF(OR(G4="?",G5="?"),"?",IF(AND(G4="NA",G5="NA"),"NA",SUM(G4,G5)/((G4&lt;&gt;"NA")*$F$4+(G5&lt;&gt;"NA")*$F$5)*$F3)))</f>
        <v>6.25</v>
      </c>
      <c r="H3" s="8" t="str">
        <f aca="false">IF(OR(H4="ER",H5="ER"),"ER",IF(OR(H4="?",H5="?"),"?",IF(AND(H4="NA",H5="NA"),"NA",SUM(H4,H5)/((H4&lt;&gt;"NA")*$F$4+(H5&lt;&gt;"NA")*$F$5)*$F3)))</f>
        <v>?</v>
      </c>
      <c r="I3" s="8" t="str">
        <f aca="false">IF(OR(I4="ER",I5="ER"),"ER",IF(OR(I4="?",I5="?"),"?",IF(AND(I4="NA",I5="NA"),"NA",SUM(I4,I5)/((I4&lt;&gt;"NA")*$F$4+(I5&lt;&gt;"NA")*$F$5)*$F3)))</f>
        <v>?</v>
      </c>
      <c r="J3" s="8" t="str">
        <f aca="false">IF(OR(J4="ER",J5="ER"),"ER",IF(OR(J4="?",J5="?"),"?",IF(AND(J4="NA",J5="NA"),"NA",SUM(J4,J5)/((J4&lt;&gt;"NA")*$F$4+(J5&lt;&gt;"NA")*$F$5)*$F3)))</f>
        <v>?</v>
      </c>
      <c r="K3" s="8" t="str">
        <f aca="false">IF(OR(K4="ER",K5="ER"),"ER",IF(OR(K4="?",K5="?"),"?",IF(AND(K4="NA",K5="NA"),"NA",SUM(K4,K5)/((K4&lt;&gt;"NA")*$F$4+(K5&lt;&gt;"NA")*$F$5)*$F3)))</f>
        <v>?</v>
      </c>
      <c r="L3" s="8" t="str">
        <f aca="false">IF(OR(L4="ER",L5="ER"),"ER",IF(OR(L4="?",L5="?"),"?",IF(AND(L4="NA",L5="NA"),"NA",SUM(L4,L5)/((L4&lt;&gt;"NA")*$F$4+(L5&lt;&gt;"NA")*$F$5)*$F3)))</f>
        <v>?</v>
      </c>
      <c r="M3" s="8" t="str">
        <f aca="false">IF(OR(M4="ER",M5="ER"),"ER",IF(OR(M4="?",M5="?"),"?",IF(AND(M4="NA",M5="NA"),"NA",SUM(M4,M5)/((M4&lt;&gt;"NA")*$F$4+(M5&lt;&gt;"NA")*$F$5)*$F3)))</f>
        <v>?</v>
      </c>
    </row>
    <row r="4" customFormat="false" ht="15" hidden="false" customHeight="true" outlineLevel="0" collapsed="false">
      <c r="A4" s="6" t="s">
        <v>16</v>
      </c>
      <c r="B4" s="6" t="str">
        <f aca="false">VLOOKUP($A4,'PARASTATAL Questions'!$A:$J,3,0)&amp;""</f>
        <v>Urban Planning &amp; Design (UPD)</v>
      </c>
      <c r="C4" s="6" t="str">
        <f aca="false">VLOOKUP($A4,'PARASTATAL Questions'!$A:$J,4,0)&amp;""</f>
        <v>SQ</v>
      </c>
      <c r="D4" s="6" t="str">
        <f aca="false">VLOOKUP($A4,'PARASTATAL Questions'!$A:$J,5,0)&amp;""</f>
        <v>Is the parastatal mandated to prepare its spatial and/or sectoral plans in coordination with the ULG(s) within its jurisdiction?</v>
      </c>
      <c r="E4" s="6" t="str">
        <f aca="false">VLOOKUP($A4,'PARASTATAL Questions'!$A:$J,7,0)&amp;""</f>
        <v>Law/Policy</v>
      </c>
      <c r="F4" s="6" t="n">
        <f aca="false">VLOOKUP($A4,'PARASTATAL Questions'!$A:$J,6,0)</f>
        <v>5</v>
      </c>
      <c r="G4" s="6" t="n">
        <f aca="true">IF($F4=0,"NA",IF($A4=INDIRECT("'"&amp;$A4&amp;"'!$B$1"),IF(VLOOKUP(G$1,INDIRECT("'"&amp;$A4&amp;"'!$A$12:$Z$19"),MATCH("Points (Auto-generate)",INDIRECT("'"&amp;$A4&amp;"'!$A$12:$Z$12"),0),0)="","?",VLOOKUP(G$1,INDIRECT("'"&amp;$A4&amp;"'!$A$12:$Z$19"),MATCH("Points (Auto-generate)",INDIRECT("'"&amp;$A4&amp;"'!$A$12:$Z$12"),0),0)),"ER"))</f>
        <v>1.25</v>
      </c>
      <c r="H4" s="6" t="str">
        <f aca="true">IF($F4=0,"NA",IF($A4=INDIRECT("'"&amp;$A4&amp;"'!$B$1"),IF(VLOOKUP(H$1,INDIRECT("'"&amp;$A4&amp;"'!$A$12:$Z$19"),MATCH("Points (Auto-generate)",INDIRECT("'"&amp;$A4&amp;"'!$A$12:$Z$12"),0),0)="","?",VLOOKUP(H$1,INDIRECT("'"&amp;$A4&amp;"'!$A$12:$Z$19"),MATCH("Points (Auto-generate)",INDIRECT("'"&amp;$A4&amp;"'!$A$12:$Z$12"),0),0)),"ER"))</f>
        <v>?</v>
      </c>
      <c r="I4" s="6" t="n">
        <f aca="true">IF($F4=0,"NA",IF($A4=INDIRECT("'"&amp;$A4&amp;"'!$B$1"),IF(VLOOKUP(I$1,INDIRECT("'"&amp;$A4&amp;"'!$A$12:$Z$19"),MATCH("Points (Auto-generate)",INDIRECT("'"&amp;$A4&amp;"'!$A$12:$Z$12"),0),0)="","?",VLOOKUP(I$1,INDIRECT("'"&amp;$A4&amp;"'!$A$12:$Z$19"),MATCH("Points (Auto-generate)",INDIRECT("'"&amp;$A4&amp;"'!$A$12:$Z$12"),0),0)),"ER"))</f>
        <v>3.75</v>
      </c>
      <c r="J4" s="6" t="n">
        <f aca="true">IF($F4=0,"NA",IF($A4=INDIRECT("'"&amp;$A4&amp;"'!$B$1"),IF(VLOOKUP(J$1,INDIRECT("'"&amp;$A4&amp;"'!$A$12:$Z$19"),MATCH("Points (Auto-generate)",INDIRECT("'"&amp;$A4&amp;"'!$A$12:$Z$12"),0),0)="","?",VLOOKUP(J$1,INDIRECT("'"&amp;$A4&amp;"'!$A$12:$Z$19"),MATCH("Points (Auto-generate)",INDIRECT("'"&amp;$A4&amp;"'!$A$12:$Z$12"),0),0)),"ER"))</f>
        <v>0</v>
      </c>
      <c r="K4" s="6" t="n">
        <f aca="true">IF($F4=0,"NA",IF($A4=INDIRECT("'"&amp;$A4&amp;"'!$B$1"),IF(VLOOKUP(K$1,INDIRECT("'"&amp;$A4&amp;"'!$A$12:$Z$19"),MATCH("Points (Auto-generate)",INDIRECT("'"&amp;$A4&amp;"'!$A$12:$Z$12"),0),0)="","?",VLOOKUP(K$1,INDIRECT("'"&amp;$A4&amp;"'!$A$12:$Z$19"),MATCH("Points (Auto-generate)",INDIRECT("'"&amp;$A4&amp;"'!$A$12:$Z$12"),0),0)),"ER"))</f>
        <v>0</v>
      </c>
      <c r="L4" s="6" t="str">
        <f aca="true">IF($F4=0,"NA",IF($A4=INDIRECT("'"&amp;$A4&amp;"'!$B$1"),IF(VLOOKUP(L$1,INDIRECT("'"&amp;$A4&amp;"'!$A$12:$Z$19"),MATCH("Points (Auto-generate)",INDIRECT("'"&amp;$A4&amp;"'!$A$12:$Z$12"),0),0)="","?",VLOOKUP(L$1,INDIRECT("'"&amp;$A4&amp;"'!$A$12:$Z$19"),MATCH("Points (Auto-generate)",INDIRECT("'"&amp;$A4&amp;"'!$A$12:$Z$12"),0),0)),"ER"))</f>
        <v>?</v>
      </c>
      <c r="M4" s="6" t="str">
        <f aca="true">IF($F4=0,"NA",IF($A4=INDIRECT("'"&amp;$A4&amp;"'!$B$1"),IF(VLOOKUP(M$1,INDIRECT("'"&amp;$A4&amp;"'!$A$12:$Z$19"),MATCH("Points (Auto-generate)",INDIRECT("'"&amp;$A4&amp;"'!$A$12:$Z$12"),0),0)="","?",VLOOKUP(M$1,INDIRECT("'"&amp;$A4&amp;"'!$A$12:$Z$19"),MATCH("Points (Auto-generate)",INDIRECT("'"&amp;$A4&amp;"'!$A$12:$Z$12"),0),0)),"ER"))</f>
        <v>?</v>
      </c>
    </row>
    <row r="5" customFormat="false" ht="15" hidden="false" customHeight="true" outlineLevel="0" collapsed="false">
      <c r="A5" s="6" t="s">
        <v>50</v>
      </c>
      <c r="B5" s="6" t="str">
        <f aca="false">VLOOKUP($A5,'PARASTATAL Questions'!$A:$J,3,0)&amp;""</f>
        <v>Urban Planning &amp; Design (UPD)</v>
      </c>
      <c r="C5" s="6" t="str">
        <f aca="false">VLOOKUP($A5,'PARASTATAL Questions'!$A:$J,4,0)&amp;""</f>
        <v>SQ</v>
      </c>
      <c r="D5" s="6" t="str">
        <f aca="false">VLOOKUP($A5,'PARASTATAL Questions'!$A:$J,5,0)&amp;""</f>
        <v>Has the ULG participated in the parastatal’s plan-making process?</v>
      </c>
      <c r="E5" s="6" t="str">
        <f aca="false">VLOOKUP($A5,'PARASTATAL Questions'!$A:$J,7,0)&amp;""</f>
        <v>Implementation</v>
      </c>
      <c r="F5" s="6" t="n">
        <f aca="false">VLOOKUP($A5,'PARASTATAL Questions'!$A:$J,6,0)</f>
        <v>5</v>
      </c>
      <c r="G5" s="6" t="n">
        <f aca="true">IF($F5=0,"NA",IF($A5=INDIRECT("'"&amp;$A5&amp;"'!$B$1"),IF(VLOOKUP(G$1,INDIRECT("'"&amp;$A5&amp;"'!$A$12:$Z$19"),MATCH("Points (Auto-generate)",INDIRECT("'"&amp;$A5&amp;"'!$A$12:$Z$12"),0),0)="","?",VLOOKUP(G$1,INDIRECT("'"&amp;$A5&amp;"'!$A$12:$Z$19"),MATCH("Points (Auto-generate)",INDIRECT("'"&amp;$A5&amp;"'!$A$12:$Z$12"),0),0)),"ER"))</f>
        <v>5</v>
      </c>
      <c r="H5" s="6" t="str">
        <f aca="true">IF($F5=0,"NA",IF($A5=INDIRECT("'"&amp;$A5&amp;"'!$B$1"),IF(VLOOKUP(H$1,INDIRECT("'"&amp;$A5&amp;"'!$A$12:$Z$19"),MATCH("Points (Auto-generate)",INDIRECT("'"&amp;$A5&amp;"'!$A$12:$Z$12"),0),0)="","?",VLOOKUP(H$1,INDIRECT("'"&amp;$A5&amp;"'!$A$12:$Z$19"),MATCH("Points (Auto-generate)",INDIRECT("'"&amp;$A5&amp;"'!$A$12:$Z$12"),0),0)),"ER"))</f>
        <v>?</v>
      </c>
      <c r="I5" s="6" t="str">
        <f aca="true">IF($F5=0,"NA",IF($A5=INDIRECT("'"&amp;$A5&amp;"'!$B$1"),IF(VLOOKUP(I$1,INDIRECT("'"&amp;$A5&amp;"'!$A$12:$Z$19"),MATCH("Points (Auto-generate)",INDIRECT("'"&amp;$A5&amp;"'!$A$12:$Z$12"),0),0)="","?",VLOOKUP(I$1,INDIRECT("'"&amp;$A5&amp;"'!$A$12:$Z$19"),MATCH("Points (Auto-generate)",INDIRECT("'"&amp;$A5&amp;"'!$A$12:$Z$12"),0),0)),"ER"))</f>
        <v>?</v>
      </c>
      <c r="J5" s="6" t="str">
        <f aca="true">IF($F5=0,"NA",IF($A5=INDIRECT("'"&amp;$A5&amp;"'!$B$1"),IF(VLOOKUP(J$1,INDIRECT("'"&amp;$A5&amp;"'!$A$12:$Z$19"),MATCH("Points (Auto-generate)",INDIRECT("'"&amp;$A5&amp;"'!$A$12:$Z$12"),0),0)="","?",VLOOKUP(J$1,INDIRECT("'"&amp;$A5&amp;"'!$A$12:$Z$19"),MATCH("Points (Auto-generate)",INDIRECT("'"&amp;$A5&amp;"'!$A$12:$Z$12"),0),0)),"ER"))</f>
        <v>?</v>
      </c>
      <c r="K5" s="6" t="str">
        <f aca="true">IF($F5=0,"NA",IF($A5=INDIRECT("'"&amp;$A5&amp;"'!$B$1"),IF(VLOOKUP(K$1,INDIRECT("'"&amp;$A5&amp;"'!$A$12:$Z$19"),MATCH("Points (Auto-generate)",INDIRECT("'"&amp;$A5&amp;"'!$A$12:$Z$12"),0),0)="","?",VLOOKUP(K$1,INDIRECT("'"&amp;$A5&amp;"'!$A$12:$Z$19"),MATCH("Points (Auto-generate)",INDIRECT("'"&amp;$A5&amp;"'!$A$12:$Z$12"),0),0)),"ER"))</f>
        <v>?</v>
      </c>
      <c r="L5" s="6" t="str">
        <f aca="true">IF($F5=0,"NA",IF($A5=INDIRECT("'"&amp;$A5&amp;"'!$B$1"),IF(VLOOKUP(L$1,INDIRECT("'"&amp;$A5&amp;"'!$A$12:$Z$19"),MATCH("Points (Auto-generate)",INDIRECT("'"&amp;$A5&amp;"'!$A$12:$Z$12"),0),0)="","?",VLOOKUP(L$1,INDIRECT("'"&amp;$A5&amp;"'!$A$12:$Z$19"),MATCH("Points (Auto-generate)",INDIRECT("'"&amp;$A5&amp;"'!$A$12:$Z$12"),0),0)),"ER"))</f>
        <v>?</v>
      </c>
      <c r="M5" s="6" t="str">
        <f aca="true">IF($F5=0,"NA",IF($A5=INDIRECT("'"&amp;$A5&amp;"'!$B$1"),IF(VLOOKUP(M$1,INDIRECT("'"&amp;$A5&amp;"'!$A$12:$Z$19"),MATCH("Points (Auto-generate)",INDIRECT("'"&amp;$A5&amp;"'!$A$12:$Z$12"),0),0)="","?",VLOOKUP(M$1,INDIRECT("'"&amp;$A5&amp;"'!$A$12:$Z$19"),MATCH("Points (Auto-generate)",INDIRECT("'"&amp;$A5&amp;"'!$A$12:$Z$12"),0),0)),"ER"))</f>
        <v>?</v>
      </c>
    </row>
    <row r="6" customFormat="false" ht="15" hidden="false" customHeight="true" outlineLevel="0" collapsed="false">
      <c r="A6" s="8" t="s">
        <v>567</v>
      </c>
      <c r="B6" s="8" t="str">
        <f aca="false">VLOOKUP($A6,'PARASTATAL Questions'!$A:$J,3,0)&amp;""</f>
        <v>Urban Planning &amp; Design (UPD)</v>
      </c>
      <c r="C6" s="8" t="str">
        <f aca="false">VLOOKUP($A6,'PARASTATAL Questions'!$A:$J,4,0)&amp;""</f>
        <v>MQ</v>
      </c>
      <c r="D6" s="8" t="str">
        <f aca="false">VLOOKUP($A6,'PARASTATAL Questions'!$A:$J,5,0)&amp;""</f>
        <v>Where multiple statutory or sectoral plans apply to the same territory, does the water supply board and transport corporation ensure consistency with the applicable metropolitan/regional or city master plan/strategic plan for the city?</v>
      </c>
      <c r="E6" s="8" t="str">
        <f aca="false">VLOOKUP($A6,'PARASTATAL Questions'!$A:$J,7,0)&amp;""</f>
        <v/>
      </c>
      <c r="F6" s="8" t="n">
        <f aca="false">VLOOKUP($A6,'PARASTATAL Questions'!$A:$J,6,0)</f>
        <v>10</v>
      </c>
      <c r="G6" s="8" t="str">
        <f aca="false">IF(OR(G7="ER",G8="ER",G9="ER",G10="ER"),"ER",IF(OR(G7="?",G8="?",G9="?",G10="?"),"?",IF(AND(G7="NA",G8="NA",G9="NA",G10="NA"),"NA",SUM(G7,G8,G9,G10)/((G7&lt;&gt;"NA")*$F$7+(G8&lt;&gt;"NA")*$F$8+(G9&lt;&gt;"NA")*$F$9+(G10&lt;&gt;"NA")*$F$10)*$F6)))</f>
        <v>?</v>
      </c>
      <c r="H6" s="8" t="str">
        <f aca="false">IF(OR(H7="ER",H8="ER",H9="ER",H10="ER"),"ER",IF(OR(H7="?",H8="?",H9="?",H10="?"),"?",IF(AND(H7="NA",H8="NA",H9="NA",H10="NA"),"NA",SUM(H7,H8,H9,H10)/((H7&lt;&gt;"NA")*$F$7+(H8&lt;&gt;"NA")*$F$8+(H9&lt;&gt;"NA")*$F$9+(H10&lt;&gt;"NA")*$F$10)*$F6)))</f>
        <v>?</v>
      </c>
      <c r="I6" s="8" t="str">
        <f aca="false">IF(OR(I7="ER",I8="ER",I9="ER",I10="ER"),"ER",IF(OR(I7="?",I8="?",I9="?",I10="?"),"?",IF(AND(I7="NA",I8="NA",I9="NA",I10="NA"),"NA",SUM(I7,I8,I9,I10)/((I7&lt;&gt;"NA")*$F$7+(I8&lt;&gt;"NA")*$F$8+(I9&lt;&gt;"NA")*$F$9+(I10&lt;&gt;"NA")*$F$10)*$F6)))</f>
        <v>NA</v>
      </c>
      <c r="J6" s="8" t="str">
        <f aca="false">IF(OR(J7="ER",J8="ER",J9="ER",J10="ER"),"ER",IF(OR(J7="?",J8="?",J9="?",J10="?"),"?",IF(AND(J7="NA",J8="NA",J9="NA",J10="NA"),"NA",SUM(J7,J8,J9,J10)/((J7&lt;&gt;"NA")*$F$7+(J8&lt;&gt;"NA")*$F$8+(J9&lt;&gt;"NA")*$F$9+(J10&lt;&gt;"NA")*$F$10)*$F6)))</f>
        <v>NA</v>
      </c>
      <c r="K6" s="8" t="str">
        <f aca="false">IF(OR(K7="ER",K8="ER",K9="ER",K10="ER"),"ER",IF(OR(K7="?",K8="?",K9="?",K10="?"),"?",IF(AND(K7="NA",K8="NA",K9="NA",K10="NA"),"NA",SUM(K7,K8,K9,K10)/((K7&lt;&gt;"NA")*$F$7+(K8&lt;&gt;"NA")*$F$8+(K9&lt;&gt;"NA")*$F$9+(K10&lt;&gt;"NA")*$F$10)*$F6)))</f>
        <v>NA</v>
      </c>
      <c r="L6" s="8" t="str">
        <f aca="false">IF(OR(L7="ER",L8="ER",L9="ER",L10="ER"),"ER",IF(OR(L7="?",L8="?",L9="?",L10="?"),"?",IF(AND(L7="NA",L8="NA",L9="NA",L10="NA"),"NA",SUM(L7,L8,L9,L10)/((L7&lt;&gt;"NA")*$F$7+(L8&lt;&gt;"NA")*$F$8+(L9&lt;&gt;"NA")*$F$9+(L10&lt;&gt;"NA")*$F$10)*$F6)))</f>
        <v>NA</v>
      </c>
      <c r="M6" s="8" t="str">
        <f aca="false">IF(OR(M7="ER",M8="ER",M9="ER",M10="ER"),"ER",IF(OR(M7="?",M8="?",M9="?",M10="?"),"?",IF(AND(M7="NA",M8="NA",M9="NA",M10="NA"),"NA",SUM(M7,M8,M9,M10)/((M7&lt;&gt;"NA")*$F$7+(M8&lt;&gt;"NA")*$F$8+(M9&lt;&gt;"NA")*$F$9+(M10&lt;&gt;"NA")*$F$10)*$F6)))</f>
        <v>NA</v>
      </c>
    </row>
    <row r="7" customFormat="false" ht="15" hidden="false" customHeight="true" outlineLevel="0" collapsed="false">
      <c r="A7" s="6" t="s">
        <v>67</v>
      </c>
      <c r="B7" s="6" t="str">
        <f aca="false">VLOOKUP($A7,'PARASTATAL Questions'!$A:$J,3,0)&amp;""</f>
        <v>Urban Planning &amp; Design (UPD)</v>
      </c>
      <c r="C7" s="6" t="str">
        <f aca="false">VLOOKUP($A7,'PARASTATAL Questions'!$A:$J,4,0)&amp;""</f>
        <v>SQ</v>
      </c>
      <c r="D7" s="6" t="str">
        <f aca="false">VLOOKUP($A7,'PARASTATAL Questions'!$A:$J,5,0)&amp;""</f>
        <v>Where multiple statutory or sectoral plans apply to the same territory, is the water board mandated to ensure consistency with the applicable metropolitan/regional or city master plan/strategic plan for the city?</v>
      </c>
      <c r="E7" s="6" t="str">
        <f aca="false">VLOOKUP($A7,'PARASTATAL Questions'!$A:$J,7,0)&amp;""</f>
        <v>Law/Policy</v>
      </c>
      <c r="F7" s="6" t="n">
        <f aca="false">VLOOKUP($A7,'PARASTATAL Questions'!$A:$J,6,0)</f>
        <v>2.5</v>
      </c>
      <c r="G7" s="6" t="n">
        <f aca="true">IF($F7=0,"NA",IF($A7=INDIRECT("'"&amp;$A7&amp;"'!$B$1"),IF(VLOOKUP(G$1,INDIRECT("'"&amp;$A7&amp;"'!$A$12:$Z$19"),MATCH("Points (Auto-generate)",INDIRECT("'"&amp;$A7&amp;"'!$A$12:$Z$12"),0),0)="","?",VLOOKUP(G$1,INDIRECT("'"&amp;$A7&amp;"'!$A$12:$Z$19"),MATCH("Points (Auto-generate)",INDIRECT("'"&amp;$A7&amp;"'!$A$12:$Z$12"),0),0)),"ER"))</f>
        <v>0</v>
      </c>
      <c r="H7" s="6" t="str">
        <f aca="true">IF($F7=0,"NA",IF($A7=INDIRECT("'"&amp;$A7&amp;"'!$B$1"),IF(VLOOKUP(H$1,INDIRECT("'"&amp;$A7&amp;"'!$A$12:$Z$19"),MATCH("Points (Auto-generate)",INDIRECT("'"&amp;$A7&amp;"'!$A$12:$Z$12"),0),0)="","?",VLOOKUP(H$1,INDIRECT("'"&amp;$A7&amp;"'!$A$12:$Z$19"),MATCH("Points (Auto-generate)",INDIRECT("'"&amp;$A7&amp;"'!$A$12:$Z$12"),0),0)),"ER"))</f>
        <v>NA</v>
      </c>
      <c r="I7" s="6" t="str">
        <f aca="true">IF($F7=0,"NA",IF($A7=INDIRECT("'"&amp;$A7&amp;"'!$B$1"),IF(VLOOKUP(I$1,INDIRECT("'"&amp;$A7&amp;"'!$A$12:$Z$19"),MATCH("Points (Auto-generate)",INDIRECT("'"&amp;$A7&amp;"'!$A$12:$Z$12"),0),0)="","?",VLOOKUP(I$1,INDIRECT("'"&amp;$A7&amp;"'!$A$12:$Z$19"),MATCH("Points (Auto-generate)",INDIRECT("'"&amp;$A7&amp;"'!$A$12:$Z$12"),0),0)),"ER"))</f>
        <v>NA</v>
      </c>
      <c r="J7" s="6" t="str">
        <f aca="true">IF($F7=0,"NA",IF($A7=INDIRECT("'"&amp;$A7&amp;"'!$B$1"),IF(VLOOKUP(J$1,INDIRECT("'"&amp;$A7&amp;"'!$A$12:$Z$19"),MATCH("Points (Auto-generate)",INDIRECT("'"&amp;$A7&amp;"'!$A$12:$Z$12"),0),0)="","?",VLOOKUP(J$1,INDIRECT("'"&amp;$A7&amp;"'!$A$12:$Z$19"),MATCH("Points (Auto-generate)",INDIRECT("'"&amp;$A7&amp;"'!$A$12:$Z$12"),0),0)),"ER"))</f>
        <v>NA</v>
      </c>
      <c r="K7" s="6" t="str">
        <f aca="true">IF($F7=0,"NA",IF($A7=INDIRECT("'"&amp;$A7&amp;"'!$B$1"),IF(VLOOKUP(K$1,INDIRECT("'"&amp;$A7&amp;"'!$A$12:$Z$19"),MATCH("Points (Auto-generate)",INDIRECT("'"&amp;$A7&amp;"'!$A$12:$Z$12"),0),0)="","?",VLOOKUP(K$1,INDIRECT("'"&amp;$A7&amp;"'!$A$12:$Z$19"),MATCH("Points (Auto-generate)",INDIRECT("'"&amp;$A7&amp;"'!$A$12:$Z$12"),0),0)),"ER"))</f>
        <v>NA</v>
      </c>
      <c r="L7" s="6" t="str">
        <f aca="true">IF($F7=0,"NA",IF($A7=INDIRECT("'"&amp;$A7&amp;"'!$B$1"),IF(VLOOKUP(L$1,INDIRECT("'"&amp;$A7&amp;"'!$A$12:$Z$19"),MATCH("Points (Auto-generate)",INDIRECT("'"&amp;$A7&amp;"'!$A$12:$Z$12"),0),0)="","?",VLOOKUP(L$1,INDIRECT("'"&amp;$A7&amp;"'!$A$12:$Z$19"),MATCH("Points (Auto-generate)",INDIRECT("'"&amp;$A7&amp;"'!$A$12:$Z$12"),0),0)),"ER"))</f>
        <v>NA</v>
      </c>
      <c r="M7" s="6" t="str">
        <f aca="true">IF($F7=0,"NA",IF($A7=INDIRECT("'"&amp;$A7&amp;"'!$B$1"),IF(VLOOKUP(M$1,INDIRECT("'"&amp;$A7&amp;"'!$A$12:$Z$19"),MATCH("Points (Auto-generate)",INDIRECT("'"&amp;$A7&amp;"'!$A$12:$Z$12"),0),0)="","?",VLOOKUP(M$1,INDIRECT("'"&amp;$A7&amp;"'!$A$12:$Z$19"),MATCH("Points (Auto-generate)",INDIRECT("'"&amp;$A7&amp;"'!$A$12:$Z$12"),0),0)),"ER"))</f>
        <v>NA</v>
      </c>
    </row>
    <row r="8" customFormat="false" ht="15" hidden="false" customHeight="true" outlineLevel="0" collapsed="false">
      <c r="A8" s="6" t="s">
        <v>71</v>
      </c>
      <c r="B8" s="6" t="str">
        <f aca="false">VLOOKUP($A8,'PARASTATAL Questions'!$A:$J,3,0)&amp;""</f>
        <v>Urban Planning &amp; Design (UPD)</v>
      </c>
      <c r="C8" s="6" t="str">
        <f aca="false">VLOOKUP($A8,'PARASTATAL Questions'!$A:$J,4,0)&amp;""</f>
        <v>SQ</v>
      </c>
      <c r="D8" s="6" t="str">
        <f aca="false">VLOOKUP($A8,'PARASTATAL Questions'!$A:$J,5,0)&amp;""</f>
        <v>Where multiple statutory or sectoral plans apply to the same territory, does the water supply board ensure consistency with the applicable metropolitan/regional or city master plan/strategic plan for the city?</v>
      </c>
      <c r="E8" s="6" t="str">
        <f aca="false">VLOOKUP($A8,'PARASTATAL Questions'!$A:$J,7,0)&amp;""</f>
        <v>Implementation</v>
      </c>
      <c r="F8" s="6" t="n">
        <f aca="false">VLOOKUP($A8,'PARASTATAL Questions'!$A:$J,6,0)</f>
        <v>2.5</v>
      </c>
      <c r="G8" s="6" t="str">
        <f aca="true">IF($F8=0,"NA",IF($A8=INDIRECT("'"&amp;$A8&amp;"'!$B$1"),IF(VLOOKUP(G$1,INDIRECT("'"&amp;$A8&amp;"'!$A$12:$Z$19"),MATCH("Points (Auto-generate)",INDIRECT("'"&amp;$A8&amp;"'!$A$12:$Z$12"),0),0)="","?",VLOOKUP(G$1,INDIRECT("'"&amp;$A8&amp;"'!$A$12:$Z$19"),MATCH("Points (Auto-generate)",INDIRECT("'"&amp;$A8&amp;"'!$A$12:$Z$12"),0),0)),"ER"))</f>
        <v>?</v>
      </c>
      <c r="H8" s="6" t="str">
        <f aca="true">IF($F8=0,"NA",IF($A8=INDIRECT("'"&amp;$A8&amp;"'!$B$1"),IF(VLOOKUP(H$1,INDIRECT("'"&amp;$A8&amp;"'!$A$12:$Z$19"),MATCH("Points (Auto-generate)",INDIRECT("'"&amp;$A8&amp;"'!$A$12:$Z$12"),0),0)="","?",VLOOKUP(H$1,INDIRECT("'"&amp;$A8&amp;"'!$A$12:$Z$19"),MATCH("Points (Auto-generate)",INDIRECT("'"&amp;$A8&amp;"'!$A$12:$Z$12"),0),0)),"ER"))</f>
        <v>NA</v>
      </c>
      <c r="I8" s="6" t="str">
        <f aca="true">IF($F8=0,"NA",IF($A8=INDIRECT("'"&amp;$A8&amp;"'!$B$1"),IF(VLOOKUP(I$1,INDIRECT("'"&amp;$A8&amp;"'!$A$12:$Z$19"),MATCH("Points (Auto-generate)",INDIRECT("'"&amp;$A8&amp;"'!$A$12:$Z$12"),0),0)="","?",VLOOKUP(I$1,INDIRECT("'"&amp;$A8&amp;"'!$A$12:$Z$19"),MATCH("Points (Auto-generate)",INDIRECT("'"&amp;$A8&amp;"'!$A$12:$Z$12"),0),0)),"ER"))</f>
        <v>NA</v>
      </c>
      <c r="J8" s="6" t="str">
        <f aca="true">IF($F8=0,"NA",IF($A8=INDIRECT("'"&amp;$A8&amp;"'!$B$1"),IF(VLOOKUP(J$1,INDIRECT("'"&amp;$A8&amp;"'!$A$12:$Z$19"),MATCH("Points (Auto-generate)",INDIRECT("'"&amp;$A8&amp;"'!$A$12:$Z$12"),0),0)="","?",VLOOKUP(J$1,INDIRECT("'"&amp;$A8&amp;"'!$A$12:$Z$19"),MATCH("Points (Auto-generate)",INDIRECT("'"&amp;$A8&amp;"'!$A$12:$Z$12"),0),0)),"ER"))</f>
        <v>NA</v>
      </c>
      <c r="K8" s="6" t="str">
        <f aca="true">IF($F8=0,"NA",IF($A8=INDIRECT("'"&amp;$A8&amp;"'!$B$1"),IF(VLOOKUP(K$1,INDIRECT("'"&amp;$A8&amp;"'!$A$12:$Z$19"),MATCH("Points (Auto-generate)",INDIRECT("'"&amp;$A8&amp;"'!$A$12:$Z$12"),0),0)="","?",VLOOKUP(K$1,INDIRECT("'"&amp;$A8&amp;"'!$A$12:$Z$19"),MATCH("Points (Auto-generate)",INDIRECT("'"&amp;$A8&amp;"'!$A$12:$Z$12"),0),0)),"ER"))</f>
        <v>NA</v>
      </c>
      <c r="L8" s="6" t="str">
        <f aca="true">IF($F8=0,"NA",IF($A8=INDIRECT("'"&amp;$A8&amp;"'!$B$1"),IF(VLOOKUP(L$1,INDIRECT("'"&amp;$A8&amp;"'!$A$12:$Z$19"),MATCH("Points (Auto-generate)",INDIRECT("'"&amp;$A8&amp;"'!$A$12:$Z$12"),0),0)="","?",VLOOKUP(L$1,INDIRECT("'"&amp;$A8&amp;"'!$A$12:$Z$19"),MATCH("Points (Auto-generate)",INDIRECT("'"&amp;$A8&amp;"'!$A$12:$Z$12"),0),0)),"ER"))</f>
        <v>NA</v>
      </c>
      <c r="M8" s="6" t="str">
        <f aca="true">IF($F8=0,"NA",IF($A8=INDIRECT("'"&amp;$A8&amp;"'!$B$1"),IF(VLOOKUP(M$1,INDIRECT("'"&amp;$A8&amp;"'!$A$12:$Z$19"),MATCH("Points (Auto-generate)",INDIRECT("'"&amp;$A8&amp;"'!$A$12:$Z$12"),0),0)="","?",VLOOKUP(M$1,INDIRECT("'"&amp;$A8&amp;"'!$A$12:$Z$19"),MATCH("Points (Auto-generate)",INDIRECT("'"&amp;$A8&amp;"'!$A$12:$Z$12"),0),0)),"ER"))</f>
        <v>NA</v>
      </c>
    </row>
    <row r="9" customFormat="false" ht="15" hidden="false" customHeight="true" outlineLevel="0" collapsed="false">
      <c r="A9" s="6" t="s">
        <v>73</v>
      </c>
      <c r="B9" s="6" t="str">
        <f aca="false">VLOOKUP($A9,'PARASTATAL Questions'!$A:$J,3,0)&amp;""</f>
        <v>Urban Planning &amp; Design (UPD)</v>
      </c>
      <c r="C9" s="6" t="str">
        <f aca="false">VLOOKUP($A9,'PARASTATAL Questions'!$A:$J,4,0)&amp;""</f>
        <v>SQ</v>
      </c>
      <c r="D9" s="6" t="str">
        <f aca="false">VLOOKUP($A9,'PARASTATAL Questions'!$A:$J,5,0)&amp;""</f>
        <v>Where multiple statutory or sectoral plans apply to the same territory, is the transport corporation mandated to ensure consistency with the applicable metropolitan/regional or city master plan/strategic plan for the city?</v>
      </c>
      <c r="E9" s="6" t="str">
        <f aca="false">VLOOKUP($A9,'PARASTATAL Questions'!$A:$J,7,0)&amp;""</f>
        <v>Law/Policy</v>
      </c>
      <c r="F9" s="6" t="n">
        <f aca="false">VLOOKUP($A9,'PARASTATAL Questions'!$A:$J,6,0)</f>
        <v>2.5</v>
      </c>
      <c r="G9" s="6" t="str">
        <f aca="true">IF($F9=0,"NA",IF($A9=INDIRECT("'"&amp;$A9&amp;"'!$B$1"),IF(VLOOKUP(G$1,INDIRECT("'"&amp;$A9&amp;"'!$A$12:$Z$19"),MATCH("Points (Auto-generate)",INDIRECT("'"&amp;$A9&amp;"'!$A$12:$Z$12"),0),0)="","?",VLOOKUP(G$1,INDIRECT("'"&amp;$A9&amp;"'!$A$12:$Z$19"),MATCH("Points (Auto-generate)",INDIRECT("'"&amp;$A9&amp;"'!$A$12:$Z$12"),0),0)),"ER"))</f>
        <v>NA</v>
      </c>
      <c r="H9" s="6" t="n">
        <f aca="true">IF($F9=0,"NA",IF($A9=INDIRECT("'"&amp;$A9&amp;"'!$B$1"),IF(VLOOKUP(H$1,INDIRECT("'"&amp;$A9&amp;"'!$A$12:$Z$19"),MATCH("Points (Auto-generate)",INDIRECT("'"&amp;$A9&amp;"'!$A$12:$Z$12"),0),0)="","?",VLOOKUP(H$1,INDIRECT("'"&amp;$A9&amp;"'!$A$12:$Z$19"),MATCH("Points (Auto-generate)",INDIRECT("'"&amp;$A9&amp;"'!$A$12:$Z$12"),0),0)),"ER"))</f>
        <v>2.5</v>
      </c>
      <c r="I9" s="6" t="str">
        <f aca="true">IF($F9=0,"NA",IF($A9=INDIRECT("'"&amp;$A9&amp;"'!$B$1"),IF(VLOOKUP(I$1,INDIRECT("'"&amp;$A9&amp;"'!$A$12:$Z$19"),MATCH("Points (Auto-generate)",INDIRECT("'"&amp;$A9&amp;"'!$A$12:$Z$12"),0),0)="","?",VLOOKUP(I$1,INDIRECT("'"&amp;$A9&amp;"'!$A$12:$Z$19"),MATCH("Points (Auto-generate)",INDIRECT("'"&amp;$A9&amp;"'!$A$12:$Z$12"),0),0)),"ER"))</f>
        <v>NA</v>
      </c>
      <c r="J9" s="6" t="str">
        <f aca="true">IF($F9=0,"NA",IF($A9=INDIRECT("'"&amp;$A9&amp;"'!$B$1"),IF(VLOOKUP(J$1,INDIRECT("'"&amp;$A9&amp;"'!$A$12:$Z$19"),MATCH("Points (Auto-generate)",INDIRECT("'"&amp;$A9&amp;"'!$A$12:$Z$12"),0),0)="","?",VLOOKUP(J$1,INDIRECT("'"&amp;$A9&amp;"'!$A$12:$Z$19"),MATCH("Points (Auto-generate)",INDIRECT("'"&amp;$A9&amp;"'!$A$12:$Z$12"),0),0)),"ER"))</f>
        <v>NA</v>
      </c>
      <c r="K9" s="6" t="str">
        <f aca="true">IF($F9=0,"NA",IF($A9=INDIRECT("'"&amp;$A9&amp;"'!$B$1"),IF(VLOOKUP(K$1,INDIRECT("'"&amp;$A9&amp;"'!$A$12:$Z$19"),MATCH("Points (Auto-generate)",INDIRECT("'"&amp;$A9&amp;"'!$A$12:$Z$12"),0),0)="","?",VLOOKUP(K$1,INDIRECT("'"&amp;$A9&amp;"'!$A$12:$Z$19"),MATCH("Points (Auto-generate)",INDIRECT("'"&amp;$A9&amp;"'!$A$12:$Z$12"),0),0)),"ER"))</f>
        <v>NA</v>
      </c>
      <c r="L9" s="6" t="str">
        <f aca="true">IF($F9=0,"NA",IF($A9=INDIRECT("'"&amp;$A9&amp;"'!$B$1"),IF(VLOOKUP(L$1,INDIRECT("'"&amp;$A9&amp;"'!$A$12:$Z$19"),MATCH("Points (Auto-generate)",INDIRECT("'"&amp;$A9&amp;"'!$A$12:$Z$12"),0),0)="","?",VLOOKUP(L$1,INDIRECT("'"&amp;$A9&amp;"'!$A$12:$Z$19"),MATCH("Points (Auto-generate)",INDIRECT("'"&amp;$A9&amp;"'!$A$12:$Z$12"),0),0)),"ER"))</f>
        <v>NA</v>
      </c>
      <c r="M9" s="6" t="str">
        <f aca="true">IF($F9=0,"NA",IF($A9=INDIRECT("'"&amp;$A9&amp;"'!$B$1"),IF(VLOOKUP(M$1,INDIRECT("'"&amp;$A9&amp;"'!$A$12:$Z$19"),MATCH("Points (Auto-generate)",INDIRECT("'"&amp;$A9&amp;"'!$A$12:$Z$12"),0),0)="","?",VLOOKUP(M$1,INDIRECT("'"&amp;$A9&amp;"'!$A$12:$Z$19"),MATCH("Points (Auto-generate)",INDIRECT("'"&amp;$A9&amp;"'!$A$12:$Z$12"),0),0)),"ER"))</f>
        <v>NA</v>
      </c>
    </row>
    <row r="10" customFormat="false" ht="15" hidden="false" customHeight="true" outlineLevel="0" collapsed="false">
      <c r="A10" s="6" t="s">
        <v>79</v>
      </c>
      <c r="B10" s="6" t="str">
        <f aca="false">VLOOKUP($A10,'PARASTATAL Questions'!$A:$J,3,0)&amp;""</f>
        <v>Urban Planning &amp; Design (UPD)</v>
      </c>
      <c r="C10" s="6" t="str">
        <f aca="false">VLOOKUP($A10,'PARASTATAL Questions'!$A:$J,4,0)&amp;""</f>
        <v>SQ</v>
      </c>
      <c r="D10" s="6" t="str">
        <f aca="false">VLOOKUP($A10,'PARASTATAL Questions'!$A:$J,5,0)&amp;""</f>
        <v>Where multiple statutory or sectoral plans apply to the same territory, does the transport corporation ensure consistency with the applicable metropolitan/regional or city master plan/strategic plan for the city?</v>
      </c>
      <c r="E10" s="6" t="str">
        <f aca="false">VLOOKUP($A10,'PARASTATAL Questions'!$A:$J,7,0)&amp;""</f>
        <v>Implementation</v>
      </c>
      <c r="F10" s="6" t="n">
        <f aca="false">VLOOKUP($A10,'PARASTATAL Questions'!$A:$J,6,0)</f>
        <v>2.5</v>
      </c>
      <c r="G10" s="6" t="str">
        <f aca="true">IF($F10=0,"NA",IF($A10=INDIRECT("'"&amp;$A10&amp;"'!$B$1"),IF(VLOOKUP(G$1,INDIRECT("'"&amp;$A10&amp;"'!$A$12:$Z$19"),MATCH("Points (Auto-generate)",INDIRECT("'"&amp;$A10&amp;"'!$A$12:$Z$12"),0),0)="","?",VLOOKUP(G$1,INDIRECT("'"&amp;$A10&amp;"'!$A$12:$Z$19"),MATCH("Points (Auto-generate)",INDIRECT("'"&amp;$A10&amp;"'!$A$12:$Z$12"),0),0)),"ER"))</f>
        <v>NA</v>
      </c>
      <c r="H10" s="6" t="str">
        <f aca="true">IF($F10=0,"NA",IF($A10=INDIRECT("'"&amp;$A10&amp;"'!$B$1"),IF(VLOOKUP(H$1,INDIRECT("'"&amp;$A10&amp;"'!$A$12:$Z$19"),MATCH("Points (Auto-generate)",INDIRECT("'"&amp;$A10&amp;"'!$A$12:$Z$12"),0),0)="","?",VLOOKUP(H$1,INDIRECT("'"&amp;$A10&amp;"'!$A$12:$Z$19"),MATCH("Points (Auto-generate)",INDIRECT("'"&amp;$A10&amp;"'!$A$12:$Z$12"),0),0)),"ER"))</f>
        <v>?</v>
      </c>
      <c r="I10" s="6" t="str">
        <f aca="true">IF($F10=0,"NA",IF($A10=INDIRECT("'"&amp;$A10&amp;"'!$B$1"),IF(VLOOKUP(I$1,INDIRECT("'"&amp;$A10&amp;"'!$A$12:$Z$19"),MATCH("Points (Auto-generate)",INDIRECT("'"&amp;$A10&amp;"'!$A$12:$Z$12"),0),0)="","?",VLOOKUP(I$1,INDIRECT("'"&amp;$A10&amp;"'!$A$12:$Z$19"),MATCH("Points (Auto-generate)",INDIRECT("'"&amp;$A10&amp;"'!$A$12:$Z$12"),0),0)),"ER"))</f>
        <v>NA</v>
      </c>
      <c r="J10" s="6" t="str">
        <f aca="true">IF($F10=0,"NA",IF($A10=INDIRECT("'"&amp;$A10&amp;"'!$B$1"),IF(VLOOKUP(J$1,INDIRECT("'"&amp;$A10&amp;"'!$A$12:$Z$19"),MATCH("Points (Auto-generate)",INDIRECT("'"&amp;$A10&amp;"'!$A$12:$Z$12"),0),0)="","?",VLOOKUP(J$1,INDIRECT("'"&amp;$A10&amp;"'!$A$12:$Z$19"),MATCH("Points (Auto-generate)",INDIRECT("'"&amp;$A10&amp;"'!$A$12:$Z$12"),0),0)),"ER"))</f>
        <v>NA</v>
      </c>
      <c r="K10" s="6" t="str">
        <f aca="true">IF($F10=0,"NA",IF($A10=INDIRECT("'"&amp;$A10&amp;"'!$B$1"),IF(VLOOKUP(K$1,INDIRECT("'"&amp;$A10&amp;"'!$A$12:$Z$19"),MATCH("Points (Auto-generate)",INDIRECT("'"&amp;$A10&amp;"'!$A$12:$Z$12"),0),0)="","?",VLOOKUP(K$1,INDIRECT("'"&amp;$A10&amp;"'!$A$12:$Z$19"),MATCH("Points (Auto-generate)",INDIRECT("'"&amp;$A10&amp;"'!$A$12:$Z$12"),0),0)),"ER"))</f>
        <v>NA</v>
      </c>
      <c r="L10" s="6" t="str">
        <f aca="true">IF($F10=0,"NA",IF($A10=INDIRECT("'"&amp;$A10&amp;"'!$B$1"),IF(VLOOKUP(L$1,INDIRECT("'"&amp;$A10&amp;"'!$A$12:$Z$19"),MATCH("Points (Auto-generate)",INDIRECT("'"&amp;$A10&amp;"'!$A$12:$Z$12"),0),0)="","?",VLOOKUP(L$1,INDIRECT("'"&amp;$A10&amp;"'!$A$12:$Z$19"),MATCH("Points (Auto-generate)",INDIRECT("'"&amp;$A10&amp;"'!$A$12:$Z$12"),0),0)),"ER"))</f>
        <v>NA</v>
      </c>
      <c r="M10" s="6" t="str">
        <f aca="true">IF($F10=0,"NA",IF($A10=INDIRECT("'"&amp;$A10&amp;"'!$B$1"),IF(VLOOKUP(M$1,INDIRECT("'"&amp;$A10&amp;"'!$A$12:$Z$19"),MATCH("Points (Auto-generate)",INDIRECT("'"&amp;$A10&amp;"'!$A$12:$Z$12"),0),0)="","?",VLOOKUP(M$1,INDIRECT("'"&amp;$A10&amp;"'!$A$12:$Z$19"),MATCH("Points (Auto-generate)",INDIRECT("'"&amp;$A10&amp;"'!$A$12:$Z$12"),0),0)),"ER"))</f>
        <v>NA</v>
      </c>
    </row>
    <row r="11" customFormat="false" ht="15" hidden="false" customHeight="true" outlineLevel="0" collapsed="false">
      <c r="A11" s="8" t="s">
        <v>568</v>
      </c>
      <c r="B11" s="8" t="str">
        <f aca="false">VLOOKUP($A11,'PARASTATAL Questions'!$A:$J,3,0)&amp;""</f>
        <v>Urban Planning &amp; Design (UPD)</v>
      </c>
      <c r="C11" s="8" t="str">
        <f aca="false">VLOOKUP($A11,'PARASTATAL Questions'!$A:$J,4,0)&amp;""</f>
        <v>MQ</v>
      </c>
      <c r="D11" s="8" t="str">
        <f aca="false">VLOOKUP($A11,'PARASTATAL Questions'!$A:$J,5,0)&amp;""</f>
        <v>Are the needs of women, the urban poor, and other vulnerable groups explicitly considered in the water board’s planning, service delivery or major investment decisions?</v>
      </c>
      <c r="E11" s="8" t="str">
        <f aca="false">VLOOKUP($A11,'PARASTATAL Questions'!$A:$J,7,0)&amp;""</f>
        <v>Law/Policy</v>
      </c>
      <c r="F11" s="8" t="n">
        <f aca="false">VLOOKUP($A11,'PARASTATAL Questions'!$A:$J,6,0)</f>
        <v>10</v>
      </c>
      <c r="G11" s="8" t="n">
        <f aca="false">IF(OR(G12="ER",G13="ER"),"ER",IF(OR(G12="?",G13="?"),"?",IF(AND(G12="NA",G13="NA"),"NA",SUM(G12,G13)/((G12&lt;&gt;"NA")*$F$12+(G13&lt;&gt;"NA")*$F$13)*$F11)))</f>
        <v>5</v>
      </c>
      <c r="H11" s="8" t="str">
        <f aca="false">IF(OR(H12="ER",H13="ER"),"ER",IF(OR(H12="?",H13="?"),"?",IF(AND(H12="NA",H13="NA"),"NA",SUM(H12,H13)/((H12&lt;&gt;"NA")*$F$12+(H13&lt;&gt;"NA")*$F$13)*$F11)))</f>
        <v>NA</v>
      </c>
      <c r="I11" s="8" t="str">
        <f aca="false">IF(OR(I12="ER",I13="ER"),"ER",IF(OR(I12="?",I13="?"),"?",IF(AND(I12="NA",I13="NA"),"NA",SUM(I12,I13)/((I12&lt;&gt;"NA")*$F$12+(I13&lt;&gt;"NA")*$F$13)*$F11)))</f>
        <v>NA</v>
      </c>
      <c r="J11" s="8" t="str">
        <f aca="false">IF(OR(J12="ER",J13="ER"),"ER",IF(OR(J12="?",J13="?"),"?",IF(AND(J12="NA",J13="NA"),"NA",SUM(J12,J13)/((J12&lt;&gt;"NA")*$F$12+(J13&lt;&gt;"NA")*$F$13)*$F11)))</f>
        <v>NA</v>
      </c>
      <c r="K11" s="8" t="str">
        <f aca="false">IF(OR(K12="ER",K13="ER"),"ER",IF(OR(K12="?",K13="?"),"?",IF(AND(K12="NA",K13="NA"),"NA",SUM(K12,K13)/((K12&lt;&gt;"NA")*$F$12+(K13&lt;&gt;"NA")*$F$13)*$F11)))</f>
        <v>NA</v>
      </c>
      <c r="L11" s="8" t="str">
        <f aca="false">IF(OR(L12="ER",L13="ER"),"ER",IF(OR(L12="?",L13="?"),"?",IF(AND(L12="NA",L13="NA"),"NA",SUM(L12,L13)/((L12&lt;&gt;"NA")*$F$12+(L13&lt;&gt;"NA")*$F$13)*$F11)))</f>
        <v>NA</v>
      </c>
      <c r="M11" s="8" t="str">
        <f aca="false">IF(OR(M12="ER",M13="ER"),"ER",IF(OR(M12="?",M13="?"),"?",IF(AND(M12="NA",M13="NA"),"NA",SUM(M12,M13)/((M12&lt;&gt;"NA")*$F$12+(M13&lt;&gt;"NA")*$F$13)*$F11)))</f>
        <v>NA</v>
      </c>
    </row>
    <row r="12" customFormat="false" ht="15" hidden="false" customHeight="true" outlineLevel="0" collapsed="false">
      <c r="A12" s="6" t="s">
        <v>81</v>
      </c>
      <c r="B12" s="6" t="str">
        <f aca="false">VLOOKUP($A12,'PARASTATAL Questions'!$A:$J,3,0)&amp;""</f>
        <v>Urban Planning &amp; Design (UPD)</v>
      </c>
      <c r="C12" s="6" t="str">
        <f aca="false">VLOOKUP($A12,'PARASTATAL Questions'!$A:$J,4,0)&amp;""</f>
        <v>SQ</v>
      </c>
      <c r="D12" s="6" t="str">
        <f aca="false">VLOOKUP($A12,'PARASTATAL Questions'!$A:$J,5,0)&amp;""</f>
        <v>Is the water supply board mandated to consider the needs of women, the urban poor and other vulnerable groups in decisions relating to access, affordability and delivery of water and sanitation services?</v>
      </c>
      <c r="E12" s="6" t="str">
        <f aca="false">VLOOKUP($A12,'PARASTATAL Questions'!$A:$J,7,0)&amp;""</f>
        <v>Law/Policy</v>
      </c>
      <c r="F12" s="6" t="n">
        <f aca="false">VLOOKUP($A12,'PARASTATAL Questions'!$A:$J,6,0)</f>
        <v>5</v>
      </c>
      <c r="G12" s="6" t="n">
        <f aca="true">IF($F12=0,"NA",IF($A12=INDIRECT("'"&amp;$A12&amp;"'!$B$1"),IF(VLOOKUP(G$1,INDIRECT("'"&amp;$A12&amp;"'!$A$12:$Z$19"),MATCH("Points (Auto-generate)",INDIRECT("'"&amp;$A12&amp;"'!$A$12:$Z$12"),0),0)="","?",VLOOKUP(G$1,INDIRECT("'"&amp;$A12&amp;"'!$A$12:$Z$19"),MATCH("Points (Auto-generate)",INDIRECT("'"&amp;$A12&amp;"'!$A$12:$Z$12"),0),0)),"ER"))</f>
        <v>2.5</v>
      </c>
      <c r="H12" s="6" t="str">
        <f aca="true">IF($F12=0,"NA",IF($A12=INDIRECT("'"&amp;$A12&amp;"'!$B$1"),IF(VLOOKUP(H$1,INDIRECT("'"&amp;$A12&amp;"'!$A$12:$Z$19"),MATCH("Points (Auto-generate)",INDIRECT("'"&amp;$A12&amp;"'!$A$12:$Z$12"),0),0)="","?",VLOOKUP(H$1,INDIRECT("'"&amp;$A12&amp;"'!$A$12:$Z$19"),MATCH("Points (Auto-generate)",INDIRECT("'"&amp;$A12&amp;"'!$A$12:$Z$12"),0),0)),"ER"))</f>
        <v>NA</v>
      </c>
      <c r="I12" s="6" t="str">
        <f aca="true">IF($F12=0,"NA",IF($A12=INDIRECT("'"&amp;$A12&amp;"'!$B$1"),IF(VLOOKUP(I$1,INDIRECT("'"&amp;$A12&amp;"'!$A$12:$Z$19"),MATCH("Points (Auto-generate)",INDIRECT("'"&amp;$A12&amp;"'!$A$12:$Z$12"),0),0)="","?",VLOOKUP(I$1,INDIRECT("'"&amp;$A12&amp;"'!$A$12:$Z$19"),MATCH("Points (Auto-generate)",INDIRECT("'"&amp;$A12&amp;"'!$A$12:$Z$12"),0),0)),"ER"))</f>
        <v>NA</v>
      </c>
      <c r="J12" s="6" t="str">
        <f aca="true">IF($F12=0,"NA",IF($A12=INDIRECT("'"&amp;$A12&amp;"'!$B$1"),IF(VLOOKUP(J$1,INDIRECT("'"&amp;$A12&amp;"'!$A$12:$Z$19"),MATCH("Points (Auto-generate)",INDIRECT("'"&amp;$A12&amp;"'!$A$12:$Z$12"),0),0)="","?",VLOOKUP(J$1,INDIRECT("'"&amp;$A12&amp;"'!$A$12:$Z$19"),MATCH("Points (Auto-generate)",INDIRECT("'"&amp;$A12&amp;"'!$A$12:$Z$12"),0),0)),"ER"))</f>
        <v>NA</v>
      </c>
      <c r="K12" s="6" t="str">
        <f aca="true">IF($F12=0,"NA",IF($A12=INDIRECT("'"&amp;$A12&amp;"'!$B$1"),IF(VLOOKUP(K$1,INDIRECT("'"&amp;$A12&amp;"'!$A$12:$Z$19"),MATCH("Points (Auto-generate)",INDIRECT("'"&amp;$A12&amp;"'!$A$12:$Z$12"),0),0)="","?",VLOOKUP(K$1,INDIRECT("'"&amp;$A12&amp;"'!$A$12:$Z$19"),MATCH("Points (Auto-generate)",INDIRECT("'"&amp;$A12&amp;"'!$A$12:$Z$12"),0),0)),"ER"))</f>
        <v>NA</v>
      </c>
      <c r="L12" s="6" t="str">
        <f aca="true">IF($F12=0,"NA",IF($A12=INDIRECT("'"&amp;$A12&amp;"'!$B$1"),IF(VLOOKUP(L$1,INDIRECT("'"&amp;$A12&amp;"'!$A$12:$Z$19"),MATCH("Points (Auto-generate)",INDIRECT("'"&amp;$A12&amp;"'!$A$12:$Z$12"),0),0)="","?",VLOOKUP(L$1,INDIRECT("'"&amp;$A12&amp;"'!$A$12:$Z$19"),MATCH("Points (Auto-generate)",INDIRECT("'"&amp;$A12&amp;"'!$A$12:$Z$12"),0),0)),"ER"))</f>
        <v>NA</v>
      </c>
      <c r="M12" s="6" t="str">
        <f aca="true">IF($F12=0,"NA",IF($A12=INDIRECT("'"&amp;$A12&amp;"'!$B$1"),IF(VLOOKUP(M$1,INDIRECT("'"&amp;$A12&amp;"'!$A$12:$Z$19"),MATCH("Points (Auto-generate)",INDIRECT("'"&amp;$A12&amp;"'!$A$12:$Z$12"),0),0)="","?",VLOOKUP(M$1,INDIRECT("'"&amp;$A12&amp;"'!$A$12:$Z$19"),MATCH("Points (Auto-generate)",INDIRECT("'"&amp;$A12&amp;"'!$A$12:$Z$12"),0),0)),"ER"))</f>
        <v>NA</v>
      </c>
    </row>
    <row r="13" customFormat="false" ht="15" hidden="false" customHeight="true" outlineLevel="0" collapsed="false">
      <c r="A13" s="6" t="s">
        <v>85</v>
      </c>
      <c r="B13" s="6" t="str">
        <f aca="false">VLOOKUP($A13,'PARASTATAL Questions'!$A:$J,3,0)&amp;""</f>
        <v>Urban Planning &amp; Design (UPD)</v>
      </c>
      <c r="C13" s="6" t="str">
        <f aca="false">VLOOKUP($A13,'PARASTATAL Questions'!$A:$J,4,0)&amp;""</f>
        <v>SQ</v>
      </c>
      <c r="D13" s="6" t="str">
        <f aca="false">VLOOKUP($A13,'PARASTATAL Questions'!$A:$J,5,0)&amp;""</f>
        <v>Does the water supply board actually consider the needs of women, the urban poor and other vulnerable groups in decisions relating to access, affordability and delivery of water and sanitation services?</v>
      </c>
      <c r="E13" s="6" t="str">
        <f aca="false">VLOOKUP($A13,'PARASTATAL Questions'!$A:$J,7,0)&amp;""</f>
        <v>Implementation</v>
      </c>
      <c r="F13" s="6" t="n">
        <f aca="false">VLOOKUP($A13,'PARASTATAL Questions'!$A:$J,6,0)</f>
        <v>5</v>
      </c>
      <c r="G13" s="6" t="n">
        <f aca="true">IF($F13=0,"NA",IF($A13=INDIRECT("'"&amp;$A13&amp;"'!$B$1"),IF(VLOOKUP(G$1,INDIRECT("'"&amp;$A13&amp;"'!$A$12:$Z$19"),MATCH("Points (Auto-generate)",INDIRECT("'"&amp;$A13&amp;"'!$A$12:$Z$12"),0),0)="","?",VLOOKUP(G$1,INDIRECT("'"&amp;$A13&amp;"'!$A$12:$Z$19"),MATCH("Points (Auto-generate)",INDIRECT("'"&amp;$A13&amp;"'!$A$12:$Z$12"),0),0)),"ER"))</f>
        <v>2.5</v>
      </c>
      <c r="H13" s="6" t="str">
        <f aca="true">IF($F13=0,"NA",IF($A13=INDIRECT("'"&amp;$A13&amp;"'!$B$1"),IF(VLOOKUP(H$1,INDIRECT("'"&amp;$A13&amp;"'!$A$12:$Z$19"),MATCH("Points (Auto-generate)",INDIRECT("'"&amp;$A13&amp;"'!$A$12:$Z$12"),0),0)="","?",VLOOKUP(H$1,INDIRECT("'"&amp;$A13&amp;"'!$A$12:$Z$19"),MATCH("Points (Auto-generate)",INDIRECT("'"&amp;$A13&amp;"'!$A$12:$Z$12"),0),0)),"ER"))</f>
        <v>NA</v>
      </c>
      <c r="I13" s="6" t="str">
        <f aca="true">IF($F13=0,"NA",IF($A13=INDIRECT("'"&amp;$A13&amp;"'!$B$1"),IF(VLOOKUP(I$1,INDIRECT("'"&amp;$A13&amp;"'!$A$12:$Z$19"),MATCH("Points (Auto-generate)",INDIRECT("'"&amp;$A13&amp;"'!$A$12:$Z$12"),0),0)="","?",VLOOKUP(I$1,INDIRECT("'"&amp;$A13&amp;"'!$A$12:$Z$19"),MATCH("Points (Auto-generate)",INDIRECT("'"&amp;$A13&amp;"'!$A$12:$Z$12"),0),0)),"ER"))</f>
        <v>NA</v>
      </c>
      <c r="J13" s="6" t="str">
        <f aca="true">IF($F13=0,"NA",IF($A13=INDIRECT("'"&amp;$A13&amp;"'!$B$1"),IF(VLOOKUP(J$1,INDIRECT("'"&amp;$A13&amp;"'!$A$12:$Z$19"),MATCH("Points (Auto-generate)",INDIRECT("'"&amp;$A13&amp;"'!$A$12:$Z$12"),0),0)="","?",VLOOKUP(J$1,INDIRECT("'"&amp;$A13&amp;"'!$A$12:$Z$19"),MATCH("Points (Auto-generate)",INDIRECT("'"&amp;$A13&amp;"'!$A$12:$Z$12"),0),0)),"ER"))</f>
        <v>NA</v>
      </c>
      <c r="K13" s="6" t="str">
        <f aca="true">IF($F13=0,"NA",IF($A13=INDIRECT("'"&amp;$A13&amp;"'!$B$1"),IF(VLOOKUP(K$1,INDIRECT("'"&amp;$A13&amp;"'!$A$12:$Z$19"),MATCH("Points (Auto-generate)",INDIRECT("'"&amp;$A13&amp;"'!$A$12:$Z$12"),0),0)="","?",VLOOKUP(K$1,INDIRECT("'"&amp;$A13&amp;"'!$A$12:$Z$19"),MATCH("Points (Auto-generate)",INDIRECT("'"&amp;$A13&amp;"'!$A$12:$Z$12"),0),0)),"ER"))</f>
        <v>NA</v>
      </c>
      <c r="L13" s="6" t="str">
        <f aca="true">IF($F13=0,"NA",IF($A13=INDIRECT("'"&amp;$A13&amp;"'!$B$1"),IF(VLOOKUP(L$1,INDIRECT("'"&amp;$A13&amp;"'!$A$12:$Z$19"),MATCH("Points (Auto-generate)",INDIRECT("'"&amp;$A13&amp;"'!$A$12:$Z$12"),0),0)="","?",VLOOKUP(L$1,INDIRECT("'"&amp;$A13&amp;"'!$A$12:$Z$19"),MATCH("Points (Auto-generate)",INDIRECT("'"&amp;$A13&amp;"'!$A$12:$Z$12"),0),0)),"ER"))</f>
        <v>NA</v>
      </c>
      <c r="M13" s="6" t="str">
        <f aca="true">IF($F13=0,"NA",IF($A13=INDIRECT("'"&amp;$A13&amp;"'!$B$1"),IF(VLOOKUP(M$1,INDIRECT("'"&amp;$A13&amp;"'!$A$12:$Z$19"),MATCH("Points (Auto-generate)",INDIRECT("'"&amp;$A13&amp;"'!$A$12:$Z$12"),0),0)="","?",VLOOKUP(M$1,INDIRECT("'"&amp;$A13&amp;"'!$A$12:$Z$19"),MATCH("Points (Auto-generate)",INDIRECT("'"&amp;$A13&amp;"'!$A$12:$Z$12"),0),0)),"ER"))</f>
        <v>NA</v>
      </c>
    </row>
    <row r="14" customFormat="false" ht="15" hidden="false" customHeight="true" outlineLevel="0" collapsed="false">
      <c r="A14" s="8" t="s">
        <v>569</v>
      </c>
      <c r="B14" s="8" t="str">
        <f aca="false">VLOOKUP($A14,'PARASTATAL Questions'!$A:$J,3,0)&amp;""</f>
        <v>Urban Planning &amp; Design (UPD)</v>
      </c>
      <c r="C14" s="8" t="str">
        <f aca="false">VLOOKUP($A14,'PARASTATAL Questions'!$A:$J,4,0)&amp;""</f>
        <v>MQ</v>
      </c>
      <c r="D14" s="8" t="str">
        <f aca="false">VLOOKUP($A14,'PARASTATAL Questions'!$A:$J,5,0)&amp;""</f>
        <v>Are the needs of women, the urban poor, and other vulnerable groups explicitly considered in the transport Corporation’s planning, service delivery or major investment decisions?</v>
      </c>
      <c r="E14" s="8" t="str">
        <f aca="false">VLOOKUP($A14,'PARASTATAL Questions'!$A:$J,7,0)&amp;""</f>
        <v/>
      </c>
      <c r="F14" s="8" t="n">
        <f aca="false">VLOOKUP($A14,'PARASTATAL Questions'!$A:$J,6,0)</f>
        <v>10</v>
      </c>
      <c r="G14" s="8" t="str">
        <f aca="false">IF(OR(G15="ER",G16="ER"),"ER",IF(OR(G15="?",G16="?"),"?",IF(AND(G15="NA",G16="NA"),"NA",SUM(G15,G16)/((G15&lt;&gt;"NA")*$F$15+(G16&lt;&gt;"NA")*$F$16)*$F14)))</f>
        <v>NA</v>
      </c>
      <c r="H14" s="8" t="str">
        <f aca="false">IF(OR(H15="ER",H16="ER"),"ER",IF(OR(H15="?",H16="?"),"?",IF(AND(H15="NA",H16="NA"),"NA",SUM(H15,H16)/((H15&lt;&gt;"NA")*$F$15+(H16&lt;&gt;"NA")*$F$16)*$F14)))</f>
        <v>?</v>
      </c>
      <c r="I14" s="8" t="str">
        <f aca="false">IF(OR(I15="ER",I16="ER"),"ER",IF(OR(I15="?",I16="?"),"?",IF(AND(I15="NA",I16="NA"),"NA",SUM(I15,I16)/((I15&lt;&gt;"NA")*$F$15+(I16&lt;&gt;"NA")*$F$16)*$F14)))</f>
        <v>NA</v>
      </c>
      <c r="J14" s="8" t="str">
        <f aca="false">IF(OR(J15="ER",J16="ER"),"ER",IF(OR(J15="?",J16="?"),"?",IF(AND(J15="NA",J16="NA"),"NA",SUM(J15,J16)/((J15&lt;&gt;"NA")*$F$15+(J16&lt;&gt;"NA")*$F$16)*$F14)))</f>
        <v>NA</v>
      </c>
      <c r="K14" s="8" t="str">
        <f aca="false">IF(OR(K15="ER",K16="ER"),"ER",IF(OR(K15="?",K16="?"),"?",IF(AND(K15="NA",K16="NA"),"NA",SUM(K15,K16)/((K15&lt;&gt;"NA")*$F$15+(K16&lt;&gt;"NA")*$F$16)*$F14)))</f>
        <v>NA</v>
      </c>
      <c r="L14" s="8" t="str">
        <f aca="false">IF(OR(L15="ER",L16="ER"),"ER",IF(OR(L15="?",L16="?"),"?",IF(AND(L15="NA",L16="NA"),"NA",SUM(L15,L16)/((L15&lt;&gt;"NA")*$F$15+(L16&lt;&gt;"NA")*$F$16)*$F14)))</f>
        <v>NA</v>
      </c>
      <c r="M14" s="8" t="str">
        <f aca="false">IF(OR(M15="ER",M16="ER"),"ER",IF(OR(M15="?",M16="?"),"?",IF(AND(M15="NA",M16="NA"),"NA",SUM(M15,M16)/((M15&lt;&gt;"NA")*$F$15+(M16&lt;&gt;"NA")*$F$16)*$F14)))</f>
        <v>NA</v>
      </c>
    </row>
    <row r="15" customFormat="false" ht="15" hidden="false" customHeight="true" outlineLevel="0" collapsed="false">
      <c r="A15" s="6" t="s">
        <v>91</v>
      </c>
      <c r="B15" s="6" t="str">
        <f aca="false">VLOOKUP($A15,'PARASTATAL Questions'!$A:$J,3,0)&amp;""</f>
        <v>Urban Planning &amp; Design (UPD)</v>
      </c>
      <c r="C15" s="6" t="str">
        <f aca="false">VLOOKUP($A15,'PARASTATAL Questions'!$A:$J,4,0)&amp;""</f>
        <v>SQ</v>
      </c>
      <c r="D15" s="6" t="str">
        <f aca="false">VLOOKUP($A15,'PARASTATAL Questions'!$A:$J,5,0)&amp;""</f>
        <v>Is the transport corporation mandated to consider the mobility needs of women, the urban poor and other vulnerable groups in planning and delivering public transport services?</v>
      </c>
      <c r="E15" s="6" t="str">
        <f aca="false">VLOOKUP($A15,'PARASTATAL Questions'!$A:$J,7,0)&amp;""</f>
        <v>Law/Policy</v>
      </c>
      <c r="F15" s="6" t="n">
        <f aca="false">VLOOKUP($A15,'PARASTATAL Questions'!$A:$J,6,0)</f>
        <v>5</v>
      </c>
      <c r="G15" s="6" t="str">
        <f aca="true">IF($F15=0,"NA",IF($A15=INDIRECT("'"&amp;$A15&amp;"'!$B$1"),IF(VLOOKUP(G$1,INDIRECT("'"&amp;$A15&amp;"'!$A$12:$Z$19"),MATCH("Points (Auto-generate)",INDIRECT("'"&amp;$A15&amp;"'!$A$12:$Z$12"),0),0)="","?",VLOOKUP(G$1,INDIRECT("'"&amp;$A15&amp;"'!$A$12:$Z$19"),MATCH("Points (Auto-generate)",INDIRECT("'"&amp;$A15&amp;"'!$A$12:$Z$12"),0),0)),"ER"))</f>
        <v>NA</v>
      </c>
      <c r="H15" s="6" t="str">
        <f aca="true">IF($F15=0,"NA",IF($A15=INDIRECT("'"&amp;$A15&amp;"'!$B$1"),IF(VLOOKUP(H$1,INDIRECT("'"&amp;$A15&amp;"'!$A$12:$Z$19"),MATCH("Points (Auto-generate)",INDIRECT("'"&amp;$A15&amp;"'!$A$12:$Z$12"),0),0)="","?",VLOOKUP(H$1,INDIRECT("'"&amp;$A15&amp;"'!$A$12:$Z$19"),MATCH("Points (Auto-generate)",INDIRECT("'"&amp;$A15&amp;"'!$A$12:$Z$12"),0),0)),"ER"))</f>
        <v>?</v>
      </c>
      <c r="I15" s="6" t="str">
        <f aca="true">IF($F15=0,"NA",IF($A15=INDIRECT("'"&amp;$A15&amp;"'!$B$1"),IF(VLOOKUP(I$1,INDIRECT("'"&amp;$A15&amp;"'!$A$12:$Z$19"),MATCH("Points (Auto-generate)",INDIRECT("'"&amp;$A15&amp;"'!$A$12:$Z$12"),0),0)="","?",VLOOKUP(I$1,INDIRECT("'"&amp;$A15&amp;"'!$A$12:$Z$19"),MATCH("Points (Auto-generate)",INDIRECT("'"&amp;$A15&amp;"'!$A$12:$Z$12"),0),0)),"ER"))</f>
        <v>NA</v>
      </c>
      <c r="J15" s="6" t="str">
        <f aca="true">IF($F15=0,"NA",IF($A15=INDIRECT("'"&amp;$A15&amp;"'!$B$1"),IF(VLOOKUP(J$1,INDIRECT("'"&amp;$A15&amp;"'!$A$12:$Z$19"),MATCH("Points (Auto-generate)",INDIRECT("'"&amp;$A15&amp;"'!$A$12:$Z$12"),0),0)="","?",VLOOKUP(J$1,INDIRECT("'"&amp;$A15&amp;"'!$A$12:$Z$19"),MATCH("Points (Auto-generate)",INDIRECT("'"&amp;$A15&amp;"'!$A$12:$Z$12"),0),0)),"ER"))</f>
        <v>NA</v>
      </c>
      <c r="K15" s="6" t="str">
        <f aca="true">IF($F15=0,"NA",IF($A15=INDIRECT("'"&amp;$A15&amp;"'!$B$1"),IF(VLOOKUP(K$1,INDIRECT("'"&amp;$A15&amp;"'!$A$12:$Z$19"),MATCH("Points (Auto-generate)",INDIRECT("'"&amp;$A15&amp;"'!$A$12:$Z$12"),0),0)="","?",VLOOKUP(K$1,INDIRECT("'"&amp;$A15&amp;"'!$A$12:$Z$19"),MATCH("Points (Auto-generate)",INDIRECT("'"&amp;$A15&amp;"'!$A$12:$Z$12"),0),0)),"ER"))</f>
        <v>NA</v>
      </c>
      <c r="L15" s="6" t="str">
        <f aca="true">IF($F15=0,"NA",IF($A15=INDIRECT("'"&amp;$A15&amp;"'!$B$1"),IF(VLOOKUP(L$1,INDIRECT("'"&amp;$A15&amp;"'!$A$12:$Z$19"),MATCH("Points (Auto-generate)",INDIRECT("'"&amp;$A15&amp;"'!$A$12:$Z$12"),0),0)="","?",VLOOKUP(L$1,INDIRECT("'"&amp;$A15&amp;"'!$A$12:$Z$19"),MATCH("Points (Auto-generate)",INDIRECT("'"&amp;$A15&amp;"'!$A$12:$Z$12"),0),0)),"ER"))</f>
        <v>NA</v>
      </c>
      <c r="M15" s="6" t="str">
        <f aca="true">IF($F15=0,"NA",IF($A15=INDIRECT("'"&amp;$A15&amp;"'!$B$1"),IF(VLOOKUP(M$1,INDIRECT("'"&amp;$A15&amp;"'!$A$12:$Z$19"),MATCH("Points (Auto-generate)",INDIRECT("'"&amp;$A15&amp;"'!$A$12:$Z$12"),0),0)="","?",VLOOKUP(M$1,INDIRECT("'"&amp;$A15&amp;"'!$A$12:$Z$19"),MATCH("Points (Auto-generate)",INDIRECT("'"&amp;$A15&amp;"'!$A$12:$Z$12"),0),0)),"ER"))</f>
        <v>NA</v>
      </c>
    </row>
    <row r="16" customFormat="false" ht="15" hidden="false" customHeight="true" outlineLevel="0" collapsed="false">
      <c r="A16" s="6" t="s">
        <v>95</v>
      </c>
      <c r="B16" s="6" t="str">
        <f aca="false">VLOOKUP($A16,'PARASTATAL Questions'!$A:$J,3,0)&amp;""</f>
        <v>Urban Planning &amp; Design (UPD)</v>
      </c>
      <c r="C16" s="6" t="str">
        <f aca="false">VLOOKUP($A16,'PARASTATAL Questions'!$A:$J,4,0)&amp;""</f>
        <v>SQ</v>
      </c>
      <c r="D16" s="6" t="str">
        <f aca="false">VLOOKUP($A16,'PARASTATAL Questions'!$A:$J,5,0)&amp;""</f>
        <v>Does the Transport Corporation actually consider the needs of women, the urban poor and other vulnerable groups in decisions relating to access, affordability and delivery of public transport services?</v>
      </c>
      <c r="E16" s="6" t="str">
        <f aca="false">VLOOKUP($A16,'PARASTATAL Questions'!$A:$J,7,0)&amp;""</f>
        <v>Implementation</v>
      </c>
      <c r="F16" s="6" t="n">
        <f aca="false">VLOOKUP($A16,'PARASTATAL Questions'!$A:$J,6,0)</f>
        <v>5</v>
      </c>
      <c r="G16" s="6" t="str">
        <f aca="true">IF($F16=0,"NA",IF($A16=INDIRECT("'"&amp;$A16&amp;"'!$B$1"),IF(VLOOKUP(G$1,INDIRECT("'"&amp;$A16&amp;"'!$A$12:$Z$19"),MATCH("Points (Auto-generate)",INDIRECT("'"&amp;$A16&amp;"'!$A$12:$Z$12"),0),0)="","?",VLOOKUP(G$1,INDIRECT("'"&amp;$A16&amp;"'!$A$12:$Z$19"),MATCH("Points (Auto-generate)",INDIRECT("'"&amp;$A16&amp;"'!$A$12:$Z$12"),0),0)),"ER"))</f>
        <v>NA</v>
      </c>
      <c r="H16" s="6" t="n">
        <f aca="true">IF($F16=0,"NA",IF($A16=INDIRECT("'"&amp;$A16&amp;"'!$B$1"),IF(VLOOKUP(H$1,INDIRECT("'"&amp;$A16&amp;"'!$A$12:$Z$19"),MATCH("Points (Auto-generate)",INDIRECT("'"&amp;$A16&amp;"'!$A$12:$Z$12"),0),0)="","?",VLOOKUP(H$1,INDIRECT("'"&amp;$A16&amp;"'!$A$12:$Z$19"),MATCH("Points (Auto-generate)",INDIRECT("'"&amp;$A16&amp;"'!$A$12:$Z$12"),0),0)),"ER"))</f>
        <v>1.25</v>
      </c>
      <c r="I16" s="6" t="str">
        <f aca="true">IF($F16=0,"NA",IF($A16=INDIRECT("'"&amp;$A16&amp;"'!$B$1"),IF(VLOOKUP(I$1,INDIRECT("'"&amp;$A16&amp;"'!$A$12:$Z$19"),MATCH("Points (Auto-generate)",INDIRECT("'"&amp;$A16&amp;"'!$A$12:$Z$12"),0),0)="","?",VLOOKUP(I$1,INDIRECT("'"&amp;$A16&amp;"'!$A$12:$Z$19"),MATCH("Points (Auto-generate)",INDIRECT("'"&amp;$A16&amp;"'!$A$12:$Z$12"),0),0)),"ER"))</f>
        <v>NA</v>
      </c>
      <c r="J16" s="6" t="str">
        <f aca="true">IF($F16=0,"NA",IF($A16=INDIRECT("'"&amp;$A16&amp;"'!$B$1"),IF(VLOOKUP(J$1,INDIRECT("'"&amp;$A16&amp;"'!$A$12:$Z$19"),MATCH("Points (Auto-generate)",INDIRECT("'"&amp;$A16&amp;"'!$A$12:$Z$12"),0),0)="","?",VLOOKUP(J$1,INDIRECT("'"&amp;$A16&amp;"'!$A$12:$Z$19"),MATCH("Points (Auto-generate)",INDIRECT("'"&amp;$A16&amp;"'!$A$12:$Z$12"),0),0)),"ER"))</f>
        <v>NA</v>
      </c>
      <c r="K16" s="6" t="str">
        <f aca="true">IF($F16=0,"NA",IF($A16=INDIRECT("'"&amp;$A16&amp;"'!$B$1"),IF(VLOOKUP(K$1,INDIRECT("'"&amp;$A16&amp;"'!$A$12:$Z$19"),MATCH("Points (Auto-generate)",INDIRECT("'"&amp;$A16&amp;"'!$A$12:$Z$12"),0),0)="","?",VLOOKUP(K$1,INDIRECT("'"&amp;$A16&amp;"'!$A$12:$Z$19"),MATCH("Points (Auto-generate)",INDIRECT("'"&amp;$A16&amp;"'!$A$12:$Z$12"),0),0)),"ER"))</f>
        <v>NA</v>
      </c>
      <c r="L16" s="6" t="str">
        <f aca="true">IF($F16=0,"NA",IF($A16=INDIRECT("'"&amp;$A16&amp;"'!$B$1"),IF(VLOOKUP(L$1,INDIRECT("'"&amp;$A16&amp;"'!$A$12:$Z$19"),MATCH("Points (Auto-generate)",INDIRECT("'"&amp;$A16&amp;"'!$A$12:$Z$12"),0),0)="","?",VLOOKUP(L$1,INDIRECT("'"&amp;$A16&amp;"'!$A$12:$Z$19"),MATCH("Points (Auto-generate)",INDIRECT("'"&amp;$A16&amp;"'!$A$12:$Z$12"),0),0)),"ER"))</f>
        <v>NA</v>
      </c>
      <c r="M16" s="6" t="str">
        <f aca="true">IF($F16=0,"NA",IF($A16=INDIRECT("'"&amp;$A16&amp;"'!$B$1"),IF(VLOOKUP(M$1,INDIRECT("'"&amp;$A16&amp;"'!$A$12:$Z$19"),MATCH("Points (Auto-generate)",INDIRECT("'"&amp;$A16&amp;"'!$A$12:$Z$12"),0),0)="","?",VLOOKUP(M$1,INDIRECT("'"&amp;$A16&amp;"'!$A$12:$Z$19"),MATCH("Points (Auto-generate)",INDIRECT("'"&amp;$A16&amp;"'!$A$12:$Z$12"),0),0)),"ER"))</f>
        <v>NA</v>
      </c>
    </row>
    <row r="17" customFormat="false" ht="15" hidden="false" customHeight="true" outlineLevel="0" collapsed="false">
      <c r="A17" s="8" t="s">
        <v>570</v>
      </c>
      <c r="B17" s="8" t="str">
        <f aca="false">VLOOKUP($A17,'PARASTATAL Questions'!$A:$J,3,0)&amp;""</f>
        <v>Urban Planning &amp; Design (UPD)</v>
      </c>
      <c r="C17" s="8" t="str">
        <f aca="false">VLOOKUP($A17,'PARASTATAL Questions'!$A:$J,4,0)&amp;""</f>
        <v>MQ</v>
      </c>
      <c r="D17" s="8" t="str">
        <f aca="false">VLOOKUP($A17,'PARASTATAL Questions'!$A:$J,5,0)&amp;""</f>
        <v>Are environmental considerations explicitly required to be integrated into the water supply board’s planning, service-delivery or major investment decisions?</v>
      </c>
      <c r="E17" s="8" t="str">
        <f aca="false">VLOOKUP($A17,'PARASTATAL Questions'!$A:$J,7,0)&amp;""</f>
        <v>Law/Policy</v>
      </c>
      <c r="F17" s="8" t="n">
        <f aca="false">VLOOKUP($A17,'PARASTATAL Questions'!$A:$J,6,0)</f>
        <v>10</v>
      </c>
      <c r="G17" s="8" t="n">
        <f aca="false">IF(OR(G18="ER",G19="ER"),"ER",IF(OR(G18="?",G19="?"),"?",IF(AND(G18="NA",G19="NA"),"NA",SUM(G18,G19)/((G18&lt;&gt;"NA")*$F$18+(G19&lt;&gt;"NA")*$F$19)*$F17)))</f>
        <v>7.5</v>
      </c>
      <c r="H17" s="8" t="str">
        <f aca="false">IF(OR(H18="ER",H19="ER"),"ER",IF(OR(H18="?",H19="?"),"?",IF(AND(H18="NA",H19="NA"),"NA",SUM(H18,H19)/((H18&lt;&gt;"NA")*$F$18+(H19&lt;&gt;"NA")*$F$19)*$F17)))</f>
        <v>NA</v>
      </c>
      <c r="I17" s="8" t="str">
        <f aca="false">IF(OR(I18="ER",I19="ER"),"ER",IF(OR(I18="?",I19="?"),"?",IF(AND(I18="NA",I19="NA"),"NA",SUM(I18,I19)/((I18&lt;&gt;"NA")*$F$18+(I19&lt;&gt;"NA")*$F$19)*$F17)))</f>
        <v>NA</v>
      </c>
      <c r="J17" s="8" t="str">
        <f aca="false">IF(OR(J18="ER",J19="ER"),"ER",IF(OR(J18="?",J19="?"),"?",IF(AND(J18="NA",J19="NA"),"NA",SUM(J18,J19)/((J18&lt;&gt;"NA")*$F$18+(J19&lt;&gt;"NA")*$F$19)*$F17)))</f>
        <v>NA</v>
      </c>
      <c r="K17" s="8" t="str">
        <f aca="false">IF(OR(K18="ER",K19="ER"),"ER",IF(OR(K18="?",K19="?"),"?",IF(AND(K18="NA",K19="NA"),"NA",SUM(K18,K19)/((K18&lt;&gt;"NA")*$F$18+(K19&lt;&gt;"NA")*$F$19)*$F17)))</f>
        <v>NA</v>
      </c>
      <c r="L17" s="8" t="str">
        <f aca="false">IF(OR(L18="ER",L19="ER"),"ER",IF(OR(L18="?",L19="?"),"?",IF(AND(L18="NA",L19="NA"),"NA",SUM(L18,L19)/((L18&lt;&gt;"NA")*$F$18+(L19&lt;&gt;"NA")*$F$19)*$F17)))</f>
        <v>NA</v>
      </c>
      <c r="M17" s="8" t="str">
        <f aca="false">IF(OR(M18="ER",M19="ER"),"ER",IF(OR(M18="?",M19="?"),"?",IF(AND(M18="NA",M19="NA"),"NA",SUM(M18,M19)/((M18&lt;&gt;"NA")*$F$18+(M19&lt;&gt;"NA")*$F$19)*$F17)))</f>
        <v>NA</v>
      </c>
    </row>
    <row r="18" customFormat="false" ht="15" hidden="false" customHeight="true" outlineLevel="0" collapsed="false">
      <c r="A18" s="6" t="s">
        <v>101</v>
      </c>
      <c r="B18" s="6" t="str">
        <f aca="false">VLOOKUP($A18,'PARASTATAL Questions'!$A:$J,3,0)&amp;""</f>
        <v>Urban Planning &amp; Design (UPD)</v>
      </c>
      <c r="C18" s="6" t="str">
        <f aca="false">VLOOKUP($A18,'PARASTATAL Questions'!$A:$J,4,0)&amp;""</f>
        <v>SQ</v>
      </c>
      <c r="D18" s="6" t="str">
        <f aca="false">VLOOKUP($A18,'PARASTATAL Questions'!$A:$J,5,0)&amp;""</f>
        <v>Is the water supply board mandated to consider environmental sustainability in planning and delivering water and sanitation services?</v>
      </c>
      <c r="E18" s="6" t="str">
        <f aca="false">VLOOKUP($A18,'PARASTATAL Questions'!$A:$J,7,0)&amp;""</f>
        <v>Law/Policy</v>
      </c>
      <c r="F18" s="6" t="n">
        <f aca="false">VLOOKUP($A18,'PARASTATAL Questions'!$A:$J,6,0)</f>
        <v>5</v>
      </c>
      <c r="G18" s="6" t="n">
        <f aca="true">IF($F18=0,"NA",IF($A18=INDIRECT("'"&amp;$A18&amp;"'!$B$1"),IF(VLOOKUP(G$1,INDIRECT("'"&amp;$A18&amp;"'!$A$12:$Z$19"),MATCH("Points (Auto-generate)",INDIRECT("'"&amp;$A18&amp;"'!$A$12:$Z$12"),0),0)="","?",VLOOKUP(G$1,INDIRECT("'"&amp;$A18&amp;"'!$A$12:$Z$19"),MATCH("Points (Auto-generate)",INDIRECT("'"&amp;$A18&amp;"'!$A$12:$Z$12"),0),0)),"ER"))</f>
        <v>2.5</v>
      </c>
      <c r="H18" s="6" t="str">
        <f aca="true">IF($F18=0,"NA",IF($A18=INDIRECT("'"&amp;$A18&amp;"'!$B$1"),IF(VLOOKUP(H$1,INDIRECT("'"&amp;$A18&amp;"'!$A$12:$Z$19"),MATCH("Points (Auto-generate)",INDIRECT("'"&amp;$A18&amp;"'!$A$12:$Z$12"),0),0)="","?",VLOOKUP(H$1,INDIRECT("'"&amp;$A18&amp;"'!$A$12:$Z$19"),MATCH("Points (Auto-generate)",INDIRECT("'"&amp;$A18&amp;"'!$A$12:$Z$12"),0),0)),"ER"))</f>
        <v>NA</v>
      </c>
      <c r="I18" s="6" t="str">
        <f aca="true">IF($F18=0,"NA",IF($A18=INDIRECT("'"&amp;$A18&amp;"'!$B$1"),IF(VLOOKUP(I$1,INDIRECT("'"&amp;$A18&amp;"'!$A$12:$Z$19"),MATCH("Points (Auto-generate)",INDIRECT("'"&amp;$A18&amp;"'!$A$12:$Z$12"),0),0)="","?",VLOOKUP(I$1,INDIRECT("'"&amp;$A18&amp;"'!$A$12:$Z$19"),MATCH("Points (Auto-generate)",INDIRECT("'"&amp;$A18&amp;"'!$A$12:$Z$12"),0),0)),"ER"))</f>
        <v>NA</v>
      </c>
      <c r="J18" s="6" t="str">
        <f aca="true">IF($F18=0,"NA",IF($A18=INDIRECT("'"&amp;$A18&amp;"'!$B$1"),IF(VLOOKUP(J$1,INDIRECT("'"&amp;$A18&amp;"'!$A$12:$Z$19"),MATCH("Points (Auto-generate)",INDIRECT("'"&amp;$A18&amp;"'!$A$12:$Z$12"),0),0)="","?",VLOOKUP(J$1,INDIRECT("'"&amp;$A18&amp;"'!$A$12:$Z$19"),MATCH("Points (Auto-generate)",INDIRECT("'"&amp;$A18&amp;"'!$A$12:$Z$12"),0),0)),"ER"))</f>
        <v>NA</v>
      </c>
      <c r="K18" s="6" t="str">
        <f aca="true">IF($F18=0,"NA",IF($A18=INDIRECT("'"&amp;$A18&amp;"'!$B$1"),IF(VLOOKUP(K$1,INDIRECT("'"&amp;$A18&amp;"'!$A$12:$Z$19"),MATCH("Points (Auto-generate)",INDIRECT("'"&amp;$A18&amp;"'!$A$12:$Z$12"),0),0)="","?",VLOOKUP(K$1,INDIRECT("'"&amp;$A18&amp;"'!$A$12:$Z$19"),MATCH("Points (Auto-generate)",INDIRECT("'"&amp;$A18&amp;"'!$A$12:$Z$12"),0),0)),"ER"))</f>
        <v>NA</v>
      </c>
      <c r="L18" s="6" t="str">
        <f aca="true">IF($F18=0,"NA",IF($A18=INDIRECT("'"&amp;$A18&amp;"'!$B$1"),IF(VLOOKUP(L$1,INDIRECT("'"&amp;$A18&amp;"'!$A$12:$Z$19"),MATCH("Points (Auto-generate)",INDIRECT("'"&amp;$A18&amp;"'!$A$12:$Z$12"),0),0)="","?",VLOOKUP(L$1,INDIRECT("'"&amp;$A18&amp;"'!$A$12:$Z$19"),MATCH("Points (Auto-generate)",INDIRECT("'"&amp;$A18&amp;"'!$A$12:$Z$12"),0),0)),"ER"))</f>
        <v>NA</v>
      </c>
      <c r="M18" s="6" t="str">
        <f aca="true">IF($F18=0,"NA",IF($A18=INDIRECT("'"&amp;$A18&amp;"'!$B$1"),IF(VLOOKUP(M$1,INDIRECT("'"&amp;$A18&amp;"'!$A$12:$Z$19"),MATCH("Points (Auto-generate)",INDIRECT("'"&amp;$A18&amp;"'!$A$12:$Z$12"),0),0)="","?",VLOOKUP(M$1,INDIRECT("'"&amp;$A18&amp;"'!$A$12:$Z$19"),MATCH("Points (Auto-generate)",INDIRECT("'"&amp;$A18&amp;"'!$A$12:$Z$12"),0),0)),"ER"))</f>
        <v>NA</v>
      </c>
    </row>
    <row r="19" customFormat="false" ht="15" hidden="false" customHeight="true" outlineLevel="0" collapsed="false">
      <c r="A19" s="6" t="s">
        <v>105</v>
      </c>
      <c r="B19" s="6" t="str">
        <f aca="false">VLOOKUP($A19,'PARASTATAL Questions'!$A:$J,3,0)&amp;""</f>
        <v>Urban Planning &amp; Design (UPD)</v>
      </c>
      <c r="C19" s="6" t="str">
        <f aca="false">VLOOKUP($A19,'PARASTATAL Questions'!$A:$J,4,0)&amp;""</f>
        <v>SQ</v>
      </c>
      <c r="D19" s="6" t="str">
        <f aca="false">VLOOKUP($A19,'PARASTATAL Questions'!$A:$J,5,0)&amp;""</f>
        <v>Does the water supply board actually consider environmental sustainability in planning and delivering water and sanitation services?</v>
      </c>
      <c r="E19" s="6" t="str">
        <f aca="false">VLOOKUP($A19,'PARASTATAL Questions'!$A:$J,7,0)&amp;""</f>
        <v>Implementation</v>
      </c>
      <c r="F19" s="6" t="n">
        <f aca="false">VLOOKUP($A19,'PARASTATAL Questions'!$A:$J,6,0)</f>
        <v>5</v>
      </c>
      <c r="G19" s="6" t="n">
        <f aca="true">IF($F19=0,"NA",IF($A19=INDIRECT("'"&amp;$A19&amp;"'!$B$1"),IF(VLOOKUP(G$1,INDIRECT("'"&amp;$A19&amp;"'!$A$12:$Z$19"),MATCH("Points (Auto-generate)",INDIRECT("'"&amp;$A19&amp;"'!$A$12:$Z$12"),0),0)="","?",VLOOKUP(G$1,INDIRECT("'"&amp;$A19&amp;"'!$A$12:$Z$19"),MATCH("Points (Auto-generate)",INDIRECT("'"&amp;$A19&amp;"'!$A$12:$Z$12"),0),0)),"ER"))</f>
        <v>5</v>
      </c>
      <c r="H19" s="6" t="str">
        <f aca="true">IF($F19=0,"NA",IF($A19=INDIRECT("'"&amp;$A19&amp;"'!$B$1"),IF(VLOOKUP(H$1,INDIRECT("'"&amp;$A19&amp;"'!$A$12:$Z$19"),MATCH("Points (Auto-generate)",INDIRECT("'"&amp;$A19&amp;"'!$A$12:$Z$12"),0),0)="","?",VLOOKUP(H$1,INDIRECT("'"&amp;$A19&amp;"'!$A$12:$Z$19"),MATCH("Points (Auto-generate)",INDIRECT("'"&amp;$A19&amp;"'!$A$12:$Z$12"),0),0)),"ER"))</f>
        <v>NA</v>
      </c>
      <c r="I19" s="6" t="str">
        <f aca="true">IF($F19=0,"NA",IF($A19=INDIRECT("'"&amp;$A19&amp;"'!$B$1"),IF(VLOOKUP(I$1,INDIRECT("'"&amp;$A19&amp;"'!$A$12:$Z$19"),MATCH("Points (Auto-generate)",INDIRECT("'"&amp;$A19&amp;"'!$A$12:$Z$12"),0),0)="","?",VLOOKUP(I$1,INDIRECT("'"&amp;$A19&amp;"'!$A$12:$Z$19"),MATCH("Points (Auto-generate)",INDIRECT("'"&amp;$A19&amp;"'!$A$12:$Z$12"),0),0)),"ER"))</f>
        <v>NA</v>
      </c>
      <c r="J19" s="6" t="str">
        <f aca="true">IF($F19=0,"NA",IF($A19=INDIRECT("'"&amp;$A19&amp;"'!$B$1"),IF(VLOOKUP(J$1,INDIRECT("'"&amp;$A19&amp;"'!$A$12:$Z$19"),MATCH("Points (Auto-generate)",INDIRECT("'"&amp;$A19&amp;"'!$A$12:$Z$12"),0),0)="","?",VLOOKUP(J$1,INDIRECT("'"&amp;$A19&amp;"'!$A$12:$Z$19"),MATCH("Points (Auto-generate)",INDIRECT("'"&amp;$A19&amp;"'!$A$12:$Z$12"),0),0)),"ER"))</f>
        <v>NA</v>
      </c>
      <c r="K19" s="6" t="str">
        <f aca="true">IF($F19=0,"NA",IF($A19=INDIRECT("'"&amp;$A19&amp;"'!$B$1"),IF(VLOOKUP(K$1,INDIRECT("'"&amp;$A19&amp;"'!$A$12:$Z$19"),MATCH("Points (Auto-generate)",INDIRECT("'"&amp;$A19&amp;"'!$A$12:$Z$12"),0),0)="","?",VLOOKUP(K$1,INDIRECT("'"&amp;$A19&amp;"'!$A$12:$Z$19"),MATCH("Points (Auto-generate)",INDIRECT("'"&amp;$A19&amp;"'!$A$12:$Z$12"),0),0)),"ER"))</f>
        <v>NA</v>
      </c>
      <c r="L19" s="6" t="str">
        <f aca="true">IF($F19=0,"NA",IF($A19=INDIRECT("'"&amp;$A19&amp;"'!$B$1"),IF(VLOOKUP(L$1,INDIRECT("'"&amp;$A19&amp;"'!$A$12:$Z$19"),MATCH("Points (Auto-generate)",INDIRECT("'"&amp;$A19&amp;"'!$A$12:$Z$12"),0),0)="","?",VLOOKUP(L$1,INDIRECT("'"&amp;$A19&amp;"'!$A$12:$Z$19"),MATCH("Points (Auto-generate)",INDIRECT("'"&amp;$A19&amp;"'!$A$12:$Z$12"),0),0)),"ER"))</f>
        <v>NA</v>
      </c>
      <c r="M19" s="6" t="str">
        <f aca="true">IF($F19=0,"NA",IF($A19=INDIRECT("'"&amp;$A19&amp;"'!$B$1"),IF(VLOOKUP(M$1,INDIRECT("'"&amp;$A19&amp;"'!$A$12:$Z$19"),MATCH("Points (Auto-generate)",INDIRECT("'"&amp;$A19&amp;"'!$A$12:$Z$12"),0),0)="","?",VLOOKUP(M$1,INDIRECT("'"&amp;$A19&amp;"'!$A$12:$Z$19"),MATCH("Points (Auto-generate)",INDIRECT("'"&amp;$A19&amp;"'!$A$12:$Z$12"),0),0)),"ER"))</f>
        <v>NA</v>
      </c>
    </row>
    <row r="20" customFormat="false" ht="15" hidden="false" customHeight="true" outlineLevel="0" collapsed="false">
      <c r="A20" s="8" t="s">
        <v>571</v>
      </c>
      <c r="B20" s="8" t="str">
        <f aca="false">VLOOKUP($A20,'PARASTATAL Questions'!$A:$J,3,0)&amp;""</f>
        <v>Urban Planning &amp; Design (UPD)</v>
      </c>
      <c r="C20" s="8" t="str">
        <f aca="false">VLOOKUP($A20,'PARASTATAL Questions'!$A:$J,4,0)&amp;""</f>
        <v>MQ</v>
      </c>
      <c r="D20" s="8" t="str">
        <f aca="false">VLOOKUP($A20,'PARASTATAL Questions'!$A:$J,5,0)&amp;""</f>
        <v>Are environmental considerations explicitly required to be integrated into the transport corporation’s planning, service-delivery or major investment decisions?</v>
      </c>
      <c r="E20" s="8" t="str">
        <f aca="false">VLOOKUP($A20,'PARASTATAL Questions'!$A:$J,7,0)&amp;""</f>
        <v/>
      </c>
      <c r="F20" s="8" t="n">
        <f aca="false">VLOOKUP($A20,'PARASTATAL Questions'!$A:$J,6,0)</f>
        <v>10</v>
      </c>
      <c r="G20" s="8" t="str">
        <f aca="false">IF(OR(G21="ER",G22="ER"),"ER",IF(OR(G21="?",G22="?"),"?",IF(AND(G21="NA",G22="NA"),"NA",SUM(G21,G22)/((G21&lt;&gt;"NA")*$F$21+(G22&lt;&gt;"NA")*$F$22)*$F20)))</f>
        <v>NA</v>
      </c>
      <c r="H20" s="8" t="n">
        <f aca="false">IF(OR(H21="ER",H22="ER"),"ER",IF(OR(H21="?",H22="?"),"?",IF(AND(H21="NA",H22="NA"),"NA",SUM(H21,H22)/((H21&lt;&gt;"NA")*$F$21+(H22&lt;&gt;"NA")*$F$22)*$F20)))</f>
        <v>3.75</v>
      </c>
      <c r="I20" s="8" t="str">
        <f aca="false">IF(OR(I21="ER",I22="ER"),"ER",IF(OR(I21="?",I22="?"),"?",IF(AND(I21="NA",I22="NA"),"NA",SUM(I21,I22)/((I21&lt;&gt;"NA")*$F$21+(I22&lt;&gt;"NA")*$F$22)*$F20)))</f>
        <v>NA</v>
      </c>
      <c r="J20" s="8" t="str">
        <f aca="false">IF(OR(J21="ER",J22="ER"),"ER",IF(OR(J21="?",J22="?"),"?",IF(AND(J21="NA",J22="NA"),"NA",SUM(J21,J22)/((J21&lt;&gt;"NA")*$F$21+(J22&lt;&gt;"NA")*$F$22)*$F20)))</f>
        <v>NA</v>
      </c>
      <c r="K20" s="8" t="str">
        <f aca="false">IF(OR(K21="ER",K22="ER"),"ER",IF(OR(K21="?",K22="?"),"?",IF(AND(K21="NA",K22="NA"),"NA",SUM(K21,K22)/((K21&lt;&gt;"NA")*$F$21+(K22&lt;&gt;"NA")*$F$22)*$F20)))</f>
        <v>NA</v>
      </c>
      <c r="L20" s="8" t="str">
        <f aca="false">IF(OR(L21="ER",L22="ER"),"ER",IF(OR(L21="?",L22="?"),"?",IF(AND(L21="NA",L22="NA"),"NA",SUM(L21,L22)/((L21&lt;&gt;"NA")*$F$21+(L22&lt;&gt;"NA")*$F$22)*$F20)))</f>
        <v>NA</v>
      </c>
      <c r="M20" s="8" t="str">
        <f aca="false">IF(OR(M21="ER",M22="ER"),"ER",IF(OR(M21="?",M22="?"),"?",IF(AND(M21="NA",M22="NA"),"NA",SUM(M21,M22)/((M21&lt;&gt;"NA")*$F$21+(M22&lt;&gt;"NA")*$F$22)*$F20)))</f>
        <v>NA</v>
      </c>
    </row>
    <row r="21" customFormat="false" ht="15" hidden="false" customHeight="true" outlineLevel="0" collapsed="false">
      <c r="A21" s="6" t="s">
        <v>111</v>
      </c>
      <c r="B21" s="6" t="str">
        <f aca="false">VLOOKUP($A21,'PARASTATAL Questions'!$A:$J,3,0)&amp;""</f>
        <v>Urban Planning &amp; Design (UPD)</v>
      </c>
      <c r="C21" s="6" t="str">
        <f aca="false">VLOOKUP($A21,'PARASTATAL Questions'!$A:$J,4,0)&amp;""</f>
        <v>SQ</v>
      </c>
      <c r="D21" s="6" t="str">
        <f aca="false">VLOOKUP($A21,'PARASTATAL Questions'!$A:$J,5,0)&amp;""</f>
        <v>Is the transport corporation mandated to consider environmental sustainability in planning and delivering urban transport services and investments?</v>
      </c>
      <c r="E21" s="6" t="str">
        <f aca="false">VLOOKUP($A21,'PARASTATAL Questions'!$A:$J,7,0)&amp;""</f>
        <v>Law/Policy</v>
      </c>
      <c r="F21" s="6" t="n">
        <f aca="false">VLOOKUP($A21,'PARASTATAL Questions'!$A:$J,6,0)</f>
        <v>5</v>
      </c>
      <c r="G21" s="6" t="str">
        <f aca="true">IF($F21=0,"NA",IF($A21=INDIRECT("'"&amp;$A21&amp;"'!$B$1"),IF(VLOOKUP(G$1,INDIRECT("'"&amp;$A21&amp;"'!$A$12:$Z$19"),MATCH("Points (Auto-generate)",INDIRECT("'"&amp;$A21&amp;"'!$A$12:$Z$12"),0),0)="","?",VLOOKUP(G$1,INDIRECT("'"&amp;$A21&amp;"'!$A$12:$Z$19"),MATCH("Points (Auto-generate)",INDIRECT("'"&amp;$A21&amp;"'!$A$12:$Z$12"),0),0)),"ER"))</f>
        <v>NA</v>
      </c>
      <c r="H21" s="6" t="n">
        <f aca="true">IF($F21=0,"NA",IF($A21=INDIRECT("'"&amp;$A21&amp;"'!$B$1"),IF(VLOOKUP(H$1,INDIRECT("'"&amp;$A21&amp;"'!$A$12:$Z$19"),MATCH("Points (Auto-generate)",INDIRECT("'"&amp;$A21&amp;"'!$A$12:$Z$12"),0),0)="","?",VLOOKUP(H$1,INDIRECT("'"&amp;$A21&amp;"'!$A$12:$Z$19"),MATCH("Points (Auto-generate)",INDIRECT("'"&amp;$A21&amp;"'!$A$12:$Z$12"),0),0)),"ER"))</f>
        <v>2.5</v>
      </c>
      <c r="I21" s="6" t="str">
        <f aca="true">IF($F21=0,"NA",IF($A21=INDIRECT("'"&amp;$A21&amp;"'!$B$1"),IF(VLOOKUP(I$1,INDIRECT("'"&amp;$A21&amp;"'!$A$12:$Z$19"),MATCH("Points (Auto-generate)",INDIRECT("'"&amp;$A21&amp;"'!$A$12:$Z$12"),0),0)="","?",VLOOKUP(I$1,INDIRECT("'"&amp;$A21&amp;"'!$A$12:$Z$19"),MATCH("Points (Auto-generate)",INDIRECT("'"&amp;$A21&amp;"'!$A$12:$Z$12"),0),0)),"ER"))</f>
        <v>NA</v>
      </c>
      <c r="J21" s="6" t="str">
        <f aca="true">IF($F21=0,"NA",IF($A21=INDIRECT("'"&amp;$A21&amp;"'!$B$1"),IF(VLOOKUP(J$1,INDIRECT("'"&amp;$A21&amp;"'!$A$12:$Z$19"),MATCH("Points (Auto-generate)",INDIRECT("'"&amp;$A21&amp;"'!$A$12:$Z$12"),0),0)="","?",VLOOKUP(J$1,INDIRECT("'"&amp;$A21&amp;"'!$A$12:$Z$19"),MATCH("Points (Auto-generate)",INDIRECT("'"&amp;$A21&amp;"'!$A$12:$Z$12"),0),0)),"ER"))</f>
        <v>NA</v>
      </c>
      <c r="K21" s="6" t="str">
        <f aca="true">IF($F21=0,"NA",IF($A21=INDIRECT("'"&amp;$A21&amp;"'!$B$1"),IF(VLOOKUP(K$1,INDIRECT("'"&amp;$A21&amp;"'!$A$12:$Z$19"),MATCH("Points (Auto-generate)",INDIRECT("'"&amp;$A21&amp;"'!$A$12:$Z$12"),0),0)="","?",VLOOKUP(K$1,INDIRECT("'"&amp;$A21&amp;"'!$A$12:$Z$19"),MATCH("Points (Auto-generate)",INDIRECT("'"&amp;$A21&amp;"'!$A$12:$Z$12"),0),0)),"ER"))</f>
        <v>NA</v>
      </c>
      <c r="L21" s="6" t="str">
        <f aca="true">IF($F21=0,"NA",IF($A21=INDIRECT("'"&amp;$A21&amp;"'!$B$1"),IF(VLOOKUP(L$1,INDIRECT("'"&amp;$A21&amp;"'!$A$12:$Z$19"),MATCH("Points (Auto-generate)",INDIRECT("'"&amp;$A21&amp;"'!$A$12:$Z$12"),0),0)="","?",VLOOKUP(L$1,INDIRECT("'"&amp;$A21&amp;"'!$A$12:$Z$19"),MATCH("Points (Auto-generate)",INDIRECT("'"&amp;$A21&amp;"'!$A$12:$Z$12"),0),0)),"ER"))</f>
        <v>NA</v>
      </c>
      <c r="M21" s="6" t="str">
        <f aca="true">IF($F21=0,"NA",IF($A21=INDIRECT("'"&amp;$A21&amp;"'!$B$1"),IF(VLOOKUP(M$1,INDIRECT("'"&amp;$A21&amp;"'!$A$12:$Z$19"),MATCH("Points (Auto-generate)",INDIRECT("'"&amp;$A21&amp;"'!$A$12:$Z$12"),0),0)="","?",VLOOKUP(M$1,INDIRECT("'"&amp;$A21&amp;"'!$A$12:$Z$19"),MATCH("Points (Auto-generate)",INDIRECT("'"&amp;$A21&amp;"'!$A$12:$Z$12"),0),0)),"ER"))</f>
        <v>NA</v>
      </c>
    </row>
    <row r="22" customFormat="false" ht="15" hidden="false" customHeight="true" outlineLevel="0" collapsed="false">
      <c r="A22" s="6" t="s">
        <v>116</v>
      </c>
      <c r="B22" s="6" t="str">
        <f aca="false">VLOOKUP($A22,'PARASTATAL Questions'!$A:$J,3,0)&amp;""</f>
        <v>Urban Planning &amp; Design (UPD)</v>
      </c>
      <c r="C22" s="6" t="str">
        <f aca="false">VLOOKUP($A22,'PARASTATAL Questions'!$A:$J,4,0)&amp;""</f>
        <v>SQ</v>
      </c>
      <c r="D22" s="6" t="str">
        <f aca="false">VLOOKUP($A22,'PARASTATAL Questions'!$A:$J,5,0)&amp;""</f>
        <v>Does the transport corporation actually considers environmental sustainability in planning and delivering urban transport services and investments?</v>
      </c>
      <c r="E22" s="6" t="str">
        <f aca="false">VLOOKUP($A22,'PARASTATAL Questions'!$A:$J,7,0)&amp;""</f>
        <v>Implementation</v>
      </c>
      <c r="F22" s="6" t="n">
        <f aca="false">VLOOKUP($A22,'PARASTATAL Questions'!$A:$J,6,0)</f>
        <v>5</v>
      </c>
      <c r="G22" s="6" t="str">
        <f aca="true">IF($F22=0,"NA",IF($A22=INDIRECT("'"&amp;$A22&amp;"'!$B$1"),IF(VLOOKUP(G$1,INDIRECT("'"&amp;$A22&amp;"'!$A$12:$Z$19"),MATCH("Points (Auto-generate)",INDIRECT("'"&amp;$A22&amp;"'!$A$12:$Z$12"),0),0)="","?",VLOOKUP(G$1,INDIRECT("'"&amp;$A22&amp;"'!$A$12:$Z$19"),MATCH("Points (Auto-generate)",INDIRECT("'"&amp;$A22&amp;"'!$A$12:$Z$12"),0),0)),"ER"))</f>
        <v>NA</v>
      </c>
      <c r="H22" s="6" t="n">
        <f aca="true">IF($F22=0,"NA",IF($A22=INDIRECT("'"&amp;$A22&amp;"'!$B$1"),IF(VLOOKUP(H$1,INDIRECT("'"&amp;$A22&amp;"'!$A$12:$Z$19"),MATCH("Points (Auto-generate)",INDIRECT("'"&amp;$A22&amp;"'!$A$12:$Z$12"),0),0)="","?",VLOOKUP(H$1,INDIRECT("'"&amp;$A22&amp;"'!$A$12:$Z$19"),MATCH("Points (Auto-generate)",INDIRECT("'"&amp;$A22&amp;"'!$A$12:$Z$12"),0),0)),"ER"))</f>
        <v>1.25</v>
      </c>
      <c r="I22" s="6" t="str">
        <f aca="true">IF($F22=0,"NA",IF($A22=INDIRECT("'"&amp;$A22&amp;"'!$B$1"),IF(VLOOKUP(I$1,INDIRECT("'"&amp;$A22&amp;"'!$A$12:$Z$19"),MATCH("Points (Auto-generate)",INDIRECT("'"&amp;$A22&amp;"'!$A$12:$Z$12"),0),0)="","?",VLOOKUP(I$1,INDIRECT("'"&amp;$A22&amp;"'!$A$12:$Z$19"),MATCH("Points (Auto-generate)",INDIRECT("'"&amp;$A22&amp;"'!$A$12:$Z$12"),0),0)),"ER"))</f>
        <v>NA</v>
      </c>
      <c r="J22" s="6" t="str">
        <f aca="true">IF($F22=0,"NA",IF($A22=INDIRECT("'"&amp;$A22&amp;"'!$B$1"),IF(VLOOKUP(J$1,INDIRECT("'"&amp;$A22&amp;"'!$A$12:$Z$19"),MATCH("Points (Auto-generate)",INDIRECT("'"&amp;$A22&amp;"'!$A$12:$Z$12"),0),0)="","?",VLOOKUP(J$1,INDIRECT("'"&amp;$A22&amp;"'!$A$12:$Z$19"),MATCH("Points (Auto-generate)",INDIRECT("'"&amp;$A22&amp;"'!$A$12:$Z$12"),0),0)),"ER"))</f>
        <v>NA</v>
      </c>
      <c r="K22" s="6" t="str">
        <f aca="true">IF($F22=0,"NA",IF($A22=INDIRECT("'"&amp;$A22&amp;"'!$B$1"),IF(VLOOKUP(K$1,INDIRECT("'"&amp;$A22&amp;"'!$A$12:$Z$19"),MATCH("Points (Auto-generate)",INDIRECT("'"&amp;$A22&amp;"'!$A$12:$Z$12"),0),0)="","?",VLOOKUP(K$1,INDIRECT("'"&amp;$A22&amp;"'!$A$12:$Z$19"),MATCH("Points (Auto-generate)",INDIRECT("'"&amp;$A22&amp;"'!$A$12:$Z$12"),0),0)),"ER"))</f>
        <v>NA</v>
      </c>
      <c r="L22" s="6" t="str">
        <f aca="true">IF($F22=0,"NA",IF($A22=INDIRECT("'"&amp;$A22&amp;"'!$B$1"),IF(VLOOKUP(L$1,INDIRECT("'"&amp;$A22&amp;"'!$A$12:$Z$19"),MATCH("Points (Auto-generate)",INDIRECT("'"&amp;$A22&amp;"'!$A$12:$Z$12"),0),0)="","?",VLOOKUP(L$1,INDIRECT("'"&amp;$A22&amp;"'!$A$12:$Z$19"),MATCH("Points (Auto-generate)",INDIRECT("'"&amp;$A22&amp;"'!$A$12:$Z$12"),0),0)),"ER"))</f>
        <v>NA</v>
      </c>
      <c r="M22" s="6" t="str">
        <f aca="true">IF($F22=0,"NA",IF($A22=INDIRECT("'"&amp;$A22&amp;"'!$B$1"),IF(VLOOKUP(M$1,INDIRECT("'"&amp;$A22&amp;"'!$A$12:$Z$19"),MATCH("Points (Auto-generate)",INDIRECT("'"&amp;$A22&amp;"'!$A$12:$Z$12"),0),0)="","?",VLOOKUP(M$1,INDIRECT("'"&amp;$A22&amp;"'!$A$12:$Z$19"),MATCH("Points (Auto-generate)",INDIRECT("'"&amp;$A22&amp;"'!$A$12:$Z$12"),0),0)),"ER"))</f>
        <v>NA</v>
      </c>
    </row>
    <row r="23" customFormat="false" ht="15" hidden="false" customHeight="true" outlineLevel="0" collapsed="false">
      <c r="A23" s="8" t="s">
        <v>572</v>
      </c>
      <c r="B23" s="8" t="str">
        <f aca="false">VLOOKUP($A23,'PARASTATAL Questions'!$A:$J,3,0)&amp;""</f>
        <v>Decentralised Participatory Governance</v>
      </c>
      <c r="C23" s="8" t="str">
        <f aca="false">VLOOKUP($A23,'PARASTATAL Questions'!$A:$J,4,0)&amp;""</f>
        <v>MQ</v>
      </c>
      <c r="D23" s="8" t="str">
        <f aca="false">VLOOKUP($A23,'PARASTATAL Questions'!$A:$J,5,0)&amp;""</f>
        <v>Are the functions and geographical jurisdiction of the parastatal clearly defined vis-à-vis the ULG and other relevant agencies?</v>
      </c>
      <c r="E23" s="8" t="str">
        <f aca="false">VLOOKUP($A23,'PARASTATAL Questions'!$A:$J,7,0)&amp;""</f>
        <v>Institutional Design</v>
      </c>
      <c r="F23" s="8" t="n">
        <f aca="false">VLOOKUP($A23,'PARASTATAL Questions'!$A:$J,6,0)</f>
        <v>10</v>
      </c>
      <c r="G23" s="8" t="n">
        <f aca="false">IF(OR(G24="ER",G25="ER"),"ER",IF(OR(G24="?",G25="?"),"?",IF(AND(G24="NA",G25="NA"),"NA",SUM(G24,G25)/((G24&lt;&gt;"NA")*$F$24+(G25&lt;&gt;"NA")*$F$25)*$F23)))</f>
        <v>2.5</v>
      </c>
      <c r="H23" s="8" t="str">
        <f aca="false">IF(OR(H24="ER",H25="ER"),"ER",IF(OR(H24="?",H25="?"),"?",IF(AND(H24="NA",H25="NA"),"NA",SUM(H24,H25)/((H24&lt;&gt;"NA")*$F$24+(H25&lt;&gt;"NA")*$F$25)*$F23)))</f>
        <v>?</v>
      </c>
      <c r="I23" s="8" t="n">
        <f aca="false">IF(OR(I24="ER",I25="ER"),"ER",IF(OR(I24="?",I25="?"),"?",IF(AND(I24="NA",I25="NA"),"NA",SUM(I24,I25)/((I24&lt;&gt;"NA")*$F$24+(I25&lt;&gt;"NA")*$F$25)*$F23)))</f>
        <v>2.5</v>
      </c>
      <c r="J23" s="8" t="n">
        <f aca="false">IF(OR(J24="ER",J25="ER"),"ER",IF(OR(J24="?",J25="?"),"?",IF(AND(J24="NA",J25="NA"),"NA",SUM(J24,J25)/((J24&lt;&gt;"NA")*$F$24+(J25&lt;&gt;"NA")*$F$25)*$F23)))</f>
        <v>7.5</v>
      </c>
      <c r="K23" s="8" t="str">
        <f aca="false">IF(OR(K24="ER",K25="ER"),"ER",IF(OR(K24="?",K25="?"),"?",IF(AND(K24="NA",K25="NA"),"NA",SUM(K24,K25)/((K24&lt;&gt;"NA")*$F$24+(K25&lt;&gt;"NA")*$F$25)*$F23)))</f>
        <v>?</v>
      </c>
      <c r="L23" s="8" t="str">
        <f aca="false">IF(OR(L24="ER",L25="ER"),"ER",IF(OR(L24="?",L25="?"),"?",IF(AND(L24="NA",L25="NA"),"NA",SUM(L24,L25)/((L24&lt;&gt;"NA")*$F$24+(L25&lt;&gt;"NA")*$F$25)*$F23)))</f>
        <v>?</v>
      </c>
      <c r="M23" s="8" t="str">
        <f aca="false">IF(OR(M24="ER",M25="ER"),"ER",IF(OR(M24="?",M25="?"),"?",IF(AND(M24="NA",M25="NA"),"NA",SUM(M24,M25)/((M24&lt;&gt;"NA")*$F$24+(M25&lt;&gt;"NA")*$F$25)*$F23)))</f>
        <v>?</v>
      </c>
    </row>
    <row r="24" customFormat="false" ht="15" hidden="false" customHeight="true" outlineLevel="0" collapsed="false">
      <c r="A24" s="6" t="s">
        <v>118</v>
      </c>
      <c r="B24" s="6" t="str">
        <f aca="false">VLOOKUP($A24,'PARASTATAL Questions'!$A:$J,3,0)&amp;""</f>
        <v>Decentralised Participatory Governance</v>
      </c>
      <c r="C24" s="6" t="str">
        <f aca="false">VLOOKUP($A24,'PARASTATAL Questions'!$A:$J,4,0)&amp;""</f>
        <v>SQ</v>
      </c>
      <c r="D24" s="6" t="str">
        <f aca="false">VLOOKUP($A24,'PARASTATAL Questions'!$A:$J,5,0)&amp;""</f>
        <v>Does the legal framework clearly demarcate the functions/responsibilities of the parastatal vis-à-vis the ULG?</v>
      </c>
      <c r="E24" s="6" t="str">
        <f aca="false">VLOOKUP($A24,'PARASTATAL Questions'!$A:$J,7,0)&amp;""</f>
        <v>Institutional Design</v>
      </c>
      <c r="F24" s="6" t="n">
        <f aca="false">VLOOKUP($A24,'PARASTATAL Questions'!$A:$J,6,0)</f>
        <v>5</v>
      </c>
      <c r="G24" s="6" t="n">
        <f aca="true">IF($F24=0,"NA",IF($A24=INDIRECT("'"&amp;$A24&amp;"'!$B$1"),IF(VLOOKUP(G$1,INDIRECT("'"&amp;$A24&amp;"'!$A$12:$Z$19"),MATCH("Points (Auto-generate)",INDIRECT("'"&amp;$A24&amp;"'!$A$12:$Z$12"),0),0)="","?",VLOOKUP(G$1,INDIRECT("'"&amp;$A24&amp;"'!$A$12:$Z$19"),MATCH("Points (Auto-generate)",INDIRECT("'"&amp;$A24&amp;"'!$A$12:$Z$12"),0),0)),"ER"))</f>
        <v>0</v>
      </c>
      <c r="H24" s="6" t="str">
        <f aca="true">IF($F24=0,"NA",IF($A24=INDIRECT("'"&amp;$A24&amp;"'!$B$1"),IF(VLOOKUP(H$1,INDIRECT("'"&amp;$A24&amp;"'!$A$12:$Z$19"),MATCH("Points (Auto-generate)",INDIRECT("'"&amp;$A24&amp;"'!$A$12:$Z$12"),0),0)="","?",VLOOKUP(H$1,INDIRECT("'"&amp;$A24&amp;"'!$A$12:$Z$19"),MATCH("Points (Auto-generate)",INDIRECT("'"&amp;$A24&amp;"'!$A$12:$Z$12"),0),0)),"ER"))</f>
        <v>?</v>
      </c>
      <c r="I24" s="6" t="n">
        <f aca="true">IF($F24=0,"NA",IF($A24=INDIRECT("'"&amp;$A24&amp;"'!$B$1"),IF(VLOOKUP(I$1,INDIRECT("'"&amp;$A24&amp;"'!$A$12:$Z$19"),MATCH("Points (Auto-generate)",INDIRECT("'"&amp;$A24&amp;"'!$A$12:$Z$12"),0),0)="","?",VLOOKUP(I$1,INDIRECT("'"&amp;$A24&amp;"'!$A$12:$Z$19"),MATCH("Points (Auto-generate)",INDIRECT("'"&amp;$A24&amp;"'!$A$12:$Z$12"),0),0)),"ER"))</f>
        <v>0</v>
      </c>
      <c r="J24" s="6" t="n">
        <f aca="true">IF($F24=0,"NA",IF($A24=INDIRECT("'"&amp;$A24&amp;"'!$B$1"),IF(VLOOKUP(J$1,INDIRECT("'"&amp;$A24&amp;"'!$A$12:$Z$19"),MATCH("Points (Auto-generate)",INDIRECT("'"&amp;$A24&amp;"'!$A$12:$Z$12"),0),0)="","?",VLOOKUP(J$1,INDIRECT("'"&amp;$A24&amp;"'!$A$12:$Z$19"),MATCH("Points (Auto-generate)",INDIRECT("'"&amp;$A24&amp;"'!$A$12:$Z$12"),0),0)),"ER"))</f>
        <v>5</v>
      </c>
      <c r="K24" s="6" t="str">
        <f aca="true">IF($F24=0,"NA",IF($A24=INDIRECT("'"&amp;$A24&amp;"'!$B$1"),IF(VLOOKUP(K$1,INDIRECT("'"&amp;$A24&amp;"'!$A$12:$Z$19"),MATCH("Points (Auto-generate)",INDIRECT("'"&amp;$A24&amp;"'!$A$12:$Z$12"),0),0)="","?",VLOOKUP(K$1,INDIRECT("'"&amp;$A24&amp;"'!$A$12:$Z$19"),MATCH("Points (Auto-generate)",INDIRECT("'"&amp;$A24&amp;"'!$A$12:$Z$12"),0),0)),"ER"))</f>
        <v>?</v>
      </c>
      <c r="L24" s="6" t="str">
        <f aca="true">IF($F24=0,"NA",IF($A24=INDIRECT("'"&amp;$A24&amp;"'!$B$1"),IF(VLOOKUP(L$1,INDIRECT("'"&amp;$A24&amp;"'!$A$12:$Z$19"),MATCH("Points (Auto-generate)",INDIRECT("'"&amp;$A24&amp;"'!$A$12:$Z$12"),0),0)="","?",VLOOKUP(L$1,INDIRECT("'"&amp;$A24&amp;"'!$A$12:$Z$19"),MATCH("Points (Auto-generate)",INDIRECT("'"&amp;$A24&amp;"'!$A$12:$Z$12"),0),0)),"ER"))</f>
        <v>?</v>
      </c>
      <c r="M24" s="6" t="str">
        <f aca="true">IF($F24=0,"NA",IF($A24=INDIRECT("'"&amp;$A24&amp;"'!$B$1"),IF(VLOOKUP(M$1,INDIRECT("'"&amp;$A24&amp;"'!$A$12:$Z$19"),MATCH("Points (Auto-generate)",INDIRECT("'"&amp;$A24&amp;"'!$A$12:$Z$12"),0),0)="","?",VLOOKUP(M$1,INDIRECT("'"&amp;$A24&amp;"'!$A$12:$Z$19"),MATCH("Points (Auto-generate)",INDIRECT("'"&amp;$A24&amp;"'!$A$12:$Z$12"),0),0)),"ER"))</f>
        <v>?</v>
      </c>
    </row>
    <row r="25" customFormat="false" ht="15" hidden="false" customHeight="true" outlineLevel="0" collapsed="false">
      <c r="A25" s="6" t="s">
        <v>140</v>
      </c>
      <c r="B25" s="6" t="str">
        <f aca="false">VLOOKUP($A25,'PARASTATAL Questions'!$A:$J,3,0)&amp;""</f>
        <v>Decentralised Participatory Governance</v>
      </c>
      <c r="C25" s="6" t="str">
        <f aca="false">VLOOKUP($A25,'PARASTATAL Questions'!$A:$J,4,0)&amp;""</f>
        <v>SQ</v>
      </c>
      <c r="D25" s="6" t="str">
        <f aca="false">VLOOKUP($A25,'PARASTATAL Questions'!$A:$J,5,0)&amp;""</f>
        <v>Is the parastatal's territorial/geographic jurisdiction clearly and specifically defined in its enabling legal framework?</v>
      </c>
      <c r="E25" s="6" t="str">
        <f aca="false">VLOOKUP($A25,'PARASTATAL Questions'!$A:$J,7,0)&amp;""</f>
        <v>Institutional Design</v>
      </c>
      <c r="F25" s="6" t="n">
        <f aca="false">VLOOKUP($A25,'PARASTATAL Questions'!$A:$J,6,0)</f>
        <v>5</v>
      </c>
      <c r="G25" s="6" t="n">
        <f aca="true">IF($F25=0,"NA",IF($A25=INDIRECT("'"&amp;$A25&amp;"'!$B$1"),IF(VLOOKUP(G$1,INDIRECT("'"&amp;$A25&amp;"'!$A$12:$Z$19"),MATCH("Points (Auto-generate)",INDIRECT("'"&amp;$A25&amp;"'!$A$12:$Z$12"),0),0)="","?",VLOOKUP(G$1,INDIRECT("'"&amp;$A25&amp;"'!$A$12:$Z$19"),MATCH("Points (Auto-generate)",INDIRECT("'"&amp;$A25&amp;"'!$A$12:$Z$12"),0),0)),"ER"))</f>
        <v>2.5</v>
      </c>
      <c r="H25" s="6" t="str">
        <f aca="true">IF($F25=0,"NA",IF($A25=INDIRECT("'"&amp;$A25&amp;"'!$B$1"),IF(VLOOKUP(H$1,INDIRECT("'"&amp;$A25&amp;"'!$A$12:$Z$19"),MATCH("Points (Auto-generate)",INDIRECT("'"&amp;$A25&amp;"'!$A$12:$Z$12"),0),0)="","?",VLOOKUP(H$1,INDIRECT("'"&amp;$A25&amp;"'!$A$12:$Z$19"),MATCH("Points (Auto-generate)",INDIRECT("'"&amp;$A25&amp;"'!$A$12:$Z$12"),0),0)),"ER"))</f>
        <v>?</v>
      </c>
      <c r="I25" s="6" t="n">
        <f aca="true">IF($F25=0,"NA",IF($A25=INDIRECT("'"&amp;$A25&amp;"'!$B$1"),IF(VLOOKUP(I$1,INDIRECT("'"&amp;$A25&amp;"'!$A$12:$Z$19"),MATCH("Points (Auto-generate)",INDIRECT("'"&amp;$A25&amp;"'!$A$12:$Z$12"),0),0)="","?",VLOOKUP(I$1,INDIRECT("'"&amp;$A25&amp;"'!$A$12:$Z$19"),MATCH("Points (Auto-generate)",INDIRECT("'"&amp;$A25&amp;"'!$A$12:$Z$12"),0),0)),"ER"))</f>
        <v>2.5</v>
      </c>
      <c r="J25" s="6" t="n">
        <f aca="true">IF($F25=0,"NA",IF($A25=INDIRECT("'"&amp;$A25&amp;"'!$B$1"),IF(VLOOKUP(J$1,INDIRECT("'"&amp;$A25&amp;"'!$A$12:$Z$19"),MATCH("Points (Auto-generate)",INDIRECT("'"&amp;$A25&amp;"'!$A$12:$Z$12"),0),0)="","?",VLOOKUP(J$1,INDIRECT("'"&amp;$A25&amp;"'!$A$12:$Z$19"),MATCH("Points (Auto-generate)",INDIRECT("'"&amp;$A25&amp;"'!$A$12:$Z$12"),0),0)),"ER"))</f>
        <v>2.5</v>
      </c>
      <c r="K25" s="6" t="n">
        <f aca="true">IF($F25=0,"NA",IF($A25=INDIRECT("'"&amp;$A25&amp;"'!$B$1"),IF(VLOOKUP(K$1,INDIRECT("'"&amp;$A25&amp;"'!$A$12:$Z$19"),MATCH("Points (Auto-generate)",INDIRECT("'"&amp;$A25&amp;"'!$A$12:$Z$12"),0),0)="","?",VLOOKUP(K$1,INDIRECT("'"&amp;$A25&amp;"'!$A$12:$Z$19"),MATCH("Points (Auto-generate)",INDIRECT("'"&amp;$A25&amp;"'!$A$12:$Z$12"),0),0)),"ER"))</f>
        <v>5</v>
      </c>
      <c r="L25" s="6" t="str">
        <f aca="true">IF($F25=0,"NA",IF($A25=INDIRECT("'"&amp;$A25&amp;"'!$B$1"),IF(VLOOKUP(L$1,INDIRECT("'"&amp;$A25&amp;"'!$A$12:$Z$19"),MATCH("Points (Auto-generate)",INDIRECT("'"&amp;$A25&amp;"'!$A$12:$Z$12"),0),0)="","?",VLOOKUP(L$1,INDIRECT("'"&amp;$A25&amp;"'!$A$12:$Z$19"),MATCH("Points (Auto-generate)",INDIRECT("'"&amp;$A25&amp;"'!$A$12:$Z$12"),0),0)),"ER"))</f>
        <v>?</v>
      </c>
      <c r="M25" s="6" t="str">
        <f aca="true">IF($F25=0,"NA",IF($A25=INDIRECT("'"&amp;$A25&amp;"'!$B$1"),IF(VLOOKUP(M$1,INDIRECT("'"&amp;$A25&amp;"'!$A$12:$Z$19"),MATCH("Points (Auto-generate)",INDIRECT("'"&amp;$A25&amp;"'!$A$12:$Z$12"),0),0)="","?",VLOOKUP(M$1,INDIRECT("'"&amp;$A25&amp;"'!$A$12:$Z$19"),MATCH("Points (Auto-generate)",INDIRECT("'"&amp;$A25&amp;"'!$A$12:$Z$12"),0),0)),"ER"))</f>
        <v>?</v>
      </c>
    </row>
    <row r="26" customFormat="false" ht="15" hidden="false" customHeight="true" outlineLevel="0" collapsed="false">
      <c r="A26" s="8" t="s">
        <v>573</v>
      </c>
      <c r="B26" s="8" t="str">
        <f aca="false">VLOOKUP($A26,'PARASTATAL Questions'!$A:$J,3,0)&amp;""</f>
        <v>Decentralised Participatory Governance</v>
      </c>
      <c r="C26" s="8" t="str">
        <f aca="false">VLOOKUP($A26,'PARASTATAL Questions'!$A:$J,4,0)&amp;""</f>
        <v>MQ</v>
      </c>
      <c r="D26" s="8" t="str">
        <f aca="false">VLOOKUP($A26,'PARASTATAL Questions'!$A:$J,5,0)&amp;""</f>
        <v>Is the parastatal accountable to the ULG?</v>
      </c>
      <c r="E26" s="8" t="str">
        <f aca="false">VLOOKUP($A26,'PARASTATAL Questions'!$A:$J,7,0)&amp;""</f>
        <v>Institutional Design</v>
      </c>
      <c r="F26" s="8" t="n">
        <f aca="false">VLOOKUP($A26,'PARASTATAL Questions'!$A:$J,6,0)</f>
        <v>10</v>
      </c>
      <c r="G26" s="8" t="n">
        <f aca="false">IF(OR(G27="ER",G28="ER"),"ER",IF(OR(G27="?",G28="?"),"?",IF(AND(G27="NA",G28="NA"),"NA",SUM(G27,G28)/((G27&lt;&gt;"NA")*$F$27+(G28&lt;&gt;"NA")*$F$28)*$F26)))</f>
        <v>0</v>
      </c>
      <c r="H26" s="8" t="str">
        <f aca="false">IF(OR(H27="ER",H28="ER"),"ER",IF(OR(H27="?",H28="?"),"?",IF(AND(H27="NA",H28="NA"),"NA",SUM(H27,H28)/((H27&lt;&gt;"NA")*$F$27+(H28&lt;&gt;"NA")*$F$28)*$F26)))</f>
        <v>?</v>
      </c>
      <c r="I26" s="8" t="n">
        <f aca="false">IF(OR(I27="ER",I28="ER"),"ER",IF(OR(I27="?",I28="?"),"?",IF(AND(I27="NA",I28="NA"),"NA",SUM(I27,I28)/((I27&lt;&gt;"NA")*$F$27+(I28&lt;&gt;"NA")*$F$28)*$F26)))</f>
        <v>5</v>
      </c>
      <c r="J26" s="8" t="n">
        <f aca="false">IF(OR(J27="ER",J28="ER"),"ER",IF(OR(J27="?",J28="?"),"?",IF(AND(J27="NA",J28="NA"),"NA",SUM(J27,J28)/((J27&lt;&gt;"NA")*$F$27+(J28&lt;&gt;"NA")*$F$28)*$F26)))</f>
        <v>0</v>
      </c>
      <c r="K26" s="8" t="n">
        <f aca="false">IF(OR(K27="ER",K28="ER"),"ER",IF(OR(K27="?",K28="?"),"?",IF(AND(K27="NA",K28="NA"),"NA",SUM(K27,K28)/((K27&lt;&gt;"NA")*$F$27+(K28&lt;&gt;"NA")*$F$28)*$F26)))</f>
        <v>5</v>
      </c>
      <c r="L26" s="8" t="str">
        <f aca="false">IF(OR(L27="ER",L28="ER"),"ER",IF(OR(L27="?",L28="?"),"?",IF(AND(L27="NA",L28="NA"),"NA",SUM(L27,L28)/((L27&lt;&gt;"NA")*$F$27+(L28&lt;&gt;"NA")*$F$28)*$F26)))</f>
        <v>?</v>
      </c>
      <c r="M26" s="8" t="str">
        <f aca="false">IF(OR(M27="ER",M28="ER"),"ER",IF(OR(M27="?",M28="?"),"?",IF(AND(M27="NA",M28="NA"),"NA",SUM(M27,M28)/((M27&lt;&gt;"NA")*$F$27+(M28&lt;&gt;"NA")*$F$28)*$F26)))</f>
        <v>?</v>
      </c>
    </row>
    <row r="27" customFormat="false" ht="15" hidden="false" customHeight="true" outlineLevel="0" collapsed="false">
      <c r="A27" s="6" t="s">
        <v>166</v>
      </c>
      <c r="B27" s="6" t="str">
        <f aca="false">VLOOKUP($A27,'PARASTATAL Questions'!$A:$J,3,0)&amp;""</f>
        <v>Decentralised Participatory Governance</v>
      </c>
      <c r="C27" s="6" t="str">
        <f aca="false">VLOOKUP($A27,'PARASTATAL Questions'!$A:$J,4,0)&amp;""</f>
        <v>SQ</v>
      </c>
      <c r="D27" s="6" t="str">
        <f aca="false">VLOOKUP($A27,'PARASTATAL Questions'!$A:$J,5,0)&amp;""</f>
        <v>Does the ULG have representation on the parastatal's governing board?</v>
      </c>
      <c r="E27" s="6" t="str">
        <f aca="false">VLOOKUP($A27,'PARASTATAL Questions'!$A:$J,7,0)&amp;""</f>
        <v>Institutional Design</v>
      </c>
      <c r="F27" s="6" t="n">
        <f aca="false">VLOOKUP($A27,'PARASTATAL Questions'!$A:$J,6,0)</f>
        <v>5</v>
      </c>
      <c r="G27" s="6" t="n">
        <f aca="true">IF($F27=0,"NA",IF($A27=INDIRECT("'"&amp;$A27&amp;"'!$B$1"),IF(VLOOKUP(G$1,INDIRECT("'"&amp;$A27&amp;"'!$A$12:$Z$19"),MATCH("Points (Auto-generate)",INDIRECT("'"&amp;$A27&amp;"'!$A$12:$Z$12"),0),0)="","?",VLOOKUP(G$1,INDIRECT("'"&amp;$A27&amp;"'!$A$12:$Z$19"),MATCH("Points (Auto-generate)",INDIRECT("'"&amp;$A27&amp;"'!$A$12:$Z$12"),0),0)),"ER"))</f>
        <v>0</v>
      </c>
      <c r="H27" s="6" t="str">
        <f aca="true">IF($F27=0,"NA",IF($A27=INDIRECT("'"&amp;$A27&amp;"'!$B$1"),IF(VLOOKUP(H$1,INDIRECT("'"&amp;$A27&amp;"'!$A$12:$Z$19"),MATCH("Points (Auto-generate)",INDIRECT("'"&amp;$A27&amp;"'!$A$12:$Z$12"),0),0)="","?",VLOOKUP(H$1,INDIRECT("'"&amp;$A27&amp;"'!$A$12:$Z$19"),MATCH("Points (Auto-generate)",INDIRECT("'"&amp;$A27&amp;"'!$A$12:$Z$12"),0),0)),"ER"))</f>
        <v>?</v>
      </c>
      <c r="I27" s="6" t="n">
        <f aca="true">IF($F27=0,"NA",IF($A27=INDIRECT("'"&amp;$A27&amp;"'!$B$1"),IF(VLOOKUP(I$1,INDIRECT("'"&amp;$A27&amp;"'!$A$12:$Z$19"),MATCH("Points (Auto-generate)",INDIRECT("'"&amp;$A27&amp;"'!$A$12:$Z$12"),0),0)="","?",VLOOKUP(I$1,INDIRECT("'"&amp;$A27&amp;"'!$A$12:$Z$19"),MATCH("Points (Auto-generate)",INDIRECT("'"&amp;$A27&amp;"'!$A$12:$Z$12"),0),0)),"ER"))</f>
        <v>5</v>
      </c>
      <c r="J27" s="6" t="n">
        <f aca="true">IF($F27=0,"NA",IF($A27=INDIRECT("'"&amp;$A27&amp;"'!$B$1"),IF(VLOOKUP(J$1,INDIRECT("'"&amp;$A27&amp;"'!$A$12:$Z$19"),MATCH("Points (Auto-generate)",INDIRECT("'"&amp;$A27&amp;"'!$A$12:$Z$12"),0),0)="","?",VLOOKUP(J$1,INDIRECT("'"&amp;$A27&amp;"'!$A$12:$Z$19"),MATCH("Points (Auto-generate)",INDIRECT("'"&amp;$A27&amp;"'!$A$12:$Z$12"),0),0)),"ER"))</f>
        <v>0</v>
      </c>
      <c r="K27" s="6" t="n">
        <f aca="true">IF($F27=0,"NA",IF($A27=INDIRECT("'"&amp;$A27&amp;"'!$B$1"),IF(VLOOKUP(K$1,INDIRECT("'"&amp;$A27&amp;"'!$A$12:$Z$19"),MATCH("Points (Auto-generate)",INDIRECT("'"&amp;$A27&amp;"'!$A$12:$Z$12"),0),0)="","?",VLOOKUP(K$1,INDIRECT("'"&amp;$A27&amp;"'!$A$12:$Z$19"),MATCH("Points (Auto-generate)",INDIRECT("'"&amp;$A27&amp;"'!$A$12:$Z$12"),0),0)),"ER"))</f>
        <v>5</v>
      </c>
      <c r="L27" s="6" t="str">
        <f aca="true">IF($F27=0,"NA",IF($A27=INDIRECT("'"&amp;$A27&amp;"'!$B$1"),IF(VLOOKUP(L$1,INDIRECT("'"&amp;$A27&amp;"'!$A$12:$Z$19"),MATCH("Points (Auto-generate)",INDIRECT("'"&amp;$A27&amp;"'!$A$12:$Z$12"),0),0)="","?",VLOOKUP(L$1,INDIRECT("'"&amp;$A27&amp;"'!$A$12:$Z$19"),MATCH("Points (Auto-generate)",INDIRECT("'"&amp;$A27&amp;"'!$A$12:$Z$12"),0),0)),"ER"))</f>
        <v>?</v>
      </c>
      <c r="M27" s="6" t="str">
        <f aca="true">IF($F27=0,"NA",IF($A27=INDIRECT("'"&amp;$A27&amp;"'!$B$1"),IF(VLOOKUP(M$1,INDIRECT("'"&amp;$A27&amp;"'!$A$12:$Z$19"),MATCH("Points (Auto-generate)",INDIRECT("'"&amp;$A27&amp;"'!$A$12:$Z$12"),0),0)="","?",VLOOKUP(M$1,INDIRECT("'"&amp;$A27&amp;"'!$A$12:$Z$19"),MATCH("Points (Auto-generate)",INDIRECT("'"&amp;$A27&amp;"'!$A$12:$Z$12"),0),0)),"ER"))</f>
        <v>?</v>
      </c>
    </row>
    <row r="28" customFormat="false" ht="15" hidden="false" customHeight="true" outlineLevel="0" collapsed="false">
      <c r="A28" s="6" t="s">
        <v>194</v>
      </c>
      <c r="B28" s="6" t="str">
        <f aca="false">VLOOKUP($A28,'PARASTATAL Questions'!$A:$J,3,0)&amp;""</f>
        <v>Decentralised Participatory Governance</v>
      </c>
      <c r="C28" s="6" t="str">
        <f aca="false">VLOOKUP($A28,'PARASTATAL Questions'!$A:$J,4,0)&amp;""</f>
        <v>SQ</v>
      </c>
      <c r="D28" s="6" t="str">
        <f aca="false">VLOOKUP($A28,'PARASTATAL Questions'!$A:$J,5,0)&amp;""</f>
        <v>Is the parastatal mandated to submit its plans, budgets or reports to the ULG/council?</v>
      </c>
      <c r="E28" s="6" t="str">
        <f aca="false">VLOOKUP($A28,'PARASTATAL Questions'!$A:$J,7,0)&amp;""</f>
        <v>Law/Policy</v>
      </c>
      <c r="F28" s="6" t="n">
        <f aca="false">VLOOKUP($A28,'PARASTATAL Questions'!$A:$J,6,0)</f>
        <v>5</v>
      </c>
      <c r="G28" s="6" t="n">
        <f aca="true">IF($F28=0,"NA",IF($A28=INDIRECT("'"&amp;$A28&amp;"'!$B$1"),IF(VLOOKUP(G$1,INDIRECT("'"&amp;$A28&amp;"'!$A$12:$Z$19"),MATCH("Points (Auto-generate)",INDIRECT("'"&amp;$A28&amp;"'!$A$12:$Z$12"),0),0)="","?",VLOOKUP(G$1,INDIRECT("'"&amp;$A28&amp;"'!$A$12:$Z$19"),MATCH("Points (Auto-generate)",INDIRECT("'"&amp;$A28&amp;"'!$A$12:$Z$12"),0),0)),"ER"))</f>
        <v>0</v>
      </c>
      <c r="H28" s="6" t="str">
        <f aca="true">IF($F28=0,"NA",IF($A28=INDIRECT("'"&amp;$A28&amp;"'!$B$1"),IF(VLOOKUP(H$1,INDIRECT("'"&amp;$A28&amp;"'!$A$12:$Z$19"),MATCH("Points (Auto-generate)",INDIRECT("'"&amp;$A28&amp;"'!$A$12:$Z$12"),0),0)="","?",VLOOKUP(H$1,INDIRECT("'"&amp;$A28&amp;"'!$A$12:$Z$19"),MATCH("Points (Auto-generate)",INDIRECT("'"&amp;$A28&amp;"'!$A$12:$Z$12"),0),0)),"ER"))</f>
        <v>?</v>
      </c>
      <c r="I28" s="6" t="n">
        <f aca="true">IF($F28=0,"NA",IF($A28=INDIRECT("'"&amp;$A28&amp;"'!$B$1"),IF(VLOOKUP(I$1,INDIRECT("'"&amp;$A28&amp;"'!$A$12:$Z$19"),MATCH("Points (Auto-generate)",INDIRECT("'"&amp;$A28&amp;"'!$A$12:$Z$12"),0),0)="","?",VLOOKUP(I$1,INDIRECT("'"&amp;$A28&amp;"'!$A$12:$Z$19"),MATCH("Points (Auto-generate)",INDIRECT("'"&amp;$A28&amp;"'!$A$12:$Z$12"),0),0)),"ER"))</f>
        <v>0</v>
      </c>
      <c r="J28" s="6" t="n">
        <f aca="true">IF($F28=0,"NA",IF($A28=INDIRECT("'"&amp;$A28&amp;"'!$B$1"),IF(VLOOKUP(J$1,INDIRECT("'"&amp;$A28&amp;"'!$A$12:$Z$19"),MATCH("Points (Auto-generate)",INDIRECT("'"&amp;$A28&amp;"'!$A$12:$Z$12"),0),0)="","?",VLOOKUP(J$1,INDIRECT("'"&amp;$A28&amp;"'!$A$12:$Z$19"),MATCH("Points (Auto-generate)",INDIRECT("'"&amp;$A28&amp;"'!$A$12:$Z$12"),0),0)),"ER"))</f>
        <v>0</v>
      </c>
      <c r="K28" s="6" t="n">
        <f aca="true">IF($F28=0,"NA",IF($A28=INDIRECT("'"&amp;$A28&amp;"'!$B$1"),IF(VLOOKUP(K$1,INDIRECT("'"&amp;$A28&amp;"'!$A$12:$Z$19"),MATCH("Points (Auto-generate)",INDIRECT("'"&amp;$A28&amp;"'!$A$12:$Z$12"),0),0)="","?",VLOOKUP(K$1,INDIRECT("'"&amp;$A28&amp;"'!$A$12:$Z$19"),MATCH("Points (Auto-generate)",INDIRECT("'"&amp;$A28&amp;"'!$A$12:$Z$12"),0),0)),"ER"))</f>
        <v>0</v>
      </c>
      <c r="L28" s="6" t="str">
        <f aca="true">IF($F28=0,"NA",IF($A28=INDIRECT("'"&amp;$A28&amp;"'!$B$1"),IF(VLOOKUP(L$1,INDIRECT("'"&amp;$A28&amp;"'!$A$12:$Z$19"),MATCH("Points (Auto-generate)",INDIRECT("'"&amp;$A28&amp;"'!$A$12:$Z$12"),0),0)="","?",VLOOKUP(L$1,INDIRECT("'"&amp;$A28&amp;"'!$A$12:$Z$19"),MATCH("Points (Auto-generate)",INDIRECT("'"&amp;$A28&amp;"'!$A$12:$Z$12"),0),0)),"ER"))</f>
        <v>?</v>
      </c>
      <c r="M28" s="6" t="str">
        <f aca="true">IF($F28=0,"NA",IF($A28=INDIRECT("'"&amp;$A28&amp;"'!$B$1"),IF(VLOOKUP(M$1,INDIRECT("'"&amp;$A28&amp;"'!$A$12:$Z$19"),MATCH("Points (Auto-generate)",INDIRECT("'"&amp;$A28&amp;"'!$A$12:$Z$12"),0),0)="","?",VLOOKUP(M$1,INDIRECT("'"&amp;$A28&amp;"'!$A$12:$Z$19"),MATCH("Points (Auto-generate)",INDIRECT("'"&amp;$A28&amp;"'!$A$12:$Z$12"),0),0)),"ER"))</f>
        <v>?</v>
      </c>
    </row>
    <row r="29" customFormat="false" ht="15" hidden="false" customHeight="true" outlineLevel="0" collapsed="false">
      <c r="A29" s="8" t="s">
        <v>214</v>
      </c>
      <c r="B29" s="8" t="str">
        <f aca="false">VLOOKUP($A29,'PARASTATAL Questions'!$A:$J,3,0)&amp;""</f>
        <v>Decentralised Participatory Governance</v>
      </c>
      <c r="C29" s="8" t="str">
        <f aca="false">VLOOKUP($A29,'PARASTATAL Questions'!$A:$J,4,0)&amp;""</f>
        <v>MQ</v>
      </c>
      <c r="D29" s="8" t="str">
        <f aca="false">VLOOKUP($A29,'PARASTATAL Questions'!$A:$J,5,0)&amp;""</f>
        <v>Does the parastatal maintain an active and functional website?</v>
      </c>
      <c r="E29" s="8" t="str">
        <f aca="false">VLOOKUP($A29,'PARASTATAL Questions'!$A:$J,7,0)&amp;""</f>
        <v>Implementation</v>
      </c>
      <c r="F29" s="8" t="n">
        <f aca="false">VLOOKUP($A29,'PARASTATAL Questions'!$A:$J,6,0)</f>
        <v>10</v>
      </c>
      <c r="G29" s="8" t="n">
        <f aca="true">IF($F29=0,"NA",IF($A29=INDIRECT("'"&amp;$A29&amp;"'!$B$1"),IF(VLOOKUP(G$1,INDIRECT("'"&amp;$A29&amp;"'!$A$12:$Z$19"),MATCH("Points (Auto-generate)",INDIRECT("'"&amp;$A29&amp;"'!$A$12:$Z$12"),0),0)="","?",VLOOKUP(G$1,INDIRECT("'"&amp;$A29&amp;"'!$A$12:$Z$19"),MATCH("Points (Auto-generate)",INDIRECT("'"&amp;$A29&amp;"'!$A$12:$Z$12"),0),0)),"ER"))</f>
        <v>10</v>
      </c>
      <c r="H29" s="8" t="n">
        <f aca="true">IF($F29=0,"NA",IF($A29=INDIRECT("'"&amp;$A29&amp;"'!$B$1"),IF(VLOOKUP(H$1,INDIRECT("'"&amp;$A29&amp;"'!$A$12:$Z$19"),MATCH("Points (Auto-generate)",INDIRECT("'"&amp;$A29&amp;"'!$A$12:$Z$12"),0),0)="","?",VLOOKUP(H$1,INDIRECT("'"&amp;$A29&amp;"'!$A$12:$Z$19"),MATCH("Points (Auto-generate)",INDIRECT("'"&amp;$A29&amp;"'!$A$12:$Z$12"),0),0)),"ER"))</f>
        <v>10</v>
      </c>
      <c r="I29" s="8" t="str">
        <f aca="true">IF($F29=0,"NA",IF($A29=INDIRECT("'"&amp;$A29&amp;"'!$B$1"),IF(VLOOKUP(I$1,INDIRECT("'"&amp;$A29&amp;"'!$A$12:$Z$19"),MATCH("Points (Auto-generate)",INDIRECT("'"&amp;$A29&amp;"'!$A$12:$Z$12"),0),0)="","?",VLOOKUP(I$1,INDIRECT("'"&amp;$A29&amp;"'!$A$12:$Z$19"),MATCH("Points (Auto-generate)",INDIRECT("'"&amp;$A29&amp;"'!$A$12:$Z$12"),0),0)),"ER"))</f>
        <v>?</v>
      </c>
      <c r="J29" s="8" t="str">
        <f aca="true">IF($F29=0,"NA",IF($A29=INDIRECT("'"&amp;$A29&amp;"'!$B$1"),IF(VLOOKUP(J$1,INDIRECT("'"&amp;$A29&amp;"'!$A$12:$Z$19"),MATCH("Points (Auto-generate)",INDIRECT("'"&amp;$A29&amp;"'!$A$12:$Z$12"),0),0)="","?",VLOOKUP(J$1,INDIRECT("'"&amp;$A29&amp;"'!$A$12:$Z$19"),MATCH("Points (Auto-generate)",INDIRECT("'"&amp;$A29&amp;"'!$A$12:$Z$12"),0),0)),"ER"))</f>
        <v>?</v>
      </c>
      <c r="K29" s="8" t="n">
        <f aca="true">IF($F29=0,"NA",IF($A29=INDIRECT("'"&amp;$A29&amp;"'!$B$1"),IF(VLOOKUP(K$1,INDIRECT("'"&amp;$A29&amp;"'!$A$12:$Z$19"),MATCH("Points (Auto-generate)",INDIRECT("'"&amp;$A29&amp;"'!$A$12:$Z$12"),0),0)="","?",VLOOKUP(K$1,INDIRECT("'"&amp;$A29&amp;"'!$A$12:$Z$19"),MATCH("Points (Auto-generate)",INDIRECT("'"&amp;$A29&amp;"'!$A$12:$Z$12"),0),0)),"ER"))</f>
        <v>10</v>
      </c>
      <c r="L29" s="8" t="str">
        <f aca="true">IF($F29=0,"NA",IF($A29=INDIRECT("'"&amp;$A29&amp;"'!$B$1"),IF(VLOOKUP(L$1,INDIRECT("'"&amp;$A29&amp;"'!$A$12:$Z$19"),MATCH("Points (Auto-generate)",INDIRECT("'"&amp;$A29&amp;"'!$A$12:$Z$12"),0),0)="","?",VLOOKUP(L$1,INDIRECT("'"&amp;$A29&amp;"'!$A$12:$Z$19"),MATCH("Points (Auto-generate)",INDIRECT("'"&amp;$A29&amp;"'!$A$12:$Z$12"),0),0)),"ER"))</f>
        <v>?</v>
      </c>
      <c r="M29" s="8" t="n">
        <f aca="true">IF($F29=0,"NA",IF($A29=INDIRECT("'"&amp;$A29&amp;"'!$B$1"),IF(VLOOKUP(M$1,INDIRECT("'"&amp;$A29&amp;"'!$A$12:$Z$19"),MATCH("Points (Auto-generate)",INDIRECT("'"&amp;$A29&amp;"'!$A$12:$Z$12"),0),0)="","?",VLOOKUP(M$1,INDIRECT("'"&amp;$A29&amp;"'!$A$12:$Z$19"),MATCH("Points (Auto-generate)",INDIRECT("'"&amp;$A29&amp;"'!$A$12:$Z$12"),0),0)),"ER"))</f>
        <v>10</v>
      </c>
    </row>
    <row r="30" customFormat="false" ht="15" hidden="false" customHeight="true" outlineLevel="0" collapsed="false">
      <c r="A30" s="8" t="s">
        <v>574</v>
      </c>
      <c r="B30" s="8" t="str">
        <f aca="false">VLOOKUP($A30,'PARASTATAL Questions'!$A:$J,3,0)&amp;""</f>
        <v>Decentralised Participatory Governance</v>
      </c>
      <c r="C30" s="8" t="str">
        <f aca="false">VLOOKUP($A30,'PARASTATAL Questions'!$A:$J,4,0)&amp;""</f>
        <v>MQ</v>
      </c>
      <c r="D30" s="8" t="str">
        <f aca="false">VLOOKUP($A30,'PARASTATAL Questions'!$A:$J,5,0)&amp;""</f>
        <v>Are the parastatal's key financial, governance, and operational documents available on the website and published in accessible, open-data formats?</v>
      </c>
      <c r="E30" s="8" t="str">
        <f aca="false">VLOOKUP($A30,'PARASTATAL Questions'!$A:$J,7,0)&amp;""</f>
        <v>Implementation</v>
      </c>
      <c r="F30" s="8" t="n">
        <f aca="false">VLOOKUP($A30,'PARASTATAL Questions'!$A:$J,6,0)</f>
        <v>10</v>
      </c>
      <c r="G30" s="8" t="str">
        <f aca="false">IF(OR(G31="ER",G32="ER",G33="ER",G34="ER",G35="ER",G36="ER",G37="ER",G38="ER",G39="ER",G40="ER"),"ER",IF(OR(G31="?",G32="?",G33="?",G34="?",G35="?",G36="?",G37="?",G38="?",G39="?",G40="?"),"?",IF(AND(G31="NA",G32="NA",G33="NA",G34="NA",G35="NA",G36="NA",G37="NA",G38="NA",G39="NA",G40="NA"),"NA",SUM(G31,G32,G33,G34,G35,G36,G37,G38,G39,G40)/((G31&lt;&gt;"NA")*$F$31+(G32&lt;&gt;"NA")*$F$32+(G33&lt;&gt;"NA")*$F$33+(G34&lt;&gt;"NA")*$F$34+(G35&lt;&gt;"NA")*$F$35+(G36&lt;&gt;"NA")*$F$36+(G37&lt;&gt;"NA")*$F$37+(G38&lt;&gt;"NA")*$F$38+(G39&lt;&gt;"NA")*$F$39+(G40&lt;&gt;"NA")*$F$40)*$F30)))</f>
        <v>?</v>
      </c>
      <c r="H30" s="8" t="str">
        <f aca="false">IF(OR(H31="ER",H32="ER",H33="ER",H34="ER",H35="ER",H36="ER",H37="ER",H38="ER",H39="ER",H40="ER"),"ER",IF(OR(H31="?",H32="?",H33="?",H34="?",H35="?",H36="?",H37="?",H38="?",H39="?",H40="?"),"?",IF(AND(H31="NA",H32="NA",H33="NA",H34="NA",H35="NA",H36="NA",H37="NA",H38="NA",H39="NA",H40="NA"),"NA",SUM(H31,H32,H33,H34,H35,H36,H37,H38,H39,H40)/((H31&lt;&gt;"NA")*$F$31+(H32&lt;&gt;"NA")*$F$32+(H33&lt;&gt;"NA")*$F$33+(H34&lt;&gt;"NA")*$F$34+(H35&lt;&gt;"NA")*$F$35+(H36&lt;&gt;"NA")*$F$36+(H37&lt;&gt;"NA")*$F$37+(H38&lt;&gt;"NA")*$F$38+(H39&lt;&gt;"NA")*$F$39+(H40&lt;&gt;"NA")*$F$40)*$F30)))</f>
        <v>?</v>
      </c>
      <c r="I30" s="8" t="str">
        <f aca="false">IF(OR(I31="ER",I32="ER",I33="ER",I34="ER",I35="ER",I36="ER",I37="ER",I38="ER",I39="ER",I40="ER"),"ER",IF(OR(I31="?",I32="?",I33="?",I34="?",I35="?",I36="?",I37="?",I38="?",I39="?",I40="?"),"?",IF(AND(I31="NA",I32="NA",I33="NA",I34="NA",I35="NA",I36="NA",I37="NA",I38="NA",I39="NA",I40="NA"),"NA",SUM(I31,I32,I33,I34,I35,I36,I37,I38,I39,I40)/((I31&lt;&gt;"NA")*$F$31+(I32&lt;&gt;"NA")*$F$32+(I33&lt;&gt;"NA")*$F$33+(I34&lt;&gt;"NA")*$F$34+(I35&lt;&gt;"NA")*$F$35+(I36&lt;&gt;"NA")*$F$36+(I37&lt;&gt;"NA")*$F$37+(I38&lt;&gt;"NA")*$F$38+(I39&lt;&gt;"NA")*$F$39+(I40&lt;&gt;"NA")*$F$40)*$F30)))</f>
        <v>?</v>
      </c>
      <c r="J30" s="8" t="str">
        <f aca="false">IF(OR(J31="ER",J32="ER",J33="ER",J34="ER",J35="ER",J36="ER",J37="ER",J38="ER",J39="ER",J40="ER"),"ER",IF(OR(J31="?",J32="?",J33="?",J34="?",J35="?",J36="?",J37="?",J38="?",J39="?",J40="?"),"?",IF(AND(J31="NA",J32="NA",J33="NA",J34="NA",J35="NA",J36="NA",J37="NA",J38="NA",J39="NA",J40="NA"),"NA",SUM(J31,J32,J33,J34,J35,J36,J37,J38,J39,J40)/((J31&lt;&gt;"NA")*$F$31+(J32&lt;&gt;"NA")*$F$32+(J33&lt;&gt;"NA")*$F$33+(J34&lt;&gt;"NA")*$F$34+(J35&lt;&gt;"NA")*$F$35+(J36&lt;&gt;"NA")*$F$36+(J37&lt;&gt;"NA")*$F$37+(J38&lt;&gt;"NA")*$F$38+(J39&lt;&gt;"NA")*$F$39+(J40&lt;&gt;"NA")*$F$40)*$F30)))</f>
        <v>?</v>
      </c>
      <c r="K30" s="8" t="str">
        <f aca="false">IF(OR(K31="ER",K32="ER",K33="ER",K34="ER",K35="ER",K36="ER",K37="ER",K38="ER",K39="ER",K40="ER"),"ER",IF(OR(K31="?",K32="?",K33="?",K34="?",K35="?",K36="?",K37="?",K38="?",K39="?",K40="?"),"?",IF(AND(K31="NA",K32="NA",K33="NA",K34="NA",K35="NA",K36="NA",K37="NA",K38="NA",K39="NA",K40="NA"),"NA",SUM(K31,K32,K33,K34,K35,K36,K37,K38,K39,K40)/((K31&lt;&gt;"NA")*$F$31+(K32&lt;&gt;"NA")*$F$32+(K33&lt;&gt;"NA")*$F$33+(K34&lt;&gt;"NA")*$F$34+(K35&lt;&gt;"NA")*$F$35+(K36&lt;&gt;"NA")*$F$36+(K37&lt;&gt;"NA")*$F$37+(K38&lt;&gt;"NA")*$F$38+(K39&lt;&gt;"NA")*$F$39+(K40&lt;&gt;"NA")*$F$40)*$F30)))</f>
        <v>?</v>
      </c>
      <c r="L30" s="8" t="str">
        <f aca="false">IF(OR(L31="ER",L32="ER",L33="ER",L34="ER",L35="ER",L36="ER",L37="ER",L38="ER",L39="ER",L40="ER"),"ER",IF(OR(L31="?",L32="?",L33="?",L34="?",L35="?",L36="?",L37="?",L38="?",L39="?",L40="?"),"?",IF(AND(L31="NA",L32="NA",L33="NA",L34="NA",L35="NA",L36="NA",L37="NA",L38="NA",L39="NA",L40="NA"),"NA",SUM(L31,L32,L33,L34,L35,L36,L37,L38,L39,L40)/((L31&lt;&gt;"NA")*$F$31+(L32&lt;&gt;"NA")*$F$32+(L33&lt;&gt;"NA")*$F$33+(L34&lt;&gt;"NA")*$F$34+(L35&lt;&gt;"NA")*$F$35+(L36&lt;&gt;"NA")*$F$36+(L37&lt;&gt;"NA")*$F$37+(L38&lt;&gt;"NA")*$F$38+(L39&lt;&gt;"NA")*$F$39+(L40&lt;&gt;"NA")*$F$40)*$F30)))</f>
        <v>?</v>
      </c>
      <c r="M30" s="8" t="str">
        <f aca="false">IF(OR(M31="ER",M32="ER",M33="ER",M34="ER",M35="ER",M36="ER",M37="ER",M38="ER",M39="ER",M40="ER"),"ER",IF(OR(M31="?",M32="?",M33="?",M34="?",M35="?",M36="?",M37="?",M38="?",M39="?",M40="?"),"?",IF(AND(M31="NA",M32="NA",M33="NA",M34="NA",M35="NA",M36="NA",M37="NA",M38="NA",M39="NA",M40="NA"),"NA",SUM(M31,M32,M33,M34,M35,M36,M37,M38,M39,M40)/((M31&lt;&gt;"NA")*$F$31+(M32&lt;&gt;"NA")*$F$32+(M33&lt;&gt;"NA")*$F$33+(M34&lt;&gt;"NA")*$F$34+(M35&lt;&gt;"NA")*$F$35+(M36&lt;&gt;"NA")*$F$36+(M37&lt;&gt;"NA")*$F$37+(M38&lt;&gt;"NA")*$F$38+(M39&lt;&gt;"NA")*$F$39+(M40&lt;&gt;"NA")*$F$40)*$F30)))</f>
        <v>?</v>
      </c>
    </row>
    <row r="31" customFormat="false" ht="15" hidden="false" customHeight="true" outlineLevel="0" collapsed="false">
      <c r="A31" s="6" t="s">
        <v>240</v>
      </c>
      <c r="B31" s="6" t="str">
        <f aca="false">VLOOKUP($A31,'PARASTATAL Questions'!$A:$J,3,0)&amp;""</f>
        <v>Decentralised Participatory Governance</v>
      </c>
      <c r="C31" s="6" t="str">
        <f aca="false">VLOOKUP($A31,'PARASTATAL Questions'!$A:$J,4,0)&amp;""</f>
        <v>SQ</v>
      </c>
      <c r="D31" s="6" t="str">
        <f aca="false">VLOOKUP($A31,'PARASTATAL Questions'!$A:$J,5,0)&amp;""</f>
        <v>Annual budget</v>
      </c>
      <c r="E31" s="6" t="str">
        <f aca="false">VLOOKUP($A31,'PARASTATAL Questions'!$A:$J,7,0)&amp;""</f>
        <v>Implementation</v>
      </c>
      <c r="F31" s="6" t="n">
        <f aca="false">VLOOKUP($A31,'PARASTATAL Questions'!$A:$J,6,0)</f>
        <v>1</v>
      </c>
      <c r="G31" s="6" t="str">
        <f aca="true">IF($F31=0,"NA",IF($A31=INDIRECT("'"&amp;$A31&amp;"'!$B$1"),IF(VLOOKUP(G$1,INDIRECT("'"&amp;$A31&amp;"'!$A$12:$Z$19"),MATCH("Points (Auto-generate)",INDIRECT("'"&amp;$A31&amp;"'!$A$12:$Z$12"),0),0)="","?",VLOOKUP(G$1,INDIRECT("'"&amp;$A31&amp;"'!$A$12:$Z$19"),MATCH("Points (Auto-generate)",INDIRECT("'"&amp;$A31&amp;"'!$A$12:$Z$12"),0),0)),"ER"))</f>
        <v>?</v>
      </c>
      <c r="H31" s="6" t="str">
        <f aca="true">IF($F31=0,"NA",IF($A31=INDIRECT("'"&amp;$A31&amp;"'!$B$1"),IF(VLOOKUP(H$1,INDIRECT("'"&amp;$A31&amp;"'!$A$12:$Z$19"),MATCH("Points (Auto-generate)",INDIRECT("'"&amp;$A31&amp;"'!$A$12:$Z$12"),0),0)="","?",VLOOKUP(H$1,INDIRECT("'"&amp;$A31&amp;"'!$A$12:$Z$19"),MATCH("Points (Auto-generate)",INDIRECT("'"&amp;$A31&amp;"'!$A$12:$Z$12"),0),0)),"ER"))</f>
        <v>?</v>
      </c>
      <c r="I31" s="6" t="str">
        <f aca="true">IF($F31=0,"NA",IF($A31=INDIRECT("'"&amp;$A31&amp;"'!$B$1"),IF(VLOOKUP(I$1,INDIRECT("'"&amp;$A31&amp;"'!$A$12:$Z$19"),MATCH("Points (Auto-generate)",INDIRECT("'"&amp;$A31&amp;"'!$A$12:$Z$12"),0),0)="","?",VLOOKUP(I$1,INDIRECT("'"&amp;$A31&amp;"'!$A$12:$Z$19"),MATCH("Points (Auto-generate)",INDIRECT("'"&amp;$A31&amp;"'!$A$12:$Z$12"),0),0)),"ER"))</f>
        <v>?</v>
      </c>
      <c r="J31" s="6" t="str">
        <f aca="true">IF($F31=0,"NA",IF($A31=INDIRECT("'"&amp;$A31&amp;"'!$B$1"),IF(VLOOKUP(J$1,INDIRECT("'"&amp;$A31&amp;"'!$A$12:$Z$19"),MATCH("Points (Auto-generate)",INDIRECT("'"&amp;$A31&amp;"'!$A$12:$Z$12"),0),0)="","?",VLOOKUP(J$1,INDIRECT("'"&amp;$A31&amp;"'!$A$12:$Z$19"),MATCH("Points (Auto-generate)",INDIRECT("'"&amp;$A31&amp;"'!$A$12:$Z$12"),0),0)),"ER"))</f>
        <v>?</v>
      </c>
      <c r="K31" s="6" t="str">
        <f aca="true">IF($F31=0,"NA",IF($A31=INDIRECT("'"&amp;$A31&amp;"'!$B$1"),IF(VLOOKUP(K$1,INDIRECT("'"&amp;$A31&amp;"'!$A$12:$Z$19"),MATCH("Points (Auto-generate)",INDIRECT("'"&amp;$A31&amp;"'!$A$12:$Z$12"),0),0)="","?",VLOOKUP(K$1,INDIRECT("'"&amp;$A31&amp;"'!$A$12:$Z$19"),MATCH("Points (Auto-generate)",INDIRECT("'"&amp;$A31&amp;"'!$A$12:$Z$12"),0),0)),"ER"))</f>
        <v>?</v>
      </c>
      <c r="L31" s="6" t="str">
        <f aca="true">IF($F31=0,"NA",IF($A31=INDIRECT("'"&amp;$A31&amp;"'!$B$1"),IF(VLOOKUP(L$1,INDIRECT("'"&amp;$A31&amp;"'!$A$12:$Z$19"),MATCH("Points (Auto-generate)",INDIRECT("'"&amp;$A31&amp;"'!$A$12:$Z$12"),0),0)="","?",VLOOKUP(L$1,INDIRECT("'"&amp;$A31&amp;"'!$A$12:$Z$19"),MATCH("Points (Auto-generate)",INDIRECT("'"&amp;$A31&amp;"'!$A$12:$Z$12"),0),0)),"ER"))</f>
        <v>?</v>
      </c>
      <c r="M31" s="6" t="str">
        <f aca="true">IF($F31=0,"NA",IF($A31=INDIRECT("'"&amp;$A31&amp;"'!$B$1"),IF(VLOOKUP(M$1,INDIRECT("'"&amp;$A31&amp;"'!$A$12:$Z$19"),MATCH("Points (Auto-generate)",INDIRECT("'"&amp;$A31&amp;"'!$A$12:$Z$12"),0),0)="","?",VLOOKUP(M$1,INDIRECT("'"&amp;$A31&amp;"'!$A$12:$Z$19"),MATCH("Points (Auto-generate)",INDIRECT("'"&amp;$A31&amp;"'!$A$12:$Z$12"),0),0)),"ER"))</f>
        <v>?</v>
      </c>
    </row>
    <row r="32" customFormat="false" ht="15" hidden="false" customHeight="true" outlineLevel="0" collapsed="false">
      <c r="A32" s="6" t="s">
        <v>248</v>
      </c>
      <c r="B32" s="6" t="str">
        <f aca="false">VLOOKUP($A32,'PARASTATAL Questions'!$A:$J,3,0)&amp;""</f>
        <v>Decentralised Participatory Governance</v>
      </c>
      <c r="C32" s="6" t="str">
        <f aca="false">VLOOKUP($A32,'PARASTATAL Questions'!$A:$J,4,0)&amp;""</f>
        <v>SQ</v>
      </c>
      <c r="D32" s="6" t="str">
        <f aca="false">VLOOKUP($A32,'PARASTATAL Questions'!$A:$J,5,0)&amp;""</f>
        <v>Audited annual accounts</v>
      </c>
      <c r="E32" s="6" t="str">
        <f aca="false">VLOOKUP($A32,'PARASTATAL Questions'!$A:$J,7,0)&amp;""</f>
        <v>Implementation</v>
      </c>
      <c r="F32" s="6" t="n">
        <f aca="false">VLOOKUP($A32,'PARASTATAL Questions'!$A:$J,6,0)</f>
        <v>1</v>
      </c>
      <c r="G32" s="6" t="str">
        <f aca="true">IF($F32=0,"NA",IF($A32=INDIRECT("'"&amp;$A32&amp;"'!$B$1"),IF(VLOOKUP(G$1,INDIRECT("'"&amp;$A32&amp;"'!$A$12:$Z$19"),MATCH("Points (Auto-generate)",INDIRECT("'"&amp;$A32&amp;"'!$A$12:$Z$12"),0),0)="","?",VLOOKUP(G$1,INDIRECT("'"&amp;$A32&amp;"'!$A$12:$Z$19"),MATCH("Points (Auto-generate)",INDIRECT("'"&amp;$A32&amp;"'!$A$12:$Z$12"),0),0)),"ER"))</f>
        <v>?</v>
      </c>
      <c r="H32" s="6" t="str">
        <f aca="true">IF($F32=0,"NA",IF($A32=INDIRECT("'"&amp;$A32&amp;"'!$B$1"),IF(VLOOKUP(H$1,INDIRECT("'"&amp;$A32&amp;"'!$A$12:$Z$19"),MATCH("Points (Auto-generate)",INDIRECT("'"&amp;$A32&amp;"'!$A$12:$Z$12"),0),0)="","?",VLOOKUP(H$1,INDIRECT("'"&amp;$A32&amp;"'!$A$12:$Z$19"),MATCH("Points (Auto-generate)",INDIRECT("'"&amp;$A32&amp;"'!$A$12:$Z$12"),0),0)),"ER"))</f>
        <v>?</v>
      </c>
      <c r="I32" s="6" t="str">
        <f aca="true">IF($F32=0,"NA",IF($A32=INDIRECT("'"&amp;$A32&amp;"'!$B$1"),IF(VLOOKUP(I$1,INDIRECT("'"&amp;$A32&amp;"'!$A$12:$Z$19"),MATCH("Points (Auto-generate)",INDIRECT("'"&amp;$A32&amp;"'!$A$12:$Z$12"),0),0)="","?",VLOOKUP(I$1,INDIRECT("'"&amp;$A32&amp;"'!$A$12:$Z$19"),MATCH("Points (Auto-generate)",INDIRECT("'"&amp;$A32&amp;"'!$A$12:$Z$12"),0),0)),"ER"))</f>
        <v>?</v>
      </c>
      <c r="J32" s="6" t="n">
        <f aca="true">IF($F32=0,"NA",IF($A32=INDIRECT("'"&amp;$A32&amp;"'!$B$1"),IF(VLOOKUP(J$1,INDIRECT("'"&amp;$A32&amp;"'!$A$12:$Z$19"),MATCH("Points (Auto-generate)",INDIRECT("'"&amp;$A32&amp;"'!$A$12:$Z$12"),0),0)="","?",VLOOKUP(J$1,INDIRECT("'"&amp;$A32&amp;"'!$A$12:$Z$19"),MATCH("Points (Auto-generate)",INDIRECT("'"&amp;$A32&amp;"'!$A$12:$Z$12"),0),0)),"ER"))</f>
        <v>0</v>
      </c>
      <c r="K32" s="6" t="str">
        <f aca="true">IF($F32=0,"NA",IF($A32=INDIRECT("'"&amp;$A32&amp;"'!$B$1"),IF(VLOOKUP(K$1,INDIRECT("'"&amp;$A32&amp;"'!$A$12:$Z$19"),MATCH("Points (Auto-generate)",INDIRECT("'"&amp;$A32&amp;"'!$A$12:$Z$12"),0),0)="","?",VLOOKUP(K$1,INDIRECT("'"&amp;$A32&amp;"'!$A$12:$Z$19"),MATCH("Points (Auto-generate)",INDIRECT("'"&amp;$A32&amp;"'!$A$12:$Z$12"),0),0)),"ER"))</f>
        <v>?</v>
      </c>
      <c r="L32" s="6" t="str">
        <f aca="true">IF($F32=0,"NA",IF($A32=INDIRECT("'"&amp;$A32&amp;"'!$B$1"),IF(VLOOKUP(L$1,INDIRECT("'"&amp;$A32&amp;"'!$A$12:$Z$19"),MATCH("Points (Auto-generate)",INDIRECT("'"&amp;$A32&amp;"'!$A$12:$Z$12"),0),0)="","?",VLOOKUP(L$1,INDIRECT("'"&amp;$A32&amp;"'!$A$12:$Z$19"),MATCH("Points (Auto-generate)",INDIRECT("'"&amp;$A32&amp;"'!$A$12:$Z$12"),0),0)),"ER"))</f>
        <v>?</v>
      </c>
      <c r="M32" s="6" t="n">
        <f aca="true">IF($F32=0,"NA",IF($A32=INDIRECT("'"&amp;$A32&amp;"'!$B$1"),IF(VLOOKUP(M$1,INDIRECT("'"&amp;$A32&amp;"'!$A$12:$Z$19"),MATCH("Points (Auto-generate)",INDIRECT("'"&amp;$A32&amp;"'!$A$12:$Z$12"),0),0)="","?",VLOOKUP(M$1,INDIRECT("'"&amp;$A32&amp;"'!$A$12:$Z$19"),MATCH("Points (Auto-generate)",INDIRECT("'"&amp;$A32&amp;"'!$A$12:$Z$12"),0),0)),"ER"))</f>
        <v>0.5</v>
      </c>
    </row>
    <row r="33" customFormat="false" ht="15" hidden="false" customHeight="true" outlineLevel="0" collapsed="false">
      <c r="A33" s="6" t="s">
        <v>264</v>
      </c>
      <c r="B33" s="6" t="str">
        <f aca="false">VLOOKUP($A33,'PARASTATAL Questions'!$A:$J,3,0)&amp;""</f>
        <v>Decentralised Participatory Governance</v>
      </c>
      <c r="C33" s="6" t="str">
        <f aca="false">VLOOKUP($A33,'PARASTATAL Questions'!$A:$J,4,0)&amp;""</f>
        <v>SQ</v>
      </c>
      <c r="D33" s="6" t="str">
        <f aca="false">VLOOKUP($A33,'PARASTATAL Questions'!$A:$J,5,0)&amp;""</f>
        <v>Annual report</v>
      </c>
      <c r="E33" s="6" t="str">
        <f aca="false">VLOOKUP($A33,'PARASTATAL Questions'!$A:$J,7,0)&amp;""</f>
        <v>Implementation</v>
      </c>
      <c r="F33" s="6" t="n">
        <f aca="false">VLOOKUP($A33,'PARASTATAL Questions'!$A:$J,6,0)</f>
        <v>1</v>
      </c>
      <c r="G33" s="6" t="str">
        <f aca="true">IF($F33=0,"NA",IF($A33=INDIRECT("'"&amp;$A33&amp;"'!$B$1"),IF(VLOOKUP(G$1,INDIRECT("'"&amp;$A33&amp;"'!$A$12:$Z$19"),MATCH("Points (Auto-generate)",INDIRECT("'"&amp;$A33&amp;"'!$A$12:$Z$12"),0),0)="","?",VLOOKUP(G$1,INDIRECT("'"&amp;$A33&amp;"'!$A$12:$Z$19"),MATCH("Points (Auto-generate)",INDIRECT("'"&amp;$A33&amp;"'!$A$12:$Z$12"),0),0)),"ER"))</f>
        <v>?</v>
      </c>
      <c r="H33" s="6" t="str">
        <f aca="true">IF($F33=0,"NA",IF($A33=INDIRECT("'"&amp;$A33&amp;"'!$B$1"),IF(VLOOKUP(H$1,INDIRECT("'"&amp;$A33&amp;"'!$A$12:$Z$19"),MATCH("Points (Auto-generate)",INDIRECT("'"&amp;$A33&amp;"'!$A$12:$Z$12"),0),0)="","?",VLOOKUP(H$1,INDIRECT("'"&amp;$A33&amp;"'!$A$12:$Z$19"),MATCH("Points (Auto-generate)",INDIRECT("'"&amp;$A33&amp;"'!$A$12:$Z$12"),0),0)),"ER"))</f>
        <v>?</v>
      </c>
      <c r="I33" s="6" t="str">
        <f aca="true">IF($F33=0,"NA",IF($A33=INDIRECT("'"&amp;$A33&amp;"'!$B$1"),IF(VLOOKUP(I$1,INDIRECT("'"&amp;$A33&amp;"'!$A$12:$Z$19"),MATCH("Points (Auto-generate)",INDIRECT("'"&amp;$A33&amp;"'!$A$12:$Z$12"),0),0)="","?",VLOOKUP(I$1,INDIRECT("'"&amp;$A33&amp;"'!$A$12:$Z$19"),MATCH("Points (Auto-generate)",INDIRECT("'"&amp;$A33&amp;"'!$A$12:$Z$12"),0),0)),"ER"))</f>
        <v>?</v>
      </c>
      <c r="J33" s="6" t="str">
        <f aca="true">IF($F33=0,"NA",IF($A33=INDIRECT("'"&amp;$A33&amp;"'!$B$1"),IF(VLOOKUP(J$1,INDIRECT("'"&amp;$A33&amp;"'!$A$12:$Z$19"),MATCH("Points (Auto-generate)",INDIRECT("'"&amp;$A33&amp;"'!$A$12:$Z$12"),0),0)="","?",VLOOKUP(J$1,INDIRECT("'"&amp;$A33&amp;"'!$A$12:$Z$19"),MATCH("Points (Auto-generate)",INDIRECT("'"&amp;$A33&amp;"'!$A$12:$Z$12"),0),0)),"ER"))</f>
        <v>?</v>
      </c>
      <c r="K33" s="6" t="str">
        <f aca="true">IF($F33=0,"NA",IF($A33=INDIRECT("'"&amp;$A33&amp;"'!$B$1"),IF(VLOOKUP(K$1,INDIRECT("'"&amp;$A33&amp;"'!$A$12:$Z$19"),MATCH("Points (Auto-generate)",INDIRECT("'"&amp;$A33&amp;"'!$A$12:$Z$12"),0),0)="","?",VLOOKUP(K$1,INDIRECT("'"&amp;$A33&amp;"'!$A$12:$Z$19"),MATCH("Points (Auto-generate)",INDIRECT("'"&amp;$A33&amp;"'!$A$12:$Z$12"),0),0)),"ER"))</f>
        <v>?</v>
      </c>
      <c r="L33" s="6" t="str">
        <f aca="true">IF($F33=0,"NA",IF($A33=INDIRECT("'"&amp;$A33&amp;"'!$B$1"),IF(VLOOKUP(L$1,INDIRECT("'"&amp;$A33&amp;"'!$A$12:$Z$19"),MATCH("Points (Auto-generate)",INDIRECT("'"&amp;$A33&amp;"'!$A$12:$Z$12"),0),0)="","?",VLOOKUP(L$1,INDIRECT("'"&amp;$A33&amp;"'!$A$12:$Z$19"),MATCH("Points (Auto-generate)",INDIRECT("'"&amp;$A33&amp;"'!$A$12:$Z$12"),0),0)),"ER"))</f>
        <v>?</v>
      </c>
      <c r="M33" s="6" t="str">
        <f aca="true">IF($F33=0,"NA",IF($A33=INDIRECT("'"&amp;$A33&amp;"'!$B$1"),IF(VLOOKUP(M$1,INDIRECT("'"&amp;$A33&amp;"'!$A$12:$Z$19"),MATCH("Points (Auto-generate)",INDIRECT("'"&amp;$A33&amp;"'!$A$12:$Z$12"),0),0)="","?",VLOOKUP(M$1,INDIRECT("'"&amp;$A33&amp;"'!$A$12:$Z$19"),MATCH("Points (Auto-generate)",INDIRECT("'"&amp;$A33&amp;"'!$A$12:$Z$12"),0),0)),"ER"))</f>
        <v>?</v>
      </c>
    </row>
    <row r="34" customFormat="false" ht="15" hidden="false" customHeight="true" outlineLevel="0" collapsed="false">
      <c r="A34" s="6" t="s">
        <v>284</v>
      </c>
      <c r="B34" s="6" t="str">
        <f aca="false">VLOOKUP($A34,'PARASTATAL Questions'!$A:$J,3,0)&amp;""</f>
        <v>Decentralised Participatory Governance</v>
      </c>
      <c r="C34" s="6" t="str">
        <f aca="false">VLOOKUP($A34,'PARASTATAL Questions'!$A:$J,4,0)&amp;""</f>
        <v>SQ</v>
      </c>
      <c r="D34" s="6" t="str">
        <f aca="false">VLOOKUP($A34,'PARASTATAL Questions'!$A:$J,5,0)&amp;""</f>
        <v>Meeting minutes of governing board</v>
      </c>
      <c r="E34" s="6" t="str">
        <f aca="false">VLOOKUP($A34,'PARASTATAL Questions'!$A:$J,7,0)&amp;""</f>
        <v>Implementation</v>
      </c>
      <c r="F34" s="6" t="n">
        <f aca="false">VLOOKUP($A34,'PARASTATAL Questions'!$A:$J,6,0)</f>
        <v>1</v>
      </c>
      <c r="G34" s="6" t="str">
        <f aca="true">IF($F34=0,"NA",IF($A34=INDIRECT("'"&amp;$A34&amp;"'!$B$1"),IF(VLOOKUP(G$1,INDIRECT("'"&amp;$A34&amp;"'!$A$12:$Z$19"),MATCH("Points (Auto-generate)",INDIRECT("'"&amp;$A34&amp;"'!$A$12:$Z$12"),0),0)="","?",VLOOKUP(G$1,INDIRECT("'"&amp;$A34&amp;"'!$A$12:$Z$19"),MATCH("Points (Auto-generate)",INDIRECT("'"&amp;$A34&amp;"'!$A$12:$Z$12"),0),0)),"ER"))</f>
        <v>?</v>
      </c>
      <c r="H34" s="6" t="str">
        <f aca="true">IF($F34=0,"NA",IF($A34=INDIRECT("'"&amp;$A34&amp;"'!$B$1"),IF(VLOOKUP(H$1,INDIRECT("'"&amp;$A34&amp;"'!$A$12:$Z$19"),MATCH("Points (Auto-generate)",INDIRECT("'"&amp;$A34&amp;"'!$A$12:$Z$12"),0),0)="","?",VLOOKUP(H$1,INDIRECT("'"&amp;$A34&amp;"'!$A$12:$Z$19"),MATCH("Points (Auto-generate)",INDIRECT("'"&amp;$A34&amp;"'!$A$12:$Z$12"),0),0)),"ER"))</f>
        <v>?</v>
      </c>
      <c r="I34" s="6" t="str">
        <f aca="true">IF($F34=0,"NA",IF($A34=INDIRECT("'"&amp;$A34&amp;"'!$B$1"),IF(VLOOKUP(I$1,INDIRECT("'"&amp;$A34&amp;"'!$A$12:$Z$19"),MATCH("Points (Auto-generate)",INDIRECT("'"&amp;$A34&amp;"'!$A$12:$Z$12"),0),0)="","?",VLOOKUP(I$1,INDIRECT("'"&amp;$A34&amp;"'!$A$12:$Z$19"),MATCH("Points (Auto-generate)",INDIRECT("'"&amp;$A34&amp;"'!$A$12:$Z$12"),0),0)),"ER"))</f>
        <v>?</v>
      </c>
      <c r="J34" s="6" t="str">
        <f aca="true">IF($F34=0,"NA",IF($A34=INDIRECT("'"&amp;$A34&amp;"'!$B$1"),IF(VLOOKUP(J$1,INDIRECT("'"&amp;$A34&amp;"'!$A$12:$Z$19"),MATCH("Points (Auto-generate)",INDIRECT("'"&amp;$A34&amp;"'!$A$12:$Z$12"),0),0)="","?",VLOOKUP(J$1,INDIRECT("'"&amp;$A34&amp;"'!$A$12:$Z$19"),MATCH("Points (Auto-generate)",INDIRECT("'"&amp;$A34&amp;"'!$A$12:$Z$12"),0),0)),"ER"))</f>
        <v>?</v>
      </c>
      <c r="K34" s="6" t="str">
        <f aca="true">IF($F34=0,"NA",IF($A34=INDIRECT("'"&amp;$A34&amp;"'!$B$1"),IF(VLOOKUP(K$1,INDIRECT("'"&amp;$A34&amp;"'!$A$12:$Z$19"),MATCH("Points (Auto-generate)",INDIRECT("'"&amp;$A34&amp;"'!$A$12:$Z$12"),0),0)="","?",VLOOKUP(K$1,INDIRECT("'"&amp;$A34&amp;"'!$A$12:$Z$19"),MATCH("Points (Auto-generate)",INDIRECT("'"&amp;$A34&amp;"'!$A$12:$Z$12"),0),0)),"ER"))</f>
        <v>?</v>
      </c>
      <c r="L34" s="6" t="str">
        <f aca="true">IF($F34=0,"NA",IF($A34=INDIRECT("'"&amp;$A34&amp;"'!$B$1"),IF(VLOOKUP(L$1,INDIRECT("'"&amp;$A34&amp;"'!$A$12:$Z$19"),MATCH("Points (Auto-generate)",INDIRECT("'"&amp;$A34&amp;"'!$A$12:$Z$12"),0),0)="","?",VLOOKUP(L$1,INDIRECT("'"&amp;$A34&amp;"'!$A$12:$Z$19"),MATCH("Points (Auto-generate)",INDIRECT("'"&amp;$A34&amp;"'!$A$12:$Z$12"),0),0)),"ER"))</f>
        <v>?</v>
      </c>
      <c r="M34" s="6" t="str">
        <f aca="true">IF($F34=0,"NA",IF($A34=INDIRECT("'"&amp;$A34&amp;"'!$B$1"),IF(VLOOKUP(M$1,INDIRECT("'"&amp;$A34&amp;"'!$A$12:$Z$19"),MATCH("Points (Auto-generate)",INDIRECT("'"&amp;$A34&amp;"'!$A$12:$Z$12"),0),0)="","?",VLOOKUP(M$1,INDIRECT("'"&amp;$A34&amp;"'!$A$12:$Z$19"),MATCH("Points (Auto-generate)",INDIRECT("'"&amp;$A34&amp;"'!$A$12:$Z$12"),0),0)),"ER"))</f>
        <v>?</v>
      </c>
    </row>
    <row r="35" customFormat="false" ht="15" hidden="false" customHeight="true" outlineLevel="0" collapsed="false">
      <c r="A35" s="6" t="s">
        <v>292</v>
      </c>
      <c r="B35" s="6" t="str">
        <f aca="false">VLOOKUP($A35,'PARASTATAL Questions'!$A:$J,3,0)&amp;""</f>
        <v>Decentralised Participatory Governance</v>
      </c>
      <c r="C35" s="6" t="str">
        <f aca="false">VLOOKUP($A35,'PARASTATAL Questions'!$A:$J,4,0)&amp;""</f>
        <v>SQ</v>
      </c>
      <c r="D35" s="6" t="str">
        <f aca="false">VLOOKUP($A35,'PARASTATAL Questions'!$A:$J,5,0)&amp;""</f>
        <v>Organisation and staffing information</v>
      </c>
      <c r="E35" s="6" t="str">
        <f aca="false">VLOOKUP($A35,'PARASTATAL Questions'!$A:$J,7,0)&amp;""</f>
        <v>Implementation</v>
      </c>
      <c r="F35" s="6" t="n">
        <f aca="false">VLOOKUP($A35,'PARASTATAL Questions'!$A:$J,6,0)</f>
        <v>1</v>
      </c>
      <c r="G35" s="6" t="str">
        <f aca="true">IF($F35=0,"NA",IF($A35=INDIRECT("'"&amp;$A35&amp;"'!$B$1"),IF(VLOOKUP(G$1,INDIRECT("'"&amp;$A35&amp;"'!$A$12:$Z$19"),MATCH("Points (Auto-generate)",INDIRECT("'"&amp;$A35&amp;"'!$A$12:$Z$12"),0),0)="","?",VLOOKUP(G$1,INDIRECT("'"&amp;$A35&amp;"'!$A$12:$Z$19"),MATCH("Points (Auto-generate)",INDIRECT("'"&amp;$A35&amp;"'!$A$12:$Z$12"),0),0)),"ER"))</f>
        <v>?</v>
      </c>
      <c r="H35" s="6" t="str">
        <f aca="true">IF($F35=0,"NA",IF($A35=INDIRECT("'"&amp;$A35&amp;"'!$B$1"),IF(VLOOKUP(H$1,INDIRECT("'"&amp;$A35&amp;"'!$A$12:$Z$19"),MATCH("Points (Auto-generate)",INDIRECT("'"&amp;$A35&amp;"'!$A$12:$Z$12"),0),0)="","?",VLOOKUP(H$1,INDIRECT("'"&amp;$A35&amp;"'!$A$12:$Z$19"),MATCH("Points (Auto-generate)",INDIRECT("'"&amp;$A35&amp;"'!$A$12:$Z$12"),0),0)),"ER"))</f>
        <v>?</v>
      </c>
      <c r="I35" s="6" t="str">
        <f aca="true">IF($F35=0,"NA",IF($A35=INDIRECT("'"&amp;$A35&amp;"'!$B$1"),IF(VLOOKUP(I$1,INDIRECT("'"&amp;$A35&amp;"'!$A$12:$Z$19"),MATCH("Points (Auto-generate)",INDIRECT("'"&amp;$A35&amp;"'!$A$12:$Z$12"),0),0)="","?",VLOOKUP(I$1,INDIRECT("'"&amp;$A35&amp;"'!$A$12:$Z$19"),MATCH("Points (Auto-generate)",INDIRECT("'"&amp;$A35&amp;"'!$A$12:$Z$12"),0),0)),"ER"))</f>
        <v>?</v>
      </c>
      <c r="J35" s="6" t="str">
        <f aca="true">IF($F35=0,"NA",IF($A35=INDIRECT("'"&amp;$A35&amp;"'!$B$1"),IF(VLOOKUP(J$1,INDIRECT("'"&amp;$A35&amp;"'!$A$12:$Z$19"),MATCH("Points (Auto-generate)",INDIRECT("'"&amp;$A35&amp;"'!$A$12:$Z$12"),0),0)="","?",VLOOKUP(J$1,INDIRECT("'"&amp;$A35&amp;"'!$A$12:$Z$19"),MATCH("Points (Auto-generate)",INDIRECT("'"&amp;$A35&amp;"'!$A$12:$Z$12"),0),0)),"ER"))</f>
        <v>?</v>
      </c>
      <c r="K35" s="6" t="n">
        <f aca="true">IF($F35=0,"NA",IF($A35=INDIRECT("'"&amp;$A35&amp;"'!$B$1"),IF(VLOOKUP(K$1,INDIRECT("'"&amp;$A35&amp;"'!$A$12:$Z$19"),MATCH("Points (Auto-generate)",INDIRECT("'"&amp;$A35&amp;"'!$A$12:$Z$12"),0),0)="","?",VLOOKUP(K$1,INDIRECT("'"&amp;$A35&amp;"'!$A$12:$Z$19"),MATCH("Points (Auto-generate)",INDIRECT("'"&amp;$A35&amp;"'!$A$12:$Z$12"),0),0)),"ER"))</f>
        <v>1</v>
      </c>
      <c r="L35" s="6" t="str">
        <f aca="true">IF($F35=0,"NA",IF($A35=INDIRECT("'"&amp;$A35&amp;"'!$B$1"),IF(VLOOKUP(L$1,INDIRECT("'"&amp;$A35&amp;"'!$A$12:$Z$19"),MATCH("Points (Auto-generate)",INDIRECT("'"&amp;$A35&amp;"'!$A$12:$Z$12"),0),0)="","?",VLOOKUP(L$1,INDIRECT("'"&amp;$A35&amp;"'!$A$12:$Z$19"),MATCH("Points (Auto-generate)",INDIRECT("'"&amp;$A35&amp;"'!$A$12:$Z$12"),0),0)),"ER"))</f>
        <v>?</v>
      </c>
      <c r="M35" s="6" t="str">
        <f aca="true">IF($F35=0,"NA",IF($A35=INDIRECT("'"&amp;$A35&amp;"'!$B$1"),IF(VLOOKUP(M$1,INDIRECT("'"&amp;$A35&amp;"'!$A$12:$Z$19"),MATCH("Points (Auto-generate)",INDIRECT("'"&amp;$A35&amp;"'!$A$12:$Z$12"),0),0)="","?",VLOOKUP(M$1,INDIRECT("'"&amp;$A35&amp;"'!$A$12:$Z$19"),MATCH("Points (Auto-generate)",INDIRECT("'"&amp;$A35&amp;"'!$A$12:$Z$12"),0),0)),"ER"))</f>
        <v>?</v>
      </c>
    </row>
    <row r="36" customFormat="false" ht="15" hidden="false" customHeight="true" outlineLevel="0" collapsed="false">
      <c r="A36" s="6" t="s">
        <v>314</v>
      </c>
      <c r="B36" s="6" t="str">
        <f aca="false">VLOOKUP($A36,'PARASTATAL Questions'!$A:$J,3,0)&amp;""</f>
        <v>Decentralised Participatory Governance</v>
      </c>
      <c r="C36" s="6" t="str">
        <f aca="false">VLOOKUP($A36,'PARASTATAL Questions'!$A:$J,4,0)&amp;""</f>
        <v>SQ</v>
      </c>
      <c r="D36" s="6" t="str">
        <f aca="false">VLOOKUP($A36,'PARASTATAL Questions'!$A:$J,5,0)&amp;""</f>
        <v>Major plans / projects</v>
      </c>
      <c r="E36" s="6" t="str">
        <f aca="false">VLOOKUP($A36,'PARASTATAL Questions'!$A:$J,7,0)&amp;""</f>
        <v>Implementation</v>
      </c>
      <c r="F36" s="6" t="n">
        <f aca="false">VLOOKUP($A36,'PARASTATAL Questions'!$A:$J,6,0)</f>
        <v>1</v>
      </c>
      <c r="G36" s="6" t="str">
        <f aca="true">IF($F36=0,"NA",IF($A36=INDIRECT("'"&amp;$A36&amp;"'!$B$1"),IF(VLOOKUP(G$1,INDIRECT("'"&amp;$A36&amp;"'!$A$12:$Z$19"),MATCH("Points (Auto-generate)",INDIRECT("'"&amp;$A36&amp;"'!$A$12:$Z$12"),0),0)="","?",VLOOKUP(G$1,INDIRECT("'"&amp;$A36&amp;"'!$A$12:$Z$19"),MATCH("Points (Auto-generate)",INDIRECT("'"&amp;$A36&amp;"'!$A$12:$Z$12"),0),0)),"ER"))</f>
        <v>?</v>
      </c>
      <c r="H36" s="6" t="str">
        <f aca="true">IF($F36=0,"NA",IF($A36=INDIRECT("'"&amp;$A36&amp;"'!$B$1"),IF(VLOOKUP(H$1,INDIRECT("'"&amp;$A36&amp;"'!$A$12:$Z$19"),MATCH("Points (Auto-generate)",INDIRECT("'"&amp;$A36&amp;"'!$A$12:$Z$12"),0),0)="","?",VLOOKUP(H$1,INDIRECT("'"&amp;$A36&amp;"'!$A$12:$Z$19"),MATCH("Points (Auto-generate)",INDIRECT("'"&amp;$A36&amp;"'!$A$12:$Z$12"),0),0)),"ER"))</f>
        <v>?</v>
      </c>
      <c r="I36" s="6" t="str">
        <f aca="true">IF($F36=0,"NA",IF($A36=INDIRECT("'"&amp;$A36&amp;"'!$B$1"),IF(VLOOKUP(I$1,INDIRECT("'"&amp;$A36&amp;"'!$A$12:$Z$19"),MATCH("Points (Auto-generate)",INDIRECT("'"&amp;$A36&amp;"'!$A$12:$Z$12"),0),0)="","?",VLOOKUP(I$1,INDIRECT("'"&amp;$A36&amp;"'!$A$12:$Z$19"),MATCH("Points (Auto-generate)",INDIRECT("'"&amp;$A36&amp;"'!$A$12:$Z$12"),0),0)),"ER"))</f>
        <v>?</v>
      </c>
      <c r="J36" s="6" t="str">
        <f aca="true">IF($F36=0,"NA",IF($A36=INDIRECT("'"&amp;$A36&amp;"'!$B$1"),IF(VLOOKUP(J$1,INDIRECT("'"&amp;$A36&amp;"'!$A$12:$Z$19"),MATCH("Points (Auto-generate)",INDIRECT("'"&amp;$A36&amp;"'!$A$12:$Z$12"),0),0)="","?",VLOOKUP(J$1,INDIRECT("'"&amp;$A36&amp;"'!$A$12:$Z$19"),MATCH("Points (Auto-generate)",INDIRECT("'"&amp;$A36&amp;"'!$A$12:$Z$12"),0),0)),"ER"))</f>
        <v>?</v>
      </c>
      <c r="K36" s="6" t="str">
        <f aca="true">IF($F36=0,"NA",IF($A36=INDIRECT("'"&amp;$A36&amp;"'!$B$1"),IF(VLOOKUP(K$1,INDIRECT("'"&amp;$A36&amp;"'!$A$12:$Z$19"),MATCH("Points (Auto-generate)",INDIRECT("'"&amp;$A36&amp;"'!$A$12:$Z$12"),0),0)="","?",VLOOKUP(K$1,INDIRECT("'"&amp;$A36&amp;"'!$A$12:$Z$19"),MATCH("Points (Auto-generate)",INDIRECT("'"&amp;$A36&amp;"'!$A$12:$Z$12"),0),0)),"ER"))</f>
        <v>?</v>
      </c>
      <c r="L36" s="6" t="str">
        <f aca="true">IF($F36=0,"NA",IF($A36=INDIRECT("'"&amp;$A36&amp;"'!$B$1"),IF(VLOOKUP(L$1,INDIRECT("'"&amp;$A36&amp;"'!$A$12:$Z$19"),MATCH("Points (Auto-generate)",INDIRECT("'"&amp;$A36&amp;"'!$A$12:$Z$12"),0),0)="","?",VLOOKUP(L$1,INDIRECT("'"&amp;$A36&amp;"'!$A$12:$Z$19"),MATCH("Points (Auto-generate)",INDIRECT("'"&amp;$A36&amp;"'!$A$12:$Z$12"),0),0)),"ER"))</f>
        <v>?</v>
      </c>
      <c r="M36" s="6" t="n">
        <f aca="true">IF($F36=0,"NA",IF($A36=INDIRECT("'"&amp;$A36&amp;"'!$B$1"),IF(VLOOKUP(M$1,INDIRECT("'"&amp;$A36&amp;"'!$A$12:$Z$19"),MATCH("Points (Auto-generate)",INDIRECT("'"&amp;$A36&amp;"'!$A$12:$Z$12"),0),0)="","?",VLOOKUP(M$1,INDIRECT("'"&amp;$A36&amp;"'!$A$12:$Z$19"),MATCH("Points (Auto-generate)",INDIRECT("'"&amp;$A36&amp;"'!$A$12:$Z$12"),0),0)),"ER"))</f>
        <v>1</v>
      </c>
    </row>
    <row r="37" customFormat="false" ht="15" hidden="false" customHeight="true" outlineLevel="0" collapsed="false">
      <c r="A37" s="6" t="s">
        <v>328</v>
      </c>
      <c r="B37" s="6" t="str">
        <f aca="false">VLOOKUP($A37,'PARASTATAL Questions'!$A:$J,3,0)&amp;""</f>
        <v>Decentralised Participatory Governance</v>
      </c>
      <c r="C37" s="6" t="str">
        <f aca="false">VLOOKUP($A37,'PARASTATAL Questions'!$A:$J,4,0)&amp;""</f>
        <v>SQ</v>
      </c>
      <c r="D37" s="6" t="str">
        <f aca="false">VLOOKUP($A37,'PARASTATAL Questions'!$A:$J,5,0)&amp;""</f>
        <v>Service-level benchmarks and performance reports</v>
      </c>
      <c r="E37" s="6" t="str">
        <f aca="false">VLOOKUP($A37,'PARASTATAL Questions'!$A:$J,7,0)&amp;""</f>
        <v>Implementation</v>
      </c>
      <c r="F37" s="6" t="n">
        <f aca="false">VLOOKUP($A37,'PARASTATAL Questions'!$A:$J,6,0)</f>
        <v>1</v>
      </c>
      <c r="G37" s="6" t="str">
        <f aca="true">IF($F37=0,"NA",IF($A37=INDIRECT("'"&amp;$A37&amp;"'!$B$1"),IF(VLOOKUP(G$1,INDIRECT("'"&amp;$A37&amp;"'!$A$12:$Z$19"),MATCH("Points (Auto-generate)",INDIRECT("'"&amp;$A37&amp;"'!$A$12:$Z$12"),0),0)="","?",VLOOKUP(G$1,INDIRECT("'"&amp;$A37&amp;"'!$A$12:$Z$19"),MATCH("Points (Auto-generate)",INDIRECT("'"&amp;$A37&amp;"'!$A$12:$Z$12"),0),0)),"ER"))</f>
        <v>?</v>
      </c>
      <c r="H37" s="6" t="str">
        <f aca="true">IF($F37=0,"NA",IF($A37=INDIRECT("'"&amp;$A37&amp;"'!$B$1"),IF(VLOOKUP(H$1,INDIRECT("'"&amp;$A37&amp;"'!$A$12:$Z$19"),MATCH("Points (Auto-generate)",INDIRECT("'"&amp;$A37&amp;"'!$A$12:$Z$12"),0),0)="","?",VLOOKUP(H$1,INDIRECT("'"&amp;$A37&amp;"'!$A$12:$Z$19"),MATCH("Points (Auto-generate)",INDIRECT("'"&amp;$A37&amp;"'!$A$12:$Z$12"),0),0)),"ER"))</f>
        <v>?</v>
      </c>
      <c r="I37" s="6" t="str">
        <f aca="true">IF($F37=0,"NA",IF($A37=INDIRECT("'"&amp;$A37&amp;"'!$B$1"),IF(VLOOKUP(I$1,INDIRECT("'"&amp;$A37&amp;"'!$A$12:$Z$19"),MATCH("Points (Auto-generate)",INDIRECT("'"&amp;$A37&amp;"'!$A$12:$Z$12"),0),0)="","?",VLOOKUP(I$1,INDIRECT("'"&amp;$A37&amp;"'!$A$12:$Z$19"),MATCH("Points (Auto-generate)",INDIRECT("'"&amp;$A37&amp;"'!$A$12:$Z$12"),0),0)),"ER"))</f>
        <v>?</v>
      </c>
      <c r="J37" s="6" t="str">
        <f aca="true">IF($F37=0,"NA",IF($A37=INDIRECT("'"&amp;$A37&amp;"'!$B$1"),IF(VLOOKUP(J$1,INDIRECT("'"&amp;$A37&amp;"'!$A$12:$Z$19"),MATCH("Points (Auto-generate)",INDIRECT("'"&amp;$A37&amp;"'!$A$12:$Z$12"),0),0)="","?",VLOOKUP(J$1,INDIRECT("'"&amp;$A37&amp;"'!$A$12:$Z$19"),MATCH("Points (Auto-generate)",INDIRECT("'"&amp;$A37&amp;"'!$A$12:$Z$12"),0),0)),"ER"))</f>
        <v>?</v>
      </c>
      <c r="K37" s="6" t="n">
        <f aca="true">IF($F37=0,"NA",IF($A37=INDIRECT("'"&amp;$A37&amp;"'!$B$1"),IF(VLOOKUP(K$1,INDIRECT("'"&amp;$A37&amp;"'!$A$12:$Z$19"),MATCH("Points (Auto-generate)",INDIRECT("'"&amp;$A37&amp;"'!$A$12:$Z$12"),0),0)="","?",VLOOKUP(K$1,INDIRECT("'"&amp;$A37&amp;"'!$A$12:$Z$19"),MATCH("Points (Auto-generate)",INDIRECT("'"&amp;$A37&amp;"'!$A$12:$Z$12"),0),0)),"ER"))</f>
        <v>0</v>
      </c>
      <c r="L37" s="6" t="str">
        <f aca="true">IF($F37=0,"NA",IF($A37=INDIRECT("'"&amp;$A37&amp;"'!$B$1"),IF(VLOOKUP(L$1,INDIRECT("'"&amp;$A37&amp;"'!$A$12:$Z$19"),MATCH("Points (Auto-generate)",INDIRECT("'"&amp;$A37&amp;"'!$A$12:$Z$12"),0),0)="","?",VLOOKUP(L$1,INDIRECT("'"&amp;$A37&amp;"'!$A$12:$Z$19"),MATCH("Points (Auto-generate)",INDIRECT("'"&amp;$A37&amp;"'!$A$12:$Z$12"),0),0)),"ER"))</f>
        <v>?</v>
      </c>
      <c r="M37" s="6" t="str">
        <f aca="true">IF($F37=0,"NA",IF($A37=INDIRECT("'"&amp;$A37&amp;"'!$B$1"),IF(VLOOKUP(M$1,INDIRECT("'"&amp;$A37&amp;"'!$A$12:$Z$19"),MATCH("Points (Auto-generate)",INDIRECT("'"&amp;$A37&amp;"'!$A$12:$Z$12"),0),0)="","?",VLOOKUP(M$1,INDIRECT("'"&amp;$A37&amp;"'!$A$12:$Z$19"),MATCH("Points (Auto-generate)",INDIRECT("'"&amp;$A37&amp;"'!$A$12:$Z$12"),0),0)),"ER"))</f>
        <v>?</v>
      </c>
    </row>
    <row r="38" customFormat="false" ht="15" hidden="false" customHeight="true" outlineLevel="0" collapsed="false">
      <c r="A38" s="6" t="s">
        <v>341</v>
      </c>
      <c r="B38" s="6" t="str">
        <f aca="false">VLOOKUP($A38,'PARASTATAL Questions'!$A:$J,3,0)&amp;""</f>
        <v>Decentralised Participatory Governance</v>
      </c>
      <c r="C38" s="6" t="str">
        <f aca="false">VLOOKUP($A38,'PARASTATAL Questions'!$A:$J,4,0)&amp;""</f>
        <v>SQ</v>
      </c>
      <c r="D38" s="6" t="str">
        <f aca="false">VLOOKUP($A38,'PARASTATAL Questions'!$A:$J,5,0)&amp;""</f>
        <v>Citizen / Service Charter</v>
      </c>
      <c r="E38" s="6" t="str">
        <f aca="false">VLOOKUP($A38,'PARASTATAL Questions'!$A:$J,7,0)&amp;""</f>
        <v>Implementation</v>
      </c>
      <c r="F38" s="6" t="n">
        <f aca="false">VLOOKUP($A38,'PARASTATAL Questions'!$A:$J,6,0)</f>
        <v>1</v>
      </c>
      <c r="G38" s="6" t="str">
        <f aca="true">IF($F38=0,"NA",IF($A38=INDIRECT("'"&amp;$A38&amp;"'!$B$1"),IF(VLOOKUP(G$1,INDIRECT("'"&amp;$A38&amp;"'!$A$12:$Z$19"),MATCH("Points (Auto-generate)",INDIRECT("'"&amp;$A38&amp;"'!$A$12:$Z$12"),0),0)="","?",VLOOKUP(G$1,INDIRECT("'"&amp;$A38&amp;"'!$A$12:$Z$19"),MATCH("Points (Auto-generate)",INDIRECT("'"&amp;$A38&amp;"'!$A$12:$Z$12"),0),0)),"ER"))</f>
        <v>?</v>
      </c>
      <c r="H38" s="6" t="str">
        <f aca="true">IF($F38=0,"NA",IF($A38=INDIRECT("'"&amp;$A38&amp;"'!$B$1"),IF(VLOOKUP(H$1,INDIRECT("'"&amp;$A38&amp;"'!$A$12:$Z$19"),MATCH("Points (Auto-generate)",INDIRECT("'"&amp;$A38&amp;"'!$A$12:$Z$12"),0),0)="","?",VLOOKUP(H$1,INDIRECT("'"&amp;$A38&amp;"'!$A$12:$Z$19"),MATCH("Points (Auto-generate)",INDIRECT("'"&amp;$A38&amp;"'!$A$12:$Z$12"),0),0)),"ER"))</f>
        <v>?</v>
      </c>
      <c r="I38" s="6" t="str">
        <f aca="true">IF($F38=0,"NA",IF($A38=INDIRECT("'"&amp;$A38&amp;"'!$B$1"),IF(VLOOKUP(I$1,INDIRECT("'"&amp;$A38&amp;"'!$A$12:$Z$19"),MATCH("Points (Auto-generate)",INDIRECT("'"&amp;$A38&amp;"'!$A$12:$Z$12"),0),0)="","?",VLOOKUP(I$1,INDIRECT("'"&amp;$A38&amp;"'!$A$12:$Z$19"),MATCH("Points (Auto-generate)",INDIRECT("'"&amp;$A38&amp;"'!$A$12:$Z$12"),0),0)),"ER"))</f>
        <v>?</v>
      </c>
      <c r="J38" s="6" t="str">
        <f aca="true">IF($F38=0,"NA",IF($A38=INDIRECT("'"&amp;$A38&amp;"'!$B$1"),IF(VLOOKUP(J$1,INDIRECT("'"&amp;$A38&amp;"'!$A$12:$Z$19"),MATCH("Points (Auto-generate)",INDIRECT("'"&amp;$A38&amp;"'!$A$12:$Z$12"),0),0)="","?",VLOOKUP(J$1,INDIRECT("'"&amp;$A38&amp;"'!$A$12:$Z$19"),MATCH("Points (Auto-generate)",INDIRECT("'"&amp;$A38&amp;"'!$A$12:$Z$12"),0),0)),"ER"))</f>
        <v>?</v>
      </c>
      <c r="K38" s="6" t="str">
        <f aca="true">IF($F38=0,"NA",IF($A38=INDIRECT("'"&amp;$A38&amp;"'!$B$1"),IF(VLOOKUP(K$1,INDIRECT("'"&amp;$A38&amp;"'!$A$12:$Z$19"),MATCH("Points (Auto-generate)",INDIRECT("'"&amp;$A38&amp;"'!$A$12:$Z$12"),0),0)="","?",VLOOKUP(K$1,INDIRECT("'"&amp;$A38&amp;"'!$A$12:$Z$19"),MATCH("Points (Auto-generate)",INDIRECT("'"&amp;$A38&amp;"'!$A$12:$Z$12"),0),0)),"ER"))</f>
        <v>?</v>
      </c>
      <c r="L38" s="6" t="str">
        <f aca="true">IF($F38=0,"NA",IF($A38=INDIRECT("'"&amp;$A38&amp;"'!$B$1"),IF(VLOOKUP(L$1,INDIRECT("'"&amp;$A38&amp;"'!$A$12:$Z$19"),MATCH("Points (Auto-generate)",INDIRECT("'"&amp;$A38&amp;"'!$A$12:$Z$12"),0),0)="","?",VLOOKUP(L$1,INDIRECT("'"&amp;$A38&amp;"'!$A$12:$Z$19"),MATCH("Points (Auto-generate)",INDIRECT("'"&amp;$A38&amp;"'!$A$12:$Z$12"),0),0)),"ER"))</f>
        <v>?</v>
      </c>
      <c r="M38" s="6" t="str">
        <f aca="true">IF($F38=0,"NA",IF($A38=INDIRECT("'"&amp;$A38&amp;"'!$B$1"),IF(VLOOKUP(M$1,INDIRECT("'"&amp;$A38&amp;"'!$A$12:$Z$19"),MATCH("Points (Auto-generate)",INDIRECT("'"&amp;$A38&amp;"'!$A$12:$Z$12"),0),0)="","?",VLOOKUP(M$1,INDIRECT("'"&amp;$A38&amp;"'!$A$12:$Z$19"),MATCH("Points (Auto-generate)",INDIRECT("'"&amp;$A38&amp;"'!$A$12:$Z$12"),0),0)),"ER"))</f>
        <v>?</v>
      </c>
    </row>
    <row r="39" customFormat="false" ht="15" hidden="false" customHeight="true" outlineLevel="0" collapsed="false">
      <c r="A39" s="6" t="s">
        <v>353</v>
      </c>
      <c r="B39" s="6" t="str">
        <f aca="false">VLOOKUP($A39,'PARASTATAL Questions'!$A:$J,3,0)&amp;""</f>
        <v>Decentralised Participatory Governance</v>
      </c>
      <c r="C39" s="6" t="str">
        <f aca="false">VLOOKUP($A39,'PARASTATAL Questions'!$A:$J,4,0)&amp;""</f>
        <v>SQ</v>
      </c>
      <c r="D39" s="6" t="str">
        <f aca="false">VLOOKUP($A39,'PARASTATAL Questions'!$A:$J,5,0)&amp;""</f>
        <v>RTI details and designated Public Information Officer contact/procedure</v>
      </c>
      <c r="E39" s="6" t="str">
        <f aca="false">VLOOKUP($A39,'PARASTATAL Questions'!$A:$J,7,0)&amp;""</f>
        <v>Implementation</v>
      </c>
      <c r="F39" s="6" t="n">
        <f aca="false">VLOOKUP($A39,'PARASTATAL Questions'!$A:$J,6,0)</f>
        <v>1</v>
      </c>
      <c r="G39" s="6" t="str">
        <f aca="true">IF($F39=0,"NA",IF($A39=INDIRECT("'"&amp;$A39&amp;"'!$B$1"),IF(VLOOKUP(G$1,INDIRECT("'"&amp;$A39&amp;"'!$A$12:$Z$19"),MATCH("Points (Auto-generate)",INDIRECT("'"&amp;$A39&amp;"'!$A$12:$Z$12"),0),0)="","?",VLOOKUP(G$1,INDIRECT("'"&amp;$A39&amp;"'!$A$12:$Z$19"),MATCH("Points (Auto-generate)",INDIRECT("'"&amp;$A39&amp;"'!$A$12:$Z$12"),0),0)),"ER"))</f>
        <v>?</v>
      </c>
      <c r="H39" s="6" t="str">
        <f aca="true">IF($F39=0,"NA",IF($A39=INDIRECT("'"&amp;$A39&amp;"'!$B$1"),IF(VLOOKUP(H$1,INDIRECT("'"&amp;$A39&amp;"'!$A$12:$Z$19"),MATCH("Points (Auto-generate)",INDIRECT("'"&amp;$A39&amp;"'!$A$12:$Z$12"),0),0)="","?",VLOOKUP(H$1,INDIRECT("'"&amp;$A39&amp;"'!$A$12:$Z$19"),MATCH("Points (Auto-generate)",INDIRECT("'"&amp;$A39&amp;"'!$A$12:$Z$12"),0),0)),"ER"))</f>
        <v>?</v>
      </c>
      <c r="I39" s="6" t="str">
        <f aca="true">IF($F39=0,"NA",IF($A39=INDIRECT("'"&amp;$A39&amp;"'!$B$1"),IF(VLOOKUP(I$1,INDIRECT("'"&amp;$A39&amp;"'!$A$12:$Z$19"),MATCH("Points (Auto-generate)",INDIRECT("'"&amp;$A39&amp;"'!$A$12:$Z$12"),0),0)="","?",VLOOKUP(I$1,INDIRECT("'"&amp;$A39&amp;"'!$A$12:$Z$19"),MATCH("Points (Auto-generate)",INDIRECT("'"&amp;$A39&amp;"'!$A$12:$Z$12"),0),0)),"ER"))</f>
        <v>?</v>
      </c>
      <c r="J39" s="6" t="str">
        <f aca="true">IF($F39=0,"NA",IF($A39=INDIRECT("'"&amp;$A39&amp;"'!$B$1"),IF(VLOOKUP(J$1,INDIRECT("'"&amp;$A39&amp;"'!$A$12:$Z$19"),MATCH("Points (Auto-generate)",INDIRECT("'"&amp;$A39&amp;"'!$A$12:$Z$12"),0),0)="","?",VLOOKUP(J$1,INDIRECT("'"&amp;$A39&amp;"'!$A$12:$Z$19"),MATCH("Points (Auto-generate)",INDIRECT("'"&amp;$A39&amp;"'!$A$12:$Z$12"),0),0)),"ER"))</f>
        <v>?</v>
      </c>
      <c r="K39" s="6" t="str">
        <f aca="true">IF($F39=0,"NA",IF($A39=INDIRECT("'"&amp;$A39&amp;"'!$B$1"),IF(VLOOKUP(K$1,INDIRECT("'"&amp;$A39&amp;"'!$A$12:$Z$19"),MATCH("Points (Auto-generate)",INDIRECT("'"&amp;$A39&amp;"'!$A$12:$Z$12"),0),0)="","?",VLOOKUP(K$1,INDIRECT("'"&amp;$A39&amp;"'!$A$12:$Z$19"),MATCH("Points (Auto-generate)",INDIRECT("'"&amp;$A39&amp;"'!$A$12:$Z$12"),0),0)),"ER"))</f>
        <v>?</v>
      </c>
      <c r="L39" s="6" t="str">
        <f aca="true">IF($F39=0,"NA",IF($A39=INDIRECT("'"&amp;$A39&amp;"'!$B$1"),IF(VLOOKUP(L$1,INDIRECT("'"&amp;$A39&amp;"'!$A$12:$Z$19"),MATCH("Points (Auto-generate)",INDIRECT("'"&amp;$A39&amp;"'!$A$12:$Z$12"),0),0)="","?",VLOOKUP(L$1,INDIRECT("'"&amp;$A39&amp;"'!$A$12:$Z$19"),MATCH("Points (Auto-generate)",INDIRECT("'"&amp;$A39&amp;"'!$A$12:$Z$12"),0),0)),"ER"))</f>
        <v>?</v>
      </c>
      <c r="M39" s="6" t="n">
        <f aca="true">IF($F39=0,"NA",IF($A39=INDIRECT("'"&amp;$A39&amp;"'!$B$1"),IF(VLOOKUP(M$1,INDIRECT("'"&amp;$A39&amp;"'!$A$12:$Z$19"),MATCH("Points (Auto-generate)",INDIRECT("'"&amp;$A39&amp;"'!$A$12:$Z$12"),0),0)="","?",VLOOKUP(M$1,INDIRECT("'"&amp;$A39&amp;"'!$A$12:$Z$19"),MATCH("Points (Auto-generate)",INDIRECT("'"&amp;$A39&amp;"'!$A$12:$Z$12"),0),0)),"ER"))</f>
        <v>1</v>
      </c>
    </row>
    <row r="40" customFormat="false" ht="15" hidden="false" customHeight="true" outlineLevel="0" collapsed="false">
      <c r="A40" s="6" t="s">
        <v>373</v>
      </c>
      <c r="B40" s="6" t="str">
        <f aca="false">VLOOKUP($A40,'PARASTATAL Questions'!$A:$J,3,0)&amp;""</f>
        <v>Decentralised Participatory Governance</v>
      </c>
      <c r="C40" s="6" t="str">
        <f aca="false">VLOOKUP($A40,'PARASTATAL Questions'!$A:$J,4,0)&amp;""</f>
        <v>SQ</v>
      </c>
      <c r="D40" s="6" t="str">
        <f aca="false">VLOOKUP($A40,'PARASTATAL Questions'!$A:$J,5,0)&amp;""</f>
        <v>Procurement / tender notices and awarded-contract details</v>
      </c>
      <c r="E40" s="6" t="str">
        <f aca="false">VLOOKUP($A40,'PARASTATAL Questions'!$A:$J,7,0)&amp;""</f>
        <v>Implementation</v>
      </c>
      <c r="F40" s="6" t="n">
        <f aca="false">VLOOKUP($A40,'PARASTATAL Questions'!$A:$J,6,0)</f>
        <v>1</v>
      </c>
      <c r="G40" s="6" t="str">
        <f aca="true">IF($F40=0,"NA",IF($A40=INDIRECT("'"&amp;$A40&amp;"'!$B$1"),IF(VLOOKUP(G$1,INDIRECT("'"&amp;$A40&amp;"'!$A$12:$Z$19"),MATCH("Points (Auto-generate)",INDIRECT("'"&amp;$A40&amp;"'!$A$12:$Z$12"),0),0)="","?",VLOOKUP(G$1,INDIRECT("'"&amp;$A40&amp;"'!$A$12:$Z$19"),MATCH("Points (Auto-generate)",INDIRECT("'"&amp;$A40&amp;"'!$A$12:$Z$12"),0),0)),"ER"))</f>
        <v>?</v>
      </c>
      <c r="H40" s="6" t="str">
        <f aca="true">IF($F40=0,"NA",IF($A40=INDIRECT("'"&amp;$A40&amp;"'!$B$1"),IF(VLOOKUP(H$1,INDIRECT("'"&amp;$A40&amp;"'!$A$12:$Z$19"),MATCH("Points (Auto-generate)",INDIRECT("'"&amp;$A40&amp;"'!$A$12:$Z$12"),0),0)="","?",VLOOKUP(H$1,INDIRECT("'"&amp;$A40&amp;"'!$A$12:$Z$19"),MATCH("Points (Auto-generate)",INDIRECT("'"&amp;$A40&amp;"'!$A$12:$Z$12"),0),0)),"ER"))</f>
        <v>?</v>
      </c>
      <c r="I40" s="6" t="str">
        <f aca="true">IF($F40=0,"NA",IF($A40=INDIRECT("'"&amp;$A40&amp;"'!$B$1"),IF(VLOOKUP(I$1,INDIRECT("'"&amp;$A40&amp;"'!$A$12:$Z$19"),MATCH("Points (Auto-generate)",INDIRECT("'"&amp;$A40&amp;"'!$A$12:$Z$12"),0),0)="","?",VLOOKUP(I$1,INDIRECT("'"&amp;$A40&amp;"'!$A$12:$Z$19"),MATCH("Points (Auto-generate)",INDIRECT("'"&amp;$A40&amp;"'!$A$12:$Z$12"),0),0)),"ER"))</f>
        <v>?</v>
      </c>
      <c r="J40" s="6" t="str">
        <f aca="true">IF($F40=0,"NA",IF($A40=INDIRECT("'"&amp;$A40&amp;"'!$B$1"),IF(VLOOKUP(J$1,INDIRECT("'"&amp;$A40&amp;"'!$A$12:$Z$19"),MATCH("Points (Auto-generate)",INDIRECT("'"&amp;$A40&amp;"'!$A$12:$Z$12"),0),0)="","?",VLOOKUP(J$1,INDIRECT("'"&amp;$A40&amp;"'!$A$12:$Z$19"),MATCH("Points (Auto-generate)",INDIRECT("'"&amp;$A40&amp;"'!$A$12:$Z$12"),0),0)),"ER"))</f>
        <v>?</v>
      </c>
      <c r="K40" s="6" t="str">
        <f aca="true">IF($F40=0,"NA",IF($A40=INDIRECT("'"&amp;$A40&amp;"'!$B$1"),IF(VLOOKUP(K$1,INDIRECT("'"&amp;$A40&amp;"'!$A$12:$Z$19"),MATCH("Points (Auto-generate)",INDIRECT("'"&amp;$A40&amp;"'!$A$12:$Z$12"),0),0)="","?",VLOOKUP(K$1,INDIRECT("'"&amp;$A40&amp;"'!$A$12:$Z$19"),MATCH("Points (Auto-generate)",INDIRECT("'"&amp;$A40&amp;"'!$A$12:$Z$12"),0),0)),"ER"))</f>
        <v>?</v>
      </c>
      <c r="L40" s="6" t="str">
        <f aca="true">IF($F40=0,"NA",IF($A40=INDIRECT("'"&amp;$A40&amp;"'!$B$1"),IF(VLOOKUP(L$1,INDIRECT("'"&amp;$A40&amp;"'!$A$12:$Z$19"),MATCH("Points (Auto-generate)",INDIRECT("'"&amp;$A40&amp;"'!$A$12:$Z$12"),0),0)="","?",VLOOKUP(L$1,INDIRECT("'"&amp;$A40&amp;"'!$A$12:$Z$19"),MATCH("Points (Auto-generate)",INDIRECT("'"&amp;$A40&amp;"'!$A$12:$Z$12"),0),0)),"ER"))</f>
        <v>?</v>
      </c>
      <c r="M40" s="6" t="n">
        <f aca="true">IF($F40=0,"NA",IF($A40=INDIRECT("'"&amp;$A40&amp;"'!$B$1"),IF(VLOOKUP(M$1,INDIRECT("'"&amp;$A40&amp;"'!$A$12:$Z$19"),MATCH("Points (Auto-generate)",INDIRECT("'"&amp;$A40&amp;"'!$A$12:$Z$12"),0),0)="","?",VLOOKUP(M$1,INDIRECT("'"&amp;$A40&amp;"'!$A$12:$Z$19"),MATCH("Points (Auto-generate)",INDIRECT("'"&amp;$A40&amp;"'!$A$12:$Z$12"),0),0)),"ER"))</f>
        <v>1</v>
      </c>
    </row>
    <row r="41" customFormat="false" ht="15" hidden="false" customHeight="true" outlineLevel="0" collapsed="false">
      <c r="A41" s="8" t="s">
        <v>575</v>
      </c>
      <c r="B41" s="8" t="str">
        <f aca="false">VLOOKUP($A41,'PARASTATAL Questions'!$A:$J,3,0)&amp;""</f>
        <v>Decentralised Participatory Governance</v>
      </c>
      <c r="C41" s="8" t="str">
        <f aca="false">VLOOKUP($A41,'PARASTATAL Questions'!$A:$J,4,0)&amp;""</f>
        <v>MQ</v>
      </c>
      <c r="D41" s="8" t="str">
        <f aca="false">VLOOKUP($A41,'PARASTATAL Questions'!$A:$J,5,0)&amp;""</f>
        <v>Does the parastatal provide for and maintain an accessible grievance-redressal mechanism?</v>
      </c>
      <c r="E41" s="8" t="str">
        <f aca="false">VLOOKUP($A41,'PARASTATAL Questions'!$A:$J,7,0)&amp;""</f>
        <v>Institutional Design</v>
      </c>
      <c r="F41" s="8" t="n">
        <f aca="false">VLOOKUP($A41,'PARASTATAL Questions'!$A:$J,6,0)</f>
        <v>10</v>
      </c>
      <c r="G41" s="8" t="str">
        <f aca="false">IF(OR(G42="ER",G43="ER"),"ER",IF(OR(G42="?",G43="?"),"?",IF(AND(G42="NA",G43="NA"),"NA",SUM(G42,G43)/((G42&lt;&gt;"NA")*$F$42+(G43&lt;&gt;"NA")*$F$43)*$F41)))</f>
        <v>?</v>
      </c>
      <c r="H41" s="8" t="str">
        <f aca="false">IF(OR(H42="ER",H43="ER"),"ER",IF(OR(H42="?",H43="?"),"?",IF(AND(H42="NA",H43="NA"),"NA",SUM(H42,H43)/((H42&lt;&gt;"NA")*$F$42+(H43&lt;&gt;"NA")*$F$43)*$F41)))</f>
        <v>?</v>
      </c>
      <c r="I41" s="8" t="str">
        <f aca="false">IF(OR(I42="ER",I43="ER"),"ER",IF(OR(I42="?",I43="?"),"?",IF(AND(I42="NA",I43="NA"),"NA",SUM(I42,I43)/((I42&lt;&gt;"NA")*$F$42+(I43&lt;&gt;"NA")*$F$43)*$F41)))</f>
        <v>?</v>
      </c>
      <c r="J41" s="8" t="str">
        <f aca="false">IF(OR(J42="ER",J43="ER"),"ER",IF(OR(J42="?",J43="?"),"?",IF(AND(J42="NA",J43="NA"),"NA",SUM(J42,J43)/((J42&lt;&gt;"NA")*$F$42+(J43&lt;&gt;"NA")*$F$43)*$F41)))</f>
        <v>?</v>
      </c>
      <c r="K41" s="8" t="str">
        <f aca="false">IF(OR(K42="ER",K43="ER"),"ER",IF(OR(K42="?",K43="?"),"?",IF(AND(K42="NA",K43="NA"),"NA",SUM(K42,K43)/((K42&lt;&gt;"NA")*$F$42+(K43&lt;&gt;"NA")*$F$43)*$F41)))</f>
        <v>?</v>
      </c>
      <c r="L41" s="8" t="str">
        <f aca="false">IF(OR(L42="ER",L43="ER"),"ER",IF(OR(L42="?",L43="?"),"?",IF(AND(L42="NA",L43="NA"),"NA",SUM(L42,L43)/((L42&lt;&gt;"NA")*$F$42+(L43&lt;&gt;"NA")*$F$43)*$F41)))</f>
        <v>?</v>
      </c>
      <c r="M41" s="8" t="str">
        <f aca="false">IF(OR(M42="ER",M43="ER"),"ER",IF(OR(M42="?",M43="?"),"?",IF(AND(M42="NA",M43="NA"),"NA",SUM(M42,M43)/((M42&lt;&gt;"NA")*$F$42+(M43&lt;&gt;"NA")*$F$43)*$F41)))</f>
        <v>?</v>
      </c>
    </row>
    <row r="42" customFormat="false" ht="15" hidden="false" customHeight="true" outlineLevel="0" collapsed="false">
      <c r="A42" s="6" t="s">
        <v>390</v>
      </c>
      <c r="B42" s="6" t="str">
        <f aca="false">VLOOKUP($A42,'PARASTATAL Questions'!$A:$J,3,0)&amp;""</f>
        <v>Decentralised Participatory Governance</v>
      </c>
      <c r="C42" s="6" t="str">
        <f aca="false">VLOOKUP($A42,'PARASTATAL Questions'!$A:$J,4,0)&amp;""</f>
        <v>SQ</v>
      </c>
      <c r="D42" s="6" t="str">
        <f aca="false">VLOOKUP($A42,'PARASTATAL Questions'!$A:$J,5,0)&amp;""</f>
        <v>Is the parastatal mandated to provide a grievance-redressal mechanism?</v>
      </c>
      <c r="E42" s="6" t="str">
        <f aca="false">VLOOKUP($A42,'PARASTATAL Questions'!$A:$J,7,0)&amp;""</f>
        <v>Law/Policy</v>
      </c>
      <c r="F42" s="6" t="n">
        <f aca="false">VLOOKUP($A42,'PARASTATAL Questions'!$A:$J,6,0)</f>
        <v>5</v>
      </c>
      <c r="G42" s="6" t="n">
        <f aca="true">IF($F42=0,"NA",IF($A42=INDIRECT("'"&amp;$A42&amp;"'!$B$1"),IF(VLOOKUP(G$1,INDIRECT("'"&amp;$A42&amp;"'!$A$12:$Z$19"),MATCH("Points (Auto-generate)",INDIRECT("'"&amp;$A42&amp;"'!$A$12:$Z$12"),0),0)="","?",VLOOKUP(G$1,INDIRECT("'"&amp;$A42&amp;"'!$A$12:$Z$19"),MATCH("Points (Auto-generate)",INDIRECT("'"&amp;$A42&amp;"'!$A$12:$Z$12"),0),0)),"ER"))</f>
        <v>5</v>
      </c>
      <c r="H42" s="6" t="str">
        <f aca="true">IF($F42=0,"NA",IF($A42=INDIRECT("'"&amp;$A42&amp;"'!$B$1"),IF(VLOOKUP(H$1,INDIRECT("'"&amp;$A42&amp;"'!$A$12:$Z$19"),MATCH("Points (Auto-generate)",INDIRECT("'"&amp;$A42&amp;"'!$A$12:$Z$12"),0),0)="","?",VLOOKUP(H$1,INDIRECT("'"&amp;$A42&amp;"'!$A$12:$Z$19"),MATCH("Points (Auto-generate)",INDIRECT("'"&amp;$A42&amp;"'!$A$12:$Z$12"),0),0)),"ER"))</f>
        <v>?</v>
      </c>
      <c r="I42" s="6" t="n">
        <f aca="true">IF($F42=0,"NA",IF($A42=INDIRECT("'"&amp;$A42&amp;"'!$B$1"),IF(VLOOKUP(I$1,INDIRECT("'"&amp;$A42&amp;"'!$A$12:$Z$19"),MATCH("Points (Auto-generate)",INDIRECT("'"&amp;$A42&amp;"'!$A$12:$Z$12"),0),0)="","?",VLOOKUP(I$1,INDIRECT("'"&amp;$A42&amp;"'!$A$12:$Z$19"),MATCH("Points (Auto-generate)",INDIRECT("'"&amp;$A42&amp;"'!$A$12:$Z$12"),0),0)),"ER"))</f>
        <v>0</v>
      </c>
      <c r="J42" s="6" t="str">
        <f aca="true">IF($F42=0,"NA",IF($A42=INDIRECT("'"&amp;$A42&amp;"'!$B$1"),IF(VLOOKUP(J$1,INDIRECT("'"&amp;$A42&amp;"'!$A$12:$Z$19"),MATCH("Points (Auto-generate)",INDIRECT("'"&amp;$A42&amp;"'!$A$12:$Z$12"),0),0)="","?",VLOOKUP(J$1,INDIRECT("'"&amp;$A42&amp;"'!$A$12:$Z$19"),MATCH("Points (Auto-generate)",INDIRECT("'"&amp;$A42&amp;"'!$A$12:$Z$12"),0),0)),"ER"))</f>
        <v>?</v>
      </c>
      <c r="K42" s="6" t="str">
        <f aca="true">IF($F42=0,"NA",IF($A42=INDIRECT("'"&amp;$A42&amp;"'!$B$1"),IF(VLOOKUP(K$1,INDIRECT("'"&amp;$A42&amp;"'!$A$12:$Z$19"),MATCH("Points (Auto-generate)",INDIRECT("'"&amp;$A42&amp;"'!$A$12:$Z$12"),0),0)="","?",VLOOKUP(K$1,INDIRECT("'"&amp;$A42&amp;"'!$A$12:$Z$19"),MATCH("Points (Auto-generate)",INDIRECT("'"&amp;$A42&amp;"'!$A$12:$Z$12"),0),0)),"ER"))</f>
        <v>?</v>
      </c>
      <c r="L42" s="6" t="str">
        <f aca="true">IF($F42=0,"NA",IF($A42=INDIRECT("'"&amp;$A42&amp;"'!$B$1"),IF(VLOOKUP(L$1,INDIRECT("'"&amp;$A42&amp;"'!$A$12:$Z$19"),MATCH("Points (Auto-generate)",INDIRECT("'"&amp;$A42&amp;"'!$A$12:$Z$12"),0),0)="","?",VLOOKUP(L$1,INDIRECT("'"&amp;$A42&amp;"'!$A$12:$Z$19"),MATCH("Points (Auto-generate)",INDIRECT("'"&amp;$A42&amp;"'!$A$12:$Z$12"),0),0)),"ER"))</f>
        <v>?</v>
      </c>
      <c r="M42" s="6" t="str">
        <f aca="true">IF($F42=0,"NA",IF($A42=INDIRECT("'"&amp;$A42&amp;"'!$B$1"),IF(VLOOKUP(M$1,INDIRECT("'"&amp;$A42&amp;"'!$A$12:$Z$19"),MATCH("Points (Auto-generate)",INDIRECT("'"&amp;$A42&amp;"'!$A$12:$Z$12"),0),0)="","?",VLOOKUP(M$1,INDIRECT("'"&amp;$A42&amp;"'!$A$12:$Z$19"),MATCH("Points (Auto-generate)",INDIRECT("'"&amp;$A42&amp;"'!$A$12:$Z$12"),0),0)),"ER"))</f>
        <v>?</v>
      </c>
    </row>
    <row r="43" customFormat="false" ht="15" hidden="false" customHeight="true" outlineLevel="0" collapsed="false">
      <c r="A43" s="6" t="s">
        <v>408</v>
      </c>
      <c r="B43" s="6" t="str">
        <f aca="false">VLOOKUP($A43,'PARASTATAL Questions'!$A:$J,3,0)&amp;""</f>
        <v>Decentralised Participatory Governance</v>
      </c>
      <c r="C43" s="6" t="str">
        <f aca="false">VLOOKUP($A43,'PARASTATAL Questions'!$A:$J,4,0)&amp;""</f>
        <v>SQ</v>
      </c>
      <c r="D43" s="6" t="str">
        <f aca="false">VLOOKUP($A43,'PARASTATAL Questions'!$A:$J,5,0)&amp;""</f>
        <v>Are accessible grievance-redressal channels available and functional in practice?</v>
      </c>
      <c r="E43" s="6" t="str">
        <f aca="false">VLOOKUP($A43,'PARASTATAL Questions'!$A:$J,7,0)&amp;""</f>
        <v>Implementation</v>
      </c>
      <c r="F43" s="6" t="n">
        <f aca="false">VLOOKUP($A43,'PARASTATAL Questions'!$A:$J,6,0)</f>
        <v>5</v>
      </c>
      <c r="G43" s="6" t="str">
        <f aca="true">IF($F43=0,"NA",IF($A43=INDIRECT("'"&amp;$A43&amp;"'!$B$1"),IF(VLOOKUP(G$1,INDIRECT("'"&amp;$A43&amp;"'!$A$12:$Z$19"),MATCH("Points (Auto-generate)",INDIRECT("'"&amp;$A43&amp;"'!$A$12:$Z$12"),0),0)="","?",VLOOKUP(G$1,INDIRECT("'"&amp;$A43&amp;"'!$A$12:$Z$19"),MATCH("Points (Auto-generate)",INDIRECT("'"&amp;$A43&amp;"'!$A$12:$Z$12"),0),0)),"ER"))</f>
        <v>?</v>
      </c>
      <c r="H43" s="6" t="str">
        <f aca="true">IF($F43=0,"NA",IF($A43=INDIRECT("'"&amp;$A43&amp;"'!$B$1"),IF(VLOOKUP(H$1,INDIRECT("'"&amp;$A43&amp;"'!$A$12:$Z$19"),MATCH("Points (Auto-generate)",INDIRECT("'"&amp;$A43&amp;"'!$A$12:$Z$12"),0),0)="","?",VLOOKUP(H$1,INDIRECT("'"&amp;$A43&amp;"'!$A$12:$Z$19"),MATCH("Points (Auto-generate)",INDIRECT("'"&amp;$A43&amp;"'!$A$12:$Z$12"),0),0)),"ER"))</f>
        <v>?</v>
      </c>
      <c r="I43" s="6" t="str">
        <f aca="true">IF($F43=0,"NA",IF($A43=INDIRECT("'"&amp;$A43&amp;"'!$B$1"),IF(VLOOKUP(I$1,INDIRECT("'"&amp;$A43&amp;"'!$A$12:$Z$19"),MATCH("Points (Auto-generate)",INDIRECT("'"&amp;$A43&amp;"'!$A$12:$Z$12"),0),0)="","?",VLOOKUP(I$1,INDIRECT("'"&amp;$A43&amp;"'!$A$12:$Z$19"),MATCH("Points (Auto-generate)",INDIRECT("'"&amp;$A43&amp;"'!$A$12:$Z$12"),0),0)),"ER"))</f>
        <v>?</v>
      </c>
      <c r="J43" s="6" t="str">
        <f aca="true">IF($F43=0,"NA",IF($A43=INDIRECT("'"&amp;$A43&amp;"'!$B$1"),IF(VLOOKUP(J$1,INDIRECT("'"&amp;$A43&amp;"'!$A$12:$Z$19"),MATCH("Points (Auto-generate)",INDIRECT("'"&amp;$A43&amp;"'!$A$12:$Z$12"),0),0)="","?",VLOOKUP(J$1,INDIRECT("'"&amp;$A43&amp;"'!$A$12:$Z$19"),MATCH("Points (Auto-generate)",INDIRECT("'"&amp;$A43&amp;"'!$A$12:$Z$12"),0),0)),"ER"))</f>
        <v>?</v>
      </c>
      <c r="K43" s="6" t="str">
        <f aca="true">IF($F43=0,"NA",IF($A43=INDIRECT("'"&amp;$A43&amp;"'!$B$1"),IF(VLOOKUP(K$1,INDIRECT("'"&amp;$A43&amp;"'!$A$12:$Z$19"),MATCH("Points (Auto-generate)",INDIRECT("'"&amp;$A43&amp;"'!$A$12:$Z$12"),0),0)="","?",VLOOKUP(K$1,INDIRECT("'"&amp;$A43&amp;"'!$A$12:$Z$19"),MATCH("Points (Auto-generate)",INDIRECT("'"&amp;$A43&amp;"'!$A$12:$Z$12"),0),0)),"ER"))</f>
        <v>?</v>
      </c>
      <c r="L43" s="6" t="str">
        <f aca="true">IF($F43=0,"NA",IF($A43=INDIRECT("'"&amp;$A43&amp;"'!$B$1"),IF(VLOOKUP(L$1,INDIRECT("'"&amp;$A43&amp;"'!$A$12:$Z$19"),MATCH("Points (Auto-generate)",INDIRECT("'"&amp;$A43&amp;"'!$A$12:$Z$12"),0),0)="","?",VLOOKUP(L$1,INDIRECT("'"&amp;$A43&amp;"'!$A$12:$Z$19"),MATCH("Points (Auto-generate)",INDIRECT("'"&amp;$A43&amp;"'!$A$12:$Z$12"),0),0)),"ER"))</f>
        <v>?</v>
      </c>
      <c r="M43" s="6" t="str">
        <f aca="true">IF($F43=0,"NA",IF($A43=INDIRECT("'"&amp;$A43&amp;"'!$B$1"),IF(VLOOKUP(M$1,INDIRECT("'"&amp;$A43&amp;"'!$A$12:$Z$19"),MATCH("Points (Auto-generate)",INDIRECT("'"&amp;$A43&amp;"'!$A$12:$Z$12"),0),0)="","?",VLOOKUP(M$1,INDIRECT("'"&amp;$A43&amp;"'!$A$12:$Z$19"),MATCH("Points (Auto-generate)",INDIRECT("'"&amp;$A43&amp;"'!$A$12:$Z$12"),0),0)),"ER"))</f>
        <v>?</v>
      </c>
    </row>
    <row r="44" customFormat="false" ht="15" hidden="false" customHeight="true" outlineLevel="0" collapsed="false">
      <c r="A44" s="8" t="s">
        <v>576</v>
      </c>
      <c r="B44" s="8" t="str">
        <f aca="false">VLOOKUP($A44,'PARASTATAL Questions'!$A:$J,3,0)&amp;""</f>
        <v>Decentralised Participatory Governance</v>
      </c>
      <c r="C44" s="8" t="str">
        <f aca="false">VLOOKUP($A44,'PARASTATAL Questions'!$A:$J,4,0)&amp;""</f>
        <v>MQ</v>
      </c>
      <c r="D44" s="8" t="str">
        <f aca="false">VLOOKUP($A44,'PARASTATAL Questions'!$A:$J,5,0)&amp;""</f>
        <v>Does the law mandate citizen participation in the preparation of plans for which the parastatal is responsible, and does the parastatal provide for such participation in practice?</v>
      </c>
      <c r="E44" s="8" t="str">
        <f aca="false">VLOOKUP($A44,'PARASTATAL Questions'!$A:$J,7,0)&amp;""</f>
        <v>Law/Policy</v>
      </c>
      <c r="F44" s="8" t="n">
        <f aca="false">VLOOKUP($A44,'PARASTATAL Questions'!$A:$J,6,0)</f>
        <v>10</v>
      </c>
      <c r="G44" s="8" t="n">
        <f aca="false">IF(OR(G45="ER",G46="ER"),"ER",IF(OR(G45="?",G46="?"),"?",IF(AND(G45="NA",G46="NA"),"NA",SUM(G45,G46)/((G45&lt;&gt;"NA")*$F$45+(G46&lt;&gt;"NA")*$F$46)*$F44)))</f>
        <v>2.5</v>
      </c>
      <c r="H44" s="8" t="str">
        <f aca="false">IF(OR(H45="ER",H46="ER"),"ER",IF(OR(H45="?",H46="?"),"?",IF(AND(H45="NA",H46="NA"),"NA",SUM(H45,H46)/((H45&lt;&gt;"NA")*$F$45+(H46&lt;&gt;"NA")*$F$46)*$F44)))</f>
        <v>?</v>
      </c>
      <c r="I44" s="8" t="str">
        <f aca="false">IF(OR(I45="ER",I46="ER"),"ER",IF(OR(I45="?",I46="?"),"?",IF(AND(I45="NA",I46="NA"),"NA",SUM(I45,I46)/((I45&lt;&gt;"NA")*$F$45+(I46&lt;&gt;"NA")*$F$46)*$F44)))</f>
        <v>NA</v>
      </c>
      <c r="J44" s="8" t="n">
        <f aca="false">IF(OR(J45="ER",J46="ER"),"ER",IF(OR(J45="?",J46="?"),"?",IF(AND(J45="NA",J46="NA"),"NA",SUM(J45,J46)/((J45&lt;&gt;"NA")*$F$45+(J46&lt;&gt;"NA")*$F$46)*$F44)))</f>
        <v>5</v>
      </c>
      <c r="K44" s="8" t="str">
        <f aca="false">IF(OR(K45="ER",K46="ER"),"ER",IF(OR(K45="?",K46="?"),"?",IF(AND(K45="NA",K46="NA"),"NA",SUM(K45,K46)/((K45&lt;&gt;"NA")*$F$45+(K46&lt;&gt;"NA")*$F$46)*$F44)))</f>
        <v>NA</v>
      </c>
      <c r="L44" s="8" t="str">
        <f aca="false">IF(OR(L45="ER",L46="ER"),"ER",IF(OR(L45="?",L46="?"),"?",IF(AND(L45="NA",L46="NA"),"NA",SUM(L45,L46)/((L45&lt;&gt;"NA")*$F$45+(L46&lt;&gt;"NA")*$F$46)*$F44)))</f>
        <v>NA</v>
      </c>
      <c r="M44" s="8" t="str">
        <f aca="false">IF(OR(M45="ER",M46="ER"),"ER",IF(OR(M45="?",M46="?"),"?",IF(AND(M45="NA",M46="NA"),"NA",SUM(M45,M46)/((M45&lt;&gt;"NA")*$F$45+(M46&lt;&gt;"NA")*$F$46)*$F44)))</f>
        <v>?</v>
      </c>
    </row>
    <row r="45" customFormat="false" ht="15" hidden="false" customHeight="true" outlineLevel="0" collapsed="false">
      <c r="A45" s="6" t="s">
        <v>424</v>
      </c>
      <c r="B45" s="6" t="str">
        <f aca="false">VLOOKUP($A45,'PARASTATAL Questions'!$A:$J,3,0)&amp;""</f>
        <v>Decentralised Participatory Governance</v>
      </c>
      <c r="C45" s="6" t="str">
        <f aca="false">VLOOKUP($A45,'PARASTATAL Questions'!$A:$J,4,0)&amp;""</f>
        <v>SQ</v>
      </c>
      <c r="D45" s="6" t="str">
        <f aca="false">VLOOKUP($A45,'PARASTATAL Questions'!$A:$J,5,0)&amp;""</f>
        <v>Is citizen participation in the preparation of the parastatal's plans mandated?</v>
      </c>
      <c r="E45" s="6" t="str">
        <f aca="false">VLOOKUP($A45,'PARASTATAL Questions'!$A:$J,7,0)&amp;""</f>
        <v>Law/Policy</v>
      </c>
      <c r="F45" s="6" t="n">
        <f aca="false">VLOOKUP($A45,'PARASTATAL Questions'!$A:$J,6,0)</f>
        <v>5</v>
      </c>
      <c r="G45" s="6" t="n">
        <f aca="true">IF($F45=0,"NA",IF($A45=INDIRECT("'"&amp;$A45&amp;"'!$B$1"),IF(VLOOKUP(G$1,INDIRECT("'"&amp;$A45&amp;"'!$A$12:$Z$19"),MATCH("Points (Auto-generate)",INDIRECT("'"&amp;$A45&amp;"'!$A$12:$Z$12"),0),0)="","?",VLOOKUP(G$1,INDIRECT("'"&amp;$A45&amp;"'!$A$12:$Z$19"),MATCH("Points (Auto-generate)",INDIRECT("'"&amp;$A45&amp;"'!$A$12:$Z$12"),0),0)),"ER"))</f>
        <v>0</v>
      </c>
      <c r="H45" s="6" t="n">
        <f aca="true">IF($F45=0,"NA",IF($A45=INDIRECT("'"&amp;$A45&amp;"'!$B$1"),IF(VLOOKUP(H$1,INDIRECT("'"&amp;$A45&amp;"'!$A$12:$Z$19"),MATCH("Points (Auto-generate)",INDIRECT("'"&amp;$A45&amp;"'!$A$12:$Z$12"),0),0)="","?",VLOOKUP(H$1,INDIRECT("'"&amp;$A45&amp;"'!$A$12:$Z$19"),MATCH("Points (Auto-generate)",INDIRECT("'"&amp;$A45&amp;"'!$A$12:$Z$12"),0),0)),"ER"))</f>
        <v>2.5</v>
      </c>
      <c r="I45" s="6" t="str">
        <f aca="true">IF($F45=0,"NA",IF($A45=INDIRECT("'"&amp;$A45&amp;"'!$B$1"),IF(VLOOKUP(I$1,INDIRECT("'"&amp;$A45&amp;"'!$A$12:$Z$19"),MATCH("Points (Auto-generate)",INDIRECT("'"&amp;$A45&amp;"'!$A$12:$Z$12"),0),0)="","?",VLOOKUP(I$1,INDIRECT("'"&amp;$A45&amp;"'!$A$12:$Z$19"),MATCH("Points (Auto-generate)",INDIRECT("'"&amp;$A45&amp;"'!$A$12:$Z$12"),0),0)),"ER"))</f>
        <v>NA</v>
      </c>
      <c r="J45" s="6" t="n">
        <f aca="true">IF($F45=0,"NA",IF($A45=INDIRECT("'"&amp;$A45&amp;"'!$B$1"),IF(VLOOKUP(J$1,INDIRECT("'"&amp;$A45&amp;"'!$A$12:$Z$19"),MATCH("Points (Auto-generate)",INDIRECT("'"&amp;$A45&amp;"'!$A$12:$Z$12"),0),0)="","?",VLOOKUP(J$1,INDIRECT("'"&amp;$A45&amp;"'!$A$12:$Z$19"),MATCH("Points (Auto-generate)",INDIRECT("'"&amp;$A45&amp;"'!$A$12:$Z$12"),0),0)),"ER"))</f>
        <v>2.5</v>
      </c>
      <c r="K45" s="6" t="str">
        <f aca="true">IF($F45=0,"NA",IF($A45=INDIRECT("'"&amp;$A45&amp;"'!$B$1"),IF(VLOOKUP(K$1,INDIRECT("'"&amp;$A45&amp;"'!$A$12:$Z$19"),MATCH("Points (Auto-generate)",INDIRECT("'"&amp;$A45&amp;"'!$A$12:$Z$12"),0),0)="","?",VLOOKUP(K$1,INDIRECT("'"&amp;$A45&amp;"'!$A$12:$Z$19"),MATCH("Points (Auto-generate)",INDIRECT("'"&amp;$A45&amp;"'!$A$12:$Z$12"),0),0)),"ER"))</f>
        <v>NA</v>
      </c>
      <c r="L45" s="6" t="str">
        <f aca="true">IF($F45=0,"NA",IF($A45=INDIRECT("'"&amp;$A45&amp;"'!$B$1"),IF(VLOOKUP(L$1,INDIRECT("'"&amp;$A45&amp;"'!$A$12:$Z$19"),MATCH("Points (Auto-generate)",INDIRECT("'"&amp;$A45&amp;"'!$A$12:$Z$12"),0),0)="","?",VLOOKUP(L$1,INDIRECT("'"&amp;$A45&amp;"'!$A$12:$Z$19"),MATCH("Points (Auto-generate)",INDIRECT("'"&amp;$A45&amp;"'!$A$12:$Z$12"),0),0)),"ER"))</f>
        <v>NA</v>
      </c>
      <c r="M45" s="6" t="str">
        <f aca="true">IF($F45=0,"NA",IF($A45=INDIRECT("'"&amp;$A45&amp;"'!$B$1"),IF(VLOOKUP(M$1,INDIRECT("'"&amp;$A45&amp;"'!$A$12:$Z$19"),MATCH("Points (Auto-generate)",INDIRECT("'"&amp;$A45&amp;"'!$A$12:$Z$12"),0),0)="","?",VLOOKUP(M$1,INDIRECT("'"&amp;$A45&amp;"'!$A$12:$Z$19"),MATCH("Points (Auto-generate)",INDIRECT("'"&amp;$A45&amp;"'!$A$12:$Z$12"),0),0)),"ER"))</f>
        <v>?</v>
      </c>
    </row>
    <row r="46" customFormat="false" ht="15" hidden="false" customHeight="true" outlineLevel="0" collapsed="false">
      <c r="A46" s="6" t="s">
        <v>436</v>
      </c>
      <c r="B46" s="6" t="str">
        <f aca="false">VLOOKUP($A46,'PARASTATAL Questions'!$A:$J,3,0)&amp;""</f>
        <v>Decentralised Participatory Governance</v>
      </c>
      <c r="C46" s="6" t="str">
        <f aca="false">VLOOKUP($A46,'PARASTATAL Questions'!$A:$J,4,0)&amp;""</f>
        <v>SQ</v>
      </c>
      <c r="D46" s="6" t="str">
        <f aca="false">VLOOKUP($A46,'PARASTATAL Questions'!$A:$J,5,0)&amp;""</f>
        <v>Are citizens consulted in practice in the preparation of plans by the parastatal?</v>
      </c>
      <c r="E46" s="6" t="str">
        <f aca="false">VLOOKUP($A46,'PARASTATAL Questions'!$A:$J,7,0)&amp;""</f>
        <v>Law/Policy</v>
      </c>
      <c r="F46" s="6" t="n">
        <f aca="false">VLOOKUP($A46,'PARASTATAL Questions'!$A:$J,6,0)</f>
        <v>5</v>
      </c>
      <c r="G46" s="6" t="n">
        <f aca="true">IF($F46=0,"NA",IF($A46=INDIRECT("'"&amp;$A46&amp;"'!$B$1"),IF(VLOOKUP(G$1,INDIRECT("'"&amp;$A46&amp;"'!$A$12:$Z$19"),MATCH("Points (Auto-generate)",INDIRECT("'"&amp;$A46&amp;"'!$A$12:$Z$12"),0),0)="","?",VLOOKUP(G$1,INDIRECT("'"&amp;$A46&amp;"'!$A$12:$Z$19"),MATCH("Points (Auto-generate)",INDIRECT("'"&amp;$A46&amp;"'!$A$12:$Z$12"),0),0)),"ER"))</f>
        <v>2.5</v>
      </c>
      <c r="H46" s="6" t="str">
        <f aca="true">IF($F46=0,"NA",IF($A46=INDIRECT("'"&amp;$A46&amp;"'!$B$1"),IF(VLOOKUP(H$1,INDIRECT("'"&amp;$A46&amp;"'!$A$12:$Z$19"),MATCH("Points (Auto-generate)",INDIRECT("'"&amp;$A46&amp;"'!$A$12:$Z$12"),0),0)="","?",VLOOKUP(H$1,INDIRECT("'"&amp;$A46&amp;"'!$A$12:$Z$19"),MATCH("Points (Auto-generate)",INDIRECT("'"&amp;$A46&amp;"'!$A$12:$Z$12"),0),0)),"ER"))</f>
        <v>?</v>
      </c>
      <c r="I46" s="6" t="str">
        <f aca="true">IF($F46=0,"NA",IF($A46=INDIRECT("'"&amp;$A46&amp;"'!$B$1"),IF(VLOOKUP(I$1,INDIRECT("'"&amp;$A46&amp;"'!$A$12:$Z$19"),MATCH("Points (Auto-generate)",INDIRECT("'"&amp;$A46&amp;"'!$A$12:$Z$12"),0),0)="","?",VLOOKUP(I$1,INDIRECT("'"&amp;$A46&amp;"'!$A$12:$Z$19"),MATCH("Points (Auto-generate)",INDIRECT("'"&amp;$A46&amp;"'!$A$12:$Z$12"),0),0)),"ER"))</f>
        <v>NA</v>
      </c>
      <c r="J46" s="6" t="n">
        <f aca="true">IF($F46=0,"NA",IF($A46=INDIRECT("'"&amp;$A46&amp;"'!$B$1"),IF(VLOOKUP(J$1,INDIRECT("'"&amp;$A46&amp;"'!$A$12:$Z$19"),MATCH("Points (Auto-generate)",INDIRECT("'"&amp;$A46&amp;"'!$A$12:$Z$12"),0),0)="","?",VLOOKUP(J$1,INDIRECT("'"&amp;$A46&amp;"'!$A$12:$Z$19"),MATCH("Points (Auto-generate)",INDIRECT("'"&amp;$A46&amp;"'!$A$12:$Z$12"),0),0)),"ER"))</f>
        <v>2.5</v>
      </c>
      <c r="K46" s="6" t="str">
        <f aca="true">IF($F46=0,"NA",IF($A46=INDIRECT("'"&amp;$A46&amp;"'!$B$1"),IF(VLOOKUP(K$1,INDIRECT("'"&amp;$A46&amp;"'!$A$12:$Z$19"),MATCH("Points (Auto-generate)",INDIRECT("'"&amp;$A46&amp;"'!$A$12:$Z$12"),0),0)="","?",VLOOKUP(K$1,INDIRECT("'"&amp;$A46&amp;"'!$A$12:$Z$19"),MATCH("Points (Auto-generate)",INDIRECT("'"&amp;$A46&amp;"'!$A$12:$Z$12"),0),0)),"ER"))</f>
        <v>NA</v>
      </c>
      <c r="L46" s="6" t="str">
        <f aca="true">IF($F46=0,"NA",IF($A46=INDIRECT("'"&amp;$A46&amp;"'!$B$1"),IF(VLOOKUP(L$1,INDIRECT("'"&amp;$A46&amp;"'!$A$12:$Z$19"),MATCH("Points (Auto-generate)",INDIRECT("'"&amp;$A46&amp;"'!$A$12:$Z$12"),0),0)="","?",VLOOKUP(L$1,INDIRECT("'"&amp;$A46&amp;"'!$A$12:$Z$19"),MATCH("Points (Auto-generate)",INDIRECT("'"&amp;$A46&amp;"'!$A$12:$Z$12"),0),0)),"ER"))</f>
        <v>NA</v>
      </c>
      <c r="M46" s="6" t="n">
        <f aca="true">IF($F46=0,"NA",IF($A46=INDIRECT("'"&amp;$A46&amp;"'!$B$1"),IF(VLOOKUP(M$1,INDIRECT("'"&amp;$A46&amp;"'!$A$12:$Z$19"),MATCH("Points (Auto-generate)",INDIRECT("'"&amp;$A46&amp;"'!$A$12:$Z$12"),0),0)="","?",VLOOKUP(M$1,INDIRECT("'"&amp;$A46&amp;"'!$A$12:$Z$19"),MATCH("Points (Auto-generate)",INDIRECT("'"&amp;$A46&amp;"'!$A$12:$Z$12"),0),0)),"ER"))</f>
        <v>2.5</v>
      </c>
    </row>
    <row r="47" customFormat="false" ht="15" hidden="false" customHeight="true" outlineLevel="0" collapsed="false">
      <c r="A47" s="8" t="s">
        <v>445</v>
      </c>
      <c r="B47" s="8" t="str">
        <f aca="false">VLOOKUP($A47,'PARASTATAL Questions'!$A:$J,3,0)&amp;""</f>
        <v>State Capacities</v>
      </c>
      <c r="C47" s="8" t="str">
        <f aca="false">VLOOKUP($A47,'PARASTATAL Questions'!$A:$J,4,0)&amp;""</f>
        <v>MQ</v>
      </c>
      <c r="D47" s="8" t="str">
        <f aca="false">VLOOKUP($A47,'PARASTATAL Questions'!$A:$J,5,0)&amp;""</f>
        <v>What proportion of the parastatal's total expenditure is financed through its own revenues?</v>
      </c>
      <c r="E47" s="8" t="str">
        <f aca="false">VLOOKUP($A47,'PARASTATAL Questions'!$A:$J,7,0)&amp;""</f>
        <v>Implementation (Numeric)</v>
      </c>
      <c r="F47" s="8" t="n">
        <f aca="false">VLOOKUP($A47,'PARASTATAL Questions'!$A:$J,6,0)</f>
        <v>10</v>
      </c>
      <c r="G47" s="8" t="str">
        <f aca="true">IF($F47=0,"NA",IF($A47=INDIRECT("'"&amp;$A47&amp;"'!$B$1"),IF(VLOOKUP(G$1,INDIRECT("'"&amp;$A47&amp;"'!$A$12:$Z$19"),MATCH("Points (Auto-generate)",INDIRECT("'"&amp;$A47&amp;"'!$A$12:$Z$12"),0),0)="","?",VLOOKUP(G$1,INDIRECT("'"&amp;$A47&amp;"'!$A$12:$Z$19"),MATCH("Points (Auto-generate)",INDIRECT("'"&amp;$A47&amp;"'!$A$12:$Z$12"),0),0)),"ER"))</f>
        <v>?</v>
      </c>
      <c r="H47" s="8" t="str">
        <f aca="true">IF($F47=0,"NA",IF($A47=INDIRECT("'"&amp;$A47&amp;"'!$B$1"),IF(VLOOKUP(H$1,INDIRECT("'"&amp;$A47&amp;"'!$A$12:$Z$19"),MATCH("Points (Auto-generate)",INDIRECT("'"&amp;$A47&amp;"'!$A$12:$Z$12"),0),0)="","?",VLOOKUP(H$1,INDIRECT("'"&amp;$A47&amp;"'!$A$12:$Z$19"),MATCH("Points (Auto-generate)",INDIRECT("'"&amp;$A47&amp;"'!$A$12:$Z$12"),0),0)),"ER"))</f>
        <v>?</v>
      </c>
      <c r="I47" s="8" t="str">
        <f aca="true">IF($F47=0,"NA",IF($A47=INDIRECT("'"&amp;$A47&amp;"'!$B$1"),IF(VLOOKUP(I$1,INDIRECT("'"&amp;$A47&amp;"'!$A$12:$Z$19"),MATCH("Points (Auto-generate)",INDIRECT("'"&amp;$A47&amp;"'!$A$12:$Z$12"),0),0)="","?",VLOOKUP(I$1,INDIRECT("'"&amp;$A47&amp;"'!$A$12:$Z$19"),MATCH("Points (Auto-generate)",INDIRECT("'"&amp;$A47&amp;"'!$A$12:$Z$12"),0),0)),"ER"))</f>
        <v>?</v>
      </c>
      <c r="J47" s="8" t="str">
        <f aca="true">IF($F47=0,"NA",IF($A47=INDIRECT("'"&amp;$A47&amp;"'!$B$1"),IF(VLOOKUP(J$1,INDIRECT("'"&amp;$A47&amp;"'!$A$12:$Z$19"),MATCH("Points (Auto-generate)",INDIRECT("'"&amp;$A47&amp;"'!$A$12:$Z$12"),0),0)="","?",VLOOKUP(J$1,INDIRECT("'"&amp;$A47&amp;"'!$A$12:$Z$19"),MATCH("Points (Auto-generate)",INDIRECT("'"&amp;$A47&amp;"'!$A$12:$Z$12"),0),0)),"ER"))</f>
        <v>NA</v>
      </c>
      <c r="K47" s="8" t="str">
        <f aca="true">IF($F47=0,"NA",IF($A47=INDIRECT("'"&amp;$A47&amp;"'!$B$1"),IF(VLOOKUP(K$1,INDIRECT("'"&amp;$A47&amp;"'!$A$12:$Z$19"),MATCH("Points (Auto-generate)",INDIRECT("'"&amp;$A47&amp;"'!$A$12:$Z$12"),0),0)="","?",VLOOKUP(K$1,INDIRECT("'"&amp;$A47&amp;"'!$A$12:$Z$19"),MATCH("Points (Auto-generate)",INDIRECT("'"&amp;$A47&amp;"'!$A$12:$Z$12"),0),0)),"ER"))</f>
        <v>NA</v>
      </c>
      <c r="L47" s="8" t="str">
        <f aca="true">IF($F47=0,"NA",IF($A47=INDIRECT("'"&amp;$A47&amp;"'!$B$1"),IF(VLOOKUP(L$1,INDIRECT("'"&amp;$A47&amp;"'!$A$12:$Z$19"),MATCH("Points (Auto-generate)",INDIRECT("'"&amp;$A47&amp;"'!$A$12:$Z$12"),0),0)="","?",VLOOKUP(L$1,INDIRECT("'"&amp;$A47&amp;"'!$A$12:$Z$19"),MATCH("Points (Auto-generate)",INDIRECT("'"&amp;$A47&amp;"'!$A$12:$Z$12"),0),0)),"ER"))</f>
        <v>NA</v>
      </c>
      <c r="M47" s="8" t="str">
        <f aca="true">IF($F47=0,"NA",IF($A47=INDIRECT("'"&amp;$A47&amp;"'!$B$1"),IF(VLOOKUP(M$1,INDIRECT("'"&amp;$A47&amp;"'!$A$12:$Z$19"),MATCH("Points (Auto-generate)",INDIRECT("'"&amp;$A47&amp;"'!$A$12:$Z$12"),0),0)="","?",VLOOKUP(M$1,INDIRECT("'"&amp;$A47&amp;"'!$A$12:$Z$19"),MATCH("Points (Auto-generate)",INDIRECT("'"&amp;$A47&amp;"'!$A$12:$Z$12"),0),0)),"ER"))</f>
        <v>NA</v>
      </c>
    </row>
    <row r="48" customFormat="false" ht="15" hidden="false" customHeight="true" outlineLevel="0" collapsed="false">
      <c r="A48" s="8" t="s">
        <v>451</v>
      </c>
      <c r="B48" s="8" t="str">
        <f aca="false">VLOOKUP($A48,'PARASTATAL Questions'!$A:$J,3,0)&amp;""</f>
        <v>State Capacities</v>
      </c>
      <c r="C48" s="8" t="str">
        <f aca="false">VLOOKUP($A48,'PARASTATAL Questions'!$A:$J,4,0)&amp;""</f>
        <v>MQ</v>
      </c>
      <c r="D48" s="8" t="str">
        <f aca="false">VLOOKUP($A48,'PARASTATAL Questions'!$A:$J,5,0)&amp;""</f>
        <v>What is the parastatal's per-capita capital expenditure?</v>
      </c>
      <c r="E48" s="8" t="str">
        <f aca="false">VLOOKUP($A48,'PARASTATAL Questions'!$A:$J,7,0)&amp;""</f>
        <v>Implementation (Numeric)</v>
      </c>
      <c r="F48" s="8" t="n">
        <f aca="false">VLOOKUP($A48,'PARASTATAL Questions'!$A:$J,6,0)</f>
        <v>10</v>
      </c>
      <c r="G48" s="8" t="str">
        <f aca="true">IF($F48=0,"NA",IF($A48=INDIRECT("'"&amp;$A48&amp;"'!$B$1"),IF(VLOOKUP(G$1,INDIRECT("'"&amp;$A48&amp;"'!$A$12:$Z$19"),MATCH("Points (Auto-generate)",INDIRECT("'"&amp;$A48&amp;"'!$A$12:$Z$12"),0),0)="","?",VLOOKUP(G$1,INDIRECT("'"&amp;$A48&amp;"'!$A$12:$Z$19"),MATCH("Points (Auto-generate)",INDIRECT("'"&amp;$A48&amp;"'!$A$12:$Z$12"),0),0)),"ER"))</f>
        <v>?</v>
      </c>
      <c r="H48" s="8" t="str">
        <f aca="true">IF($F48=0,"NA",IF($A48=INDIRECT("'"&amp;$A48&amp;"'!$B$1"),IF(VLOOKUP(H$1,INDIRECT("'"&amp;$A48&amp;"'!$A$12:$Z$19"),MATCH("Points (Auto-generate)",INDIRECT("'"&amp;$A48&amp;"'!$A$12:$Z$12"),0),0)="","?",VLOOKUP(H$1,INDIRECT("'"&amp;$A48&amp;"'!$A$12:$Z$19"),MATCH("Points (Auto-generate)",INDIRECT("'"&amp;$A48&amp;"'!$A$12:$Z$12"),0),0)),"ER"))</f>
        <v>?</v>
      </c>
      <c r="I48" s="8" t="str">
        <f aca="true">IF($F48=0,"NA",IF($A48=INDIRECT("'"&amp;$A48&amp;"'!$B$1"),IF(VLOOKUP(I$1,INDIRECT("'"&amp;$A48&amp;"'!$A$12:$Z$19"),MATCH("Points (Auto-generate)",INDIRECT("'"&amp;$A48&amp;"'!$A$12:$Z$12"),0),0)="","?",VLOOKUP(I$1,INDIRECT("'"&amp;$A48&amp;"'!$A$12:$Z$19"),MATCH("Points (Auto-generate)",INDIRECT("'"&amp;$A48&amp;"'!$A$12:$Z$12"),0),0)),"ER"))</f>
        <v>?</v>
      </c>
      <c r="J48" s="8" t="str">
        <f aca="true">IF($F48=0,"NA",IF($A48=INDIRECT("'"&amp;$A48&amp;"'!$B$1"),IF(VLOOKUP(J$1,INDIRECT("'"&amp;$A48&amp;"'!$A$12:$Z$19"),MATCH("Points (Auto-generate)",INDIRECT("'"&amp;$A48&amp;"'!$A$12:$Z$12"),0),0)="","?",VLOOKUP(J$1,INDIRECT("'"&amp;$A48&amp;"'!$A$12:$Z$19"),MATCH("Points (Auto-generate)",INDIRECT("'"&amp;$A48&amp;"'!$A$12:$Z$12"),0),0)),"ER"))</f>
        <v>?</v>
      </c>
      <c r="K48" s="8" t="str">
        <f aca="true">IF($F48=0,"NA",IF($A48=INDIRECT("'"&amp;$A48&amp;"'!$B$1"),IF(VLOOKUP(K$1,INDIRECT("'"&amp;$A48&amp;"'!$A$12:$Z$19"),MATCH("Points (Auto-generate)",INDIRECT("'"&amp;$A48&amp;"'!$A$12:$Z$12"),0),0)="","?",VLOOKUP(K$1,INDIRECT("'"&amp;$A48&amp;"'!$A$12:$Z$19"),MATCH("Points (Auto-generate)",INDIRECT("'"&amp;$A48&amp;"'!$A$12:$Z$12"),0),0)),"ER"))</f>
        <v>NA</v>
      </c>
      <c r="L48" s="8" t="str">
        <f aca="true">IF($F48=0,"NA",IF($A48=INDIRECT("'"&amp;$A48&amp;"'!$B$1"),IF(VLOOKUP(L$1,INDIRECT("'"&amp;$A48&amp;"'!$A$12:$Z$19"),MATCH("Points (Auto-generate)",INDIRECT("'"&amp;$A48&amp;"'!$A$12:$Z$12"),0),0)="","?",VLOOKUP(L$1,INDIRECT("'"&amp;$A48&amp;"'!$A$12:$Z$19"),MATCH("Points (Auto-generate)",INDIRECT("'"&amp;$A48&amp;"'!$A$12:$Z$12"),0),0)),"ER"))</f>
        <v>NA</v>
      </c>
      <c r="M48" s="8" t="str">
        <f aca="true">IF($F48=0,"NA",IF($A48=INDIRECT("'"&amp;$A48&amp;"'!$B$1"),IF(VLOOKUP(M$1,INDIRECT("'"&amp;$A48&amp;"'!$A$12:$Z$19"),MATCH("Points (Auto-generate)",INDIRECT("'"&amp;$A48&amp;"'!$A$12:$Z$12"),0),0)="","?",VLOOKUP(M$1,INDIRECT("'"&amp;$A48&amp;"'!$A$12:$Z$19"),MATCH("Points (Auto-generate)",INDIRECT("'"&amp;$A48&amp;"'!$A$12:$Z$12"),0),0)),"ER"))</f>
        <v>?</v>
      </c>
    </row>
    <row r="49" customFormat="false" ht="15" hidden="false" customHeight="true" outlineLevel="0" collapsed="false">
      <c r="A49" s="8" t="s">
        <v>461</v>
      </c>
      <c r="B49" s="8" t="str">
        <f aca="false">VLOOKUP($A49,'PARASTATAL Questions'!$A:$J,3,0)&amp;""</f>
        <v>State Capacities</v>
      </c>
      <c r="C49" s="8" t="str">
        <f aca="false">VLOOKUP($A49,'PARASTATAL Questions'!$A:$J,4,0)&amp;""</f>
        <v>MQ</v>
      </c>
      <c r="D49" s="8" t="str">
        <f aca="false">VLOOKUP($A49,'PARASTATAL Questions'!$A:$J,5,0)&amp;""</f>
        <v>How realistic is the parastatal's annual budget?</v>
      </c>
      <c r="E49" s="8" t="str">
        <f aca="false">VLOOKUP($A49,'PARASTATAL Questions'!$A:$J,7,0)&amp;""</f>
        <v>Implementation (Numeric)</v>
      </c>
      <c r="F49" s="8" t="n">
        <f aca="false">VLOOKUP($A49,'PARASTATAL Questions'!$A:$J,6,0)</f>
        <v>10</v>
      </c>
      <c r="G49" s="8" t="str">
        <f aca="true">IF($F49=0,"NA",IF($A49=INDIRECT("'"&amp;$A49&amp;"'!$B$1"),IF(VLOOKUP(G$1,INDIRECT("'"&amp;$A49&amp;"'!$A$12:$Z$19"),MATCH("Points (Auto-generate)",INDIRECT("'"&amp;$A49&amp;"'!$A$12:$Z$12"),0),0)="","?",VLOOKUP(G$1,INDIRECT("'"&amp;$A49&amp;"'!$A$12:$Z$19"),MATCH("Points (Auto-generate)",INDIRECT("'"&amp;$A49&amp;"'!$A$12:$Z$12"),0),0)),"ER"))</f>
        <v>?</v>
      </c>
      <c r="H49" s="8" t="str">
        <f aca="true">IF($F49=0,"NA",IF($A49=INDIRECT("'"&amp;$A49&amp;"'!$B$1"),IF(VLOOKUP(H$1,INDIRECT("'"&amp;$A49&amp;"'!$A$12:$Z$19"),MATCH("Points (Auto-generate)",INDIRECT("'"&amp;$A49&amp;"'!$A$12:$Z$12"),0),0)="","?",VLOOKUP(H$1,INDIRECT("'"&amp;$A49&amp;"'!$A$12:$Z$19"),MATCH("Points (Auto-generate)",INDIRECT("'"&amp;$A49&amp;"'!$A$12:$Z$12"),0),0)),"ER"))</f>
        <v>?</v>
      </c>
      <c r="I49" s="8" t="str">
        <f aca="true">IF($F49=0,"NA",IF($A49=INDIRECT("'"&amp;$A49&amp;"'!$B$1"),IF(VLOOKUP(I$1,INDIRECT("'"&amp;$A49&amp;"'!$A$12:$Z$19"),MATCH("Points (Auto-generate)",INDIRECT("'"&amp;$A49&amp;"'!$A$12:$Z$12"),0),0)="","?",VLOOKUP(I$1,INDIRECT("'"&amp;$A49&amp;"'!$A$12:$Z$19"),MATCH("Points (Auto-generate)",INDIRECT("'"&amp;$A49&amp;"'!$A$12:$Z$12"),0),0)),"ER"))</f>
        <v>?</v>
      </c>
      <c r="J49" s="8" t="str">
        <f aca="true">IF($F49=0,"NA",IF($A49=INDIRECT("'"&amp;$A49&amp;"'!$B$1"),IF(VLOOKUP(J$1,INDIRECT("'"&amp;$A49&amp;"'!$A$12:$Z$19"),MATCH("Points (Auto-generate)",INDIRECT("'"&amp;$A49&amp;"'!$A$12:$Z$12"),0),0)="","?",VLOOKUP(J$1,INDIRECT("'"&amp;$A49&amp;"'!$A$12:$Z$19"),MATCH("Points (Auto-generate)",INDIRECT("'"&amp;$A49&amp;"'!$A$12:$Z$12"),0),0)),"ER"))</f>
        <v>?</v>
      </c>
      <c r="K49" s="8" t="str">
        <f aca="true">IF($F49=0,"NA",IF($A49=INDIRECT("'"&amp;$A49&amp;"'!$B$1"),IF(VLOOKUP(K$1,INDIRECT("'"&amp;$A49&amp;"'!$A$12:$Z$19"),MATCH("Points (Auto-generate)",INDIRECT("'"&amp;$A49&amp;"'!$A$12:$Z$12"),0),0)="","?",VLOOKUP(K$1,INDIRECT("'"&amp;$A49&amp;"'!$A$12:$Z$19"),MATCH("Points (Auto-generate)",INDIRECT("'"&amp;$A49&amp;"'!$A$12:$Z$12"),0),0)),"ER"))</f>
        <v>?</v>
      </c>
      <c r="L49" s="8" t="str">
        <f aca="true">IF($F49=0,"NA",IF($A49=INDIRECT("'"&amp;$A49&amp;"'!$B$1"),IF(VLOOKUP(L$1,INDIRECT("'"&amp;$A49&amp;"'!$A$12:$Z$19"),MATCH("Points (Auto-generate)",INDIRECT("'"&amp;$A49&amp;"'!$A$12:$Z$12"),0),0)="","?",VLOOKUP(L$1,INDIRECT("'"&amp;$A49&amp;"'!$A$12:$Z$19"),MATCH("Points (Auto-generate)",INDIRECT("'"&amp;$A49&amp;"'!$A$12:$Z$12"),0),0)),"ER"))</f>
        <v>?</v>
      </c>
      <c r="M49" s="8" t="str">
        <f aca="true">IF($F49=0,"NA",IF($A49=INDIRECT("'"&amp;$A49&amp;"'!$B$1"),IF(VLOOKUP(M$1,INDIRECT("'"&amp;$A49&amp;"'!$A$12:$Z$19"),MATCH("Points (Auto-generate)",INDIRECT("'"&amp;$A49&amp;"'!$A$12:$Z$12"),0),0)="","?",VLOOKUP(M$1,INDIRECT("'"&amp;$A49&amp;"'!$A$12:$Z$19"),MATCH("Points (Auto-generate)",INDIRECT("'"&amp;$A49&amp;"'!$A$12:$Z$12"),0),0)),"ER"))</f>
        <v>?</v>
      </c>
    </row>
    <row r="50" customFormat="false" ht="15" hidden="false" customHeight="true" outlineLevel="0" collapsed="false">
      <c r="A50" s="8" t="s">
        <v>577</v>
      </c>
      <c r="B50" s="8" t="str">
        <f aca="false">VLOOKUP($A50,'PARASTATAL Questions'!$A:$J,3,0)&amp;""</f>
        <v>State Capacities</v>
      </c>
      <c r="C50" s="8" t="str">
        <f aca="false">VLOOKUP($A50,'PARASTATAL Questions'!$A:$J,4,0)&amp;""</f>
        <v>MQ</v>
      </c>
      <c r="D50" s="8" t="str">
        <f aca="false">VLOOKUP($A50,'PARASTATAL Questions'!$A:$J,5,0)&amp;""</f>
        <v>Is the parastatal mandated to prepare a medium-term and/or long-term fiscal plan, and has it prepared a current plan in accordance with that mandate?</v>
      </c>
      <c r="E50" s="8" t="str">
        <f aca="false">VLOOKUP($A50,'PARASTATAL Questions'!$A:$J,7,0)&amp;""</f>
        <v>Law/Policy</v>
      </c>
      <c r="F50" s="8" t="n">
        <f aca="false">VLOOKUP($A50,'PARASTATAL Questions'!$A:$J,6,0)</f>
        <v>10</v>
      </c>
      <c r="G50" s="8" t="str">
        <f aca="false">IF(OR(G51="ER",G52="ER"),"ER",IF(OR(G51="?",G52="?"),"?",IF(AND(G51="NA",G52="NA"),"NA",SUM(G51,G52)/((G51&lt;&gt;"NA")*$F$51+(G52&lt;&gt;"NA")*$F$52)*$F50)))</f>
        <v>?</v>
      </c>
      <c r="H50" s="8" t="str">
        <f aca="false">IF(OR(H51="ER",H52="ER"),"ER",IF(OR(H51="?",H52="?"),"?",IF(AND(H51="NA",H52="NA"),"NA",SUM(H51,H52)/((H51&lt;&gt;"NA")*$F$51+(H52&lt;&gt;"NA")*$F$52)*$F50)))</f>
        <v>?</v>
      </c>
      <c r="I50" s="8" t="str">
        <f aca="false">IF(OR(I51="ER",I52="ER"),"ER",IF(OR(I51="?",I52="?"),"?",IF(AND(I51="NA",I52="NA"),"NA",SUM(I51,I52)/((I51&lt;&gt;"NA")*$F$51+(I52&lt;&gt;"NA")*$F$52)*$F50)))</f>
        <v>?</v>
      </c>
      <c r="J50" s="8" t="str">
        <f aca="false">IF(OR(J51="ER",J52="ER"),"ER",IF(OR(J51="?",J52="?"),"?",IF(AND(J51="NA",J52="NA"),"NA",SUM(J51,J52)/((J51&lt;&gt;"NA")*$F$51+(J52&lt;&gt;"NA")*$F$52)*$F50)))</f>
        <v>?</v>
      </c>
      <c r="K50" s="8" t="str">
        <f aca="false">IF(OR(K51="ER",K52="ER"),"ER",IF(OR(K51="?",K52="?"),"?",IF(AND(K51="NA",K52="NA"),"NA",SUM(K51,K52)/((K51&lt;&gt;"NA")*$F$51+(K52&lt;&gt;"NA")*$F$52)*$F50)))</f>
        <v>?</v>
      </c>
      <c r="L50" s="8" t="str">
        <f aca="false">IF(OR(L51="ER",L52="ER"),"ER",IF(OR(L51="?",L52="?"),"?",IF(AND(L51="NA",L52="NA"),"NA",SUM(L51,L52)/((L51&lt;&gt;"NA")*$F$51+(L52&lt;&gt;"NA")*$F$52)*$F50)))</f>
        <v>?</v>
      </c>
      <c r="M50" s="8" t="str">
        <f aca="false">IF(OR(M51="ER",M52="ER"),"ER",IF(OR(M51="?",M52="?"),"?",IF(AND(M51="NA",M52="NA"),"NA",SUM(M51,M52)/((M51&lt;&gt;"NA")*$F$51+(M52&lt;&gt;"NA")*$F$52)*$F50)))</f>
        <v>?</v>
      </c>
    </row>
    <row r="51" customFormat="false" ht="15" hidden="false" customHeight="true" outlineLevel="0" collapsed="false">
      <c r="A51" s="6" t="s">
        <v>471</v>
      </c>
      <c r="B51" s="6" t="str">
        <f aca="false">VLOOKUP($A51,'PARASTATAL Questions'!$A:$J,3,0)&amp;""</f>
        <v>State Capacities</v>
      </c>
      <c r="C51" s="6" t="str">
        <f aca="false">VLOOKUP($A51,'PARASTATAL Questions'!$A:$J,4,0)&amp;""</f>
        <v>SQ</v>
      </c>
      <c r="D51" s="6" t="str">
        <f aca="false">VLOOKUP($A51,'PARASTATAL Questions'!$A:$J,5,0)&amp;""</f>
        <v>Is a medium-term (3-5 year) and/or long-term (&gt;5 year) fiscal plan legally mandated?</v>
      </c>
      <c r="E51" s="6" t="str">
        <f aca="false">VLOOKUP($A51,'PARASTATAL Questions'!$A:$J,7,0)&amp;""</f>
        <v>Law/Policy</v>
      </c>
      <c r="F51" s="6" t="n">
        <f aca="false">VLOOKUP($A51,'PARASTATAL Questions'!$A:$J,6,0)</f>
        <v>5</v>
      </c>
      <c r="G51" s="6" t="n">
        <f aca="true">IF($F51=0,"NA",IF($A51=INDIRECT("'"&amp;$A51&amp;"'!$B$1"),IF(VLOOKUP(G$1,INDIRECT("'"&amp;$A51&amp;"'!$A$12:$Z$19"),MATCH("Points (Auto-generate)",INDIRECT("'"&amp;$A51&amp;"'!$A$12:$Z$12"),0),0)="","?",VLOOKUP(G$1,INDIRECT("'"&amp;$A51&amp;"'!$A$12:$Z$19"),MATCH("Points (Auto-generate)",INDIRECT("'"&amp;$A51&amp;"'!$A$12:$Z$12"),0),0)),"ER"))</f>
        <v>0</v>
      </c>
      <c r="H51" s="6" t="n">
        <f aca="true">IF($F51=0,"NA",IF($A51=INDIRECT("'"&amp;$A51&amp;"'!$B$1"),IF(VLOOKUP(H$1,INDIRECT("'"&amp;$A51&amp;"'!$A$12:$Z$19"),MATCH("Points (Auto-generate)",INDIRECT("'"&amp;$A51&amp;"'!$A$12:$Z$12"),0),0)="","?",VLOOKUP(H$1,INDIRECT("'"&amp;$A51&amp;"'!$A$12:$Z$19"),MATCH("Points (Auto-generate)",INDIRECT("'"&amp;$A51&amp;"'!$A$12:$Z$12"),0),0)),"ER"))</f>
        <v>0</v>
      </c>
      <c r="I51" s="6" t="n">
        <f aca="true">IF($F51=0,"NA",IF($A51=INDIRECT("'"&amp;$A51&amp;"'!$B$1"),IF(VLOOKUP(I$1,INDIRECT("'"&amp;$A51&amp;"'!$A$12:$Z$19"),MATCH("Points (Auto-generate)",INDIRECT("'"&amp;$A51&amp;"'!$A$12:$Z$12"),0),0)="","?",VLOOKUP(I$1,INDIRECT("'"&amp;$A51&amp;"'!$A$12:$Z$19"),MATCH("Points (Auto-generate)",INDIRECT("'"&amp;$A51&amp;"'!$A$12:$Z$12"),0),0)),"ER"))</f>
        <v>0</v>
      </c>
      <c r="J51" s="6" t="n">
        <f aca="true">IF($F51=0,"NA",IF($A51=INDIRECT("'"&amp;$A51&amp;"'!$B$1"),IF(VLOOKUP(J$1,INDIRECT("'"&amp;$A51&amp;"'!$A$12:$Z$19"),MATCH("Points (Auto-generate)",INDIRECT("'"&amp;$A51&amp;"'!$A$12:$Z$12"),0),0)="","?",VLOOKUP(J$1,INDIRECT("'"&amp;$A51&amp;"'!$A$12:$Z$19"),MATCH("Points (Auto-generate)",INDIRECT("'"&amp;$A51&amp;"'!$A$12:$Z$12"),0),0)),"ER"))</f>
        <v>0</v>
      </c>
      <c r="K51" s="6" t="n">
        <f aca="true">IF($F51=0,"NA",IF($A51=INDIRECT("'"&amp;$A51&amp;"'!$B$1"),IF(VLOOKUP(K$1,INDIRECT("'"&amp;$A51&amp;"'!$A$12:$Z$19"),MATCH("Points (Auto-generate)",INDIRECT("'"&amp;$A51&amp;"'!$A$12:$Z$12"),0),0)="","?",VLOOKUP(K$1,INDIRECT("'"&amp;$A51&amp;"'!$A$12:$Z$19"),MATCH("Points (Auto-generate)",INDIRECT("'"&amp;$A51&amp;"'!$A$12:$Z$12"),0),0)),"ER"))</f>
        <v>0</v>
      </c>
      <c r="L51" s="6" t="str">
        <f aca="true">IF($F51=0,"NA",IF($A51=INDIRECT("'"&amp;$A51&amp;"'!$B$1"),IF(VLOOKUP(L$1,INDIRECT("'"&amp;$A51&amp;"'!$A$12:$Z$19"),MATCH("Points (Auto-generate)",INDIRECT("'"&amp;$A51&amp;"'!$A$12:$Z$12"),0),0)="","?",VLOOKUP(L$1,INDIRECT("'"&amp;$A51&amp;"'!$A$12:$Z$19"),MATCH("Points (Auto-generate)",INDIRECT("'"&amp;$A51&amp;"'!$A$12:$Z$12"),0),0)),"ER"))</f>
        <v>?</v>
      </c>
      <c r="M51" s="6" t="str">
        <f aca="true">IF($F51=0,"NA",IF($A51=INDIRECT("'"&amp;$A51&amp;"'!$B$1"),IF(VLOOKUP(M$1,INDIRECT("'"&amp;$A51&amp;"'!$A$12:$Z$19"),MATCH("Points (Auto-generate)",INDIRECT("'"&amp;$A51&amp;"'!$A$12:$Z$12"),0),0)="","?",VLOOKUP(M$1,INDIRECT("'"&amp;$A51&amp;"'!$A$12:$Z$19"),MATCH("Points (Auto-generate)",INDIRECT("'"&amp;$A51&amp;"'!$A$12:$Z$12"),0),0)),"ER"))</f>
        <v>?</v>
      </c>
    </row>
    <row r="52" customFormat="false" ht="15" hidden="false" customHeight="true" outlineLevel="0" collapsed="false">
      <c r="A52" s="6" t="s">
        <v>491</v>
      </c>
      <c r="B52" s="6" t="str">
        <f aca="false">VLOOKUP($A52,'PARASTATAL Questions'!$A:$J,3,0)&amp;""</f>
        <v>State Capacities</v>
      </c>
      <c r="C52" s="6" t="str">
        <f aca="false">VLOOKUP($A52,'PARASTATAL Questions'!$A:$J,4,0)&amp;""</f>
        <v>SQ</v>
      </c>
      <c r="D52" s="6" t="str">
        <f aca="false">VLOOKUP($A52,'PARASTATAL Questions'!$A:$J,5,0)&amp;""</f>
        <v>Is the medium/long-term fiscal plan publicly available?</v>
      </c>
      <c r="E52" s="6" t="str">
        <f aca="false">VLOOKUP($A52,'PARASTATAL Questions'!$A:$J,7,0)&amp;""</f>
        <v>Implementation</v>
      </c>
      <c r="F52" s="6" t="n">
        <f aca="false">VLOOKUP($A52,'PARASTATAL Questions'!$A:$J,6,0)</f>
        <v>5</v>
      </c>
      <c r="G52" s="6" t="str">
        <f aca="true">IF($F52=0,"NA",IF($A52=INDIRECT("'"&amp;$A52&amp;"'!$B$1"),IF(VLOOKUP(G$1,INDIRECT("'"&amp;$A52&amp;"'!$A$12:$Z$19"),MATCH("Points (Auto-generate)",INDIRECT("'"&amp;$A52&amp;"'!$A$12:$Z$12"),0),0)="","?",VLOOKUP(G$1,INDIRECT("'"&amp;$A52&amp;"'!$A$12:$Z$19"),MATCH("Points (Auto-generate)",INDIRECT("'"&amp;$A52&amp;"'!$A$12:$Z$12"),0),0)),"ER"))</f>
        <v>?</v>
      </c>
      <c r="H52" s="6" t="str">
        <f aca="true">IF($F52=0,"NA",IF($A52=INDIRECT("'"&amp;$A52&amp;"'!$B$1"),IF(VLOOKUP(H$1,INDIRECT("'"&amp;$A52&amp;"'!$A$12:$Z$19"),MATCH("Points (Auto-generate)",INDIRECT("'"&amp;$A52&amp;"'!$A$12:$Z$12"),0),0)="","?",VLOOKUP(H$1,INDIRECT("'"&amp;$A52&amp;"'!$A$12:$Z$19"),MATCH("Points (Auto-generate)",INDIRECT("'"&amp;$A52&amp;"'!$A$12:$Z$12"),0),0)),"ER"))</f>
        <v>?</v>
      </c>
      <c r="I52" s="6" t="str">
        <f aca="true">IF($F52=0,"NA",IF($A52=INDIRECT("'"&amp;$A52&amp;"'!$B$1"),IF(VLOOKUP(I$1,INDIRECT("'"&amp;$A52&amp;"'!$A$12:$Z$19"),MATCH("Points (Auto-generate)",INDIRECT("'"&amp;$A52&amp;"'!$A$12:$Z$12"),0),0)="","?",VLOOKUP(I$1,INDIRECT("'"&amp;$A52&amp;"'!$A$12:$Z$19"),MATCH("Points (Auto-generate)",INDIRECT("'"&amp;$A52&amp;"'!$A$12:$Z$12"),0),0)),"ER"))</f>
        <v>?</v>
      </c>
      <c r="J52" s="6" t="str">
        <f aca="true">IF($F52=0,"NA",IF($A52=INDIRECT("'"&amp;$A52&amp;"'!$B$1"),IF(VLOOKUP(J$1,INDIRECT("'"&amp;$A52&amp;"'!$A$12:$Z$19"),MATCH("Points (Auto-generate)",INDIRECT("'"&amp;$A52&amp;"'!$A$12:$Z$12"),0),0)="","?",VLOOKUP(J$1,INDIRECT("'"&amp;$A52&amp;"'!$A$12:$Z$19"),MATCH("Points (Auto-generate)",INDIRECT("'"&amp;$A52&amp;"'!$A$12:$Z$12"),0),0)),"ER"))</f>
        <v>?</v>
      </c>
      <c r="K52" s="6" t="str">
        <f aca="true">IF($F52=0,"NA",IF($A52=INDIRECT("'"&amp;$A52&amp;"'!$B$1"),IF(VLOOKUP(K$1,INDIRECT("'"&amp;$A52&amp;"'!$A$12:$Z$19"),MATCH("Points (Auto-generate)",INDIRECT("'"&amp;$A52&amp;"'!$A$12:$Z$12"),0),0)="","?",VLOOKUP(K$1,INDIRECT("'"&amp;$A52&amp;"'!$A$12:$Z$19"),MATCH("Points (Auto-generate)",INDIRECT("'"&amp;$A52&amp;"'!$A$12:$Z$12"),0),0)),"ER"))</f>
        <v>?</v>
      </c>
      <c r="L52" s="6" t="str">
        <f aca="true">IF($F52=0,"NA",IF($A52=INDIRECT("'"&amp;$A52&amp;"'!$B$1"),IF(VLOOKUP(L$1,INDIRECT("'"&amp;$A52&amp;"'!$A$12:$Z$19"),MATCH("Points (Auto-generate)",INDIRECT("'"&amp;$A52&amp;"'!$A$12:$Z$12"),0),0)="","?",VLOOKUP(L$1,INDIRECT("'"&amp;$A52&amp;"'!$A$12:$Z$19"),MATCH("Points (Auto-generate)",INDIRECT("'"&amp;$A52&amp;"'!$A$12:$Z$12"),0),0)),"ER"))</f>
        <v>?</v>
      </c>
      <c r="M52" s="6" t="str">
        <f aca="true">IF($F52=0,"NA",IF($A52=INDIRECT("'"&amp;$A52&amp;"'!$B$1"),IF(VLOOKUP(M$1,INDIRECT("'"&amp;$A52&amp;"'!$A$12:$Z$19"),MATCH("Points (Auto-generate)",INDIRECT("'"&amp;$A52&amp;"'!$A$12:$Z$12"),0),0)="","?",VLOOKUP(M$1,INDIRECT("'"&amp;$A52&amp;"'!$A$12:$Z$19"),MATCH("Points (Auto-generate)",INDIRECT("'"&amp;$A52&amp;"'!$A$12:$Z$12"),0),0)),"ER"))</f>
        <v>?</v>
      </c>
    </row>
    <row r="53" customFormat="false" ht="15" hidden="false" customHeight="true" outlineLevel="0" collapsed="false">
      <c r="A53" s="8" t="s">
        <v>503</v>
      </c>
      <c r="B53" s="8" t="str">
        <f aca="false">VLOOKUP($A53,'PARASTATAL Questions'!$A:$J,3,0)&amp;""</f>
        <v>State Capacities</v>
      </c>
      <c r="C53" s="8" t="str">
        <f aca="false">VLOOKUP($A53,'PARASTATAL Questions'!$A:$J,4,0)&amp;""</f>
        <v>MQ</v>
      </c>
      <c r="D53" s="8" t="str">
        <f aca="false">VLOOKUP($A53,'PARASTATAL Questions'!$A:$J,5,0)&amp;""</f>
        <v>Does the law mandate a minimum tenure for the executive authority of the parastatal?</v>
      </c>
      <c r="E53" s="8" t="str">
        <f aca="false">VLOOKUP($A53,'PARASTATAL Questions'!$A:$J,7,0)&amp;""</f>
        <v>Law/Policy</v>
      </c>
      <c r="F53" s="8" t="n">
        <f aca="false">VLOOKUP($A53,'PARASTATAL Questions'!$A:$J,6,0)</f>
        <v>10</v>
      </c>
      <c r="G53" s="8" t="n">
        <f aca="true">IF($F53=0,"NA",IF($A53=INDIRECT("'"&amp;$A53&amp;"'!$B$1"),IF(VLOOKUP(G$1,INDIRECT("'"&amp;$A53&amp;"'!$A$12:$Z$19"),MATCH("Points (Auto-generate)",INDIRECT("'"&amp;$A53&amp;"'!$A$12:$Z$12"),0),0)="","?",VLOOKUP(G$1,INDIRECT("'"&amp;$A53&amp;"'!$A$12:$Z$19"),MATCH("Points (Auto-generate)",INDIRECT("'"&amp;$A53&amp;"'!$A$12:$Z$12"),0),0)),"ER"))</f>
        <v>0</v>
      </c>
      <c r="H53" s="8" t="str">
        <f aca="true">IF($F53=0,"NA",IF($A53=INDIRECT("'"&amp;$A53&amp;"'!$B$1"),IF(VLOOKUP(H$1,INDIRECT("'"&amp;$A53&amp;"'!$A$12:$Z$19"),MATCH("Points (Auto-generate)",INDIRECT("'"&amp;$A53&amp;"'!$A$12:$Z$12"),0),0)="","?",VLOOKUP(H$1,INDIRECT("'"&amp;$A53&amp;"'!$A$12:$Z$19"),MATCH("Points (Auto-generate)",INDIRECT("'"&amp;$A53&amp;"'!$A$12:$Z$12"),0),0)),"ER"))</f>
        <v>?</v>
      </c>
      <c r="I53" s="8" t="n">
        <f aca="true">IF($F53=0,"NA",IF($A53=INDIRECT("'"&amp;$A53&amp;"'!$B$1"),IF(VLOOKUP(I$1,INDIRECT("'"&amp;$A53&amp;"'!$A$12:$Z$19"),MATCH("Points (Auto-generate)",INDIRECT("'"&amp;$A53&amp;"'!$A$12:$Z$12"),0),0)="","?",VLOOKUP(I$1,INDIRECT("'"&amp;$A53&amp;"'!$A$12:$Z$19"),MATCH("Points (Auto-generate)",INDIRECT("'"&amp;$A53&amp;"'!$A$12:$Z$12"),0),0)),"ER"))</f>
        <v>0</v>
      </c>
      <c r="J53" s="8" t="n">
        <f aca="true">IF($F53=0,"NA",IF($A53=INDIRECT("'"&amp;$A53&amp;"'!$B$1"),IF(VLOOKUP(J$1,INDIRECT("'"&amp;$A53&amp;"'!$A$12:$Z$19"),MATCH("Points (Auto-generate)",INDIRECT("'"&amp;$A53&amp;"'!$A$12:$Z$12"),0),0)="","?",VLOOKUP(J$1,INDIRECT("'"&amp;$A53&amp;"'!$A$12:$Z$19"),MATCH("Points (Auto-generate)",INDIRECT("'"&amp;$A53&amp;"'!$A$12:$Z$12"),0),0)),"ER"))</f>
        <v>0</v>
      </c>
      <c r="K53" s="8" t="str">
        <f aca="true">IF($F53=0,"NA",IF($A53=INDIRECT("'"&amp;$A53&amp;"'!$B$1"),IF(VLOOKUP(K$1,INDIRECT("'"&amp;$A53&amp;"'!$A$12:$Z$19"),MATCH("Points (Auto-generate)",INDIRECT("'"&amp;$A53&amp;"'!$A$12:$Z$12"),0),0)="","?",VLOOKUP(K$1,INDIRECT("'"&amp;$A53&amp;"'!$A$12:$Z$19"),MATCH("Points (Auto-generate)",INDIRECT("'"&amp;$A53&amp;"'!$A$12:$Z$12"),0),0)),"ER"))</f>
        <v>?</v>
      </c>
      <c r="L53" s="8" t="str">
        <f aca="true">IF($F53=0,"NA",IF($A53=INDIRECT("'"&amp;$A53&amp;"'!$B$1"),IF(VLOOKUP(L$1,INDIRECT("'"&amp;$A53&amp;"'!$A$12:$Z$19"),MATCH("Points (Auto-generate)",INDIRECT("'"&amp;$A53&amp;"'!$A$12:$Z$12"),0),0)="","?",VLOOKUP(L$1,INDIRECT("'"&amp;$A53&amp;"'!$A$12:$Z$19"),MATCH("Points (Auto-generate)",INDIRECT("'"&amp;$A53&amp;"'!$A$12:$Z$12"),0),0)),"ER"))</f>
        <v>?</v>
      </c>
      <c r="M53" s="8" t="str">
        <f aca="true">IF($F53=0,"NA",IF($A53=INDIRECT("'"&amp;$A53&amp;"'!$B$1"),IF(VLOOKUP(M$1,INDIRECT("'"&amp;$A53&amp;"'!$A$12:$Z$19"),MATCH("Points (Auto-generate)",INDIRECT("'"&amp;$A53&amp;"'!$A$12:$Z$12"),0),0)="","?",VLOOKUP(M$1,INDIRECT("'"&amp;$A53&amp;"'!$A$12:$Z$19"),MATCH("Points (Auto-generate)",INDIRECT("'"&amp;$A53&amp;"'!$A$12:$Z$12"),0),0)),"ER"))</f>
        <v>?</v>
      </c>
    </row>
    <row r="54" customFormat="false" ht="15" hidden="false" customHeight="true" outlineLevel="0" collapsed="false">
      <c r="A54" s="8" t="s">
        <v>519</v>
      </c>
      <c r="B54" s="8" t="str">
        <f aca="false">VLOOKUP($A54,'PARASTATAL Questions'!$A:$J,3,0)&amp;""</f>
        <v>State Capacities</v>
      </c>
      <c r="C54" s="8" t="str">
        <f aca="false">VLOOKUP($A54,'PARASTATAL Questions'!$A:$J,4,0)&amp;""</f>
        <v>MQ</v>
      </c>
      <c r="D54" s="8" t="str">
        <f aca="false">VLOOKUP($A54,'PARASTATAL Questions'!$A:$J,5,0)&amp;""</f>
        <v>What is the average tenure of the chief executive/executive authority of the parastatal?</v>
      </c>
      <c r="E54" s="8" t="str">
        <f aca="false">VLOOKUP($A54,'PARASTATAL Questions'!$A:$J,7,0)&amp;""</f>
        <v>Implementation (Numeric)</v>
      </c>
      <c r="F54" s="8" t="n">
        <f aca="false">VLOOKUP($A54,'PARASTATAL Questions'!$A:$J,6,0)</f>
        <v>10</v>
      </c>
      <c r="G54" s="8" t="str">
        <f aca="true">IF($F54=0,"NA",IF($A54=INDIRECT("'"&amp;$A54&amp;"'!$B$1"),IF(VLOOKUP(G$1,INDIRECT("'"&amp;$A54&amp;"'!$A$12:$Z$19"),MATCH("Points (Auto-generate)",INDIRECT("'"&amp;$A54&amp;"'!$A$12:$Z$12"),0),0)="","?",VLOOKUP(G$1,INDIRECT("'"&amp;$A54&amp;"'!$A$12:$Z$19"),MATCH("Points (Auto-generate)",INDIRECT("'"&amp;$A54&amp;"'!$A$12:$Z$12"),0),0)),"ER"))</f>
        <v>?</v>
      </c>
      <c r="H54" s="8" t="str">
        <f aca="true">IF($F54=0,"NA",IF($A54=INDIRECT("'"&amp;$A54&amp;"'!$B$1"),IF(VLOOKUP(H$1,INDIRECT("'"&amp;$A54&amp;"'!$A$12:$Z$19"),MATCH("Points (Auto-generate)",INDIRECT("'"&amp;$A54&amp;"'!$A$12:$Z$12"),0),0)="","?",VLOOKUP(H$1,INDIRECT("'"&amp;$A54&amp;"'!$A$12:$Z$19"),MATCH("Points (Auto-generate)",INDIRECT("'"&amp;$A54&amp;"'!$A$12:$Z$12"),0),0)),"ER"))</f>
        <v>?</v>
      </c>
      <c r="I54" s="8" t="str">
        <f aca="true">IF($F54=0,"NA",IF($A54=INDIRECT("'"&amp;$A54&amp;"'!$B$1"),IF(VLOOKUP(I$1,INDIRECT("'"&amp;$A54&amp;"'!$A$12:$Z$19"),MATCH("Points (Auto-generate)",INDIRECT("'"&amp;$A54&amp;"'!$A$12:$Z$12"),0),0)="","?",VLOOKUP(I$1,INDIRECT("'"&amp;$A54&amp;"'!$A$12:$Z$19"),MATCH("Points (Auto-generate)",INDIRECT("'"&amp;$A54&amp;"'!$A$12:$Z$12"),0),0)),"ER"))</f>
        <v>?</v>
      </c>
      <c r="J54" s="8" t="str">
        <f aca="true">IF($F54=0,"NA",IF($A54=INDIRECT("'"&amp;$A54&amp;"'!$B$1"),IF(VLOOKUP(J$1,INDIRECT("'"&amp;$A54&amp;"'!$A$12:$Z$19"),MATCH("Points (Auto-generate)",INDIRECT("'"&amp;$A54&amp;"'!$A$12:$Z$12"),0),0)="","?",VLOOKUP(J$1,INDIRECT("'"&amp;$A54&amp;"'!$A$12:$Z$19"),MATCH("Points (Auto-generate)",INDIRECT("'"&amp;$A54&amp;"'!$A$12:$Z$12"),0),0)),"ER"))</f>
        <v>?</v>
      </c>
      <c r="K54" s="8" t="str">
        <f aca="true">IF($F54=0,"NA",IF($A54=INDIRECT("'"&amp;$A54&amp;"'!$B$1"),IF(VLOOKUP(K$1,INDIRECT("'"&amp;$A54&amp;"'!$A$12:$Z$19"),MATCH("Points (Auto-generate)",INDIRECT("'"&amp;$A54&amp;"'!$A$12:$Z$12"),0),0)="","?",VLOOKUP(K$1,INDIRECT("'"&amp;$A54&amp;"'!$A$12:$Z$19"),MATCH("Points (Auto-generate)",INDIRECT("'"&amp;$A54&amp;"'!$A$12:$Z$12"),0),0)),"ER"))</f>
        <v>?</v>
      </c>
      <c r="L54" s="8" t="str">
        <f aca="true">IF($F54=0,"NA",IF($A54=INDIRECT("'"&amp;$A54&amp;"'!$B$1"),IF(VLOOKUP(L$1,INDIRECT("'"&amp;$A54&amp;"'!$A$12:$Z$19"),MATCH("Points (Auto-generate)",INDIRECT("'"&amp;$A54&amp;"'!$A$12:$Z$12"),0),0)="","?",VLOOKUP(L$1,INDIRECT("'"&amp;$A54&amp;"'!$A$12:$Z$19"),MATCH("Points (Auto-generate)",INDIRECT("'"&amp;$A54&amp;"'!$A$12:$Z$12"),0),0)),"ER"))</f>
        <v>?</v>
      </c>
      <c r="M54" s="8" t="str">
        <f aca="true">IF($F54=0,"NA",IF($A54=INDIRECT("'"&amp;$A54&amp;"'!$B$1"),IF(VLOOKUP(M$1,INDIRECT("'"&amp;$A54&amp;"'!$A$12:$Z$19"),MATCH("Points (Auto-generate)",INDIRECT("'"&amp;$A54&amp;"'!$A$12:$Z$12"),0),0)="","?",VLOOKUP(M$1,INDIRECT("'"&amp;$A54&amp;"'!$A$12:$Z$19"),MATCH("Points (Auto-generate)",INDIRECT("'"&amp;$A54&amp;"'!$A$12:$Z$12"),0),0)),"ER"))</f>
        <v>?</v>
      </c>
    </row>
    <row r="55" customFormat="false" ht="15" hidden="false" customHeight="true" outlineLevel="0" collapsed="false">
      <c r="A55" s="8" t="s">
        <v>578</v>
      </c>
      <c r="B55" s="8" t="str">
        <f aca="false">VLOOKUP($A55,'PARASTATAL Questions'!$A:$J,3,0)&amp;""</f>
        <v>State Capacities</v>
      </c>
      <c r="C55" s="8" t="str">
        <f aca="false">VLOOKUP($A55,'PARASTATAL Questions'!$A:$J,4,0)&amp;""</f>
        <v>MQ</v>
      </c>
      <c r="D55" s="8" t="str">
        <f aca="false">VLOOKUP($A55,'PARASTATAL Questions'!$A:$J,5,0)&amp;""</f>
        <v>Does the parastatal have adequate and representative staffing capacity to discharge its mandate?</v>
      </c>
      <c r="E55" s="8" t="str">
        <f aca="false">VLOOKUP($A55,'PARASTATAL Questions'!$A:$J,7,0)&amp;""</f>
        <v>Implementation (Numeric)</v>
      </c>
      <c r="F55" s="8" t="n">
        <f aca="false">VLOOKUP($A55,'PARASTATAL Questions'!$A:$J,6,0)</f>
        <v>10</v>
      </c>
      <c r="G55" s="8" t="str">
        <f aca="false">IF(OR(G56="ER",G57="ER"),"ER",IF(OR(G56="?",G57="?"),"?",IF(AND(G56="NA",G57="NA"),"NA",SUM(G56,G57)/((G56&lt;&gt;"NA")*$F$56+(G57&lt;&gt;"NA")*$F$57)*$F55)))</f>
        <v>?</v>
      </c>
      <c r="H55" s="8" t="str">
        <f aca="false">IF(OR(H56="ER",H57="ER"),"ER",IF(OR(H56="?",H57="?"),"?",IF(AND(H56="NA",H57="NA"),"NA",SUM(H56,H57)/((H56&lt;&gt;"NA")*$F$56+(H57&lt;&gt;"NA")*$F$57)*$F55)))</f>
        <v>?</v>
      </c>
      <c r="I55" s="8" t="str">
        <f aca="false">IF(OR(I56="ER",I57="ER"),"ER",IF(OR(I56="?",I57="?"),"?",IF(AND(I56="NA",I57="NA"),"NA",SUM(I56,I57)/((I56&lt;&gt;"NA")*$F$56+(I57&lt;&gt;"NA")*$F$57)*$F55)))</f>
        <v>?</v>
      </c>
      <c r="J55" s="8" t="str">
        <f aca="false">IF(OR(J56="ER",J57="ER"),"ER",IF(OR(J56="?",J57="?"),"?",IF(AND(J56="NA",J57="NA"),"NA",SUM(J56,J57)/((J56&lt;&gt;"NA")*$F$56+(J57&lt;&gt;"NA")*$F$57)*$F55)))</f>
        <v>?</v>
      </c>
      <c r="K55" s="8" t="str">
        <f aca="false">IF(OR(K56="ER",K57="ER"),"ER",IF(OR(K56="?",K57="?"),"?",IF(AND(K56="NA",K57="NA"),"NA",SUM(K56,K57)/((K56&lt;&gt;"NA")*$F$56+(K57&lt;&gt;"NA")*$F$57)*$F55)))</f>
        <v>?</v>
      </c>
      <c r="L55" s="8" t="str">
        <f aca="false">IF(OR(L56="ER",L57="ER"),"ER",IF(OR(L56="?",L57="?"),"?",IF(AND(L56="NA",L57="NA"),"NA",SUM(L56,L57)/((L56&lt;&gt;"NA")*$F$56+(L57&lt;&gt;"NA")*$F$57)*$F55)))</f>
        <v>?</v>
      </c>
      <c r="M55" s="8" t="str">
        <f aca="false">IF(OR(M56="ER",M57="ER"),"ER",IF(OR(M56="?",M57="?"),"?",IF(AND(M56="NA",M57="NA"),"NA",SUM(M56,M57)/((M56&lt;&gt;"NA")*$F$56+(M57&lt;&gt;"NA")*$F$57)*$F55)))</f>
        <v>?</v>
      </c>
    </row>
    <row r="56" customFormat="false" ht="15" hidden="false" customHeight="true" outlineLevel="0" collapsed="false">
      <c r="A56" s="6" t="s">
        <v>529</v>
      </c>
      <c r="B56" s="6" t="str">
        <f aca="false">VLOOKUP($A56,'PARASTATAL Questions'!$A:$J,3,0)&amp;""</f>
        <v>State Capacities</v>
      </c>
      <c r="C56" s="6" t="str">
        <f aca="false">VLOOKUP($A56,'PARASTATAL Questions'!$A:$J,4,0)&amp;""</f>
        <v>SQ</v>
      </c>
      <c r="D56" s="6" t="str">
        <f aca="false">VLOOKUP($A56,'PARASTATAL Questions'!$A:$J,5,0)&amp;""</f>
        <v>Does the parastatal have adequate staffing capacity to discharge its mandate?</v>
      </c>
      <c r="E56" s="6" t="str">
        <f aca="false">VLOOKUP($A56,'PARASTATAL Questions'!$A:$J,7,0)&amp;""</f>
        <v>Implementation (Numeric)</v>
      </c>
      <c r="F56" s="6" t="n">
        <f aca="false">VLOOKUP($A56,'PARASTATAL Questions'!$A:$J,6,0)</f>
        <v>5</v>
      </c>
      <c r="G56" s="6" t="n">
        <f aca="true">IF($F56=0,"NA",IF($A56=INDIRECT("'"&amp;$A56&amp;"'!$B$1"),IF(VLOOKUP(G$1,INDIRECT("'"&amp;$A56&amp;"'!$A$12:$Z$19"),MATCH("Points (Auto-generate)",INDIRECT("'"&amp;$A56&amp;"'!$A$12:$Z$12"),0),0)="","?",VLOOKUP(G$1,INDIRECT("'"&amp;$A56&amp;"'!$A$12:$Z$19"),MATCH("Points (Auto-generate)",INDIRECT("'"&amp;$A56&amp;"'!$A$12:$Z$12"),0),0)),"ER"))</f>
        <v>3</v>
      </c>
      <c r="H56" s="6" t="str">
        <f aca="true">IF($F56=0,"NA",IF($A56=INDIRECT("'"&amp;$A56&amp;"'!$B$1"),IF(VLOOKUP(H$1,INDIRECT("'"&amp;$A56&amp;"'!$A$12:$Z$19"),MATCH("Points (Auto-generate)",INDIRECT("'"&amp;$A56&amp;"'!$A$12:$Z$12"),0),0)="","?",VLOOKUP(H$1,INDIRECT("'"&amp;$A56&amp;"'!$A$12:$Z$19"),MATCH("Points (Auto-generate)",INDIRECT("'"&amp;$A56&amp;"'!$A$12:$Z$12"),0),0)),"ER"))</f>
        <v>?</v>
      </c>
      <c r="I56" s="6" t="str">
        <f aca="true">IF($F56=0,"NA",IF($A56=INDIRECT("'"&amp;$A56&amp;"'!$B$1"),IF(VLOOKUP(I$1,INDIRECT("'"&amp;$A56&amp;"'!$A$12:$Z$19"),MATCH("Points (Auto-generate)",INDIRECT("'"&amp;$A56&amp;"'!$A$12:$Z$12"),0),0)="","?",VLOOKUP(I$1,INDIRECT("'"&amp;$A56&amp;"'!$A$12:$Z$19"),MATCH("Points (Auto-generate)",INDIRECT("'"&amp;$A56&amp;"'!$A$12:$Z$12"),0),0)),"ER"))</f>
        <v>?</v>
      </c>
      <c r="J56" s="6" t="str">
        <f aca="true">IF($F56=0,"NA",IF($A56=INDIRECT("'"&amp;$A56&amp;"'!$B$1"),IF(VLOOKUP(J$1,INDIRECT("'"&amp;$A56&amp;"'!$A$12:$Z$19"),MATCH("Points (Auto-generate)",INDIRECT("'"&amp;$A56&amp;"'!$A$12:$Z$12"),0),0)="","?",VLOOKUP(J$1,INDIRECT("'"&amp;$A56&amp;"'!$A$12:$Z$19"),MATCH("Points (Auto-generate)",INDIRECT("'"&amp;$A56&amp;"'!$A$12:$Z$12"),0),0)),"ER"))</f>
        <v>?</v>
      </c>
      <c r="K56" s="6" t="str">
        <f aca="true">IF($F56=0,"NA",IF($A56=INDIRECT("'"&amp;$A56&amp;"'!$B$1"),IF(VLOOKUP(K$1,INDIRECT("'"&amp;$A56&amp;"'!$A$12:$Z$19"),MATCH("Points (Auto-generate)",INDIRECT("'"&amp;$A56&amp;"'!$A$12:$Z$12"),0),0)="","?",VLOOKUP(K$1,INDIRECT("'"&amp;$A56&amp;"'!$A$12:$Z$19"),MATCH("Points (Auto-generate)",INDIRECT("'"&amp;$A56&amp;"'!$A$12:$Z$12"),0),0)),"ER"))</f>
        <v>?</v>
      </c>
      <c r="L56" s="6" t="str">
        <f aca="true">IF($F56=0,"NA",IF($A56=INDIRECT("'"&amp;$A56&amp;"'!$B$1"),IF(VLOOKUP(L$1,INDIRECT("'"&amp;$A56&amp;"'!$A$12:$Z$19"),MATCH("Points (Auto-generate)",INDIRECT("'"&amp;$A56&amp;"'!$A$12:$Z$12"),0),0)="","?",VLOOKUP(L$1,INDIRECT("'"&amp;$A56&amp;"'!$A$12:$Z$19"),MATCH("Points (Auto-generate)",INDIRECT("'"&amp;$A56&amp;"'!$A$12:$Z$12"),0),0)),"ER"))</f>
        <v>?</v>
      </c>
      <c r="M56" s="6" t="str">
        <f aca="true">IF($F56=0,"NA",IF($A56=INDIRECT("'"&amp;$A56&amp;"'!$B$1"),IF(VLOOKUP(M$1,INDIRECT("'"&amp;$A56&amp;"'!$A$12:$Z$19"),MATCH("Points (Auto-generate)",INDIRECT("'"&amp;$A56&amp;"'!$A$12:$Z$12"),0),0)="","?",VLOOKUP(M$1,INDIRECT("'"&amp;$A56&amp;"'!$A$12:$Z$19"),MATCH("Points (Auto-generate)",INDIRECT("'"&amp;$A56&amp;"'!$A$12:$Z$12"),0),0)),"ER"))</f>
        <v>?</v>
      </c>
    </row>
    <row r="57" customFormat="false" ht="15" hidden="false" customHeight="true" outlineLevel="0" collapsed="false">
      <c r="A57" s="6" t="s">
        <v>539</v>
      </c>
      <c r="B57" s="6" t="str">
        <f aca="false">VLOOKUP($A57,'PARASTATAL Questions'!$A:$J,3,0)&amp;""</f>
        <v>State Capacities</v>
      </c>
      <c r="C57" s="6" t="str">
        <f aca="false">VLOOKUP($A57,'PARASTATAL Questions'!$A:$J,4,0)&amp;""</f>
        <v>SQ</v>
      </c>
      <c r="D57" s="6" t="str">
        <f aca="false">VLOOKUP($A57,'PARASTATAL Questions'!$A:$J,5,0)&amp;""</f>
        <v>What proportion of the parastatal's workforce is women?</v>
      </c>
      <c r="E57" s="6" t="str">
        <f aca="false">VLOOKUP($A57,'PARASTATAL Questions'!$A:$J,7,0)&amp;""</f>
        <v>Implementation (Numeric)</v>
      </c>
      <c r="F57" s="6" t="n">
        <f aca="false">VLOOKUP($A57,'PARASTATAL Questions'!$A:$J,6,0)</f>
        <v>5</v>
      </c>
      <c r="G57" s="6" t="str">
        <f aca="true">IF($F57=0,"NA",IF($A57=INDIRECT("'"&amp;$A57&amp;"'!$B$1"),IF(VLOOKUP(G$1,INDIRECT("'"&amp;$A57&amp;"'!$A$12:$Z$19"),MATCH("Points (Auto-generate)",INDIRECT("'"&amp;$A57&amp;"'!$A$12:$Z$12"),0),0)="","?",VLOOKUP(G$1,INDIRECT("'"&amp;$A57&amp;"'!$A$12:$Z$19"),MATCH("Points (Auto-generate)",INDIRECT("'"&amp;$A57&amp;"'!$A$12:$Z$12"),0),0)),"ER"))</f>
        <v>?</v>
      </c>
      <c r="H57" s="6" t="str">
        <f aca="true">IF($F57=0,"NA",IF($A57=INDIRECT("'"&amp;$A57&amp;"'!$B$1"),IF(VLOOKUP(H$1,INDIRECT("'"&amp;$A57&amp;"'!$A$12:$Z$19"),MATCH("Points (Auto-generate)",INDIRECT("'"&amp;$A57&amp;"'!$A$12:$Z$12"),0),0)="","?",VLOOKUP(H$1,INDIRECT("'"&amp;$A57&amp;"'!$A$12:$Z$19"),MATCH("Points (Auto-generate)",INDIRECT("'"&amp;$A57&amp;"'!$A$12:$Z$12"),0),0)),"ER"))</f>
        <v>?</v>
      </c>
      <c r="I57" s="6" t="str">
        <f aca="true">IF($F57=0,"NA",IF($A57=INDIRECT("'"&amp;$A57&amp;"'!$B$1"),IF(VLOOKUP(I$1,INDIRECT("'"&amp;$A57&amp;"'!$A$12:$Z$19"),MATCH("Points (Auto-generate)",INDIRECT("'"&amp;$A57&amp;"'!$A$12:$Z$12"),0),0)="","?",VLOOKUP(I$1,INDIRECT("'"&amp;$A57&amp;"'!$A$12:$Z$19"),MATCH("Points (Auto-generate)",INDIRECT("'"&amp;$A57&amp;"'!$A$12:$Z$12"),0),0)),"ER"))</f>
        <v>?</v>
      </c>
      <c r="J57" s="6" t="str">
        <f aca="true">IF($F57=0,"NA",IF($A57=INDIRECT("'"&amp;$A57&amp;"'!$B$1"),IF(VLOOKUP(J$1,INDIRECT("'"&amp;$A57&amp;"'!$A$12:$Z$19"),MATCH("Points (Auto-generate)",INDIRECT("'"&amp;$A57&amp;"'!$A$12:$Z$12"),0),0)="","?",VLOOKUP(J$1,INDIRECT("'"&amp;$A57&amp;"'!$A$12:$Z$19"),MATCH("Points (Auto-generate)",INDIRECT("'"&amp;$A57&amp;"'!$A$12:$Z$12"),0),0)),"ER"))</f>
        <v>?</v>
      </c>
      <c r="K57" s="6" t="str">
        <f aca="true">IF($F57=0,"NA",IF($A57=INDIRECT("'"&amp;$A57&amp;"'!$B$1"),IF(VLOOKUP(K$1,INDIRECT("'"&amp;$A57&amp;"'!$A$12:$Z$19"),MATCH("Points (Auto-generate)",INDIRECT("'"&amp;$A57&amp;"'!$A$12:$Z$12"),0),0)="","?",VLOOKUP(K$1,INDIRECT("'"&amp;$A57&amp;"'!$A$12:$Z$19"),MATCH("Points (Auto-generate)",INDIRECT("'"&amp;$A57&amp;"'!$A$12:$Z$12"),0),0)),"ER"))</f>
        <v>?</v>
      </c>
      <c r="L57" s="6" t="str">
        <f aca="true">IF($F57=0,"NA",IF($A57=INDIRECT("'"&amp;$A57&amp;"'!$B$1"),IF(VLOOKUP(L$1,INDIRECT("'"&amp;$A57&amp;"'!$A$12:$Z$19"),MATCH("Points (Auto-generate)",INDIRECT("'"&amp;$A57&amp;"'!$A$12:$Z$12"),0),0)="","?",VLOOKUP(L$1,INDIRECT("'"&amp;$A57&amp;"'!$A$12:$Z$19"),MATCH("Points (Auto-generate)",INDIRECT("'"&amp;$A57&amp;"'!$A$12:$Z$12"),0),0)),"ER"))</f>
        <v>?</v>
      </c>
      <c r="M57" s="6" t="str">
        <f aca="true">IF($F57=0,"NA",IF($A57=INDIRECT("'"&amp;$A57&amp;"'!$B$1"),IF(VLOOKUP(M$1,INDIRECT("'"&amp;$A57&amp;"'!$A$12:$Z$19"),MATCH("Points (Auto-generate)",INDIRECT("'"&amp;$A57&amp;"'!$A$12:$Z$12"),0),0)="","?",VLOOKUP(M$1,INDIRECT("'"&amp;$A57&amp;"'!$A$12:$Z$19"),MATCH("Points (Auto-generate)",INDIRECT("'"&amp;$A57&amp;"'!$A$12:$Z$12"),0),0)),"ER"))</f>
        <v>?</v>
      </c>
    </row>
    <row r="59" customFormat="false" ht="15" hidden="false" customHeight="true" outlineLevel="0" collapsed="false">
      <c r="D59" s="8" t="s">
        <v>579</v>
      </c>
      <c r="G59" s="8" t="s">
        <v>17</v>
      </c>
      <c r="H59" s="8" t="s">
        <v>26</v>
      </c>
      <c r="I59" s="8" t="s">
        <v>32</v>
      </c>
      <c r="J59" s="8" t="s">
        <v>38</v>
      </c>
      <c r="K59" s="8" t="s">
        <v>43</v>
      </c>
      <c r="L59" s="8" t="s">
        <v>46</v>
      </c>
      <c r="M59" s="8" t="s">
        <v>48</v>
      </c>
    </row>
    <row r="60" customFormat="false" ht="15" hidden="false" customHeight="true" outlineLevel="0" collapsed="false">
      <c r="D60" s="8" t="s">
        <v>580</v>
      </c>
      <c r="G60" s="6" t="n">
        <f aca="false">IFERROR(SUMIFS(G$3:G$57,$C$3:$C$57,"MQ")/(COUNTIFS($C$3:$C$57,"MQ")-COUNTIFS($C$3:$C$57,"MQ",G$3:G$57,"NA")),"NA")</f>
        <v>1.98529411764706</v>
      </c>
      <c r="H60" s="6" t="n">
        <f aca="false">IFERROR(SUMIFS(H$3:H$57,$C$3:$C$57,"MQ")/(COUNTIFS($C$3:$C$57,"MQ")-COUNTIFS($C$3:$C$57,"MQ",H$3:H$57,"NA")),"NA")</f>
        <v>0.808823529411765</v>
      </c>
      <c r="I60" s="6" t="n">
        <f aca="false">IFERROR(SUMIFS(I$3:I$57,$C$3:$C$57,"MQ")/(COUNTIFS($C$3:$C$57,"MQ")-COUNTIFS($C$3:$C$57,"MQ",I$3:I$57,"NA")),"NA")</f>
        <v>0.576923076923077</v>
      </c>
      <c r="J60" s="6" t="n">
        <f aca="false">IFERROR(SUMIFS(J$3:J$57,$C$3:$C$57,"MQ")/(COUNTIFS($C$3:$C$57,"MQ")-COUNTIFS($C$3:$C$57,"MQ",J$3:J$57,"NA")),"NA")</f>
        <v>0.961538461538462</v>
      </c>
      <c r="K60" s="6" t="n">
        <f aca="false">IFERROR(SUMIFS(K$3:K$57,$C$3:$C$57,"MQ")/(COUNTIFS($C$3:$C$57,"MQ")-COUNTIFS($C$3:$C$57,"MQ",K$3:K$57,"NA")),"NA")</f>
        <v>1.36363636363636</v>
      </c>
      <c r="L60" s="6" t="n">
        <f aca="false">IFERROR(SUMIFS(L$3:L$57,$C$3:$C$57,"MQ")/(COUNTIFS($C$3:$C$57,"MQ")-COUNTIFS($C$3:$C$57,"MQ",L$3:L$57,"NA")),"NA")</f>
        <v>0</v>
      </c>
      <c r="M60" s="6" t="n">
        <f aca="false">IFERROR(SUMIFS(M$3:M$57,$C$3:$C$57,"MQ")/(COUNTIFS($C$3:$C$57,"MQ")-COUNTIFS($C$3:$C$57,"MQ",M$3:M$57,"NA")),"NA")</f>
        <v>0.769230769230769</v>
      </c>
    </row>
    <row r="61" customFormat="false" ht="15" hidden="false" customHeight="true" outlineLevel="0" collapsed="false">
      <c r="D61" s="8" t="s">
        <v>581</v>
      </c>
      <c r="G61" s="6" t="n">
        <f aca="false">COUNTIFS($C$3:$C$57,"MQ",G$3:G$57,"?")</f>
        <v>12</v>
      </c>
      <c r="H61" s="6" t="n">
        <f aca="false">COUNTIFS($C$3:$C$57,"MQ",H$3:H$57,"?")</f>
        <v>15</v>
      </c>
      <c r="I61" s="6" t="n">
        <f aca="false">COUNTIFS($C$3:$C$57,"MQ",I$3:I$57,"?")</f>
        <v>12</v>
      </c>
      <c r="J61" s="6" t="n">
        <f aca="false">COUNTIFS($C$3:$C$57,"MQ",J$3:J$57,"?")</f>
        <v>12</v>
      </c>
      <c r="K61" s="6" t="n">
        <f aca="false">COUNTIFS($C$3:$C$57,"MQ",K$3:K$57,"?")</f>
        <v>10</v>
      </c>
      <c r="L61" s="6" t="n">
        <f aca="false">COUNTIFS($C$3:$C$57,"MQ",L$3:L$57,"?")</f>
        <v>11</v>
      </c>
      <c r="M61" s="6" t="n">
        <f aca="false">COUNTIFS($C$3:$C$57,"MQ",M$3:M$57,"?")</f>
        <v>12</v>
      </c>
    </row>
    <row r="62" customFormat="false" ht="15" hidden="false" customHeight="true" outlineLevel="0" collapsed="false">
      <c r="D62" s="8" t="s">
        <v>582</v>
      </c>
      <c r="G62" s="6" t="n">
        <f aca="false">COUNTIFS($C$3:$C$57,"MQ",G$3:G$57,"NA")</f>
        <v>2</v>
      </c>
      <c r="H62" s="6" t="n">
        <f aca="false">COUNTIFS($C$3:$C$57,"MQ",H$3:H$57,"NA")</f>
        <v>2</v>
      </c>
      <c r="I62" s="6" t="n">
        <f aca="false">COUNTIFS($C$3:$C$57,"MQ",I$3:I$57,"NA")</f>
        <v>6</v>
      </c>
      <c r="J62" s="6" t="n">
        <f aca="false">COUNTIFS($C$3:$C$57,"MQ",J$3:J$57,"NA")</f>
        <v>6</v>
      </c>
      <c r="K62" s="6" t="n">
        <f aca="false">COUNTIFS($C$3:$C$57,"MQ",K$3:K$57,"NA")</f>
        <v>8</v>
      </c>
      <c r="L62" s="6" t="n">
        <f aca="false">COUNTIFS($C$3:$C$57,"MQ",L$3:L$57,"NA")</f>
        <v>8</v>
      </c>
      <c r="M62" s="6" t="n">
        <f aca="false">COUNTIFS($C$3:$C$57,"MQ",M$3:M$57,"NA")</f>
        <v>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6" width="22"/>
    <col collapsed="false" customWidth="true" hidden="false" outlineLevel="0" max="2" min="2" style="6" width="50"/>
    <col collapsed="false" customWidth="true" hidden="false" outlineLevel="0" max="3" min="3" style="6" width="16"/>
    <col collapsed="false" customWidth="true" hidden="false" outlineLevel="0" max="4" min="4" style="6" width="20"/>
  </cols>
  <sheetData>
    <row r="1" customFormat="false" ht="26.25" hidden="false" customHeight="true" outlineLevel="0" collapsed="false">
      <c r="A1" s="1" t="s">
        <v>583</v>
      </c>
      <c r="B1" s="1" t="s">
        <v>584</v>
      </c>
      <c r="C1" s="1" t="s">
        <v>585</v>
      </c>
      <c r="D1" s="1" t="s">
        <v>586</v>
      </c>
    </row>
    <row r="2" customFormat="false" ht="15" hidden="false" customHeight="true" outlineLevel="0" collapsed="false">
      <c r="A2" s="6" t="s">
        <v>587</v>
      </c>
      <c r="B2" s="6" t="s">
        <v>588</v>
      </c>
      <c r="C2" s="6" t="n">
        <f aca="false">IFERROR(AVERAGEIFS(PARASTATAL_SUMMARY_RAW!$G$60:$M$60,PARASTATAL_SUMMARY_RAW!$G$59:$M$59,$A2&amp;" – *"),"NA")</f>
        <v>1.13924310983135</v>
      </c>
      <c r="D2" s="6" t="n">
        <f aca="false">COUNTIFS(PARASTATAL_SUMMARY_RAW!$G$59:$M$59,$A2&amp;" – *",PARASTATAL_SUMMARY_RAW!$G$60:$M$60,"&gt;=0")</f>
        <v>5</v>
      </c>
    </row>
    <row r="3" customFormat="false" ht="15" hidden="false" customHeight="true" outlineLevel="0" collapsed="false">
      <c r="A3" s="6" t="s">
        <v>589</v>
      </c>
      <c r="B3" s="6" t="s">
        <v>590</v>
      </c>
      <c r="C3" s="6" t="n">
        <f aca="false">IFERROR(AVERAGEIFS(PARASTATAL_SUMMARY_RAW!$G$60:$M$60,PARASTATAL_SUMMARY_RAW!$G$59:$M$59,$A3&amp;" – *"),"NA")</f>
        <v>0.384615384615385</v>
      </c>
      <c r="D3" s="6" t="n">
        <f aca="false">COUNTIFS(PARASTATAL_SUMMARY_RAW!$G$59:$M$59,$A3&amp;" – *",PARASTATAL_SUMMARY_RAW!$G$60:$M$60,"&gt;=0")</f>
        <v>2</v>
      </c>
    </row>
    <row r="5" customFormat="false" ht="15" hidden="false" customHeight="true" outlineLevel="0" collapsed="false">
      <c r="A5" s="9" t="s">
        <v>591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6" width="10"/>
    <col collapsed="false" customWidth="true" hidden="false" outlineLevel="0" max="3" min="3" style="6" width="30"/>
    <col collapsed="false" customWidth="true" hidden="false" outlineLevel="0" max="5" min="5" style="6" width="60"/>
    <col collapsed="false" customWidth="true" hidden="false" outlineLevel="0" max="8" min="8" style="6" width="30"/>
    <col collapsed="false" customWidth="true" hidden="false" outlineLevel="0" max="9" min="9" style="6" width="80"/>
    <col collapsed="false" customWidth="true" hidden="false" outlineLevel="0" max="10" min="10" style="6" width="50"/>
  </cols>
  <sheetData>
    <row r="1" customFormat="false" ht="26.25" hidden="false" customHeight="true" outlineLevel="0" collapsed="false">
      <c r="A1" s="1" t="s">
        <v>592</v>
      </c>
      <c r="B1" s="1" t="s">
        <v>593</v>
      </c>
      <c r="C1" s="1" t="s">
        <v>560</v>
      </c>
      <c r="D1" s="1" t="s">
        <v>561</v>
      </c>
      <c r="E1" s="1" t="s">
        <v>0</v>
      </c>
      <c r="F1" s="1" t="s">
        <v>563</v>
      </c>
      <c r="G1" s="1" t="s">
        <v>562</v>
      </c>
      <c r="H1" s="1" t="s">
        <v>594</v>
      </c>
      <c r="I1" s="1" t="s">
        <v>595</v>
      </c>
      <c r="J1" s="1" t="s">
        <v>596</v>
      </c>
    </row>
    <row r="2" customFormat="false" ht="15" hidden="false" customHeight="true" outlineLevel="0" collapsed="false">
      <c r="A2" s="6" t="s">
        <v>566</v>
      </c>
      <c r="B2" s="6" t="s">
        <v>597</v>
      </c>
      <c r="C2" s="6" t="s">
        <v>598</v>
      </c>
      <c r="D2" s="6" t="s">
        <v>599</v>
      </c>
      <c r="E2" s="6" t="s">
        <v>600</v>
      </c>
      <c r="F2" s="6" t="n">
        <v>10</v>
      </c>
      <c r="H2" s="6" t="s">
        <v>601</v>
      </c>
      <c r="I2" s="6" t="s">
        <v>602</v>
      </c>
      <c r="J2" s="6" t="s">
        <v>603</v>
      </c>
    </row>
    <row r="3" customFormat="false" ht="79.5" hidden="false" customHeight="true" outlineLevel="0" collapsed="false">
      <c r="A3" s="6" t="s">
        <v>16</v>
      </c>
      <c r="B3" s="6" t="s">
        <v>604</v>
      </c>
      <c r="C3" s="6" t="s">
        <v>598</v>
      </c>
      <c r="D3" s="6" t="s">
        <v>605</v>
      </c>
      <c r="E3" s="6" t="s">
        <v>606</v>
      </c>
      <c r="F3" s="6" t="n">
        <v>5</v>
      </c>
      <c r="G3" s="6" t="s">
        <v>607</v>
      </c>
      <c r="H3" s="6" t="s">
        <v>601</v>
      </c>
      <c r="I3" s="10" t="s">
        <v>608</v>
      </c>
      <c r="J3" s="6" t="s">
        <v>609</v>
      </c>
    </row>
    <row r="4" customFormat="false" ht="90.75" hidden="false" customHeight="true" outlineLevel="0" collapsed="false">
      <c r="A4" s="6" t="s">
        <v>50</v>
      </c>
      <c r="B4" s="6" t="s">
        <v>610</v>
      </c>
      <c r="C4" s="6" t="s">
        <v>598</v>
      </c>
      <c r="D4" s="6" t="s">
        <v>605</v>
      </c>
      <c r="E4" s="6" t="s">
        <v>611</v>
      </c>
      <c r="F4" s="6" t="n">
        <v>5</v>
      </c>
      <c r="G4" s="6" t="s">
        <v>612</v>
      </c>
      <c r="H4" s="6" t="s">
        <v>601</v>
      </c>
      <c r="I4" s="10" t="s">
        <v>613</v>
      </c>
      <c r="J4" s="6" t="s">
        <v>614</v>
      </c>
    </row>
    <row r="5" customFormat="false" ht="15" hidden="false" customHeight="true" outlineLevel="0" collapsed="false">
      <c r="A5" s="6" t="s">
        <v>567</v>
      </c>
      <c r="B5" s="6" t="s">
        <v>615</v>
      </c>
      <c r="C5" s="6" t="s">
        <v>598</v>
      </c>
      <c r="D5" s="6" t="s">
        <v>599</v>
      </c>
      <c r="E5" s="6" t="s">
        <v>616</v>
      </c>
      <c r="F5" s="6" t="n">
        <v>10</v>
      </c>
      <c r="H5" s="6" t="s">
        <v>617</v>
      </c>
      <c r="I5" s="6" t="s">
        <v>618</v>
      </c>
      <c r="J5" s="6" t="s">
        <v>603</v>
      </c>
    </row>
    <row r="6" customFormat="false" ht="102" hidden="false" customHeight="true" outlineLevel="0" collapsed="false">
      <c r="A6" s="6" t="s">
        <v>67</v>
      </c>
      <c r="B6" s="6" t="s">
        <v>619</v>
      </c>
      <c r="C6" s="6" t="s">
        <v>598</v>
      </c>
      <c r="D6" s="6" t="s">
        <v>605</v>
      </c>
      <c r="E6" s="6" t="s">
        <v>620</v>
      </c>
      <c r="F6" s="6" t="n">
        <v>2.5</v>
      </c>
      <c r="G6" s="6" t="s">
        <v>607</v>
      </c>
      <c r="H6" s="6" t="s">
        <v>621</v>
      </c>
      <c r="I6" s="10" t="s">
        <v>622</v>
      </c>
      <c r="J6" s="6" t="s">
        <v>609</v>
      </c>
    </row>
    <row r="7" customFormat="false" ht="113.25" hidden="false" customHeight="true" outlineLevel="0" collapsed="false">
      <c r="A7" s="6" t="s">
        <v>71</v>
      </c>
      <c r="B7" s="6" t="s">
        <v>623</v>
      </c>
      <c r="C7" s="6" t="s">
        <v>598</v>
      </c>
      <c r="D7" s="6" t="s">
        <v>605</v>
      </c>
      <c r="E7" s="6" t="s">
        <v>624</v>
      </c>
      <c r="F7" s="6" t="n">
        <v>2.5</v>
      </c>
      <c r="G7" s="6" t="s">
        <v>612</v>
      </c>
      <c r="H7" s="6" t="s">
        <v>621</v>
      </c>
      <c r="I7" s="10" t="s">
        <v>625</v>
      </c>
      <c r="J7" s="6" t="s">
        <v>626</v>
      </c>
    </row>
    <row r="8" customFormat="false" ht="102" hidden="false" customHeight="true" outlineLevel="0" collapsed="false">
      <c r="A8" s="6" t="s">
        <v>73</v>
      </c>
      <c r="B8" s="6" t="s">
        <v>627</v>
      </c>
      <c r="C8" s="6" t="s">
        <v>598</v>
      </c>
      <c r="D8" s="6" t="s">
        <v>605</v>
      </c>
      <c r="E8" s="6" t="s">
        <v>628</v>
      </c>
      <c r="F8" s="6" t="n">
        <v>2.5</v>
      </c>
      <c r="G8" s="6" t="s">
        <v>607</v>
      </c>
      <c r="H8" s="6" t="s">
        <v>629</v>
      </c>
      <c r="I8" s="10" t="s">
        <v>630</v>
      </c>
      <c r="J8" s="6" t="s">
        <v>609</v>
      </c>
    </row>
    <row r="9" customFormat="false" ht="102" hidden="false" customHeight="true" outlineLevel="0" collapsed="false">
      <c r="A9" s="6" t="s">
        <v>79</v>
      </c>
      <c r="B9" s="6" t="s">
        <v>631</v>
      </c>
      <c r="C9" s="6" t="s">
        <v>598</v>
      </c>
      <c r="D9" s="6" t="s">
        <v>605</v>
      </c>
      <c r="E9" s="6" t="s">
        <v>632</v>
      </c>
      <c r="F9" s="6" t="n">
        <v>2.5</v>
      </c>
      <c r="G9" s="6" t="s">
        <v>612</v>
      </c>
      <c r="H9" s="6" t="s">
        <v>629</v>
      </c>
      <c r="I9" s="10" t="s">
        <v>633</v>
      </c>
      <c r="J9" s="6" t="s">
        <v>634</v>
      </c>
    </row>
    <row r="10" customFormat="false" ht="15" hidden="false" customHeight="true" outlineLevel="0" collapsed="false">
      <c r="A10" s="6" t="s">
        <v>568</v>
      </c>
      <c r="B10" s="6" t="s">
        <v>635</v>
      </c>
      <c r="C10" s="6" t="s">
        <v>598</v>
      </c>
      <c r="D10" s="6" t="s">
        <v>599</v>
      </c>
      <c r="E10" s="6" t="s">
        <v>636</v>
      </c>
      <c r="F10" s="6" t="n">
        <v>10</v>
      </c>
      <c r="G10" s="6" t="s">
        <v>607</v>
      </c>
      <c r="H10" s="6" t="s">
        <v>621</v>
      </c>
      <c r="I10" s="6" t="s">
        <v>637</v>
      </c>
      <c r="J10" s="6" t="s">
        <v>638</v>
      </c>
    </row>
    <row r="11" customFormat="false" ht="57" hidden="false" customHeight="true" outlineLevel="0" collapsed="false">
      <c r="A11" s="6" t="s">
        <v>81</v>
      </c>
      <c r="B11" s="6" t="s">
        <v>639</v>
      </c>
      <c r="C11" s="6" t="s">
        <v>598</v>
      </c>
      <c r="D11" s="6" t="s">
        <v>605</v>
      </c>
      <c r="E11" s="6" t="s">
        <v>640</v>
      </c>
      <c r="F11" s="6" t="n">
        <v>5</v>
      </c>
      <c r="G11" s="6" t="s">
        <v>607</v>
      </c>
      <c r="H11" s="6" t="s">
        <v>621</v>
      </c>
      <c r="I11" s="10" t="s">
        <v>641</v>
      </c>
      <c r="J11" s="6" t="s">
        <v>642</v>
      </c>
    </row>
    <row r="12" customFormat="false" ht="314.25" hidden="false" customHeight="true" outlineLevel="0" collapsed="false">
      <c r="A12" s="6" t="s">
        <v>85</v>
      </c>
      <c r="B12" s="6" t="s">
        <v>643</v>
      </c>
      <c r="C12" s="6" t="s">
        <v>598</v>
      </c>
      <c r="D12" s="6" t="s">
        <v>605</v>
      </c>
      <c r="E12" s="6" t="s">
        <v>644</v>
      </c>
      <c r="F12" s="6" t="n">
        <v>5</v>
      </c>
      <c r="G12" s="6" t="s">
        <v>612</v>
      </c>
      <c r="H12" s="6" t="s">
        <v>621</v>
      </c>
      <c r="I12" s="10" t="s">
        <v>645</v>
      </c>
      <c r="J12" s="6" t="s">
        <v>646</v>
      </c>
    </row>
    <row r="13" customFormat="false" ht="15" hidden="false" customHeight="true" outlineLevel="0" collapsed="false">
      <c r="A13" s="6" t="s">
        <v>569</v>
      </c>
      <c r="B13" s="6" t="s">
        <v>647</v>
      </c>
      <c r="C13" s="6" t="s">
        <v>598</v>
      </c>
      <c r="D13" s="6" t="s">
        <v>599</v>
      </c>
      <c r="E13" s="6" t="s">
        <v>648</v>
      </c>
      <c r="F13" s="6" t="n">
        <v>10</v>
      </c>
      <c r="H13" s="6" t="s">
        <v>629</v>
      </c>
      <c r="I13" s="6" t="s">
        <v>618</v>
      </c>
      <c r="J13" s="6" t="s">
        <v>603</v>
      </c>
    </row>
    <row r="14" customFormat="false" ht="57" hidden="false" customHeight="true" outlineLevel="0" collapsed="false">
      <c r="A14" s="6" t="s">
        <v>91</v>
      </c>
      <c r="B14" s="6" t="s">
        <v>649</v>
      </c>
      <c r="C14" s="6" t="s">
        <v>598</v>
      </c>
      <c r="D14" s="6" t="s">
        <v>605</v>
      </c>
      <c r="E14" s="6" t="s">
        <v>650</v>
      </c>
      <c r="F14" s="6" t="n">
        <v>5</v>
      </c>
      <c r="G14" s="6" t="s">
        <v>607</v>
      </c>
      <c r="H14" s="6" t="s">
        <v>629</v>
      </c>
      <c r="I14" s="10" t="s">
        <v>651</v>
      </c>
      <c r="J14" s="6" t="s">
        <v>652</v>
      </c>
    </row>
    <row r="15" customFormat="false" ht="102" hidden="false" customHeight="true" outlineLevel="0" collapsed="false">
      <c r="A15" s="6" t="s">
        <v>95</v>
      </c>
      <c r="B15" s="6" t="s">
        <v>653</v>
      </c>
      <c r="C15" s="6" t="s">
        <v>598</v>
      </c>
      <c r="D15" s="6" t="s">
        <v>605</v>
      </c>
      <c r="E15" s="6" t="s">
        <v>654</v>
      </c>
      <c r="F15" s="6" t="n">
        <v>5</v>
      </c>
      <c r="G15" s="6" t="s">
        <v>612</v>
      </c>
      <c r="H15" s="6" t="s">
        <v>629</v>
      </c>
      <c r="I15" s="10" t="s">
        <v>655</v>
      </c>
      <c r="J15" s="6" t="s">
        <v>656</v>
      </c>
    </row>
    <row r="16" customFormat="false" ht="15" hidden="false" customHeight="true" outlineLevel="0" collapsed="false">
      <c r="A16" s="6" t="s">
        <v>570</v>
      </c>
      <c r="B16" s="6" t="s">
        <v>657</v>
      </c>
      <c r="C16" s="6" t="s">
        <v>598</v>
      </c>
      <c r="D16" s="6" t="s">
        <v>599</v>
      </c>
      <c r="E16" s="6" t="s">
        <v>658</v>
      </c>
      <c r="F16" s="6" t="n">
        <v>10</v>
      </c>
      <c r="G16" s="6" t="s">
        <v>607</v>
      </c>
      <c r="H16" s="6" t="s">
        <v>621</v>
      </c>
      <c r="I16" s="6" t="s">
        <v>659</v>
      </c>
      <c r="J16" s="6" t="s">
        <v>660</v>
      </c>
    </row>
    <row r="17" customFormat="false" ht="79.5" hidden="false" customHeight="true" outlineLevel="0" collapsed="false">
      <c r="A17" s="6" t="s">
        <v>101</v>
      </c>
      <c r="B17" s="6" t="s">
        <v>661</v>
      </c>
      <c r="C17" s="6" t="s">
        <v>598</v>
      </c>
      <c r="D17" s="6" t="s">
        <v>605</v>
      </c>
      <c r="E17" s="6" t="s">
        <v>662</v>
      </c>
      <c r="F17" s="6" t="n">
        <v>5</v>
      </c>
      <c r="G17" s="6" t="s">
        <v>607</v>
      </c>
      <c r="H17" s="6" t="s">
        <v>621</v>
      </c>
      <c r="I17" s="10" t="s">
        <v>663</v>
      </c>
      <c r="J17" s="6" t="s">
        <v>664</v>
      </c>
    </row>
    <row r="18" customFormat="false" ht="325.5" hidden="false" customHeight="true" outlineLevel="0" collapsed="false">
      <c r="A18" s="6" t="s">
        <v>105</v>
      </c>
      <c r="B18" s="6" t="s">
        <v>665</v>
      </c>
      <c r="C18" s="6" t="s">
        <v>598</v>
      </c>
      <c r="D18" s="6" t="s">
        <v>605</v>
      </c>
      <c r="E18" s="6" t="s">
        <v>666</v>
      </c>
      <c r="F18" s="6" t="n">
        <v>5</v>
      </c>
      <c r="G18" s="6" t="s">
        <v>612</v>
      </c>
      <c r="H18" s="6" t="s">
        <v>621</v>
      </c>
      <c r="I18" s="10" t="s">
        <v>667</v>
      </c>
      <c r="J18" s="6" t="s">
        <v>668</v>
      </c>
    </row>
    <row r="19" customFormat="false" ht="15" hidden="false" customHeight="true" outlineLevel="0" collapsed="false">
      <c r="A19" s="6" t="s">
        <v>571</v>
      </c>
      <c r="B19" s="6" t="s">
        <v>669</v>
      </c>
      <c r="C19" s="6" t="s">
        <v>598</v>
      </c>
      <c r="D19" s="6" t="s">
        <v>599</v>
      </c>
      <c r="E19" s="6" t="s">
        <v>670</v>
      </c>
      <c r="F19" s="6" t="n">
        <v>10</v>
      </c>
      <c r="H19" s="6" t="s">
        <v>629</v>
      </c>
      <c r="I19" s="6" t="s">
        <v>618</v>
      </c>
      <c r="J19" s="6" t="s">
        <v>603</v>
      </c>
    </row>
    <row r="20" customFormat="false" ht="57" hidden="false" customHeight="true" outlineLevel="0" collapsed="false">
      <c r="A20" s="6" t="s">
        <v>111</v>
      </c>
      <c r="B20" s="6" t="s">
        <v>671</v>
      </c>
      <c r="C20" s="6" t="s">
        <v>598</v>
      </c>
      <c r="D20" s="6" t="s">
        <v>605</v>
      </c>
      <c r="E20" s="6" t="s">
        <v>672</v>
      </c>
      <c r="F20" s="6" t="n">
        <v>5</v>
      </c>
      <c r="G20" s="6" t="s">
        <v>607</v>
      </c>
      <c r="H20" s="6" t="s">
        <v>629</v>
      </c>
      <c r="I20" s="10" t="s">
        <v>673</v>
      </c>
      <c r="J20" s="6" t="s">
        <v>674</v>
      </c>
    </row>
    <row r="21" customFormat="false" ht="102" hidden="false" customHeight="true" outlineLevel="0" collapsed="false">
      <c r="A21" s="6" t="s">
        <v>116</v>
      </c>
      <c r="B21" s="6" t="s">
        <v>675</v>
      </c>
      <c r="C21" s="6" t="s">
        <v>598</v>
      </c>
      <c r="D21" s="6" t="s">
        <v>605</v>
      </c>
      <c r="E21" s="6" t="s">
        <v>676</v>
      </c>
      <c r="F21" s="6" t="n">
        <v>5</v>
      </c>
      <c r="G21" s="6" t="s">
        <v>612</v>
      </c>
      <c r="H21" s="6" t="s">
        <v>629</v>
      </c>
      <c r="I21" s="10" t="s">
        <v>677</v>
      </c>
      <c r="J21" s="6" t="s">
        <v>678</v>
      </c>
    </row>
    <row r="22" customFormat="false" ht="15" hidden="false" customHeight="true" outlineLevel="0" collapsed="false">
      <c r="A22" s="6" t="s">
        <v>572</v>
      </c>
      <c r="B22" s="6" t="s">
        <v>679</v>
      </c>
      <c r="C22" s="6" t="s">
        <v>680</v>
      </c>
      <c r="D22" s="6" t="s">
        <v>599</v>
      </c>
      <c r="E22" s="6" t="s">
        <v>681</v>
      </c>
      <c r="F22" s="6" t="n">
        <v>10</v>
      </c>
      <c r="G22" s="6" t="s">
        <v>682</v>
      </c>
      <c r="H22" s="6" t="s">
        <v>601</v>
      </c>
      <c r="I22" s="6" t="s">
        <v>618</v>
      </c>
      <c r="J22" s="6" t="s">
        <v>683</v>
      </c>
    </row>
    <row r="23" customFormat="false" ht="247.5" hidden="false" customHeight="true" outlineLevel="0" collapsed="false">
      <c r="A23" s="6" t="s">
        <v>118</v>
      </c>
      <c r="B23" s="6" t="s">
        <v>684</v>
      </c>
      <c r="C23" s="6" t="s">
        <v>680</v>
      </c>
      <c r="D23" s="6" t="s">
        <v>605</v>
      </c>
      <c r="E23" s="6" t="s">
        <v>685</v>
      </c>
      <c r="F23" s="6" t="n">
        <v>5</v>
      </c>
      <c r="G23" s="6" t="s">
        <v>682</v>
      </c>
      <c r="H23" s="6" t="s">
        <v>601</v>
      </c>
      <c r="I23" s="10" t="s">
        <v>686</v>
      </c>
      <c r="J23" s="6" t="s">
        <v>687</v>
      </c>
    </row>
    <row r="24" customFormat="false" ht="57" hidden="false" customHeight="true" outlineLevel="0" collapsed="false">
      <c r="A24" s="6" t="s">
        <v>140</v>
      </c>
      <c r="B24" s="6" t="s">
        <v>688</v>
      </c>
      <c r="C24" s="6" t="s">
        <v>680</v>
      </c>
      <c r="D24" s="6" t="s">
        <v>605</v>
      </c>
      <c r="E24" s="6" t="s">
        <v>689</v>
      </c>
      <c r="F24" s="6" t="n">
        <v>5</v>
      </c>
      <c r="G24" s="6" t="s">
        <v>682</v>
      </c>
      <c r="H24" s="6" t="s">
        <v>601</v>
      </c>
      <c r="I24" s="10" t="s">
        <v>690</v>
      </c>
      <c r="J24" s="6" t="s">
        <v>691</v>
      </c>
    </row>
    <row r="25" customFormat="false" ht="15" hidden="false" customHeight="true" outlineLevel="0" collapsed="false">
      <c r="A25" s="6" t="s">
        <v>573</v>
      </c>
      <c r="B25" s="6" t="s">
        <v>692</v>
      </c>
      <c r="C25" s="6" t="s">
        <v>680</v>
      </c>
      <c r="D25" s="6" t="s">
        <v>599</v>
      </c>
      <c r="E25" s="6" t="s">
        <v>693</v>
      </c>
      <c r="F25" s="6" t="n">
        <v>10</v>
      </c>
      <c r="G25" s="6" t="s">
        <v>682</v>
      </c>
      <c r="H25" s="6" t="s">
        <v>601</v>
      </c>
      <c r="I25" s="6" t="s">
        <v>618</v>
      </c>
      <c r="J25" s="6" t="s">
        <v>603</v>
      </c>
    </row>
    <row r="26" customFormat="false" ht="57" hidden="false" customHeight="true" outlineLevel="0" collapsed="false">
      <c r="A26" s="6" t="s">
        <v>166</v>
      </c>
      <c r="B26" s="6" t="s">
        <v>694</v>
      </c>
      <c r="C26" s="6" t="s">
        <v>680</v>
      </c>
      <c r="D26" s="6" t="s">
        <v>605</v>
      </c>
      <c r="E26" s="6" t="s">
        <v>695</v>
      </c>
      <c r="F26" s="6" t="n">
        <v>5</v>
      </c>
      <c r="G26" s="6" t="s">
        <v>682</v>
      </c>
      <c r="H26" s="6" t="s">
        <v>601</v>
      </c>
      <c r="I26" s="10" t="s">
        <v>696</v>
      </c>
      <c r="J26" s="6" t="s">
        <v>697</v>
      </c>
    </row>
    <row r="27" customFormat="false" ht="124.5" hidden="false" customHeight="true" outlineLevel="0" collapsed="false">
      <c r="A27" s="6" t="s">
        <v>194</v>
      </c>
      <c r="B27" s="6" t="s">
        <v>698</v>
      </c>
      <c r="C27" s="6" t="s">
        <v>680</v>
      </c>
      <c r="D27" s="6" t="s">
        <v>605</v>
      </c>
      <c r="E27" s="6" t="s">
        <v>699</v>
      </c>
      <c r="F27" s="6" t="n">
        <v>5</v>
      </c>
      <c r="G27" s="6" t="s">
        <v>607</v>
      </c>
      <c r="H27" s="6" t="s">
        <v>601</v>
      </c>
      <c r="I27" s="10" t="s">
        <v>700</v>
      </c>
      <c r="J27" s="6" t="s">
        <v>701</v>
      </c>
    </row>
    <row r="28" customFormat="false" ht="57" hidden="false" customHeight="true" outlineLevel="0" collapsed="false">
      <c r="A28" s="6" t="s">
        <v>214</v>
      </c>
      <c r="B28" s="6" t="s">
        <v>702</v>
      </c>
      <c r="C28" s="6" t="s">
        <v>680</v>
      </c>
      <c r="D28" s="6" t="s">
        <v>599</v>
      </c>
      <c r="E28" s="6" t="s">
        <v>703</v>
      </c>
      <c r="F28" s="6" t="n">
        <v>10</v>
      </c>
      <c r="G28" s="6" t="s">
        <v>612</v>
      </c>
      <c r="H28" s="6" t="s">
        <v>704</v>
      </c>
      <c r="I28" s="10" t="s">
        <v>705</v>
      </c>
      <c r="J28" s="6" t="s">
        <v>706</v>
      </c>
    </row>
    <row r="29" customFormat="false" ht="90.75" hidden="false" customHeight="true" outlineLevel="0" collapsed="false">
      <c r="A29" s="6" t="s">
        <v>574</v>
      </c>
      <c r="B29" s="6" t="s">
        <v>707</v>
      </c>
      <c r="C29" s="6" t="s">
        <v>680</v>
      </c>
      <c r="D29" s="6" t="s">
        <v>599</v>
      </c>
      <c r="E29" s="6" t="s">
        <v>708</v>
      </c>
      <c r="F29" s="6" t="n">
        <v>10</v>
      </c>
      <c r="G29" s="6" t="s">
        <v>612</v>
      </c>
      <c r="H29" s="6" t="s">
        <v>704</v>
      </c>
      <c r="I29" s="10" t="s">
        <v>709</v>
      </c>
      <c r="J29" s="6" t="s">
        <v>710</v>
      </c>
    </row>
    <row r="30" customFormat="false" ht="90.75" hidden="false" customHeight="true" outlineLevel="0" collapsed="false">
      <c r="A30" s="6" t="s">
        <v>240</v>
      </c>
      <c r="B30" s="6" t="s">
        <v>240</v>
      </c>
      <c r="C30" s="6" t="s">
        <v>680</v>
      </c>
      <c r="D30" s="6" t="s">
        <v>605</v>
      </c>
      <c r="E30" s="6" t="s">
        <v>711</v>
      </c>
      <c r="F30" s="6" t="n">
        <v>1</v>
      </c>
      <c r="G30" s="6" t="s">
        <v>612</v>
      </c>
      <c r="H30" s="6" t="s">
        <v>704</v>
      </c>
      <c r="I30" s="10" t="s">
        <v>712</v>
      </c>
      <c r="J30" s="6" t="s">
        <v>710</v>
      </c>
    </row>
    <row r="31" customFormat="false" ht="90.75" hidden="false" customHeight="true" outlineLevel="0" collapsed="false">
      <c r="A31" s="6" t="s">
        <v>248</v>
      </c>
      <c r="B31" s="6" t="s">
        <v>713</v>
      </c>
      <c r="C31" s="6" t="s">
        <v>680</v>
      </c>
      <c r="D31" s="6" t="s">
        <v>605</v>
      </c>
      <c r="E31" s="6" t="s">
        <v>714</v>
      </c>
      <c r="F31" s="6" t="n">
        <v>1</v>
      </c>
      <c r="G31" s="6" t="s">
        <v>612</v>
      </c>
      <c r="H31" s="6" t="s">
        <v>704</v>
      </c>
      <c r="I31" s="10" t="s">
        <v>715</v>
      </c>
      <c r="J31" s="6" t="s">
        <v>710</v>
      </c>
    </row>
    <row r="32" customFormat="false" ht="90.75" hidden="false" customHeight="true" outlineLevel="0" collapsed="false">
      <c r="A32" s="6" t="s">
        <v>264</v>
      </c>
      <c r="B32" s="6" t="s">
        <v>716</v>
      </c>
      <c r="C32" s="6" t="s">
        <v>680</v>
      </c>
      <c r="D32" s="6" t="s">
        <v>605</v>
      </c>
      <c r="E32" s="6" t="s">
        <v>717</v>
      </c>
      <c r="F32" s="6" t="n">
        <v>1</v>
      </c>
      <c r="G32" s="6" t="s">
        <v>612</v>
      </c>
      <c r="H32" s="6" t="s">
        <v>704</v>
      </c>
      <c r="I32" s="10" t="s">
        <v>718</v>
      </c>
      <c r="J32" s="6" t="s">
        <v>710</v>
      </c>
    </row>
    <row r="33" customFormat="false" ht="90.75" hidden="false" customHeight="true" outlineLevel="0" collapsed="false">
      <c r="A33" s="6" t="s">
        <v>284</v>
      </c>
      <c r="B33" s="6" t="s">
        <v>719</v>
      </c>
      <c r="C33" s="6" t="s">
        <v>680</v>
      </c>
      <c r="D33" s="6" t="s">
        <v>605</v>
      </c>
      <c r="E33" s="6" t="s">
        <v>720</v>
      </c>
      <c r="F33" s="6" t="n">
        <v>1</v>
      </c>
      <c r="G33" s="6" t="s">
        <v>612</v>
      </c>
      <c r="H33" s="6" t="s">
        <v>704</v>
      </c>
      <c r="I33" s="10" t="s">
        <v>721</v>
      </c>
      <c r="J33" s="6" t="s">
        <v>710</v>
      </c>
    </row>
    <row r="34" customFormat="false" ht="90.75" hidden="false" customHeight="true" outlineLevel="0" collapsed="false">
      <c r="A34" s="6" t="s">
        <v>292</v>
      </c>
      <c r="B34" s="6" t="s">
        <v>722</v>
      </c>
      <c r="C34" s="6" t="s">
        <v>680</v>
      </c>
      <c r="D34" s="6" t="s">
        <v>605</v>
      </c>
      <c r="E34" s="6" t="s">
        <v>723</v>
      </c>
      <c r="F34" s="6" t="n">
        <v>1</v>
      </c>
      <c r="G34" s="6" t="s">
        <v>612</v>
      </c>
      <c r="H34" s="6" t="s">
        <v>704</v>
      </c>
      <c r="I34" s="10" t="s">
        <v>724</v>
      </c>
      <c r="J34" s="6" t="s">
        <v>710</v>
      </c>
    </row>
    <row r="35" customFormat="false" ht="113.25" hidden="false" customHeight="true" outlineLevel="0" collapsed="false">
      <c r="A35" s="6" t="s">
        <v>314</v>
      </c>
      <c r="B35" s="6" t="s">
        <v>314</v>
      </c>
      <c r="C35" s="6" t="s">
        <v>680</v>
      </c>
      <c r="D35" s="6" t="s">
        <v>605</v>
      </c>
      <c r="E35" s="6" t="s">
        <v>725</v>
      </c>
      <c r="F35" s="6" t="n">
        <v>1</v>
      </c>
      <c r="G35" s="6" t="s">
        <v>612</v>
      </c>
      <c r="H35" s="6" t="s">
        <v>704</v>
      </c>
      <c r="I35" s="10" t="s">
        <v>726</v>
      </c>
      <c r="J35" s="6" t="s">
        <v>710</v>
      </c>
    </row>
    <row r="36" customFormat="false" ht="102" hidden="false" customHeight="true" outlineLevel="0" collapsed="false">
      <c r="A36" s="6" t="s">
        <v>328</v>
      </c>
      <c r="B36" s="6" t="s">
        <v>727</v>
      </c>
      <c r="C36" s="6" t="s">
        <v>680</v>
      </c>
      <c r="D36" s="6" t="s">
        <v>605</v>
      </c>
      <c r="E36" s="6" t="s">
        <v>728</v>
      </c>
      <c r="F36" s="6" t="n">
        <v>1</v>
      </c>
      <c r="G36" s="6" t="s">
        <v>612</v>
      </c>
      <c r="H36" s="6" t="s">
        <v>704</v>
      </c>
      <c r="I36" s="10" t="s">
        <v>729</v>
      </c>
      <c r="J36" s="6" t="s">
        <v>710</v>
      </c>
    </row>
    <row r="37" customFormat="false" ht="102" hidden="false" customHeight="true" outlineLevel="0" collapsed="false">
      <c r="A37" s="6" t="s">
        <v>341</v>
      </c>
      <c r="B37" s="6" t="s">
        <v>341</v>
      </c>
      <c r="C37" s="6" t="s">
        <v>680</v>
      </c>
      <c r="D37" s="6" t="s">
        <v>605</v>
      </c>
      <c r="E37" s="6" t="s">
        <v>730</v>
      </c>
      <c r="F37" s="6" t="n">
        <v>1</v>
      </c>
      <c r="G37" s="6" t="s">
        <v>612</v>
      </c>
      <c r="H37" s="6" t="s">
        <v>704</v>
      </c>
      <c r="I37" s="10" t="s">
        <v>731</v>
      </c>
      <c r="J37" s="6" t="s">
        <v>710</v>
      </c>
    </row>
    <row r="38" customFormat="false" ht="102" hidden="false" customHeight="true" outlineLevel="0" collapsed="false">
      <c r="A38" s="6" t="s">
        <v>353</v>
      </c>
      <c r="B38" s="6" t="s">
        <v>353</v>
      </c>
      <c r="C38" s="6" t="s">
        <v>680</v>
      </c>
      <c r="D38" s="6" t="s">
        <v>605</v>
      </c>
      <c r="E38" s="6" t="s">
        <v>732</v>
      </c>
      <c r="F38" s="6" t="n">
        <v>1</v>
      </c>
      <c r="G38" s="6" t="s">
        <v>612</v>
      </c>
      <c r="H38" s="6" t="s">
        <v>704</v>
      </c>
      <c r="I38" s="10" t="s">
        <v>733</v>
      </c>
      <c r="J38" s="6" t="s">
        <v>710</v>
      </c>
    </row>
    <row r="39" customFormat="false" ht="102" hidden="false" customHeight="true" outlineLevel="0" collapsed="false">
      <c r="A39" s="6" t="s">
        <v>373</v>
      </c>
      <c r="B39" s="6" t="s">
        <v>373</v>
      </c>
      <c r="C39" s="6" t="s">
        <v>680</v>
      </c>
      <c r="D39" s="6" t="s">
        <v>605</v>
      </c>
      <c r="E39" s="6" t="s">
        <v>734</v>
      </c>
      <c r="F39" s="6" t="n">
        <v>1</v>
      </c>
      <c r="G39" s="6" t="s">
        <v>612</v>
      </c>
      <c r="H39" s="6" t="s">
        <v>704</v>
      </c>
      <c r="I39" s="10" t="s">
        <v>735</v>
      </c>
      <c r="J39" s="6" t="s">
        <v>710</v>
      </c>
    </row>
    <row r="40" customFormat="false" ht="15" hidden="false" customHeight="true" outlineLevel="0" collapsed="false">
      <c r="A40" s="6" t="s">
        <v>575</v>
      </c>
      <c r="B40" s="6" t="s">
        <v>736</v>
      </c>
      <c r="C40" s="6" t="s">
        <v>680</v>
      </c>
      <c r="D40" s="6" t="s">
        <v>599</v>
      </c>
      <c r="E40" s="6" t="s">
        <v>737</v>
      </c>
      <c r="F40" s="6" t="n">
        <v>10</v>
      </c>
      <c r="G40" s="6" t="s">
        <v>682</v>
      </c>
      <c r="H40" s="6" t="s">
        <v>704</v>
      </c>
      <c r="I40" s="6" t="s">
        <v>738</v>
      </c>
      <c r="J40" s="6" t="s">
        <v>603</v>
      </c>
    </row>
    <row r="41" customFormat="false" ht="15" hidden="false" customHeight="true" outlineLevel="0" collapsed="false">
      <c r="A41" s="6" t="s">
        <v>390</v>
      </c>
      <c r="B41" s="6" t="s">
        <v>739</v>
      </c>
      <c r="C41" s="6" t="s">
        <v>680</v>
      </c>
      <c r="D41" s="6" t="s">
        <v>605</v>
      </c>
      <c r="E41" s="6" t="s">
        <v>740</v>
      </c>
      <c r="F41" s="6" t="n">
        <v>5</v>
      </c>
      <c r="G41" s="6" t="s">
        <v>607</v>
      </c>
      <c r="H41" s="6" t="s">
        <v>704</v>
      </c>
      <c r="I41" s="6" t="s">
        <v>741</v>
      </c>
      <c r="J41" s="6" t="s">
        <v>742</v>
      </c>
    </row>
    <row r="42" customFormat="false" ht="258.75" hidden="false" customHeight="true" outlineLevel="0" collapsed="false">
      <c r="A42" s="6" t="s">
        <v>408</v>
      </c>
      <c r="B42" s="6" t="s">
        <v>743</v>
      </c>
      <c r="C42" s="6" t="s">
        <v>680</v>
      </c>
      <c r="D42" s="6" t="s">
        <v>605</v>
      </c>
      <c r="E42" s="6" t="s">
        <v>744</v>
      </c>
      <c r="F42" s="6" t="n">
        <v>5</v>
      </c>
      <c r="G42" s="6" t="s">
        <v>612</v>
      </c>
      <c r="H42" s="6" t="s">
        <v>704</v>
      </c>
      <c r="I42" s="10" t="s">
        <v>745</v>
      </c>
      <c r="J42" s="10" t="s">
        <v>746</v>
      </c>
    </row>
    <row r="43" customFormat="false" ht="15" hidden="false" customHeight="true" outlineLevel="0" collapsed="false">
      <c r="A43" s="6" t="s">
        <v>576</v>
      </c>
      <c r="B43" s="6" t="s">
        <v>747</v>
      </c>
      <c r="C43" s="6" t="s">
        <v>680</v>
      </c>
      <c r="D43" s="6" t="s">
        <v>599</v>
      </c>
      <c r="E43" s="6" t="s">
        <v>748</v>
      </c>
      <c r="F43" s="6" t="n">
        <v>10</v>
      </c>
      <c r="G43" s="6" t="s">
        <v>607</v>
      </c>
      <c r="H43" s="6" t="s">
        <v>617</v>
      </c>
      <c r="I43" s="6" t="s">
        <v>749</v>
      </c>
      <c r="J43" s="6" t="s">
        <v>750</v>
      </c>
    </row>
    <row r="44" customFormat="false" ht="79.5" hidden="false" customHeight="true" outlineLevel="0" collapsed="false">
      <c r="A44" s="6" t="s">
        <v>424</v>
      </c>
      <c r="B44" s="6" t="s">
        <v>751</v>
      </c>
      <c r="C44" s="6" t="s">
        <v>680</v>
      </c>
      <c r="D44" s="6" t="s">
        <v>605</v>
      </c>
      <c r="E44" s="6" t="s">
        <v>752</v>
      </c>
      <c r="F44" s="6" t="n">
        <v>5</v>
      </c>
      <c r="G44" s="6" t="s">
        <v>607</v>
      </c>
      <c r="H44" s="6" t="s">
        <v>617</v>
      </c>
      <c r="I44" s="10" t="s">
        <v>753</v>
      </c>
      <c r="J44" s="6" t="s">
        <v>754</v>
      </c>
    </row>
    <row r="45" customFormat="false" ht="57" hidden="false" customHeight="true" outlineLevel="0" collapsed="false">
      <c r="A45" s="6" t="s">
        <v>436</v>
      </c>
      <c r="B45" s="6" t="s">
        <v>755</v>
      </c>
      <c r="C45" s="6" t="s">
        <v>680</v>
      </c>
      <c r="D45" s="6" t="s">
        <v>605</v>
      </c>
      <c r="E45" s="6" t="s">
        <v>756</v>
      </c>
      <c r="F45" s="6" t="n">
        <v>5</v>
      </c>
      <c r="G45" s="6" t="s">
        <v>607</v>
      </c>
      <c r="H45" s="6" t="s">
        <v>617</v>
      </c>
      <c r="I45" s="10" t="s">
        <v>757</v>
      </c>
      <c r="J45" s="6" t="s">
        <v>758</v>
      </c>
    </row>
    <row r="46" customFormat="false" ht="15" hidden="false" customHeight="true" outlineLevel="0" collapsed="false">
      <c r="A46" s="6" t="s">
        <v>445</v>
      </c>
      <c r="B46" s="6" t="s">
        <v>759</v>
      </c>
      <c r="C46" s="6" t="s">
        <v>760</v>
      </c>
      <c r="D46" s="6" t="s">
        <v>599</v>
      </c>
      <c r="E46" s="6" t="s">
        <v>761</v>
      </c>
      <c r="F46" s="6" t="n">
        <v>10</v>
      </c>
      <c r="G46" s="6" t="s">
        <v>762</v>
      </c>
      <c r="H46" s="6" t="s">
        <v>763</v>
      </c>
      <c r="I46" s="6" t="s">
        <v>764</v>
      </c>
      <c r="J46" s="6" t="s">
        <v>765</v>
      </c>
    </row>
    <row r="47" customFormat="false" ht="15" hidden="false" customHeight="true" outlineLevel="0" collapsed="false">
      <c r="A47" s="6" t="s">
        <v>451</v>
      </c>
      <c r="B47" s="6" t="s">
        <v>766</v>
      </c>
      <c r="C47" s="6" t="s">
        <v>760</v>
      </c>
      <c r="D47" s="6" t="s">
        <v>599</v>
      </c>
      <c r="E47" s="6" t="s">
        <v>767</v>
      </c>
      <c r="F47" s="6" t="n">
        <v>10</v>
      </c>
      <c r="G47" s="6" t="s">
        <v>762</v>
      </c>
      <c r="H47" s="6" t="s">
        <v>768</v>
      </c>
      <c r="I47" s="6" t="s">
        <v>769</v>
      </c>
      <c r="J47" s="6" t="s">
        <v>770</v>
      </c>
    </row>
    <row r="48" customFormat="false" ht="15" hidden="false" customHeight="true" outlineLevel="0" collapsed="false">
      <c r="A48" s="6" t="s">
        <v>461</v>
      </c>
      <c r="B48" s="6" t="s">
        <v>771</v>
      </c>
      <c r="C48" s="6" t="s">
        <v>760</v>
      </c>
      <c r="D48" s="6" t="s">
        <v>599</v>
      </c>
      <c r="E48" s="6" t="s">
        <v>772</v>
      </c>
      <c r="F48" s="6" t="n">
        <v>10</v>
      </c>
      <c r="G48" s="6" t="s">
        <v>762</v>
      </c>
      <c r="H48" s="6" t="s">
        <v>773</v>
      </c>
      <c r="I48" s="6" t="s">
        <v>774</v>
      </c>
      <c r="J48" s="6" t="s">
        <v>775</v>
      </c>
    </row>
    <row r="49" customFormat="false" ht="15" hidden="false" customHeight="true" outlineLevel="0" collapsed="false">
      <c r="A49" s="6" t="s">
        <v>577</v>
      </c>
      <c r="B49" s="6" t="s">
        <v>776</v>
      </c>
      <c r="C49" s="6" t="s">
        <v>760</v>
      </c>
      <c r="D49" s="6" t="s">
        <v>599</v>
      </c>
      <c r="E49" s="6" t="s">
        <v>777</v>
      </c>
      <c r="F49" s="6" t="n">
        <v>10</v>
      </c>
      <c r="G49" s="6" t="s">
        <v>607</v>
      </c>
      <c r="H49" s="6" t="s">
        <v>704</v>
      </c>
      <c r="I49" s="6" t="s">
        <v>778</v>
      </c>
      <c r="J49" s="6" t="s">
        <v>603</v>
      </c>
    </row>
    <row r="50" customFormat="false" ht="15" hidden="false" customHeight="true" outlineLevel="0" collapsed="false">
      <c r="A50" s="6" t="s">
        <v>471</v>
      </c>
      <c r="B50" s="6" t="s">
        <v>779</v>
      </c>
      <c r="C50" s="6" t="s">
        <v>760</v>
      </c>
      <c r="D50" s="6" t="s">
        <v>605</v>
      </c>
      <c r="E50" s="6" t="s">
        <v>780</v>
      </c>
      <c r="F50" s="6" t="n">
        <v>5</v>
      </c>
      <c r="G50" s="6" t="s">
        <v>607</v>
      </c>
      <c r="H50" s="6" t="s">
        <v>704</v>
      </c>
      <c r="I50" s="6" t="s">
        <v>781</v>
      </c>
      <c r="J50" s="6" t="s">
        <v>782</v>
      </c>
    </row>
    <row r="51" customFormat="false" ht="15" hidden="false" customHeight="true" outlineLevel="0" collapsed="false">
      <c r="A51" s="6" t="s">
        <v>491</v>
      </c>
      <c r="B51" s="6" t="s">
        <v>783</v>
      </c>
      <c r="C51" s="6" t="s">
        <v>760</v>
      </c>
      <c r="D51" s="6" t="s">
        <v>605</v>
      </c>
      <c r="E51" s="6" t="s">
        <v>784</v>
      </c>
      <c r="F51" s="6" t="n">
        <v>5</v>
      </c>
      <c r="G51" s="6" t="s">
        <v>612</v>
      </c>
      <c r="H51" s="6" t="s">
        <v>704</v>
      </c>
      <c r="I51" s="6" t="s">
        <v>785</v>
      </c>
      <c r="J51" s="6" t="s">
        <v>786</v>
      </c>
    </row>
    <row r="52" customFormat="false" ht="79.5" hidden="false" customHeight="true" outlineLevel="0" collapsed="false">
      <c r="A52" s="6" t="s">
        <v>503</v>
      </c>
      <c r="B52" s="6" t="s">
        <v>787</v>
      </c>
      <c r="C52" s="6" t="s">
        <v>760</v>
      </c>
      <c r="D52" s="6" t="s">
        <v>599</v>
      </c>
      <c r="E52" s="6" t="s">
        <v>788</v>
      </c>
      <c r="F52" s="6" t="n">
        <v>10</v>
      </c>
      <c r="G52" s="6" t="s">
        <v>607</v>
      </c>
      <c r="H52" s="6" t="s">
        <v>704</v>
      </c>
      <c r="I52" s="10" t="s">
        <v>789</v>
      </c>
      <c r="J52" s="6" t="s">
        <v>790</v>
      </c>
    </row>
    <row r="53" customFormat="false" ht="57" hidden="false" customHeight="true" outlineLevel="0" collapsed="false">
      <c r="A53" s="6" t="s">
        <v>519</v>
      </c>
      <c r="B53" s="6" t="s">
        <v>791</v>
      </c>
      <c r="C53" s="6" t="s">
        <v>760</v>
      </c>
      <c r="D53" s="6" t="s">
        <v>599</v>
      </c>
      <c r="E53" s="6" t="s">
        <v>792</v>
      </c>
      <c r="F53" s="6" t="n">
        <v>10</v>
      </c>
      <c r="G53" s="6" t="s">
        <v>762</v>
      </c>
      <c r="H53" s="6" t="s">
        <v>793</v>
      </c>
      <c r="I53" s="10" t="s">
        <v>794</v>
      </c>
      <c r="J53" s="6" t="s">
        <v>795</v>
      </c>
    </row>
    <row r="54" customFormat="false" ht="15" hidden="false" customHeight="true" outlineLevel="0" collapsed="false">
      <c r="A54" s="6" t="s">
        <v>578</v>
      </c>
      <c r="B54" s="6" t="s">
        <v>796</v>
      </c>
      <c r="C54" s="6" t="s">
        <v>760</v>
      </c>
      <c r="D54" s="6" t="s">
        <v>599</v>
      </c>
      <c r="E54" s="6" t="s">
        <v>797</v>
      </c>
      <c r="F54" s="6" t="n">
        <v>10</v>
      </c>
      <c r="G54" s="6" t="s">
        <v>762</v>
      </c>
      <c r="H54" s="6" t="s">
        <v>601</v>
      </c>
      <c r="I54" s="6" t="s">
        <v>798</v>
      </c>
      <c r="J54" s="6" t="s">
        <v>799</v>
      </c>
    </row>
    <row r="55" customFormat="false" ht="90.75" hidden="false" customHeight="true" outlineLevel="0" collapsed="false">
      <c r="A55" s="6" t="s">
        <v>529</v>
      </c>
      <c r="B55" s="6" t="s">
        <v>800</v>
      </c>
      <c r="C55" s="6" t="s">
        <v>760</v>
      </c>
      <c r="D55" s="6" t="s">
        <v>605</v>
      </c>
      <c r="E55" s="6" t="s">
        <v>801</v>
      </c>
      <c r="F55" s="6" t="n">
        <v>5</v>
      </c>
      <c r="G55" s="6" t="s">
        <v>762</v>
      </c>
      <c r="H55" s="6" t="s">
        <v>601</v>
      </c>
      <c r="I55" s="10" t="s">
        <v>802</v>
      </c>
      <c r="J55" s="6" t="s">
        <v>803</v>
      </c>
    </row>
    <row r="56" customFormat="false" ht="102" hidden="false" customHeight="true" outlineLevel="0" collapsed="false">
      <c r="A56" s="6" t="s">
        <v>539</v>
      </c>
      <c r="B56" s="6" t="s">
        <v>804</v>
      </c>
      <c r="C56" s="6" t="s">
        <v>760</v>
      </c>
      <c r="D56" s="6" t="s">
        <v>605</v>
      </c>
      <c r="E56" s="6" t="s">
        <v>805</v>
      </c>
      <c r="F56" s="6" t="n">
        <v>5</v>
      </c>
      <c r="G56" s="6" t="s">
        <v>762</v>
      </c>
      <c r="H56" s="6" t="s">
        <v>601</v>
      </c>
      <c r="I56" s="10" t="s">
        <v>806</v>
      </c>
      <c r="J56" s="6" t="s">
        <v>803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16</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1a</v>
      </c>
    </row>
    <row r="4" customFormat="false" ht="15" hidden="false" customHeight="true" outlineLevel="0" collapsed="false">
      <c r="A4" s="8" t="s">
        <v>561</v>
      </c>
      <c r="B4" s="3" t="str">
        <f aca="false">VLOOKUP($B$1,'PARASTATAL Questions'!$A:$J,4,0)&amp;""</f>
        <v>SQ</v>
      </c>
    </row>
    <row r="5" customFormat="false" ht="157.5" hidden="false" customHeight="true" outlineLevel="0" collapsed="false">
      <c r="A5" s="8" t="s">
        <v>0</v>
      </c>
      <c r="B5" s="3" t="str">
        <f aca="false">VLOOKUP($B$1,'PARASTATAL Questions'!$A:$J,5,0)&amp;""</f>
        <v>Is the parastatal mandated to prepare its spatial and/or sectoral plans in coordination with the ULG(s) within its jurisdiction?</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45.75" hidden="false" customHeight="true" outlineLevel="0" collapsed="false">
      <c r="A8" s="8" t="s">
        <v>594</v>
      </c>
      <c r="B8" s="3" t="str">
        <f aca="false">VLOOKUP($B$1,'PARASTATAL Questions'!$A:$J,8,0)&amp;""</f>
        <v>Common — all parastatal types.</v>
      </c>
    </row>
    <row r="9" customFormat="false" ht="504.75" hidden="false" customHeight="true" outlineLevel="0" collapsed="false">
      <c r="A9" s="8" t="s">
        <v>595</v>
      </c>
      <c r="B9" s="3" t="str">
        <f aca="false">VLOOKUP($B$1,'PARASTATAL Questions'!$A:$J,9,0)&amp;""</f>
        <v>Review the relevant Parastatal Act and the State Town and Country Planning (T&amp;CP) Act.10 — ULG approval/concurrence or joint preparation is required. 7.5 — formal consultation is mandatory, and ULG response must be considered/responded to. 5 — consultation is mandatory, but there is no obligation to incorporate/respond. 2.5 — consultation is discretionary (“may”). 0 — no formal role.</v>
      </c>
    </row>
    <row r="10" customFormat="false" ht="102" hidden="false" customHeight="true" outlineLevel="0" collapsed="false">
      <c r="A10" s="8" t="s">
        <v>596</v>
      </c>
      <c r="B10" s="3" t="str">
        <f aca="false">VLOOKUP($B$1,'PARASTATAL Questions'!$A:$J,10,0)&amp;""</f>
        <v>Relevant Parastatal Act; applicable Town and Country Planning (T&amp;CP) Act.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92.5" hidden="false" customHeight="true" outlineLevel="0" collapsed="false">
      <c r="A13" s="6" t="s">
        <v>17</v>
      </c>
      <c r="B13" s="6" t="s">
        <v>821</v>
      </c>
      <c r="C13" s="6" t="s">
        <v>21</v>
      </c>
      <c r="D13" s="6" t="s">
        <v>822</v>
      </c>
      <c r="E13" s="6" t="s">
        <v>823</v>
      </c>
      <c r="F13" s="6" t="s">
        <v>824</v>
      </c>
      <c r="G13" s="6" t="s">
        <v>825</v>
      </c>
      <c r="H13" s="6" t="s">
        <v>22</v>
      </c>
      <c r="I13" s="12" t="n">
        <v>1.25</v>
      </c>
      <c r="J13" s="6" t="n">
        <f aca="false">IF($B13="NO","NA",IF(I13="","",MIN(I13,$B$6)))</f>
        <v>1.25</v>
      </c>
      <c r="K13" s="10" t="s">
        <v>826</v>
      </c>
    </row>
    <row r="14" customFormat="false" ht="247.5" hidden="false" customHeight="true" outlineLevel="0" collapsed="false">
      <c r="A14" s="6" t="s">
        <v>26</v>
      </c>
      <c r="B14" s="6" t="s">
        <v>821</v>
      </c>
      <c r="C14" s="6" t="s">
        <v>28</v>
      </c>
      <c r="D14" s="6" t="s">
        <v>827</v>
      </c>
      <c r="E14" s="6" t="s">
        <v>828</v>
      </c>
      <c r="F14" s="6" t="s">
        <v>829</v>
      </c>
      <c r="G14" s="6" t="s">
        <v>830</v>
      </c>
      <c r="H14" s="6" t="s">
        <v>29</v>
      </c>
      <c r="I14" s="12"/>
      <c r="J14" s="6" t="str">
        <f aca="false">IF($B14="NO","NA",IF(I14="","",MIN(I14,$B$6)))</f>
        <v/>
      </c>
      <c r="K14" s="10" t="s">
        <v>831</v>
      </c>
    </row>
    <row r="15" customFormat="false" ht="325.5" hidden="false" customHeight="true" outlineLevel="0" collapsed="false">
      <c r="A15" s="6" t="s">
        <v>32</v>
      </c>
      <c r="B15" s="6" t="s">
        <v>821</v>
      </c>
      <c r="C15" s="6" t="s">
        <v>34</v>
      </c>
      <c r="D15" s="6" t="s">
        <v>832</v>
      </c>
      <c r="E15" s="6" t="s">
        <v>833</v>
      </c>
      <c r="F15" s="6" t="s">
        <v>834</v>
      </c>
      <c r="G15" s="6" t="s">
        <v>835</v>
      </c>
      <c r="H15" s="6" t="s">
        <v>35</v>
      </c>
      <c r="I15" s="12" t="n">
        <v>3.75</v>
      </c>
      <c r="J15" s="6" t="n">
        <f aca="false">IF($B15="NO","NA",IF(I15="","",MIN(I15,$B$6)))</f>
        <v>3.75</v>
      </c>
      <c r="K15" s="10" t="s">
        <v>836</v>
      </c>
    </row>
    <row r="16" customFormat="false" ht="381.75" hidden="false" customHeight="true" outlineLevel="0" collapsed="false">
      <c r="A16" s="6" t="s">
        <v>38</v>
      </c>
      <c r="B16" s="6" t="s">
        <v>821</v>
      </c>
      <c r="C16" s="6" t="s">
        <v>40</v>
      </c>
      <c r="D16" s="6" t="s">
        <v>837</v>
      </c>
      <c r="E16" s="6" t="s">
        <v>838</v>
      </c>
      <c r="F16" s="6" t="s">
        <v>839</v>
      </c>
      <c r="G16" s="6" t="s">
        <v>825</v>
      </c>
      <c r="H16" s="6" t="s">
        <v>29</v>
      </c>
      <c r="I16" s="12" t="n">
        <v>0</v>
      </c>
      <c r="J16" s="6" t="n">
        <f aca="false">IF($B16="NO","NA",IF(I16="","",MIN(I16,$B$6)))</f>
        <v>0</v>
      </c>
      <c r="K16" s="10" t="s">
        <v>840</v>
      </c>
    </row>
    <row r="17" customFormat="false" ht="15" hidden="false" customHeight="true" outlineLevel="0" collapsed="false">
      <c r="A17" s="6" t="s">
        <v>43</v>
      </c>
      <c r="B17" s="6" t="s">
        <v>821</v>
      </c>
      <c r="C17" s="6" t="s">
        <v>841</v>
      </c>
      <c r="D17" s="6" t="s">
        <v>842</v>
      </c>
      <c r="E17" s="6" t="s">
        <v>843</v>
      </c>
      <c r="F17" s="6" t="s">
        <v>844</v>
      </c>
      <c r="G17" s="6" t="s">
        <v>845</v>
      </c>
      <c r="H17" s="6" t="s">
        <v>846</v>
      </c>
      <c r="I17" s="12" t="n">
        <v>0</v>
      </c>
      <c r="J17" s="6" t="n">
        <f aca="false">IF($B17="NO","NA",IF(I17="","",MIN(I17,$B$6)))</f>
        <v>0</v>
      </c>
      <c r="K17" s="6" t="s">
        <v>847</v>
      </c>
    </row>
    <row r="18" customFormat="false" ht="15" hidden="false" customHeight="true" outlineLevel="0" collapsed="false">
      <c r="A18" s="6" t="s">
        <v>46</v>
      </c>
      <c r="B18" s="6" t="s">
        <v>821</v>
      </c>
      <c r="I18" s="12"/>
      <c r="J18" s="6" t="str">
        <f aca="false">IF($B18="NO","NA",IF(I18="","",MIN(I18,$B$6)))</f>
        <v/>
      </c>
      <c r="K18" s="0" t="s">
        <v>848</v>
      </c>
    </row>
    <row r="19" customFormat="false" ht="15" hidden="false" customHeight="true" outlineLevel="0" collapsed="false">
      <c r="A19" s="6" t="s">
        <v>48</v>
      </c>
      <c r="B19" s="6" t="s">
        <v>821</v>
      </c>
      <c r="I19" s="12"/>
      <c r="J19" s="6" t="str">
        <f aca="false">IF($B19="NO","NA",IF(I19="","",MIN(I19,$B$6)))</f>
        <v/>
      </c>
      <c r="K19" s="0" t="s">
        <v>849</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50</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1b</v>
      </c>
    </row>
    <row r="4" customFormat="false" ht="15" hidden="false" customHeight="true" outlineLevel="0" collapsed="false">
      <c r="A4" s="8" t="s">
        <v>561</v>
      </c>
      <c r="B4" s="3" t="str">
        <f aca="false">VLOOKUP($B$1,'PARASTATAL Questions'!$A:$J,4,0)&amp;""</f>
        <v>SQ</v>
      </c>
    </row>
    <row r="5" customFormat="false" ht="90.75" hidden="false" customHeight="true" outlineLevel="0" collapsed="false">
      <c r="A5" s="8" t="s">
        <v>0</v>
      </c>
      <c r="B5" s="3" t="str">
        <f aca="false">VLOOKUP($B$1,'PARASTATAL Questions'!$A:$J,5,0)&amp;""</f>
        <v>Has the ULG participated in the parastatal’s plan-making process?</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45.75" hidden="false" customHeight="true" outlineLevel="0" collapsed="false">
      <c r="A8" s="8" t="s">
        <v>594</v>
      </c>
      <c r="B8" s="3" t="str">
        <f aca="false">VLOOKUP($B$1,'PARASTATAL Questions'!$A:$J,8,0)&amp;""</f>
        <v>Common — all parastatal types.</v>
      </c>
    </row>
    <row r="9" customFormat="false" ht="1098" hidden="false" customHeight="true" outlineLevel="0" collapsed="false">
      <c r="A9" s="8" t="s">
        <v>595</v>
      </c>
      <c r="B9" s="3" t="str">
        <f aca="false">VLOOKUP($B$1,'PARASTATAL Questions'!$A:$J,9,0)&amp;""</f>
        <v>Review the latest available plan-making cycle for evidence of ULG participation in the parastatal’s plan-making process, irrespective of whether such participation is legally mandated.Score 10 where there is evidence of substantive ULG participation, such as joint preparation, concurrence/approval, or documented consideration of and response to ULG inputs.Score 5 where the ULG was formally consulted or invited to provide inputs, but there is no evidence of how these inputs were considered.Score 2.5 where there is evidence of limited or informal engagement with the ULG.Score 0 where there is no evidence of ULG participation.Evidence may include plan documents, consultation records, meeting minutes, ULG resolutions/comments, responses to ULG inputs, or information published on the parastatal/ULG website.</v>
      </c>
    </row>
    <row r="10" customFormat="false" ht="258.75" hidden="false" customHeight="true" outlineLevel="0" collapsed="false">
      <c r="A10" s="8" t="s">
        <v>596</v>
      </c>
      <c r="B10" s="3" t="str">
        <f aca="false">VLOOKUP($B$1,'PARASTATAL Questions'!$A:$J,10,0)&amp;""</f>
        <v>Evidence may include plan documents, consultation records, meeting minutes, ULG resolutions/comments, responses to ULG inputs, or information published on the parastatal website.</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C13" s="6" t="s">
        <v>850</v>
      </c>
      <c r="D13" s="6" t="s">
        <v>851</v>
      </c>
      <c r="E13" s="6" t="s">
        <v>852</v>
      </c>
      <c r="F13" s="6" t="s">
        <v>853</v>
      </c>
      <c r="G13" s="6" t="s">
        <v>854</v>
      </c>
      <c r="H13" s="6" t="s">
        <v>855</v>
      </c>
      <c r="I13" s="12" t="n">
        <v>5</v>
      </c>
      <c r="J13" s="6" t="n">
        <f aca="false">IF($B13="NO","NA",IF(I13="","",MIN(I13,$B$6)))</f>
        <v>5</v>
      </c>
      <c r="K13" s="6" t="s">
        <v>856</v>
      </c>
    </row>
    <row r="14" customFormat="false" ht="15" hidden="false" customHeight="true" outlineLevel="0" collapsed="false">
      <c r="A14" s="6" t="s">
        <v>26</v>
      </c>
      <c r="B14" s="6" t="s">
        <v>821</v>
      </c>
      <c r="I14" s="12"/>
      <c r="J14" s="6" t="str">
        <f aca="false">IF($B14="NO","NA",IF(I14="","",MIN(I14,$B$6)))</f>
        <v/>
      </c>
      <c r="K14" s="6" t="s">
        <v>857</v>
      </c>
    </row>
    <row r="15" customFormat="false" ht="15" hidden="false" customHeight="true" outlineLevel="0" collapsed="false">
      <c r="A15" s="6" t="s">
        <v>32</v>
      </c>
      <c r="B15" s="6" t="s">
        <v>821</v>
      </c>
      <c r="I15" s="12"/>
      <c r="J15" s="6" t="str">
        <f aca="false">IF($B15="NO","NA",IF(I15="","",MIN(I15,$B$6)))</f>
        <v/>
      </c>
      <c r="K15" s="6" t="s">
        <v>858</v>
      </c>
    </row>
    <row r="16" customFormat="false" ht="15" hidden="false" customHeight="true" outlineLevel="0" collapsed="false">
      <c r="A16" s="6" t="s">
        <v>38</v>
      </c>
      <c r="B16" s="6" t="s">
        <v>821</v>
      </c>
      <c r="I16" s="12"/>
      <c r="J16" s="6" t="str">
        <f aca="false">IF($B16="NO","NA",IF(I16="","",MIN(I16,$B$6)))</f>
        <v/>
      </c>
      <c r="K16" s="6" t="s">
        <v>859</v>
      </c>
    </row>
    <row r="17" customFormat="false" ht="15" hidden="false" customHeight="true" outlineLevel="0" collapsed="false">
      <c r="A17" s="6" t="s">
        <v>43</v>
      </c>
      <c r="B17" s="6" t="s">
        <v>821</v>
      </c>
      <c r="I17" s="12"/>
      <c r="J17" s="6" t="str">
        <f aca="false">IF($B17="NO","NA",IF(I17="","",MIN(I17,$B$6)))</f>
        <v/>
      </c>
      <c r="K17" s="6" t="s">
        <v>860</v>
      </c>
    </row>
    <row r="18" customFormat="false" ht="15" hidden="false" customHeight="true" outlineLevel="0" collapsed="false">
      <c r="A18" s="6" t="s">
        <v>46</v>
      </c>
      <c r="B18" s="6" t="s">
        <v>821</v>
      </c>
      <c r="C18" s="6" t="s">
        <v>58</v>
      </c>
      <c r="D18" s="0" t="s">
        <v>861</v>
      </c>
      <c r="E18" s="0" t="s">
        <v>862</v>
      </c>
      <c r="F18" s="0" t="s">
        <v>863</v>
      </c>
      <c r="G18" s="0" t="s">
        <v>864</v>
      </c>
      <c r="H18" s="6" t="s">
        <v>59</v>
      </c>
      <c r="I18" s="12"/>
      <c r="J18" s="6" t="str">
        <f aca="false">IF($B18="NO","NA",IF(I18="","",MIN(I18,$B$6)))</f>
        <v/>
      </c>
      <c r="K18" s="10" t="s">
        <v>865</v>
      </c>
    </row>
    <row r="19" customFormat="false" ht="15" hidden="false" customHeight="true" outlineLevel="0" collapsed="false">
      <c r="A19" s="6" t="s">
        <v>48</v>
      </c>
      <c r="B19" s="6" t="s">
        <v>821</v>
      </c>
      <c r="C19" s="6" t="s">
        <v>63</v>
      </c>
      <c r="D19" s="0" t="s">
        <v>866</v>
      </c>
      <c r="E19" s="0" t="s">
        <v>867</v>
      </c>
      <c r="F19" s="0" t="s">
        <v>868</v>
      </c>
      <c r="G19" s="0" t="s">
        <v>869</v>
      </c>
      <c r="H19" s="6" t="s">
        <v>64</v>
      </c>
      <c r="I19" s="12"/>
      <c r="J19" s="6" t="str">
        <f aca="false">IF($B19="NO","NA",IF(I19="","",MIN(I19,$B$6)))</f>
        <v/>
      </c>
      <c r="K19" s="10" t="s">
        <v>870</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67</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2a</v>
      </c>
    </row>
    <row r="4" customFormat="false" ht="15" hidden="false" customHeight="true" outlineLevel="0" collapsed="false">
      <c r="A4" s="8" t="s">
        <v>561</v>
      </c>
      <c r="B4" s="3" t="str">
        <f aca="false">VLOOKUP($B$1,'PARASTATAL Questions'!$A:$J,4,0)&amp;""</f>
        <v>SQ</v>
      </c>
    </row>
    <row r="5" customFormat="false" ht="247.5" hidden="false" customHeight="true" outlineLevel="0" collapsed="false">
      <c r="A5" s="8" t="s">
        <v>0</v>
      </c>
      <c r="B5" s="3" t="str">
        <f aca="false">VLOOKUP($B$1,'PARASTATAL Questions'!$A:$J,5,0)&amp;""</f>
        <v>Where multiple statutory or sectoral plans apply to the same territory, is the water board mandated to ensure consistency with the applicable metropolitan/regional or city master plan/strategic plan for the city?</v>
      </c>
    </row>
    <row r="6" customFormat="false" ht="15" hidden="false" customHeight="true" outlineLevel="0" collapsed="false">
      <c r="A6" s="8" t="s">
        <v>563</v>
      </c>
      <c r="B6" s="3" t="n">
        <f aca="false">VLOOKUP($B$1,'PARASTATAL Questions'!$A:$J,6,0)</f>
        <v>2.5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Water supply board</v>
      </c>
    </row>
    <row r="9" customFormat="false" ht="784.5" hidden="false" customHeight="true" outlineLevel="0" collapsed="false">
      <c r="A9" s="8" t="s">
        <v>595</v>
      </c>
      <c r="B9" s="3" t="str">
        <f aca="false">VLOOKUP($B$1,'PARASTATAL Questions'!$A:$J,9,0)&amp;""</f>
        <v>Review the relevant Parastatal Act and Town and Country Planning Act.Score 2.50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water supply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8" t="s">
        <v>596</v>
      </c>
      <c r="B10" s="3" t="str">
        <f aca="false">VLOOKUP($B$1,'PARASTATAL Questions'!$A:$J,10,0)&amp;""</f>
        <v>Relevant Parastatal Act; applicable Town and Country Planning (T&amp;CP) Act.</v>
      </c>
    </row>
    <row r="11" customFormat="false" ht="15" hidden="false" customHeight="true" outlineLevel="0" collapsed="false">
      <c r="B11" s="11" t="s">
        <v>809</v>
      </c>
      <c r="I11" s="11" t="s">
        <v>871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415.5" hidden="false" customHeight="true" outlineLevel="0" collapsed="false">
      <c r="A13" s="6" t="s">
        <v>17</v>
      </c>
      <c r="B13" s="6" t="s">
        <v>821</v>
      </c>
      <c r="C13" s="6" t="s">
        <v>69</v>
      </c>
      <c r="D13" s="6" t="s">
        <v>837</v>
      </c>
      <c r="E13" s="6" t="s">
        <v>872</v>
      </c>
      <c r="F13" s="6" t="s">
        <v>873</v>
      </c>
      <c r="G13" s="6" t="s">
        <v>830</v>
      </c>
      <c r="H13" s="6" t="s">
        <v>29</v>
      </c>
      <c r="I13" s="12" t="n">
        <v>0</v>
      </c>
      <c r="J13" s="6" t="n">
        <f aca="false">IF($B13="NO","NA",IF(I13="","",MIN(I13,$B$6)))</f>
        <v>0</v>
      </c>
      <c r="K13" s="10" t="s">
        <v>874</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71</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2b</v>
      </c>
    </row>
    <row r="4" customFormat="false" ht="15" hidden="false" customHeight="true" outlineLevel="0" collapsed="false">
      <c r="A4" s="8" t="s">
        <v>561</v>
      </c>
      <c r="B4" s="3" t="str">
        <f aca="false">VLOOKUP($B$1,'PARASTATAL Questions'!$A:$J,4,0)&amp;""</f>
        <v>SQ</v>
      </c>
    </row>
    <row r="5" customFormat="false" ht="258.75" hidden="false" customHeight="true" outlineLevel="0" collapsed="false">
      <c r="A5" s="8" t="s">
        <v>0</v>
      </c>
      <c r="B5" s="3" t="str">
        <f aca="false">VLOOKUP($B$1,'PARASTATAL Questions'!$A:$J,5,0)&amp;""</f>
        <v>Where multiple statutory or sectoral plans apply to the same territory, does the water supply board ensure consistency with the applicable metropolitan/regional or city master plan/strategic plan for the city?</v>
      </c>
    </row>
    <row r="6" customFormat="false" ht="15" hidden="false" customHeight="true" outlineLevel="0" collapsed="false">
      <c r="A6" s="8" t="s">
        <v>563</v>
      </c>
      <c r="B6" s="3" t="n">
        <f aca="false">VLOOKUP($B$1,'PARASTATAL Questions'!$A:$J,6,0)</f>
        <v>2.5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Water supply board</v>
      </c>
    </row>
    <row r="9" customFormat="false" ht="1960.5" hidden="false" customHeight="true" outlineLevel="0" collapsed="false">
      <c r="A9" s="8" t="s">
        <v>595</v>
      </c>
      <c r="B9" s="3" t="str">
        <f aca="false">VLOOKUP($B$1,'PARASTATAL Questions'!$A:$J,9,0)&amp;""</f>
        <v>Review the Board’s current water supply/sewerage master plan, or equivalent sectoral planning document, together with the applicable Master Plan/Development Plan/Metropolitan or Regional Plan. Score 2.5 if the water plan demonstrates substantive spatial alignment with the city’s master plan: It explicitly draws reference to the city master plan, uses the master plan’s growth/service areas and/or land-use framework to determine network expansion and major infrastructure siting, and also refers to the master plan or its projections as an input.Score 1.25 if there is partial alignment: the water plan refers to the master plan and/or uses its population, density or land-use projections, but does not clearly demonstrate that these inputs determine the spatial location of network expansion, service areas or major infrastructure.Score 0 if there is no identifiable evidence that the Master Plan or its spatial/population framework informs water planning. The score sheet should record components for scores, the plan/document relied upon, year, applicable statutory master plan and the specific reference demonstrating alignment. Additional quality check, and not for scoring:Where readily available, record whether major treatment plants, trunk infrastructure or other significant facilities have required subsequent land-use conversion/regularisation because they were located on land not originally designated for that use. Treat this as contextual evidence of planning misalignment; it should not require a project-by-project review across the entire city.</v>
      </c>
    </row>
    <row r="10" customFormat="false" ht="370.5" hidden="false" customHeight="true" outlineLevel="0" collapsed="false">
      <c r="A10" s="8" t="s">
        <v>596</v>
      </c>
      <c r="B10" s="3" t="str">
        <f aca="false">VLOOKUP($B$1,'PARASTATAL Questions'!$A:$J,10,0)&amp;""</f>
        <v>Water Supply Board's current water supply/sewerage master plan or equivalent sectoral planning document; applicable Master Plan/Development Plan/Metropolitan or Regional Plan; land-use conversion/regularisation records for major treatment plants or trunk infrastructure, where available.</v>
      </c>
    </row>
    <row r="11" customFormat="false" ht="15" hidden="false" customHeight="true" outlineLevel="0" collapsed="false">
      <c r="B11" s="11" t="s">
        <v>809</v>
      </c>
      <c r="I11" s="11" t="s">
        <v>871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876</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73</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2c</v>
      </c>
    </row>
    <row r="4" customFormat="false" ht="15" hidden="false" customHeight="true" outlineLevel="0" collapsed="false">
      <c r="A4" s="8" t="s">
        <v>561</v>
      </c>
      <c r="B4" s="3" t="str">
        <f aca="false">VLOOKUP($B$1,'PARASTATAL Questions'!$A:$J,4,0)&amp;""</f>
        <v>SQ</v>
      </c>
    </row>
    <row r="5" customFormat="false" ht="270" hidden="false" customHeight="true" outlineLevel="0" collapsed="false">
      <c r="A5" s="8" t="s">
        <v>0</v>
      </c>
      <c r="B5" s="3" t="str">
        <f aca="false">VLOOKUP($B$1,'PARASTATAL Questions'!$A:$J,5,0)&amp;""</f>
        <v>Where multiple statutory or sectoral plans apply to the same territory, is the transport corporation mandated to ensure consistency with the applicable metropolitan/regional or city master plan/strategic plan for the city?</v>
      </c>
    </row>
    <row r="6" customFormat="false" ht="15" hidden="false" customHeight="true" outlineLevel="0" collapsed="false">
      <c r="A6" s="8" t="s">
        <v>563</v>
      </c>
      <c r="B6" s="3" t="n">
        <f aca="false">VLOOKUP($B$1,'PARASTATAL Questions'!$A:$J,6,0)</f>
        <v>2.5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Transport Corporation</v>
      </c>
    </row>
    <row r="9" customFormat="false" ht="773.25" hidden="false" customHeight="true" outlineLevel="0" collapsed="false">
      <c r="A9" s="8" t="s">
        <v>595</v>
      </c>
      <c r="B9" s="3" t="str">
        <f aca="false">VLOOKUP($B$1,'PARASTATAL Questions'!$A:$J,9,0)&amp;""</f>
        <v>Review the relevant Parastatal Act and Town and Country Planning Act.Score 2.5 if the parastatal shall/is required to ensure that its spatial/sectoral plan is consistent with the applicable city, metropolitan or regional statutory plan.Score 1.25 if the law provides that the parastatal may ensure/seek such consistency or otherwise makes alignment discretionary.Score 0 if no such provision exists.For example, a provision stating that a transport plan shall conform to the applicable Master Plan or Metropolitan Plan would score 2.5, while a provision stating that the authority may have regard to such a plan would score 1.25.</v>
      </c>
    </row>
    <row r="10" customFormat="false" ht="102" hidden="false" customHeight="true" outlineLevel="0" collapsed="false">
      <c r="A10" s="8" t="s">
        <v>596</v>
      </c>
      <c r="B10" s="3" t="str">
        <f aca="false">VLOOKUP($B$1,'PARASTATAL Questions'!$A:$J,10,0)&amp;""</f>
        <v>Relevant Parastatal Act; applicable Town and Country Planning (T&amp;CP) Act.</v>
      </c>
    </row>
    <row r="11" customFormat="false" ht="15" hidden="false" customHeight="true" outlineLevel="0" collapsed="false">
      <c r="B11" s="11" t="s">
        <v>809</v>
      </c>
      <c r="I11" s="11" t="s">
        <v>871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258.75" hidden="false" customHeight="true" outlineLevel="0" collapsed="false">
      <c r="A14" s="6" t="s">
        <v>26</v>
      </c>
      <c r="B14" s="6" t="s">
        <v>821</v>
      </c>
      <c r="C14" s="6" t="s">
        <v>75</v>
      </c>
      <c r="D14" s="6" t="s">
        <v>877</v>
      </c>
      <c r="E14" s="6" t="s">
        <v>878</v>
      </c>
      <c r="F14" s="6" t="s">
        <v>879</v>
      </c>
      <c r="G14" s="6" t="s">
        <v>880</v>
      </c>
      <c r="H14" s="6" t="s">
        <v>76</v>
      </c>
      <c r="I14" s="12" t="n">
        <v>2.5</v>
      </c>
      <c r="J14" s="6" t="n">
        <f aca="false">IF($B14="NO","NA",IF(I14="","",MIN(I14,$B$6)))</f>
        <v>2.5</v>
      </c>
      <c r="K14" s="10" t="s">
        <v>881</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79</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2d</v>
      </c>
    </row>
    <row r="4" customFormat="false" ht="15" hidden="false" customHeight="true" outlineLevel="0" collapsed="false">
      <c r="A4" s="8" t="s">
        <v>561</v>
      </c>
      <c r="B4" s="3" t="str">
        <f aca="false">VLOOKUP($B$1,'PARASTATAL Questions'!$A:$J,4,0)&amp;""</f>
        <v>SQ</v>
      </c>
    </row>
    <row r="5" customFormat="false" ht="247.5" hidden="false" customHeight="true" outlineLevel="0" collapsed="false">
      <c r="A5" s="8" t="s">
        <v>0</v>
      </c>
      <c r="B5" s="3" t="str">
        <f aca="false">VLOOKUP($B$1,'PARASTATAL Questions'!$A:$J,5,0)&amp;""</f>
        <v>Where multiple statutory or sectoral plans apply to the same territory, does the transport corporation ensure consistency with the applicable metropolitan/regional or city master plan/strategic plan for the city?</v>
      </c>
    </row>
    <row r="6" customFormat="false" ht="15" hidden="false" customHeight="true" outlineLevel="0" collapsed="false">
      <c r="A6" s="8" t="s">
        <v>563</v>
      </c>
      <c r="B6" s="3" t="n">
        <f aca="false">VLOOKUP($B$1,'PARASTATAL Questions'!$A:$J,6,0)</f>
        <v>2.5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Transport Corporation</v>
      </c>
    </row>
    <row r="9" customFormat="false" ht="1983" hidden="false" customHeight="true" outlineLevel="0" collapsed="false">
      <c r="A9" s="8" t="s">
        <v>595</v>
      </c>
      <c r="B9" s="3" t="str">
        <f aca="false">VLOOKUP($B$1,'PARASTATAL Questions'!$A:$J,9,0)&amp;""</f>
        <v>Review the transport corporation's current transport/mobility master plan, network expansion plan, or equivalent sectoral planning document, together with the applicable Master Plan/Development Plan/Metropolitan or Regional Plan.Score 2.5 if the transport plan demonstrates substantive spatial alignment with the city's master plan: it explicitly draws reference to the city master plan, uses the master plan's growth corridors, land-use framework and/or density projections to determine route planning, station/depot siting or network expansion, and refers to the master plan or its projections as an input.Score 1.25 if there is partial alignment: the transport plan refers to the master plan and/or uses its population, density or land-use projections, but does not clearly demonstrate that these inputs determine the spatial location of routes, stations or major infrastructure.Score 0 if there is no identifiable evidence that the Master Plan or its spatial/population framework informs transport planning.The score sheet should record components for scores, the plan/document relied upon, year, applicable statutory master plan, and the specific reference demonstrating alignment.Additional quality check, not for scoring: where readily available, record whether major depots, terminals or transit infrastructure required subsequent land-use conversion/regularisation because they were sited on land not originally designated for that use. Treat this as contextual evidence of planning misalignment; it should not require a project-by-project review across the entire city.</v>
      </c>
    </row>
    <row r="10" customFormat="false" ht="270" hidden="false" customHeight="true" outlineLevel="0" collapsed="false">
      <c r="A10" s="8" t="s">
        <v>596</v>
      </c>
      <c r="B10" s="3" t="str">
        <f aca="false">VLOOKUP($B$1,'PARASTATAL Questions'!$A:$J,10,0)&amp;""</f>
        <v>Transport corporation's current mobility/network plan; applicable Master Plan/Development Plan/Metropolitan or Regional Plan; land-use conversion/regularisation records for major transport infrastructure, where available.</v>
      </c>
    </row>
    <row r="11" customFormat="false" ht="15" hidden="false" customHeight="true" outlineLevel="0" collapsed="false">
      <c r="B11" s="11" t="s">
        <v>809</v>
      </c>
      <c r="I11" s="11" t="s">
        <v>871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15" hidden="false" customHeight="true" outlineLevel="0" collapsed="false">
      <c r="A14" s="6" t="s">
        <v>26</v>
      </c>
      <c r="B14" s="6" t="s">
        <v>821</v>
      </c>
      <c r="I14" s="12"/>
      <c r="J14" s="6" t="str">
        <f aca="false">IF($B14="NO","NA",IF(I14="","",MIN(I14,$B$6)))</f>
        <v/>
      </c>
      <c r="K14" s="6" t="s">
        <v>882</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81</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3a</v>
      </c>
    </row>
    <row r="4" customFormat="false" ht="15" hidden="false" customHeight="true" outlineLevel="0" collapsed="false">
      <c r="A4" s="8" t="s">
        <v>561</v>
      </c>
      <c r="B4" s="3" t="str">
        <f aca="false">VLOOKUP($B$1,'PARASTATAL Questions'!$A:$J,4,0)&amp;""</f>
        <v>SQ</v>
      </c>
    </row>
    <row r="5" customFormat="false" ht="258.75" hidden="false" customHeight="true" outlineLevel="0" collapsed="false">
      <c r="A5" s="8" t="s">
        <v>0</v>
      </c>
      <c r="B5" s="3" t="str">
        <f aca="false">VLOOKUP($B$1,'PARASTATAL Questions'!$A:$J,5,0)&amp;""</f>
        <v>Is the water supply board mandated to consider the needs of women, the urban poor and other vulnerable groups in decisions relating to access, affordability and delivery of water and sanitation services?</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Water supply board</v>
      </c>
    </row>
    <row r="9" customFormat="false" ht="840.75" hidden="false" customHeight="true" outlineLevel="0" collapsed="false">
      <c r="A9" s="8" t="s">
        <v>595</v>
      </c>
      <c r="B9" s="3" t="str">
        <f aca="false">VLOOKUP($B$1,'PARASTATAL Questions'!$A:$J,9,0)&amp;""</f>
        <v>Review the Water Supply Board/utility Act, water and sanitation legislation, tariff regulations, service rules, State policies and other applicable binding instruments. Look for explicit requirements relating to universal/equitable access, service to slums or informal settlements, low-income/EWS households, affordability or concessional tariffs, minimum/lifeline supply, tenure-neutral access, women’s needs, persons with disabilities or other identified vulnerable groups.Score 5 if equity requirements apply across core service-access and delivery decisionsScore 2.5 if limited to particular groups, services or schemesScore 0 if no explicit requirement is found.</v>
      </c>
    </row>
    <row r="10" customFormat="false" ht="202.5" hidden="false" customHeight="true" outlineLevel="0" collapsed="false">
      <c r="A10" s="8" t="s">
        <v>596</v>
      </c>
      <c r="B10" s="3" t="str">
        <f aca="false">VLOOKUP($B$1,'PARASTATAL Questions'!$A:$J,10,0)&amp;""</f>
        <v>Water Supply Board/utility Act, water and sanitation legislation, tariff regulations, service rules, State policies and other applicable binding instruments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13.75" hidden="false" customHeight="true" outlineLevel="0" collapsed="false">
      <c r="A13" s="6" t="s">
        <v>17</v>
      </c>
      <c r="B13" s="6" t="s">
        <v>821</v>
      </c>
      <c r="C13" s="6" t="s">
        <v>21</v>
      </c>
      <c r="D13" s="6" t="s">
        <v>883</v>
      </c>
      <c r="E13" s="6" t="s">
        <v>884</v>
      </c>
      <c r="F13" s="6" t="s">
        <v>885</v>
      </c>
      <c r="G13" s="6" t="s">
        <v>886</v>
      </c>
      <c r="H13" s="6" t="s">
        <v>22</v>
      </c>
      <c r="I13" s="12" t="n">
        <v>2.5</v>
      </c>
      <c r="J13" s="6" t="n">
        <f aca="false">IF($B13="NO","NA",IF(I13="","",MIN(I13,$B$6)))</f>
        <v>2.5</v>
      </c>
      <c r="K13" s="10" t="s">
        <v>887</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85</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3b</v>
      </c>
    </row>
    <row r="4" customFormat="false" ht="15" hidden="false" customHeight="true" outlineLevel="0" collapsed="false">
      <c r="A4" s="8" t="s">
        <v>561</v>
      </c>
      <c r="B4" s="3" t="str">
        <f aca="false">VLOOKUP($B$1,'PARASTATAL Questions'!$A:$J,4,0)&amp;""</f>
        <v>SQ</v>
      </c>
    </row>
    <row r="5" customFormat="false" ht="247.5" hidden="false" customHeight="true" outlineLevel="0" collapsed="false">
      <c r="A5" s="8" t="s">
        <v>0</v>
      </c>
      <c r="B5" s="3" t="str">
        <f aca="false">VLOOKUP($B$1,'PARASTATAL Questions'!$A:$J,5,0)&amp;""</f>
        <v>Does the water supply board actually consider the needs of women, the urban poor and other vulnerable groups in decisions relating to access, affordability and delivery of water and sanitation services?</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Water supply board</v>
      </c>
    </row>
    <row r="9" customFormat="false" ht="3276.75" hidden="false" customHeight="true" outlineLevel="0" collapsed="false">
      <c r="A9" s="8" t="s">
        <v>595</v>
      </c>
      <c r="B9" s="3" t="str">
        <f aca="false">VLOOKUP($B$1,'PARASTATAL Questions'!$A:$J,9,0)&amp;""</f>
        <v>Review the Board’s current water supply plan. Assess whether the Board’s it contains identifiable equity and inclusion measures for groups such as EWS/BPL households, slum/informal-settlement residents, women, persons with disabilities, elderly persons or other specifically identified vulnerable/disadvantaged groups. Do not award credit for generic language such as “public interest”, “all consumers”, “universal service” or “inclusive development” unless this is translated into a specific planning, service, tariff, connection or design provision. Component 1 – Affordability and inclusion in service coverage: 2.5 marksLook for identifiable provisions such as:concessional/lifeline tariff, connection fee concession, deposit concession or other affordability measure for EWS/BPL/slum/low-income householdsa named scheme or coverage commitment for slums/informal settlementsinclusion of slums/informal settlements within the water-supply master plan’s demand assessment, network design or service area, including where relevant irrespective of land tenure or notified statuspriority/admissible category for network extension to low-income or underserved settlementsdecentralised/service alternatives such as community stand posts, water ATMs or mini-networks where individual household connections are not feasible.ScoringScore 2.5 if there is evidence of both (i) an affordability/access measure and (ii) an explicit service-planning/coverage measure for an identified vulnerable group.Score 1.25 if only one of the above is present.Score 0 if neither is present. Component 2 – Gender, and accessible design: 2.5 marksLook for identifiable planning or design measures such as:GESI/gender/social inclusion screening or analysis within water-supply planning or DPR preparationexplicit design consideration for women, PwDs, elderly persons, children or other identified vulnerable userssiting of shared water infrastructure to reduce time, distance or physical burdensafe and accessible approaches to community water pointsbarrier-free/universal-access design standards for public-facing water infrastructure, including ramps, step-free access, appropriate tap heights or other accessible design featuresother specific design or service measures intended to address identified access barriers.ScoringScore 2.5 if the Board’s current planning/design framework contains specific operational or design measures addressing the needs of identified vulnerable groups.Score 1.25 if vulnerable groups are specifically identified and considered, but the provision does not translate into a clear operational/design requirement.Score 0 if there is no identifiable equity/accessibility consideration.</v>
      </c>
    </row>
    <row r="10" customFormat="false" ht="213.75" hidden="false" customHeight="true" outlineLevel="0" collapsed="false">
      <c r="A10" s="8" t="s">
        <v>596</v>
      </c>
      <c r="B10" s="3" t="str">
        <f aca="false">VLOOKUP($B$1,'PARASTATAL Questions'!$A:$J,10,0)&amp;""</f>
        <v>Water Supply Board's current water supply/sanitation plan; scheme/coverage documents; tariff or connection-concession orders; design/service standards.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36.25" hidden="false" customHeight="true" outlineLevel="0" collapsed="false">
      <c r="A13" s="6" t="s">
        <v>17</v>
      </c>
      <c r="B13" s="6" t="s">
        <v>821</v>
      </c>
      <c r="C13" s="6" t="s">
        <v>87</v>
      </c>
      <c r="D13" s="6" t="s">
        <v>888</v>
      </c>
      <c r="E13" s="6" t="s">
        <v>889</v>
      </c>
      <c r="F13" s="6" t="s">
        <v>890</v>
      </c>
      <c r="G13" s="6" t="s">
        <v>891</v>
      </c>
      <c r="H13" s="6" t="s">
        <v>88</v>
      </c>
      <c r="I13" s="12" t="n">
        <v>2.5</v>
      </c>
      <c r="J13" s="6" t="n">
        <f aca="false">IF($B13="NO","NA",IF(I13="","",MIN(I13,$B$6)))</f>
        <v>2.5</v>
      </c>
      <c r="K13" s="10" t="s">
        <v>892</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91</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4a</v>
      </c>
    </row>
    <row r="4" customFormat="false" ht="15" hidden="false" customHeight="true" outlineLevel="0" collapsed="false">
      <c r="A4" s="8" t="s">
        <v>561</v>
      </c>
      <c r="B4" s="3" t="str">
        <f aca="false">VLOOKUP($B$1,'PARASTATAL Questions'!$A:$J,4,0)&amp;""</f>
        <v>SQ</v>
      </c>
    </row>
    <row r="5" customFormat="false" ht="247.5" hidden="false" customHeight="true" outlineLevel="0" collapsed="false">
      <c r="A5" s="8" t="s">
        <v>0</v>
      </c>
      <c r="B5" s="3" t="str">
        <f aca="false">VLOOKUP($B$1,'PARASTATAL Questions'!$A:$J,5,0)&amp;""</f>
        <v>Is the transport corporation mandated to consider the mobility needs of women, the urban poor and other vulnerable groups in planning and delivering public transport services?</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Transport Corporation</v>
      </c>
    </row>
    <row r="9" customFormat="false" ht="750.75" hidden="false" customHeight="true" outlineLevel="0" collapsed="false">
      <c r="A9" s="8" t="s">
        <v>595</v>
      </c>
      <c r="B9" s="3" t="str">
        <f aca="false">VLOOKUP($B$1,'PARASTATAL Questions'!$A:$J,9,0)&amp;""</f>
        <v>Review the transport authority/corporation Act, applicable transport legislation, rules, service regulations, fare policies and other binding policy instruments. Look for requirements relating to women’s safety and mobility, affordability/concessional fares, service coverage for low-income or peripheral areas, universal accessibility, persons with disabilities, last-mile access or other identified vulnerable users.Score 5 if such considerations are explicitly embedded across core service-planning and delivery functionsScore 2.5 if limited to specific groups, services or schemesScore 0 if no explicit requirement is found.</v>
      </c>
    </row>
    <row r="10" customFormat="false" ht="191.25" hidden="false" customHeight="true" outlineLevel="0" collapsed="false">
      <c r="A10" s="8" t="s">
        <v>596</v>
      </c>
      <c r="B10" s="3" t="str">
        <f aca="false">VLOOKUP($B$1,'PARASTATAL Questions'!$A:$J,10,0)&amp;""</f>
        <v>Transport authority/corporation Act, applicable transport legislation, rules, service regulations, fare policies and other binding policy instruments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359.25" hidden="false" customHeight="true" outlineLevel="0" collapsed="false">
      <c r="A14" s="6" t="s">
        <v>26</v>
      </c>
      <c r="B14" s="6" t="s">
        <v>821</v>
      </c>
      <c r="C14" s="6" t="s">
        <v>75</v>
      </c>
      <c r="D14" s="6" t="s">
        <v>893</v>
      </c>
      <c r="E14" s="6" t="s">
        <v>894</v>
      </c>
      <c r="F14" s="6" t="s">
        <v>895</v>
      </c>
      <c r="G14" s="6" t="s">
        <v>886</v>
      </c>
      <c r="H14" s="6" t="s">
        <v>76</v>
      </c>
      <c r="I14" s="12"/>
      <c r="J14" s="6" t="str">
        <f aca="false">IF($B14="NO","NA",IF(I14="","",MIN(I14,$B$6)))</f>
        <v/>
      </c>
      <c r="K14" s="10" t="s">
        <v>896</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95</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4b</v>
      </c>
    </row>
    <row r="4" customFormat="false" ht="15" hidden="false" customHeight="true" outlineLevel="0" collapsed="false">
      <c r="A4" s="8" t="s">
        <v>561</v>
      </c>
      <c r="B4" s="3" t="str">
        <f aca="false">VLOOKUP($B$1,'PARASTATAL Questions'!$A:$J,4,0)&amp;""</f>
        <v>SQ</v>
      </c>
    </row>
    <row r="5" customFormat="false" ht="236.25" hidden="false" customHeight="true" outlineLevel="0" collapsed="false">
      <c r="A5" s="8" t="s">
        <v>0</v>
      </c>
      <c r="B5" s="3" t="str">
        <f aca="false">VLOOKUP($B$1,'PARASTATAL Questions'!$A:$J,5,0)&amp;""</f>
        <v>Does the Transport Corporation actually consider the needs of women, the urban poor and other vulnerable groups in decisions relating to access, affordability and delivery of public transport services?</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Transport Corporation</v>
      </c>
    </row>
    <row r="9" customFormat="false" ht="2184.75" hidden="false" customHeight="true" outlineLevel="0" collapsed="false">
      <c r="A9" s="8" t="s">
        <v>595</v>
      </c>
      <c r="B9" s="3" t="str">
        <f aca="false">VLOOKUP($B$1,'PARASTATAL Questions'!$A:$J,9,0)&amp;""</f>
        <v>Review the Corporation's current transport/mobility plan or service-delivery framework. Assess whether it contains identifiable equity and inclusion measures for groups such as EWS/BPL households, informal-settlement residents, women, persons with disabilities, elderly persons or other specifically identified vulnerable/disadvantaged groups.Do not award credit for generic language such as "public interest," "all commuters," "universal service" or "inclusive development" unless this is translated into a specific route, fare, service or design provision.Component 1 – Affordability and inclusion in service coverage: 2.5 marks. Look for: concessional/subsidised fares for EWS/BPL, students, elderly persons, persons with disabilities or women; a named coverage commitment for low-income/peripheral areas; inclusion of informal settlements within route planning; last-mile connectivity measures for underserved settlements.Score 2.5 if there is evidence of both (i) an affordability/fare-concession measure and (ii) an explicit route/coverage measure for an identified vulnerable group. Score 1.25 if only one is present. Score 0 if neither is present.Component 2 – Gender, safety and accessible design: 2.5 marks. Look for: women's safety features (CCTV, panic buttons, adequate lighting); GESI/gender screening in transport planning; accessible design for persons with disabilities and elderly users (low-floor buses, ramps, priority seating, step-free access).Score 2.5 if the Corporation's current planning/design framework contains specific operational or design measures. Score 1.25 if vulnerable groups are identified but this doesn't translate into an operational/design requirement. Score 0 if no identifiable consideration.</v>
      </c>
    </row>
    <row r="10" customFormat="false" ht="191.25" hidden="false" customHeight="true" outlineLevel="0" collapsed="false">
      <c r="A10" s="8" t="s">
        <v>596</v>
      </c>
      <c r="B10" s="3" t="str">
        <f aca="false">VLOOKUP($B$1,'PARASTATAL Questions'!$A:$J,10,0)&amp;""</f>
        <v>Transport Corporation's current transport/mobility plan; fare policy/concession orders; service design standards or specifications; annual report.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202.5" hidden="false" customHeight="true" outlineLevel="0" collapsed="false">
      <c r="A14" s="6" t="s">
        <v>26</v>
      </c>
      <c r="B14" s="6" t="s">
        <v>821</v>
      </c>
      <c r="C14" s="6" t="s">
        <v>97</v>
      </c>
      <c r="D14" s="6" t="s">
        <v>897</v>
      </c>
      <c r="E14" s="6" t="s">
        <v>898</v>
      </c>
      <c r="F14" s="6" t="s">
        <v>899</v>
      </c>
      <c r="H14" s="6" t="s">
        <v>98</v>
      </c>
      <c r="I14" s="12" t="n">
        <v>1.25</v>
      </c>
      <c r="J14" s="6" t="n">
        <f aca="false">IF($B14="NO","NA",IF(I14="","",MIN(I14,$B$6)))</f>
        <v>1.25</v>
      </c>
      <c r="K14" s="10" t="s">
        <v>900</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101</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5a</v>
      </c>
    </row>
    <row r="4" customFormat="false" ht="15" hidden="false" customHeight="true" outlineLevel="0" collapsed="false">
      <c r="A4" s="8" t="s">
        <v>561</v>
      </c>
      <c r="B4" s="3" t="str">
        <f aca="false">VLOOKUP($B$1,'PARASTATAL Questions'!$A:$J,4,0)&amp;""</f>
        <v>SQ</v>
      </c>
    </row>
    <row r="5" customFormat="false" ht="191.25" hidden="false" customHeight="true" outlineLevel="0" collapsed="false">
      <c r="A5" s="8" t="s">
        <v>0</v>
      </c>
      <c r="B5" s="3" t="str">
        <f aca="false">VLOOKUP($B$1,'PARASTATAL Questions'!$A:$J,5,0)&amp;""</f>
        <v>Is the water supply board mandated to consider environmental sustainability in planning and delivering water and sanitation services?</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Water supply board</v>
      </c>
    </row>
    <row r="9" customFormat="false" ht="975" hidden="false" customHeight="true" outlineLevel="0" collapsed="false">
      <c r="A9" s="8" t="s">
        <v>595</v>
      </c>
      <c r="B9" s="3" t="str">
        <f aca="false">VLOOKUP($B$1,'PARASTATAL Questions'!$A:$J,9,0)&amp;""</f>
        <v>Review the Water Supply Board/utility Act, water and sanitation legislation, service rules, State water policies, groundwater/source-protection provisions and other binding instruments. Look for explicit requirements relating to sustainable water sources, source protection, demand management or conservation, reduction of water losses, wastewater treatment/reuse, protection from pollution, environmental flows where applicable, climate resilience or environmentally sustainable service delivery. Score 5 if environmental sustainability requirements apply across core water/sanitation planning and service-delivery functions; Score 2.5 if limited to particular functions, schemes or environmental concerns; Score 0 if no explicit requirement is found.</v>
      </c>
    </row>
    <row r="10" customFormat="false" ht="225" hidden="false" customHeight="true" outlineLevel="0" collapsed="false">
      <c r="A10" s="8" t="s">
        <v>596</v>
      </c>
      <c r="B10" s="3" t="str">
        <f aca="false">VLOOKUP($B$1,'PARASTATAL Questions'!$A:$J,10,0)&amp;""</f>
        <v>Water Supply Board/utility Act, water and sanitation legislation, service rules, State water policies, groundwater/source-protection provisions and other binding instruments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5" hidden="false" customHeight="true" outlineLevel="0" collapsed="false">
      <c r="A13" s="6" t="s">
        <v>17</v>
      </c>
      <c r="B13" s="6" t="s">
        <v>821</v>
      </c>
      <c r="C13" s="6" t="s">
        <v>21</v>
      </c>
      <c r="D13" s="6" t="s">
        <v>901</v>
      </c>
      <c r="E13" s="6" t="s">
        <v>902</v>
      </c>
      <c r="F13" s="6" t="s">
        <v>903</v>
      </c>
      <c r="G13" s="6" t="s">
        <v>904</v>
      </c>
      <c r="H13" s="6" t="s">
        <v>22</v>
      </c>
      <c r="I13" s="12" t="n">
        <v>2.5</v>
      </c>
      <c r="J13" s="6" t="n">
        <f aca="false">IF($B13="NO","NA",IF(I13="","",MIN(I13,$B$6)))</f>
        <v>2.5</v>
      </c>
      <c r="K13" s="10" t="s">
        <v>905</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105</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5b</v>
      </c>
    </row>
    <row r="4" customFormat="false" ht="15" hidden="false" customHeight="true" outlineLevel="0" collapsed="false">
      <c r="A4" s="8" t="s">
        <v>561</v>
      </c>
      <c r="B4" s="3" t="str">
        <f aca="false">VLOOKUP($B$1,'PARASTATAL Questions'!$A:$J,4,0)&amp;""</f>
        <v>SQ</v>
      </c>
    </row>
    <row r="5" customFormat="false" ht="180" hidden="false" customHeight="true" outlineLevel="0" collapsed="false">
      <c r="A5" s="8" t="s">
        <v>0</v>
      </c>
      <c r="B5" s="3" t="str">
        <f aca="false">VLOOKUP($B$1,'PARASTATAL Questions'!$A:$J,5,0)&amp;""</f>
        <v>Does the water supply board actually consider environmental sustainability in planning and delivering water and sanitation services?</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Water supply board</v>
      </c>
    </row>
    <row r="9" customFormat="false" ht="3276.75" hidden="false" customHeight="true" outlineLevel="0" collapsed="false">
      <c r="A9" s="8" t="s">
        <v>595</v>
      </c>
      <c r="B9" s="3" t="str">
        <f aca="false">VLOOKUP($B$1,'PARASTATAL Questions'!$A:$J,9,0)&amp;""</f>
        <v>Review the Board's latest water supply plan. Assess whether it contains identifiable environmental sustainability measures relating to source management, conservation, wastewater management, or climate resilience.Do not award credit for generic language such as "sustainable development," "efficient service," "environment friendly" or "public interest" unless this is translated into a specific planning, operational, or design provision. Component 1 – Sustainable source management, conservation and loss reduction: 2.5 marksLook for identifiable provisions such as:sustainable or diversified water source development, or measures to reduce over-extraction/dependence on a stressed sourcegroundwater recharge, rainwater harvesting, or source-protection measures within the Board's own infrastructure planninga non-revenue water (NRW)/water-loss reduction target or programmedemand management or water conservation measures (e.g., universal metering, leak detection and repair programme, conservation-oriented design standards)measures to protect water sources from pollution or encroachment (buffer/catchment protection, control of upstream effluent discharge)any other specific measure on sustainable source management, and/or conservation and loss reduction Scoring:Score 2.5 if there is evidence of both (i) a sustainable source/protection measure and (ii) an explicit loss-reduction or demand-management target/programme.Score 1.25 if only one of the above is present. Score 0 if neither is present. Component 2 – Wastewater management, reuse and climate resilience: 2.5 marksLook for identifiable planning or operational measures such as:wastewater treatment capacity or quality targets aligned with service expansiona treated-wastewater reuse/recycling target or scheme (industrial, horticultural, non-potable reuse, etc.)climate resilience or adaptation measures for water sources or infrastructure (drought contingency planning, flood-proofing of treatment/pumping assets)energy efficiency measures in water/wastewater operations (energy audits, renewable energy use in pumping/treatment)environmental flow or ecological considerations where surface water sources are usedother specific measures addressing the environmental impact of water or wastewater operations Scoring:Score 2.5 if the Board's current planning framework contains specific operational measures addressing wastewater management, climate resilience or energy use.Score 1.25 if such considerations are mentioned or identified but do not translate into a clear operational or target-based requirement.Score 0 if there is no identifiable environmental sustainability consideration.</v>
      </c>
    </row>
    <row r="10" customFormat="false" ht="281.25" hidden="false" customHeight="true" outlineLevel="0" collapsed="false">
      <c r="A10" s="8" t="s">
        <v>596</v>
      </c>
      <c r="B10" s="3" t="str">
        <f aca="false">VLOOKUP($B$1,'PARASTATAL Questions'!$A:$J,10,0)&amp;""</f>
        <v>Water Supply Board's current water supply/sanitation plan; source-protection or conservation programme documents; wastewater treatment/reuse scheme documents; annual report.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504.75" hidden="false" customHeight="true" outlineLevel="0" collapsed="false">
      <c r="A13" s="6" t="s">
        <v>17</v>
      </c>
      <c r="B13" s="6" t="s">
        <v>821</v>
      </c>
      <c r="C13" s="6" t="s">
        <v>107</v>
      </c>
      <c r="D13" s="6" t="s">
        <v>906</v>
      </c>
      <c r="E13" s="6" t="s">
        <v>907</v>
      </c>
      <c r="F13" s="6" t="s">
        <v>908</v>
      </c>
      <c r="G13" s="6" t="s">
        <v>830</v>
      </c>
      <c r="H13" s="6" t="s">
        <v>108</v>
      </c>
      <c r="I13" s="12" t="n">
        <v>5</v>
      </c>
      <c r="J13" s="6" t="n">
        <f aca="false">IF($B13="NO","NA",IF(I13="","",MIN(I13,$B$6)))</f>
        <v>5</v>
      </c>
      <c r="K13" s="10" t="s">
        <v>909</v>
      </c>
    </row>
    <row r="14" customFormat="false" ht="15" hidden="false" customHeight="true" outlineLevel="0" collapsed="false">
      <c r="A14" s="13" t="s">
        <v>26</v>
      </c>
      <c r="B14" s="13" t="s">
        <v>875</v>
      </c>
      <c r="C14" s="13"/>
      <c r="D14" s="13"/>
      <c r="E14" s="13"/>
      <c r="F14" s="13"/>
      <c r="G14" s="13"/>
      <c r="H14" s="13"/>
      <c r="I14" s="14"/>
      <c r="J14" s="13" t="str">
        <f aca="false">IF($B14="NO","NA",IF(I14="","",MIN(I14,$B$6)))</f>
        <v>NA</v>
      </c>
      <c r="K14" s="13"/>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111</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6a</v>
      </c>
    </row>
    <row r="4" customFormat="false" ht="15" hidden="false" customHeight="true" outlineLevel="0" collapsed="false">
      <c r="A4" s="8" t="s">
        <v>561</v>
      </c>
      <c r="B4" s="3" t="str">
        <f aca="false">VLOOKUP($B$1,'PARASTATAL Questions'!$A:$J,4,0)&amp;""</f>
        <v>SQ</v>
      </c>
    </row>
    <row r="5" customFormat="false" ht="225" hidden="false" customHeight="true" outlineLevel="0" collapsed="false">
      <c r="A5" s="8" t="s">
        <v>0</v>
      </c>
      <c r="B5" s="3" t="str">
        <f aca="false">VLOOKUP($B$1,'PARASTATAL Questions'!$A:$J,5,0)&amp;""</f>
        <v>Is the transport corporation mandated to consider environmental sustainability in planning and delivering urban transport services and investments?</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34.5" hidden="false" customHeight="true" outlineLevel="0" collapsed="false">
      <c r="A8" s="8" t="s">
        <v>594</v>
      </c>
      <c r="B8" s="3" t="str">
        <f aca="false">VLOOKUP($B$1,'PARASTATAL Questions'!$A:$J,8,0)&amp;""</f>
        <v>Transport Corporation</v>
      </c>
    </row>
    <row r="9" customFormat="false" ht="907.5" hidden="false" customHeight="true" outlineLevel="0" collapsed="false">
      <c r="A9" s="8" t="s">
        <v>595</v>
      </c>
      <c r="B9" s="3" t="str">
        <f aca="false">VLOOKUP($B$1,'PARASTATAL Questions'!$A:$J,9,0)&amp;""</f>
        <v>Review the transport authority/corporation Act, applicable transport legislation, rules, mobility/transport policies and other binding instruments. Look for explicit requirements relating to public and non-motorised transport prioritisation, emissions reduction, cleaner vehicle/fuel transition, energy efficiency, integration of land use and transport, reduction of congestion or vehicle dependence, climate resilience, or environmental impacts of major transport investments.Score 5 if environmental considerations are explicitly embedded across core transport planning/investment/service-delivery functionsScore 2.5 if limited to specific modes, projects or environmental objectivesScore 0 if no explicit requirement is found.</v>
      </c>
    </row>
    <row r="10" customFormat="false" ht="168.75" hidden="false" customHeight="true" outlineLevel="0" collapsed="false">
      <c r="A10" s="8" t="s">
        <v>596</v>
      </c>
      <c r="B10" s="3" t="str">
        <f aca="false">VLOOKUP($B$1,'PARASTATAL Questions'!$A:$J,10,0)&amp;""</f>
        <v>Transport authority/corporation Act, applicable transport legislation, rules, mobility/transport policies and other binding instruments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213.75" hidden="false" customHeight="true" outlineLevel="0" collapsed="false">
      <c r="A14" s="6" t="s">
        <v>26</v>
      </c>
      <c r="B14" s="6" t="s">
        <v>821</v>
      </c>
      <c r="C14" s="6" t="s">
        <v>75</v>
      </c>
      <c r="D14" s="6" t="s">
        <v>877</v>
      </c>
      <c r="E14" s="6" t="s">
        <v>910</v>
      </c>
      <c r="F14" s="6" t="s">
        <v>911</v>
      </c>
      <c r="G14" s="6" t="s">
        <v>880</v>
      </c>
      <c r="H14" s="6" t="s">
        <v>76</v>
      </c>
      <c r="I14" s="12" t="n">
        <v>2.5</v>
      </c>
      <c r="J14" s="6" t="n">
        <f aca="false">IF($B14="NO","NA",IF(I14="","",MIN(I14,$B$6)))</f>
        <v>2.5</v>
      </c>
      <c r="K14" s="10" t="s">
        <v>912</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116</v>
      </c>
      <c r="C1" s="6" t="s">
        <v>808</v>
      </c>
    </row>
    <row r="2" customFormat="false" ht="45.75" hidden="false" customHeight="true" outlineLevel="0" collapsed="false">
      <c r="A2" s="8" t="s">
        <v>560</v>
      </c>
      <c r="B2" s="3" t="str">
        <f aca="false">VLOOKUP($B$1,'PARASTATAL Questions'!$A:$J,3,0)&amp;""</f>
        <v>Urban Planning &amp; Design (UPD)</v>
      </c>
    </row>
    <row r="3" customFormat="false" ht="15" hidden="false" customHeight="true" outlineLevel="0" collapsed="false">
      <c r="A3" s="8" t="s">
        <v>593</v>
      </c>
      <c r="B3" s="3" t="str">
        <f aca="false">VLOOKUP($B$1,'PARASTATAL Questions'!$A:$J,2,0)&amp;""</f>
        <v>UPD 6b</v>
      </c>
    </row>
    <row r="4" customFormat="false" ht="15" hidden="false" customHeight="true" outlineLevel="0" collapsed="false">
      <c r="A4" s="8" t="s">
        <v>561</v>
      </c>
      <c r="B4" s="3" t="str">
        <f aca="false">VLOOKUP($B$1,'PARASTATAL Questions'!$A:$J,4,0)&amp;""</f>
        <v>SQ</v>
      </c>
    </row>
    <row r="5" customFormat="false" ht="202.5" hidden="false" customHeight="true" outlineLevel="0" collapsed="false">
      <c r="A5" s="8" t="s">
        <v>0</v>
      </c>
      <c r="B5" s="3" t="str">
        <f aca="false">VLOOKUP($B$1,'PARASTATAL Questions'!$A:$J,5,0)&amp;""</f>
        <v>Does the transport corporation actually considers environmental sustainability in planning and delivering urban transport services and investments?</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34.5" hidden="false" customHeight="true" outlineLevel="0" collapsed="false">
      <c r="A8" s="8" t="s">
        <v>594</v>
      </c>
      <c r="B8" s="3" t="str">
        <f aca="false">VLOOKUP($B$1,'PARASTATAL Questions'!$A:$J,8,0)&amp;""</f>
        <v>Transport Corporation</v>
      </c>
    </row>
    <row r="9" customFormat="false" ht="1714.5" hidden="false" customHeight="true" outlineLevel="0" collapsed="false">
      <c r="A9" s="8" t="s">
        <v>595</v>
      </c>
      <c r="B9" s="3" t="str">
        <f aca="false">VLOOKUP($B$1,'PARASTATAL Questions'!$A:$J,9,0)&amp;""</f>
        <v>Review the Corporation's current fleet plan, network/route plan or environmental/sustainability policy. Assess whether it contains identifiable environmental sustainability measures relating to fleet composition, emissions, energy use or modal integration.Do not award credit for generic language such as "sustainable development," "green transport" or "environment friendly" unless translated into a specific fleet, operational or design provision.Component 1 – Cleaner fleet and emissions reduction: 2.5 marks. Look for: an electric/CNG/hybrid fleet-transition target; an emissions or fuel-efficiency target; a retirement/phase-out schedule for high-emission vehicles.Score 2.5 if evidence of both (i) a cleaner-fuel/fleet-transition measure and (ii) an explicit emissions/efficiency target. Score 1.25 if only one is present. Score 0 if neither.Component 2 – Modal integration and demand-side measures: 2.5 marks. Look for: route planning informed by land-use/density to reduce vehicle-km travelled; NMT integration at stops/stations; multimodal integration (common ticketing, interchange with metro/rail); energy efficiency in depots/operations.Score 2.5 if the Corporation's planning framework contains specific operational measures. Score 1.25 if mentioned but not operationalised/targeted. Score 0 if no identifiable consideration.</v>
      </c>
    </row>
    <row r="10" customFormat="false" ht="135.75" hidden="false" customHeight="true" outlineLevel="0" collapsed="false">
      <c r="A10" s="8" t="s">
        <v>596</v>
      </c>
      <c r="B10" s="3" t="str">
        <f aca="false">VLOOKUP($B$1,'PARASTATAL Questions'!$A:$J,10,0)&amp;""</f>
        <v>Transport Corporation's fleet plan; route/network plan; environmental/sustainability policy; annual report.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13" t="s">
        <v>17</v>
      </c>
      <c r="B13" s="13" t="s">
        <v>875</v>
      </c>
      <c r="C13" s="13"/>
      <c r="D13" s="13"/>
      <c r="E13" s="13"/>
      <c r="F13" s="13"/>
      <c r="G13" s="13"/>
      <c r="H13" s="13"/>
      <c r="I13" s="14"/>
      <c r="J13" s="13" t="str">
        <f aca="false">IF($B13="NO","NA",IF(I13="","",MIN(I13,$B$6)))</f>
        <v>NA</v>
      </c>
      <c r="K13" s="13"/>
    </row>
    <row r="14" customFormat="false" ht="15" hidden="false" customHeight="true" outlineLevel="0" collapsed="false">
      <c r="A14" s="6" t="s">
        <v>26</v>
      </c>
      <c r="B14" s="6" t="s">
        <v>821</v>
      </c>
      <c r="C14" s="6" t="s">
        <v>913</v>
      </c>
      <c r="D14" s="6" t="s">
        <v>914</v>
      </c>
      <c r="E14" s="6" t="s">
        <v>915</v>
      </c>
      <c r="F14" s="6" t="s">
        <v>916</v>
      </c>
      <c r="G14" s="6" t="s">
        <v>917</v>
      </c>
      <c r="H14" s="6" t="s">
        <v>918</v>
      </c>
      <c r="I14" s="12" t="n">
        <v>1.25</v>
      </c>
      <c r="J14" s="6" t="n">
        <f aca="false">IF($B14="NO","NA",IF(I14="","",MIN(I14,$B$6)))</f>
        <v>1.25</v>
      </c>
      <c r="K14" s="6" t="s">
        <v>919</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118</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1a</v>
      </c>
    </row>
    <row r="4" customFormat="false" ht="15" hidden="false" customHeight="true" outlineLevel="0" collapsed="false">
      <c r="A4" s="8" t="s">
        <v>561</v>
      </c>
      <c r="B4" s="3" t="str">
        <f aca="false">VLOOKUP($B$1,'PARASTATAL Questions'!$A:$J,4,0)&amp;""</f>
        <v>SQ</v>
      </c>
    </row>
    <row r="5" customFormat="false" ht="135.75" hidden="false" customHeight="true" outlineLevel="0" collapsed="false">
      <c r="A5" s="8" t="s">
        <v>0</v>
      </c>
      <c r="B5" s="3" t="str">
        <f aca="false">VLOOKUP($B$1,'PARASTATAL Questions'!$A:$J,5,0)&amp;""</f>
        <v>Does the legal framework clearly demarcate the functions/responsibilities of the parastatal vis-à-vis the ULG?</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Institutional Design</v>
      </c>
    </row>
    <row r="8" customFormat="false" ht="45.75" hidden="false" customHeight="true" outlineLevel="0" collapsed="false">
      <c r="A8" s="8" t="s">
        <v>594</v>
      </c>
      <c r="B8" s="3" t="str">
        <f aca="false">VLOOKUP($B$1,'PARASTATAL Questions'!$A:$J,8,0)&amp;""</f>
        <v>Common — all parastatal types.</v>
      </c>
    </row>
    <row r="9" customFormat="false" ht="2173.5" hidden="false" customHeight="true" outlineLevel="0" collapsed="false">
      <c r="A9" s="8" t="s">
        <v>595</v>
      </c>
      <c r="B9" s="3" t="str">
        <f aca="false">VLOOKUP($B$1,'PARASTATAL Questions'!$A:$J,9,0)&amp;""</f>
        <v>Step 1 — Check devolution status under the Municipal Act.Review the Municipal Act to determine whether the specific function/service is:A — Not devolved: the function is not assigned to the ULG at all.B — Fully devolved: the function is assigned to the ULG in full, and the parastatal also delivers it (i.e. a potential overlap exists).C — Partially devolved: only specific sub-functions are assigned to the ULG (e.g. domestic water supply to the ULG, bulk supply/production to the parastatal).Step 2 — Score based on which scenario applies.If A (not devolved): Score 5. There is no ULG claim to the function, so there is nothing to demarcate against — the parastatal Act's assignment stands on its own.If B (fully devolved, both deliver it): Check whether the Parastatal Act explicitly carves out or distinguishes the parastatal's role from the ULG's (e.g. the parastatal Act specifies it handles a particular aspect, area, or scale of the function, rather than simply repeating the ULG's full assignment).Score 5 if such a distinction is explicit in the Parastatal Act.Score 0 if both Acts assign the same function with no distinction between them.If C (partially devolved): Check whether the aspect assigned to the parastatal is explicit and does not overlap with the aspect assigned to the ULG (e.g. Municipal Act assigns domestic water supply to the ULG; Parastatal Act assigns bulk supply/production to the parastatal — no overlap).Score 5 if the two Acts' assignments are explicit and non-overlapping.Score 0 if the assigned aspects overlap, or if the parastatal's aspect is not clearly specified in its Act.Record the devolution scenario (A/B/C) and the specific provisions relied upon in the evidence column.</v>
      </c>
    </row>
    <row r="10" customFormat="false" ht="191.25" hidden="false" customHeight="true" outlineLevel="0" collapsed="false">
      <c r="A10" s="8" t="s">
        <v>596</v>
      </c>
      <c r="B10" s="3" t="str">
        <f aca="false">VLOOKUP($B$1,'PARASTATAL Questions'!$A:$J,10,0)&amp;""</f>
        <v>Relevant Parastatal Act; State Municipal Act — record the specific provisions establishing devolution status and (where applicable) the functional carve-out.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25" hidden="false" customHeight="true" outlineLevel="0" collapsed="false">
      <c r="A13" s="6" t="s">
        <v>17</v>
      </c>
      <c r="B13" s="6" t="s">
        <v>821</v>
      </c>
      <c r="C13" s="6" t="s">
        <v>69</v>
      </c>
      <c r="D13" s="6" t="s">
        <v>920</v>
      </c>
      <c r="E13" s="6" t="s">
        <v>921</v>
      </c>
      <c r="F13" s="6" t="s">
        <v>922</v>
      </c>
      <c r="G13" s="6" t="s">
        <v>923</v>
      </c>
      <c r="H13" s="6" t="s">
        <v>29</v>
      </c>
      <c r="I13" s="12" t="n">
        <v>0</v>
      </c>
      <c r="J13" s="6" t="n">
        <f aca="false">IF($B13="NO","NA",IF(I13="","",MIN(I13,$B$6)))</f>
        <v>0</v>
      </c>
      <c r="K13" s="10" t="s">
        <v>924</v>
      </c>
    </row>
    <row r="14" customFormat="false" ht="258.75" hidden="false" customHeight="true" outlineLevel="0" collapsed="false">
      <c r="A14" s="6" t="s">
        <v>26</v>
      </c>
      <c r="B14" s="6" t="s">
        <v>821</v>
      </c>
      <c r="C14" s="6" t="s">
        <v>28</v>
      </c>
      <c r="D14" s="6" t="s">
        <v>925</v>
      </c>
      <c r="E14" s="6" t="s">
        <v>926</v>
      </c>
      <c r="F14" s="6" t="s">
        <v>927</v>
      </c>
      <c r="G14" s="6" t="s">
        <v>928</v>
      </c>
      <c r="H14" s="6" t="s">
        <v>29</v>
      </c>
      <c r="I14" s="12"/>
      <c r="J14" s="6" t="str">
        <f aca="false">IF($B14="NO","NA",IF(I14="","",MIN(I14,$B$6)))</f>
        <v/>
      </c>
      <c r="K14" s="10" t="s">
        <v>929</v>
      </c>
    </row>
    <row r="15" customFormat="false" ht="168.75" hidden="false" customHeight="true" outlineLevel="0" collapsed="false">
      <c r="A15" s="6" t="s">
        <v>32</v>
      </c>
      <c r="B15" s="6" t="s">
        <v>821</v>
      </c>
      <c r="C15" s="6" t="s">
        <v>126</v>
      </c>
      <c r="D15" s="6" t="s">
        <v>930</v>
      </c>
      <c r="E15" s="6" t="s">
        <v>931</v>
      </c>
      <c r="F15" s="6" t="s">
        <v>932</v>
      </c>
      <c r="G15" s="6" t="s">
        <v>933</v>
      </c>
      <c r="H15" s="6" t="s">
        <v>29</v>
      </c>
      <c r="I15" s="12" t="n">
        <v>0</v>
      </c>
      <c r="J15" s="6" t="n">
        <f aca="false">IF($B15="NO","NA",IF(I15="","",MIN(I15,$B$6)))</f>
        <v>0</v>
      </c>
      <c r="K15" s="10" t="s">
        <v>934</v>
      </c>
    </row>
    <row r="16" customFormat="false" ht="34.5" hidden="false" customHeight="true" outlineLevel="0" collapsed="false">
      <c r="A16" s="6" t="s">
        <v>38</v>
      </c>
      <c r="B16" s="6" t="s">
        <v>821</v>
      </c>
      <c r="C16" s="6" t="s">
        <v>40</v>
      </c>
      <c r="D16" s="6" t="s">
        <v>837</v>
      </c>
      <c r="E16" s="6" t="s">
        <v>935</v>
      </c>
      <c r="F16" s="6" t="s">
        <v>936</v>
      </c>
      <c r="G16" s="6" t="s">
        <v>830</v>
      </c>
      <c r="H16" s="6" t="s">
        <v>29</v>
      </c>
      <c r="I16" s="12" t="n">
        <v>5</v>
      </c>
      <c r="J16" s="6" t="n">
        <f aca="false">IF($B16="NO","NA",IF(I16="","",MIN(I16,$B$6)))</f>
        <v>5</v>
      </c>
      <c r="K16" s="10" t="s">
        <v>937</v>
      </c>
    </row>
    <row r="17" customFormat="false" ht="359.25" hidden="false" customHeight="true" outlineLevel="0" collapsed="false">
      <c r="A17" s="6" t="s">
        <v>43</v>
      </c>
      <c r="B17" s="6" t="s">
        <v>821</v>
      </c>
      <c r="C17" s="6" t="s">
        <v>133</v>
      </c>
      <c r="D17" s="6" t="s">
        <v>837</v>
      </c>
      <c r="E17" s="6" t="s">
        <v>938</v>
      </c>
      <c r="F17" s="6" t="s">
        <v>939</v>
      </c>
      <c r="G17" s="6" t="s">
        <v>830</v>
      </c>
      <c r="H17" s="6" t="s">
        <v>29</v>
      </c>
      <c r="I17" s="12"/>
      <c r="J17" s="6" t="str">
        <f aca="false">IF($B17="NO","NA",IF(I17="","",MIN(I17,$B$6)))</f>
        <v/>
      </c>
      <c r="K17" s="10" t="s">
        <v>940</v>
      </c>
    </row>
    <row r="18" customFormat="false" ht="15" hidden="false" customHeight="true" outlineLevel="0" collapsed="false">
      <c r="A18" s="6" t="s">
        <v>46</v>
      </c>
      <c r="B18" s="6" t="s">
        <v>821</v>
      </c>
      <c r="I18" s="12"/>
      <c r="J18" s="6" t="str">
        <f aca="false">IF($B18="NO","NA",IF(I18="","",MIN(I18,$B$6)))</f>
        <v/>
      </c>
      <c r="K18" s="10" t="s">
        <v>941</v>
      </c>
    </row>
    <row r="19" customFormat="false" ht="15" hidden="false" customHeight="true" outlineLevel="0" collapsed="false">
      <c r="A19" s="6" t="s">
        <v>48</v>
      </c>
      <c r="B19" s="6" t="s">
        <v>821</v>
      </c>
      <c r="I19" s="12"/>
      <c r="J19" s="6" t="str">
        <f aca="false">IF($B19="NO","NA",IF(I19="","",MIN(I19,$B$6)))</f>
        <v/>
      </c>
      <c r="K19" s="0" t="s">
        <v>942</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140</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1b</v>
      </c>
    </row>
    <row r="4" customFormat="false" ht="15" hidden="false" customHeight="true" outlineLevel="0" collapsed="false">
      <c r="A4" s="8" t="s">
        <v>561</v>
      </c>
      <c r="B4" s="3" t="str">
        <f aca="false">VLOOKUP($B$1,'PARASTATAL Questions'!$A:$J,4,0)&amp;""</f>
        <v>SQ</v>
      </c>
    </row>
    <row r="5" customFormat="false" ht="157.5" hidden="false" customHeight="true" outlineLevel="0" collapsed="false">
      <c r="A5" s="8" t="s">
        <v>0</v>
      </c>
      <c r="B5" s="3" t="str">
        <f aca="false">VLOOKUP($B$1,'PARASTATAL Questions'!$A:$J,5,0)&amp;""</f>
        <v>Is the parastatal's territorial/geographic jurisdiction clearly and specifically defined in its enabling legal framework?</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Institutional Design</v>
      </c>
    </row>
    <row r="8" customFormat="false" ht="45.75" hidden="false" customHeight="true" outlineLevel="0" collapsed="false">
      <c r="A8" s="8" t="s">
        <v>594</v>
      </c>
      <c r="B8" s="3" t="str">
        <f aca="false">VLOOKUP($B$1,'PARASTATAL Questions'!$A:$J,8,0)&amp;""</f>
        <v>Common — all parastatal types.</v>
      </c>
    </row>
    <row r="9" customFormat="false" ht="863.25" hidden="false" customHeight="true" outlineLevel="0" collapsed="false">
      <c r="A9" s="8" t="s">
        <v>595</v>
      </c>
      <c r="B9" s="3" t="str">
        <f aca="false">VLOOKUP($B$1,'PARASTATAL Questions'!$A:$J,9,0)&amp;""</f>
        <v>Review the relevant Parastatal Act and Municipal Act as the primary source. Since jurisdiction may be amended or updated after the parent Act through subsequent notifications, gazette orders, or administrative boundary changes not yet reflected in the Act, also cross-check the parastatal's official website and any government notifications/gazette publications for the current jurisdictional boundary. Score 5 if jurisdiction is defined with a specific boundary description, schedule, or map reference in the enabling Act. Review the relevant Parastatal Act and Municipal Act. Score 2.5 if defined only in general terms (e.g. "notified area" with no schedule). Score 0 if jurisdiction is not defined.</v>
      </c>
    </row>
    <row r="10" customFormat="false" ht="57" hidden="false" customHeight="true" outlineLevel="0" collapsed="false">
      <c r="A10" s="8" t="s">
        <v>596</v>
      </c>
      <c r="B10" s="3" t="str">
        <f aca="false">VLOOKUP($B$1,'PARASTATAL Questions'!$A:$J,10,0)&amp;""</f>
        <v>Enabling Act, 12th Schedule mapping exercise</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68.75" hidden="false" customHeight="true" outlineLevel="0" collapsed="false">
      <c r="A13" s="6" t="s">
        <v>17</v>
      </c>
      <c r="B13" s="6" t="s">
        <v>821</v>
      </c>
      <c r="C13" s="6" t="s">
        <v>21</v>
      </c>
      <c r="D13" s="6" t="s">
        <v>943</v>
      </c>
      <c r="E13" s="6" t="s">
        <v>944</v>
      </c>
      <c r="F13" s="6" t="s">
        <v>945</v>
      </c>
      <c r="G13" s="6" t="s">
        <v>845</v>
      </c>
      <c r="H13" s="6" t="s">
        <v>22</v>
      </c>
      <c r="I13" s="12" t="n">
        <v>2.5</v>
      </c>
      <c r="J13" s="6" t="n">
        <f aca="false">IF($B13="NO","NA",IF(I13="","",MIN(I13,$B$6)))</f>
        <v>2.5</v>
      </c>
      <c r="K13" s="10" t="s">
        <v>946</v>
      </c>
    </row>
    <row r="14" customFormat="false" ht="15" hidden="false" customHeight="true" outlineLevel="0" collapsed="false">
      <c r="A14" s="6" t="s">
        <v>26</v>
      </c>
      <c r="B14" s="6" t="s">
        <v>821</v>
      </c>
      <c r="C14" s="6" t="s">
        <v>145</v>
      </c>
      <c r="E14" s="0" t="s">
        <v>947</v>
      </c>
      <c r="F14" s="0" t="s">
        <v>948</v>
      </c>
      <c r="G14" s="0" t="s">
        <v>949</v>
      </c>
      <c r="H14" s="6" t="s">
        <v>146</v>
      </c>
      <c r="I14" s="12"/>
      <c r="J14" s="6" t="str">
        <f aca="false">IF($B14="NO","NA",IF(I14="","",MIN(I14,$B$6)))</f>
        <v/>
      </c>
      <c r="K14" s="10" t="s">
        <v>950</v>
      </c>
    </row>
    <row r="15" customFormat="false" ht="225" hidden="false" customHeight="true" outlineLevel="0" collapsed="false">
      <c r="A15" s="6" t="s">
        <v>32</v>
      </c>
      <c r="B15" s="6" t="s">
        <v>821</v>
      </c>
      <c r="C15" s="6" t="s">
        <v>34</v>
      </c>
      <c r="D15" s="6" t="s">
        <v>951</v>
      </c>
      <c r="E15" s="6" t="s">
        <v>952</v>
      </c>
      <c r="F15" s="6" t="s">
        <v>953</v>
      </c>
      <c r="G15" s="6" t="s">
        <v>825</v>
      </c>
      <c r="H15" s="6" t="s">
        <v>35</v>
      </c>
      <c r="I15" s="12" t="n">
        <v>2.5</v>
      </c>
      <c r="J15" s="6" t="n">
        <f aca="false">IF($B15="NO","NA",IF(I15="","",MIN(I15,$B$6)))</f>
        <v>2.5</v>
      </c>
      <c r="K15" s="10" t="s">
        <v>954</v>
      </c>
    </row>
    <row r="16" customFormat="false" ht="325.5" hidden="false" customHeight="true" outlineLevel="0" collapsed="false">
      <c r="A16" s="6" t="s">
        <v>38</v>
      </c>
      <c r="B16" s="6" t="s">
        <v>821</v>
      </c>
      <c r="C16" s="6" t="s">
        <v>153</v>
      </c>
      <c r="D16" s="6" t="s">
        <v>943</v>
      </c>
      <c r="E16" s="6" t="s">
        <v>955</v>
      </c>
      <c r="F16" s="6" t="s">
        <v>956</v>
      </c>
      <c r="G16" s="6" t="s">
        <v>957</v>
      </c>
      <c r="H16" s="6" t="s">
        <v>154</v>
      </c>
      <c r="I16" s="12" t="n">
        <v>2.5</v>
      </c>
      <c r="J16" s="6" t="n">
        <f aca="false">IF($B16="NO","NA",IF(I16="","",MIN(I16,$B$6)))</f>
        <v>2.5</v>
      </c>
      <c r="K16" s="10" t="s">
        <v>958</v>
      </c>
    </row>
    <row r="17" customFormat="false" ht="15" hidden="false" customHeight="true" outlineLevel="0" collapsed="false">
      <c r="A17" s="6" t="s">
        <v>43</v>
      </c>
      <c r="B17" s="6" t="s">
        <v>821</v>
      </c>
      <c r="C17" s="6" t="s">
        <v>158</v>
      </c>
      <c r="D17" s="6" t="s">
        <v>959</v>
      </c>
      <c r="E17" s="6" t="s">
        <v>960</v>
      </c>
      <c r="F17" s="6" t="s">
        <v>961</v>
      </c>
      <c r="G17" s="6" t="s">
        <v>957</v>
      </c>
      <c r="H17" s="6" t="s">
        <v>159</v>
      </c>
      <c r="I17" s="12" t="n">
        <v>5</v>
      </c>
      <c r="J17" s="6" t="n">
        <f aca="false">IF($B17="NO","NA",IF(I17="","",MIN(I17,$B$6)))</f>
        <v>5</v>
      </c>
      <c r="K17" s="10" t="s">
        <v>962</v>
      </c>
    </row>
    <row r="18" customFormat="false" ht="15" hidden="false" customHeight="true" outlineLevel="0" collapsed="false">
      <c r="A18" s="6" t="s">
        <v>46</v>
      </c>
      <c r="B18" s="6" t="s">
        <v>821</v>
      </c>
      <c r="C18" s="6" t="s">
        <v>58</v>
      </c>
      <c r="D18" s="0" t="s">
        <v>963</v>
      </c>
      <c r="E18" s="0" t="s">
        <v>964</v>
      </c>
      <c r="F18" s="0" t="s">
        <v>965</v>
      </c>
      <c r="G18" s="0" t="s">
        <v>835</v>
      </c>
      <c r="H18" s="6" t="s">
        <v>59</v>
      </c>
      <c r="I18" s="12"/>
      <c r="J18" s="6" t="str">
        <f aca="false">IF($B18="NO","NA",IF(I18="","",MIN(I18,$B$6)))</f>
        <v/>
      </c>
      <c r="K18" s="10" t="s">
        <v>966</v>
      </c>
    </row>
    <row r="19" customFormat="false" ht="15" hidden="false" customHeight="true" outlineLevel="0" collapsed="false">
      <c r="A19" s="6" t="s">
        <v>48</v>
      </c>
      <c r="B19" s="6" t="s">
        <v>821</v>
      </c>
      <c r="I19" s="12"/>
      <c r="J19" s="6" t="str">
        <f aca="false">IF($B19="NO","NA",IF(I19="","",MIN(I19,$B$6)))</f>
        <v/>
      </c>
      <c r="K19" s="0" t="s">
        <v>967</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166</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2a</v>
      </c>
    </row>
    <row r="4" customFormat="false" ht="15" hidden="false" customHeight="true" outlineLevel="0" collapsed="false">
      <c r="A4" s="8" t="s">
        <v>561</v>
      </c>
      <c r="B4" s="3" t="str">
        <f aca="false">VLOOKUP($B$1,'PARASTATAL Questions'!$A:$J,4,0)&amp;""</f>
        <v>SQ</v>
      </c>
    </row>
    <row r="5" customFormat="false" ht="90.75" hidden="false" customHeight="true" outlineLevel="0" collapsed="false">
      <c r="A5" s="8" t="s">
        <v>0</v>
      </c>
      <c r="B5" s="3" t="str">
        <f aca="false">VLOOKUP($B$1,'PARASTATAL Questions'!$A:$J,5,0)&amp;""</f>
        <v>Does the ULG have representation on the parastatal's governing board?</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Institutional Design</v>
      </c>
    </row>
    <row r="8" customFormat="false" ht="45.75" hidden="false" customHeight="true" outlineLevel="0" collapsed="false">
      <c r="A8" s="8" t="s">
        <v>594</v>
      </c>
      <c r="B8" s="3" t="str">
        <f aca="false">VLOOKUP($B$1,'PARASTATAL Questions'!$A:$J,8,0)&amp;""</f>
        <v>Common — all parastatal types.</v>
      </c>
    </row>
    <row r="9" customFormat="false" ht="303" hidden="false" customHeight="true" outlineLevel="0" collapsed="false">
      <c r="A9" s="8" t="s">
        <v>595</v>
      </c>
      <c r="B9" s="3" t="str">
        <f aca="false">VLOOKUP($B$1,'PARASTATAL Questions'!$A:$J,9,0)&amp;""</f>
        <v>Review the relevant Parastatal Act and Municipal Act for composition.Score 5 if ULG-elected representatives sit on the board with voting rights. Score 2.5 if represented without voting rights or only as invitees. Score 0 if no representation.</v>
      </c>
    </row>
    <row r="10" customFormat="false" ht="102" hidden="false" customHeight="true" outlineLevel="0" collapsed="false">
      <c r="A10" s="8" t="s">
        <v>596</v>
      </c>
      <c r="B10" s="3" t="str">
        <f aca="false">VLOOKUP($B$1,'PARASTATAL Questions'!$A:$J,10,0)&amp;""</f>
        <v>Composition clause of enabling Act; current board member list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70.5" hidden="false" customHeight="true" outlineLevel="0" collapsed="false">
      <c r="A13" s="6" t="s">
        <v>17</v>
      </c>
      <c r="B13" s="6" t="s">
        <v>821</v>
      </c>
      <c r="C13" s="6" t="s">
        <v>21</v>
      </c>
      <c r="D13" s="6" t="s">
        <v>968</v>
      </c>
      <c r="E13" s="6" t="s">
        <v>969</v>
      </c>
      <c r="F13" s="6" t="s">
        <v>970</v>
      </c>
      <c r="G13" s="6" t="s">
        <v>971</v>
      </c>
      <c r="H13" s="6" t="s">
        <v>22</v>
      </c>
      <c r="I13" s="12" t="n">
        <v>0</v>
      </c>
      <c r="J13" s="6" t="n">
        <f aca="false">IF($B13="NO","NA",IF(I13="","",MIN(I13,$B$6)))</f>
        <v>0</v>
      </c>
      <c r="K13" s="10" t="s">
        <v>972</v>
      </c>
    </row>
    <row r="14" customFormat="false" ht="303" hidden="false" customHeight="true" outlineLevel="0" collapsed="false">
      <c r="A14" s="6" t="s">
        <v>26</v>
      </c>
      <c r="B14" s="6" t="s">
        <v>821</v>
      </c>
      <c r="C14" s="6" t="s">
        <v>145</v>
      </c>
      <c r="D14" s="6" t="s">
        <v>973</v>
      </c>
      <c r="E14" s="6" t="s">
        <v>974</v>
      </c>
      <c r="F14" s="6" t="s">
        <v>975</v>
      </c>
      <c r="G14" s="6" t="s">
        <v>949</v>
      </c>
      <c r="H14" s="6" t="s">
        <v>146</v>
      </c>
      <c r="I14" s="12"/>
      <c r="J14" s="6" t="str">
        <f aca="false">IF($B14="NO","NA",IF(I14="","",MIN(I14,$B$6)))</f>
        <v/>
      </c>
      <c r="K14" s="10" t="s">
        <v>976</v>
      </c>
    </row>
    <row r="15" customFormat="false" ht="370.5" hidden="false" customHeight="true" outlineLevel="0" collapsed="false">
      <c r="A15" s="6" t="s">
        <v>32</v>
      </c>
      <c r="B15" s="6" t="s">
        <v>821</v>
      </c>
      <c r="C15" s="6" t="s">
        <v>34</v>
      </c>
      <c r="D15" s="6" t="s">
        <v>977</v>
      </c>
      <c r="E15" s="6" t="s">
        <v>978</v>
      </c>
      <c r="F15" s="6" t="s">
        <v>979</v>
      </c>
      <c r="G15" s="6" t="s">
        <v>880</v>
      </c>
      <c r="H15" s="6" t="s">
        <v>35</v>
      </c>
      <c r="I15" s="12" t="n">
        <v>5</v>
      </c>
      <c r="J15" s="6" t="n">
        <f aca="false">IF($B15="NO","NA",IF(I15="","",MIN(I15,$B$6)))</f>
        <v>5</v>
      </c>
      <c r="K15" s="10" t="s">
        <v>980</v>
      </c>
    </row>
    <row r="16" customFormat="false" ht="124.5" hidden="false" customHeight="true" outlineLevel="0" collapsed="false">
      <c r="A16" s="6" t="s">
        <v>38</v>
      </c>
      <c r="B16" s="6" t="s">
        <v>821</v>
      </c>
      <c r="C16" s="6" t="s">
        <v>177</v>
      </c>
      <c r="D16" s="6" t="s">
        <v>981</v>
      </c>
      <c r="E16" s="6" t="s">
        <v>982</v>
      </c>
      <c r="F16" s="6" t="s">
        <v>983</v>
      </c>
      <c r="G16" s="6" t="s">
        <v>984</v>
      </c>
      <c r="H16" s="6" t="s">
        <v>178</v>
      </c>
      <c r="I16" s="12" t="n">
        <v>0</v>
      </c>
      <c r="J16" s="6" t="n">
        <f aca="false">IF($B16="NO","NA",IF(I16="","",MIN(I16,$B$6)))</f>
        <v>0</v>
      </c>
      <c r="K16" s="10" t="s">
        <v>985</v>
      </c>
    </row>
    <row r="17" customFormat="false" ht="314.25" hidden="false" customHeight="true" outlineLevel="0" collapsed="false">
      <c r="A17" s="6" t="s">
        <v>43</v>
      </c>
      <c r="B17" s="6" t="s">
        <v>821</v>
      </c>
      <c r="C17" s="6" t="s">
        <v>182</v>
      </c>
      <c r="D17" s="6" t="s">
        <v>986</v>
      </c>
      <c r="E17" s="6" t="s">
        <v>987</v>
      </c>
      <c r="F17" s="6" t="s">
        <v>988</v>
      </c>
      <c r="G17" s="6" t="s">
        <v>845</v>
      </c>
      <c r="H17" s="6" t="s">
        <v>183</v>
      </c>
      <c r="I17" s="12" t="n">
        <v>5</v>
      </c>
      <c r="J17" s="6" t="n">
        <f aca="false">IF($B17="NO","NA",IF(I17="","",MIN(I17,$B$6)))</f>
        <v>5</v>
      </c>
      <c r="K17" s="10" t="s">
        <v>989</v>
      </c>
    </row>
    <row r="18" customFormat="false" ht="15" hidden="false" customHeight="true" outlineLevel="0" collapsed="false">
      <c r="A18" s="6" t="s">
        <v>46</v>
      </c>
      <c r="B18" s="6" t="s">
        <v>821</v>
      </c>
      <c r="C18" s="6" t="s">
        <v>58</v>
      </c>
      <c r="D18" s="0" t="s">
        <v>990</v>
      </c>
      <c r="E18" s="0" t="s">
        <v>991</v>
      </c>
      <c r="F18" s="0" t="s">
        <v>992</v>
      </c>
      <c r="G18" s="0" t="s">
        <v>993</v>
      </c>
      <c r="H18" s="6" t="s">
        <v>59</v>
      </c>
      <c r="I18" s="12"/>
      <c r="J18" s="6" t="str">
        <f aca="false">IF($B18="NO","NA",IF(I18="","",MIN(I18,$B$6)))</f>
        <v/>
      </c>
      <c r="K18" s="10" t="s">
        <v>994</v>
      </c>
    </row>
    <row r="19" customFormat="false" ht="15" hidden="false" customHeight="true" outlineLevel="0" collapsed="false">
      <c r="A19" s="6" t="s">
        <v>48</v>
      </c>
      <c r="B19" s="6" t="s">
        <v>821</v>
      </c>
      <c r="C19" s="6" t="s">
        <v>190</v>
      </c>
      <c r="D19" s="0" t="s">
        <v>995</v>
      </c>
      <c r="E19" s="0" t="s">
        <v>996</v>
      </c>
      <c r="F19" s="0" t="s">
        <v>997</v>
      </c>
      <c r="H19" s="6" t="s">
        <v>191</v>
      </c>
      <c r="I19" s="12"/>
      <c r="J19" s="6" t="str">
        <f aca="false">IF($B19="NO","NA",IF(I19="","",MIN(I19,$B$6)))</f>
        <v/>
      </c>
      <c r="K19" s="10" t="s">
        <v>998</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194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DPG-2b</v>
      </c>
    </row>
    <row r="4" customFormat="false" ht="15" hidden="false" customHeight="true" outlineLevel="0" collapsed="false">
      <c r="A4" s="8" t="s">
        <v>561</v>
      </c>
      <c r="B4" s="3" t="str">
        <f aca="false">VLOOKUP($B$1,'PARASTATAL Questions'!$A:$J,4,0)&amp;""</f>
        <v>SQ</v>
      </c>
    </row>
    <row r="5" customFormat="false" ht="113.25" hidden="false" customHeight="true" outlineLevel="0" collapsed="false">
      <c r="A5" s="8" t="s">
        <v>0</v>
      </c>
      <c r="B5" s="3" t="str">
        <f aca="false">VLOOKUP($B$1,'PARASTATAL Questions'!$A:$J,5,0)&amp;""</f>
        <v>Is the parastatal mandated to submit its plans, budgets or reports to the ULG/council?</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45.75" hidden="false" customHeight="true" outlineLevel="0" collapsed="false">
      <c r="A8" s="8" t="s">
        <v>594</v>
      </c>
      <c r="B8" s="3" t="str">
        <f aca="false">VLOOKUP($B$1,'PARASTATAL Questions'!$A:$J,8,0)&amp;""</f>
        <v>Common — all parastatal types.</v>
      </c>
    </row>
    <row r="9" customFormat="false" ht="1053" hidden="false" customHeight="true" outlineLevel="0" collapsed="false">
      <c r="A9" s="8" t="s">
        <v>595</v>
      </c>
      <c r="B9" s="3" t="str">
        <f aca="false">VLOOKUP($B$1,'PARASTATAL Questions'!$A:$J,9,0)&amp;""</f>
        <v>Review the relevant Parastatal Act and Municipal Act for provisions requiring the parastatal to submit or table its plans, budgets and reports before the ULG/council. The requirement may be provided through a general provision covering these documents or through specific provisions for each.Award 1.67 points each where:1. plans are required to be submitted/tabled;2. budgets are required to be submitted/tabled; and3. annual/performance reports are required to be submitted/tabled.Score 0 for each component where no such requirement exists. Where all three are provided for, award the full score of 5.Record the relevant provision and the documents covered in the evidence column. Submission only to the State Government or another authority should not be counted as submission to the ULG/council.</v>
      </c>
    </row>
    <row r="10" customFormat="false" ht="135.75" hidden="false" customHeight="true" outlineLevel="0" collapsed="false">
      <c r="A10" s="8" t="s">
        <v>596</v>
      </c>
      <c r="B10" s="3" t="str">
        <f aca="false">VLOOKUP($B$1,'PARASTATAL Questions'!$A:$J,10,0)&amp;""</f>
        <v>Plan/Budget preparation/Annual report preparation clause of the enabling Act of the relevant parastatal</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03" hidden="false" customHeight="true" outlineLevel="0" collapsed="false">
      <c r="A13" s="6" t="s">
        <v>17</v>
      </c>
      <c r="B13" s="6" t="s">
        <v>821</v>
      </c>
      <c r="C13" s="6" t="s">
        <v>21</v>
      </c>
      <c r="D13" s="6" t="s">
        <v>999</v>
      </c>
      <c r="E13" s="6" t="s">
        <v>1000</v>
      </c>
      <c r="F13" s="6" t="s">
        <v>1001</v>
      </c>
      <c r="G13" s="6" t="s">
        <v>1002</v>
      </c>
      <c r="H13" s="6" t="s">
        <v>22</v>
      </c>
      <c r="I13" s="12" t="n">
        <v>0</v>
      </c>
      <c r="J13" s="6" t="n">
        <f aca="false">IF($B13="NO","NA",IF(I13="","",MIN(I13,$B$6)))</f>
        <v>0</v>
      </c>
      <c r="K13" s="10" t="s">
        <v>1003</v>
      </c>
    </row>
    <row r="14" customFormat="false" ht="213.75" hidden="false" customHeight="true" outlineLevel="0" collapsed="false">
      <c r="A14" s="6" t="s">
        <v>26</v>
      </c>
      <c r="B14" s="6" t="s">
        <v>821</v>
      </c>
      <c r="C14" s="6" t="s">
        <v>145</v>
      </c>
      <c r="D14" s="6" t="s">
        <v>1004</v>
      </c>
      <c r="E14" s="6" t="s">
        <v>1005</v>
      </c>
      <c r="F14" s="6" t="s">
        <v>1006</v>
      </c>
      <c r="G14" s="6" t="s">
        <v>1007</v>
      </c>
      <c r="H14" s="6" t="s">
        <v>146</v>
      </c>
      <c r="I14" s="12"/>
      <c r="J14" s="6" t="str">
        <f aca="false">IF($B14="NO","NA",IF(I14="","",MIN(I14,$B$6)))</f>
        <v/>
      </c>
      <c r="K14" s="10" t="s">
        <v>1008</v>
      </c>
    </row>
    <row r="15" customFormat="false" ht="292.5" hidden="false" customHeight="true" outlineLevel="0" collapsed="false">
      <c r="A15" s="6" t="s">
        <v>32</v>
      </c>
      <c r="B15" s="6" t="s">
        <v>821</v>
      </c>
      <c r="C15" s="6" t="s">
        <v>34</v>
      </c>
      <c r="D15" s="6" t="s">
        <v>1009</v>
      </c>
      <c r="E15" s="6" t="s">
        <v>1010</v>
      </c>
      <c r="F15" s="6" t="s">
        <v>1011</v>
      </c>
      <c r="G15" s="6" t="s">
        <v>835</v>
      </c>
      <c r="H15" s="6" t="s">
        <v>35</v>
      </c>
      <c r="I15" s="12" t="n">
        <v>0</v>
      </c>
      <c r="J15" s="6" t="n">
        <f aca="false">IF($B15="NO","NA",IF(I15="","",MIN(I15,$B$6)))</f>
        <v>0</v>
      </c>
      <c r="K15" s="10" t="s">
        <v>1012</v>
      </c>
    </row>
    <row r="16" customFormat="false" ht="292.5" hidden="false" customHeight="true" outlineLevel="0" collapsed="false">
      <c r="A16" s="6" t="s">
        <v>38</v>
      </c>
      <c r="B16" s="6" t="s">
        <v>821</v>
      </c>
      <c r="C16" s="6" t="s">
        <v>40</v>
      </c>
      <c r="D16" s="6" t="s">
        <v>837</v>
      </c>
      <c r="E16" s="6" t="s">
        <v>1013</v>
      </c>
      <c r="F16" s="6" t="s">
        <v>1014</v>
      </c>
      <c r="G16" s="6" t="s">
        <v>886</v>
      </c>
      <c r="H16" s="6" t="s">
        <v>29</v>
      </c>
      <c r="I16" s="12" t="n">
        <v>0</v>
      </c>
      <c r="J16" s="6" t="n">
        <f aca="false">IF($B16="NO","NA",IF(I16="","",MIN(I16,$B$6)))</f>
        <v>0</v>
      </c>
      <c r="K16" s="10" t="s">
        <v>1015</v>
      </c>
    </row>
    <row r="17" customFormat="false" ht="15" hidden="false" customHeight="true" outlineLevel="0" collapsed="false">
      <c r="A17" s="6" t="s">
        <v>43</v>
      </c>
      <c r="B17" s="6" t="s">
        <v>821</v>
      </c>
      <c r="C17" s="6" t="s">
        <v>841</v>
      </c>
      <c r="D17" s="6" t="s">
        <v>1016</v>
      </c>
      <c r="E17" s="6" t="s">
        <v>1017</v>
      </c>
      <c r="F17" s="6" t="s">
        <v>1018</v>
      </c>
      <c r="G17" s="6" t="s">
        <v>1019</v>
      </c>
      <c r="H17" s="6" t="s">
        <v>846</v>
      </c>
      <c r="I17" s="12" t="n">
        <v>0</v>
      </c>
      <c r="J17" s="6" t="n">
        <f aca="false">IF($B17="NO","NA",IF(I17="","",MIN(I17,$B$6)))</f>
        <v>0</v>
      </c>
      <c r="K17" s="6" t="s">
        <v>1020</v>
      </c>
    </row>
    <row r="18" customFormat="false" ht="15" hidden="false" customHeight="true" outlineLevel="0" collapsed="false">
      <c r="A18" s="6" t="s">
        <v>46</v>
      </c>
      <c r="B18" s="6" t="s">
        <v>821</v>
      </c>
      <c r="C18" s="6" t="s">
        <v>209</v>
      </c>
      <c r="D18" s="0" t="s">
        <v>1021</v>
      </c>
      <c r="E18" s="0" t="s">
        <v>1022</v>
      </c>
      <c r="F18" s="0" t="s">
        <v>1023</v>
      </c>
      <c r="G18" s="0" t="s">
        <v>1024</v>
      </c>
      <c r="H18" s="6" t="s">
        <v>210</v>
      </c>
      <c r="I18" s="12"/>
      <c r="J18" s="6" t="str">
        <f aca="false">IF($B18="NO","NA",IF(I18="","",MIN(I18,$B$6)))</f>
        <v/>
      </c>
      <c r="K18" s="10" t="s">
        <v>1025</v>
      </c>
    </row>
    <row r="19" customFormat="false" ht="15" hidden="false" customHeight="true" outlineLevel="0" collapsed="false">
      <c r="A19" s="6" t="s">
        <v>48</v>
      </c>
      <c r="B19" s="6" t="s">
        <v>821</v>
      </c>
      <c r="I19" s="12"/>
      <c r="J19" s="6" t="str">
        <f aca="false">IF($B19="NO","NA",IF(I19="","",MIN(I19,$B$6)))</f>
        <v/>
      </c>
      <c r="K19" s="0" t="s">
        <v>1026</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214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4</v>
      </c>
    </row>
    <row r="4" customFormat="false" ht="15" hidden="false" customHeight="true" outlineLevel="0" collapsed="false">
      <c r="A4" s="8" t="s">
        <v>561</v>
      </c>
      <c r="B4" s="3" t="str">
        <f aca="false">VLOOKUP($B$1,'PARASTATAL Questions'!$A:$J,4,0)&amp;""</f>
        <v>MQ</v>
      </c>
    </row>
    <row r="5" customFormat="false" ht="79.5" hidden="false" customHeight="true" outlineLevel="0" collapsed="false">
      <c r="A5" s="8" t="s">
        <v>0</v>
      </c>
      <c r="B5" s="3" t="str">
        <f aca="false">VLOOKUP($B$1,'PARASTATAL Questions'!$A:$J,5,0)&amp;""</f>
        <v>Does the parastatal maintain an active and functional website?</v>
      </c>
    </row>
    <row r="6" customFormat="false" ht="15" hidden="false" customHeight="true" outlineLevel="0" collapsed="false">
      <c r="A6" s="8" t="s">
        <v>563</v>
      </c>
      <c r="B6" s="3" t="n">
        <f aca="false">VLOOKUP($B$1,'PARASTATAL Questions'!$A:$J,6,0)</f>
        <v>10</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572.25" hidden="false" customHeight="true" outlineLevel="0" collapsed="false">
      <c r="A9" s="8" t="s">
        <v>595</v>
      </c>
      <c r="B9" s="3" t="str">
        <f aca="false">VLOOKUP($B$1,'PARASTATAL Questions'!$A:$J,9,0)&amp;""</f>
        <v>Check the official website of the relevant parastatal.Score 10 if an official website of the relevant parastatal exists, opens without error, and shows content updated within the last 12 months (verifiable "last updated" date or dated content such as a recent notice/circular). Score 0 if no official website is found. This is a point-in-time check — record the date of verification and an archived screenshot/link as evidence, since website status can change.</v>
      </c>
    </row>
    <row r="10" customFormat="false" ht="135.75" hidden="false" customHeight="true" outlineLevel="0" collapsed="false">
      <c r="A10" s="8" t="s">
        <v>596</v>
      </c>
      <c r="B10" s="3" t="str">
        <f aca="false">VLOOKUP($B$1,'PARASTATAL Questions'!$A:$J,10,0)&amp;""</f>
        <v>Live URL, screenshot/web-archive capture, date of check of the website of the relevant parastatal</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91.25" hidden="false" customHeight="true" outlineLevel="0" collapsed="false">
      <c r="A13" s="6" t="s">
        <v>17</v>
      </c>
      <c r="B13" s="6" t="s">
        <v>821</v>
      </c>
      <c r="C13" s="6" t="s">
        <v>216</v>
      </c>
      <c r="D13" s="6" t="s">
        <v>1028</v>
      </c>
      <c r="E13" s="6" t="s">
        <v>1029</v>
      </c>
      <c r="F13" s="6" t="s">
        <v>1030</v>
      </c>
      <c r="H13" s="6" t="s">
        <v>217</v>
      </c>
      <c r="I13" s="12" t="n">
        <v>10</v>
      </c>
      <c r="J13" s="6" t="n">
        <f aca="false">IF($B13="NO","NA",IF(I13="","",MIN(I13,$B$6)))</f>
        <v>10</v>
      </c>
      <c r="K13" s="10" t="s">
        <v>1031</v>
      </c>
    </row>
    <row r="14" customFormat="false" ht="30.75" hidden="false" customHeight="true" outlineLevel="0" collapsed="false">
      <c r="A14" s="6" t="s">
        <v>26</v>
      </c>
      <c r="B14" s="6" t="s">
        <v>821</v>
      </c>
      <c r="C14" s="6" t="s">
        <v>221</v>
      </c>
      <c r="D14" s="6" t="s">
        <v>1032</v>
      </c>
      <c r="E14" s="6" t="s">
        <v>1033</v>
      </c>
      <c r="F14" s="6" t="s">
        <v>1034</v>
      </c>
      <c r="H14" s="6" t="s">
        <v>222</v>
      </c>
      <c r="I14" s="12" t="n">
        <v>10</v>
      </c>
      <c r="J14" s="6" t="n">
        <f aca="false">IF($B14="NO","NA",IF(I14="","",MIN(I14,$B$6)))</f>
        <v>10</v>
      </c>
      <c r="K14" s="10" t="s">
        <v>1035</v>
      </c>
    </row>
    <row r="15" customFormat="false" ht="15" hidden="false" customHeight="true" outlineLevel="0" collapsed="false">
      <c r="A15" s="6" t="s">
        <v>32</v>
      </c>
      <c r="B15" s="6" t="s">
        <v>821</v>
      </c>
      <c r="I15" s="12"/>
      <c r="J15" s="6" t="str">
        <f aca="false">IF($B15="NO","NA",IF(I15="","",MIN(I15,$B$6)))</f>
        <v/>
      </c>
      <c r="K15" s="6" t="s">
        <v>1036</v>
      </c>
    </row>
    <row r="16" customFormat="false" ht="15" hidden="false" customHeight="true" outlineLevel="0" collapsed="false">
      <c r="A16" s="6" t="s">
        <v>38</v>
      </c>
      <c r="B16" s="6" t="s">
        <v>821</v>
      </c>
      <c r="C16" s="6" t="s">
        <v>177</v>
      </c>
      <c r="D16" s="6" t="s">
        <v>1037</v>
      </c>
      <c r="E16" s="6" t="s">
        <v>1038</v>
      </c>
      <c r="F16" s="6" t="s">
        <v>1039</v>
      </c>
      <c r="G16" s="6" t="s">
        <v>1040</v>
      </c>
      <c r="H16" s="6" t="s">
        <v>178</v>
      </c>
      <c r="I16" s="12"/>
      <c r="J16" s="6" t="str">
        <f aca="false">IF($B16="NO","NA",IF(I16="","",MIN(I16,$B$6)))</f>
        <v/>
      </c>
      <c r="K16" s="6" t="s">
        <v>1041</v>
      </c>
    </row>
    <row r="17" customFormat="false" ht="23.25" hidden="false" customHeight="true" outlineLevel="0" collapsed="false">
      <c r="A17" s="6" t="s">
        <v>43</v>
      </c>
      <c r="B17" s="6" t="s">
        <v>821</v>
      </c>
      <c r="C17" s="6" t="s">
        <v>230</v>
      </c>
      <c r="D17" s="6" t="s">
        <v>1042</v>
      </c>
      <c r="E17" s="6" t="s">
        <v>1043</v>
      </c>
      <c r="F17" s="6" t="s">
        <v>1044</v>
      </c>
      <c r="H17" s="6" t="s">
        <v>231</v>
      </c>
      <c r="I17" s="12" t="n">
        <v>10</v>
      </c>
      <c r="J17" s="6" t="n">
        <f aca="false">IF($B17="NO","NA",IF(I17="","",MIN(I17,$B$6)))</f>
        <v>10</v>
      </c>
      <c r="K17" s="10" t="s">
        <v>1045</v>
      </c>
    </row>
    <row r="18" customFormat="false" ht="15" hidden="false" customHeight="true" outlineLevel="0" collapsed="false">
      <c r="A18" s="6" t="s">
        <v>46</v>
      </c>
      <c r="B18" s="6" t="s">
        <v>821</v>
      </c>
      <c r="I18" s="12"/>
      <c r="J18" s="6" t="str">
        <f aca="false">IF($B18="NO","NA",IF(I18="","",MIN(I18,$B$6)))</f>
        <v/>
      </c>
      <c r="K18" s="0" t="s">
        <v>1046</v>
      </c>
    </row>
    <row r="19" customFormat="false" ht="15" hidden="false" customHeight="true" outlineLevel="0" collapsed="false">
      <c r="A19" s="6" t="s">
        <v>48</v>
      </c>
      <c r="B19" s="6" t="s">
        <v>821</v>
      </c>
      <c r="C19" s="6" t="s">
        <v>236</v>
      </c>
      <c r="D19" s="0" t="s">
        <v>1047</v>
      </c>
      <c r="E19" s="0" t="s">
        <v>1048</v>
      </c>
      <c r="F19" s="0" t="s">
        <v>1049</v>
      </c>
      <c r="H19" s="6" t="s">
        <v>237</v>
      </c>
      <c r="I19" s="12" t="n">
        <v>10</v>
      </c>
      <c r="J19" s="6" t="n">
        <f aca="false">IF($B19="NO","NA",IF(I19="","",MIN(I19,$B$6)))</f>
        <v>10</v>
      </c>
      <c r="K19" s="10" t="s">
        <v>1050</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240</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DPG5a</v>
      </c>
    </row>
    <row r="4" customFormat="false" ht="15" hidden="false" customHeight="true" outlineLevel="0" collapsed="false">
      <c r="A4" s="8" t="s">
        <v>561</v>
      </c>
      <c r="B4" s="3" t="str">
        <f aca="false">VLOOKUP($B$1,'PARASTATAL Questions'!$A:$J,4,0)&amp;""</f>
        <v>SQ</v>
      </c>
    </row>
    <row r="5" customFormat="false" ht="23.25" hidden="false" customHeight="true" outlineLevel="0" collapsed="false">
      <c r="A5" s="8" t="s">
        <v>0</v>
      </c>
      <c r="B5" s="3" t="str">
        <f aca="false">VLOOKUP($B$1,'PARASTATAL Questions'!$A:$J,5,0)&amp;""</f>
        <v>Annual budget</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829.5" hidden="false" customHeight="true" outlineLevel="0" collapsed="false">
      <c r="A9" s="8" t="s">
        <v>595</v>
      </c>
      <c r="B9" s="3" t="str">
        <f aca="false">VLOOKUP($B$1,'PARASTATAL Questions'!$A:$J,9,0)&amp;""</f>
        <v>Availability and currency — 0.50.5: Budget for the current FY or immediately preceding FY is publicly available online0: Budget cannot be found/accessed online or is older than the permitted period.Record the FY/year/date of the latest information found in a separate evidence field even where the score is 0. Minimum format/accessibility — 0.50.5: Budget data available in a structured, machine-readable/reusable format (XLS/XLSX, CSV, ODS, structured HTML table, downloadable structured dataset)0: Budget data is available but does not meet that standard (Scanned PDF/image; PDF containing only tables that cannot be readily extracted/reused)</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1052</v>
      </c>
    </row>
    <row r="14" customFormat="false" ht="15" hidden="false" customHeight="true" outlineLevel="0" collapsed="false">
      <c r="A14" s="6" t="s">
        <v>26</v>
      </c>
      <c r="B14" s="6" t="s">
        <v>821</v>
      </c>
      <c r="I14" s="12"/>
      <c r="J14" s="6" t="str">
        <f aca="false">IF($B14="NO","NA",IF(I14="","",MIN(I14,$B$6)))</f>
        <v/>
      </c>
      <c r="K14" s="6" t="s">
        <v>1053</v>
      </c>
    </row>
    <row r="15" customFormat="false" ht="15" hidden="false" customHeight="true" outlineLevel="0" collapsed="false">
      <c r="A15" s="6" t="s">
        <v>32</v>
      </c>
      <c r="B15" s="6" t="s">
        <v>821</v>
      </c>
      <c r="I15" s="12"/>
      <c r="J15" s="6" t="str">
        <f aca="false">IF($B15="NO","NA",IF(I15="","",MIN(I15,$B$6)))</f>
        <v/>
      </c>
      <c r="K15" s="6" t="s">
        <v>1054</v>
      </c>
    </row>
    <row r="16" customFormat="false" ht="15" hidden="false" customHeight="true" outlineLevel="0" collapsed="false">
      <c r="A16" s="6" t="s">
        <v>38</v>
      </c>
      <c r="B16" s="6" t="s">
        <v>821</v>
      </c>
      <c r="I16" s="12"/>
      <c r="J16" s="6" t="str">
        <f aca="false">IF($B16="NO","NA",IF(I16="","",MIN(I16,$B$6)))</f>
        <v/>
      </c>
      <c r="K16" s="6" t="s">
        <v>1055</v>
      </c>
    </row>
    <row r="17" customFormat="false" ht="15" hidden="false" customHeight="true" outlineLevel="0" collapsed="false">
      <c r="A17" s="6" t="s">
        <v>43</v>
      </c>
      <c r="B17" s="6" t="s">
        <v>821</v>
      </c>
      <c r="I17" s="12"/>
      <c r="J17" s="6" t="str">
        <f aca="false">IF($B17="NO","NA",IF(I17="","",MIN(I17,$B$6)))</f>
        <v/>
      </c>
      <c r="K17" s="6" t="s">
        <v>1056</v>
      </c>
    </row>
    <row r="18" customFormat="false" ht="15" hidden="false" customHeight="true" outlineLevel="0" collapsed="false">
      <c r="A18" s="6" t="s">
        <v>46</v>
      </c>
      <c r="B18" s="6" t="s">
        <v>821</v>
      </c>
      <c r="I18" s="12"/>
      <c r="J18" s="6" t="str">
        <f aca="false">IF($B18="NO","NA",IF(I18="","",MIN(I18,$B$6)))</f>
        <v/>
      </c>
      <c r="K18" s="0" t="s">
        <v>1057</v>
      </c>
    </row>
    <row r="19" customFormat="false" ht="15" hidden="false" customHeight="true" outlineLevel="0" collapsed="false">
      <c r="A19" s="6" t="s">
        <v>48</v>
      </c>
      <c r="B19" s="6" t="s">
        <v>821</v>
      </c>
      <c r="I19" s="12"/>
      <c r="J19" s="6" t="str">
        <f aca="false">IF($B19="NO","NA",IF(I19="","",MIN(I19,$B$6)))</f>
        <v/>
      </c>
      <c r="K19" s="0" t="s">
        <v>1058</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248</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5b</v>
      </c>
    </row>
    <row r="4" customFormat="false" ht="15" hidden="false" customHeight="true" outlineLevel="0" collapsed="false">
      <c r="A4" s="8" t="s">
        <v>561</v>
      </c>
      <c r="B4" s="3" t="str">
        <f aca="false">VLOOKUP($B$1,'PARASTATAL Questions'!$A:$J,4,0)&amp;""</f>
        <v>SQ</v>
      </c>
    </row>
    <row r="5" customFormat="false" ht="34.5" hidden="false" customHeight="true" outlineLevel="0" collapsed="false">
      <c r="A5" s="8" t="s">
        <v>0</v>
      </c>
      <c r="B5" s="3" t="str">
        <f aca="false">VLOOKUP($B$1,'PARASTATAL Questions'!$A:$J,5,0)&amp;""</f>
        <v>Audited annual accounts</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1086.75" hidden="false" customHeight="true" outlineLevel="0" collapsed="false">
      <c r="A9" s="8" t="s">
        <v>595</v>
      </c>
      <c r="B9" s="3" t="str">
        <f aca="false">VLOOKUP($B$1,'PARASTATAL Questions'!$A:$J,9,0)&amp;""</f>
        <v>Availability and currency — 0.5Score 0.5: Audited accounts for the immediately preceding FY, or the latest FY for which audited accounts are due, are publicly available online. Allow a one-FY lag where audit timelines make preceding-year accounts not yet due.Score 0: Audited accounts cannot be found/accessed online or is older than the permitted period.Record the FY/year/date of the latest information found in a separate evidence field even where the score is 0. Minimum format/accessibility — 0.5Score 0.5: Financial statements available in a structured, machine-readable/reusable format (XLS/XLSX, CSV, ODS, structured HTML table, downloadable structured dataset)Score 0: Financial statements is available but does not meet that standard (Scanned PDF/image; PDF containing only tables that cannot be readily extracted/reused)</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1059</v>
      </c>
    </row>
    <row r="14" customFormat="false" ht="236.25" hidden="false" customHeight="true" outlineLevel="0" collapsed="false">
      <c r="A14" s="6" t="s">
        <v>26</v>
      </c>
      <c r="B14" s="6" t="s">
        <v>821</v>
      </c>
      <c r="C14" s="6" t="s">
        <v>251</v>
      </c>
      <c r="D14" s="6" t="s">
        <v>1060</v>
      </c>
      <c r="E14" s="6" t="s">
        <v>1061</v>
      </c>
      <c r="F14" s="6" t="s">
        <v>1062</v>
      </c>
      <c r="H14" s="6" t="s">
        <v>252</v>
      </c>
      <c r="I14" s="12"/>
      <c r="J14" s="6" t="str">
        <f aca="false">IF($B14="NO","NA",IF(I14="","",MIN(I14,$B$6)))</f>
        <v/>
      </c>
      <c r="K14" s="10" t="s">
        <v>1063</v>
      </c>
    </row>
    <row r="15" customFormat="false" ht="15" hidden="false" customHeight="true" outlineLevel="0" collapsed="false">
      <c r="A15" s="6" t="s">
        <v>32</v>
      </c>
      <c r="B15" s="6" t="s">
        <v>821</v>
      </c>
      <c r="I15" s="12"/>
      <c r="J15" s="6" t="str">
        <f aca="false">IF($B15="NO","NA",IF(I15="","",MIN(I15,$B$6)))</f>
        <v/>
      </c>
      <c r="K15" s="6" t="s">
        <v>1064</v>
      </c>
    </row>
    <row r="16" customFormat="false" ht="202.5" hidden="false" customHeight="true" outlineLevel="0" collapsed="false">
      <c r="A16" s="6" t="s">
        <v>38</v>
      </c>
      <c r="B16" s="6" t="s">
        <v>821</v>
      </c>
      <c r="C16" s="6" t="s">
        <v>177</v>
      </c>
      <c r="D16" s="6" t="s">
        <v>1065</v>
      </c>
      <c r="E16" s="6" t="s">
        <v>1066</v>
      </c>
      <c r="G16" s="6" t="s">
        <v>1067</v>
      </c>
      <c r="H16" s="6" t="s">
        <v>178</v>
      </c>
      <c r="I16" s="12" t="n">
        <v>0</v>
      </c>
      <c r="J16" s="6" t="n">
        <f aca="false">IF($B16="NO","NA",IF(I16="","",MIN(I16,$B$6)))</f>
        <v>0</v>
      </c>
      <c r="K16" s="10" t="s">
        <v>1068</v>
      </c>
    </row>
    <row r="17" customFormat="false" ht="15" hidden="false" customHeight="true" outlineLevel="0" collapsed="false">
      <c r="A17" s="6" t="s">
        <v>43</v>
      </c>
      <c r="B17" s="6" t="s">
        <v>821</v>
      </c>
      <c r="I17" s="12"/>
      <c r="J17" s="6" t="str">
        <f aca="false">IF($B17="NO","NA",IF(I17="","",MIN(I17,$B$6)))</f>
        <v/>
      </c>
      <c r="K17" s="6" t="s">
        <v>1069</v>
      </c>
    </row>
    <row r="18" customFormat="false" ht="15" hidden="false" customHeight="true" outlineLevel="0" collapsed="false">
      <c r="A18" s="6" t="s">
        <v>46</v>
      </c>
      <c r="B18" s="6" t="s">
        <v>821</v>
      </c>
      <c r="I18" s="12"/>
      <c r="J18" s="6" t="str">
        <f aca="false">IF($B18="NO","NA",IF(I18="","",MIN(I18,$B$6)))</f>
        <v/>
      </c>
      <c r="K18" s="0" t="s">
        <v>1070</v>
      </c>
    </row>
    <row r="19" customFormat="false" ht="15" hidden="false" customHeight="true" outlineLevel="0" collapsed="false">
      <c r="A19" s="6" t="s">
        <v>48</v>
      </c>
      <c r="B19" s="6" t="s">
        <v>821</v>
      </c>
      <c r="C19" s="6" t="s">
        <v>260</v>
      </c>
      <c r="D19" s="0" t="s">
        <v>1071</v>
      </c>
      <c r="E19" s="0" t="s">
        <v>1072</v>
      </c>
      <c r="F19" s="0" t="s">
        <v>1073</v>
      </c>
      <c r="G19" s="0" t="s">
        <v>1074</v>
      </c>
      <c r="H19" s="6" t="s">
        <v>261</v>
      </c>
      <c r="I19" s="12" t="n">
        <v>0.5</v>
      </c>
      <c r="J19" s="6" t="n">
        <f aca="false">IF($B19="NO","NA",IF(I19="","",MIN(I19,$B$6)))</f>
        <v>0.5</v>
      </c>
      <c r="K19" s="10" t="s">
        <v>1075</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264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5c</v>
      </c>
    </row>
    <row r="4" customFormat="false" ht="15" hidden="false" customHeight="true" outlineLevel="0" collapsed="false">
      <c r="A4" s="8" t="s">
        <v>561</v>
      </c>
      <c r="B4" s="3" t="str">
        <f aca="false">VLOOKUP($B$1,'PARASTATAL Questions'!$A:$J,4,0)&amp;""</f>
        <v>SQ</v>
      </c>
    </row>
    <row r="5" customFormat="false" ht="23.25" hidden="false" customHeight="true" outlineLevel="0" collapsed="false">
      <c r="A5" s="8" t="s">
        <v>0</v>
      </c>
      <c r="B5" s="3" t="str">
        <f aca="false">VLOOKUP($B$1,'PARASTATAL Questions'!$A:$J,5,0)&amp;""</f>
        <v>Annual report</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907.5" hidden="false" customHeight="true" outlineLevel="0" collapsed="false">
      <c r="A9" s="8" t="s">
        <v>595</v>
      </c>
      <c r="B9" s="3" t="str">
        <f aca="false">VLOOKUP($B$1,'PARASTATAL Questions'!$A:$J,9,0)&amp;""</f>
        <v>Availability and currency — 0.5Score 0.5: Annual report for the immediately preceding FY, or latest report due, is publicly available online.Score 0: Annual report cannot be found/accessed online or is older than the permitted period.Record the FY/year/date of the latest information found in a separate evidence field even where the score is 0. Minimum format/accessibility — 0.5Score 0.5: Annual report available in a searchable/text-readable and downloadable document (Searchable PDF/PDF-A, HTML, DOC/DOCX, accessible e-publication)Score 0: Annual report is available but does not meet that standard (Scanned/image-only PDF; images of report pages)</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5" hidden="false" customHeight="true" outlineLevel="0" collapsed="false">
      <c r="A13" s="6" t="s">
        <v>17</v>
      </c>
      <c r="B13" s="6" t="s">
        <v>821</v>
      </c>
      <c r="C13" s="6" t="s">
        <v>266</v>
      </c>
      <c r="D13" s="6" t="s">
        <v>1076</v>
      </c>
      <c r="E13" s="6" t="s">
        <v>1077</v>
      </c>
      <c r="F13" s="6" t="s">
        <v>1078</v>
      </c>
      <c r="G13" s="0" t="s">
        <v>1079</v>
      </c>
      <c r="H13" s="6" t="s">
        <v>267</v>
      </c>
      <c r="I13" s="12"/>
      <c r="J13" s="6" t="str">
        <f aca="false">IF($B13="NO","NA",IF(I13="","",MIN(I13,$B$6)))</f>
        <v/>
      </c>
      <c r="K13" s="10" t="s">
        <v>1080</v>
      </c>
    </row>
    <row r="14" customFormat="false" ht="15" hidden="false" customHeight="true" outlineLevel="0" collapsed="false">
      <c r="A14" s="6" t="s">
        <v>26</v>
      </c>
      <c r="B14" s="6" t="s">
        <v>821</v>
      </c>
      <c r="I14" s="12"/>
      <c r="J14" s="6" t="str">
        <f aca="false">IF($B14="NO","NA",IF(I14="","",MIN(I14,$B$6)))</f>
        <v/>
      </c>
      <c r="K14" s="6" t="s">
        <v>1081</v>
      </c>
    </row>
    <row r="15" customFormat="false" ht="15" hidden="false" customHeight="true" outlineLevel="0" collapsed="false">
      <c r="A15" s="6" t="s">
        <v>32</v>
      </c>
      <c r="B15" s="6" t="s">
        <v>821</v>
      </c>
      <c r="I15" s="12"/>
      <c r="J15" s="6" t="str">
        <f aca="false">IF($B15="NO","NA",IF(I15="","",MIN(I15,$B$6)))</f>
        <v/>
      </c>
      <c r="K15" s="6" t="s">
        <v>1082</v>
      </c>
    </row>
    <row r="16" customFormat="false" ht="34.5" hidden="false" customHeight="true" outlineLevel="0" collapsed="false">
      <c r="A16" s="6" t="s">
        <v>38</v>
      </c>
      <c r="B16" s="6" t="s">
        <v>821</v>
      </c>
      <c r="C16" s="6" t="s">
        <v>177</v>
      </c>
      <c r="D16" s="6" t="s">
        <v>1083</v>
      </c>
      <c r="E16" s="6" t="s">
        <v>1084</v>
      </c>
      <c r="F16" s="0" t="s">
        <v>1085</v>
      </c>
      <c r="G16" s="6" t="s">
        <v>1067</v>
      </c>
      <c r="H16" s="6" t="s">
        <v>178</v>
      </c>
      <c r="I16" s="12"/>
      <c r="J16" s="6" t="str">
        <f aca="false">IF($B16="NO","NA",IF(I16="","",MIN(I16,$B$6)))</f>
        <v/>
      </c>
      <c r="K16" s="10" t="s">
        <v>1086</v>
      </c>
    </row>
    <row r="17" customFormat="false" ht="213.75" hidden="false" customHeight="true" outlineLevel="0" collapsed="false">
      <c r="A17" s="6" t="s">
        <v>43</v>
      </c>
      <c r="B17" s="6" t="s">
        <v>821</v>
      </c>
      <c r="C17" s="6" t="s">
        <v>230</v>
      </c>
      <c r="D17" s="6" t="s">
        <v>1087</v>
      </c>
      <c r="E17" s="6" t="s">
        <v>1088</v>
      </c>
      <c r="F17" s="6" t="s">
        <v>1089</v>
      </c>
      <c r="G17" s="6" t="s">
        <v>845</v>
      </c>
      <c r="H17" s="6" t="s">
        <v>231</v>
      </c>
      <c r="I17" s="12"/>
      <c r="J17" s="6" t="str">
        <f aca="false">IF($B17="NO","NA",IF(I17="","",MIN(I17,$B$6)))</f>
        <v/>
      </c>
      <c r="K17" s="10" t="s">
        <v>1090</v>
      </c>
    </row>
    <row r="18" customFormat="false" ht="15" hidden="false" customHeight="true" outlineLevel="0" collapsed="false">
      <c r="A18" s="6" t="s">
        <v>46</v>
      </c>
      <c r="B18" s="6" t="s">
        <v>821</v>
      </c>
      <c r="I18" s="12"/>
      <c r="J18" s="6" t="str">
        <f aca="false">IF($B18="NO","NA",IF(I18="","",MIN(I18,$B$6)))</f>
        <v/>
      </c>
      <c r="K18" s="0" t="s">
        <v>1091</v>
      </c>
    </row>
    <row r="19" customFormat="false" ht="15" hidden="false" customHeight="true" outlineLevel="0" collapsed="false">
      <c r="A19" s="6" t="s">
        <v>48</v>
      </c>
      <c r="B19" s="6" t="s">
        <v>821</v>
      </c>
      <c r="C19" s="6" t="s">
        <v>280</v>
      </c>
      <c r="D19" s="0" t="s">
        <v>1092</v>
      </c>
      <c r="E19" s="0" t="s">
        <v>1093</v>
      </c>
      <c r="F19" s="0" t="s">
        <v>1094</v>
      </c>
      <c r="H19" s="6" t="s">
        <v>281</v>
      </c>
      <c r="I19" s="12"/>
      <c r="J19" s="6" t="str">
        <f aca="false">IF($B19="NO","NA",IF(I19="","",MIN(I19,$B$6)))</f>
        <v/>
      </c>
      <c r="K19" s="10" t="s">
        <v>1095</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284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d</v>
      </c>
    </row>
    <row r="4" customFormat="false" ht="15" hidden="false" customHeight="true" outlineLevel="0" collapsed="false">
      <c r="A4" s="8" t="s">
        <v>561</v>
      </c>
      <c r="B4" s="3" t="str">
        <f aca="false">VLOOKUP($B$1,'PARASTATAL Questions'!$A:$J,4,0)&amp;""</f>
        <v>SQ</v>
      </c>
    </row>
    <row r="5" customFormat="false" ht="45.75" hidden="false" customHeight="true" outlineLevel="0" collapsed="false">
      <c r="A5" s="8" t="s">
        <v>0</v>
      </c>
      <c r="B5" s="3" t="str">
        <f aca="false">VLOOKUP($B$1,'PARASTATAL Questions'!$A:$J,5,0)&amp;""</f>
        <v>Meeting minutes of governing board</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840.75" hidden="false" customHeight="true" outlineLevel="0" collapsed="false">
      <c r="A9" s="8" t="s">
        <v>595</v>
      </c>
      <c r="B9" s="3" t="str">
        <f aca="false">VLOOKUP($B$1,'PARASTATAL Questions'!$A:$J,9,0)&amp;""</f>
        <v>Availability and currency — 0.5Score 0.5: At least one set of minutes from the current FY or immediately preceding FY is publicly available onlineScore 0: Meeting Minutes cannot be found/accessed online or is older than the permitted period.Record the FY/year/date of the latest information found in a separate evidence field even where the score is 0. Minimum format/accessibility — 0.5Score 0.5: Meeting Minutes available in a searchable/text-readable and downloadable document (Searchable PDF, HTML, DOC/DOCX)Score 0: Meeting Minutes is available but does not meet that standard (Scanned/image-only minutes; image gallery)</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1096</v>
      </c>
    </row>
    <row r="14" customFormat="false" ht="15" hidden="false" customHeight="true" outlineLevel="0" collapsed="false">
      <c r="A14" s="6" t="s">
        <v>26</v>
      </c>
      <c r="B14" s="6" t="s">
        <v>821</v>
      </c>
      <c r="I14" s="12"/>
      <c r="J14" s="6" t="str">
        <f aca="false">IF($B14="NO","NA",IF(I14="","",MIN(I14,$B$6)))</f>
        <v/>
      </c>
      <c r="K14" s="6" t="s">
        <v>1097</v>
      </c>
    </row>
    <row r="15" customFormat="false" ht="15" hidden="false" customHeight="true" outlineLevel="0" collapsed="false">
      <c r="A15" s="6" t="s">
        <v>32</v>
      </c>
      <c r="B15" s="6" t="s">
        <v>821</v>
      </c>
      <c r="I15" s="12"/>
      <c r="J15" s="6" t="str">
        <f aca="false">IF($B15="NO","NA",IF(I15="","",MIN(I15,$B$6)))</f>
        <v/>
      </c>
      <c r="K15" s="6" t="s">
        <v>1098</v>
      </c>
    </row>
    <row r="16" customFormat="false" ht="15" hidden="false" customHeight="true" outlineLevel="0" collapsed="false">
      <c r="A16" s="6" t="s">
        <v>38</v>
      </c>
      <c r="B16" s="6" t="s">
        <v>821</v>
      </c>
      <c r="I16" s="12"/>
      <c r="J16" s="6" t="str">
        <f aca="false">IF($B16="NO","NA",IF(I16="","",MIN(I16,$B$6)))</f>
        <v/>
      </c>
      <c r="K16" s="6" t="s">
        <v>1099</v>
      </c>
    </row>
    <row r="17" customFormat="false" ht="15" hidden="false" customHeight="true" outlineLevel="0" collapsed="false">
      <c r="A17" s="6" t="s">
        <v>43</v>
      </c>
      <c r="B17" s="6" t="s">
        <v>821</v>
      </c>
      <c r="I17" s="12"/>
      <c r="J17" s="6" t="str">
        <f aca="false">IF($B17="NO","NA",IF(I17="","",MIN(I17,$B$6)))</f>
        <v/>
      </c>
      <c r="K17" s="6" t="s">
        <v>1100</v>
      </c>
    </row>
    <row r="18" customFormat="false" ht="15" hidden="false" customHeight="true" outlineLevel="0" collapsed="false">
      <c r="A18" s="6" t="s">
        <v>46</v>
      </c>
      <c r="B18" s="6" t="s">
        <v>821</v>
      </c>
      <c r="I18" s="12"/>
      <c r="J18" s="6" t="str">
        <f aca="false">IF($B18="NO","NA",IF(I18="","",MIN(I18,$B$6)))</f>
        <v/>
      </c>
      <c r="K18" s="0" t="s">
        <v>1101</v>
      </c>
    </row>
    <row r="19" customFormat="false" ht="15" hidden="false" customHeight="true" outlineLevel="0" collapsed="false">
      <c r="A19" s="6" t="s">
        <v>48</v>
      </c>
      <c r="B19" s="6" t="s">
        <v>821</v>
      </c>
      <c r="I19" s="12"/>
      <c r="J19" s="6" t="str">
        <f aca="false">IF($B19="NO","NA",IF(I19="","",MIN(I19,$B$6)))</f>
        <v/>
      </c>
      <c r="K19" s="0" t="s">
        <v>1102</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292</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f</v>
      </c>
    </row>
    <row r="4" customFormat="false" ht="15" hidden="false" customHeight="true" outlineLevel="0" collapsed="false">
      <c r="A4" s="8" t="s">
        <v>561</v>
      </c>
      <c r="B4" s="3" t="str">
        <f aca="false">VLOOKUP($B$1,'PARASTATAL Questions'!$A:$J,4,0)&amp;""</f>
        <v>SQ</v>
      </c>
    </row>
    <row r="5" customFormat="false" ht="57" hidden="false" customHeight="true" outlineLevel="0" collapsed="false">
      <c r="A5" s="8" t="s">
        <v>0</v>
      </c>
      <c r="B5" s="3" t="str">
        <f aca="false">VLOOKUP($B$1,'PARASTATAL Questions'!$A:$J,5,0)&amp;""</f>
        <v>Organisation and staffing information</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1098" hidden="false" customHeight="true" outlineLevel="0" collapsed="false">
      <c r="A9" s="8" t="s">
        <v>595</v>
      </c>
      <c r="B9" s="3" t="str">
        <f aca="false">VLOOKUP($B$1,'PARASTATAL Questions'!$A:$J,9,0)&amp;""</f>
        <v>Availability and currency — 0.5Score 0.5: Information reflects the current organisational structure, or has evidence of being updated in the current or immediately preceding FYScore 0: Current organisational structure cannot be found/accessed online or is older than the permitted period.Record the FY/year/date of the latest information found in a separate evidence field even where the score is 0. Minimum format/accessibility — 0.5Score 0.5: Current organisational structure available in as searchable webpage or searchable/downloadable document with identifiable posts/officials/structure (HTML organisation/staff directory; searchable PDF organisation chart; XLS/CSV staff-position information)Score 0: Current organisational structure is available but does not meet that standard (Image-only organisation chart; scanned list)</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36.25" hidden="false" customHeight="true" outlineLevel="0" collapsed="false">
      <c r="A13" s="6" t="s">
        <v>17</v>
      </c>
      <c r="B13" s="6" t="s">
        <v>821</v>
      </c>
      <c r="C13" s="6" t="s">
        <v>294</v>
      </c>
      <c r="D13" s="6" t="s">
        <v>1103</v>
      </c>
      <c r="E13" s="6" t="s">
        <v>1104</v>
      </c>
      <c r="H13" s="6" t="s">
        <v>295</v>
      </c>
      <c r="I13" s="12"/>
      <c r="J13" s="6" t="str">
        <f aca="false">IF($B13="NO","NA",IF(I13="","",MIN(I13,$B$6)))</f>
        <v/>
      </c>
      <c r="K13" s="10" t="s">
        <v>1105</v>
      </c>
    </row>
    <row r="14" customFormat="false" ht="202.5" hidden="false" customHeight="true" outlineLevel="0" collapsed="false">
      <c r="A14" s="6" t="s">
        <v>26</v>
      </c>
      <c r="B14" s="6" t="s">
        <v>821</v>
      </c>
      <c r="C14" s="6" t="s">
        <v>299</v>
      </c>
      <c r="E14" s="6" t="s">
        <v>1106</v>
      </c>
      <c r="F14" s="6" t="s">
        <v>1107</v>
      </c>
      <c r="H14" s="6" t="s">
        <v>300</v>
      </c>
      <c r="I14" s="12"/>
      <c r="J14" s="6" t="str">
        <f aca="false">IF($B14="NO","NA",IF(I14="","",MIN(I14,$B$6)))</f>
        <v/>
      </c>
      <c r="K14" s="10" t="s">
        <v>1108</v>
      </c>
    </row>
    <row r="15" customFormat="false" ht="15" hidden="false" customHeight="true" outlineLevel="0" collapsed="false">
      <c r="A15" s="6" t="s">
        <v>32</v>
      </c>
      <c r="B15" s="6" t="s">
        <v>821</v>
      </c>
      <c r="I15" s="12"/>
      <c r="J15" s="6" t="str">
        <f aca="false">IF($B15="NO","NA",IF(I15="","",MIN(I15,$B$6)))</f>
        <v/>
      </c>
      <c r="K15" s="6" t="s">
        <v>1109</v>
      </c>
    </row>
    <row r="16" customFormat="false" ht="15" hidden="false" customHeight="true" outlineLevel="0" collapsed="false">
      <c r="A16" s="6" t="s">
        <v>38</v>
      </c>
      <c r="B16" s="6" t="s">
        <v>821</v>
      </c>
      <c r="I16" s="12"/>
      <c r="J16" s="6" t="str">
        <f aca="false">IF($B16="NO","NA",IF(I16="","",MIN(I16,$B$6)))</f>
        <v/>
      </c>
      <c r="K16" s="6" t="s">
        <v>1110</v>
      </c>
    </row>
    <row r="17" customFormat="false" ht="202.5" hidden="false" customHeight="true" outlineLevel="0" collapsed="false">
      <c r="A17" s="6" t="s">
        <v>43</v>
      </c>
      <c r="B17" s="6" t="s">
        <v>821</v>
      </c>
      <c r="C17" s="6" t="s">
        <v>306</v>
      </c>
      <c r="D17" s="6" t="s">
        <v>1111</v>
      </c>
      <c r="E17" s="6" t="s">
        <v>1112</v>
      </c>
      <c r="F17" s="6" t="s">
        <v>1113</v>
      </c>
      <c r="H17" s="6" t="s">
        <v>307</v>
      </c>
      <c r="I17" s="12" t="n">
        <v>1</v>
      </c>
      <c r="J17" s="6" t="n">
        <f aca="false">IF($B17="NO","NA",IF(I17="","",MIN(I17,$B$6)))</f>
        <v>1</v>
      </c>
      <c r="K17" s="10" t="s">
        <v>1114</v>
      </c>
    </row>
    <row r="18" customFormat="false" ht="15" hidden="false" customHeight="true" outlineLevel="0" collapsed="false">
      <c r="A18" s="6" t="s">
        <v>46</v>
      </c>
      <c r="B18" s="6" t="s">
        <v>821</v>
      </c>
      <c r="I18" s="12"/>
      <c r="J18" s="6" t="str">
        <f aca="false">IF($B18="NO","NA",IF(I18="","",MIN(I18,$B$6)))</f>
        <v/>
      </c>
      <c r="K18" s="0" t="s">
        <v>1115</v>
      </c>
    </row>
    <row r="19" customFormat="false" ht="15" hidden="false" customHeight="true" outlineLevel="0" collapsed="false">
      <c r="A19" s="6" t="s">
        <v>48</v>
      </c>
      <c r="B19" s="6" t="s">
        <v>821</v>
      </c>
      <c r="C19" s="6" t="s">
        <v>190</v>
      </c>
      <c r="D19" s="0" t="s">
        <v>1116</v>
      </c>
      <c r="E19" s="0" t="s">
        <v>1117</v>
      </c>
      <c r="H19" s="6" t="s">
        <v>191</v>
      </c>
      <c r="I19" s="12"/>
      <c r="J19" s="6" t="str">
        <f aca="false">IF($B19="NO","NA",IF(I19="","",MIN(I19,$B$6)))</f>
        <v/>
      </c>
      <c r="K19" s="10" t="s">
        <v>1118</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314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DPG5g</v>
      </c>
    </row>
    <row r="4" customFormat="false" ht="15" hidden="false" customHeight="true" outlineLevel="0" collapsed="false">
      <c r="A4" s="8" t="s">
        <v>561</v>
      </c>
      <c r="B4" s="3" t="str">
        <f aca="false">VLOOKUP($B$1,'PARASTATAL Questions'!$A:$J,4,0)&amp;""</f>
        <v>SQ</v>
      </c>
    </row>
    <row r="5" customFormat="false" ht="34.5" hidden="false" customHeight="true" outlineLevel="0" collapsed="false">
      <c r="A5" s="8" t="s">
        <v>0</v>
      </c>
      <c r="B5" s="3" t="str">
        <f aca="false">VLOOKUP($B$1,'PARASTATAL Questions'!$A:$J,5,0)&amp;""</f>
        <v>Major plans / projects</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1233" hidden="false" customHeight="true" outlineLevel="0" collapsed="false">
      <c r="A9" s="8" t="s">
        <v>595</v>
      </c>
      <c r="B9" s="3" t="str">
        <f aca="false">VLOOKUP($B$1,'PARASTATAL Questions'!$A:$J,9,0)&amp;""</f>
        <v>Availability and currency — 0.5Score 0.5: Major plans and/or information on ongoing projects is available and relates to the current FY or immediately preceding FY, as applicableScore 0: Major plans and/or information on ongoing projects cannot be found/accessed online or is older than the permitted period.Record the FY/year/date of the latest information found in a separate evidence field even where the score is 0. Minimum format/accessibility — 0.5Score 0.5: Major plans and/or information on ongoing projects available in the following manner- Plans: searchable/text-readable downloadable document. - Project information: searchable webpage/table or structured downloadable data (Searchable plan PDF; HTML project dashboard; XLS/CSV project list)Score 0: Major plans and/or information on ongoing projects is available but does not meet that standard (Scanned plan only; project information presented only as images)</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5" hidden="false" customHeight="true" outlineLevel="0" collapsed="false">
      <c r="A13" s="6" t="s">
        <v>17</v>
      </c>
      <c r="B13" s="6" t="s">
        <v>821</v>
      </c>
      <c r="C13" s="6" t="s">
        <v>107</v>
      </c>
      <c r="D13" s="6" t="s">
        <v>1119</v>
      </c>
      <c r="E13" s="6" t="s">
        <v>1120</v>
      </c>
      <c r="F13" s="6" t="s">
        <v>1121</v>
      </c>
      <c r="H13" s="6" t="s">
        <v>108</v>
      </c>
      <c r="I13" s="12"/>
      <c r="J13" s="6" t="str">
        <f aca="false">IF($B13="NO","NA",IF(I13="","",MIN(I13,$B$6)))</f>
        <v/>
      </c>
      <c r="K13" s="10" t="s">
        <v>1122</v>
      </c>
    </row>
    <row r="14" customFormat="false" ht="15" hidden="false" customHeight="true" outlineLevel="0" collapsed="false">
      <c r="A14" s="6" t="s">
        <v>26</v>
      </c>
      <c r="B14" s="6" t="s">
        <v>821</v>
      </c>
      <c r="I14" s="12"/>
      <c r="J14" s="6" t="str">
        <f aca="false">IF($B14="NO","NA",IF(I14="","",MIN(I14,$B$6)))</f>
        <v/>
      </c>
      <c r="K14" s="6" t="s">
        <v>1123</v>
      </c>
    </row>
    <row r="15" customFormat="false" ht="15" hidden="false" customHeight="true" outlineLevel="0" collapsed="false">
      <c r="A15" s="6" t="s">
        <v>32</v>
      </c>
      <c r="B15" s="6" t="s">
        <v>821</v>
      </c>
      <c r="I15" s="12"/>
      <c r="J15" s="6" t="str">
        <f aca="false">IF($B15="NO","NA",IF(I15="","",MIN(I15,$B$6)))</f>
        <v/>
      </c>
      <c r="K15" s="6" t="s">
        <v>1124</v>
      </c>
    </row>
    <row r="16" customFormat="false" ht="15" hidden="false" customHeight="true" outlineLevel="0" collapsed="false">
      <c r="A16" s="6" t="s">
        <v>38</v>
      </c>
      <c r="B16" s="6" t="s">
        <v>821</v>
      </c>
      <c r="C16" s="6" t="s">
        <v>319</v>
      </c>
      <c r="D16" s="0" t="s">
        <v>1125</v>
      </c>
      <c r="E16" s="0" t="s">
        <v>1126</v>
      </c>
      <c r="F16" s="0" t="s">
        <v>1127</v>
      </c>
      <c r="G16" s="0" t="s">
        <v>957</v>
      </c>
      <c r="H16" s="6" t="s">
        <v>320</v>
      </c>
      <c r="I16" s="12"/>
      <c r="J16" s="6" t="str">
        <f aca="false">IF($B16="NO","NA",IF(I16="","",MIN(I16,$B$6)))</f>
        <v/>
      </c>
      <c r="K16" s="10" t="s">
        <v>1128</v>
      </c>
    </row>
    <row r="17" customFormat="false" ht="15" hidden="false" customHeight="true" outlineLevel="0" collapsed="false">
      <c r="A17" s="6" t="s">
        <v>43</v>
      </c>
      <c r="B17" s="6" t="s">
        <v>821</v>
      </c>
      <c r="C17" s="6" t="s">
        <v>1129</v>
      </c>
      <c r="D17" s="6" t="s">
        <v>1130</v>
      </c>
      <c r="E17" s="6" t="s">
        <v>1131</v>
      </c>
      <c r="H17" s="6" t="s">
        <v>231</v>
      </c>
      <c r="I17" s="12"/>
      <c r="J17" s="6" t="str">
        <f aca="false">IF($B17="NO","NA",IF(I17="","",MIN(I17,$B$6)))</f>
        <v/>
      </c>
      <c r="K17" s="6" t="s">
        <v>1132</v>
      </c>
    </row>
    <row r="18" customFormat="false" ht="15" hidden="false" customHeight="true" outlineLevel="0" collapsed="false">
      <c r="A18" s="6" t="s">
        <v>46</v>
      </c>
      <c r="B18" s="6" t="s">
        <v>821</v>
      </c>
      <c r="I18" s="12"/>
      <c r="J18" s="6" t="str">
        <f aca="false">IF($B18="NO","NA",IF(I18="","",MIN(I18,$B$6)))</f>
        <v/>
      </c>
      <c r="K18" s="0" t="s">
        <v>1133</v>
      </c>
    </row>
    <row r="19" customFormat="false" ht="15" hidden="false" customHeight="true" outlineLevel="0" collapsed="false">
      <c r="A19" s="6" t="s">
        <v>48</v>
      </c>
      <c r="B19" s="6" t="s">
        <v>821</v>
      </c>
      <c r="C19" s="6" t="s">
        <v>190</v>
      </c>
      <c r="D19" s="0" t="s">
        <v>1134</v>
      </c>
      <c r="E19" s="0" t="s">
        <v>1135</v>
      </c>
      <c r="F19" s="0" t="s">
        <v>1136</v>
      </c>
      <c r="H19" s="6" t="s">
        <v>191</v>
      </c>
      <c r="I19" s="12" t="n">
        <v>1</v>
      </c>
      <c r="J19" s="6" t="n">
        <f aca="false">IF($B19="NO","NA",IF(I19="","",MIN(I19,$B$6)))</f>
        <v>1</v>
      </c>
      <c r="K19" s="10" t="s">
        <v>1137</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328</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h</v>
      </c>
    </row>
    <row r="4" customFormat="false" ht="15" hidden="false" customHeight="true" outlineLevel="0" collapsed="false">
      <c r="A4" s="8" t="s">
        <v>561</v>
      </c>
      <c r="B4" s="3" t="str">
        <f aca="false">VLOOKUP($B$1,'PARASTATAL Questions'!$A:$J,4,0)&amp;""</f>
        <v>SQ</v>
      </c>
    </row>
    <row r="5" customFormat="false" ht="68.25" hidden="false" customHeight="true" outlineLevel="0" collapsed="false">
      <c r="A5" s="8" t="s">
        <v>0</v>
      </c>
      <c r="B5" s="3" t="str">
        <f aca="false">VLOOKUP($B$1,'PARASTATAL Questions'!$A:$J,5,0)&amp;""</f>
        <v>Service-level benchmarks and performance reports</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986.25" hidden="false" customHeight="true" outlineLevel="0" collapsed="false">
      <c r="A9" s="8" t="s">
        <v>595</v>
      </c>
      <c r="B9" s="3" t="str">
        <f aca="false">VLOOKUP($B$1,'PARASTATAL Questions'!$A:$J,9,0)&amp;""</f>
        <v>Availability and currency — 0.5Score 0.5: Performance information for the current FY or immediately preceding FY is publicly available onlineScore 0: Performance information cannot be found/accessed online or is older than the permitted period.Record the FY/year/date of the latest information found in a separate evidence field even where the score is 0. Minimum format/accessibility — 0.5Score 0.5: Performance information available in a structured, machine-readable/reusable format (CSV, XLS/XLSX, ODS, structured HTML table/dashboard with downloadable data)Score 0: Performance information is available but does not meet that standard (Scanned performance report; image/chart with no underlying readable/reusable values)</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1138</v>
      </c>
    </row>
    <row r="14" customFormat="false" ht="202.5" hidden="false" customHeight="true" outlineLevel="0" collapsed="false">
      <c r="A14" s="6" t="s">
        <v>26</v>
      </c>
      <c r="B14" s="6" t="s">
        <v>821</v>
      </c>
      <c r="C14" s="6" t="s">
        <v>331</v>
      </c>
      <c r="D14" s="6" t="s">
        <v>1139</v>
      </c>
      <c r="E14" s="6" t="s">
        <v>1140</v>
      </c>
      <c r="F14" s="6" t="s">
        <v>1141</v>
      </c>
      <c r="H14" s="6" t="s">
        <v>332</v>
      </c>
      <c r="I14" s="12"/>
      <c r="J14" s="6" t="str">
        <f aca="false">IF($B14="NO","NA",IF(I14="","",MIN(I14,$B$6)))</f>
        <v/>
      </c>
      <c r="K14" s="10" t="s">
        <v>1142</v>
      </c>
    </row>
    <row r="15" customFormat="false" ht="15" hidden="false" customHeight="true" outlineLevel="0" collapsed="false">
      <c r="A15" s="6" t="s">
        <v>32</v>
      </c>
      <c r="B15" s="6" t="s">
        <v>821</v>
      </c>
      <c r="I15" s="12"/>
      <c r="J15" s="6" t="str">
        <f aca="false">IF($B15="NO","NA",IF(I15="","",MIN(I15,$B$6)))</f>
        <v/>
      </c>
      <c r="K15" s="6" t="s">
        <v>1143</v>
      </c>
    </row>
    <row r="16" customFormat="false" ht="15" hidden="false" customHeight="true" outlineLevel="0" collapsed="false">
      <c r="A16" s="6" t="s">
        <v>38</v>
      </c>
      <c r="B16" s="6" t="s">
        <v>821</v>
      </c>
      <c r="I16" s="12"/>
      <c r="J16" s="6" t="str">
        <f aca="false">IF($B16="NO","NA",IF(I16="","",MIN(I16,$B$6)))</f>
        <v/>
      </c>
      <c r="K16" s="6" t="s">
        <v>1144</v>
      </c>
    </row>
    <row r="17" customFormat="false" ht="15" hidden="false" customHeight="true" outlineLevel="0" collapsed="false">
      <c r="A17" s="6" t="s">
        <v>43</v>
      </c>
      <c r="B17" s="6" t="s">
        <v>821</v>
      </c>
      <c r="C17" s="6" t="s">
        <v>230</v>
      </c>
      <c r="D17" s="6" t="s">
        <v>1145</v>
      </c>
      <c r="E17" s="6" t="s">
        <v>1146</v>
      </c>
      <c r="F17" s="6" t="s">
        <v>1147</v>
      </c>
      <c r="H17" s="6" t="s">
        <v>231</v>
      </c>
      <c r="I17" s="12" t="n">
        <v>0</v>
      </c>
      <c r="J17" s="6" t="n">
        <f aca="false">IF($B17="NO","NA",IF(I17="","",MIN(I17,$B$6)))</f>
        <v>0</v>
      </c>
      <c r="K17" s="10" t="s">
        <v>1148</v>
      </c>
    </row>
    <row r="18" customFormat="false" ht="15" hidden="false" customHeight="true" outlineLevel="0" collapsed="false">
      <c r="A18" s="6" t="s">
        <v>46</v>
      </c>
      <c r="B18" s="6" t="s">
        <v>821</v>
      </c>
      <c r="I18" s="12"/>
      <c r="J18" s="6" t="str">
        <f aca="false">IF($B18="NO","NA",IF(I18="","",MIN(I18,$B$6)))</f>
        <v/>
      </c>
      <c r="K18" s="0" t="s">
        <v>1149</v>
      </c>
    </row>
    <row r="19" customFormat="false" ht="15" hidden="false" customHeight="true" outlineLevel="0" collapsed="false">
      <c r="A19" s="6" t="s">
        <v>48</v>
      </c>
      <c r="B19" s="6" t="s">
        <v>821</v>
      </c>
      <c r="I19" s="12"/>
      <c r="J19" s="6" t="str">
        <f aca="false">IF($B19="NO","NA",IF(I19="","",MIN(I19,$B$6)))</f>
        <v/>
      </c>
      <c r="K19" s="0" t="s">
        <v>1150</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341</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DPG5i</v>
      </c>
    </row>
    <row r="4" customFormat="false" ht="15" hidden="false" customHeight="true" outlineLevel="0" collapsed="false">
      <c r="A4" s="8" t="s">
        <v>561</v>
      </c>
      <c r="B4" s="3" t="str">
        <f aca="false">VLOOKUP($B$1,'PARASTATAL Questions'!$A:$J,4,0)&amp;""</f>
        <v>SQ</v>
      </c>
    </row>
    <row r="5" customFormat="false" ht="34.5" hidden="false" customHeight="true" outlineLevel="0" collapsed="false">
      <c r="A5" s="8" t="s">
        <v>0</v>
      </c>
      <c r="B5" s="3" t="str">
        <f aca="false">VLOOKUP($B$1,'PARASTATAL Questions'!$A:$J,5,0)&amp;""</f>
        <v>Citizen / Service Charter</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885.75" hidden="false" customHeight="true" outlineLevel="0" collapsed="false">
      <c r="A9" s="8" t="s">
        <v>595</v>
      </c>
      <c r="B9" s="3" t="str">
        <f aca="false">VLOOKUP($B$1,'PARASTATAL Questions'!$A:$J,9,0)&amp;""</f>
        <v>Availability and currency — 0.5Score 0.5: A currently applicable Charter is publicly available. No annual publication requirement; do not treat it as outdated solely because it predates the preceding FY if it remains in force.Score 0: Charter cannot be found/accessed online or is older than the permitted period.Record the FY/year/date of the latest information found in a separate evidence field even where the score is 0. Minimum format/accessibility — 0.5Score 0.5: Charter available in a searchable/text-readable webpage or downloadable document (HTML, searchable PDF/PDF-A, DOC/DOCX)Score 0: Charter is available but does not meet that standard (Scanned/image-only Charter)</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5" hidden="false" customHeight="true" outlineLevel="0" collapsed="false">
      <c r="A13" s="6" t="s">
        <v>17</v>
      </c>
      <c r="B13" s="6" t="s">
        <v>821</v>
      </c>
      <c r="C13" s="6" t="s">
        <v>87</v>
      </c>
      <c r="D13" s="6" t="s">
        <v>1151</v>
      </c>
      <c r="E13" s="6" t="s">
        <v>1152</v>
      </c>
      <c r="F13" s="6" t="s">
        <v>1153</v>
      </c>
      <c r="H13" s="6" t="s">
        <v>88</v>
      </c>
      <c r="I13" s="12"/>
      <c r="J13" s="6" t="str">
        <f aca="false">IF($B13="NO","NA",IF(I13="","",MIN(I13,$B$6)))</f>
        <v/>
      </c>
      <c r="K13" s="10" t="s">
        <v>1154</v>
      </c>
    </row>
    <row r="14" customFormat="false" ht="15" hidden="false" customHeight="true" outlineLevel="0" collapsed="false">
      <c r="A14" s="6" t="s">
        <v>26</v>
      </c>
      <c r="B14" s="6" t="s">
        <v>821</v>
      </c>
      <c r="I14" s="12"/>
      <c r="J14" s="6" t="str">
        <f aca="false">IF($B14="NO","NA",IF(I14="","",MIN(I14,$B$6)))</f>
        <v/>
      </c>
      <c r="K14" s="6" t="s">
        <v>1155</v>
      </c>
    </row>
    <row r="15" customFormat="false" ht="15" hidden="false" customHeight="true" outlineLevel="0" collapsed="false">
      <c r="A15" s="6" t="s">
        <v>32</v>
      </c>
      <c r="B15" s="6" t="s">
        <v>821</v>
      </c>
      <c r="I15" s="12"/>
      <c r="J15" s="6" t="str">
        <f aca="false">IF($B15="NO","NA",IF(I15="","",MIN(I15,$B$6)))</f>
        <v/>
      </c>
      <c r="K15" s="6" t="s">
        <v>1156</v>
      </c>
    </row>
    <row r="16" customFormat="false" ht="15" hidden="false" customHeight="true" outlineLevel="0" collapsed="false">
      <c r="A16" s="6" t="s">
        <v>38</v>
      </c>
      <c r="B16" s="6" t="s">
        <v>821</v>
      </c>
      <c r="I16" s="12"/>
      <c r="J16" s="6" t="str">
        <f aca="false">IF($B16="NO","NA",IF(I16="","",MIN(I16,$B$6)))</f>
        <v/>
      </c>
      <c r="K16" s="6" t="s">
        <v>1157</v>
      </c>
    </row>
    <row r="17" customFormat="false" ht="38.25" hidden="false" customHeight="true" outlineLevel="0" collapsed="false">
      <c r="A17" s="6" t="s">
        <v>43</v>
      </c>
      <c r="B17" s="6" t="s">
        <v>821</v>
      </c>
      <c r="C17" s="6" t="s">
        <v>230</v>
      </c>
      <c r="D17" s="6" t="s">
        <v>1158</v>
      </c>
      <c r="E17" s="6" t="s">
        <v>1159</v>
      </c>
      <c r="F17" s="6" t="s">
        <v>1160</v>
      </c>
      <c r="H17" s="6" t="s">
        <v>231</v>
      </c>
      <c r="I17" s="12"/>
      <c r="J17" s="6" t="str">
        <f aca="false">IF($B17="NO","NA",IF(I17="","",MIN(I17,$B$6)))</f>
        <v/>
      </c>
      <c r="K17" s="10" t="s">
        <v>1161</v>
      </c>
    </row>
    <row r="18" customFormat="false" ht="15" hidden="false" customHeight="true" outlineLevel="0" collapsed="false">
      <c r="A18" s="6" t="s">
        <v>46</v>
      </c>
      <c r="B18" s="6" t="s">
        <v>821</v>
      </c>
      <c r="I18" s="12"/>
      <c r="J18" s="6" t="str">
        <f aca="false">IF($B18="NO","NA",IF(I18="","",MIN(I18,$B$6)))</f>
        <v/>
      </c>
      <c r="K18" s="0" t="s">
        <v>1162</v>
      </c>
    </row>
    <row r="19" customFormat="false" ht="15" hidden="false" customHeight="true" outlineLevel="0" collapsed="false">
      <c r="A19" s="6" t="s">
        <v>48</v>
      </c>
      <c r="B19" s="6" t="s">
        <v>821</v>
      </c>
      <c r="I19" s="12"/>
      <c r="J19" s="6" t="str">
        <f aca="false">IF($B19="NO","NA",IF(I19="","",MIN(I19,$B$6)))</f>
        <v/>
      </c>
      <c r="K19" s="0" t="s">
        <v>1163</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353</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DPG5j</v>
      </c>
    </row>
    <row r="4" customFormat="false" ht="15" hidden="false" customHeight="true" outlineLevel="0" collapsed="false">
      <c r="A4" s="8" t="s">
        <v>561</v>
      </c>
      <c r="B4" s="3" t="str">
        <f aca="false">VLOOKUP($B$1,'PARASTATAL Questions'!$A:$J,4,0)&amp;""</f>
        <v>SQ</v>
      </c>
    </row>
    <row r="5" customFormat="false" ht="90.75" hidden="false" customHeight="true" outlineLevel="0" collapsed="false">
      <c r="A5" s="8" t="s">
        <v>0</v>
      </c>
      <c r="B5" s="3" t="str">
        <f aca="false">VLOOKUP($B$1,'PARASTATAL Questions'!$A:$J,5,0)&amp;""</f>
        <v>RTI details and designated Public Information Officer contact/procedure</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975" hidden="false" customHeight="true" outlineLevel="0" collapsed="false">
      <c r="A9" s="8" t="s">
        <v>595</v>
      </c>
      <c r="B9" s="3" t="str">
        <f aca="false">VLOOKUP($B$1,'PARASTATAL Questions'!$A:$J,9,0)&amp;""</f>
        <v>Availability and currency — 0.5Score 0.5: Current PIO/APIO details and RTI procedure are publicly available; information should be treated as current where the named office-holder/contact details remain validScore 0: Information cannot be found/accessed online or ithe named office-holder/contact details are invalid.Record the FY/year/date of the latest information found in a separate evidence field even where the score is 0. Minimum format/accessibility — 0.5Score 0.5: Information available in a searchable webpage or searchable/downloadable document (HTML RTI page; searchable PDF/DOC containing PIO/contact details)Score 0: Information is available but does not meet that standard (Image-only notice; scanned PDF)</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36.75" hidden="false" customHeight="true" outlineLevel="0" collapsed="false">
      <c r="A13" s="6" t="s">
        <v>17</v>
      </c>
      <c r="B13" s="6" t="s">
        <v>821</v>
      </c>
      <c r="C13" s="6" t="s">
        <v>355</v>
      </c>
      <c r="D13" s="6" t="s">
        <v>1164</v>
      </c>
      <c r="E13" s="6" t="s">
        <v>1165</v>
      </c>
      <c r="F13" s="6" t="s">
        <v>1166</v>
      </c>
      <c r="H13" s="6" t="s">
        <v>356</v>
      </c>
      <c r="I13" s="12"/>
      <c r="J13" s="6" t="str">
        <f aca="false">IF($B13="NO","NA",IF(I13="","",MIN(I13,$B$6)))</f>
        <v/>
      </c>
      <c r="K13" s="10" t="s">
        <v>1167</v>
      </c>
    </row>
    <row r="14" customFormat="false" ht="15" hidden="false" customHeight="true" outlineLevel="0" collapsed="false">
      <c r="A14" s="6" t="s">
        <v>26</v>
      </c>
      <c r="B14" s="6" t="s">
        <v>821</v>
      </c>
      <c r="C14" s="6" t="s">
        <v>360</v>
      </c>
      <c r="D14" s="0" t="s">
        <v>1168</v>
      </c>
      <c r="E14" s="0" t="s">
        <v>1169</v>
      </c>
      <c r="F14" s="0" t="s">
        <v>1170</v>
      </c>
      <c r="H14" s="6" t="s">
        <v>361</v>
      </c>
      <c r="I14" s="12"/>
      <c r="J14" s="6" t="str">
        <f aca="false">IF($B14="NO","NA",IF(I14="","",MIN(I14,$B$6)))</f>
        <v/>
      </c>
      <c r="K14" s="10" t="s">
        <v>1171</v>
      </c>
    </row>
    <row r="15" customFormat="false" ht="15" hidden="false" customHeight="true" outlineLevel="0" collapsed="false">
      <c r="A15" s="6" t="s">
        <v>32</v>
      </c>
      <c r="B15" s="6" t="s">
        <v>821</v>
      </c>
      <c r="I15" s="12"/>
      <c r="J15" s="6" t="str">
        <f aca="false">IF($B15="NO","NA",IF(I15="","",MIN(I15,$B$6)))</f>
        <v/>
      </c>
      <c r="K15" s="6" t="s">
        <v>1172</v>
      </c>
    </row>
    <row r="16" customFormat="false" ht="15" hidden="false" customHeight="true" outlineLevel="0" collapsed="false">
      <c r="A16" s="6" t="s">
        <v>38</v>
      </c>
      <c r="B16" s="6" t="s">
        <v>821</v>
      </c>
      <c r="I16" s="12"/>
      <c r="J16" s="6" t="str">
        <f aca="false">IF($B16="NO","NA",IF(I16="","",MIN(I16,$B$6)))</f>
        <v/>
      </c>
      <c r="K16" s="6" t="s">
        <v>1173</v>
      </c>
    </row>
    <row r="17" customFormat="false" ht="168.75" hidden="false" customHeight="true" outlineLevel="0" collapsed="false">
      <c r="A17" s="6" t="s">
        <v>43</v>
      </c>
      <c r="B17" s="6" t="s">
        <v>821</v>
      </c>
      <c r="C17" s="6" t="s">
        <v>182</v>
      </c>
      <c r="D17" s="6" t="s">
        <v>1174</v>
      </c>
      <c r="E17" s="6" t="s">
        <v>1175</v>
      </c>
      <c r="F17" s="6" t="s">
        <v>1176</v>
      </c>
      <c r="G17" s="6" t="s">
        <v>933</v>
      </c>
      <c r="H17" s="6" t="s">
        <v>183</v>
      </c>
      <c r="I17" s="12"/>
      <c r="J17" s="6" t="str">
        <f aca="false">IF($B17="NO","NA",IF(I17="","",MIN(I17,$B$6)))</f>
        <v/>
      </c>
      <c r="K17" s="10" t="s">
        <v>1177</v>
      </c>
    </row>
    <row r="18" customFormat="false" ht="15" hidden="false" customHeight="true" outlineLevel="0" collapsed="false">
      <c r="A18" s="6" t="s">
        <v>46</v>
      </c>
      <c r="B18" s="6" t="s">
        <v>821</v>
      </c>
      <c r="I18" s="12"/>
      <c r="J18" s="6" t="str">
        <f aca="false">IF($B18="NO","NA",IF(I18="","",MIN(I18,$B$6)))</f>
        <v/>
      </c>
      <c r="K18" s="0" t="s">
        <v>1178</v>
      </c>
    </row>
    <row r="19" customFormat="false" ht="15" hidden="false" customHeight="true" outlineLevel="0" collapsed="false">
      <c r="A19" s="6" t="s">
        <v>48</v>
      </c>
      <c r="B19" s="6" t="s">
        <v>821</v>
      </c>
      <c r="C19" s="6" t="s">
        <v>369</v>
      </c>
      <c r="D19" s="0" t="s">
        <v>1179</v>
      </c>
      <c r="E19" s="0" t="s">
        <v>1180</v>
      </c>
      <c r="F19" s="0" t="s">
        <v>1181</v>
      </c>
      <c r="H19" s="6" t="s">
        <v>370</v>
      </c>
      <c r="I19" s="12" t="n">
        <v>1</v>
      </c>
      <c r="J19" s="6" t="n">
        <f aca="false">IF($B19="NO","NA",IF(I19="","",MIN(I19,$B$6)))</f>
        <v>1</v>
      </c>
      <c r="K19" s="10" t="s">
        <v>1182</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373</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DPG5k</v>
      </c>
    </row>
    <row r="4" customFormat="false" ht="15" hidden="false" customHeight="true" outlineLevel="0" collapsed="false">
      <c r="A4" s="8" t="s">
        <v>561</v>
      </c>
      <c r="B4" s="3" t="str">
        <f aca="false">VLOOKUP($B$1,'PARASTATAL Questions'!$A:$J,4,0)&amp;""</f>
        <v>SQ</v>
      </c>
    </row>
    <row r="5" customFormat="false" ht="79.5" hidden="false" customHeight="true" outlineLevel="0" collapsed="false">
      <c r="A5" s="8" t="s">
        <v>0</v>
      </c>
      <c r="B5" s="3" t="str">
        <f aca="false">VLOOKUP($B$1,'PARASTATAL Questions'!$A:$J,5,0)&amp;""</f>
        <v>Procurement / tender notices and awarded-contract details</v>
      </c>
    </row>
    <row r="6" customFormat="false" ht="15" hidden="false" customHeight="true" outlineLevel="0" collapsed="false">
      <c r="A6" s="8" t="s">
        <v>563</v>
      </c>
      <c r="B6" s="3" t="n">
        <f aca="false">VLOOKUP($B$1,'PARASTATAL Questions'!$A:$J,6,0)</f>
        <v>1</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1008.75" hidden="false" customHeight="true" outlineLevel="0" collapsed="false">
      <c r="A9" s="8" t="s">
        <v>595</v>
      </c>
      <c r="B9" s="3" t="str">
        <f aca="false">VLOOKUP($B$1,'PARASTATAL Questions'!$A:$J,9,0)&amp;""</f>
        <v>Availability and currency — 0.5Score 0.5: Procurement information includes tenders/awards from the current FY or immediately preceding FYScore 0: Information cannot be found/accessed online or is older than the permitted period.Record the FY/year/date of the latest information found in a separate evidence field even where the score is 0. Minimum format/accessibility — 0.5Score 0.5: Tender/award information available as a searchable structured webpage/table or machine-readable/reusable dataset (Searchable e-procurement table, HTML contract register, CSV/XLS/XLSX/ODS download)Score 0: Information is available but does not meet that standard (Scanned tender lists; image-only notices; individual PDFs with no searchable/indexed tender/award register)</v>
      </c>
    </row>
    <row r="10" customFormat="false" ht="102" hidden="false" customHeight="true" outlineLevel="0" collapsed="false">
      <c r="A10" s="8" t="s">
        <v>596</v>
      </c>
      <c r="B10" s="3" t="str">
        <f aca="false">VLOOKUP($B$1,'PARASTATAL Questions'!$A:$J,10,0)&amp;""</f>
        <v>Website screenshots/archived URLs with date of access, for each document type</v>
      </c>
    </row>
    <row r="11" customFormat="false" ht="15" hidden="false" customHeight="true" outlineLevel="0" collapsed="false">
      <c r="B11" s="11" t="s">
        <v>809</v>
      </c>
      <c r="I11" s="11" t="s">
        <v>1051</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5" hidden="false" customHeight="true" outlineLevel="0" collapsed="false">
      <c r="A13" s="6" t="s">
        <v>17</v>
      </c>
      <c r="B13" s="6" t="s">
        <v>821</v>
      </c>
      <c r="C13" s="6" t="s">
        <v>216</v>
      </c>
      <c r="E13" s="6" t="s">
        <v>1183</v>
      </c>
      <c r="F13" s="6" t="s">
        <v>1184</v>
      </c>
      <c r="H13" s="6" t="s">
        <v>217</v>
      </c>
      <c r="I13" s="12"/>
      <c r="J13" s="6" t="str">
        <f aca="false">IF($B13="NO","NA",IF(I13="","",MIN(I13,$B$6)))</f>
        <v/>
      </c>
      <c r="K13" s="10" t="s">
        <v>1185</v>
      </c>
    </row>
    <row r="14" customFormat="false" ht="225" hidden="false" customHeight="true" outlineLevel="0" collapsed="false">
      <c r="A14" s="6" t="s">
        <v>26</v>
      </c>
      <c r="B14" s="6" t="s">
        <v>821</v>
      </c>
      <c r="C14" s="6" t="s">
        <v>221</v>
      </c>
      <c r="D14" s="6" t="s">
        <v>1186</v>
      </c>
      <c r="E14" s="6" t="s">
        <v>1187</v>
      </c>
      <c r="F14" s="6" t="s">
        <v>1188</v>
      </c>
      <c r="H14" s="6" t="s">
        <v>222</v>
      </c>
      <c r="I14" s="12"/>
      <c r="J14" s="6" t="str">
        <f aca="false">IF($B14="NO","NA",IF(I14="","",MIN(I14,$B$6)))</f>
        <v/>
      </c>
      <c r="K14" s="10" t="s">
        <v>1189</v>
      </c>
    </row>
    <row r="15" customFormat="false" ht="15" hidden="false" customHeight="true" outlineLevel="0" collapsed="false">
      <c r="A15" s="6" t="s">
        <v>32</v>
      </c>
      <c r="B15" s="6" t="s">
        <v>821</v>
      </c>
      <c r="I15" s="12"/>
      <c r="J15" s="6" t="str">
        <f aca="false">IF($B15="NO","NA",IF(I15="","",MIN(I15,$B$6)))</f>
        <v/>
      </c>
      <c r="K15" s="6" t="s">
        <v>1190</v>
      </c>
    </row>
    <row r="16" customFormat="false" ht="15" hidden="false" customHeight="true" outlineLevel="0" collapsed="false">
      <c r="A16" s="6" t="s">
        <v>38</v>
      </c>
      <c r="B16" s="6" t="s">
        <v>821</v>
      </c>
      <c r="C16" s="6" t="s">
        <v>379</v>
      </c>
      <c r="D16" s="0" t="s">
        <v>1191</v>
      </c>
      <c r="E16" s="0" t="s">
        <v>1192</v>
      </c>
      <c r="F16" s="0" t="s">
        <v>1193</v>
      </c>
      <c r="H16" s="6" t="s">
        <v>380</v>
      </c>
      <c r="I16" s="12"/>
      <c r="J16" s="6" t="str">
        <f aca="false">IF($B16="NO","NA",IF(I16="","",MIN(I16,$B$6)))</f>
        <v/>
      </c>
      <c r="K16" s="10" t="s">
        <v>1194</v>
      </c>
    </row>
    <row r="17" customFormat="false" ht="15" hidden="false" customHeight="true" outlineLevel="0" collapsed="false">
      <c r="A17" s="6" t="s">
        <v>43</v>
      </c>
      <c r="B17" s="6" t="s">
        <v>821</v>
      </c>
      <c r="I17" s="12"/>
      <c r="J17" s="6" t="str">
        <f aca="false">IF($B17="NO","NA",IF(I17="","",MIN(I17,$B$6)))</f>
        <v/>
      </c>
      <c r="K17" s="6" t="s">
        <v>1195</v>
      </c>
    </row>
    <row r="18" customFormat="false" ht="15" hidden="false" customHeight="true" outlineLevel="0" collapsed="false">
      <c r="A18" s="6" t="s">
        <v>46</v>
      </c>
      <c r="B18" s="6" t="s">
        <v>821</v>
      </c>
      <c r="I18" s="12"/>
      <c r="J18" s="6" t="str">
        <f aca="false">IF($B18="NO","NA",IF(I18="","",MIN(I18,$B$6)))</f>
        <v/>
      </c>
      <c r="K18" s="0" t="s">
        <v>1196</v>
      </c>
    </row>
    <row r="19" customFormat="false" ht="15" hidden="false" customHeight="true" outlineLevel="0" collapsed="false">
      <c r="A19" s="6" t="s">
        <v>48</v>
      </c>
      <c r="B19" s="6" t="s">
        <v>821</v>
      </c>
      <c r="C19" s="6" t="s">
        <v>386</v>
      </c>
      <c r="D19" s="0" t="s">
        <v>1197</v>
      </c>
      <c r="E19" s="0" t="s">
        <v>1198</v>
      </c>
      <c r="F19" s="0" t="s">
        <v>1199</v>
      </c>
      <c r="H19" s="6" t="s">
        <v>387</v>
      </c>
      <c r="I19" s="12" t="n">
        <v>1</v>
      </c>
      <c r="J19" s="6" t="n">
        <f aca="false">IF($B19="NO","NA",IF(I19="","",MIN(I19,$B$6)))</f>
        <v>1</v>
      </c>
      <c r="K19" s="10" t="s">
        <v>1200</v>
      </c>
    </row>
  </sheetData>
  <dataValidations count="1">
    <dataValidation allowBlank="true" error="See the instruction above the 'Score' column." errorStyle="stop" operator="between" showDropDown="false" showErrorMessage="true" showInputMessage="false" sqref="I13:I1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390</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6a</v>
      </c>
    </row>
    <row r="4" customFormat="false" ht="15" hidden="false" customHeight="true" outlineLevel="0" collapsed="false">
      <c r="A4" s="8" t="s">
        <v>561</v>
      </c>
      <c r="B4" s="3" t="str">
        <f aca="false">VLOOKUP($B$1,'PARASTATAL Questions'!$A:$J,4,0)&amp;""</f>
        <v>SQ</v>
      </c>
    </row>
    <row r="5" customFormat="false" ht="102" hidden="false" customHeight="true" outlineLevel="0" collapsed="false">
      <c r="A5" s="8" t="s">
        <v>0</v>
      </c>
      <c r="B5" s="3" t="str">
        <f aca="false">VLOOKUP($B$1,'PARASTATAL Questions'!$A:$J,5,0)&amp;""</f>
        <v>Is the parastatal mandated to provide a grievance-redressal mechanism?</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15" hidden="false" customHeight="true" outlineLevel="0" collapsed="false">
      <c r="A8" s="8" t="s">
        <v>594</v>
      </c>
      <c r="B8" s="3" t="str">
        <f aca="false">VLOOKUP($B$1,'PARASTATAL Questions'!$A:$J,8,0)&amp;""</f>
        <v>Common.</v>
      </c>
    </row>
    <row r="9" customFormat="false" ht="213.75" hidden="false" customHeight="true" outlineLevel="0" collapsed="false">
      <c r="A9" s="8" t="s">
        <v>595</v>
      </c>
      <c r="B9" s="3" t="str">
        <f aca="false">VLOOKUP($B$1,'PARASTATAL Questions'!$A:$J,9,0)&amp;""</f>
        <v>Score 5 if  the Parastatal Act/ corresponding subordinate legislation/ citizen or service charter requires a grievance-redressal mechanism (any channel); 0 if not.</v>
      </c>
    </row>
    <row r="10" customFormat="false" ht="113.25" hidden="false" customHeight="true" outlineLevel="0" collapsed="false">
      <c r="A10" s="8" t="s">
        <v>596</v>
      </c>
      <c r="B10" s="3" t="str">
        <f aca="false">VLOOKUP($B$1,'PARASTATAL Questions'!$A:$J,10,0)&amp;""</f>
        <v>Parastatal Act/ corresponding subordinate legislation/ citizen or service charter</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47" hidden="false" customHeight="true" outlineLevel="0" collapsed="false">
      <c r="A13" s="6" t="s">
        <v>17</v>
      </c>
      <c r="B13" s="6" t="s">
        <v>821</v>
      </c>
      <c r="C13" s="6" t="s">
        <v>21</v>
      </c>
      <c r="D13" s="6" t="s">
        <v>1201</v>
      </c>
      <c r="E13" s="6" t="s">
        <v>1202</v>
      </c>
      <c r="F13" s="6" t="s">
        <v>1203</v>
      </c>
      <c r="G13" s="6" t="s">
        <v>1204</v>
      </c>
      <c r="H13" s="6" t="s">
        <v>22</v>
      </c>
      <c r="I13" s="12" t="n">
        <v>5</v>
      </c>
      <c r="J13" s="6" t="n">
        <f aca="false">IF($B13="NO","NA",IF(I13="","",MIN(I13,$B$6)))</f>
        <v>5</v>
      </c>
      <c r="K13" s="10" t="s">
        <v>1205</v>
      </c>
    </row>
    <row r="14" customFormat="false" ht="15" hidden="false" customHeight="true" outlineLevel="0" collapsed="false">
      <c r="A14" s="6" t="s">
        <v>26</v>
      </c>
      <c r="B14" s="6" t="s">
        <v>821</v>
      </c>
      <c r="I14" s="12"/>
      <c r="J14" s="6" t="str">
        <f aca="false">IF($B14="NO","NA",IF(I14="","",MIN(I14,$B$6)))</f>
        <v/>
      </c>
      <c r="K14" s="6" t="s">
        <v>1206</v>
      </c>
    </row>
    <row r="15" customFormat="false" ht="258.75" hidden="false" customHeight="true" outlineLevel="0" collapsed="false">
      <c r="A15" s="6" t="s">
        <v>32</v>
      </c>
      <c r="B15" s="6" t="s">
        <v>821</v>
      </c>
      <c r="C15" s="6" t="s">
        <v>34</v>
      </c>
      <c r="D15" s="6" t="s">
        <v>1207</v>
      </c>
      <c r="E15" s="6" t="s">
        <v>1208</v>
      </c>
      <c r="F15" s="6" t="s">
        <v>1209</v>
      </c>
      <c r="G15" s="6" t="s">
        <v>1210</v>
      </c>
      <c r="H15" s="6" t="s">
        <v>35</v>
      </c>
      <c r="I15" s="12" t="n">
        <v>0</v>
      </c>
      <c r="J15" s="6" t="n">
        <f aca="false">IF($B15="NO","NA",IF(I15="","",MIN(I15,$B$6)))</f>
        <v>0</v>
      </c>
      <c r="K15" s="10" t="s">
        <v>1211</v>
      </c>
    </row>
    <row r="16" customFormat="false" ht="15" hidden="false" customHeight="true" outlineLevel="0" collapsed="false">
      <c r="A16" s="6" t="s">
        <v>38</v>
      </c>
      <c r="B16" s="6" t="s">
        <v>821</v>
      </c>
      <c r="C16" s="6" t="s">
        <v>319</v>
      </c>
      <c r="D16" s="0" t="s">
        <v>1212</v>
      </c>
      <c r="E16" s="0" t="s">
        <v>1213</v>
      </c>
      <c r="F16" s="0" t="s">
        <v>1214</v>
      </c>
      <c r="G16" s="0" t="s">
        <v>886</v>
      </c>
      <c r="H16" s="6" t="s">
        <v>320</v>
      </c>
      <c r="I16" s="12"/>
      <c r="J16" s="6" t="str">
        <f aca="false">IF($B16="NO","NA",IF(I16="","",MIN(I16,$B$6)))</f>
        <v/>
      </c>
      <c r="K16" s="10" t="s">
        <v>1215</v>
      </c>
    </row>
    <row r="17" customFormat="false" ht="15" hidden="false" customHeight="true" outlineLevel="0" collapsed="false">
      <c r="A17" s="6" t="s">
        <v>43</v>
      </c>
      <c r="B17" s="6" t="s">
        <v>821</v>
      </c>
      <c r="C17" s="6" t="s">
        <v>841</v>
      </c>
      <c r="D17" s="6" t="s">
        <v>1216</v>
      </c>
      <c r="E17" s="6" t="s">
        <v>1217</v>
      </c>
      <c r="F17" s="6" t="s">
        <v>1218</v>
      </c>
      <c r="G17" s="6" t="s">
        <v>1219</v>
      </c>
      <c r="H17" s="6" t="s">
        <v>846</v>
      </c>
      <c r="I17" s="12"/>
      <c r="J17" s="6" t="str">
        <f aca="false">IF($B17="NO","NA",IF(I17="","",MIN(I17,$B$6)))</f>
        <v/>
      </c>
      <c r="K17" s="6" t="s">
        <v>1220</v>
      </c>
    </row>
    <row r="18" customFormat="false" ht="15" hidden="false" customHeight="true" outlineLevel="0" collapsed="false">
      <c r="A18" s="6" t="s">
        <v>46</v>
      </c>
      <c r="B18" s="6" t="s">
        <v>821</v>
      </c>
      <c r="I18" s="12"/>
      <c r="J18" s="6" t="str">
        <f aca="false">IF($B18="NO","NA",IF(I18="","",MIN(I18,$B$6)))</f>
        <v/>
      </c>
      <c r="K18" s="0" t="s">
        <v>1221</v>
      </c>
    </row>
    <row r="19" customFormat="false" ht="15" hidden="false" customHeight="true" outlineLevel="0" collapsed="false">
      <c r="A19" s="6" t="s">
        <v>48</v>
      </c>
      <c r="B19" s="6" t="s">
        <v>821</v>
      </c>
      <c r="C19" s="6" t="s">
        <v>404</v>
      </c>
      <c r="D19" s="0" t="s">
        <v>1222</v>
      </c>
      <c r="E19" s="0" t="s">
        <v>1223</v>
      </c>
      <c r="G19" s="0" t="s">
        <v>1224</v>
      </c>
      <c r="H19" s="6" t="s">
        <v>405</v>
      </c>
      <c r="I19" s="12"/>
      <c r="J19" s="6" t="str">
        <f aca="false">IF($B19="NO","NA",IF(I19="","",MIN(I19,$B$6)))</f>
        <v/>
      </c>
      <c r="K19" s="0" t="s">
        <v>1225</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408</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6b</v>
      </c>
    </row>
    <row r="4" customFormat="false" ht="15" hidden="false" customHeight="true" outlineLevel="0" collapsed="false">
      <c r="A4" s="8" t="s">
        <v>561</v>
      </c>
      <c r="B4" s="3" t="str">
        <f aca="false">VLOOKUP($B$1,'PARASTATAL Questions'!$A:$J,4,0)&amp;""</f>
        <v>SQ</v>
      </c>
    </row>
    <row r="5" customFormat="false" ht="113.25" hidden="false" customHeight="true" outlineLevel="0" collapsed="false">
      <c r="A5" s="8" t="s">
        <v>0</v>
      </c>
      <c r="B5" s="3" t="str">
        <f aca="false">VLOOKUP($B$1,'PARASTATAL Questions'!$A:$J,5,0)&amp;""</f>
        <v>Are accessible grievance-redressal channels available and functional in practice?</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2397.75" hidden="false" customHeight="true" outlineLevel="0" collapsed="false">
      <c r="A9" s="8" t="s">
        <v>595</v>
      </c>
      <c r="B9" s="3" t="str">
        <f aca="false">VLOOKUP($B$1,'PARASTATAL Questions'!$A:$J,9,0)&amp;""</f>
        <v>Score out of 5 based on the following components - Score 1.00 if a Web-based grievance channel existsQualification - An official website/portal provides a functioning mechanism through which a grievance can be lodged online. A dedicated grievance form, integrated government grievance portal or equivalent qualifies.Evidence - Live URL + dated screenshot showing grievance-submission functionality. Where the parastatal redirects users to a State/common grievance portal, capture both the parastatal link/reference and the relevant portal page.Score 1.00 if a Mobile / electronic grievance channel existsQualification - A currently operational mobile app, designated grievance email, WhatsApp or other officially notified electronic channel is provided for lodging grievancesEvidence - Official website listing the channel; official app listing or screenshot Score 1.00  if a telephone grievance channel existsQualification - A dedicated or clearly designated helpline/call centre/telephone number is provided for complaints or grievances. A generic office switchboard does not qualify unless it is explicitly identified as accepting grievances.Evidence - Official website showing the grievance/helpline number.Score 1.00 if an in-person grievance channel existsQualification - Citizens can lodge grievances through an identified helpdesk, grievance counter, designated office/officer or other physical mechanism.Evidence - Citizen/Service Charter, official website, office notice/order or other official document identifying where/how an in-person grievance can be lodged.Score 1.00 if an in-person grievance channelQualification - The mechanism provides evidence that a registered grievance can be acknowledged and subsequently tracked, through a complaint/reference number, status-tracking facility or equivalent process.Evidence - Portal screenshot showing acknowledgement/tracking functionality; Where all five are provided for, award the full score of 5.</v>
      </c>
    </row>
    <row r="10" customFormat="false" ht="135.75" hidden="false" customHeight="true" outlineLevel="0" collapsed="false">
      <c r="A10" s="8" t="s">
        <v>596</v>
      </c>
      <c r="B10" s="3" t="str">
        <f aca="false">VLOOKUP($B$1,'PARASTATAL Questions'!$A:$J,10,0)&amp;""</f>
        <v>Relevant parastatal's official website Detailed evidence information provided in the methodology column (I 33)</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8.25" hidden="false" customHeight="true" outlineLevel="0" collapsed="false">
      <c r="A13" s="6" t="s">
        <v>17</v>
      </c>
      <c r="B13" s="6" t="s">
        <v>821</v>
      </c>
      <c r="C13" s="6" t="s">
        <v>216</v>
      </c>
      <c r="D13" s="6" t="s">
        <v>410</v>
      </c>
      <c r="E13" s="6" t="s">
        <v>1226</v>
      </c>
      <c r="F13" s="6" t="s">
        <v>1227</v>
      </c>
      <c r="H13" s="6" t="s">
        <v>217</v>
      </c>
      <c r="I13" s="12"/>
      <c r="J13" s="6" t="str">
        <f aca="false">IF($B13="NO","NA",IF(I13="","",MIN(I13,$B$6)))</f>
        <v/>
      </c>
      <c r="K13" s="10" t="s">
        <v>1228</v>
      </c>
    </row>
    <row r="14" customFormat="false" ht="303" hidden="false" customHeight="true" outlineLevel="0" collapsed="false">
      <c r="A14" s="6" t="s">
        <v>26</v>
      </c>
      <c r="B14" s="6" t="s">
        <v>821</v>
      </c>
      <c r="C14" s="6" t="s">
        <v>413</v>
      </c>
      <c r="D14" s="6" t="s">
        <v>415</v>
      </c>
      <c r="E14" s="6" t="s">
        <v>1229</v>
      </c>
      <c r="F14" s="0" t="s">
        <v>1230</v>
      </c>
      <c r="H14" s="6" t="s">
        <v>414</v>
      </c>
      <c r="I14" s="12"/>
      <c r="J14" s="6" t="str">
        <f aca="false">IF($B14="NO","NA",IF(I14="","",MIN(I14,$B$6)))</f>
        <v/>
      </c>
      <c r="K14" s="10" t="s">
        <v>1231</v>
      </c>
    </row>
    <row r="15" customFormat="false" ht="15" hidden="false" customHeight="true" outlineLevel="0" collapsed="false">
      <c r="A15" s="6" t="s">
        <v>32</v>
      </c>
      <c r="B15" s="6" t="s">
        <v>821</v>
      </c>
      <c r="I15" s="12"/>
      <c r="J15" s="6" t="str">
        <f aca="false">IF($B15="NO","NA",IF(I15="","",MIN(I15,$B$6)))</f>
        <v/>
      </c>
      <c r="K15" s="6" t="s">
        <v>1232</v>
      </c>
    </row>
    <row r="16" customFormat="false" ht="15" hidden="false" customHeight="true" outlineLevel="0" collapsed="false">
      <c r="A16" s="6" t="s">
        <v>38</v>
      </c>
      <c r="B16" s="6" t="s">
        <v>821</v>
      </c>
      <c r="I16" s="12"/>
      <c r="J16" s="6" t="str">
        <f aca="false">IF($B16="NO","NA",IF(I16="","",MIN(I16,$B$6)))</f>
        <v/>
      </c>
      <c r="K16" s="6" t="s">
        <v>1233</v>
      </c>
    </row>
    <row r="17" customFormat="false" ht="262.5" hidden="false" customHeight="true" outlineLevel="0" collapsed="false">
      <c r="A17" s="6" t="s">
        <v>43</v>
      </c>
      <c r="B17" s="6" t="s">
        <v>821</v>
      </c>
      <c r="C17" s="6" t="s">
        <v>182</v>
      </c>
      <c r="D17" s="6" t="s">
        <v>1234</v>
      </c>
      <c r="E17" s="6" t="s">
        <v>1235</v>
      </c>
      <c r="G17" s="6" t="s">
        <v>830</v>
      </c>
      <c r="H17" s="6" t="s">
        <v>183</v>
      </c>
      <c r="I17" s="12"/>
      <c r="J17" s="6" t="str">
        <f aca="false">IF($B17="NO","NA",IF(I17="","",MIN(I17,$B$6)))</f>
        <v/>
      </c>
      <c r="K17" s="10" t="s">
        <v>1236</v>
      </c>
    </row>
    <row r="18" customFormat="false" ht="15" hidden="false" customHeight="true" outlineLevel="0" collapsed="false">
      <c r="A18" s="6" t="s">
        <v>46</v>
      </c>
      <c r="B18" s="6" t="s">
        <v>821</v>
      </c>
      <c r="I18" s="12"/>
      <c r="J18" s="6" t="str">
        <f aca="false">IF($B18="NO","NA",IF(I18="","",MIN(I18,$B$6)))</f>
        <v/>
      </c>
      <c r="K18" s="0" t="s">
        <v>1237</v>
      </c>
    </row>
    <row r="19" customFormat="false" ht="15" hidden="false" customHeight="true" outlineLevel="0" collapsed="false">
      <c r="A19" s="6" t="s">
        <v>48</v>
      </c>
      <c r="B19" s="6" t="s">
        <v>821</v>
      </c>
      <c r="C19" s="6" t="s">
        <v>260</v>
      </c>
      <c r="D19" s="0" t="s">
        <v>1238</v>
      </c>
      <c r="E19" s="0" t="s">
        <v>1239</v>
      </c>
      <c r="F19" s="0" t="s">
        <v>1240</v>
      </c>
      <c r="G19" s="0" t="s">
        <v>830</v>
      </c>
      <c r="H19" s="6" t="s">
        <v>261</v>
      </c>
      <c r="I19" s="12"/>
      <c r="J19" s="6" t="str">
        <f aca="false">IF($B19="NO","NA",IF(I19="","",MIN(I19,$B$6)))</f>
        <v/>
      </c>
      <c r="K19" s="0" t="s">
        <v>1241</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424</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7a</v>
      </c>
    </row>
    <row r="4" customFormat="false" ht="15" hidden="false" customHeight="true" outlineLevel="0" collapsed="false">
      <c r="A4" s="8" t="s">
        <v>561</v>
      </c>
      <c r="B4" s="3" t="str">
        <f aca="false">VLOOKUP($B$1,'PARASTATAL Questions'!$A:$J,4,0)&amp;""</f>
        <v>SQ</v>
      </c>
    </row>
    <row r="5" customFormat="false" ht="102" hidden="false" customHeight="true" outlineLevel="0" collapsed="false">
      <c r="A5" s="8" t="s">
        <v>0</v>
      </c>
      <c r="B5" s="3" t="str">
        <f aca="false">VLOOKUP($B$1,'PARASTATAL Questions'!$A:$J,5,0)&amp;""</f>
        <v>Is citizen participation in the preparation of the parastatal's plans mandated?</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68.25" hidden="false" customHeight="true" outlineLevel="0" collapsed="false">
      <c r="A8" s="8" t="s">
        <v>594</v>
      </c>
      <c r="B8" s="3" t="str">
        <f aca="false">VLOOKUP($B$1,'PARASTATAL Questions'!$A:$J,8,0)&amp;""</f>
        <v>All parastatals excluding Development Authorities</v>
      </c>
    </row>
    <row r="9" customFormat="false" ht="1031.25" hidden="false" customHeight="true" outlineLevel="0" collapsed="false">
      <c r="A9" s="8" t="s">
        <v>595</v>
      </c>
      <c r="B9" s="3" t="str">
        <f aca="false">VLOOKUP($B$1,'PARASTATAL Questions'!$A:$J,9,0)&amp;""</f>
        <v>Review the parastatal Act and rules first. Also review the applicable T&amp;CP/planning Act, Municipal Act  to identify whether a citizen-participation requirement applies to the parastatal directly or to all authorities preparing the relevant category of plan. Score 5 if the applicable law/rules mandate a defined citizen-participation process before finalisation/approval of the plan, including publication of a draft plan and invitation of objections/suggestions, public hearing, consultation or equivalent. Score 2.5 if participation is provided for but is discretionary, or applies only to specified plan types/stages. Score 0 if no applicable requirement is found. Record the legal provision, plan type, form of participation prescribed, and whether the provision uses mandatory or discretionary language.</v>
      </c>
    </row>
    <row r="10" customFormat="false" ht="90.75" hidden="false" customHeight="true" outlineLevel="0" collapsed="false">
      <c r="A10" s="8" t="s">
        <v>596</v>
      </c>
      <c r="B10" s="3" t="str">
        <f aca="false">VLOOKUP($B$1,'PARASTATAL Questions'!$A:$J,10,0)&amp;""</f>
        <v>Parastatal Act and rules; applicable T&amp;CP Act; State Municipal Act.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81.75" hidden="false" customHeight="true" outlineLevel="0" collapsed="false">
      <c r="A13" s="6" t="s">
        <v>17</v>
      </c>
      <c r="B13" s="6" t="s">
        <v>821</v>
      </c>
      <c r="C13" s="6" t="s">
        <v>21</v>
      </c>
      <c r="D13" s="6" t="s">
        <v>1242</v>
      </c>
      <c r="E13" s="6" t="s">
        <v>1243</v>
      </c>
      <c r="F13" s="6" t="s">
        <v>1244</v>
      </c>
      <c r="G13" s="6" t="s">
        <v>825</v>
      </c>
      <c r="H13" s="6" t="s">
        <v>22</v>
      </c>
      <c r="I13" s="12" t="n">
        <v>0</v>
      </c>
      <c r="J13" s="6" t="n">
        <f aca="false">IF($B13="NO","NA",IF(I13="","",MIN(I13,$B$6)))</f>
        <v>0</v>
      </c>
      <c r="K13" s="10" t="s">
        <v>1245</v>
      </c>
    </row>
    <row r="14" customFormat="false" ht="191.25" hidden="false" customHeight="true" outlineLevel="0" collapsed="false">
      <c r="A14" s="6" t="s">
        <v>26</v>
      </c>
      <c r="B14" s="6" t="s">
        <v>821</v>
      </c>
      <c r="C14" s="6" t="s">
        <v>75</v>
      </c>
      <c r="D14" s="6" t="s">
        <v>1246</v>
      </c>
      <c r="E14" s="6" t="s">
        <v>1247</v>
      </c>
      <c r="F14" s="6" t="s">
        <v>1248</v>
      </c>
      <c r="G14" s="6" t="s">
        <v>886</v>
      </c>
      <c r="H14" s="6" t="s">
        <v>76</v>
      </c>
      <c r="I14" s="12" t="n">
        <v>2.5</v>
      </c>
      <c r="J14" s="6" t="n">
        <f aca="false">IF($B14="NO","NA",IF(I14="","",MIN(I14,$B$6)))</f>
        <v>2.5</v>
      </c>
      <c r="K14" s="10" t="s">
        <v>1249</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370.5" hidden="false" customHeight="true" outlineLevel="0" collapsed="false">
      <c r="A16" s="6" t="s">
        <v>38</v>
      </c>
      <c r="B16" s="6" t="s">
        <v>821</v>
      </c>
      <c r="C16" s="6" t="s">
        <v>432</v>
      </c>
      <c r="D16" s="6" t="s">
        <v>1246</v>
      </c>
      <c r="E16" s="6" t="s">
        <v>1250</v>
      </c>
      <c r="F16" s="6" t="s">
        <v>1251</v>
      </c>
      <c r="G16" s="6" t="s">
        <v>886</v>
      </c>
      <c r="H16" s="6" t="s">
        <v>76</v>
      </c>
      <c r="I16" s="12" t="n">
        <v>2.5</v>
      </c>
      <c r="J16" s="6" t="n">
        <f aca="false">IF($B16="NO","NA",IF(I16="","",MIN(I16,$B$6)))</f>
        <v>2.5</v>
      </c>
      <c r="K16" s="10" t="s">
        <v>1252</v>
      </c>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6" t="s">
        <v>48</v>
      </c>
      <c r="B19" s="6" t="s">
        <v>821</v>
      </c>
      <c r="I19" s="12"/>
      <c r="J19" s="6" t="str">
        <f aca="false">IF($B19="NO","NA",IF(I19="","",MIN(I19,$B$6)))</f>
        <v/>
      </c>
      <c r="K19" s="0" t="s">
        <v>1253</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436</v>
      </c>
      <c r="C1" s="6" t="s">
        <v>808</v>
      </c>
    </row>
    <row r="2" customFormat="false" ht="68.25" hidden="false" customHeight="true" outlineLevel="0" collapsed="false">
      <c r="A2" s="8" t="s">
        <v>560</v>
      </c>
      <c r="B2" s="3" t="str">
        <f aca="false">VLOOKUP($B$1,'PARASTATAL Questions'!$A:$J,3,0)&amp;""</f>
        <v>Decentralised Participatory Governance</v>
      </c>
    </row>
    <row r="3" customFormat="false" ht="15" hidden="false" customHeight="true" outlineLevel="0" collapsed="false">
      <c r="A3" s="8" t="s">
        <v>593</v>
      </c>
      <c r="B3" s="3" t="str">
        <f aca="false">VLOOKUP($B$1,'PARASTATAL Questions'!$A:$J,2,0)&amp;""</f>
        <v>DPG 7b</v>
      </c>
    </row>
    <row r="4" customFormat="false" ht="15" hidden="false" customHeight="true" outlineLevel="0" collapsed="false">
      <c r="A4" s="8" t="s">
        <v>561</v>
      </c>
      <c r="B4" s="3" t="str">
        <f aca="false">VLOOKUP($B$1,'PARASTATAL Questions'!$A:$J,4,0)&amp;""</f>
        <v>SQ</v>
      </c>
    </row>
    <row r="5" customFormat="false" ht="113.25" hidden="false" customHeight="true" outlineLevel="0" collapsed="false">
      <c r="A5" s="8" t="s">
        <v>0</v>
      </c>
      <c r="B5" s="3" t="str">
        <f aca="false">VLOOKUP($B$1,'PARASTATAL Questions'!$A:$J,5,0)&amp;""</f>
        <v>Are citizens consulted in practice in the preparation of plans by the parastatal?</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68.25" hidden="false" customHeight="true" outlineLevel="0" collapsed="false">
      <c r="A8" s="8" t="s">
        <v>594</v>
      </c>
      <c r="B8" s="3" t="str">
        <f aca="false">VLOOKUP($B$1,'PARASTATAL Questions'!$A:$J,8,0)&amp;""</f>
        <v>All parastatals excluding Development Authorities</v>
      </c>
    </row>
    <row r="9" customFormat="false" ht="1008.75" hidden="false" customHeight="true" outlineLevel="0" collapsed="false">
      <c r="A9" s="8" t="s">
        <v>595</v>
      </c>
      <c r="B9" s="3" t="str">
        <f aca="false">VLOOKUP($B$1,'PARASTATAL Questions'!$A:$J,9,0)&amp;""</f>
        <v>Review the parastatal’s official website and the latest applicable plan/planning exercise. Check the plan document, consultation reports, public notices, minutes/proceedings of consultations or public hearings, and other relevant records available on the website. Score 5 if there is publicly verifiable evidence that citizens were provided an opportunity to participate through objections/suggestions, public hearings, consultations or an equivalent process before the plan was finalised. Score 2.5 if there is credible evidence that consultation took place, but the process cannot be fully verified from official records—for example, where only a consultation notice, minutes/proceedings, a reference in the final plan, media reports, or other partial documentation is available.</v>
      </c>
    </row>
    <row r="10" customFormat="false" ht="202.5" hidden="false" customHeight="true" outlineLevel="0" collapsed="false">
      <c r="A10" s="8" t="s">
        <v>596</v>
      </c>
      <c r="B10" s="3" t="str">
        <f aca="false">VLOOKUP($B$1,'PARASTATAL Questions'!$A:$J,10,0)&amp;""</f>
        <v>Plan document; consultation reports; public notices; minutes/proceedings of consultations or hearings on the parastatal's official website; media reports.</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C13" s="6" t="s">
        <v>1254</v>
      </c>
      <c r="D13" s="6" t="s">
        <v>1255</v>
      </c>
      <c r="E13" s="6" t="s">
        <v>1256</v>
      </c>
      <c r="F13" s="6" t="s">
        <v>1257</v>
      </c>
      <c r="G13" s="6" t="s">
        <v>1258</v>
      </c>
      <c r="H13" s="6" t="s">
        <v>1259</v>
      </c>
      <c r="I13" s="12" t="n">
        <v>2.5</v>
      </c>
      <c r="J13" s="6" t="n">
        <f aca="false">IF($B13="NO","NA",IF(I13="","",MIN(I13,$B$6)))</f>
        <v>2.5</v>
      </c>
      <c r="K13" s="6" t="s">
        <v>1260</v>
      </c>
    </row>
    <row r="14" customFormat="false" ht="15" hidden="false" customHeight="true" outlineLevel="0" collapsed="false">
      <c r="A14" s="6" t="s">
        <v>26</v>
      </c>
      <c r="B14" s="6" t="s">
        <v>821</v>
      </c>
      <c r="I14" s="12"/>
      <c r="J14" s="6" t="str">
        <f aca="false">IF($B14="NO","NA",IF(I14="","",MIN(I14,$B$6)))</f>
        <v/>
      </c>
      <c r="K14" s="6" t="s">
        <v>1261</v>
      </c>
    </row>
    <row r="15" customFormat="false" ht="15" hidden="false" customHeight="true" outlineLevel="0" collapsed="false">
      <c r="A15" s="13" t="s">
        <v>32</v>
      </c>
      <c r="B15" s="13" t="s">
        <v>875</v>
      </c>
      <c r="C15" s="13"/>
      <c r="D15" s="13"/>
      <c r="E15" s="13"/>
      <c r="F15" s="13"/>
      <c r="G15" s="13"/>
      <c r="H15" s="13"/>
      <c r="I15" s="14"/>
      <c r="J15" s="13" t="str">
        <f aca="false">IF($B15="NO","NA",IF(I15="","",MIN(I15,$B$6)))</f>
        <v>NA</v>
      </c>
      <c r="K15" s="13"/>
    </row>
    <row r="16" customFormat="false" ht="15" hidden="false" customHeight="true" outlineLevel="0" collapsed="false">
      <c r="A16" s="6" t="s">
        <v>38</v>
      </c>
      <c r="B16" s="6" t="s">
        <v>821</v>
      </c>
      <c r="C16" s="6" t="s">
        <v>1262</v>
      </c>
      <c r="D16" s="6" t="s">
        <v>1263</v>
      </c>
      <c r="E16" s="6" t="s">
        <v>1264</v>
      </c>
      <c r="F16" s="6" t="s">
        <v>1265</v>
      </c>
      <c r="G16" s="6" t="s">
        <v>1266</v>
      </c>
      <c r="H16" s="6" t="s">
        <v>1267</v>
      </c>
      <c r="I16" s="12" t="n">
        <v>2.5</v>
      </c>
      <c r="J16" s="6" t="n">
        <f aca="false">IF($B16="NO","NA",IF(I16="","",MIN(I16,$B$6)))</f>
        <v>2.5</v>
      </c>
      <c r="K16" s="6" t="s">
        <v>1268</v>
      </c>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6" t="s">
        <v>48</v>
      </c>
      <c r="B19" s="6" t="s">
        <v>821</v>
      </c>
      <c r="C19" s="6" t="s">
        <v>441</v>
      </c>
      <c r="D19" s="0" t="s">
        <v>1269</v>
      </c>
      <c r="E19" s="0" t="s">
        <v>1270</v>
      </c>
      <c r="G19" s="0" t="s">
        <v>1271</v>
      </c>
      <c r="H19" s="6" t="s">
        <v>442</v>
      </c>
      <c r="I19" s="12" t="n">
        <v>2.5</v>
      </c>
      <c r="J19" s="6" t="n">
        <f aca="false">IF($B19="NO","NA",IF(I19="","",MIN(I19,$B$6)))</f>
        <v>2.5</v>
      </c>
      <c r="K19" s="0" t="s">
        <v>1272</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445</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SC-1</v>
      </c>
    </row>
    <row r="4" customFormat="false" ht="15" hidden="false" customHeight="true" outlineLevel="0" collapsed="false">
      <c r="A4" s="8" t="s">
        <v>561</v>
      </c>
      <c r="B4" s="3" t="str">
        <f aca="false">VLOOKUP($B$1,'PARASTATAL Questions'!$A:$J,4,0)&amp;""</f>
        <v>MQ</v>
      </c>
    </row>
    <row r="5" customFormat="false" ht="124.5" hidden="false" customHeight="true" outlineLevel="0" collapsed="false">
      <c r="A5" s="8" t="s">
        <v>0</v>
      </c>
      <c r="B5" s="3" t="str">
        <f aca="false">VLOOKUP($B$1,'PARASTATAL Questions'!$A:$J,5,0)&amp;""</f>
        <v>What proportion of the parastatal's total expenditure is financed through its own revenues?</v>
      </c>
    </row>
    <row r="6" customFormat="false" ht="15" hidden="false" customHeight="true" outlineLevel="0" collapsed="false">
      <c r="A6" s="8" t="s">
        <v>563</v>
      </c>
      <c r="B6" s="3" t="n">
        <f aca="false">VLOOKUP($B$1,'PARASTATAL Questions'!$A:$J,6,0)</f>
        <v>10</v>
      </c>
    </row>
    <row r="7" customFormat="false" ht="34.5" hidden="false" customHeight="true" outlineLevel="0" collapsed="false">
      <c r="A7" s="8" t="s">
        <v>562</v>
      </c>
      <c r="B7" s="3" t="str">
        <f aca="false">VLOOKUP($B$1,'PARASTATAL Questions'!$A:$J,7,0)&amp;""</f>
        <v>Implementation (Numeric)</v>
      </c>
    </row>
    <row r="8" customFormat="false" ht="45.75" hidden="false" customHeight="true" outlineLevel="0" collapsed="false">
      <c r="A8" s="8" t="s">
        <v>594</v>
      </c>
      <c r="B8" s="3" t="str">
        <f aca="false">VLOOKUP($B$1,'PARASTATAL Questions'!$A:$J,8,0)&amp;""</f>
        <v>Revenue-raising parastatals only</v>
      </c>
    </row>
    <row r="9" customFormat="false" ht="336.75" hidden="false" customHeight="true" outlineLevel="0" collapsed="false">
      <c r="A9" s="8" t="s">
        <v>595</v>
      </c>
      <c r="B9" s="3" t="str">
        <f aca="false">VLOOKUP($B$1,'PARASTATAL Questions'!$A:$J,9,0)&amp;""</f>
        <v>Compute Own Revenue (Tax and Non-Tax revenue excluding any government grants) and use 3 years average wherever available (at least 2 years but not more than 5 years). Score is own revenue percentage as a proportion of 10 marks i.e. 50% gets 5 out of 10.</v>
      </c>
    </row>
    <row r="10" customFormat="false" ht="102" hidden="false" customHeight="true" outlineLevel="0" collapsed="false">
      <c r="A10" s="8" t="s">
        <v>596</v>
      </c>
      <c r="B10" s="3" t="str">
        <f aca="false">VLOOKUP($B$1,'PARASTATAL Questions'!$A:$J,10,0)&amp;""</f>
        <v>Annual budget of the last three financial years of the relevant parastatal.</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C13" s="6" t="s">
        <v>266</v>
      </c>
      <c r="D13" s="0" t="s">
        <v>1273</v>
      </c>
      <c r="E13" s="0" t="s">
        <v>1274</v>
      </c>
      <c r="F13" s="0" t="s">
        <v>1275</v>
      </c>
      <c r="G13" s="0" t="s">
        <v>1204</v>
      </c>
      <c r="H13" s="6" t="s">
        <v>267</v>
      </c>
      <c r="I13" s="12"/>
      <c r="J13" s="6" t="str">
        <f aca="false">IF($B13="NO","NA",IF(I13="","",MIN(I13,$B$6)))</f>
        <v/>
      </c>
      <c r="K13" s="10" t="s">
        <v>1276</v>
      </c>
    </row>
    <row r="14" customFormat="false" ht="15" hidden="false" customHeight="true" outlineLevel="0" collapsed="false">
      <c r="A14" s="6" t="s">
        <v>26</v>
      </c>
      <c r="B14" s="6" t="s">
        <v>821</v>
      </c>
      <c r="I14" s="12"/>
      <c r="J14" s="6" t="str">
        <f aca="false">IF($B14="NO","NA",IF(I14="","",MIN(I14,$B$6)))</f>
        <v/>
      </c>
      <c r="K14" s="6" t="s">
        <v>1277</v>
      </c>
    </row>
    <row r="15" customFormat="false" ht="15" hidden="false" customHeight="true" outlineLevel="0" collapsed="false">
      <c r="A15" s="6" t="s">
        <v>32</v>
      </c>
      <c r="B15" s="6" t="s">
        <v>821</v>
      </c>
      <c r="I15" s="12"/>
      <c r="J15" s="6" t="str">
        <f aca="false">IF($B15="NO","NA",IF(I15="","",MIN(I15,$B$6)))</f>
        <v/>
      </c>
      <c r="K15" s="6" t="s">
        <v>1278</v>
      </c>
    </row>
    <row r="16" customFormat="false" ht="15" hidden="false" customHeight="true" outlineLevel="0" collapsed="false">
      <c r="A16" s="13" t="s">
        <v>38</v>
      </c>
      <c r="B16" s="13" t="s">
        <v>875</v>
      </c>
      <c r="C16" s="13"/>
      <c r="D16" s="13"/>
      <c r="E16" s="13"/>
      <c r="F16" s="13"/>
      <c r="G16" s="13"/>
      <c r="H16" s="13"/>
      <c r="I16" s="14"/>
      <c r="J16" s="13" t="str">
        <f aca="false">IF($B16="NO","NA",IF(I16="","",MIN(I16,$B$6)))</f>
        <v>NA</v>
      </c>
      <c r="K16" s="13"/>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13" t="s">
        <v>48</v>
      </c>
      <c r="B19" s="13" t="s">
        <v>875</v>
      </c>
      <c r="C19" s="13"/>
      <c r="D19" s="13"/>
      <c r="E19" s="13"/>
      <c r="F19" s="13"/>
      <c r="G19" s="13"/>
      <c r="H19" s="13"/>
      <c r="I19" s="14"/>
      <c r="J19" s="13" t="str">
        <f aca="false">IF($B19="NO","NA",IF(I19="","",MIN(I19,$B$6)))</f>
        <v>NA</v>
      </c>
      <c r="K19" s="13"/>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451</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SC-2</v>
      </c>
    </row>
    <row r="4" customFormat="false" ht="15" hidden="false" customHeight="true" outlineLevel="0" collapsed="false">
      <c r="A4" s="8" t="s">
        <v>561</v>
      </c>
      <c r="B4" s="3" t="str">
        <f aca="false">VLOOKUP($B$1,'PARASTATAL Questions'!$A:$J,4,0)&amp;""</f>
        <v>MQ</v>
      </c>
    </row>
    <row r="5" customFormat="false" ht="90.75" hidden="false" customHeight="true" outlineLevel="0" collapsed="false">
      <c r="A5" s="8" t="s">
        <v>0</v>
      </c>
      <c r="B5" s="3" t="str">
        <f aca="false">VLOOKUP($B$1,'PARASTATAL Questions'!$A:$J,5,0)&amp;""</f>
        <v>What is the parastatal's per-capita capital expenditure?</v>
      </c>
    </row>
    <row r="6" customFormat="false" ht="15" hidden="false" customHeight="true" outlineLevel="0" collapsed="false">
      <c r="A6" s="8" t="s">
        <v>563</v>
      </c>
      <c r="B6" s="3" t="n">
        <f aca="false">VLOOKUP($B$1,'PARASTATAL Questions'!$A:$J,6,0)</f>
        <v>10</v>
      </c>
    </row>
    <row r="7" customFormat="false" ht="34.5" hidden="false" customHeight="true" outlineLevel="0" collapsed="false">
      <c r="A7" s="8" t="s">
        <v>562</v>
      </c>
      <c r="B7" s="3" t="str">
        <f aca="false">VLOOKUP($B$1,'PARASTATAL Questions'!$A:$J,7,0)&amp;""</f>
        <v>Implementation (Numeric)</v>
      </c>
    </row>
    <row r="8" customFormat="false" ht="102" hidden="false" customHeight="true" outlineLevel="0" collapsed="false">
      <c r="A8" s="8" t="s">
        <v>594</v>
      </c>
      <c r="B8" s="3" t="str">
        <f aca="false">VLOOKUP($B$1,'PARASTATAL Questions'!$A:$J,8,0)&amp;""</f>
        <v>Parastatals with an infrastructure-delivery/capital-expenditure mandate.</v>
      </c>
    </row>
    <row r="9" customFormat="false" ht="605.25" hidden="false" customHeight="true" outlineLevel="0" collapsed="false">
      <c r="A9" s="8" t="s">
        <v>595</v>
      </c>
      <c r="B9" s="3" t="str">
        <f aca="false">VLOOKUP($B$1,'PARASTATAL Questions'!$A:$J,9,0)&amp;""</f>
        <v>Per-capita capital expenditure = capital expenditure (latest completed FY) ÷ population of the jurisdiction served (latest Census or most recent official projection, source cited). Report the absolute figure; for a composite score convert to a percentile/decile rank against other assessed parastatals of the same type only. Do not pool figures across dissimilar parastatal types (e.g. a transport corporation vs. a development authority) — the comparison is not meaningful.</v>
      </c>
    </row>
    <row r="10" customFormat="false" ht="147" hidden="false" customHeight="true" outlineLevel="0" collapsed="false">
      <c r="A10" s="8" t="s">
        <v>596</v>
      </c>
      <c r="B10" s="3" t="str">
        <f aca="false">VLOOKUP($B$1,'PARASTATAL Questions'!$A:$J,10,0)&amp;""</f>
        <v>Latest annual budget and capital-expenditure accounts of the relevant parastatal; population figure with source.</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1279</v>
      </c>
    </row>
    <row r="14" customFormat="false" ht="15" hidden="false" customHeight="true" outlineLevel="0" collapsed="false">
      <c r="A14" s="6" t="s">
        <v>26</v>
      </c>
      <c r="B14" s="6" t="s">
        <v>821</v>
      </c>
      <c r="I14" s="12"/>
      <c r="J14" s="6" t="str">
        <f aca="false">IF($B14="NO","NA",IF(I14="","",MIN(I14,$B$6)))</f>
        <v/>
      </c>
      <c r="K14" s="6" t="s">
        <v>1280</v>
      </c>
    </row>
    <row r="15" customFormat="false" ht="15" hidden="false" customHeight="true" outlineLevel="0" collapsed="false">
      <c r="A15" s="6" t="s">
        <v>32</v>
      </c>
      <c r="B15" s="6" t="s">
        <v>821</v>
      </c>
      <c r="I15" s="12"/>
      <c r="J15" s="6" t="str">
        <f aca="false">IF($B15="NO","NA",IF(I15="","",MIN(I15,$B$6)))</f>
        <v/>
      </c>
      <c r="K15" s="6" t="s">
        <v>1281</v>
      </c>
    </row>
    <row r="16" customFormat="false" ht="213.75" hidden="false" customHeight="true" outlineLevel="0" collapsed="false">
      <c r="A16" s="6" t="s">
        <v>38</v>
      </c>
      <c r="B16" s="6" t="s">
        <v>821</v>
      </c>
      <c r="C16" s="6" t="s">
        <v>177</v>
      </c>
      <c r="D16" s="6" t="s">
        <v>1282</v>
      </c>
      <c r="E16" s="6" t="s">
        <v>1283</v>
      </c>
      <c r="F16" s="6" t="s">
        <v>1284</v>
      </c>
      <c r="G16" s="6" t="s">
        <v>1285</v>
      </c>
      <c r="H16" s="6" t="s">
        <v>178</v>
      </c>
      <c r="I16" s="12"/>
      <c r="J16" s="6" t="str">
        <f aca="false">IF($B16="NO","NA",IF(I16="","",MIN(I16,$B$6)))</f>
        <v/>
      </c>
      <c r="K16" s="10" t="s">
        <v>1286</v>
      </c>
    </row>
    <row r="17" customFormat="false" ht="15" hidden="false" customHeight="true" outlineLevel="0" collapsed="false">
      <c r="A17" s="13" t="s">
        <v>43</v>
      </c>
      <c r="B17" s="13" t="s">
        <v>875</v>
      </c>
      <c r="C17" s="13"/>
      <c r="D17" s="13"/>
      <c r="E17" s="13"/>
      <c r="F17" s="13"/>
      <c r="G17" s="13"/>
      <c r="H17" s="13"/>
      <c r="I17" s="14"/>
      <c r="J17" s="13" t="str">
        <f aca="false">IF($B17="NO","NA",IF(I17="","",MIN(I17,$B$6)))</f>
        <v>NA</v>
      </c>
      <c r="K17" s="13"/>
    </row>
    <row r="18" customFormat="false" ht="15" hidden="false" customHeight="true" outlineLevel="0" collapsed="false">
      <c r="A18" s="13" t="s">
        <v>46</v>
      </c>
      <c r="B18" s="13" t="s">
        <v>875</v>
      </c>
      <c r="C18" s="13"/>
      <c r="D18" s="13"/>
      <c r="E18" s="13"/>
      <c r="F18" s="13"/>
      <c r="G18" s="13"/>
      <c r="H18" s="13"/>
      <c r="I18" s="14"/>
      <c r="J18" s="13" t="str">
        <f aca="false">IF($B18="NO","NA",IF(I18="","",MIN(I18,$B$6)))</f>
        <v>NA</v>
      </c>
      <c r="K18" s="13"/>
    </row>
    <row r="19" customFormat="false" ht="15" hidden="false" customHeight="true" outlineLevel="0" collapsed="false">
      <c r="A19" s="6" t="s">
        <v>48</v>
      </c>
      <c r="B19" s="6" t="s">
        <v>821</v>
      </c>
      <c r="C19" s="6" t="s">
        <v>457</v>
      </c>
      <c r="D19" s="0" t="s">
        <v>1287</v>
      </c>
      <c r="E19" s="0" t="s">
        <v>1288</v>
      </c>
      <c r="F19" s="0" t="s">
        <v>1289</v>
      </c>
      <c r="G19" s="0" t="s">
        <v>1290</v>
      </c>
      <c r="H19" s="6" t="s">
        <v>458</v>
      </c>
      <c r="I19" s="12"/>
      <c r="J19" s="6" t="str">
        <f aca="false">IF($B19="NO","NA",IF(I19="","",MIN(I19,$B$6)))</f>
        <v/>
      </c>
      <c r="K19" s="10" t="s">
        <v>1291</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461</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SC-3</v>
      </c>
    </row>
    <row r="4" customFormat="false" ht="15" hidden="false" customHeight="true" outlineLevel="0" collapsed="false">
      <c r="A4" s="8" t="s">
        <v>561</v>
      </c>
      <c r="B4" s="3" t="str">
        <f aca="false">VLOOKUP($B$1,'PARASTATAL Questions'!$A:$J,4,0)&amp;""</f>
        <v>MQ</v>
      </c>
    </row>
    <row r="5" customFormat="false" ht="68.25" hidden="false" customHeight="true" outlineLevel="0" collapsed="false">
      <c r="A5" s="8" t="s">
        <v>0</v>
      </c>
      <c r="B5" s="3" t="str">
        <f aca="false">VLOOKUP($B$1,'PARASTATAL Questions'!$A:$J,5,0)&amp;""</f>
        <v>How realistic is the parastatal's annual budget?</v>
      </c>
    </row>
    <row r="6" customFormat="false" ht="15" hidden="false" customHeight="true" outlineLevel="0" collapsed="false">
      <c r="A6" s="8" t="s">
        <v>563</v>
      </c>
      <c r="B6" s="3" t="n">
        <f aca="false">VLOOKUP($B$1,'PARASTATAL Questions'!$A:$J,6,0)</f>
        <v>10</v>
      </c>
    </row>
    <row r="7" customFormat="false" ht="34.5" hidden="false" customHeight="true" outlineLevel="0" collapsed="false">
      <c r="A7" s="8" t="s">
        <v>562</v>
      </c>
      <c r="B7" s="3" t="str">
        <f aca="false">VLOOKUP($B$1,'PARASTATAL Questions'!$A:$J,7,0)&amp;""</f>
        <v>Implementation (Numeric)</v>
      </c>
    </row>
    <row r="8" customFormat="false" ht="68.25" hidden="false" customHeight="true" outlineLevel="0" collapsed="false">
      <c r="A8" s="8" t="s">
        <v>594</v>
      </c>
      <c r="B8" s="3" t="str">
        <f aca="false">VLOOKUP($B$1,'PARASTATAL Questions'!$A:$J,8,0)&amp;""</f>
        <v>Common — all parastatal types with an annual budget.</v>
      </c>
    </row>
    <row r="9" customFormat="false" ht="225" hidden="false" customHeight="true" outlineLevel="0" collapsed="false">
      <c r="A9" s="8" t="s">
        <v>595</v>
      </c>
      <c r="B9" s="3" t="str">
        <f aca="false">VLOOKUP($B$1,'PARASTATAL Questions'!$A:$J,9,0)&amp;""</f>
        <v>3 year average of budget variance wherever available (at least 2 years but not more than 5 years); If variance is within 15%, the score will be 10 but anything over 15% will score 0 out of 10</v>
      </c>
    </row>
    <row r="10" customFormat="false" ht="135.75" hidden="false" customHeight="true" outlineLevel="0" collapsed="false">
      <c r="A10" s="8" t="s">
        <v>596</v>
      </c>
      <c r="B10" s="3" t="str">
        <f aca="false">VLOOKUP($B$1,'PARASTATAL Questions'!$A:$J,10,0)&amp;""</f>
        <v>Budget documents and audited accounts for the same financial year, compared side by side</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C13" s="6" t="s">
        <v>266</v>
      </c>
      <c r="D13" s="0" t="s">
        <v>1292</v>
      </c>
      <c r="E13" s="0" t="s">
        <v>1293</v>
      </c>
      <c r="F13" s="0" t="s">
        <v>1294</v>
      </c>
      <c r="G13" s="0" t="s">
        <v>1295</v>
      </c>
      <c r="H13" s="6" t="s">
        <v>267</v>
      </c>
      <c r="I13" s="12"/>
      <c r="J13" s="6" t="str">
        <f aca="false">IF($B13="NO","NA",IF(I13="","",MIN(I13,$B$6)))</f>
        <v/>
      </c>
      <c r="K13" s="10" t="s">
        <v>1296</v>
      </c>
    </row>
    <row r="14" customFormat="false" ht="15" hidden="false" customHeight="true" outlineLevel="0" collapsed="false">
      <c r="A14" s="6" t="s">
        <v>26</v>
      </c>
      <c r="B14" s="6" t="s">
        <v>821</v>
      </c>
      <c r="I14" s="12"/>
      <c r="J14" s="6" t="str">
        <f aca="false">IF($B14="NO","NA",IF(I14="","",MIN(I14,$B$6)))</f>
        <v/>
      </c>
      <c r="K14" s="6" t="s">
        <v>1297</v>
      </c>
    </row>
    <row r="15" customFormat="false" ht="15" hidden="false" customHeight="true" outlineLevel="0" collapsed="false">
      <c r="A15" s="6" t="s">
        <v>32</v>
      </c>
      <c r="B15" s="6" t="s">
        <v>821</v>
      </c>
      <c r="I15" s="12"/>
      <c r="J15" s="6" t="str">
        <f aca="false">IF($B15="NO","NA",IF(I15="","",MIN(I15,$B$6)))</f>
        <v/>
      </c>
      <c r="K15" s="6" t="s">
        <v>1298</v>
      </c>
    </row>
    <row r="16" customFormat="false" ht="15" hidden="false" customHeight="true" outlineLevel="0" collapsed="false">
      <c r="A16" s="6" t="s">
        <v>38</v>
      </c>
      <c r="B16" s="6" t="s">
        <v>821</v>
      </c>
      <c r="I16" s="12"/>
      <c r="J16" s="6" t="str">
        <f aca="false">IF($B16="NO","NA",IF(I16="","",MIN(I16,$B$6)))</f>
        <v/>
      </c>
      <c r="K16" s="6" t="s">
        <v>1299</v>
      </c>
    </row>
    <row r="17" customFormat="false" ht="15" hidden="false" customHeight="true" outlineLevel="0" collapsed="false">
      <c r="A17" s="6" t="s">
        <v>43</v>
      </c>
      <c r="B17" s="6" t="s">
        <v>821</v>
      </c>
      <c r="I17" s="12"/>
      <c r="J17" s="6" t="str">
        <f aca="false">IF($B17="NO","NA",IF(I17="","",MIN(I17,$B$6)))</f>
        <v/>
      </c>
      <c r="K17" s="6" t="s">
        <v>1300</v>
      </c>
    </row>
    <row r="18" customFormat="false" ht="15" hidden="false" customHeight="true" outlineLevel="0" collapsed="false">
      <c r="A18" s="6" t="s">
        <v>46</v>
      </c>
      <c r="B18" s="6" t="s">
        <v>821</v>
      </c>
      <c r="I18" s="12"/>
      <c r="J18" s="6" t="str">
        <f aca="false">IF($B18="NO","NA",IF(I18="","",MIN(I18,$B$6)))</f>
        <v/>
      </c>
      <c r="K18" s="0" t="s">
        <v>1301</v>
      </c>
    </row>
    <row r="19" customFormat="false" ht="15" hidden="false" customHeight="true" outlineLevel="0" collapsed="false">
      <c r="A19" s="6" t="s">
        <v>48</v>
      </c>
      <c r="B19" s="6" t="s">
        <v>821</v>
      </c>
      <c r="I19" s="12"/>
      <c r="J19" s="6" t="str">
        <f aca="false">IF($B19="NO","NA",IF(I19="","",MIN(I19,$B$6)))</f>
        <v/>
      </c>
      <c r="K19" s="0" t="s">
        <v>1302</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471</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SC-4a</v>
      </c>
    </row>
    <row r="4" customFormat="false" ht="15" hidden="false" customHeight="true" outlineLevel="0" collapsed="false">
      <c r="A4" s="8" t="s">
        <v>561</v>
      </c>
      <c r="B4" s="3" t="str">
        <f aca="false">VLOOKUP($B$1,'PARASTATAL Questions'!$A:$J,4,0)&amp;""</f>
        <v>SQ</v>
      </c>
    </row>
    <row r="5" customFormat="false" ht="124.5" hidden="false" customHeight="true" outlineLevel="0" collapsed="false">
      <c r="A5" s="8" t="s">
        <v>0</v>
      </c>
      <c r="B5" s="3" t="str">
        <f aca="false">VLOOKUP($B$1,'PARASTATAL Questions'!$A:$J,5,0)&amp;""</f>
        <v>Is a medium-term (3-5 year) and/or long-term (&gt;5 year) fiscal plan legally mandated?</v>
      </c>
    </row>
    <row r="6" customFormat="false" ht="15" hidden="false" customHeight="true" outlineLevel="0" collapsed="false">
      <c r="A6" s="8" t="s">
        <v>563</v>
      </c>
      <c r="B6" s="3" t="n">
        <f aca="false">VLOOKUP($B$1,'PARASTATAL Questions'!$A:$J,6,0)</f>
        <v>5</v>
      </c>
    </row>
    <row r="7" customFormat="false" ht="15" hidden="false" customHeight="true" outlineLevel="0" collapsed="false">
      <c r="A7" s="8" t="s">
        <v>562</v>
      </c>
      <c r="B7" s="3" t="str">
        <f aca="false">VLOOKUP($B$1,'PARASTATAL Questions'!$A:$J,7,0)&amp;""</f>
        <v>Law/Policy</v>
      </c>
    </row>
    <row r="8" customFormat="false" ht="15" hidden="false" customHeight="true" outlineLevel="0" collapsed="false">
      <c r="A8" s="8" t="s">
        <v>594</v>
      </c>
      <c r="B8" s="3" t="str">
        <f aca="false">VLOOKUP($B$1,'PARASTATAL Questions'!$A:$J,8,0)&amp;""</f>
        <v>Common.</v>
      </c>
    </row>
    <row r="9" customFormat="false" ht="213.75" hidden="false" customHeight="true" outlineLevel="0" collapsed="false">
      <c r="A9" s="8" t="s">
        <v>595</v>
      </c>
      <c r="B9" s="3" t="str">
        <f aca="false">VLOOKUP($B$1,'PARASTATAL Questions'!$A:$J,9,0)&amp;""</f>
        <v>Score 5 if enabling act of the relevant parastatal require a fiscal plan of defined horizon (Medium term at 3-5 years and long term at &gt;5 years). Score 0 if no such requirement.</v>
      </c>
    </row>
    <row r="10" customFormat="false" ht="45.75" hidden="false" customHeight="true" outlineLevel="0" collapsed="false">
      <c r="A10" s="8" t="s">
        <v>596</v>
      </c>
      <c r="B10" s="3" t="str">
        <f aca="false">VLOOKUP($B$1,'PARASTATAL Questions'!$A:$J,10,0)&amp;""</f>
        <v>Enabling act of the relevant parastatal</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281.25" hidden="false" customHeight="true" outlineLevel="0" collapsed="false">
      <c r="A13" s="6" t="s">
        <v>17</v>
      </c>
      <c r="B13" s="6" t="s">
        <v>821</v>
      </c>
      <c r="C13" s="6" t="s">
        <v>21</v>
      </c>
      <c r="D13" s="6" t="s">
        <v>1303</v>
      </c>
      <c r="E13" s="6" t="s">
        <v>1304</v>
      </c>
      <c r="F13" s="6" t="s">
        <v>1305</v>
      </c>
      <c r="G13" s="6" t="s">
        <v>1306</v>
      </c>
      <c r="H13" s="6" t="s">
        <v>22</v>
      </c>
      <c r="I13" s="12" t="n">
        <v>0</v>
      </c>
      <c r="J13" s="6" t="n">
        <f aca="false">IF($B13="NO","NA",IF(I13="","",MIN(I13,$B$6)))</f>
        <v>0</v>
      </c>
      <c r="K13" s="10" t="s">
        <v>1307</v>
      </c>
    </row>
    <row r="14" customFormat="false" ht="236.25" hidden="false" customHeight="true" outlineLevel="0" collapsed="false">
      <c r="A14" s="6" t="s">
        <v>26</v>
      </c>
      <c r="B14" s="6" t="s">
        <v>821</v>
      </c>
      <c r="C14" s="6" t="s">
        <v>145</v>
      </c>
      <c r="D14" s="6" t="s">
        <v>1308</v>
      </c>
      <c r="E14" s="6" t="s">
        <v>1309</v>
      </c>
      <c r="F14" s="6" t="s">
        <v>1310</v>
      </c>
      <c r="G14" s="6" t="s">
        <v>1007</v>
      </c>
      <c r="H14" s="6" t="s">
        <v>146</v>
      </c>
      <c r="I14" s="12" t="n">
        <v>0</v>
      </c>
      <c r="J14" s="6" t="n">
        <f aca="false">IF($B14="NO","NA",IF(I14="","",MIN(I14,$B$6)))</f>
        <v>0</v>
      </c>
      <c r="K14" s="10" t="s">
        <v>1311</v>
      </c>
    </row>
    <row r="15" customFormat="false" ht="202.5" hidden="false" customHeight="true" outlineLevel="0" collapsed="false">
      <c r="A15" s="6" t="s">
        <v>32</v>
      </c>
      <c r="B15" s="6" t="s">
        <v>821</v>
      </c>
      <c r="C15" s="6" t="s">
        <v>34</v>
      </c>
      <c r="D15" s="6" t="s">
        <v>1312</v>
      </c>
      <c r="E15" s="6" t="s">
        <v>1313</v>
      </c>
      <c r="F15" s="6" t="s">
        <v>1314</v>
      </c>
      <c r="G15" s="6" t="s">
        <v>1315</v>
      </c>
      <c r="H15" s="6" t="s">
        <v>35</v>
      </c>
      <c r="I15" s="12" t="n">
        <v>0</v>
      </c>
      <c r="J15" s="6" t="n">
        <f aca="false">IF($B15="NO","NA",IF(I15="","",MIN(I15,$B$6)))</f>
        <v>0</v>
      </c>
      <c r="K15" s="10" t="s">
        <v>1316</v>
      </c>
    </row>
    <row r="16" customFormat="false" ht="15" hidden="false" customHeight="true" outlineLevel="0" collapsed="false">
      <c r="A16" s="6" t="s">
        <v>38</v>
      </c>
      <c r="B16" s="6" t="s">
        <v>821</v>
      </c>
      <c r="C16" s="6" t="s">
        <v>482</v>
      </c>
      <c r="D16" s="6" t="s">
        <v>1317</v>
      </c>
      <c r="E16" s="6" t="s">
        <v>1318</v>
      </c>
      <c r="F16" s="6" t="s">
        <v>1319</v>
      </c>
      <c r="G16" s="6" t="s">
        <v>1320</v>
      </c>
      <c r="H16" s="6" t="s">
        <v>483</v>
      </c>
      <c r="I16" s="12" t="n">
        <v>0</v>
      </c>
      <c r="J16" s="6" t="n">
        <f aca="false">IF($B16="NO","NA",IF(I16="","",MIN(I16,$B$6)))</f>
        <v>0</v>
      </c>
      <c r="K16" s="10" t="s">
        <v>1321</v>
      </c>
    </row>
    <row r="17" customFormat="false" ht="15" hidden="false" customHeight="true" outlineLevel="0" collapsed="false">
      <c r="A17" s="6" t="s">
        <v>43</v>
      </c>
      <c r="B17" s="6" t="s">
        <v>821</v>
      </c>
      <c r="C17" s="6" t="s">
        <v>841</v>
      </c>
      <c r="D17" s="6" t="s">
        <v>1322</v>
      </c>
      <c r="E17" s="6" t="s">
        <v>1323</v>
      </c>
      <c r="G17" s="6" t="s">
        <v>1019</v>
      </c>
      <c r="H17" s="6" t="s">
        <v>846</v>
      </c>
      <c r="I17" s="12" t="n">
        <v>0</v>
      </c>
      <c r="J17" s="6" t="n">
        <f aca="false">IF($B17="NO","NA",IF(I17="","",MIN(I17,$B$6)))</f>
        <v>0</v>
      </c>
      <c r="K17" s="6" t="s">
        <v>1324</v>
      </c>
    </row>
    <row r="18" customFormat="false" ht="15" hidden="false" customHeight="true" outlineLevel="0" collapsed="false">
      <c r="A18" s="6" t="s">
        <v>46</v>
      </c>
      <c r="B18" s="6" t="s">
        <v>821</v>
      </c>
      <c r="C18" s="6" t="s">
        <v>209</v>
      </c>
      <c r="D18" s="0" t="s">
        <v>1325</v>
      </c>
      <c r="E18" s="0" t="s">
        <v>1326</v>
      </c>
      <c r="F18" s="0" t="s">
        <v>1327</v>
      </c>
      <c r="G18" s="0" t="s">
        <v>880</v>
      </c>
      <c r="H18" s="6" t="s">
        <v>210</v>
      </c>
      <c r="I18" s="12"/>
      <c r="J18" s="6" t="str">
        <f aca="false">IF($B18="NO","NA",IF(I18="","",MIN(I18,$B$6)))</f>
        <v/>
      </c>
      <c r="K18" s="10" t="s">
        <v>1328</v>
      </c>
    </row>
    <row r="19" customFormat="false" ht="15" hidden="false" customHeight="true" outlineLevel="0" collapsed="false">
      <c r="A19" s="6" t="s">
        <v>48</v>
      </c>
      <c r="B19" s="6" t="s">
        <v>821</v>
      </c>
      <c r="I19" s="12"/>
      <c r="J19" s="6" t="str">
        <f aca="false">IF($B19="NO","NA",IF(I19="","",MIN(I19,$B$6)))</f>
        <v/>
      </c>
      <c r="K19" s="0" t="s">
        <v>1329</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491</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SC-4b</v>
      </c>
    </row>
    <row r="4" customFormat="false" ht="15" hidden="false" customHeight="true" outlineLevel="0" collapsed="false">
      <c r="A4" s="8" t="s">
        <v>561</v>
      </c>
      <c r="B4" s="3" t="str">
        <f aca="false">VLOOKUP($B$1,'PARASTATAL Questions'!$A:$J,4,0)&amp;""</f>
        <v>SQ</v>
      </c>
    </row>
    <row r="5" customFormat="false" ht="68.25" hidden="false" customHeight="true" outlineLevel="0" collapsed="false">
      <c r="A5" s="8" t="s">
        <v>0</v>
      </c>
      <c r="B5" s="3" t="str">
        <f aca="false">VLOOKUP($B$1,'PARASTATAL Questions'!$A:$J,5,0)&amp;""</f>
        <v>Is the medium/long-term fiscal plan publicly available?</v>
      </c>
    </row>
    <row r="6" customFormat="false" ht="15" hidden="false" customHeight="true" outlineLevel="0" collapsed="false">
      <c r="A6" s="8" t="s">
        <v>563</v>
      </c>
      <c r="B6" s="3" t="n">
        <f aca="false">VLOOKUP($B$1,'PARASTATAL Questions'!$A:$J,6,0)</f>
        <v>5</v>
      </c>
    </row>
    <row r="7" customFormat="false" ht="23.25" hidden="false" customHeight="true" outlineLevel="0" collapsed="false">
      <c r="A7" s="8" t="s">
        <v>562</v>
      </c>
      <c r="B7" s="3" t="str">
        <f aca="false">VLOOKUP($B$1,'PARASTATAL Questions'!$A:$J,7,0)&amp;""</f>
        <v>Implementation</v>
      </c>
    </row>
    <row r="8" customFormat="false" ht="15" hidden="false" customHeight="true" outlineLevel="0" collapsed="false">
      <c r="A8" s="8" t="s">
        <v>594</v>
      </c>
      <c r="B8" s="3" t="str">
        <f aca="false">VLOOKUP($B$1,'PARASTATAL Questions'!$A:$J,8,0)&amp;""</f>
        <v>Common.</v>
      </c>
    </row>
    <row r="9" customFormat="false" ht="135.75" hidden="false" customHeight="true" outlineLevel="0" collapsed="false">
      <c r="A9" s="8" t="s">
        <v>595</v>
      </c>
      <c r="B9" s="3" t="str">
        <f aca="false">VLOOKUP($B$1,'PARASTATAL Questions'!$A:$J,9,0)&amp;""</f>
        <v>Score 5 if the fiscal plan is published online on the relevant parastatal's website. Score 0 if not available.</v>
      </c>
    </row>
    <row r="10" customFormat="false" ht="45.75" hidden="false" customHeight="true" outlineLevel="0" collapsed="false">
      <c r="A10" s="8" t="s">
        <v>596</v>
      </c>
      <c r="B10" s="3" t="str">
        <f aca="false">VLOOKUP($B$1,'PARASTATAL Questions'!$A:$J,10,0)&amp;""</f>
        <v>Website of the relevant parastatal</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1330</v>
      </c>
    </row>
    <row r="14" customFormat="false" ht="15" hidden="false" customHeight="true" outlineLevel="0" collapsed="false">
      <c r="A14" s="6" t="s">
        <v>26</v>
      </c>
      <c r="B14" s="6" t="s">
        <v>821</v>
      </c>
      <c r="I14" s="12"/>
      <c r="J14" s="6" t="str">
        <f aca="false">IF($B14="NO","NA",IF(I14="","",MIN(I14,$B$6)))</f>
        <v/>
      </c>
      <c r="K14" s="6" t="s">
        <v>1331</v>
      </c>
    </row>
    <row r="15" customFormat="false" ht="15" hidden="false" customHeight="true" outlineLevel="0" collapsed="false">
      <c r="A15" s="6" t="s">
        <v>32</v>
      </c>
      <c r="B15" s="6" t="s">
        <v>821</v>
      </c>
      <c r="I15" s="12"/>
      <c r="J15" s="6" t="str">
        <f aca="false">IF($B15="NO","NA",IF(I15="","",MIN(I15,$B$6)))</f>
        <v/>
      </c>
      <c r="K15" s="6" t="s">
        <v>1332</v>
      </c>
    </row>
    <row r="16" customFormat="false" ht="15" hidden="false" customHeight="true" outlineLevel="0" collapsed="false">
      <c r="A16" s="6" t="s">
        <v>38</v>
      </c>
      <c r="B16" s="6" t="s">
        <v>821</v>
      </c>
      <c r="I16" s="12"/>
      <c r="J16" s="6" t="str">
        <f aca="false">IF($B16="NO","NA",IF(I16="","",MIN(I16,$B$6)))</f>
        <v/>
      </c>
      <c r="K16" s="6" t="s">
        <v>1333</v>
      </c>
    </row>
    <row r="17" customFormat="false" ht="15" hidden="false" customHeight="true" outlineLevel="0" collapsed="false">
      <c r="A17" s="6" t="s">
        <v>43</v>
      </c>
      <c r="B17" s="6" t="s">
        <v>821</v>
      </c>
      <c r="C17" s="6" t="s">
        <v>1129</v>
      </c>
      <c r="D17" s="6" t="s">
        <v>1334</v>
      </c>
      <c r="E17" s="6" t="s">
        <v>1335</v>
      </c>
      <c r="H17" s="6" t="s">
        <v>231</v>
      </c>
      <c r="I17" s="12"/>
      <c r="J17" s="6" t="str">
        <f aca="false">IF($B17="NO","NA",IF(I17="","",MIN(I17,$B$6)))</f>
        <v/>
      </c>
      <c r="K17" s="6" t="s">
        <v>1336</v>
      </c>
    </row>
    <row r="18" customFormat="false" ht="15" hidden="false" customHeight="true" outlineLevel="0" collapsed="false">
      <c r="A18" s="6" t="s">
        <v>46</v>
      </c>
      <c r="B18" s="6" t="s">
        <v>821</v>
      </c>
      <c r="C18" s="6" t="s">
        <v>58</v>
      </c>
      <c r="D18" s="0" t="s">
        <v>1337</v>
      </c>
      <c r="E18" s="0" t="s">
        <v>1338</v>
      </c>
      <c r="F18" s="0" t="s">
        <v>1339</v>
      </c>
      <c r="G18" s="0" t="s">
        <v>1340</v>
      </c>
      <c r="H18" s="6" t="s">
        <v>59</v>
      </c>
      <c r="I18" s="12"/>
      <c r="J18" s="6" t="str">
        <f aca="false">IF($B18="NO","NA",IF(I18="","",MIN(I18,$B$6)))</f>
        <v/>
      </c>
      <c r="K18" s="10" t="s">
        <v>1341</v>
      </c>
    </row>
    <row r="19" customFormat="false" ht="15" hidden="false" customHeight="true" outlineLevel="0" collapsed="false">
      <c r="A19" s="6" t="s">
        <v>48</v>
      </c>
      <c r="B19" s="6" t="s">
        <v>821</v>
      </c>
      <c r="C19" s="6" t="s">
        <v>63</v>
      </c>
      <c r="D19" s="0" t="s">
        <v>1342</v>
      </c>
      <c r="E19" s="0" t="s">
        <v>1343</v>
      </c>
      <c r="F19" s="0" t="s">
        <v>1344</v>
      </c>
      <c r="G19" s="0" t="s">
        <v>1345</v>
      </c>
      <c r="H19" s="6" t="s">
        <v>64</v>
      </c>
      <c r="I19" s="12"/>
      <c r="J19" s="6" t="str">
        <f aca="false">IF($B19="NO","NA",IF(I19="","",MIN(I19,$B$6)))</f>
        <v/>
      </c>
      <c r="K19" s="10" t="s">
        <v>1346</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503</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SC-5</v>
      </c>
    </row>
    <row r="4" customFormat="false" ht="15" hidden="false" customHeight="true" outlineLevel="0" collapsed="false">
      <c r="A4" s="8" t="s">
        <v>561</v>
      </c>
      <c r="B4" s="3" t="str">
        <f aca="false">VLOOKUP($B$1,'PARASTATAL Questions'!$A:$J,4,0)&amp;""</f>
        <v>MQ</v>
      </c>
    </row>
    <row r="5" customFormat="false" ht="124.5" hidden="false" customHeight="true" outlineLevel="0" collapsed="false">
      <c r="A5" s="8" t="s">
        <v>0</v>
      </c>
      <c r="B5" s="3" t="str">
        <f aca="false">VLOOKUP($B$1,'PARASTATAL Questions'!$A:$J,5,0)&amp;""</f>
        <v>Does the law mandate a minimum tenure for the executive authority of the parastatal?</v>
      </c>
    </row>
    <row r="6" customFormat="false" ht="15" hidden="false" customHeight="true" outlineLevel="0" collapsed="false">
      <c r="A6" s="8" t="s">
        <v>563</v>
      </c>
      <c r="B6" s="3" t="n">
        <f aca="false">VLOOKUP($B$1,'PARASTATAL Questions'!$A:$J,6,0)</f>
        <v>10</v>
      </c>
    </row>
    <row r="7" customFormat="false" ht="15" hidden="false" customHeight="true" outlineLevel="0" collapsed="false">
      <c r="A7" s="8" t="s">
        <v>562</v>
      </c>
      <c r="B7" s="3" t="str">
        <f aca="false">VLOOKUP($B$1,'PARASTATAL Questions'!$A:$J,7,0)&amp;""</f>
        <v>Law/Policy</v>
      </c>
    </row>
    <row r="8" customFormat="false" ht="15" hidden="false" customHeight="true" outlineLevel="0" collapsed="false">
      <c r="A8" s="8" t="s">
        <v>594</v>
      </c>
      <c r="B8" s="3" t="str">
        <f aca="false">VLOOKUP($B$1,'PARASTATAL Questions'!$A:$J,8,0)&amp;""</f>
        <v>Common.</v>
      </c>
    </row>
    <row r="9" customFormat="false" ht="885.75" hidden="false" customHeight="true" outlineLevel="0" collapsed="false">
      <c r="A9" s="8" t="s">
        <v>595</v>
      </c>
      <c r="B9" s="3" t="str">
        <f aca="false">VLOOKUP($B$1,'PARASTATAL Questions'!$A:$J,9,0)&amp;""</f>
        <v>Review the relevant Parastatal Act and rules governing the appointment of the chief executive/executive authority.Score 10 — the law mandates a minimum tenure of two years (or more) for the executive authority, with removal permitted only on defined grounds (e.g. misconduct, incapacity) rather than at unrestricted discretion.Score 5 — the law mandates a minimum tenure of less than two years.Score 0 — no minimum tenure is prescribed in law.This refers to the bureaucratic/administrative head of the parastatal — for example, the Managing Director, Commissioner, Chief Executive Officer or equivalent executive authority — and not to the Chairperson or political head.</v>
      </c>
    </row>
    <row r="10" customFormat="false" ht="147" hidden="false" customHeight="true" outlineLevel="0" collapsed="false">
      <c r="A10" s="8" t="s">
        <v>596</v>
      </c>
      <c r="B10" s="3" t="str">
        <f aca="false">VLOOKUP($B$1,'PARASTATAL Questions'!$A:$J,10,0)&amp;""</f>
        <v>Relevant Parastatal Act; rules governing appointment, tenure and removal of the executive authority/chief executive.</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348" hidden="false" customHeight="true" outlineLevel="0" collapsed="false">
      <c r="A13" s="6" t="s">
        <v>17</v>
      </c>
      <c r="B13" s="6" t="s">
        <v>821</v>
      </c>
      <c r="C13" s="6" t="s">
        <v>21</v>
      </c>
      <c r="D13" s="6" t="s">
        <v>1347</v>
      </c>
      <c r="E13" s="6" t="s">
        <v>1348</v>
      </c>
      <c r="F13" s="6" t="s">
        <v>1349</v>
      </c>
      <c r="G13" s="6" t="s">
        <v>933</v>
      </c>
      <c r="H13" s="6" t="s">
        <v>22</v>
      </c>
      <c r="I13" s="12" t="n">
        <v>0</v>
      </c>
      <c r="J13" s="6" t="n">
        <f aca="false">IF($B13="NO","NA",IF(I13="","",MIN(I13,$B$6)))</f>
        <v>0</v>
      </c>
      <c r="K13" s="10" t="s">
        <v>1350</v>
      </c>
    </row>
    <row r="14" customFormat="false" ht="15" hidden="false" customHeight="true" outlineLevel="0" collapsed="false">
      <c r="A14" s="6" t="s">
        <v>26</v>
      </c>
      <c r="B14" s="6" t="s">
        <v>821</v>
      </c>
      <c r="C14" s="6" t="s">
        <v>145</v>
      </c>
      <c r="D14" s="6" t="s">
        <v>1351</v>
      </c>
      <c r="E14" s="6" t="s">
        <v>1352</v>
      </c>
      <c r="F14" s="6" t="s">
        <v>1353</v>
      </c>
      <c r="G14" s="6" t="s">
        <v>1354</v>
      </c>
      <c r="H14" s="6" t="s">
        <v>146</v>
      </c>
      <c r="I14" s="12"/>
      <c r="J14" s="6" t="str">
        <f aca="false">IF($B14="NO","NA",IF(I14="","",MIN(I14,$B$6)))</f>
        <v/>
      </c>
      <c r="K14" s="6" t="s">
        <v>1355</v>
      </c>
    </row>
    <row r="15" customFormat="false" ht="34.5" hidden="false" customHeight="true" outlineLevel="0" collapsed="false">
      <c r="A15" s="6" t="s">
        <v>32</v>
      </c>
      <c r="B15" s="6" t="s">
        <v>821</v>
      </c>
      <c r="C15" s="6" t="s">
        <v>34</v>
      </c>
      <c r="D15" s="6" t="s">
        <v>1356</v>
      </c>
      <c r="E15" s="6" t="s">
        <v>1357</v>
      </c>
      <c r="F15" s="6" t="s">
        <v>1358</v>
      </c>
      <c r="G15" s="6" t="s">
        <v>1359</v>
      </c>
      <c r="H15" s="6" t="s">
        <v>35</v>
      </c>
      <c r="I15" s="12" t="n">
        <v>0</v>
      </c>
      <c r="J15" s="6" t="n">
        <f aca="false">IF($B15="NO","NA",IF(I15="","",MIN(I15,$B$6)))</f>
        <v>0</v>
      </c>
      <c r="K15" s="10" t="s">
        <v>1360</v>
      </c>
    </row>
    <row r="16" customFormat="false" ht="202.5" hidden="false" customHeight="true" outlineLevel="0" collapsed="false">
      <c r="A16" s="6" t="s">
        <v>38</v>
      </c>
      <c r="B16" s="6" t="s">
        <v>821</v>
      </c>
      <c r="C16" s="6" t="s">
        <v>482</v>
      </c>
      <c r="D16" s="6" t="s">
        <v>1361</v>
      </c>
      <c r="E16" s="6" t="s">
        <v>1362</v>
      </c>
      <c r="F16" s="6" t="s">
        <v>1363</v>
      </c>
      <c r="G16" s="6" t="s">
        <v>1364</v>
      </c>
      <c r="H16" s="6" t="s">
        <v>483</v>
      </c>
      <c r="I16" s="12" t="n">
        <v>0</v>
      </c>
      <c r="J16" s="6" t="n">
        <f aca="false">IF($B16="NO","NA",IF(I16="","",MIN(I16,$B$6)))</f>
        <v>0</v>
      </c>
      <c r="K16" s="10" t="s">
        <v>1365</v>
      </c>
    </row>
    <row r="17" customFormat="false" ht="15" hidden="false" customHeight="true" outlineLevel="0" collapsed="false">
      <c r="A17" s="6" t="s">
        <v>43</v>
      </c>
      <c r="B17" s="6" t="s">
        <v>821</v>
      </c>
      <c r="I17" s="12"/>
      <c r="J17" s="6" t="str">
        <f aca="false">IF($B17="NO","NA",IF(I17="","",MIN(I17,$B$6)))</f>
        <v/>
      </c>
      <c r="K17" s="6" t="s">
        <v>1366</v>
      </c>
    </row>
    <row r="18" customFormat="false" ht="15" hidden="false" customHeight="true" outlineLevel="0" collapsed="false">
      <c r="A18" s="6" t="s">
        <v>46</v>
      </c>
      <c r="B18" s="6" t="s">
        <v>821</v>
      </c>
      <c r="I18" s="12"/>
      <c r="J18" s="6" t="str">
        <f aca="false">IF($B18="NO","NA",IF(I18="","",MIN(I18,$B$6)))</f>
        <v/>
      </c>
      <c r="K18" s="0" t="s">
        <v>1367</v>
      </c>
    </row>
    <row r="19" customFormat="false" ht="15" hidden="false" customHeight="true" outlineLevel="0" collapsed="false">
      <c r="A19" s="6" t="s">
        <v>48</v>
      </c>
      <c r="B19" s="6" t="s">
        <v>821</v>
      </c>
      <c r="I19" s="12"/>
      <c r="J19" s="6" t="str">
        <f aca="false">IF($B19="NO","NA",IF(I19="","",MIN(I19,$B$6)))</f>
        <v/>
      </c>
      <c r="K19" s="0" t="s">
        <v>1368</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519</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SC-6</v>
      </c>
    </row>
    <row r="4" customFormat="false" ht="15" hidden="false" customHeight="true" outlineLevel="0" collapsed="false">
      <c r="A4" s="8" t="s">
        <v>561</v>
      </c>
      <c r="B4" s="3" t="str">
        <f aca="false">VLOOKUP($B$1,'PARASTATAL Questions'!$A:$J,4,0)&amp;""</f>
        <v>MQ</v>
      </c>
    </row>
    <row r="5" customFormat="false" ht="124.5" hidden="false" customHeight="true" outlineLevel="0" collapsed="false">
      <c r="A5" s="8" t="s">
        <v>0</v>
      </c>
      <c r="B5" s="3" t="str">
        <f aca="false">VLOOKUP($B$1,'PARASTATAL Questions'!$A:$J,5,0)&amp;""</f>
        <v>What is the average tenure of the chief executive/executive authority of the parastatal?</v>
      </c>
    </row>
    <row r="6" customFormat="false" ht="15" hidden="false" customHeight="true" outlineLevel="0" collapsed="false">
      <c r="A6" s="8" t="s">
        <v>563</v>
      </c>
      <c r="B6" s="3" t="n">
        <f aca="false">VLOOKUP($B$1,'PARASTATAL Questions'!$A:$J,6,0)</f>
        <v>10</v>
      </c>
    </row>
    <row r="7" customFormat="false" ht="34.5" hidden="false" customHeight="true" outlineLevel="0" collapsed="false">
      <c r="A7" s="8" t="s">
        <v>562</v>
      </c>
      <c r="B7" s="3" t="str">
        <f aca="false">VLOOKUP($B$1,'PARASTATAL Questions'!$A:$J,7,0)&amp;""</f>
        <v>Implementation (Numeric)</v>
      </c>
    </row>
    <row r="8" customFormat="false" ht="124.5" hidden="false" customHeight="true" outlineLevel="0" collapsed="false">
      <c r="A8" s="8" t="s">
        <v>594</v>
      </c>
      <c r="B8" s="3" t="str">
        <f aca="false">VLOOKUP($B$1,'PARASTATAL Questions'!$A:$J,8,0)&amp;""</f>
        <v>Common — all parastatal types with a designated chief executive/executive authority post.</v>
      </c>
    </row>
    <row r="9" customFormat="false" ht="415.5" hidden="false" customHeight="true" outlineLevel="0" collapsed="false">
      <c r="A9" s="8" t="s">
        <v>595</v>
      </c>
      <c r="B9" s="3" t="str">
        <f aca="false">VLOOKUP($B$1,'PARASTATAL Questions'!$A:$J,9,0)&amp;""</f>
        <v>Review appointments/transfers of the chief executive or executive authority over the last five years. Score 10 if one chief executive has served during the periodScore 5 if 2–3 chief executives have servedScore 0 if more than 3 chief executives have served. Where an officer has held only additional/acting charge, record this separately.</v>
      </c>
    </row>
    <row r="10" customFormat="false" ht="124.5" hidden="false" customHeight="true" outlineLevel="0" collapsed="false">
      <c r="A10" s="8" t="s">
        <v>596</v>
      </c>
      <c r="B10" s="3" t="str">
        <f aca="false">VLOOKUP($B$1,'PARASTATAL Questions'!$A:$J,10,0)&amp;""</f>
        <v>Newspaper reports, Gazette notifications of appointment/transfer and website of relevant parastatal</v>
      </c>
    </row>
    <row r="11" customFormat="false" ht="15" hidden="false" customHeight="true" outlineLevel="0" collapsed="false">
      <c r="B11" s="11" t="s">
        <v>809</v>
      </c>
      <c r="I11" s="11" t="s">
        <v>1027</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1369</v>
      </c>
    </row>
    <row r="14" customFormat="false" ht="34.5" hidden="false" customHeight="true" outlineLevel="0" collapsed="false">
      <c r="A14" s="6" t="s">
        <v>26</v>
      </c>
      <c r="B14" s="6" t="s">
        <v>821</v>
      </c>
      <c r="C14" s="6" t="s">
        <v>1370</v>
      </c>
      <c r="D14" s="6" t="s">
        <v>1371</v>
      </c>
      <c r="E14" s="6" t="s">
        <v>1372</v>
      </c>
      <c r="H14" s="6" t="s">
        <v>1373</v>
      </c>
      <c r="I14" s="12"/>
      <c r="J14" s="6" t="str">
        <f aca="false">IF($B14="NO","NA",IF(I14="","",MIN(I14,$B$6)))</f>
        <v/>
      </c>
      <c r="K14" s="10" t="s">
        <v>1374</v>
      </c>
    </row>
    <row r="15" customFormat="false" ht="15" hidden="false" customHeight="true" outlineLevel="0" collapsed="false">
      <c r="A15" s="6" t="s">
        <v>32</v>
      </c>
      <c r="B15" s="6" t="s">
        <v>821</v>
      </c>
      <c r="I15" s="12"/>
      <c r="J15" s="6" t="str">
        <f aca="false">IF($B15="NO","NA",IF(I15="","",MIN(I15,$B$6)))</f>
        <v/>
      </c>
      <c r="K15" s="6" t="s">
        <v>1375</v>
      </c>
    </row>
    <row r="16" customFormat="false" ht="15" hidden="false" customHeight="true" outlineLevel="0" collapsed="false">
      <c r="A16" s="6" t="s">
        <v>38</v>
      </c>
      <c r="B16" s="6" t="s">
        <v>821</v>
      </c>
      <c r="C16" s="6" t="s">
        <v>1376</v>
      </c>
      <c r="D16" s="6" t="s">
        <v>1377</v>
      </c>
      <c r="E16" s="6" t="s">
        <v>1378</v>
      </c>
      <c r="F16" s="6" t="s">
        <v>1379</v>
      </c>
      <c r="G16" s="6" t="s">
        <v>1380</v>
      </c>
      <c r="H16" s="6" t="s">
        <v>178</v>
      </c>
      <c r="I16" s="12"/>
      <c r="J16" s="6" t="str">
        <f aca="false">IF($B16="NO","NA",IF(I16="","",MIN(I16,$B$6)))</f>
        <v/>
      </c>
      <c r="K16" s="6" t="s">
        <v>1381</v>
      </c>
    </row>
    <row r="17" customFormat="false" ht="38.25" hidden="false" customHeight="true" outlineLevel="0" collapsed="false">
      <c r="A17" s="6" t="s">
        <v>43</v>
      </c>
      <c r="B17" s="6" t="s">
        <v>821</v>
      </c>
      <c r="C17" s="6" t="s">
        <v>182</v>
      </c>
      <c r="D17" s="6" t="s">
        <v>1382</v>
      </c>
      <c r="E17" s="6" t="s">
        <v>1383</v>
      </c>
      <c r="F17" s="6" t="s">
        <v>1384</v>
      </c>
      <c r="G17" s="6" t="s">
        <v>825</v>
      </c>
      <c r="H17" s="6" t="s">
        <v>183</v>
      </c>
      <c r="I17" s="12"/>
      <c r="J17" s="6" t="str">
        <f aca="false">IF($B17="NO","NA",IF(I17="","",MIN(I17,$B$6)))</f>
        <v/>
      </c>
      <c r="K17" s="10" t="s">
        <v>1385</v>
      </c>
    </row>
    <row r="18" customFormat="false" ht="15" hidden="false" customHeight="true" outlineLevel="0" collapsed="false">
      <c r="A18" s="6" t="s">
        <v>46</v>
      </c>
      <c r="B18" s="6" t="s">
        <v>821</v>
      </c>
      <c r="I18" s="12"/>
      <c r="J18" s="6" t="str">
        <f aca="false">IF($B18="NO","NA",IF(I18="","",MIN(I18,$B$6)))</f>
        <v/>
      </c>
      <c r="K18" s="0" t="s">
        <v>1386</v>
      </c>
    </row>
    <row r="19" customFormat="false" ht="15" hidden="false" customHeight="true" outlineLevel="0" collapsed="false">
      <c r="A19" s="6" t="s">
        <v>48</v>
      </c>
      <c r="B19" s="6" t="s">
        <v>821</v>
      </c>
      <c r="C19" s="6" t="s">
        <v>260</v>
      </c>
      <c r="D19" s="0" t="s">
        <v>1387</v>
      </c>
      <c r="E19" s="0" t="s">
        <v>1388</v>
      </c>
      <c r="G19" s="0" t="s">
        <v>1389</v>
      </c>
      <c r="H19" s="6" t="s">
        <v>261</v>
      </c>
      <c r="I19" s="12"/>
      <c r="J19" s="6" t="str">
        <f aca="false">IF($B19="NO","NA",IF(I19="","",MIN(I19,$B$6)))</f>
        <v/>
      </c>
      <c r="K19" s="10" t="s">
        <v>1390</v>
      </c>
    </row>
  </sheetData>
  <dataValidations count="1">
    <dataValidation allowBlank="true" error="See the instruction above the 'Score' column." errorStyle="stop" operator="between" showDropDown="false" showErrorMessage="true" showInputMessage="false" sqref="I13:I19" type="decimal">
      <formula1>0</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529</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SC-7a</v>
      </c>
    </row>
    <row r="4" customFormat="false" ht="15" hidden="false" customHeight="true" outlineLevel="0" collapsed="false">
      <c r="A4" s="8" t="s">
        <v>561</v>
      </c>
      <c r="B4" s="3" t="str">
        <f aca="false">VLOOKUP($B$1,'PARASTATAL Questions'!$A:$J,4,0)&amp;""</f>
        <v>SQ</v>
      </c>
    </row>
    <row r="5" customFormat="false" ht="102" hidden="false" customHeight="true" outlineLevel="0" collapsed="false">
      <c r="A5" s="8" t="s">
        <v>0</v>
      </c>
      <c r="B5" s="3" t="str">
        <f aca="false">VLOOKUP($B$1,'PARASTATAL Questions'!$A:$J,5,0)&amp;""</f>
        <v>Does the parastatal have adequate staffing capacity to discharge its mandate?</v>
      </c>
    </row>
    <row r="6" customFormat="false" ht="15" hidden="false" customHeight="true" outlineLevel="0" collapsed="false">
      <c r="A6" s="8" t="s">
        <v>563</v>
      </c>
      <c r="B6" s="3" t="n">
        <f aca="false">VLOOKUP($B$1,'PARASTATAL Questions'!$A:$J,6,0)</f>
        <v>5</v>
      </c>
    </row>
    <row r="7" customFormat="false" ht="34.5" hidden="false" customHeight="true" outlineLevel="0" collapsed="false">
      <c r="A7" s="8" t="s">
        <v>562</v>
      </c>
      <c r="B7" s="3" t="str">
        <f aca="false">VLOOKUP($B$1,'PARASTATAL Questions'!$A:$J,7,0)&amp;""</f>
        <v>Implementation (Numeric)</v>
      </c>
    </row>
    <row r="8" customFormat="false" ht="45.75" hidden="false" customHeight="true" outlineLevel="0" collapsed="false">
      <c r="A8" s="8" t="s">
        <v>594</v>
      </c>
      <c r="B8" s="3" t="str">
        <f aca="false">VLOOKUP($B$1,'PARASTATAL Questions'!$A:$J,8,0)&amp;""</f>
        <v>Common — all parastatal types.</v>
      </c>
    </row>
    <row r="9" customFormat="false" ht="538.5" hidden="false" customHeight="true" outlineLevel="0" collapsed="false">
      <c r="A9" s="8" t="s">
        <v>595</v>
      </c>
      <c r="B9" s="3" t="str">
        <f aca="false">VLOOKUP($B$1,'PARASTATAL Questions'!$A:$J,9,0)&amp;""</f>
        <v>Collect the parastatal’s sanctioned and filled positions, including permanent and contractual staff where they form part of the approved staffing structure. Calculate the proportion of sanctioned positions that are filled.Score 5 – 90% or more of sanctioned positions filledScore 4 – 75%–89%Score 3 – 60%–74%Score 2 – 40%–59%Score 1 – below 40%Score 0 – no staffing data available / no evidence of sanctioned staffing structure</v>
      </c>
    </row>
    <row r="10" customFormat="false" ht="135.75" hidden="false" customHeight="true" outlineLevel="0" collapsed="false">
      <c r="A10" s="8" t="s">
        <v>596</v>
      </c>
      <c r="B10" s="3" t="str">
        <f aca="false">VLOOKUP($B$1,'PARASTATAL Questions'!$A:$J,10,0)&amp;""</f>
        <v>Staffing records on the website/ RTI  and/or formal data request with the parastatal/ annual report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C13" s="6" t="s">
        <v>850</v>
      </c>
      <c r="D13" s="6" t="s">
        <v>1391</v>
      </c>
      <c r="E13" s="6" t="s">
        <v>1392</v>
      </c>
      <c r="F13" s="6" t="s">
        <v>1393</v>
      </c>
      <c r="G13" s="6" t="s">
        <v>1394</v>
      </c>
      <c r="H13" s="6" t="s">
        <v>855</v>
      </c>
      <c r="I13" s="12" t="n">
        <v>3</v>
      </c>
      <c r="J13" s="6" t="n">
        <f aca="false">IF($B13="NO","NA",IF(I13="","",MIN(I13,$B$6)))</f>
        <v>3</v>
      </c>
      <c r="K13" s="6" t="s">
        <v>1395</v>
      </c>
    </row>
    <row r="14" customFormat="false" ht="15" hidden="false" customHeight="true" outlineLevel="0" collapsed="false">
      <c r="A14" s="6" t="s">
        <v>26</v>
      </c>
      <c r="B14" s="6" t="s">
        <v>821</v>
      </c>
      <c r="I14" s="12"/>
      <c r="J14" s="6" t="str">
        <f aca="false">IF($B14="NO","NA",IF(I14="","",MIN(I14,$B$6)))</f>
        <v/>
      </c>
      <c r="K14" s="6" t="s">
        <v>1396</v>
      </c>
    </row>
    <row r="15" customFormat="false" ht="15" hidden="false" customHeight="true" outlineLevel="0" collapsed="false">
      <c r="A15" s="6" t="s">
        <v>32</v>
      </c>
      <c r="B15" s="6" t="s">
        <v>821</v>
      </c>
      <c r="I15" s="12"/>
      <c r="J15" s="6" t="str">
        <f aca="false">IF($B15="NO","NA",IF(I15="","",MIN(I15,$B$6)))</f>
        <v/>
      </c>
      <c r="K15" s="6" t="s">
        <v>1397</v>
      </c>
    </row>
    <row r="16" customFormat="false" ht="15" hidden="false" customHeight="true" outlineLevel="0" collapsed="false">
      <c r="A16" s="6" t="s">
        <v>38</v>
      </c>
      <c r="B16" s="6" t="s">
        <v>821</v>
      </c>
      <c r="I16" s="12"/>
      <c r="J16" s="6" t="str">
        <f aca="false">IF($B16="NO","NA",IF(I16="","",MIN(I16,$B$6)))</f>
        <v/>
      </c>
      <c r="K16" s="6" t="s">
        <v>1398</v>
      </c>
    </row>
    <row r="17" customFormat="false" ht="236.25" hidden="false" customHeight="true" outlineLevel="0" collapsed="false">
      <c r="A17" s="6" t="s">
        <v>43</v>
      </c>
      <c r="B17" s="6" t="s">
        <v>821</v>
      </c>
      <c r="C17" s="6" t="s">
        <v>182</v>
      </c>
      <c r="D17" s="6" t="s">
        <v>1174</v>
      </c>
      <c r="E17" s="6" t="s">
        <v>1399</v>
      </c>
      <c r="F17" s="6" t="s">
        <v>1400</v>
      </c>
      <c r="G17" s="6" t="s">
        <v>830</v>
      </c>
      <c r="H17" s="6" t="s">
        <v>183</v>
      </c>
      <c r="I17" s="12"/>
      <c r="J17" s="6" t="str">
        <f aca="false">IF($B17="NO","NA",IF(I17="","",MIN(I17,$B$6)))</f>
        <v/>
      </c>
      <c r="K17" s="10" t="s">
        <v>1401</v>
      </c>
    </row>
    <row r="18" customFormat="false" ht="15" hidden="false" customHeight="true" outlineLevel="0" collapsed="false">
      <c r="A18" s="6" t="s">
        <v>46</v>
      </c>
      <c r="B18" s="6" t="s">
        <v>821</v>
      </c>
      <c r="I18" s="12"/>
      <c r="J18" s="6" t="str">
        <f aca="false">IF($B18="NO","NA",IF(I18="","",MIN(I18,$B$6)))</f>
        <v/>
      </c>
      <c r="K18" s="0" t="s">
        <v>1402</v>
      </c>
    </row>
    <row r="19" customFormat="false" ht="15" hidden="false" customHeight="true" outlineLevel="0" collapsed="false">
      <c r="A19" s="6" t="s">
        <v>48</v>
      </c>
      <c r="B19" s="6" t="s">
        <v>821</v>
      </c>
      <c r="I19" s="12"/>
      <c r="J19" s="6" t="str">
        <f aca="false">IF($B19="NO","NA",IF(I19="","",MIN(I19,$B$6)))</f>
        <v/>
      </c>
      <c r="K19" s="0" t="s">
        <v>1403</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6" width="28"/>
    <col collapsed="false" customWidth="true" hidden="false" outlineLevel="0" max="2" min="2" style="6" width="10"/>
    <col collapsed="false" customWidth="true" hidden="false" outlineLevel="0" max="3" min="3" style="6" width="30"/>
    <col collapsed="false" customWidth="true" hidden="false" outlineLevel="0" max="8" min="8" style="6" width="10"/>
    <col collapsed="false" customWidth="true" hidden="false" outlineLevel="0" max="9" min="9" style="6" width="40"/>
  </cols>
  <sheetData>
    <row r="1" customFormat="false" ht="15" hidden="false" customHeight="true" outlineLevel="0" collapsed="false">
      <c r="A1" s="6" t="s">
        <v>807</v>
      </c>
      <c r="B1" s="6" t="s">
        <v>539</v>
      </c>
      <c r="C1" s="6" t="s">
        <v>808</v>
      </c>
    </row>
    <row r="2" customFormat="false" ht="23.25" hidden="false" customHeight="true" outlineLevel="0" collapsed="false">
      <c r="A2" s="8" t="s">
        <v>560</v>
      </c>
      <c r="B2" s="3" t="str">
        <f aca="false">VLOOKUP($B$1,'PARASTATAL Questions'!$A:$J,3,0)&amp;""</f>
        <v>State Capacities</v>
      </c>
    </row>
    <row r="3" customFormat="false" ht="15" hidden="false" customHeight="true" outlineLevel="0" collapsed="false">
      <c r="A3" s="8" t="s">
        <v>593</v>
      </c>
      <c r="B3" s="3" t="str">
        <f aca="false">VLOOKUP($B$1,'PARASTATAL Questions'!$A:$J,2,0)&amp;""</f>
        <v>SC-7b</v>
      </c>
    </row>
    <row r="4" customFormat="false" ht="15" hidden="false" customHeight="true" outlineLevel="0" collapsed="false">
      <c r="A4" s="8" t="s">
        <v>561</v>
      </c>
      <c r="B4" s="3" t="str">
        <f aca="false">VLOOKUP($B$1,'PARASTATAL Questions'!$A:$J,4,0)&amp;""</f>
        <v>SQ</v>
      </c>
    </row>
    <row r="5" customFormat="false" ht="79.5" hidden="false" customHeight="true" outlineLevel="0" collapsed="false">
      <c r="A5" s="8" t="s">
        <v>0</v>
      </c>
      <c r="B5" s="3" t="str">
        <f aca="false">VLOOKUP($B$1,'PARASTATAL Questions'!$A:$J,5,0)&amp;""</f>
        <v>What proportion of the parastatal's workforce is women?</v>
      </c>
    </row>
    <row r="6" customFormat="false" ht="15" hidden="false" customHeight="true" outlineLevel="0" collapsed="false">
      <c r="A6" s="8" t="s">
        <v>563</v>
      </c>
      <c r="B6" s="3" t="n">
        <f aca="false">VLOOKUP($B$1,'PARASTATAL Questions'!$A:$J,6,0)</f>
        <v>5</v>
      </c>
    </row>
    <row r="7" customFormat="false" ht="34.5" hidden="false" customHeight="true" outlineLevel="0" collapsed="false">
      <c r="A7" s="8" t="s">
        <v>562</v>
      </c>
      <c r="B7" s="3" t="str">
        <f aca="false">VLOOKUP($B$1,'PARASTATAL Questions'!$A:$J,7,0)&amp;""</f>
        <v>Implementation (Numeric)</v>
      </c>
    </row>
    <row r="8" customFormat="false" ht="45.75" hidden="false" customHeight="true" outlineLevel="0" collapsed="false">
      <c r="A8" s="8" t="s">
        <v>594</v>
      </c>
      <c r="B8" s="3" t="str">
        <f aca="false">VLOOKUP($B$1,'PARASTATAL Questions'!$A:$J,8,0)&amp;""</f>
        <v>Common — all parastatal types.</v>
      </c>
    </row>
    <row r="9" customFormat="false" ht="684" hidden="false" customHeight="true" outlineLevel="0" collapsed="false">
      <c r="A9" s="8" t="s">
        <v>595</v>
      </c>
      <c r="B9" s="3" t="str">
        <f aca="false">VLOOKUP($B$1,'PARASTATAL Questions'!$A:$J,9,0)&amp;""</f>
        <v>Compute women employees as a proportion of total filled posts using the latest available staffing data. % women in workforce = (Number of women employees ÷ Total filled posts) × 100, using the latest available staffing data.Scoring bands:Score 5 — women constitute ≥33% of the workforceScore 2.5 — women constitute 15–32% of the workforceScore 0 — women constitute &lt;15% of the workforceAlso record, wherever available, the proportion of women in senior/decision-making positions and technical/professional cadres.</v>
      </c>
    </row>
    <row r="10" customFormat="false" ht="135.75" hidden="false" customHeight="true" outlineLevel="0" collapsed="false">
      <c r="A10" s="8" t="s">
        <v>596</v>
      </c>
      <c r="B10" s="3" t="str">
        <f aca="false">VLOOKUP($B$1,'PARASTATAL Questions'!$A:$J,10,0)&amp;""</f>
        <v>Staffing records on the website/ RTI  and/or formal data request with the parastatal/ annual report</v>
      </c>
    </row>
    <row r="11" customFormat="false" ht="15" hidden="false" customHeight="true" outlineLevel="0" collapsed="false">
      <c r="B11" s="11" t="s">
        <v>809</v>
      </c>
      <c r="I11" s="11" t="s">
        <v>810</v>
      </c>
      <c r="J11" s="11" t="s">
        <v>811</v>
      </c>
    </row>
    <row r="12" customFormat="false" ht="51.75" hidden="false" customHeight="true" outlineLevel="0" collapsed="false">
      <c r="A12" s="1" t="s">
        <v>583</v>
      </c>
      <c r="B12" s="1" t="s">
        <v>812</v>
      </c>
      <c r="C12" s="1" t="s">
        <v>813</v>
      </c>
      <c r="D12" s="1" t="s">
        <v>814</v>
      </c>
      <c r="E12" s="1" t="s">
        <v>815</v>
      </c>
      <c r="F12" s="1" t="s">
        <v>816</v>
      </c>
      <c r="G12" s="1" t="s">
        <v>817</v>
      </c>
      <c r="H12" s="1" t="s">
        <v>12</v>
      </c>
      <c r="I12" s="1" t="s">
        <v>818</v>
      </c>
      <c r="J12" s="1" t="s">
        <v>819</v>
      </c>
      <c r="K12" s="1" t="s">
        <v>820</v>
      </c>
    </row>
    <row r="13" customFormat="false" ht="15" hidden="false" customHeight="true" outlineLevel="0" collapsed="false">
      <c r="A13" s="6" t="s">
        <v>17</v>
      </c>
      <c r="B13" s="6" t="s">
        <v>821</v>
      </c>
      <c r="I13" s="12"/>
      <c r="J13" s="6" t="str">
        <f aca="false">IF($B13="NO","NA",IF(I13="","",MIN(I13,$B$6)))</f>
        <v/>
      </c>
      <c r="K13" s="6" t="s">
        <v>1404</v>
      </c>
    </row>
    <row r="14" customFormat="false" ht="15" hidden="false" customHeight="true" outlineLevel="0" collapsed="false">
      <c r="A14" s="6" t="s">
        <v>26</v>
      </c>
      <c r="B14" s="6" t="s">
        <v>821</v>
      </c>
      <c r="I14" s="12"/>
      <c r="J14" s="6" t="str">
        <f aca="false">IF($B14="NO","NA",IF(I14="","",MIN(I14,$B$6)))</f>
        <v/>
      </c>
      <c r="K14" s="6" t="s">
        <v>1405</v>
      </c>
    </row>
    <row r="15" customFormat="false" ht="15" hidden="false" customHeight="true" outlineLevel="0" collapsed="false">
      <c r="A15" s="6" t="s">
        <v>32</v>
      </c>
      <c r="B15" s="6" t="s">
        <v>821</v>
      </c>
      <c r="I15" s="12"/>
      <c r="J15" s="6" t="str">
        <f aca="false">IF($B15="NO","NA",IF(I15="","",MIN(I15,$B$6)))</f>
        <v/>
      </c>
      <c r="K15" s="6" t="s">
        <v>1406</v>
      </c>
    </row>
    <row r="16" customFormat="false" ht="15" hidden="false" customHeight="true" outlineLevel="0" collapsed="false">
      <c r="A16" s="6" t="s">
        <v>38</v>
      </c>
      <c r="B16" s="6" t="s">
        <v>821</v>
      </c>
      <c r="I16" s="12"/>
      <c r="J16" s="6" t="str">
        <f aca="false">IF($B16="NO","NA",IF(I16="","",MIN(I16,$B$6)))</f>
        <v/>
      </c>
      <c r="K16" s="6" t="s">
        <v>1407</v>
      </c>
    </row>
    <row r="17" customFormat="false" ht="15" hidden="false" customHeight="true" outlineLevel="0" collapsed="false">
      <c r="A17" s="6" t="s">
        <v>43</v>
      </c>
      <c r="B17" s="6" t="s">
        <v>821</v>
      </c>
      <c r="I17" s="12"/>
      <c r="J17" s="6" t="str">
        <f aca="false">IF($B17="NO","NA",IF(I17="","",MIN(I17,$B$6)))</f>
        <v/>
      </c>
      <c r="K17" s="6" t="s">
        <v>1408</v>
      </c>
    </row>
    <row r="18" customFormat="false" ht="15" hidden="false" customHeight="true" outlineLevel="0" collapsed="false">
      <c r="A18" s="6" t="s">
        <v>46</v>
      </c>
      <c r="B18" s="6" t="s">
        <v>821</v>
      </c>
      <c r="I18" s="12"/>
      <c r="J18" s="6" t="str">
        <f aca="false">IF($B18="NO","NA",IF(I18="","",MIN(I18,$B$6)))</f>
        <v/>
      </c>
      <c r="K18" s="0" t="s">
        <v>1409</v>
      </c>
    </row>
    <row r="19" customFormat="false" ht="15" hidden="false" customHeight="true" outlineLevel="0" collapsed="false">
      <c r="A19" s="6" t="s">
        <v>48</v>
      </c>
      <c r="B19" s="6" t="s">
        <v>821</v>
      </c>
      <c r="I19" s="12"/>
      <c r="J19" s="6" t="str">
        <f aca="false">IF($B19="NO","NA",IF(I19="","",MIN(I19,$B$6)))</f>
        <v/>
      </c>
      <c r="K19" s="0" t="s">
        <v>1410</v>
      </c>
    </row>
  </sheetData>
  <dataValidations count="1">
    <dataValidation allowBlank="true" error="See the instruction above the 'Score' column." errorStyle="stop" operator="between" showDropDown="false" showErrorMessage="true" showInputMessage="false" sqref="I13:I19" type="decimal">
      <formula1>0</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LibreOffice/26.8.1.1$MacOSX_AARCH64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2026-10-08T11:34:51Z</dcterms:created>
  <dc:creator>openpyxl</dc:creator>
  <dc:description/>
  <dc:language>en-IN</dc:language>
  <cp:lastModifiedBy/>
  <dcterms:modified xsi:type="dcterms:W3CDTF">2026-10-13T05:56:42Z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