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7.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41.xml" ContentType="application/vnd.openxmlformats-officedocument.spreadsheetml.worksheet+xml"/>
  <Override PartName="/xl/worksheets/sheet6.xml" ContentType="application/vnd.openxmlformats-officedocument.spreadsheetml.worksheet+xml"/>
  <Override PartName="/xl/worksheets/sheet37.xml" ContentType="application/vnd.openxmlformats-officedocument.spreadsheetml.worksheet+xml"/>
  <Override PartName="/xl/worksheets/sheet29.xml" ContentType="application/vnd.openxmlformats-officedocument.spreadsheetml.worksheet+xml"/>
  <Override PartName="/xl/worksheets/sheet19.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9.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33.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4.xml" ContentType="application/vnd.openxmlformats-officedocument.spreadsheetml.worksheet+xml"/>
  <Override PartName="/xl/worksheets/sheet13.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16.xml" ContentType="application/vnd.openxmlformats-officedocument.spreadsheetml.worksheet+xml"/>
  <Override PartName="/xl/worksheets/sheet47.xml" ContentType="application/vnd.openxmlformats-officedocument.spreadsheetml.worksheet+xml"/>
  <Override PartName="/xl/worksheets/sheet40.xml" ContentType="application/vnd.openxmlformats-officedocument.spreadsheetml.worksheet+xml"/>
  <Override PartName="/xl/worksheets/sheet44.xml" ContentType="application/vnd.openxmlformats-officedocument.spreadsheetml.worksheet+xml"/>
  <Override PartName="/xl/worksheets/sheet23.xml" ContentType="application/vnd.openxmlformats-officedocument.spreadsheetml.worksheet+xml"/>
  <Override PartName="/xl/worksheets/sheet42.xml" ContentType="application/vnd.openxmlformats-officedocument.spreadsheetml.worksheet+xml"/>
  <Override PartName="/xl/worksheets/sheet28.xml" ContentType="application/vnd.openxmlformats-officedocument.spreadsheetml.worksheet+xml"/>
  <Override PartName="/xl/worksheets/sheet10.xml" ContentType="application/vnd.openxmlformats-officedocument.spreadsheetml.worksheet+xml"/>
  <Override PartName="/xl/worksheets/sheet43.xml" ContentType="application/vnd.openxmlformats-officedocument.spreadsheetml.worksheet+xml"/>
  <Override PartName="/xl/worksheets/sheet46.xml" ContentType="application/vnd.openxmlformats-officedocument.spreadsheetml.worksheet+xml"/>
  <Override PartName="/xl/worksheets/sheet32.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cores (start here)" sheetId="1" state="visible" r:id="rId3"/>
    <sheet name="Check before use" sheetId="2" state="visible" r:id="rId4"/>
    <sheet name="PARASTATAL_SUMMARY_RAW" sheetId="3" state="visible" r:id="rId5"/>
    <sheet name="PARASTATAL_CITY_SCORES" sheetId="4" state="visible" r:id="rId6"/>
    <sheet name="PARASTATAL Questions" sheetId="5" state="visible" r:id="rId7"/>
    <sheet name="UPD1a" sheetId="6" state="visible" r:id="rId8"/>
    <sheet name="UPD1b" sheetId="7" state="visible" r:id="rId9"/>
    <sheet name="UPD2a" sheetId="8" state="visible" r:id="rId10"/>
    <sheet name="UPD2b" sheetId="9" state="visible" r:id="rId11"/>
    <sheet name="UPD2c" sheetId="10" state="visible" r:id="rId12"/>
    <sheet name="UPD2d" sheetId="11" state="visible" r:id="rId13"/>
    <sheet name="UPD3a" sheetId="12" state="visible" r:id="rId14"/>
    <sheet name="UPD3b" sheetId="13" state="visible" r:id="rId15"/>
    <sheet name="UPD4a" sheetId="14" state="visible" r:id="rId16"/>
    <sheet name="UPD4b" sheetId="15" state="visible" r:id="rId17"/>
    <sheet name="UPD5a" sheetId="16" state="visible" r:id="rId18"/>
    <sheet name="UPD5b" sheetId="17" state="visible" r:id="rId19"/>
    <sheet name="UPD6a" sheetId="18" state="visible" r:id="rId20"/>
    <sheet name="UPD6b" sheetId="19" state="visible" r:id="rId21"/>
    <sheet name="DPG1a" sheetId="20" state="visible" r:id="rId22"/>
    <sheet name="DPG1b" sheetId="21" state="visible" r:id="rId23"/>
    <sheet name="DPG2a" sheetId="22" state="visible" r:id="rId24"/>
    <sheet name="DPG2b" sheetId="23" state="visible" r:id="rId25"/>
    <sheet name="DPG4" sheetId="24" state="visible" r:id="rId26"/>
    <sheet name="DPG5a" sheetId="25" state="visible" r:id="rId27"/>
    <sheet name="DPG5b" sheetId="26" state="visible" r:id="rId28"/>
    <sheet name="DPG5c" sheetId="27" state="visible" r:id="rId29"/>
    <sheet name="DPG5d" sheetId="28" state="visible" r:id="rId30"/>
    <sheet name="DPG5f" sheetId="29" state="visible" r:id="rId31"/>
    <sheet name="DPG5g" sheetId="30" state="visible" r:id="rId32"/>
    <sheet name="DPG5h" sheetId="31" state="visible" r:id="rId33"/>
    <sheet name="DPG5i" sheetId="32" state="visible" r:id="rId34"/>
    <sheet name="DPG5j" sheetId="33" state="visible" r:id="rId35"/>
    <sheet name="DPG5k" sheetId="34" state="visible" r:id="rId36"/>
    <sheet name="DPG6a" sheetId="35" state="visible" r:id="rId37"/>
    <sheet name="DPG6b" sheetId="36" state="visible" r:id="rId38"/>
    <sheet name="DPG7a" sheetId="37" state="visible" r:id="rId39"/>
    <sheet name="DPG7b" sheetId="38" state="visible" r:id="rId40"/>
    <sheet name="SC1" sheetId="39" state="visible" r:id="rId41"/>
    <sheet name="SC2" sheetId="40" state="visible" r:id="rId42"/>
    <sheet name="SC3" sheetId="41" state="visible" r:id="rId43"/>
    <sheet name="SC4a" sheetId="42" state="visible" r:id="rId44"/>
    <sheet name="SC4b" sheetId="43" state="visible" r:id="rId45"/>
    <sheet name="SC5" sheetId="44" state="visible" r:id="rId46"/>
    <sheet name="SC6" sheetId="45" state="visible" r:id="rId47"/>
    <sheet name="SC7a" sheetId="46" state="visible" r:id="rId48"/>
    <sheet name="SC7b" sheetId="47" state="visible" r:id="rId49"/>
  </sheets>
  <definedNames>
    <definedName function="false" hidden="true" localSheetId="0" name="_xlnm._FilterDatabase" vbProcedure="false">'Scores (start here)'!$A$1:$R$156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<sst xmlns="http://schemas.openxmlformats.org/spreadsheetml/2006/main" count="4264" uniqueCount="1013">
  <si>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</si>
  <si>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</si>
  <si>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</si>
  <si>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</si>
  <si>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</si>
  <si>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</si>
  <si>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</si>
  <si>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</si>
  <si>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Final score</t>
  </si>
  <si>
    <t xml:space="preserve">Score used</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</si>
  <si>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</si>
  <si>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</si>
  <si>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</si>
  <si>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</si>
  <si>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</si>
  <si>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</si>
  <si>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</si>
  <si>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</si>
  <si>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UPD1a</t>
  </si>
  <si>
    <t xml:space="preserve">Bengaluru – BWSSB</t>
  </si>
  <si>
    <t xml:space="preserve">Is the parastatal mandated to prepare its spatial and/or sectoral plans in coordination with the ULG(s) within its jurisdiction?</t>
  </si>
  <si>
    <t xml:space="preserve">5</t>
  </si>
  <si>
    <t xml:space="preserve">Scored by AI</t>
  </si>
  <si>
    <t xml:space="preserve">Answered — Verified Source</t>
  </si>
  <si>
    <t xml:space="preserve">No law in the Citation Sheet requires BWSSB to prepare its plans in coordination with the ULG. BWSSB writes its own schemes under the Bangalore Water Supply and Sewerage Act, 1964 (BWSSB Act), and the only approval it needs is from the State Government. The ULG here is the Greater Bengaluru Authority (GBA) and its City Corporations.
(1) The BWSSB Act, Section 15(2)(b)-(c), makes it the Board's duty to prepare and carry out schemes for water supply and for sewerage. Under the proviso to Section 15(2), any scheme costing more than one crore rupees needs approval from the State Government. The Act does not require the Board to consult the Corporation or get its concurrence on these schemes.
(2) The only link to the Corporation is the Consultative Committee under Section 14. The State Government 'shall' set it up, and its role is 'to advise the Board on major questions of policy and major schemes'. But the State Government picks the non-Board members after consulting bodies representing interests such as the Municipal Corporation only 'as the State Government thinks fit'. So whether the Corporation has any input is up to the State Government, and the Board does not have to respond to the Committee's advice.
(3) The Greater Bengaluru Governance Act, 2024 makes the GBA the 'Planning Authority' under the Karnataka Town and Country Planning Act (Section 14(2)(a)) and the 'coordinator' among agencies (Section 8(3)). Section 14(4) gives it the power of 'integrating and supervising t</t>
  </si>
  <si>
    <t xml:space="preserve">THE BANGALORE WATER SUPPLY AND SEWERAGE ACT, 1964 (FAOLEX PDF) [BWSSB-04]</t>
  </si>
  <si>
    <t xml:space="preserve">https://faolex.fao.org/docs/pdf/ind201320.pdf</t>
  </si>
  <si>
    <t xml:space="preserve">The State Government shall constitute a Consultative Committee consisting of members of the Board and such other persons being not less than three and not more than nine as the State Government may appoint after consultation with such representatives or bodies representative of the following interests as the State Government thinks fit, that is to say, the Municipal Corporation of the City of Bangalore, the Bangalore City Improvement Trust Board and consumers of water.</t>
  </si>
  <si>
    <t xml:space="preserve">I propose 1.25 out of 5. That is the methodology's 'consultation is discretionary' level (2.5 out of 10), scaled down to this question's maximum of 5. It is not a 'no formal role' 0, but that is a close call.
What I checked against the sources:
(1) BWSSB plans on its own. Under the BWSSB Act, Section 15(2)(b)-(c), it is the Board's duty to prepare and carry out water and sewerage schemes. The only approval required is from the State Government, for schemes costing over one crore rupees (proviso to Section 15(2)). The Act does not require ULG approval, joint preparation or consultation.
(2) The only ULG link is the Consultative Committee under Section 14. The State Government 'shall' set it up, and under Section 14(4)(i) it advises 'on major questions of policy and major schemes'. But the Municipal Corporation is consulted on members only 'as the State Government thinks fit'. The Board has no duty to incorporate the Committee's advice or respond to it. So any ULG input is discretionary.
(3) The Greater Bengaluru Governance Act, 2024 (BWSSB-29) gives the GBA general powers over BWSSB. Section 14(4) lets it integrate and supervise BWSSB with binding directions. Section 14(3)(b) lets it coordinate the execution of schemes that implement GBA plans. Under Section 15(5), the GBA 'may assign the task of planning the major infrastructural projects' to public authorities. These are general supervision and coordination powers. None of them requires BWSSB to prepare its own water or sewerage plans jointly with, with the approval of, or after consulting the GBA or the City Corporations. Also, the GBA is chaired by the Chief Minister and is mostly made up of State ministers, so treating it as the ULG is debatable.
(4) The Karnataka Town and Country Planning Act (BWSSB-28), as summarised in Step 2, gives BWSSB no planning role.
What a reviewer should check:
(a) Whether the workbook expects the 10-point bands to be scaled to the maximum of 5. I scaled proportionally.
(b) Whether a stricter reading should give 0, since the ULG has no statutory role in BWSSB's schemes themselves.
(c) Whether the GBA's binding-direction power should be treated as ULG concurrence. I did not treat it that way.
(d) My copy of the BWSSB Act (FAOLEX) shows amendments only up to 1984. Check for later amendments or rules adding a consultation or concurrence requirement, and confirm whether the 2025 Amendment Bill to the Greater Bengaluru Governance Act (BWSSB-30) has been enacted.</t>
  </si>
  <si>
    <t xml:space="preserve">Bengaluru – BMTC</t>
  </si>
  <si>
    <t xml:space="preserve">Left for a person</t>
  </si>
  <si>
    <t xml:space="preserve">Partially Answered</t>
  </si>
  <si>
    <t xml:space="preserve">None of the sources provided requires BMTC to prepare its plans together with the city government (the Greater Bengaluru Authority and its city corporations, formerly BBMP). The most relevant law is the Bengaluru Metropolitan Land Transport Authority (BMLTA) Act, 2022. Under Section 2(ff) of that Act, BMTC counts as an 'Urban Transport Agency', which covers both public and private agencies providing urban mobility. Its sectoral plan (the 'Sectoral Mobility Investment Program') must follow the Comprehensive Mobility Plan and 'shall be prepared in consultation with the Authority' (Section 24(a)-(b)). The Authority can then fold it into the City Mobility Investment Program 'with or without modification' (Section 24(c)). Section 25 adds that agencies must prepare Annual Implementation Plans, which the Authority reviews and approves. The 2025 amendment to Section 4 puts the city corporation Mayors and Commissioners and the Greater Bengaluru Authority's Chief Town Planner on the Authority. The city government therefore has only an indirect say, as members of a state-chaired body; the Act creates no direct duty for BMTC to consult the city government or get its approval. The Karnataka Town and Country Planning Act, 1961 is about master plans prepared by Planning Authorities (Sections 9 and 12, and Section 81-C for the Bangalore Metropolitan Region). In the excerpts reviewed, it gives no role in transport plans to the city government. Section 22 of the BMLTA Act also deals only with </t>
  </si>
  <si>
    <t xml:space="preserve">The AI call failed: run Step 3 again. error: AnthropicInvalidRequestError</t>
  </si>
  <si>
    <t xml:space="preserve">Bengaluru – BDA</t>
  </si>
  <si>
    <t xml:space="preserve">Under the BDA Act, 1976, the Corporation (the ULG) must be formally consulted on BDA's development schemes, and BDA must consider its response. This fits the 7.5 band (on the methodology's 0–10 scale): formal consultation is mandatory and the ULG's response must be considered. Section 17(2) says a copy of the notification of every development scheme 'shall be sent to the Corporation'. The Corporation then has thirty days to send any representation 'which the Corporation may think fit to make with regard to the scheme'. Section 17(4) treats the Corporation's concurrence as given if it sends no representation in time. Section 18(1) requires BDA to submit the scheme to the Government 'after consideration of representations', and clause (d) requires it to attach 'any representation received under sub-section (2) of section 17'. The Corporation does not have a binding approval or veto over the plan. BDA may make 'such modifications therein as it may think fit', and under section 18(3) only the Government sanctions the scheme. Because no ULG approval or joint preparation is required, the 10 band does not apply. The one case where the Corporation's concurrence is binding is section 32(1), on sanctioning layouts or extensions inside Corporation limits. That covers permits for private layouts, not BDA's own plans. The Karnataka Town and Country Planning Act (sections 9, 10 and 13, as substituted in 2005) gives the local body no specific role in preparing or approving the Master Plan. </t>
  </si>
  <si>
    <t xml:space="preserve">The Bangalore Development Authority Act, 1976 (Karnataka Act 12 of 1976) – consolidated text with amendments, PRS Legislative Research [BDA-02]</t>
  </si>
  <si>
    <t xml:space="preserve">https://prsindia.org/files/bills_acts/acts_states/karnataka/1976/1976Karnataka12.pdf</t>
  </si>
  <si>
    <t xml:space="preserve">(2)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</si>
  <si>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I proposed 3.75 out of 5. That is the 7.5 band on the methodology's 10-point scale, scaled down because this question's maximum is 5. I checked this against the BDA Act text in BDA-02.
(1) Section 17(2) makes formal consultation mandatory. A copy of every development scheme notification 'shall be sent to the Corporation', and the Corporation then has 30 days to send its representation.
(2) BDA must consider the Corporation's response. Under Section 18(1), BDA submits the scheme to the Government only 'after consideration of representations', and clause (d) requires it to attach 'any representation received under sub-section (2) of section 17'. So the response must be considered and placed before the Government. That fits the 7.5 band rather than 5.
(3) The 10 band does not apply. The Corporation has no approval, veto or joint-preparation role. BDA may modify the scheme 'as it may think fit', and only the Government sanctions it (Section 18(3)). The 'deemed concurrence' wording in Section 17(4) hints that the Corporation's concurrence is sought, but nothing in the Act makes that concurrence binding. A reviewer could argue for a higher score on this point.
(4) The Corporation's concurrence is binding in one place: the first proviso to Section 32(1). That covers BDA sanctioning private layouts or extensions inside Corporation limits, not BDA's own plans, so I did not use it for this score.
(5) Under the Karnataka Town and Country Planning Act (BDA-03), the 2005 versions of Sections 9 and 10 give the local body no specific role in preparing the Master Plan. They provide for public suggestions, submission through the Director, and approval by the State Government. Section 10(3) only says the boundary plan is to be kept open for public inspection at the Planning Authority or Local Authority office. On the master plan alone, the score would be close to 0.
(6) According to the Step 2 notes, Section 14(2)(a) of the Greater Bengaluru Governance Act (BDA-11) makes the Greater Bengaluru Authority the Planning Authority for the Greater Bengaluru Area. I did not re-read BDA-11 myself. If that is right, BDA's master-plan role there may have moved to the new authority, and the consultation requirement mainly covers BDA's development schemes.
For a reviewer to check:
(a) Whether the workbook expects this 10-to-5 scaling (3.75) or some other conversion.
(b) The current wording of Sections 17 and 18. BDA-02 is a PRS consolidated copy and may not include amendments from 2024–25.
(c) Whether the 'Corporation' named in the BDA Act now means the city corporations created under the Greater Bengaluru Governance Act.</t>
  </si>
  <si>
    <t xml:space="preserve">Bengaluru – BMRCL</t>
  </si>
  <si>
    <t xml:space="preserve">None of the sources on the Citation Sheet requires BMRCL to prepare its plans with the city government (the Greater Bengaluru Authority and its City Corporations), whether by consulting it, getting its agreement, or preparing plans jointly. BMRCL is a government company under the Companies Act, 2013, jointly owned 50:50 by the Government of India and Government of Karnataka (Annual Report 2020-21). No Act creates BMRCL or sets out how it must plan. Two Acts come closest:
(1) Greater Bengaluru Governance Act, 2024, s.14(4). The Greater Bengaluru Authority integrates and supervises named public authorities, including BMRCL, and can issue binding directions to them. Those authorities "shall cooperate" with it and "obey its directions". Under s.15(1) the Greater Bengaluru Authority "shall" make the master plan and mobility plans for the area. Under s.15(5) it "may" give agencies the task of planning major infrastructure projects, and the agencies "shall be bound to assist". This is a general, mandatory power to coordinate and direct BMRCL. It is not a specific rule that BMRCL must consult the city government on, or get its approval for, BMRCL's own plans.
(2) Bengaluru Metropolitan Land Transport Authority Act, 2022, s.21(2) proviso. Any other authority planning urban mobility, such as BMRCL, "shall necessarily consult the Authority and take its suggestions and inputs into account". Here "the Authority" is the state-level Bengaluru Metropolitan Land Transport Authority (BMLTA),</t>
  </si>
  <si>
    <t xml:space="preserve">The Greater Bengaluru Governance Act, 2024, Act No. 36 of 2025 (PRS India copy) [BMRCL-34]</t>
  </si>
  <si>
    <t xml:space="preserve">https://prsindia.org/files/bills_acts/acts_states/karnataka/2025/Act36of2025KA.pdf</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</si>
  <si>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</si>
  <si>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I scored 0 ("no formal role"). Nothing on the Citation Sheet requires BMRCL to prepare its plans with the city government (ULG), whether by joint preparation, by getting its agreement, or by consulting it.
(1) No Act creates BMRCL or sets out how it plans. It is a company under the Companies Act, jointly owned by the Government of India and Government of Karnataka (BMRCL-01). The Metro Railways (Operation and Maintenance) Act, 2002 (BMRCL-15) does not mention consulting local bodies on plans.
(2) Greater Bengaluru Governance Act (BMRCL-34):
- s.14(4) lets the Greater Bengaluru Authority supervise BMRCL and give it binding directions. BMRCL "shall cooperate" and obey.
- s.15(1): the Authority makes the master plan and mobility plans.
- s.15(5): the Authority "may" ask agencies to plan major projects, and they "shall be bound to assist".
This is a general power for the Authority to coordinate and direct BMRCL. It is not a rule that BMRCL must consult the ULG on, or get its approval for, BMRCL's own plans. Also, the Authority is chaired by the Chief Minister and run by an officer the state appoints (s.9 and s.10), so it is not clearly a ULG. The ULGs are the City Corporations.
(3) BMLTA Act, s.21(2) proviso (BMRCL-35): any other authority planning urban mobility "shall necessarily consult the Authority and take its suggestions and inputs into account". "The Authority" here is BMLTA, a state body, not a ULG. Mayors and Commissioners sit on BMLTA, but that involves the city government only indirectly.
(4) Neither the Karnataka Town and Country Planning Act (BMRCL-31) nor the Metro Rail Policy 2017 (BMRCL-18) sets any planning duty between BMRCL and the ULG. The Policy's wording is only advice.
I agree with Step 2's strict reading.
For reviewers:
- How the scale converts to marks. The methodology scores out of 10 but the question's maximum is 5, so I assume the scale is halved. That makes no difference at 0.
- Whether the Authority's binding-direction power, or BMLTA's mandatory-consultation proviso, should count as a ULG role. If so, partial credit could be argued, roughly the 7.5 band halved to 3.75. I don't think either counts.
- Missing documents. BMRCL's Memorandum and Articles of Association and any government orders on BMRCL's planning are not on the Citation Sheet.
- Source quality. BMRCL-34 is a PRS copy, not the official gazette.</t>
  </si>
  <si>
    <t xml:space="preserve">Bengaluru – BMRDA</t>
  </si>
  <si>
    <t xml:space="preserve">No. The BMRDA Act does not require BMRDA to prepare its plans with the city government (ULG). Section 9(1)(ii) makes it BMRDA's function "to prepare a structure plan for the development of the Bangalore Metropolitan Region", and the Act sets no procedure for that plan. It does not require the city government to approve, agree to or jointly prepare the plan. It does not require BMRDA to consult the city government, or say that BMRDA "may" do so. The Act's other links to local bodies run the other way. BMRDA may hand plans to a local authority to carry out (s.9(1)(viii)). It coordinates the old Bangalore city corporation and other bodies (s.9(1)(ix)). Its development permission comes before any local authority's (s.10). It can give directions that local bodies must follow (s.18). Section 31 adds Section 81-C to the Karnataka Town and Country Planning (T&amp;CP) Act. Under 81-C, Planning Authorities in the region send their outline and comprehensive development plans to the State Government through BMRDA, which acts as Director of Town Planning for them. This makes BMRDA a reviewer of local plans; it gives local bodies no role in BMRDA's own plans. The Mayor of the old Bangalore city corporation sits on the Authority (s.3(3)(d)). That is board membership, not a required consultation on plans. Under the BMRDA Act alone, this is the 0 band ("no formal role"). The T&amp;CP Act's own text is not in the Citation Sheet, so the score is provisional.</t>
  </si>
  <si>
    <t xml:space="preserve">The Bangalore Metropolitan Region Development Authority Act, 1985 (Karnataka Act 39 of 1985), full text with amendments (PDF hosted by India Water Portal) [BMRDA-08]</t>
  </si>
  <si>
    <t xml:space="preserve">https://prod-qt-images.s3.amazonaws.com/indiawaterportal/import/sites/default/files/iwp2/Bangalore_Metropolitan_Region_Development_Authority_Act_Bangalore_Metropolitan_Region_Development_Authority_1985.pdf</t>
  </si>
  <si>
    <t xml:space="preserve">9.  Powers and functions of the Authority.- (1) Subject to the provisions 
of this Act and the rules made thereunder the functions of the Authority shall 
be,- 
 (i) to carry out a survey of the Bangalore Metropolitan Region and 
prepare reports on the surveys so carried out; 
 (ii) to prepare a structure plan for the development of the Bangalore 
Metropolitan Region;</t>
  </si>
  <si>
    <t xml:space="preserve">Score 0 (no formal role for the city government in BMRDA's plans). I checked the BMRDA Act, 1985 (BMRDA-08) against the Step 2 answer, and it holds up. Section 9(1)(ii) gives BMRDA the job of preparing a structure plan for the Bangalore Metropolitan Region. The Act sets no procedure for that plan. It does not require the city government to approve, agree to or jointly prepare it, and it neither requires consultation ('shall') nor allows it ('may'). Every other link between BMRDA and local bodies runs from BMRDA down to them. BMRDA may hand the carrying out of a development plan or town planning scheme to a local authority (s.9(1)(viii)). It coordinates the activities of the Bangalore City Corporation, BDA, BWSSB and other bodies (s.9(1)(ix)). Local authorities cannot grant development permission until BMRDA has (s.10(2)). BMRDA can issue directions that bodies must follow (s.18). Section 31 inserts Section 81-C into the Karnataka Town and Country Planning (T&amp;CP) Act. Under 81-C, Planning Authorities send their development plans to the State Government through BMRDA, which acts as Director of Town Planning for them. That makes BMRDA a reviewer of local plans, not a body that consults the city on its own plans. The Mayor's seat on the Authority (s.3(3)(d)) is board membership, not a duty to consult on plans, so I did not credit it. BMRDA-05 (a consultant's draft structure plan) describes 'consultative and participatory' preparation as a method, not a legal duty, so it does not count for this Law/Policy question. Things a person should check: (1) The full current text of the Karnataka T&amp;CP Act is not in the Citation Sheet, so I could not check whether any other provision of it, or a later amendment, requires consultation with local bodies on regional or structure plans. (2) The BMRDA Act copy used here is hosted by India Water Portal, an unofficial site, and may not include recent amendments. (3) Any recent Greater Bengaluru governance law is not in the sheet. (4) The question's maximum is 5, but its scoring bands go up to 10. At 0 this does not matter.</t>
  </si>
  <si>
    <t xml:space="preserve">UPD1b</t>
  </si>
  <si>
    <t xml:space="preserve">Has the ULG participated in the parastatal’s plan-making process?</t>
  </si>
  <si>
    <t xml:space="preserve">Yes, partly. The evidence shows the ULG (then BBMP) taking part in BWSSB planning, but only for one project and only up to 2017. In BWSSB's water supply and sewerage project planning for the 110 Villages (later included in the JICA Phase 3 Final Report of November 2017), BBMP jointly approved a key planning input. The population projections and growth rates for the 110 Villages were 'authorized through a tripartite meeting by BDA, BBMP and BWSSB'. A table note dates this approval to 19 August 2014 (signed off by BDA, BWSSB, BBMP and DHV). BWSSB also held a stakeholders' meeting on 22 August 2017 for the planned 110 Villages project, attended by BBMP and other authorities. At that meeting BWSSB presented the project outline and implementation plan. The report says only that participants welcomed the project and promised to cooperate. It does not record any BBMP inputs or how they were handled. Under the methodology, the joint approval of planning parameters would be substantive participation (the 10-point level), and the stakeholders' meeting would be formal consultation (the 5-point level). Since this question's maximum is 5, I propose 5. The evidence is old (2014–2017), covers one project, and predates the Greater Bengaluru Authority. No source shows ULG participation in BWSSB's latest plan-making cycle, so the evidence is partial.</t>
  </si>
  <si>
    <t xml:space="preserve">JICA – Bengaluru Water Supply and Sewerage Project (Phase 3), Final Report (Main Report), November 2017 [BWSSB-22]</t>
  </si>
  <si>
    <t xml:space="preserve">https://openjicareport.jica.go.jp/pdf/12300356_01.pdf</t>
  </si>
  <si>
    <t xml:space="preserve">2) 110 Villages: The population for the next three decades were authorized through a tripartite meeting by BDA, BBMP and BWSSB.</t>
  </si>
  <si>
    <t xml:space="preserve">I propose the full 5, but a reviewer should confirm it. Two things are uncertain: which scoring scale applies, and whether this old, single-project evidence counts as the latest plan-making cycle.
What the source says: BWSSB-22 (JICA/NJS Final Report for BWSSB, November 2017) supports the Step 2 answer. The population projections for the 110 Villages water supply and sewerage project were 'authorized through a tripartite meeting by BDA, BBMP and BWSSB'. A note under Table 5.1.10 dates this to 19 August 2014 and says the growth rates were 'authorized by BDA, BWSSB, BBMP and DHV for 110 Villages Project'. So the ULG (then BBMP) jointly approved a key planning parameter. The methodology counts concurrence or approval as substantive participation, its highest level. The Step 2 answer also cites a stakeholders' meeting on 22 August 2017 (BWSSB-23, section 14.12) attended by BBMP. That would be formal consultation (the 5 level), since nothing shows how inputs were considered.
How I got to 5: the methodology's levels are 10/5/2.5/0, but this column's maximum is 5. Substantive participation is the top level, so I mapped it to the maximum, 5. If the reviewer scales the levels in proportion (10→5, 5→2.5, 2.5→1.25), the joint approval still scores 5.
Caveats for the reviewer:
(1) The evidence is 2014–2017 and covers only one project (the 110 Villages DPR/JICA Phase 3). It is not BWSSB's own master plan. The BBMP-area water and sewerage master plan started in 2015 had not been approved when the report was written.
(2) The evidence predates the Greater Bengaluru Governance Act, 2024 (BWSSB-29), which replaced BBMP with the Greater Bengaluru Authority and its corporations.
(3) No source in the Citation Sheet shows ULG participation in a more recent BWSSB plan. BWSSB-12 mentions a CWSS Stage VI DPR under preparation but says nothing about the ULG taking part.
If the reviewer decides this evidence is not the 'latest available plan-making cycle', the score should be lowered or the question marked for human scoring. The legal provision for a Consultative Committee (BWSSB Act s.14, BWSSB-04) is not evidence of practice, so I did not credit it.</t>
  </si>
  <si>
    <t xml:space="preserve">Insufficient Evidence</t>
  </si>
  <si>
    <t xml:space="preserve">Step 2 found no evidence: a source needs to be found and added. Step 2 found no evidence (Insufficient Evidence). Source needed: Any of these would answer the question: BMTC's own latest plan document (e.g. a fleet or route-rationalisation plan, business or corporate plan, or bus priority lane plan) with its list of stakeholders consulted; BMTC Board minutes or consultation records showing BBMP or Greater Bengaluru Authority (GBA) input or concurrence; BBMP/GBA council resolutions or letters commenting on BMTC plans; or joint BBMP–BMTC documents, such as bus priority lane planning records, that show the city government helped prepare the plan.</t>
  </si>
  <si>
    <t xml:space="preserve">Step 2 found no evidence: a source needs to be found and added. Step 2 found no evidence (Insufficient Evidence). Source needed: Any one of these, covering BDA's latest plan-making cycle (the draft RMP-2031 or the approved RMP-2015), would answer it: (1) the plan document or report, especially any section on stakeholder or inter-agency consultation that lists meetings with BBMP, the GBA or the city corporations; (2) BDA Board or technical committee minutes that record BBMP/GBA inputs and BDA's response; (3) BBMP Council or Standing Committee resolutions, or GBA/corporation resolutions or formal comments on the draft master plan; (4) letters from BDA inviting ULG comments and the ULG's replies; (5) the Karnataka government's approval notification if it mentions ULG concurrence. Records from the new Greater Bengaluru planning process would also be relevant, given the GBA's new role as Planning Authority.</t>
  </si>
  <si>
    <t xml:space="preserve">Step 2 found no evidence: a source needs to be found and added. Step 2 found no evidence (Insufficient Evidence). Source needed: Any of these would settle the question: (1) the latest metro DPR, such as the Phase-3 DPR or the Phase-2A/2B DPRs, or its stakeholder-consultation chapter, showing whether BBMP or GBA was consulted, gave comments or concurred; (2) minutes of BMRCL Board or project-coordination meetings with the BBMP or GBA Commissioner present to discuss alignment or station planning; (3) BBMP/GBA council or standing-committee resolutions or letters commenting on metro plans; (4) BMLTA or Comprehensive Mobility Plan records showing joint preparation with the city corporations.</t>
  </si>
  <si>
    <t xml:space="preserve">Step 2 found no evidence: a source needs to be found and added. Step 2 found no evidence (Insufficient Evidence). Source needed: Any of these would answer the question: the final or approved BMR Structure Plan 2031 (or a later plan) with its consultation chapter or annexure listing stakeholder meetings; minutes of BMRDA Authority or Executive Committee meetings where the draft plan was discussed with BBMP/GBA representatives; letters or comments from BBMP/GBA or city corporation council resolutions on the draft plan; or BMRDA's record of responses to city government inputs.</t>
  </si>
  <si>
    <t xml:space="preserve">UPD2a</t>
  </si>
  <si>
    <t xml:space="preserve">Where multiple statutory or sectoral plans apply to the same territory, is the water board mandated to ensure consistency with the applicable metropolitan/regional or city master plan/strategic plan for the city?</t>
  </si>
  <si>
    <t xml:space="preserve">2.5</t>
  </si>
  <si>
    <t xml:space="preserve">No. None of the Acts on the Citation Sheet requires BWSSB to make its water supply or sewerage plans consistent with the city, metropolitan or regional Master Plan. None makes such alignment optional either. (1) The Bangalore Water Supply and Sewerage Act, 1964, Section 15(2)(b)-(c), makes it the Board's duty to prepare and carry out water supply and sewerage schemes. The only check on them is the proviso: State Government approval is needed for any scheme costing more than a crore of rupees. There is no reference to the Master Plan or to the plans of the Bengaluru Metropolitan Planning Committee (BMPC). (2) The Karnataka Town and Country Planning Act, 1961, Section 14(1), as substituted by Act 1 of 2005, says that 'every land use, every change in land use and every development' in the plan area 'shall conform' to the Master Plan. This is a general land-use control on development. It does not require any agency to make its sectoral plan consistent with the Master Plan, and it does not name BWSSB or water supply plans. (3) The Greater Bengaluru Governance Act, 2024 makes the Greater Bengaluru Authority (GBA) the Planning Authority under the Town and Country Planning Act (s.14(2)(a)). Under s.14(4), the GBA integrates and supervises the activities of public authorities, including BWSSB, through binding directions. Under s.14(3)(b), it coordinates the schemes that carry out its plans. These are coordination and direction powers. They do not require BWSSB's plans to conform to th</t>
  </si>
  <si>
    <t xml:space="preserve">Provided that no scheme under clause (b) or (c) estimated to cost more than a crore of rupees shall be carried out by the Board except with the approval of the State Government.</t>
  </si>
  <si>
    <t xml:space="preserve">Proposed score: 0. None of the Acts on the Citation Sheet requires BWSSB to keep its water supply or sewerage plans consistent with the Master Plan, and none lets it choose to do so either.
1. BWSSB Act (BWSSB-04), Section 15(2)(b)-(c): the Board has a duty to prepare and carry out water supply and sewerage schemes. Section 15(3) says what a water scheme must cover. The only outside check is the proviso quoted above: schemes costing more than a crore of rupees need State Government approval. The Act does not mention the Master Plan, the Comprehensive Development Plan (CDP) or the Metropolitan Planning Committee.
2. Karnataka Town and Country Planning Act (BWSSB-28), Section 14(1), as substituted by Act 1 of 2005: 'every land use, every change in land use and every development in the area covered by the plan ... shall conform to ... the Master Plan'. This is a general control on land use and development. It does not name BWSSB, and it does not require any agency's sectoral plan to be consistent with the Master Plan. I did not credit it.
3. Greater Bengaluru Governance Act, 2024 (BWSSB-29):
- Section 2(54) lists BWSSB as a 'public authority'.
- Section 14(3)(b) lets the Greater Bengaluru Authority (GBA) coordinate the schemes that carry out its plans, with binding directions.
- Section 14(4) makes GBA's directions to public authorities such as BWSSB binding, and requires those authorities to obey them.
- Section 15(1) is the only place where bodies are told to 'incorporate' GBA's infrastructure plan, and it applies to the City Corporations, not BWSSB.
These are powers to coordinate and direct. None of them requires BWSSB's plans to be consistent with the master plan.
I checked the Step 2 answer against the sources and agree with it.
For a human reviewer:
(a) Someone could argue that KTCP Section 14(1) covers BWSSB's physical works because they count as 'development', which would earn 2.5.
(b) Someone could argue that GBGA Section 14(3)(b) and 14(4) give a binding route to alignment through directions, which might earn 1.25.
(c) The BWSSB Act copy is from FAOLEX and may not include recent amendments. The current consolidated text from the Karnataka law department should be checked for any newly added clause requiring conformity with the Master Plan.</t>
  </si>
  <si>
    <t xml:space="preserve">UPD2b</t>
  </si>
  <si>
    <t xml:space="preserve">Where multiple statutory or sectoral plans apply to the same territory, does the water supply board ensure consistency with the applicable metropolitan/regional or city master plan/strategic plan for the city?</t>
  </si>
  <si>
    <t xml:space="preserve">Human Verification Required</t>
  </si>
  <si>
    <t xml:space="preserve">Proposed score: 1.25 of 2.5, for partial alignment. The only water planning document on the Citation Sheet is the November 2017 JICA Final Report for BWSSB's Bengaluru Water Supply and Sewerage Project (Phase 3). It refers to BDA's Master Plan 2015, the statutory plan under the Karnataka Town and Country Planning (KTCP) Act. It reproduces that plan's proposed land-use map (Figure 2.4.2) and describes the Vision 2015 framework, which marks out where development is to be focused. It also takes the Master Plan 2015 annual growth rate of 0.78% for the Core area as an input to its population projections. These projections drive water demand and the sizing of the Stage V water project and of sewage volumes by zone.
The report does not show that the master plan's growth areas or land-use zones decided where the network expands or where major facilities go. Sewerage systems were laid out using 'Topographic conditions', 'Planned location of STP site and land availability' and the option of merging with neighbouring systems. Population was projected for administrative areas (Core, ULBs, 110 Villages), not master-plan zones. The density figures it uses come from 'Draft Master Planning Criteria' (May 2016), which appear to belong to BWSSB's own draft water and sewerage master plan, not the BDA plan.
Components:
(a) explicit reference to the city master plan: yes;
(b) master plan or its projections used as an input: yes, the population growth rate;
(c) master plan's growth or land-use a</t>
  </si>
  <si>
    <t xml:space="preserve">Step 2 found no evidence: a source needs to be found and added. Step 2 found no evidence (Human Verification Required). Source needed: BWSSB's current approved water supply and sewerage master plan. In 2017 it was still in draft (started July 2015 and 'not been approved officially'). The current applicable statutory plan is also needed: BDA's Revised Master Plan 2015, or a newer GBA or Bengaluru Metropolitan Planning Committee development plan, together with any section of the water plan that maps network expansion, service zones or the siting of STPs and reservoirs against master-plan growth and land-use zones. Land-use conversion or regularisation records for major STPs and water treatment plants would cover the extra quality check.</t>
  </si>
  <si>
    <t xml:space="preserve">UPD2c</t>
  </si>
  <si>
    <t xml:space="preserve">Where multiple statutory or sectoral plans apply to the same territory, is the transport corporation mandated to ensure consistency with the applicable metropolitan/regional or city master plan/strategic plan for the city?</t>
  </si>
  <si>
    <t xml:space="preserve">There is a binding requirement, but it is indirect. The Citation Sheet has no law that requires BMTC itself to make its plans consistent with the BDA Master Plan or another statutory land-use plan.
The binding chain runs through the Bengaluru Metropolitan Land Transport Authority (BMLTA) Act, 2022:
(1) Under s.2(ff), an 'Urban Transport Agency' is any public or private agency providing urban mobility in the region. This covers BMTC. BMTC must prepare a Sectoral Mobility Investment Program 'in accordance with the Comprehensive Mobility Plan' (s.2(v)). Under s.24(a), this program 'shall be aligned with the goals of the Comprehensive Mobility Plan'.
(2) BMTC's major urban transport projects, including changes to the bus network, need the BMLTA's approval 'from the perspective of consistency with the Comprehensive Mobility Plan' (s.19(1)). Under s.19(2), no state agency may start an urban mobility project without that approval. Additional projects in BMTC's Annual Implementation Plan 'shall align with the Comprehensive Mobility Plan goals' (s.25(1)(c)).
(3) The BMLTA 'shall' prepare the Comprehensive Mobility Plan 'in conjunction with' the urban mobility policies and 'the land use plan applicable to the Urban Mobility Region' (s.21(2)). The link also runs the other way: the Planning Authority must take the Comprehensive Mobility Plan into account when preparing the Master Plan, and must consult the BMLTA (s.22).
(4) Under s.14(1) of the Karnataka Town and Country Planning Act, 1</t>
  </si>
  <si>
    <t xml:space="preserve">The Bengaluru Metropolitan Land Transport Authority Act, 2022 (Karnataka Act No. 6 of 2023), full text (PRS Legislative Research copy of the official Act) [BMTC-23]</t>
  </si>
  <si>
    <t xml:space="preserve">https://prsindia.org/files/bills_acts/acts_states/karnataka/2023/Act6of2023Karnataka.pdf</t>
  </si>
  <si>
    <t xml:space="preserve">(a) The Sectoral Mobility Investment Program shall be aligned with the goals of the Comprehensive Mobility Plan;</t>
  </si>
  <si>
    <t xml:space="preserve">Proposed score: 2.5. I checked the Step 2 answer against the text of BMTC-23 and it holds up.
(1) The Act covers BMTC. Under s.2(ff), an 'Urban Transport Agency' means and includes 'both the private and public agencies engaged in providing of Urban Mobility in Urban Mobility Region'. BMTC is a public bus operator in the Bengaluru region, so it falls under this definition. BMTC's Managing Director also sits on the Authority under s.4(1)(t).
(2) BMTC must align its plan with the Comprehensive Mobility Plan (CMP), and the Act uses 'shall'. Under s.2(v), the Sectoral Mobility Investment Program is prepared by each Urban Transport Agency 'in accordance with the Comprehensive Mobility Plan'. Under s.24(a), it 'shall be aligned with the goals of the Comprehensive Mobility Plan'. Under s.25(1)(c), additional projects in the Annual Implementation Plan 'shall align with the Comprehensive Mobility Plan goals'.
(3) There is a binding approval check. Under s.19(1), the Authority approves major urban transport projects 'from the perspective of consistency with the Comprehensive Mobility Plan'. The definition of such projects in s.2(n) includes 'changes and/or expansion in the current bus ... network'. Under s.19(2), no state agency may start an urban mobility project without prior approval.
(4) The CMP is a statutory metropolitan-level plan. It is prepared under s.21, published as a draft for objections, and approved by the State Government. Under s.21(2), it must be prepared 'in conjunction with ... the land use plan applicable to the Urban Mobility Region'. Under s.22(1), the Planning Authority must prepare the Master Plan's land use plan 'by taking into consideration the Comprehensive Mobility Plan in its entirety', and needs the Authority's concurrence. So the CMP and the Master Plan are formally integrated.
Why 2.5 and not 1.25: every link in the chain uses 'shall', so alignment is not discretionary.
Caveats for the reviewer:
(a) BMTC must align with the CMP, the statutory mobility or strategic plan for the metropolitan region. No provision makes BMTC conform directly to the BDA Master Plan. The link to the Master Plan runs through ss.21(2) and 22. Separately, s.14(1) of the Karnataka Town and Country Planning Act (BMTC-25, as cited in Step 2) requires every development to conform to the Master Plan. That binds physical development such as depots, not BMTC's plans. A reviewer who insists on a direct BMTC-to-Master-Plan rule might score lower.
(b) Under s.1(3), the Act comes into force on a date set by Gazette notification. The Citation Sheet does not confirm that date.
(c) The PRS copy says Amendment Act 10 of 2026 is appended. I have not reviewed its effect on ss.2, 19, 21, 22, 24 or 25.
(d) BMTC-23 is a PRS copy, not the official gazette text.
The Road Transport Corporations Act, 1950 is not in the Citation Sheet, so I could not check it for its own consistency provision.</t>
  </si>
  <si>
    <t xml:space="preserve">UPD2d</t>
  </si>
  <si>
    <t xml:space="preserve">Where multiple statutory or sectoral plans apply to the same territory, does the transport corporation ensure consistency with the applicable metropolitan/regional or city master plan/strategic plan for the city?</t>
  </si>
  <si>
    <t xml:space="preserve">Step 2 found no evidence: a source needs to be found and added. Step 2 found no evidence (Insufficient Evidence). Source needed: Needed: BMTC's current network expansion, route rationalisation or depot/bus-terminal (TTMC) development plan, or its Sectoral Mobility Investment Program / Annual Implementation Plan under the BMLTA Act. It should show whether routes or depot/terminal sites are chosen using the Revised Master Plan 2015 (or the draft RMP 2031): its land-use zones, growth corridors or population/density projections. Also useful: the full text of CMP Bengaluru 2020, showing whether it uses master-plan land use and projections to place bus infrastructure and whether BMTC adopted it. Also: BDA/BMRDA land-use change approvals, or BMTC annual reports noting land-use conversion or regularisation for depots and terminals.</t>
  </si>
  <si>
    <t xml:space="preserve">UPD3a</t>
  </si>
  <si>
    <t xml:space="preserve">Is the water supply board mandated to consider the needs of women, the urban poor and other vulnerable groups in decisions relating to access, affordability and delivery of water and sanitation services?</t>
  </si>
  <si>
    <t xml:space="preserve">Partly. The binding instrument that does the most here is a State policy, the Karnataka Urban Drinking Water and Sanitation Policy, 2002, which names BWSSB as a partner. It aims to give all urban residents piped water and sanitation at or near their homes, to 'ensure universal coverage' and to 'ensure a minimum level of service to all citizens'. It also requires tariffs to guarantee at least a minimum 'life line' supply to the poor, and directs subsidies at 'pockets and communities of extreme poverty'. Its only provisions for a specific vulnerable group are these pro-poor tariff and subsidy measures. No source on the sheet requires BWSSB to consider women, persons with disabilities, slums or households without land tenure when deciding on access or service delivery. The BWSSB Act, 1964 has no equity duty. Section 38 says only that the Board 'may' provide free water to the public through public hydrants, paid for by the Corporation, which is discretionary. The Greater Bengaluru Governance Act, 2024 lists slum improvement, urban poverty alleviation and protecting persons with disabilities as core functions of the city corporations, not of BWSSB. Because the requirements cover only the poor and mainly tariffs, the proposed score is 2.5.</t>
  </si>
  <si>
    <t xml:space="preserve">Karnataka Urban Drinking Water and Sanitation Policy, 2002 (Government of Karnataka), text reproduced by IELRC [BWSSB-33]</t>
  </si>
  <si>
    <t xml:space="preserve">https://www.ielrc.org/content/e0213.pdf</t>
  </si>
  <si>
    <t xml:space="preserve">Tariff will be structured in a manner such as to disincentives excessive consumption and wastage of water, whilst ensuring at least a minimum “life line” supply to the poor.</t>
  </si>
  <si>
    <t xml:space="preserve">I propose 2.5: there are explicit equity requirements, but they cover only one group (the poor) and mostly tariffs.
**What supports 2.5**
- **2002 State policy (BWSSB-33):** It names BWSSB as a partner of the Government of Karnataka. Its Tariff section says subsidies 'will be focused in areas such as pockets and communities of extreme poverty'. It also says tariffs will ensure 'at least a minimum “life line” supply to the poor'. These are explicit affordability and lifeline provisions for the poor, which the methodology lists.
- **BWSSB Act 1964, Section 15(3) (BWSSB-04):** The Step 2 answer missed this. It is binding ('shall'). A scheme under s.15(2)(b) must provide piped wholesome water 'to every part of the Bangalore Metropolitan Area in which there are houses'. Where pipes are not practicable at reasonable cost and there is danger to health, it must provide a supply 'within a reasonable distance of every house'. This is a general universal-access duty. It is limited by 'reasonable cost' and 'practicable', and it names no vulnerable group.
- **BWSSB Act, Section 38:** The Board 'may' provide gratuitous public water through hydrants, paid for by the Corporation. This is discretionary only.
**Why not 5**
- No source on the sheet requires BWSSB to consider women, persons with disabilities, slums or informal settlements, or households without land tenure in access or delivery decisions.
- The policy's 'universal coverage' aim is limited to services people 'want and are willing to pay for'.
- The Greater Bengaluru Governance Act 2024 (BWSSB-29) gives functions such as slum improvement, poverty alleviation and protecting persons with disabilities to the city corporations, not to BWSSB.
**Why not 0**
- The lifeline-supply and pro-poor subsidy provisions are explicit requirements for an identified group.
**Caveats for a reviewer**
- The policy uses 'will', not 'shall'.
- It dates from 2002 and may have been superseded.
- The copy on the sheet is reproduced by IELRC, not taken from an official Government of Karnataka site.
**Still to check**
- Current BWSSB tariff regulations or Government Orders, for example slum or EWS connection concessions or a free lifeline supply. If these apply across all service decisions, the score could rise.
- If the 2002 policy is found to be no longer in force, the score could fall to 0, unless s.15(3)'s general universal-supply duty is counted as an equity requirement.</t>
  </si>
  <si>
    <t xml:space="preserve">UPD3b</t>
  </si>
  <si>
    <t xml:space="preserve">Does the water supply board actually consider the needs of women, the urban poor and other vulnerable groups in decisions relating to access, affordability and delivery of water and sanitation services?</t>
  </si>
  <si>
    <t xml:space="preserve">Proposed score: 2.5 out of 5. The only plan-type document in the Citation Sheet is the JICA Final Report for the Bengaluru Water Supply and Sewerage Project (Phase 3), prepared for BWSSB in November 2017. It shows equity measures for slum and poor households, but nothing on gender or accessible design.
Component 1 (affordability and coverage): 2.5 of 2.5, on 2017 evidence.
(i) Affordability: the report describes BWSSB's domestic tariff, which puts consumers into six groups. Slum households get free water from public taps. The 'poor group' (people living on less than 65 INR a day) pays a flat, unmetered charge of 70 INR a month (56 INR for water and 14 INR for sewerage). The low-income group is metered at a low first-slab rate.
(ii) Service planning and coverage: BWSSB's connection data lists slum connections separately (68,658 connections, 23 MLD). The water-demand projection counts the slum population (772,000 people, including public-tap users) at 30 litres per person per day, the rate used for supply from shared water points. The report also says that 'there is connection of water supply line to the urban poor and slums' and that BWSSB supplies water through public taps.
Component 2 (gender and accessible design): 0 of 2.5. The sources contain no gender or social-inclusion screening in water-supply planning or project reports. They also contain no design rules for women, persons with disabilities, elderly people or children, no siting rules for shared water points, and n</t>
  </si>
  <si>
    <t xml:space="preserve">Step 2 found no evidence: a source needs to be found and added. Step 2 found no evidence (Human Verification Required). Source needed: Current evidence is missing for both parts.
(1) For Component 1: BWSSB's current approved water-supply master plan or scheme documents, the current tariff order or schedule (for example a Board resolution or government order revising tariffs) showing whether the slum/free supply and the poor flat-rate or concessional categories still exist, and any current slum or low-income connection scheme or connection-fee concession order.
(2) For Component 2: BWSSB's project reports or design standards, or any gender/social-inclusion framework, that sets specific design or siting measures for women, persons with disabilities, elderly people or children at public water points, kiosks or other public-facing infrastructure.</t>
  </si>
  <si>
    <t xml:space="preserve">UPD4a</t>
  </si>
  <si>
    <t xml:space="preserve">Is the transport corporation mandated to consider the mobility needs of women, the urban poor and other vulnerable groups in planning and delivering public transport services?</t>
  </si>
  <si>
    <t xml:space="preserve">The Citation Sheet has one binding provision on vulnerable groups, and it covers only persons with disabilities. Section 21(2) of the Bengaluru Metropolitan Land Transport Authority (BMLTA) Act, 2022 says the Comprehensive Mobility Plan for the Bengaluru Urban Mobility Region "shall include" accessible mobility and transport for persons with disabilities, as defined under the Rights of Persons with Disabilities Act, 2016 (clause (h)). The Act places BMTC under this plan. BMTC is an 'Urban Transport Agency' under Section 2(ff): a public agency providing urban mobility. Its Sectoral Mobility Investment Program must follow the plan (Section 2(v)), and the Authority checks that agencies comply with it (Section 17(1)(h)). However, the Act's plan-content list and its definition of the plan say nothing about women's safety or mobility, affordable or concessional fares, the urban poor, low-income or peripheral areas, or last-mile access for vulnerable users. The only other relevant language is generic, such as 'safe, clean and efficient urban transport' and 'Integration of social, economic, and spatial development policies'. Under the methodology that cannot be credited. None of the sources is a BMTC-specific Act, rule, fare or concession notification, or women's free-travel scheme order. Because the one requirement found covers a single group, the proposed score is 2.5 ('limited to specific groups, services or schemes').</t>
  </si>
  <si>
    <t xml:space="preserve">Step 2 found no evidence: a source needs to be found and added. Step 2 found no evidence (Human Verification Required). Source needed: To score fully we need binding instruments that apply to BMTC directly: (1) the Road Transport Corporations Act, 1950 and any state rules or government orders governing BMTC; (2) Government of Karnataka or BMTC orders on concessional fares and passes (students, senior citizens, persons with disabilities and other categories); (3) the government order setting up free bus travel for women (the Shakti scheme), if one exists; (4) any BMTC service-planning, route-rationalisation or service-obligation policy that requires coverage of low-income or peripheral areas, or women's safety measures; (5) the latest notified Bengaluru Comprehensive Mobility Plan, showing how it covers these groups. With these, a reviewer could judge whether such considerations run across core service planning and delivery (score 5).</t>
  </si>
  <si>
    <t xml:space="preserve">UPD4b</t>
  </si>
  <si>
    <t xml:space="preserve">Does the Transport Corporation actually consider the needs of women, the urban poor and other vulnerable groups in decisions relating to access, affordability and delivery of public transport services?</t>
  </si>
  <si>
    <t xml:space="preserve">The Citation Sheet only partly answers this question. There is some evidence of a fare concession for one vulnerable group, and nothing else. The Government of Karnataka's KarnatakaOne portal lists BMTC monthly passes with lower rates for senior citizens: Sr. Citizen Black Board Pass at Rs 650 against Rs 725 for the regular Black Board Pass, and Sr. Citizen Pushpak Pass at Rs 830 against Rs 925. The same page says BMTC offers 'student passes', but it does not give their terms. This counts as an affordability measure (Component 1, part i). None of the sources shows a route or coverage commitment for an identified vulnerable group, such as informal settlements, low-income or peripheral areas, or last-mile links for underserved settlements. The coverage figures in the UITP and WRI reports are for the whole city and do not target any group. So Component 1 gets 1.25 out of 2.5. For Component 2, no source shows BMTC operational or design measures for gender, women's safety or accessibility, such as CCTV, panic buttons, low-floor buses, ramps, priority seating or gender screening. The BMLTA Act, 2022 requires the Comprehensive Mobility Plan to include 'accessible mobility and transport for persons who are persons with benchmark disability'. That is a legal duty on a different body (BMLTA), not evidence of what BMTC does, so it gets no credit here. The WRI report's remark that fare capping 'corrects the travel penalty that women pay' is a non-official recommendation and not BMTC prac</t>
  </si>
  <si>
    <t xml:space="preserve">BMTC Services (monthly and concessional passes) – KarnatakaOne portal, Government of Karnataka [BMTC-13]</t>
  </si>
  <si>
    <t xml:space="preserve">https://www.karnatakaone.gov.in/Info/Public/BMTC</t>
  </si>
  <si>
    <t xml:space="preserve">Sr. Citizen Black Board Pass Rs 650/-</t>
  </si>
  <si>
    <t xml:space="preserve">I propose 1.25 out of 5. Component 1 gets 1.25 and Component 2 gets 0. I checked the Step 2 answer against the source and agree with it.
Component 1 (affordability and coverage): 1.25 of 2.5.
- Part (i), fare concession: Present. BMTC-13 is the Government of Karnataka's KarnatakaOne portal (source priority 2). It lists cheaper monthly passes for senior citizens: Rs 650 against Rs 725 for the Black Board Pass, and Rs 830 against Rs 925 for the Pushpak Pass. The page also says BMTC offers 'student passes', but gives no terms.
- Part (ii), coverage for a vulnerable group: Missing. I found no route or coverage commitment for informal settlements, low-income or peripheral areas, or last-mile links for underserved settlements. I searched for feeder, slum, low-income and coverage terms. BMTC-39 (UITP) only notes that BMTC's coverage is limited outside the municipal limits. That is a general network observation, not a commitment aimed at a vulnerable group.
- Under the methodology, one of the two parts earns 1.25.
Component 2 (gender, safety and accessible design): 0 of 2.5.
- No source in the Citation Sheet shows BMTC measures such as CCTV, panic buttons, gender screening, low-floor buses, ramps or priority seating.
- BMTC-23 (BMLTA Act, 2022) requires accessible mobility in the Comprehensive Mobility Plan. That is a legal duty on a different body (BMLTA), not evidence of what BMTC does, and this question is assessed at Implementation level.
- BMTC-40 (WRI) mentions the travel penalty women pay, but only as an unofficial recommendation, not BMTC practice.
What a person should check:
- The KarnatakaOne page has no date for the pass rates and says they 'are subjected to change'. The rates may be out of date, and the page is not a BMTC concession order.
- The Citation Sheet has no BMTC sources on the Shakti free-travel scheme for women, concessions for persons with disabilities, CCTV or panic buttons on buses, or accessible-fleet specifications. If BMTC documents on these are added, both components could score higher, possibly to full marks.</t>
  </si>
  <si>
    <t xml:space="preserve">UPD5a</t>
  </si>
  <si>
    <t xml:space="preserve">Is the water supply board mandated to consider environmental sustainability in planning and delivering water and sanitation services?</t>
  </si>
  <si>
    <t xml:space="preserve">Yes, but only in part. The binding environmental requirements on BWSSB are tied to specific functions and concerns. They do not apply across all of its planning and service-delivery functions. The Bangalore Water Supply and Sewerage Act, 1964 has three relevant provisions:
(1) Section 74, second proviso: after a date the Board appoints, "no sewage shall be discharged into any water-course until it has been treated" as the bye-laws prescribe. This is a mandatory 'shall' rule against pollution from sewage disposal.
(2) Section 49 bars anyone from letting a water fitting they maintain cause water to be "wasted, misused or unduly consumed, or contaminated before use". Section 50 lets the Board enter premises to detect waste. Both are aimed at consumers, not at how the Board plans its services.
(3) Section 52 bans laying water pipes, or building latrines or cesspools, where the water may be polluted. This protects water quality inside the network.
Section 64(2) requires the Board to build sewage disposal works for 'effectual sewerage and sewage disposal', but it says nothing about environmental standards. None of the Act sections I could read require the Board to use sustainable sources, protect sources, reuse wastewater, cut water losses or plan for climate resilience.
The Karnataka Urban Drinking Water and Sanitation Policy, 2002 is broader. It names BWSSB as a partner and aims to deliver water and sanitation 'in a manner that preserves the sustainability of the precious water r</t>
  </si>
  <si>
    <t xml:space="preserve">Provided further that on and after such date as may be appointed by the Board in this behalf no sewage shall be discharged into any water-course until it has been 1[treated in such manner as may be prescribed in the bye-laws made in this behalf.]1</t>
  </si>
  <si>
    <t xml:space="preserve">I propose a score of 2.5 because the environmental requirements in the Act cover only some functions and some concerns. They do not apply across all of the Board's planning and service delivery.
What the Act text (BWSSB-04, FAOLEX copy) says:
- **Section 74, second proviso:** sewage 'shall' not be discharged into any water-course until it has been treated as the bye-laws prescribe. This is a pollution-control rule for sewage disposal. However, it only applies from 'such date as may be appointed by the Board', so the Board decides when the duty starts.
- **Section 49:** no person may let a water fitting they are responsible for cause water to be 'wasted, misused or unduly consumed, or contaminated before use'. This duty falls on consumers, not on the Board.
- **Section 50:** the Board may enter premises to detect waste or misuse of water.
- **Section 52:** water pipes must not be laid, and latrines or cesspools must not be built, where the water is likely to be polluted. This protects water quality inside the network.
- **Section 27:** the Board's power to build water works is a 'may' power with no sustainability condition.
I found nothing in the Act about sustainable sources, protecting sources, reusing wastewater, reducing losses or non-revenue water as a duty of the Board, or climate resilience.
Other sources:
- **2002 Urban Drinking Water and Sanitation Policy (BWSSB-33):** it refers to sustainability, but it states aims rather than binding duties on the Board. It is also a non-official IELRC reproduction.
- **BWSSB-12:** says BWSSB made rainwater harvesting mandatory. This is a presentation of practice and does not name the law behind the rule.
- **JICA reports:** these are secondary sources.
I checked the Step 2 answer against the source and agree with it.
What a person should check:
1. The FAOLEX copy may not include later amendments, such as any rainwater-harvesting section (for example a Section 72A, which I could not find in the copy). An amendment like that, or an official groundwater or wastewater reuse instrument, could still be limited in scope and might not be enough to raise the score to 5.
2. Confirm the Act text against the official copy from the Karnataka Law Department.</t>
  </si>
  <si>
    <t xml:space="preserve">UPD5b</t>
  </si>
  <si>
    <t xml:space="preserve">Does the water supply board actually consider environmental sustainability in planning and delivering water and sanitation services?</t>
  </si>
  <si>
    <t xml:space="preserve">Yes. The sources show BWSSB building environmental sustainability into how it plans and runs water and sanitation services. Both components of the methodology are met, but the main source is a presentation by a BWSSB official, not a formal water supply plan. Component 1, sustainable sources and loss reduction: BWSSB lists five steps it is taking to cut water demand: reusing treated waste water, large-scale rainwater harvesting, reducing non-revenue water (NRW, water supplied but not billed), supplying water by treating lake water, and reviving the Arkavathi river so the T.G. Halli reservoir can be used again as a source with Yettinahole water. The presentation says rainwater harvesting was made mandatory for prescribed buildings by 31 July 2023 and that 1.88 lakh buildings have installed it. A planned advanced treatment plant for Jakkur lake water would blend it with Cauvery water, 'thus reducing the dependency on fresh water'. NRW is reported at 28%. The JICA Phase 3 Final Report (November 2017) describes BWSSB contracts to cut unaccounted-for water (UFW, mainly leakage and illegal connections) in the South, West and Central zones. These cover 209 metered district areas, leak detection and repair, and replacement of 131,000 consumer meters, with an explicit 'Baseline 44% and target 16%'. Component 1 therefore earns 2.5. Component 2, wastewater, reuse and climate resilience: the presentation reports 1,381 MLD of sewage treatment capacity against 1,480 MLD of sewage generated.</t>
  </si>
  <si>
    <t xml:space="preserve">Presentation by Chief Engineer, BWSSB – Water Sensitivity (AMDA) [BWSSB-12]</t>
  </si>
  <si>
    <t xml:space="preserve">https://amdaindia.org/wp-content/uploads/Presentation-by-Chief-Engineer-Bangalore-Water-Supply-and-Sewerage-Board-WATER-SENSITIVITY-MS-3rd-PPT-Part-II.pdf</t>
  </si>
  <si>
    <t xml:space="preserve">850 MLD out of 1300 MLD treated waste water is being reused.</t>
  </si>
  <si>
    <t xml:space="preserve">Score is 5 of 5 (2.5 + 2.5). This agrees with Step 2's proposed total. I checked it against BWSSB-12 and BWSSB-22.
Component 1, sustainable sources and loss reduction: 2.5 of 2.5. Both required parts are present.
(i) Source and protection measures (BWSSB-12):
- Slide 24: rainwater harvesting was made mandatory for prescribed buildings in the BBMP area by 31 July 2023, with 1.88 lakh buildings now having it. The building-size thresholds are 2,400 sq ft for existing buildings and 1,200 sq ft for new ones.
- Slide 31: a proposed advanced treatment plant at Jakkur would treat lake water and blend it with Cauvery water, 'thus reducing the dependency on fresh water'.
- Slide 14: the Arkavathi river would be revived so the T.G. Halli reservoir can be used again as a source.
(ii) Loss-reduction programme: slide 14 lists 'Non Revenue Water (NRW) REDUCTION IN DISTRIBUTION' as a current BWSSB action, and slide 11 reports NRW at 28%. Mandatory rainwater harvesting also counts as a demand-management measure. The only explicit numeric target is in the JICA Phase 3 Final Report (BWSSB-22, November 2017, pp. 3-42 to 3-46). It describes metered-district contracts with 'Baseline 44% and target 16%', 209 metered districts, leak detection and repair, and replacement of 131,000 consumer meters. It also plans unaccounted-for water ratios of 23% by 2034 and 16% by 2049 (Table 5.4.3).
Component 2, wastewater, reuse and climate resilience: 2.5 of 2.5. The measures are specific and operational, not generic.
- Slide 12: 32 sewage treatment plants with 1,381 MLD capacity, against 1,480 MLD of sewage generated.
- Slide 15: 850 of 1,300 MLD of treated waste water is reused, with named recipients. These include KIADB, KIAL, KPCL's gas-based power plant, and about 380 MLD and 150 MLD supplied to fill lakes and tanks in Kolar and Chikkaballapur districts.
- Slide 19: tariffs for recycled water.
- Slide 36: a gap analysis to 2025 for the 110 villages (474 MLD of sewage expected, 326 MLD of capacity under construction, 148 MLD gap).
- Slide 37: resilience project objectives, including tertiary treatment to NGT norms, filling lakes during droughts, pumping surplus treated water to drought-prone areas, and separating sewage from storm water to prevent flash floods.
- Slide 38: BWSSB's own design limits for treated sewage are stricter than the CPHEEO manual (BOD &lt;5 and TN &lt;5 mg/L).
- Slides 13 and 22: the 60 MLD K&amp;C Valley plant generates power.
Things a reviewer should check:
1. The Citation Sheet has no formal 'latest water supply plan' or annual report from BWSSB. The main evidence is an undated Chief Engineer presentation hosted on the AMDA website, not BWSSB's own site. Its references to the July 2023 rainwater-harvesting deadline and 2024 commissioning suggest it dates from about 2023-24.
2. The only numeric loss-reduction target comes from a 2017 consultant report prepared for JICA, which is older evidence. If a reviewer decides an NRW action listed without a target is not enough, the score could fall to 3.75.
I did not credit generic statements such as 'no loss no profit basis for sustainability'.</t>
  </si>
  <si>
    <t xml:space="preserve">UPD6a</t>
  </si>
  <si>
    <t xml:space="preserve">Is the transport corporation mandated to consider environmental sustainability in planning and delivering urban transport services and investments?</t>
  </si>
  <si>
    <t xml:space="preserve">Partly. BMTC's own constituting law is not in the Citation Sheet. The binding instrument that is available is the Bengaluru Metropolitan Land Transport Authority (BMLTA) Act, 2022 (Karnataka Act 6 of 2023). This Act places BMTC under a mandatory 'sustainable urban transport' framework, but only for planning and investment.
(1) BMTC is covered by the Act. Section 2(ff) defines an 'Urban Transport Agency' as public and private agencies providing urban mobility, and the Schedule lists bus systems under public transport. BMTC's Managing Director is an ex-officio member of the Authority (s.4) and of its Executive Committee (s.12).
(2) Section 2(aa) defines 'Sustainable Urban Transport' as 'projects conceived to reduce the use of private vehicles and increase the use of public transport and non-motorised modes like walking and cycling'.
(3) Planning: the Authority's duty in s.14(1)(a) is to 'Promote seamless mobility through sustainable urban transport and integration of land use and transport planning'. Under s.21(2)(a), the Comprehensive Mobility Plan 'shall include' integration of policies 'to advance sustainable urban transport'.
(4) Investment, with mandatory duties on BMTC itself:
- s.24(a): each agency's Sectoral Mobility Investment Program 'shall be aligned with the goals of the Comprehensive Mobility Plan'.
- s.25(1)(c): agencies 'shall prepare' an Annual Implementation Plan, and any additional projects 'shall align with the Comprehensive Mobility Plan goals and promot</t>
  </si>
  <si>
    <t xml:space="preserve">List of additional projects proposed to be taken up and which were not part of the approved City Mobility Investment Program, along with the sources of funding and justification for inclusion of such projects in the City Mobility Investment Program. These additional projects shall align with the Comprehensive Mobility Plan goals and promote sustainable urban transport.</t>
  </si>
  <si>
    <t xml:space="preserve">Score: 2.5. The only binding instrument in the Citation Sheet is the Bengaluru Metropolitan Land Transport Authority (BMLTA) Act, 2022 (Karnataka Act 6 of 2023, BMTC-23). It does put a mandatory 'sustainable urban transport' requirement on BMTC, but only for one environmental objective and only for planning and investment.
Why BMTC is covered: the Act does not name BMTC in its definitions. It applies because s.2(ff) defines an 'Urban Transport Agency' as any public or private agency 'engaged in providing of Urban Mobility', and the Schedule lists 'Bus systems' under public transport. The preamble does name Bangalore Metropolitan Transport Corporation as one of the agencies the Act is meant to coordinate.
What the Act requires:
- s.2(aa) defines 'Sustainable Urban Transport' as projects 'to reduce the use of private vehicles and increase the use of public transport and non-motorised modes like walking and cycling'.
- s.2(h) describes the Comprehensive Mobility Plan as a plan for 'safe, clean and efficient urban transport' under 'an integrated land use and transport planning process'.
- s.14(1)(a): the Authority's duties 'shall include' promoting 'sustainable urban transport and integration of land use and transport planning'.
- s.14(1)(d): the Authority's duties also cover travel demand management, such as congestion pricing.
- s.21(2)(a): the Comprehensive Mobility Plan 'shall include' integration of policies 'to advance sustainable urban transport'.
- s.24(a): each agency's Sectoral Mobility Investment Program 'shall be aligned with the goals of the Comprehensive Mobility Plan'.
- s.25(1)(c): each agency's Annual Implementation Plan, and any additional projects in it, 'shall align with the Comprehensive Mobility Plan goals and promote sustainable urban transport'.
Why not 5: the requirement is mostly about shifting travel to public and non-motorised transport, linking land use with transport, and managing travel demand. I found no explicit duty in the sheet to cut emissions, move to cleaner vehicles or fuels, improve energy efficiency, plan for climate resilience, or assess the environmental impact of projects. There is also no environmental duty tied to how BMTC runs its bus services. The only pollution reference is s.30(1)(c)(i), where part of a 'Green Tax' goes into the Authority's fund; that is a revenue source, not a duty. The other sources in the sheet don't change this: BMTC-34, -39 and -40 are non-binding RMI, UITP and WRI reports on electric buses, and BMTC-25 and BMTC-36 to -38 are not BMTC mandates. So the 'limited to specific objectives' rule applies.
One gap in the Step 2 answer is now closed. I read the 2025 Amendment Act appended to the PRS copy (Karnataka Act 10 of 2026, notified 08.01.2026). It only changes s.2(cc) (Urban Local Body becomes the Greater Bengaluru Authority) and the membership lists in ss.4 and 12. It does not touch ss.14, 21, 24 or 25.
What a person should check:
(a) BMTC's own constituting law (incorporation under the Road Transport Corporations Act, 1950) and any Karnataka EV or clean-bus policy or government order binding on BMTC. None of these is in the sheet, and any of them could raise the score.
(b) BMTC-23 is the PRS Legislative Research copy of the Act, not the gazette itself. The gazette notification is the authoritative text.</t>
  </si>
  <si>
    <t xml:space="preserve">UPD6b</t>
  </si>
  <si>
    <t xml:space="preserve">Does the transport corporation actually considers environmental sustainability in planning and delivering urban transport services and investments?</t>
  </si>
  <si>
    <t xml:space="preserve">None of the sources is a BMTC document. The Citation Sheet has no BMTC fleet plan, route or network plan, environmental or sustainability policy, or annual report. The only evidence on BMTC's practice comes from third-party studies. The best of these is the UITP working paper (August 2023), written with ICCT and UITP after they worked with BMTC between August 2018 and May 2022. It says BMTC has stated intents to decarbonise its fleet and phase out its BS-II and BS-III buses. It also says BMTC plans to buy only electric buses from 2024, citing a Times of India report. Finally, it says that 'based on the procurement plan for BMTC' the corporation will move step by step to an all-electric fleet. Its numbers (40% electric by 2030, NOx, PM2.5 and CO2 emissions avoided) are the paper's own modelled scenario. The paper does not say BMTC adopted them as its own emissions or efficiency target.
Component 1 (cleaner fleet and emissions, 2.5 marks): a fleet-transition measure is reported, but only second-hand. No explicit emissions or fuel-efficiency target adopted by BMTC is shown. At most 1.25.
Component 2 (modal integration and demand-side measures, 2.5 marks): no source shows BMTC itself taking operational measures such as metro feeder services, common ticketing, NMT access at stops or energy efficiency in depots. WRI's ideas (route rationalisation, free transfers) are only recommendations to BMTC. The BMLTA Act, 2022 places the Comprehensive Mobility Plan with the Bengaluru Metrop</t>
  </si>
  <si>
    <t xml:space="preserve">UITP Working Paper – Fleet Wide Transition to Zero Emission Buses: A Roadmap for the City of Bengaluru (August 2023) [BMTC-39]</t>
  </si>
  <si>
    <t xml:space="preserve">https://www.uitp.org/wp-content/uploads/sites/7/2025/04/Working-Paper_Fleet-Wide-Transition.pdf</t>
  </si>
  <si>
    <t xml:space="preserve">BMTC procured 300 e-buses under the FAME II scheme in 2021-22</t>
  </si>
  <si>
    <t xml:space="preserve">Proposed score: 1.25 out of 5. It is provisional because every piece of evidence comes from third parties. The Citation Sheet has no BMTC fleet plan, route or network plan, sustainability policy or annual report. The Step 2 total is confirmed, but my reading of BMTC-39 is a little different.
Component 1 (cleaner fleet and emissions): 1.25 out of 2.5.
- Fleet-transition measure: present. BMTC-39 pages 4-5 report actual buying, not just intentions. BMTC bought 300 e-buses under FAME-II in 2021-22 and another 921 through the CESL Grand Challenge. Of the 1,941 buses contracted for 2023, 1,101 are electric (under GCC contracts) and 840 are BS VI diesel. This is stronger, dated evidence of a cleaner fleet than the 'only electric from 2024' claim the Step 2 answer used.
- That 2024 claim is weak. The paper's introduction attributes it to a Times of India link, and its own Recommendation 4 says 'BMTC needs to take a policy decision to procure only electric buses from 2024'. So the paper treats it as a recommendation, not an adopted BMTC policy.
- Emissions or efficiency target: not shown. The 40% electric by 2030 figure and the NOx, PM2.5 and CO2 reductions come from UITP/ICCT's own TURBO model scenario. Nothing shows BMTC adopted them.
- Table 1 lists scheduled scrappage ages (non-AC buses at 11 years or 8 lakh km; AC buses at 15 years or 10 lakh km). These are general asset-life rules, not an emissions-based phase-out, so I did not count them as a second element.
Component 2 (modal integration and demand-side measures): 0 out of 2.5.
- Metro feeder needs and the 9m midi-bus mix are UITP's indicative recommendations (pages 4 and 17).
- WRI India's ideas (BMTC-40) are also recommendations.
- The Comprehensive Mobility Plan's multimodal goals belong to BMRCL, DULT and BMLTA (BMTC-34, BMTC-23), not BMTC.
- No source shows BMTC running common ticketing, NMT access at stops, metro interchange services or energy-efficiency measures at depots.
A person should check:
- BMTC's own annual report, its e-bus GCC tenders and contracts, any formal decision to buy only electric buses, and its metro feeder service and ticketing integration records. These could raise both components.
- If the research team decides third-party reports of procurement cannot count as implementation evidence, Component 1 could fall to 0.</t>
  </si>
  <si>
    <t xml:space="preserve">DPG1a</t>
  </si>
  <si>
    <t xml:space="preserve">Does the legal framework clearly demarcate the functions/responsibilities of the parastatal vis-à-vis the ULG?</t>
  </si>
  <si>
    <t xml:space="preserve">This is Scenario B: the function is fully devolved, and the legal framework does not clearly separate BWSSB's role from that of the city government. Proposed score: 0 out of 5.
Step 1 (devolution status): The Greater Bengaluru Governance Act, 2024 is the governing municipal Act for the City Corporations. Section 111(1) and Schedule I, Part (1) list as core functions of the City Corporation 'Water supply for domestic, industrial and commercial purposes' (item v) and 'Public health, sanitation including storm water drains, conservancy and solid and liquid waste management' (item vi). Section 103 makes Ward Committees responsible for '(h) ensure water supply maintenance in the ward and finalize location of new public taps and public wells' and '(i) ensure sewerage system maintenance in the ward'. So water supply, including domestic supply, is assigned to the city government in full.
Step 2 (does BWSSB's Act carve out its role?): The Bangalore Water Supply and Sewerage Act, 1964, Section 15(1), gives the Board 'the general duty of providing a supply and improving the existing supply of water in the Bangalore Metropolitan Area' and of providing for sewerage and sewage disposal. Section 15(2)(b) and 15(3)(a) expressly cover piped supply of wholesome water for domestic purposes to every part of that area. The Act does not limit BWSSB to bulk supply, production or any particular area or scale. It simply repeats the full water supply and sewerage function the new Act gives the City </t>
  </si>
  <si>
    <t xml:space="preserve">The Greater Bengaluru Governance Act, 2024 (Karnataka Act No. 36 of 2025), Gazette text as published 24.04.2025 (PRS Legislative Research copy) [BWSSB-29]</t>
  </si>
  <si>
    <t xml:space="preserve">(v) Water supply for domestic, industrial and commercial purposes; (vi) Public health, sanitation including storm water drains, conservancy and solid and liquid waste management;</t>
  </si>
  <si>
    <t xml:space="preserve">I score this as Scenario B (fully devolved, and both bodies deliver the function), which gives 0 out of 5.
Municipal side: under the Greater Bengaluru Governance Act, 2024 (BWSSB-29), Section 111(1) gives the City Corporation 'the power and responsibility to prepare and implement schemes ... in relation to the matters enumerated in the First Schedule'. Schedule I(1)(v) lists 'Water supply for domestic, industrial and commercial purposes' and item (vi) lists sanitation, including liquid waste management. The function is therefore assigned to the city government in full.
Parastatal side: Section 15(1) of the BWSSB Act, 1964 (BWSSB-04) gives the Board 'the general duty of providing a supply and improving the existing supply of water in the Bangalore Metropolitan Area' and of providing for sewerage. Section 15(2)(b) and 15(3)(a) add schemes for 'wholesome water for domestic purposes' piped 'to every part of the Bangalore Metropolitan Area'. Nothing in the Act limits BWSSB to bulk supply or production, or to a particular area or scale. Both Acts assign the same function with no distinction between them, so the score is 0.
I checked the Step 2 answer against both sources and agree with it. Points for the reviewer:
(1) Section 128 of the BWSSB Act did draw a line in 1964. It removed the water-supply sections (ss.171-182) from the City of Bangalore Municipal Corporation Act, 1949, and limited the Corporation's drainage role to 'public surface drains' (ss.184 and 187). But that only amended the old 1949 Act. The Greater Bengaluru Governance Act's preamble says the BBMP was governed by later Acts (the Karnataka Municipal Corporations Act, 1976 and the BBMP Act, 2020). The new Act gives water supply back to the City Corporations without restating that line, so I did not treat Section 128 as a current carve-out.
(2) Section 111(1)'s words 'subject to ... the provisions of the other Acts' are only a general saving clause. They do not divide functions between the two bodies.
(3) The Statement of Objects and Reasons says the Board will be 'solely in charge' of water supply and underground drainage. That statement is not an operative provision.
(4) Both texts are unofficial copies: the 2024 Act is PRS's copy and the BWSSB Act is FAOLEX's. Later amendments, such as the 2025 Amendment Bill (BWSSB-30), do not appear to change the water functions.
A reviewer could take the view that Section 128 plus the saving clause amounts to a working demarcation, so I have set confidence to medium.</t>
  </si>
  <si>
    <t xml:space="preserve">Step 2 found no evidence: a source needs to be found and added. Step 2 found no evidence (Insufficient Evidence). Source needed: (1) The full text of the State Municipal Act now in force for Bengaluru: the Greater Bengaluru Governance Act, 2024 (or the BBMP Act, 2020 if it still applies). We need its section and schedule listing the city government's functions, to see whether public or urban bus transport is assigned to the city government. (2) The full text of the Road Transport Corporations Act, 1950, especially Sections 3, 18 and 19 on how a corporation is set up and what its duties and powers are. We also need the Karnataka government notification setting up BMTC under that Act, which fixes BMTC's area and functions. With these, we can decide between scenario A, B or C and check whether BMTC's role is explicitly separated from the city government's.</t>
  </si>
  <si>
    <t xml:space="preserve">Devolution scenario B (fully devolved, and both bodies deliver the function). The State Municipal Act is the Greater Bengaluru Governance Act, 2024 (Karnataka Act 36 of 2025). Under Section 111(1), each City Corporation 'shall have the power and responsibility to prepare and implement schemes for urban development' for the matters in the First Schedule. Schedule I lists as core functions: '(i) Urban planning including town planning', '(ii) Regulation of land-use including protection of public land from encroachment and construction of buildings', '(iii) Planning for economic and social development' and roads and urban amenities such as parks and playgrounds. The proviso to Section 111(1) makes delivering core-function services a duty of the Corporation. These are the same functions the BDA performs. The Bangalore Development Authority Act, 1976 gives the BDA a general mandate in Section 14 (objects: 'to promote and secure the development of the Bangalore Metropolitan Area'). Section 15 lets it draw up 'development schemes for the development of the Bangalore Metropolitan Area' and undertake development works. Under Section 16(1), these schemes cover layouts, building construction, streets, drainage, water supply and electricity, and reserved parks and civic-amenity areas. The BDA Act does not say which aspect, area or scale of urban planning or development is the BDA's and which belongs to the corporation. It only has procedural or temporary links with the Corporation: s.15(2</t>
  </si>
  <si>
    <t xml:space="preserve">14. Objects of  the Authority.-  The objects of the Authority shall be to promote  and secure the development of the Bangalore Metropolitan Area and for that purpose the Authority shall  have the power to acquire, hold, manage and dispose of moveable and immoveable</t>
  </si>
  <si>
    <t xml:space="preserve">Score: 0. This is Scenario B: the function is fully devolved to the city corporations, the BDA also delivers it, and the BDA Act does not set the two roles apart.
**Municipal Act side (BDA-11, Greater Bengaluru Governance Act, 2024)**
- Section 111 gives City Corporations power and responsibility over the core functions in Schedule I.
- Schedule I(1) core functions include:
  - (i) 'Urban planning including town planning'
  - (ii) 'Regulation of land-use including protection of public land from encroachment and construction of buildings'
  - (iii) 'Planning for economic and social development'
  - (iv) roads
  - (xii) parks, gardens and playgrounds
- Schedule I(3)(i)(a), a sector-wise function, adds 'Planned development of new areas for human settlement'.
- Schedule I(3)(iv), housing, adds 'provision of house sites and houses'.
- These cover the same ground as the BDA's work: layout and site development, streets, and parks and civic-amenity reservations.
**Parastatal Act side (BDA-02, BDA Act 1976)**
- Section 14 gives a general mandate to 'promote and secure the development of the Bangalore Metropolitan Area'.
- Section 15(1) lets the BDA draw up development schemes for the whole Bangalore Metropolitan Area.
- Section 16(1) says those schemes cover:
  - laying out land
  - building construction
  - streets
  - drainage, water supply and electricity
  - park and civic-amenity reservations
- No provision gives the BDA a separate aspect, area or scale of urban planning or development as against the Corporation.
- The links that do exist are only procedural or temporary:
  - s.15(2)(ii): schemes on the local authority's recommendation
  - proviso to s.25(1): the Corporation must be consulted
  - s.28: Corporation streets vested temporarily in the BDA
  - s.28A: the BDA maintains streets 'till such streets are vested in the Corporation'
- The Act also still refers to the old Corporation and the Karnataka Municipal Corporations Act, 1976.
**What changes the BDA's role**
The GBG Act itself makes the Greater Bengaluru Authority the Planning Authority (s.14(2)(a)) and has it supervise the BDA (s.14(4)). That is a change made through the Municipal Act, not a carve-out in the BDA's own Act. The methodology asks for the carve-out to be in the parastatal Act.
**Check of the Step 2 answer**
I checked it against the source text, and it is supported.
**Points for a reviewer to check**
- Both texts are PRS copies, not gazette originals.
- Confirm that no BDA Act amendment, rules or notification made after the GBG Act redefines the BDA's functions relative to the City Corporations. The appended Act 42 of 2026 appears to change only contract limits and allotment rates.</t>
  </si>
  <si>
    <t xml:space="preserve">Scenario A (not devolved). The Greater Bengaluru Governance Act, 2024 (Karnataka Act 36 of 2025) does not give metro rail or urban mass transit to the City Corporations. Schedule I (see Section 111) lists the ULG's core, general and sector-wise functions. The transport-related items are limited to roads, flyovers, underpasses, subways, skywalks and bridges (core item iv), parking spaces and bus stops (core item xvii), and roads other than National Highways, State Highways and major District roads (sector-wise item vi, Public Works). Section 112(1) goes further and treats 'urban transport' as a function 'belonging to the functional domain of the Central Government or the State Government'. A City Corporation 'may' take it on only as an additional function, and only if the Central or State Government approves it and underwrites the costs. So the ULG has no claim to metro rail construction or operation, and under the methodology the parastatal's assignment stands on its own. BMRCL's metro operation is governed by the Metro Railways (Operation and Maintenance) Act, 2002. Under that Act, the Act overrides any inconsistent law (Section 103) and is in addition to the Metro Railways (Construction of Works) Act, 1978 (Section 104). Proposed score: 5.</t>
  </si>
  <si>
    <t xml:space="preserve">The City Corporation may, subject to the underwriting of the costs by, and approval of, the Central Government or the State Government, as the case may be, undertake any function belonging to the functional domain of the Central Government or the State Government as the  case  may  be,  and  such  functions  may  include  primary education, curative health, urban  transport,  supply  of  energy,  fire  prevention  and fire safety and urban poverty alleviation.</t>
  </si>
  <si>
    <t xml:space="preserve">Devolution scenario A (not devolved), so the score is 5. I checked the source myself rather than relying on the Step 2 answer. The Municipal Act is the Greater Bengaluru Governance Act, 2024 (Karnataka Act 36 of 2025). Its Section 111 and Schedule I list the City Corporation's core, general and sector-wise functions. Metro rail and mass rapid transit do not appear there. The only transport-related items are core items (iv) (roads, flyovers, underpasses, subways, skywalks, bridges) and (xvii) (parking spaces, bus stops, street lighting). Section 112(1) says urban transport belongs to 'the functional domain of the Central Government or the State Government'. A City Corporation 'may' take it on only as an additional function, and only with that government's approval and cost underwriting. So the ULG has no claim to metro rail, and under the methodology the parastatal's assignment stands on its own. BMRCL is a Government of India–Government of Karnataka company. Its statutory basis is the central Metro Railways Acts (BMRCL-15).
Things a reviewer should check:
(a) Greater Bengaluru Authority (GBA) powers. Section 14(4) lets the GBA integrate and supervise public authorities, including BMRCL, and issue binding directions. Section 15(1) makes it responsible for mobility plans, and Section 14(3)(d) gives it Intelligent Transport Systems. These are coordination and planning powers, not delivery of metro rail. If the reviewer counts the GBA as part of the ULG, they should confirm that these powers do not amount to devolving the metro function.
(b) Source copy. The text comes from the PRS India copy. It reproduces the Karnataka Gazette Extraordinary of 24 April 2025 and also includes Amendment Act 60 of 2025, which changes only Sections 8(2) and 14(1). A reviewer should check the official gazette text.
(c) Schedule I core item (i), 'Urban planning including town planning', is general planning and does not cover metro rail.</t>
  </si>
  <si>
    <t xml:space="preserve">I can't give a score because the Citation Sheet has only one of the two laws the methodology needs. It has the parastatal Act but no Municipal Act. The Bangalore Metropolitan Region Development Authority Act, 1985 (Karnataka Act 39 of 1985) sets out BMRDA's functions in Section 9(1). They are all at the scale of the whole Bangalore Metropolitan Region: surveying the Region, preparing a structure plan for its development, carrying out works in that plan, drawing up schemes to implement it, coordinating town planning schemes, and raising finance for projects while helping local authorities in the Region carry them out. Other sections also set BMRDA's role against other bodies. Section 10 means development the government notifies in the Gazette needs BMRDA's permission. Section 18 lets BMRDA give binding directions to bodies involved in development, such as the Bangalore Development Authority (BDA) and the Bangalore Water Supply and Sewerage Board (BWSSB). Section 19 lets the Metropolitan Commissioner attend city corporation meetings without a vote. Section 31 added Section 81-C to the Karnataka Town and Country Planning Act (KTCP Act), so planning authorities in the Region send their development plans to the State Government through BMRDA. On its face, this marks BMRDA's role as regional-level planning and coordination, and does not repeat the city government's functions. Step 1, however, needs the Municipal Act to decide whether urban or regional planning is not devolved (A), </t>
  </si>
  <si>
    <t xml:space="preserve">(ii) to prepare a structure plan for the development of the Bangalore Metropolitan Region; (iii) to cause to be carried out such works as are contemplated in the structure plan;</t>
  </si>
  <si>
    <t xml:space="preserve">I left the score blank. The methodology works in two steps. Step 1 is to decide from the Municipal Act whether the function is not devolved (A), fully devolved (B) or partially devolved (C). Step 2 is to score from that. The Citation Sheet has no Municipal Act text at all: not the Greater Bengaluru Governance Act 2024, not the BBMP Act 2020, and not the KMC Act 1976. So the scenario can't be recorded and I can't give a score.
I checked the Step 2 answer against the source and it holds. Section 9(1) of the BMRDA Act 1985 gives BMRDA functions at the scale of the whole Bangalore Metropolitan Region. These are: surveying the Region, preparing its structure plan, carrying out works in that plan, drawing up schemes to implement it, coordinating town planning schemes, and raising finance while helping local authorities in the Region. Section 31 adds Section 81-C to the KTCP Act, so planning authorities in the Region send their development plans to the State Government through BMRDA, which acts as Director of Town Planning for those plans. Section 19 lets the Metropolitan Commissioner attend city corporation meetings but not vote. Taken together, this reads like a regional-scale carve-out. That would point to a score of 5 if the scenario turns out to be B or C.
The only other relevant source is BMRDA-05, the draft Revised Structure Plan 2031. It is a consultant's planning report, not law, and it describes the Municipal Act only second-hand. It says the KMC Act and the Municipalities Act let city governments prepare city development plans based on Master Plans. It also says some planning functions (social and economic development, urban forestry, environment) are discretionary for Karnataka city governments, and that KMC Act s.503B on the Metropolitan Planning Committee has not been brought into force. That isn't enough to decide devolution status from the Municipal Act's text, so I didn't score from it.
What a person should check:
(1) Get the current Municipal Act (Greater Bengaluru Governance Act 2024, or the BBMP Act 2020 if that applies) and its functions schedule. Decide whether urban or regional planning is devolved and at what scale (A, B or C), then apply Step 2 against BMRDA Act s.9.
(2) The BMRDA Act copy (BMRDA-08) is hosted by India Water Portal, not an official site, and its amendment notes stop at Act 8 of 2005. Check it against the official Act PDF for later amendments.</t>
  </si>
  <si>
    <t xml:space="preserve">The citation didn't settle every input. "Score" left blank: the Citation Sheet doesn't decide it.</t>
  </si>
  <si>
    <t xml:space="preserve">DPG1b</t>
  </si>
  <si>
    <t xml:space="preserve">Is the parastatal's territorial/geographic jurisdiction clearly and specifically defined in its enabling legal framework?</t>
  </si>
  <si>
    <t xml:space="preserve">The enabling Act defines BWSSB's jurisdiction only in general terms, so the proposed score is 2.5 out of 5. The Bangalore Water Supply and Sewerage Act, 1964 makes the Board responsible for water supply and sewerage in the 'Bangalore Metropolitan Area'. Section 2(1) defines that area as the area of the Bangalore District urban, plus any adjacent areas the State Government adds by notification 'from time to time'. The Board's water-supply and sewerage duties (Sections 26, 27, 63 and 64) all refer back to this defined area. The Act has no boundary description, schedule or map for the area. Its only Schedule (under Section 24) covers the useful life of assets and has nothing to do with territory. Because the boundary depends on an administrative district plus open-ended notified additions, it is a general definition, not a specific one. The Greater Bengaluru Governance Act, 2024 is also on the Citation Sheet, but the excerpts searched did not show it redefining BWSSB's territory. A BWSSB Chief Engineer's presentation describes the area actually served as the BBMP area of about 800 sq km (core area, 8 urban local bodies and 110 villages). That is a description of operations, not a legal boundary in the Act.</t>
  </si>
  <si>
    <t xml:space="preserve">(1) ‘Bangalore Metropolitan Area’ means the area of the Bangalore District urban and includes such other areas adjacent thereto as the State Government may by notification from time to time specify;</t>
  </si>
  <si>
    <t xml:space="preserve">Proposed score: 2.5 out of 5. The source supports the Step 2 answer, with one correction. Under the Bangalore Water Supply and Sewerage Act, 1964, the Board's area is defined only in general terms. Section 2(1) defines the 'Bangalore Metropolitan Area' as the area of an administrative district (Bangalore District urban), plus any adjacent areas the State Government notifies 'from time to time'. The Board's main duty in Section 15(1) is stated by reference to that area: it 'shall be charged with the general duty of providing a supply and improving the existing supply of water in the Bangalore Metropolitan Area' and of providing sewerage there. Sections 63 and 64 (sewers) also refer to it.
Correction to Step 2: Step 2 named Sections 26, 27, 63 and 64 as the duty provisions. The general duty is actually in Section 15. This does not change the score.
Why not 5: the Act has no boundary description, territorial schedule or map. Its only Schedule (under Section 24) lists asset lives for depreciation.
Why not 0: the area is defined; it is not left undefined.
This matches the 2.5 rule for a 'notified area' with no schedule.
The Greater Bengaluru Governance Act, 2024 (BWSSB-29) and its Second Amendment Act, 2025 (printed with it) name BWSSB as a 'public authority' in the Greater Bengaluru Area. They put BWSSB under the coordination of the Greater Bengaluru Authority and make its Chairman a member. In the passages read, they do not redefine BWSSB's territory or amend Section 2(1).
For a person to check:
(a) BWSSB-04 is a FAOLEX copy, not an official text. It shows amendments only up to Act 18 of 1984. Later amendments to Section 2(1) or the definition, and gazette notifications adding adjacent areas, should be checked on the Karnataka e-Gazette or law department site.
(b) The Citation Sheet has no official BWSSB page or gazette notification giving the current boundary.
(c) The 800 sq km BBMP-area figure in BWSSB-12 describes operations; it is not a legal boundary.</t>
  </si>
  <si>
    <t xml:space="preserve">Step 2 found no evidence: a source needs to be found and added. Step 2 found no evidence (Insufficient Evidence). Source needed: Three documents would answer this: (1) the full text of the Road Transport Corporations Act, 1950, especially the sections on setting up a corporation for an area and on the area of operation; (2) the Karnataka Government gazette notification of 1997 that set up BMTC and fixed its area of operation, plus any later notifications that changed that area; (3) BMTC's official website or an annual administration report stating its current service area.</t>
  </si>
  <si>
    <t xml:space="preserve">Yes, but only in general terms. BDA's jurisdiction is the 'Bangalore Metropolitan Area', which Section 2(c) of the BDA Act, 1976 defines by reference to other laws. It covers the City of Bangalore as defined in the City of Bangalore Municipal Corporation Act, 1949 (an Act that no longer applies). It also covers the areas where the City of Bangalore Improvement Act, 1945 was in force just before the BDA Act began. Finally, it covers any adjacent areas the Government may add from time to time by notification. The Act has no schedule, boundary description, village list or map. Its arrangement of sections ends at Section 77 with no schedule. The Town and Country Planning Act, 1961 adds nothing specific. Its Section 2(7)(a)(i) and Section 81-B (inserted by Section 67 of the BDA Act) make BDA the planning authority for 'the local planning area comprising the City of Bangalore'. That is the area the old City Planning Authority covered, and again no schedule is given. The Greater Bengaluru Governance Act, 2024 defines the 'Greater Bengaluru Area' only in general terms too ('the larger urban area of the City of Bengaluru and such other areas as the State Government may, by notification specify'). The excerpts reviewed do not show it redefining BDA's area. This matches the methodology's 2.5 band: defined, but only in general or notified-area terms with no schedule.</t>
  </si>
  <si>
    <t xml:space="preserve">(c)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</si>
  <si>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Score: 2.5. The BDA Act, 1976 defines BDA's area only in general terms. It has no schedule, boundary description or map.
What the Act says: Section 2(c) defines the 'Bangalore Metropolitan Area' by reference to three things: the City of Bangalore under the 1949 Corporation Act, the area where the 1945 Improvement Act applied, and adjacent areas the Government may add 'from time to time by notification'.
What I checked:
- The consolidated text (as amended up to Act 19 of 2005) has an arrangement of sections ending at Section 77 (repeal of Ordinance 29 of 1975), with no schedule.
- A search of the Citation Sheet for 'schedule' or 'boundaries' turned up no schedule or map.
- Section 67 inserts Section 81-B into the Karnataka Town and Country Planning Act, 1961. That makes BDA the local planning authority over the area the old City Planning Authority covered. This is again a reference to another body's area, with no specific boundary.
- Section 2(c) points to the 1949 and 1945 Acts, which have been superseded or repealed. So the boundary cannot be worked out from the Act alone.
This fits the methodology's 2.5 band: defined only in general or notified-area terms, with no schedule. It does not reach the 5-point band, which requires a specific boundary, schedule or map in the enabling Act.
The Step 2 answer agrees with the source.
What a reviewer should check:
- The Citation Sheet has no gazette notifications adding areas to the Bangalore Metropolitan Area and no material from the BDA website. So I could not do the methodology's cross-check of the current boundary.
- All the text comes from PRS copies, not the official gazette, and the consolidation stops at the 2005 amendment.
- A reviewer should confirm that no later amendment added a schedule or map, and that the Greater Bengaluru Governance Act, 2024 (BDA-11) does not redefine BDA's area.</t>
  </si>
  <si>
    <t xml:space="preserve">BMRCL was not set up by its own Act. It is a Government Company under the Companies Act, 2013, owned 50:50 by the Government of India and the Government of Karnataka (BMRCL-01, Annual Report 2020-21). The nearest thing to an enabling legal framework in the Citation Sheet is the Metro Railways (Operation and Maintenance) Act, 2002 (BMRCL-15). That Act defines its reach only in general terms. Section 1(2) says it applies first to the National Capital Region. The Central Government may then extend it by notification to other 'metropolitan areas' and 'metropolitan cities'. Section 2(1)(h) defines 'metropolitan area' by referring to Article 243P(c) of the Constitution. Section 2(1)(i) defines 'metro railway' to include land 'within the boundary marks' of that railway. The Act has no schedule, boundary description or map for Bengaluru or for BMRCL's area. The Greater Bengaluru Governance Act, 2024 (BMRCL-34) and the BMLTA Act, 2022 (BMRCL-35) set boundaries for other bodies (the Greater Bengaluru Area and the Bengaluru Urban Mobility Region), not for BMRCL. So jurisdiction is defined only in general terms, as an area notified under a central Act, with no schedule. Under the methodology this scores 2.5. The evidence is only partial because the notification extending the 2002 Act to Bengaluru, and the document naming BMRCL as the operator under it, are not in the Citation Sheet.</t>
  </si>
  <si>
    <t xml:space="preserve">The Metro Railways (Operation and Maintenance) Act, 2002 (updated text, hosted by the Commission of Railway Safety, Government of India) [BMRCL-15]</t>
  </si>
  <si>
    <t xml:space="preserve">https://crs.gov.in/wp-content/uploads/2024/03/THE-METRO-RAILWAYS-OPERATION-AND-MAINTENANCE-ACT-2002.pdf</t>
  </si>
  <si>
    <t xml:space="preserve">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t>
  </si>
  <si>
    <t xml:space="preserve">Proposed score: 2.5 (jurisdiction defined only in general terms). I checked the Step 2 answer against the sources and they support it.
1. BMRCL has no Act of its own. BMRCL-01, the Annual Report 2020-21, says it was incorporated under the Companies Act, 1956. It is a Government Company and a 50:50 joint venture of the Government of India and the Government of Karnataka, promoted "to implement the Metro Rail Project in the city of Bangalore". That gives a general purpose, not a legal boundary.
2. The closest enabling statute in the Citation Sheet is the Metro Railways (Operation and Maintenance) Act, 2002 (BMRCL-15), as amended by Act 34 of 2009. It defines its reach only in general terms:
- Section 1(2) applies it to the National Capital Region. The Central Government may extend it by notification to other 'metropolitan areas' and 'metropolitan cities'.
- Section 2(1)(h) defines 'metropolitan area' by referring to Article 243P(c) of the Constitution.
- Section 2(1)(i)(A) covers land 'within the boundary marks' of a metro railway.
- Sections 3(1) and 5 describe functions in the 'National Capital Region, metropolitan city and metropolitan area'.
- There is no schedule, boundary description or map for Bengaluru or for BMRCL.
This matches the methodology's 2.5 case ("notified area" with no schedule).
3. BMRCL-34 (Greater Bengaluru Governance Act) and BMRCL-35 (BMLTA Act) define territories for other bodies, not for BMRCL, so I did not credit them. A search of the sheet found no gazette notification extending the 2002 Act to Bengaluru and no BMRCL document setting out its area.
For a human reviewer to check:
(a) Whether a Companies Act company with no Act of its own should be treated as having no enabling legal framework. If so, the score would be 0.
(b) Whether the Bengaluru extension notification under the 2002 Act, or BMRCL's Memorandum of Association, defines a specific area. If either does, the score could change. Neither is in the Citation Sheet.
(c) The Metro Railways (Construction of Works) Act, 1978, which is not in the sheet.</t>
  </si>
  <si>
    <t xml:space="preserve">Yes. The BMRDA's area is defined by name in its enabling Act. Section 2(c) of the Bangalore Metropolitan Region Development Authority Act, 1985 (Karnataka Act 39 of 1985, as amended by Act 8 of 2005) defines the 'Bangalore Metropolitan Region' as 'the area comprising the Bangalore District and Bangalore Rural District', plus any other areas the State Government adds by notification. Section 3(1) then says the Authority is constituted 'for the Bangalore Metropolitan Region'. The 2005 amendment shows the legislature setting the boundary itself: its Statement of Objects and Reasons says it was passed 'to confine the jurisdiction ... to Bangalore urban and rural districts by deleting Malur taluk of Kolar district'. The region is defined by named revenue districts, which have fixed legal boundaries. That is a specific boundary description, not a general 'notified area' with no schedule. On that basis I propose 5 out of 5. Two caveats: the Act has no schedule or map, and the clause letting the State add areas by notification means the current extent depends on later notifications.</t>
  </si>
  <si>
    <t xml:space="preserve">(c)  "Bangalore Metropolitan Region" means the area comprising the 
Bangalore District and 1[Bangalore Rural District] 1 and such other areas as 
the State Government may, from time to time, by notification, specify;</t>
  </si>
  <si>
    <t xml:space="preserve">I propose 5 out of 5, with medium confidence. A reviewer should confirm two things: whether naming districts in the Act counts as a 'specific boundary description', and what the current boundary is.
**What the Act says**
The Step 2 answer matches the source. The Bangalore Metropolitan Region Development Authority Act, 1985 (as amended by Act 8 of 2005) is the enabling Act, and the copy is BMRDA-08:
- **Section 2(c)** defines the Bangalore Metropolitan Region as the area made up of two named revenue districts, Bangalore District and Bangalore Rural District. It also lets the State add other areas by notification.
- **Section 3(1)** says the State Government 'shall' constitute the Authority 'for the Bangalore Metropolitan Region'.
- **The 2005 amending Bill** shows the legislature drew this boundary on purpose. Its Statement of Objects and Reasons says it was passed 'to confine the jurisdiction ... to Bangalore urban and rural districts by deleting Malur taluk of Kolar district'.
**Why 5 rather than 2.5**
Named revenue districts have fixed legal boundaries. That makes this more than the methodology's 2.5-point example of a general 'notified area' with no schedule, so I treated it as a specific boundary description.
**Caveats for the reviewer**
1. **No schedule or map.** The Act has neither, and the notification clause means the current area depends on later notifications.
2. **Current boundary not confirmed.** The BMRDA website (BMRDA-02 and BMRDA-04) links to a jurisdiction notification and a jurisdiction map, but their contents are not in the Citation Sheet, so I could not cross-check the current boundary.
3. **Region has likely grown.** The draft Revised Structure Plan 2031 (BMRDA-05, page 19) gives 8005 sq km 'under the BMRDA jurisdiction' and says the region has three districts. This suggests Ramanagara was added by notification under Section 2(c).
4. **Unofficial copy of the Act.** BMRDA-08 is hosted by India Water Portal, not an official government site. It should be checked against the official 'BMRDA Act 1985' PDF linked from BMRDA-02.
5. **No municipal Act reviewed.** I scored on the parastatal's own Act only.
If the reviewer decides that naming districts without a schedule or map counts as 'general terms', the score would be 2.5.</t>
  </si>
  <si>
    <t xml:space="preserve">DPG2a</t>
  </si>
  <si>
    <t xml:space="preserve">Does the ULG have representation on the parastatal's governing board?</t>
  </si>
  <si>
    <t xml:space="preserve">No. Elected representatives of the city government cannot sit on the BWSSB governing board. Under the Bangalore Water Supply and Sewerage Act, 1964, the State Government appoints all the Board's members (3 to 7). Section 3(3) requires them to have expertise in commerce/administration, civil or public-health engineering, and accounting. Section 3(5) disqualifies anyone who is, or was in the last 12 months, a member of Parliament, a State Legislature or any local authority. Section 6(1)(d) also allows a member to be removed if they become, or seek to become, a member of a local authority. Elected councillors are therefore barred from the Board. The only formal role the Act gives the municipal corporation is in the Consultative Committee under Section 14. That committee advises the Board. It is not the governing board, and the State Government only consults municipal representatives before appointing its members. A 2017 JICA report says the 7-member Board then included 'representatives from BBMP'. It does not name them or say whether they were elected, and it is old and secondary. Nothing in the sources shows elected councillors with voting rights on the Board. Proposed score: 0.</t>
  </si>
  <si>
    <t xml:space="preserve">Step 2 found no evidence: a source needs to be found and added. Step 2 found no evidence (Human Verification Required). Source needed: Three things are missing: (1) a current list of Board members, such as the latest State Government notification setting up the Board or the 'Board of Directors' page on the BWSSB website; (2) any amendment to Section 3 made after 1984, since the FAOLEX copy only covers amendments up to Act 18 of 1984; (3) confirmation of whether a Greater Bengaluru Authority or City Corporation official now sits on the Board as an ex-officio member.</t>
  </si>
  <si>
    <t xml:space="preserve">Step 2 found no evidence: a source needs to be found and added. Step 2 found no evidence (Insufficient Evidence). Source needed: Two documents are needed: (1) the full text of the Road Transport Corporations Act, 1950, especially Section 5 on how a corporation's board is made up, together with the Karnataka government notification that set up BMTC and appointed its directors; and (2) the current list of BMTC's board members, from BMTC's website or its latest annual report, showing whether any director is an elected councillor, mayor or other nominee of the city government, and whether they can vote. The Karnataka Municipal Act or the Greater Bengaluru Governance Act would also help if they provide for city representation on BMTC.</t>
  </si>
  <si>
    <t xml:space="preserve">Yes, by law. Under Section 3(3)(l) of the BDA Act, 1976, the BDA board includes two members elected by the city corporation's councillors from among themselves. Section 8(4) says board decisions are made by a majority of the votes of the members present and voting, and it does not exclude these members. So the elected ULG representatives sit on the board as full voting members. The Commissioner of the City Corporation is also an ex-officio member under Section 3(3)(f), but that is an official, not an elected representative. Under the methodology this scores 5. There are three limits. First, the clause still refers to the old 'Bangalore City Corporation'. None of the sources shows how it now applies to the city corporations set up under the Greater Bengaluru Governance Act, 2024. Second, a proviso says that while the Corporation is superseded or run by an Administrator, the two seats go to Corporation officers nominated by the Administrator. Third, no current board member list is in the Citation Sheet, so we cannot confirm who actually holds these seats today.</t>
  </si>
  <si>
    <t xml:space="preserve">(l) two persons elected by the councillors of  the Bangalore  City 
Corporation from among themselves in the prescribed manner :</t>
  </si>
  <si>
    <t xml:space="preserve">I agree with the Step 2 answer and score 5, based on how the BDA Act sets up the board. Under Section 3(3)(l) of the BDA Act, 1976 (consolidated text in BDA-02), the board includes 'two persons elected by the councillors of the Bangalore City Corporation from among themselves'. Two other sections show these are elected council members. Section 4(1)(f) disqualifies a member who, 'being an elected member ceases to be a councillor'. The proviso to Section 5(1) ends the term of the Corporation's representative when that person stops being a councillor. Section 8(4) says all questions are 'decided by a majority of the votes of the members present and voting' and does not exclude these members, so they vote like everyone else. The Corporation Commissioner is also an ex-officio member under Section 3(3)(f), but that is an official, not an elected representative. The amendments in BDA-02 do not show any later change to Section 3(3)(l). In BDA-11 (Greater Bengaluru Governance Act), my searches found nothing that changes the BDA board. Things a person should check: (1) Section 3(3)(l) still says 'Bangalore City Corporation'. The Citation Sheet does not say how this applies to the new city corporations under the Greater Bengaluru Governance Act. (2) A proviso says that while the Corporation is superseded or run by an Administrator, the two seats go to Corporation officers the Administrator nominates. If the new corporations have no elected councils yet, these seats may now be held by officers, not councillors. If the scorer counts current practice, that could lower the score. (3) The Citation Sheet has no current list of board members, so I cannot confirm who actually holds these seats today. The score rests only on the composition clause in the Act.</t>
  </si>
  <si>
    <t xml:space="preserve">No. The city government (ULG) has no seat on BMRCL's governing board. BMRCL is not set up under a state Act. It is a company under the Companies Act, 2013, owned 50:50 by the Government of India and the Government of Karnataka. Under its Articles of Association, as summarised in the 2020-21 Annual Report, only these two Governments appoint directors: five each. The Government of India appoints the part-time Chairman and the Government of Karnataka appoints the Managing Director. On 31.03.2021 the board had 12 members: the ex-officio Chairman, the Managing Director, 8 directors nominated by the two Governments and 2 functional Directors. The named nominees are senior central and state officials, for example the Additional Chief Secretaries of the state's Urban Development and Finance departments and the Development Commissioner. No councillors or other elected ULG representatives sit on the board, either as voting members or as invitees. The Greater Bengaluru Governance Act, 2024, which is the city's municipal Act, does not give the City Corporations any seat on BMRCL's board. Its section 95 only sets up assembly-constituency coordination committees where officers of agencies are invited. The BMLTA Act, 2022 puts the BBMP Chief Commissioner (an official, not an elected member) on the transport authority's board. That is a different body and does not count for BMRCL. Under the methodology this scores 0 (no representation).</t>
  </si>
  <si>
    <t xml:space="preserve">BMRCL Annual Report 2020-21 (Board's Report, Independent Auditor's Report, CAG comments, audited Balance Sheet, P&amp;L and Cash Flow for FY 2020-21), laid before the Karnataka Legislative Council [BMRCL-01]</t>
  </si>
  <si>
    <t xml:space="preserve">https://kla.kar.nic.in/council/house/Paperlaid/146/33.pdf</t>
  </si>
  <si>
    <t xml:space="preserve">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t>
  </si>
  <si>
    <t xml:space="preserve">Score 0: the city government (ULG) has no representation on BMRCL's board.
1. **No state Act sets up BMRCL.** It is a Government Company under the Companies Act, 2013, owned 50:50 by the Government of India and the Government of Karnataka. BMRCL-01 summarises its Articles of Association: only these two Governments nominate directors, five each. The Government of India appoints the part-time Chairman and the Government of Karnataka appoints the Managing Director. Under the Articles, directors "may be either whole-time functional Directors or Part-time Directors nominated by the Promoter Government(s)". There is no seat for the ULG, and no provision for ULG invitees.
2. **Board list on p. 2 (as of 2021).** I checked every name. The members are:
   - the Secretary of the Ministry of Housing and Urban Affairs (Chairman);
   - the Managing Director;
   - Government of India officials from the Ministry of Housing and Urban Affairs, Delhi Metro Rail Corporation, the Railway Board and HUDCO;
   - Karnataka Additional Chief Secretaries for Urban Development and for Finance, and the Development Commissioner;
   - the Principal Secretary to the Chief Minister;
   - two functional Directors.
   No councillor or other elected city representative sits on the board, either as a voting member or as an invitee. Neither does any BBMP official.
3. **No other law gives the city a seat.**
   - A search of the Citation Sheet finds the BBMP Chief Commissioner only on the transport authority set up by the BMLTA Act (BMRCL-35). That is a different body from BMRCL, and the Chief Commissioner is an official, not an elected member.
   - The Step 2 review found nothing in the Greater Bengaluru Governance Act (BMRCL-34) that gives the city a seat on BMRCL's board.
The Step 2 answer matches the source.
**Limitation:** the board list is from 2021, as of 31.03.2021 with changes up to August 2021. Someone should check the current board on BMRCL's website or in its latest annual report. Even so, the Articles allow only the two Governments to nominate directors, so the score is very unlikely to change.</t>
  </si>
  <si>
    <t xml:space="preserve">Yes, on paper. Section 3(3) of the BMRDA Act, 1985 (Karnataka Act 39 of 1985, as amended by Act 8 of 2005) names 'the Mayor, Corporation of the City of Bangalore' in clause (d) as an ex-officio member of the Authority. The Mayor is the elected head of the city's municipal government. Section 5(4) says all questions at Authority meetings are 'decided by majority of the votes of the members present and voting'. That gives every member a vote, the Mayor included, and the Act does not treat him as a non-voting invitee. Section 3(3)(w) also adds four members appointed by the Government 'from amongst the persons representing the local authorities in the Bangalore Metropolitan Region'. Section 2(j) defines 'local authority' broadly: it also covers the BDA, BWSSB, KEB, KSRTC and panchayats, so these seats are not reserved for elected city representatives. The Mayor also sits on the Executive Committee under Section 6(1)(e). Under the methodology, an elected city representative who votes on the board scores 5. We could not confirm that this representation works today, because no current list of board members is on the Citation Sheet.</t>
  </si>
  <si>
    <t xml:space="preserve">(d) the Mayor, Corporation of the City of Bangalore</t>
  </si>
  <si>
    <t xml:space="preserve">Proposed score: 5, based on the Act, which matches the Institutional Design level of this question. Under Section 3(3) of the BMRDA Act, 1985 (Karnataka Act 39 of 1985), the Authority 'shall consist of' a list of members. Clause (d) is 'the Mayor, Corporation of the City of Bangalore', who is the elected head of the city's municipal government. Section 5(4) says all questions at Authority meetings 'shall be decided by majority of the votes of the members present and voting'. The Act sets no voting limit for any member and never calls the Mayor an invitee, so the Mayor is a full voting member. The Mayor also sits on the Executive Committee under Section 6(1)(e). Clause (w) adds four members 'representing the local authorities', but Section 2(j) defines 'local authority' broadly, so those seats can go to parastatal heads. I did not rely on clause (w).
I checked the Step 2 answer against the source, and the source supports it.
Things a person should check before this score is final:
(1) The source is an unofficial copy on India Water Portal, current up to Act 8 of 2005. It is not BMRDA's or the Karnataka Gazette's own copy.
(2) There is no current board member list on the Citation Sheet. I searched all the sources and none has one. The notes for scorers ask for that list.
(3) The Act still names the old 'Corporation of the City of Bangalore'. The city is now run by the Greater Bengaluru Authority and new city corporations, and BBMP had no elected council for years. So an elected Mayor may not hold this seat today. If later amendments or the current board show no elected city representative, the score should be revisited.</t>
  </si>
  <si>
    <t xml:space="preserve">DPG2b</t>
  </si>
  <si>
    <t xml:space="preserve">Is the parastatal mandated to submit its plans, budgets or reports to the ULG/council?</t>
  </si>
  <si>
    <t xml:space="preserve">No. The law does not require BWSSB to submit or table its plans, budgets or reports before the ULG or council (the Greater Bengaluru Authority or the City Corporations). Under the Bangalore Water Supply and Sewerage Act, 1964, each of these documents goes to the State Government or the State Legislature. (1) Plans: no section requires BWSSB plans or schemes to go before the ULG or council. Section 86(3) only requires the Board to give the State Government statistics, returns and particulars of schemes. (2) Budgets: Section 17(1) says 'In February of each year the Board shall submit to the State Government' its annual financial statement. Under Section 17(3), the State Government then lays it before both Houses of the State Legislature. Section 14(5) also requires the Board to place the annual financial statement before the Consultative Committee. That Committee is set up by the State Government and chaired by the BWSSB Chairman. The Government appoints its members after consulting bodies such as the Municipal Corporation, so the Corporation is consulted but does not itself receive the statement. The Committee is not the ULG or council. (3) Annual reports: Section 86(1) says the Board 'shall... submit to the State Government an annual report', which is published in the Gazette. Section 86(2) adds an activities report, also submitted to the State Government and laid before the State Legislature. The Greater Bengaluru Governance Act, 2024 does not fill this gap. Section 14(4) le</t>
  </si>
  <si>
    <t xml:space="preserve">17. Annual financial statement. —(1) In February of each year the Board shall submit to the State Government a statement in the form prescribed by 1[regulations]1 of the estimated capital and revenue receipts and expenditure for the ensuing year.</t>
  </si>
  <si>
    <t xml:space="preserve">Score 0 (plans 0, budgets 0, reports 0). I checked the BWSSB Act, 1964 (FAOLEX copy, BWSSB-04) and the law agrees with the Step 2 answer. BWSSB does not have to submit or table any of the three documents before the ULG or council. (1) Plans: no section sends plans or schemes to the Corporation. Under s.86(3), the Board gives 'particulars in regard to any proposed or existing scheme' to the State Government only. (2) Budget: under s.17(1), the Board 'shall submit to the State Government' its annual financial statement. Under s.17(3), the State Government lays it before both Houses of the State Legislature. s.14(5) also requires the Board to place the statement before the Consultative Committee. That Committee is set up by the State Government and chaired by the BWSSB Chairman. The Municipal Corporation is only consulted on who is appointed to it, so the Committee is not the ULG or council. (3) Reports: under s.86(1), the annual report goes to the State Government and is published in the Gazette. Under s.86(2), the activities report goes to the State Government and is laid before the Legislature. The methodology says submission only to the State Government or another authority does not count. I also checked the Greater Bengaluru Governance Act, 2024 (BWSSB-29). s.14(4) lets the GBA integrate and supervise BWSSB and give it binding directions. s.19(1) lets the Government call for periodic reports from public authorities. s.22(2) requires only the GBA's own Annual Report and Budget to go to the City Corporations. I found no provision requiring BWSSB to submit its plans, budgets or reports to the City Corporations or their councils. Two things a reviewer should check: (a) whether the current consolidated BWSSB Act has amendments after 1966 that the FAOLEX copy leaves out; (b) whether any rules or regulations under the GBGA, or the 2025 Amendment Bill (BWSSB-30), require parastatals to report to the GBA or the Corporations. Even then, the GBA is a coordinating authority chaired at the state level, not the elected council.</t>
  </si>
  <si>
    <t xml:space="preserve">Step 2 found no evidence: a source needs to be found and added. Step 2 found no evidence (Insufficient Evidence). Source needed: The full official text of BMTC's enabling statute as currently amended, with its sections on financial and capital estimates or budget, annual report, and accounts and audit, showing who receives each document. The full text of the current municipal Act for the Greater Bengaluru Authority and its city corporations, to check for any provision requiring transport parastatals to table plans, budgets or reports before the corporation council. Any state rules or government orders under these Acts that require BMTC to submit these documents to the ULG.</t>
  </si>
  <si>
    <t xml:space="preserve">No. None of the Acts on the Citation Sheet requires BDA to submit or table its plans, budgets or reports before the ULG or council (the Greater Bengaluru Authority, its City Corporations or their councils). Each requirement points to the State Government instead. (1) Budgets: under BDA Act s.42–44 the Commissioner lays the annual estimate before the Authority itself, the Authority approves it (s.43), and 'The estimate, as approved by the Authority, shall be submitted to the Government', which sanctions or disallows it (s.44). Supplementary estimates also go to the Government (s.45). (2) Reports and accounts: under s.47A BDA must submit its reports to the State Government, and they are laid before the State Legislature. Under s.47(5) the audited accounts and auditor's report go to the State Government and the Legislature. (3) Plans: under s.18 development schemes are sent to the Government for sanction, and housing plans and estimates also go to the Government (s.18(2)). The Karnataka Town and Country Planning Act likewise sends Planning Authority budgets (s.68B), certified accounts (s.68C(3)) and annual reports (s.68D) to the State Government and the Board, and Master Plans to the State Government (s.13), not to the ULG. The Greater Bengaluru Governance Act, 2024 lets the State Government call for periodic reports from public authorities (s.19). It also gives the GBA power to coordinate and supervise BDA and issue binding directions (s.14(4)), but it does not require BDA to s</t>
  </si>
  <si>
    <t xml:space="preserve">44. Estimates to be submitted to Government for sanction.- The estimate, as approved by the Authority, shall be  submitted to the Government which may, either sanction or disallow such estimate or any portion thereof  and return the same for amendment.</t>
  </si>
  <si>
    <t xml:space="preserve">I scored this 0 out of 5 because the BDA Act does not require BDA to submit or table any of the three document types before the ULG or its council. Each requirement points to the State Government or the Legislature instead.
(1) Budgets: under s.42-43 the Commissioner lays the estimate before the Authority itself, which approves it. Under s.44 the approved estimate 'shall be submitted to the Government'. Supplementary estimates also go to the Government (s.45). 0 points.
(2) Reports: under s.47A BDA 'shall... submit to the State Government a report', which is laid before the State Legislature. Under s.47(5) the audited accounts and auditor's report go to the State Government and the Legislature. 0 points.
(3) Plans: under s.18(1) schemes are submitted 'to the Government for sanction', and under s.18(2) housing plans and estimates also go to the Government. 0 points.
The methodology says submission only to the State Government or another authority does not count.
Steps taken: I checked the Step 2 answer against the BDA-02 text and it matches. The Step 2 notes say the KTCP Act (BDA-03) sends budgets, accounts and annual reports to the State Government and the Board. They also say the GBG Act 2024 (BDA-11) lets the GBA coordinate BDA and issue it directions (s.14), but does not require BDA to submit plans, budgets or reports to the GBA or the City Corporations. The GBA's own duty to send its budget and report to the Corporations (s.22(2)) does not apply to BDA. My search of BDA-11 found no such BDA obligation either.
For a reviewer to check: s.17(2) of the BDA Act says a copy of the notification of each development scheme 'shall be sent to the Corporation', which may send representations within 30 days. If it does not, its agreement is assumed (s.17(4)). I did not credit this, for three reasons. It is a notice naming the place where scheme details can be inspected, not submission of the plan itself. It covers only individual schemes. Its purpose is consultation, with the scheme then sanctioned by the State Government. If reviewers count it as submitting plans, the score would be 1.67.
The Act still refers to the former 'Corporation'. The sheet's text includes no amendment mapping this to the GBA City Corporations.</t>
  </si>
  <si>
    <t xml:space="preserve">No. None of the laws in the Citation Sheet require BMRCL to submit or table its plans, budgets or annual/performance reports before the Greater Bengaluru Authority (GBA), the city corporations or their councils. BMRCL is a company registered under the Companies Act, 2013, not a body created by its own statute. Its Annual Report 2020-21 operates under that Act and was laid before the Karnataka Legislative Council, which is the State Legislature, not the city government (ULG). The Metro Railways (Operation and Maintenance) Act, 2002 sends the accident returns of the metro railway administration (Section 46) to the Central Government. The annual report under Section 12 is prepared by the Chief Commissioner of Railway Safety, not by BMRCL. The Greater Bengaluru Governance Act, 2024 links BMRCL to the city government in two ways. Under Section 13(1)(j), BMRCL's Managing District is a member of the GBA Executive Committee. Under Section 14(4), the GBA coordinates and supervises public authorities, including BMRCL, and can issue binding directions to them. Neither provision requires BMRCL to submit plans, budgets or reports to the ULG or council. Each of the three parts therefore scores 0: plans 0, budgets 0, annual reports 0.</t>
  </si>
  <si>
    <t xml:space="preserve">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t>
  </si>
  <si>
    <t xml:space="preserve">Score 0: plans 0, budgets 0, annual/performance reports 0. I checked the Step 2 answer against the sources and they support it. BMRCL is a company under the Companies Act, not a body set up by its own Act, so there is no parastatal Act that requires it to submit documents. The municipal law is the Greater Bengaluru Governance Act, 2024 (BMRCL-34). That Act links BMRCL to the city in three ways: (a) BMRCL's MD is an ex-officio member of the Greater Bengaluru Authority (GBA) under s.9(3)(j); (b) the MD sits on the GBA Executive Committee under s.13(1)(j); (c) under s.14(4), the GBA integrates and supervises public authorities, including BMRCL, and can issue binding directions to them. None of these requires BMRCL to submit or table its plans, budgets or reports before the GBA or a City Corporation council. Under s.19(1), periodic reports from public authorities go to the State Government. Under the methodology, submission to the State Government does not count. The GBA's own budget and annual report go to the City Corporations (s.22(2)), but that duty applies to the GBA, not to BMRCL. Under s.122, the City Corporations send administration reports to the GBA, which also does not involve BMRCL. Other laws on the sheet point the same way. The Metro Railways (O&amp;M) Act, 2002 (BMRCL-15) sends reporting to the Central Government. Annual Report 2020-21 (BMRCL-01) was laid before the State Legislature. The KTCP Act (BMRCL-31) and the BMLTA Act (BMRCL-35) send documents to the State Government or the Board, not to the ULG. Note also that the GBA is chaired by the Chief Minister and is arguably not the ULG/council in any case. For a reviewer to check: BMRCL's Memorandum and Articles of Association are not on the Citation Sheet. The GBG Act was read through targeted excerpts, not in full. Any rules or regulations made under s.14(4) could in theory require BMRCL to submit documents, and I could not check this.</t>
  </si>
  <si>
    <t xml:space="preserve">No. The BMRDA Act, 1985 does not require BMRDA to submit or table its plans, budgets or annual reports before the Greater Bengaluru Authority, its city corporations or any city council. Under Section 12 the annual budget estimate goes only to the State Government. Under Section 13 the annual report goes to the State Government, which lays it before both Houses of the State Legislature. Under Section 9(1)(ii) BMRDA prepares the structure plan, but no provision in the sheet's text of the Act requires it to be submitted or tabled before a city government. Section 31, which inserts Section 81-C into the Karnataka Town and Country Planning Act, works the other way: local Planning Authorities submit their development plans to the State Government through BMRDA. Section 19 lets the Metropolitan Commissioner attend Corporation meetings without a vote. That is a seat at the council's meetings, not a duty to submit documents to the council. The methodology does not count submission only to the State Government. Score: plans 0 + budgets 0 + annual reports 0 = 0.</t>
  </si>
  <si>
    <t xml:space="preserve">The Authority shall prepare, every year, in such form and at such time as may be prescribed, an annual budget estimate in respect of the next financial year showing the estimated receipts and disbursements of the Authority and shall submit a copy thereof to the State Government. 13.  Annual report.-  The Authority shall, after the end of each year prepare in such form and before such date as may be prescribed, a report of its activities during such year and submit to the State Government and the State Government shall cause a copy of such report to be laid  before both Houses of the State Legislature.</t>
  </si>
  <si>
    <t xml:space="preserve">Score 0 (plans 0 + budgets 0 + reports 0). I checked the Step 2 answer against BMRDA-08 and agree with it. Budgets: under Section 12 the annual budget estimate goes only to the State Government, so 0. Annual reports: under Section 13 the annual report goes to the State Government, which lays it before both Houses of the State Legislature. That is not the ULG or its council, so 0. Section 16(3) is the same: audited accounts and the auditor's report go to the State Government and are published, not submitted to a council. Plans: Section 9(1)(ii) says BMRDA prepares the structure plan, but the readable text has no requirement to submit or table it before the Corporation or any council, so 0. Section 31 (new Section 81-C of the Karnataka Town and Country Planning Act) works the other way: local Planning Authorities send their development plans to the State Government through BMRDA. Section 19 lets the Metropolitan Commissioner attend Corporation meetings without a vote and makes the Corporation invite him. That is a right to attend, not a duty to submit documents. Section 9(1)(ix) gives BMRDA a coordination role, which is also not a submission duty. The methodology says submission only to the State Government does not count. Things a person should check: (1) BMRDA-08 is a copy hosted by India Water Portal, which is not an official site. Check it against the official Act PDF on BMRDA's Acts and Rules page, which is not in the Citation Sheet, and confirm there are no later amendments. (2) The methodology also asks for the Municipal Act to be reviewed. The current Greater Bengaluru governance law and the Karnataka Municipal Corporations Act are not in the Citation Sheet. So I could not check them for any provision requiring BMRDA to table documents before the Greater Bengaluru Authority or its corporations. Such a provision is unlikely, but a person should confirm. A search across all the citations found nothing on BMRDA submitting documents to a city government.</t>
  </si>
  <si>
    <t xml:space="preserve">DPG4</t>
  </si>
  <si>
    <t xml:space="preserve">Does the parastatal maintain an active and functional website?</t>
  </si>
  <si>
    <t xml:space="preserve">10</t>
  </si>
  <si>
    <t xml:space="preserve">Step 2 found no evidence: a source needs to be found and added. Step 2 found no evidence (Insufficient Evidence). Source needed: A dated check of BWSSB's own official website: its home page, or a notices, circulars or tenders page, captured on the day of checking (screenshot or web-archive capture). It should show that the site opens without error and has a 'last updated' date or a notice, circular or tender dated within the last 12 months.</t>
  </si>
  <si>
    <t xml:space="preserve">Step 2 found no evidence: a source needs to be found and added. Step 2 found no evidence (Insufficient Evidence). Source needed: A dated capture of BMTC's official website (for example its home page or its notices, circulars or tenders page) showing that it opens without error and has dated content from the last 12 months, such as a 'last updated' stamp or a recent notice. It also needs the date of the check and an archived screenshot or web-archive link, as the methodology requires.</t>
  </si>
  <si>
    <t xml:space="preserve">Step 2 found no evidence: a source needs to be found and added. Step 2 found no evidence (Insufficient Evidence). Source needed: A dated check of BDA's official website: the exact live URL as it opens, with the date checked, plus a screenshot or web-archive copy. It should show content from the last 12 months, such as a recent notice, circular, tender or press release, or a 'last updated' date.</t>
  </si>
  <si>
    <t xml:space="preserve">I can't score this question from the Citation Sheet. DPG 4 is a point-in-time check: does BMRCL's official website open without error, and has it been updated in the last 12 months? None of the sources is a capture of the BMRCL website, a web-archive snapshot, or a recent dated notice from it. The only source about the website is BMRCL's Annual Report for FY 2020-21 (BMRCL-01), with notes dated 2021. It says the company's official website is www.bmrc.co.in and that it publishes policies, tenders, RTI details and a monthly newsletter. It also says the website 'is continuously updated'. That shows an official website existed in 2021. It doesn't show that the site opens today or has content from the last 12 months, which a score of 10 requires. Nothing in the sources supports a score of 0 either, since the website is documented.</t>
  </si>
  <si>
    <t xml:space="preserve">and BMRCL Whistle Blower Policy which are available on the Company’s official website www.bmrc.co.in.</t>
  </si>
  <si>
    <t xml:space="preserve">I left the Score blank because the Citation Sheet can't decide it. DPG 4 is a point-in-time Implementation check. A score of 10 needs three things: an official website that exists, that opens without error, and that has content updated in the last 12 months (a 'last updated' date or a recent dated notice). The only relevant source is BMRCL-01, the BMRCL Annual Report for FY 2020-21. Its notes and AGM notice are dated 2021 (for example, 09-11-2021). It confirms that BMRCL had an official website then ('www.bmrc.co.in'), and that the site carried tenders, RTI details, policies, a monthly newsletter and project information. It also says the site 'is continuously updated'. That is a second-hand statement about the site from about 4 years ago. It doesn't show that the site opens today or has content from the last 12 months. A search of the whole sheet found no website capture, archive snapshot or recent dated notice. The other sources (BMRCL-15, -18, -21, -31, -34, -35) are Acts, policies and project documents. Score 0 is also not supported, because the methodology gives 0 only when no official website is found, and the report documents one. I agree with the Step 2 answer. What a reviewer needs to do: open BMRCL's official website, write down the date of the check, save a web-archive capture or screenshot, and note the date of the most recent tender, notice or circular. If the site is live and that date is within 12 months, enter 10. I report no URL because the source only shows the address as text ('www.bmrc.co.in'), not as a full URL.</t>
  </si>
  <si>
    <t xml:space="preserve">Yes. BMRDA has an official website on the Karnataka government portal (Citation Sheet source URL: https://bmrda.karnataka.gov.in/english, with a Kannada home page at https://bmrda.karnataka.gov.in/). The captured home page loaded with full content: navigation, RTI disclosures, Acts and Rules, notifications, circulars, mobility plans and a gallery. It also shows dated content that looks recent. The Acts and Rules list includes 'The Karnataka Planning Authorities (Allotment of Civic Amenity Sites within the Bengaluru Metropolitan Region) Rules, 2026'. The News and Events panel lists a 'CA Site Paper Notification' posted '2 months ago'. Civic Amenity (CA) site newspaper notices are linked, one from TOI dated 29-07-2026. Draft mobility plans have been uploaded for each local planning authority. The footer reads '© 2026', and the gallery has Independence Day 2025 photos. This meets the test for a score of 10: an official site exists, opens, and has content updated within the last 12 months.</t>
  </si>
  <si>
    <t xml:space="preserve">Home - Bangalore Metropolitan Region Development Authority (BMRDA) (English home page) [BMRDA-02]</t>
  </si>
  <si>
    <t xml:space="preserve">https://bmrda.karnataka.gov.in/english</t>
  </si>
  <si>
    <t xml:space="preserve">The Karnataka Planning Authorities (Allotment of Civic Amenity Sites within the Bengaluru Metropolitan Region) Rules, 2026.</t>
  </si>
  <si>
    <t xml:space="preserve">I scored 10 because the methodology's three tests for full marks are met. (1) BMRDA has an official website on the Karnataka government portal. The footer says 'Content Owned and maintained by: Bengaluru Metropolitan Region Development Authority(BMRDA), Government of Karnataka'. (2) The captured home page has full content: menus, RTI disclosures, Acts and Rules, notifications, the annual report and the gallery. (3) There is dated content from within the last 12 months. The Acts and Rules list includes the 2026 Rules on Civic Amenity (CA) site allotment. The News and Events panel lists 'CA Site Paper Notification' as '2 months ago'. The CA site newspaper notices have dated file names: a Deccan Herald file 'DH_Bengaluru _20260729', a New Indian Express file 'NIE Bengaluru 29-07-2026' and an e-paper file '30-07-2026'. The footer reads '© 2026'.
One correction to the Step 2 answer: it calls the 29-07-2026 notice a TOI notice. The Times of India file (Hoskote Planning Authority) has no date in its name. The files dated 29/30-07-2026 are the Deccan Herald, New Indian Express and e-paper notices. This does not change the score.
Things a person should check: (a) the site's 'Last Updated:' field is blank, so recency rests on dated content, not a stated update date; (b) the Citation Sheet does not record when the page was captured. The methodology asks for a point-in-time check, so a reviewer should open https://bmrda.karnataka.gov.in/english again, note the date of the check and save a web-archive copy or screenshot. Some sections are older (items marked 'One year ago', pages labelled 2020–2023), but the methodology only needs some content updated within 12 months.</t>
  </si>
  <si>
    <t xml:space="preserve">DPG5a</t>
  </si>
  <si>
    <t xml:space="preserve">Annual budget</t>
  </si>
  <si>
    <t xml:space="preserve">1</t>
  </si>
  <si>
    <t xml:space="preserve">Step 2 found no evidence: a source needs to be found and added. Step 2 found no evidence (Insufficient Evidence). Source needed: One of these, published for FY2025-26 or FY2024-25 and opened with the access date recorded: BWSSB's budget or annual financial statement on its official website (e.g. a Finance/Budget or proactive-disclosure page); the statement under Section 17 as laid before the Karnataka Legislature on a Government of Karnataka site; or BWSSB budget data in a machine-readable form (XLS/CSV/HTML table) on an open-data portal. A dated screenshot or archived link of that page is needed for each document.</t>
  </si>
  <si>
    <t xml:space="preserve">Step 2 found no evidence: a source needs to be found and added. Step 2 found no evidence (Insufficient Evidence). Source needed: BMTC's own website, specifically its finance, transparency or RTI section 4(1)(b) disclosure page, showing the annual budget (Budget Estimates or Revised Estimates) for FY 2025-26 or FY 2024-25 with the date accessed. Also the file format of that budget (XLS/CSV or a structured HTML table, versus a scanned or table-only PDF). Failing that, a Karnataka Transport Department or Finance Department publication that reproduces BMTC's current budget.</t>
  </si>
  <si>
    <t xml:space="preserve">Step 2 found no evidence: a source needs to be found and added. Step 2 found no evidence (Insufficient Evidence). Source needed: We need BDA's published annual budget (budget estimates) for the current or previous FY. It should be on the official BDA website (for example a Finance, Budget or RTI Section 4(1)(b) disclosure page), or else in a Karnataka Urban Development Department publication. The source should give the FY, the date it was accessed, and the file format, ideally XLS, CSV or an HTML table rather than a scanned PDF.</t>
  </si>
  <si>
    <t xml:space="preserve">Step 2 found no evidence: a source needs to be found and added. Step 2 found no evidence (Insufficient Evidence). Source needed: A BMRCL budget for FY 2025-26 or FY 2024-25 published online, showing estimated receipts and spending. This could be a budget document on BMRCL's website, a budget or financials page, or a proactive disclosure under RTI Section 4(1)(b). It could also be a Government of Karnataka budget document that shows BMRCL's own budget rather than just the state's grant to it. For the format score, it should be XLS/CSV or a structured HTML table. Screenshots with access dates are needed.</t>
  </si>
  <si>
    <t xml:space="preserve">Step 2 found no evidence: a source needs to be found and added. Step 2 found no evidence (Insufficient Evidence). Source needed: BMRDA's 'Budget' page on its official website, captured with the access date. It should show the latest budget estimate posted, which financial year it covers (2025-26 or 2026-27 would count as current or immediately preceding), and the file format (XLS/CSV or an HTML table, versus a scanned or text PDF). A budget published by the Karnataka government or its Urban Development Department that sets out BMRDA's own budget would also answer the question.</t>
  </si>
  <si>
    <t xml:space="preserve">DPG5b</t>
  </si>
  <si>
    <t xml:space="preserve">Audited annual accounts</t>
  </si>
  <si>
    <t xml:space="preserve">Step 2 found no evidence: a source needs to be found and added. Step 2 found no evidence (Insufficient Evidence). Source needed: Three things would answer this. First, the 'Accounts' or 'Audit Report' page on BWSSB's official website showing the audited annual accounts (Income and Expenditure Account and Balance Sheet with the auditor's certificate) for FY2024-25, or FY2023-24 if a one-year lag is allowed, with the date of access. Second, the file format of those statements (XLS/CSV/structured HTML, or text versus scanned PDF). Third, or alternatively, the audited accounts or audit report laid before the Karnataka Legislature under Section 25(5) of the BWSSB Act, published on a Government of Karnataka website. None of these is in the Citation Sheet.</t>
  </si>
  <si>
    <t xml:space="preserve">Step 2 found no evidence: a source needs to be found and added. Step 2 found no evidence (Insufficient Evidence). Source needed: Two things are needed. (1) A current, dated capture of the 'Accounts', 'Annual Report' or 'Financial Statements' page on BMTC's official website. It should show the latest FY of audited accounts published (ideally FY 2024-25, or FY 2023-24 if a one-year lag applies) and the file format (XLS/CSV/structured HTML, or PDF/scanned). (2) Failing that, BMTC's latest annual administration report with audited accounts, or the CAG/AG Karnataka audit report on BMTC's accounts, with a note of where it is hosted online.</t>
  </si>
  <si>
    <t xml:space="preserve">Step 2 found no evidence: a source needs to be found and added. Step 2 found no evidence (Insufficient Evidence). Source needed: BDA's audited annual accounts (balance sheet, income and expenditure account, auditor's report) posted on BDA's official website. Ideally FY 2024-25, or FY 2023-24 under the one-year lag. The page should show the financial year, date of access, and file format (XLS/CSV/structured HTML versus scanned or text PDF). Other acceptable sources: the State Audit and Accounts Department audit report on BDA accounts, or BDA's audited accounts as laid before the Karnataka Legislature, if posted on an official Karnataka government website.</t>
  </si>
  <si>
    <t xml:space="preserve">Proposed score: 0 out of 1. The latest audited accounts in the Citation Sheet are for FY 2020-21 (year ended 31 March 2021). That source is BMRCL's Annual Report 2020-21, laid before the Karnataka Legislative Council and published as a PDF on the state legislature's website. It contains the Independent Auditor's Report (dated 24-08-2021), the C&amp;AG comments (dated 22 October 2021), the Balance Sheet, the Statement of Profit and Loss and the Cash Flow Statement. (1) Availability and currency, 0 of 0.5: the Greater Bengaluru Authority has replaced the old city government, so the assessment period is about FY 2025-26. That means audited accounts for FY 2024-25 should be online, or FY 2023-24 with the allowed one-year lag. FY 2020-21 is outside that window. Latest information found: FY 2020-21, audited 24-08-2021. (2) Format and accessibility, 0 of 0.5: the statements are only available as tables inside a PDF annual report. No XLS/XLSX, CSV, ODS, structured HTML table or downloadable dataset was found. The methodology scores 0 for a PDF whose tables cannot be readily extracted or reused.</t>
  </si>
  <si>
    <t xml:space="preserve">To receive, consider and adopt the Audited Financial Statements of the Company for the Financial year ended March 31, 2021</t>
  </si>
  <si>
    <t xml:space="preserve">I propose a score of 0 out of 1 (0 for currency + 0 for format). This score depends on what the Citation Sheet holds. Nobody has checked BMRCL's website directly.
Latest information found: FY 2020-21. These are the audited accounts for the year ended 31 March 2021. The Independent Auditor's Report (Badari, Madhusudhan &amp; Srinivasan) is dated 24-08-2021 and the C&amp;AG comments under Section 143(6)(b) are dated 22 October 2021. They are in BMRCL-01, the BMRCL Annual Report 2020-21, a PDF laid before the Karnataka Legislative Council at kla.kar.nic.in.
(1) Availability and currency, 0 of 0.5: the methodology needs audited accounts for the immediately preceding FY, with a one-FY lag allowed. With the assessment in about 2025-26, that means FY 2024-25, or FY 2023-24 at the latest. FY 2020-21 is too old. I searched the Citation Sheet for audited statements for 2023-24 and found none. Every hit was BMRCL-01 (FY 2020-21).
(2) Format, 0 of 0.5: the only copy is a PDF annual report. The financial tables have a text layer, but they are not in XLS/XLSX, CSV, ODS, a structured HTML table or a downloadable dataset. The methodology gives 0.5 only for those structured formats, so this part scores 0.
I agree with the Step 2 answer.
What a person should check before finalising:
- **BMRCL's website.** The Board's Report (p.40) says statutory documents such as the annual return are placed on www.bmrc.co.in. Check whether the site has audited accounts or annual reports for FY 2023-24 or FY 2024-25.
- **Stock exchange filings.** The report mentions SEBI LODR Regulation 52 filings, so check for audited financial results there too.
- **Score change.** If the newer accounts are found, the currency part would rise to 0.5. The format part would stay 0 unless they are also published in a structured, machine-readable format.
- **Screenshots.** Take screenshots with dates of access, as the scorer notes require.</t>
  </si>
  <si>
    <t xml:space="preserve">Step 2 found no evidence: a source needs to be found and added. Step 2 found no evidence (Insufficient Evidence). Source needed: Needed: BMRDA's audited annual accounts (audited financial statements with the auditor's report) for FY 2024-25, or FY 2023-24 if the one-year lag applies, as published on the official BMRDA website or a Government of Karnataka site. The likely places are the 'Budget and Annual Reports' page and the 2023-24 Annual Report PDF on bmrda.karnataka.gov.in, whose contents are not in the Citation Sheet. The Karnataka State Accounts Department or the CAG audit reports on BMRDA could also serve. The file format must be recorded (XLS/CSV/HTML table, text PDF or scanned PDF) to score the format part.</t>
  </si>
  <si>
    <t xml:space="preserve">DPG5c</t>
  </si>
  <si>
    <t xml:space="preserve">Annual report</t>
  </si>
  <si>
    <t xml:space="preserve">Step 2 found no evidence: a source needs to be found and added. Step 2 found no evidence (Insufficient Evidence). Source needed: BWSSB's latest annual report (for FY 2024-25, or the latest one due), published on BWSSB's official website or in the Karnataka Gazette. It should be a searchable, downloadable PDF, HTML or DOC file. The page where it is published, its financial year and the date it was accessed should be recorded, along with a screenshot or archived URL.</t>
  </si>
  <si>
    <t xml:space="preserve">Step 2 found no evidence: a source needs to be found and added. Step 2 found no evidence (Insufficient Evidence). Source needed: BMTC's official website page that lists annual reports or annual administration reports (or a Government of Karnataka Transport Department page hosting them). It should show the latest report, ideally for FY 2024-25 or the latest one due, with its year. The report file itself is also needed to check whether it is a searchable, downloadable PDF or a scanned image-only file, with the date it was accessed.</t>
  </si>
  <si>
    <t xml:space="preserve">Step 2 found no evidence: a source needs to be found and added. Step 2 found no evidence (Insufficient Evidence). Source needed: Two things are needed. (1) A page on BDA's official website (or an official Karnataka government page, such as Legislature papers) where BDA's annual report for FY 2024-25 or the latest year due can be opened and downloaded, with the date of access recorded. (2) The report file itself, to check whether it is a searchable, text-readable PDF/HTML/DOC or a scanned, image-only PDF. If no current report can be found, record the year of the latest report found online.</t>
  </si>
  <si>
    <t xml:space="preserve">The newest BMRCL annual report in the Citation Sheet is for FY 2020-21. It covers the year ended 31 March 2021 and includes the Board's Report, the Independent Auditor's Report dated 24-08-2021, the CAG comments dated 22 October 2021 and the audited financial statements. This copy is a legislature-tabled PDF laid before the Karnataka Legislative Council, not a copy from BMRCL's own website. FY 2020-21 is much older than the immediately preceding FY (2024-25) or the latest report due (at least FY 2023-24). Currency therefore scores 0. The report's text can be extracted and searched, so it is not image-only. However, the format criterion is not credited because no report within the permitted period was found. Proposed score: 0 out of 1. This is provisional because the Citation Sheet does not show BMRCL's own annual-reports page.</t>
  </si>
  <si>
    <t xml:space="preserve">Step 2 found no evidence: a source needs to be found and added. Step 2 found no evidence (Human Verification Required). Source needed: BMRCL's own annual-reports page, with the date of access, showing whether the FY 2024-25 or FY 2023-24 Annual Report (Directors' Report and audited accounts) has been published, and in what format (searchable PDF or scanned images). Alternatively, a copy of the latest annual report tabled in the Karnataka Legislature.</t>
  </si>
  <si>
    <t xml:space="preserve">BMRDA has an annual report online, but it is for FY 2023-24, which looks out of date. The English home page of the official website has a 'Budget and Annual Reports' menu under 'Department Documents', and its 'Annual Report' link opens a PDF named '2023-24 Anual Report.pdf'. The Kannada home page links the same file. The latest year found is FY 2023-24. The website itself shows it is now 2026: it lists rules from 2026 and newspaper notices dated 29-30 July 2026. That makes FY 2025-26 the immediately preceding year, and the FY 2024-25 report was probably also due by now. No report for either year is linked. So the 2023-24 report is older than the permitted period, and the availability and currency part scores 0. The format part (0.5) cannot be checked. The PDF itself is not in the Citation Sheet, so I cannot tell whether it is searchable, text-readable PDF or a scanned image. The answer only says the link points to a downloadable PDF.</t>
  </si>
  <si>
    <t xml:space="preserve">[https://bmrda.karnataka.gov.in/40/budget-and-annual-reports/en] Budget and Annual Reports [https://bmrda.karnataka.gov.in/storage/pdf-files/2023-24 Anual Report.pdf] Annual Report</t>
  </si>
  <si>
    <t xml:space="preserve">I left Score blank because the total is either 0 or 0.5, and the Citation Sheet can't settle which.
(1) Availability and currency (0.5): I score this part 0. The official BMRDA home page links only one annual report, '2023-24 Anual Report.pdf', and the Kannada home page (BMRDA-04) links the same file. The latest year found is FY 2023-24.
- The site shows it was captured in the second half of 2026. Its Department Documents list the 'Karnataka Planning Authorities (Allotment of Civic Amenity Sites within the Bengaluru Metropolitan Region) Rules, 2026'. It links CA Site newspaper notices dated 29-07-2026 and 30-07-2026, and the footer reads '© 2026'.
- The immediately preceding FY is therefore 2025-26, and the FY 2024-25 report would also have been due by then. No report for either year is linked, so FY 2023-24 is older than the permitted period.
- BMRDA Act s.13 (BMRDA-08) says the Authority 'shall' prepare a yearly report of its activities. The deadline is 'as may be prescribed', and that rule is not in the sheet.
(2) Format (0.5): I can't decide this part. The 2023-24 PDF is not in the Citation Sheet, so I can't tell whether it is a searchable, text-readable PDF or a scanned image. The link only shows it is a downloadable PDF.
What a person needs to do:
- Open the PDF and check whether its text can be selected and searched. Record the date accessed.
- Check the 'Budget and Annual Reports' page (https://bmrda.karnataka.gov.in/40/budget-and-annual-reports/en) for any newer report. That page was not saved separately, and its contents could change the currency score.
- Confirm whether ASICS gives the format 0.5 when the only report is out of date. The methodology scores the two parts separately, so the likely result is 0 if the PDF is scanned and 0.5 if it is searchable.
I checked the Step 2 answer against BMRDA-02 and BMRDA-04, and the sources support it.</t>
  </si>
  <si>
    <t xml:space="preserve">DPG5d</t>
  </si>
  <si>
    <t xml:space="preserve">Meeting minutes of governing board</t>
  </si>
  <si>
    <t xml:space="preserve">Step 2 found no evidence: a source needs to be found and added. Step 2 found no evidence (Insufficient Evidence). Source needed: We need BWSSB Board meeting minutes or proceedings from FY 2025-26 or FY 2024-25, published on BWSSB's official website (for example a 'Board Meetings', 'Board Proceedings' or RTI proactive-disclosure page). We also need the access date and file type, to confirm whether the document is a searchable PDF or HTML page or only a scanned image. If no minutes are published, an access-dated screenshot of the relevant BWSSB website section showing that would support a score of 0.</t>
  </si>
  <si>
    <t xml:space="preserve">Step 2 found no evidence: a source needs to be found and added. Step 2 found no evidence (Insufficient Evidence). Source needed: To answer this, we need the BMTC website's page for Board meeting proceedings, minutes or resolutions (or a Government of Karnataka Transport Department page that hosts them). It should show at least one set of BMTC Board of Directors minutes from FY 2024-25 or FY 2025-26, with the meeting date, in a format that can be downloaded and searched (text PDF, HTML or DOC). Alternatively, a dated page listing BMTC's proactive disclosures under RTI Section 4(1)(b) that includes Board minutes, or confirms that none are published, would also answer it.</t>
  </si>
  <si>
    <t xml:space="preserve">Step 2 found no evidence: a source needs to be found and added. Step 2 found no evidence (Insufficient Evidence). Source needed: BDA's official website, specifically the page where it publishes Authority (board) meeting proceedings, minutes or resolutions (for example a 'Board Meetings', 'Proceedings' or RTI Section 4(1)(b) disclosure page). It would need to show the date or FY of the latest minutes and the document format (text-searchable PDF, HTML or DOC versus scanned image), with screenshots or archived URLs and the date of access. If the website has no minutes, a documented search of the site with the date of access would support a score of 0.</t>
  </si>
  <si>
    <t xml:space="preserve">Step 2 found no evidence: a source needs to be found and added. Step 2 found no evidence (Insufficient Evidence). Source needed: Two things would settle this. First, a dated check of BMRCL's official website (for example a Board meetings, minutes, RTI section 4(1)(b) or disclosure page), with access date and screenshot or archived copy, showing either that Board minutes from FY 2024-25 or FY 2025-26 are published or that none are. Second, if minutes are published, their file format: a searchable PDF, HTML or DOC/DOCX, or a scanned image.</t>
  </si>
  <si>
    <t xml:space="preserve">Step 2 found no evidence: a source needs to be found and added. Step 2 found no evidence (Insufficient Evidence). Source needed: Two things are needed. (1) The minutes or proceedings of BMRDA's Authority or Executive Committee meetings for FY 2025-26 or 2024-25, published on the official BMRDA website, for example under a 'Meeting Proceedings' page or inside the RTI Section 4(1)(b) disclosures. (2) A check of whether that document is a searchable PDF or a scanned image. A full check of the website's sitemap and of the RTI 4(1)(a) Parts I-IV and 4(1)(b) PDFs, which are not in the Citation Sheet, would show whether any minutes are posted.</t>
  </si>
  <si>
    <t xml:space="preserve">DPG5f</t>
  </si>
  <si>
    <t xml:space="preserve">Organisation and staffing information</t>
  </si>
  <si>
    <t xml:space="preserve">Step 2 found no evidence: a source needs to be found and added. Step 2 found no evidence (Insufficient Evidence). Source needed: What would answer this: BWSSB's own current 'Organisation Structure' / 'Who's Who' / officers' contact directory web page, or a searchable organisation chart or staff-position document on the BWSSB website, dated FY 2024-25 or FY 2025-26. Alternatively, BWSSB's current RTI Section 4(1)(b) proactive disclosure listing posts, officers and staff. The page should be captured with its date of access and its format recorded (HTML or searchable PDF, versus image-only or scanned).</t>
  </si>
  <si>
    <t xml:space="preserve">Step 2 found no evidence: a source needs to be found and added. Step 2 found no evidence (Insufficient Evidence). Source needed: The organisation chart or officer and staff directory on BMTC's official website. This could be an HTML 'Who's Who' or officers' contact page, a searchable PDF organisation chart, or a list of sanctioned and working posts. Other options are BMTC's RTI Act Section 4(1)(b) proactive disclosure (organisation, functions, directory of officers, number of staff), or BMTC's latest annual report. Each should have a visible date or financial year and be in a format that can be searched or downloaded.</t>
  </si>
  <si>
    <t xml:space="preserve">Step 2 found no evidence: a source needs to be found and added. Step 2 found no evidence (Insufficient Evidence). Source needed: For currency (0.5): BDA's current organisation chart or 'Who's Who' / officers' directory on its official website, ideally the RTI Act Section 4(1)(b) proactive disclosure (organisation, functions and duties; directory of officers and employees). It should be dated within the current or previous financial year, or clearly reflect current officials such as the present Commissioner, Secretary, Engineer Member and Town Planning Member. For format (0.5): the same material as an HTML page or a searchable PDF/XLS, not an image-only chart or a scanned list. Both need the access date and the date or financial year of the information.</t>
  </si>
  <si>
    <t xml:space="preserve">Step 2 found no evidence: a source needs to be found and added. Step 2 found no evidence (Insufficient Evidence). Source needed: The current organisation chart, staff directory, or list of officers and posts on BMRCL's official website. This could be an HTML 'Who's Who' or officers' contact directory, an organisation chart in searchable PDF, or the RTI Act Section 4(1)(b) disclosure listing officers, employees and sanctioned posts. It needs to be dated FY 2024-25 or 2025-26, with a dated screenshot or archived URL. A recent BMRCL annual report (FY 2023-24 or later) with sanctioned and working staff by post would be partial supporting evidence.</t>
  </si>
  <si>
    <t xml:space="preserve">Yes, provisionally. BMRDA's official website has a Contact Us page in HTML that lists named officials and their posts, from the Metropolitan Commissioner down through the Metropolitan Planner and Director, Additional Metropolitan Commissioner, Joint Metropolitan Commissioner, Joint Directors, Deputy and Assistant Directors and the Accounts Officer. It also marks which posts are vacant and gives office phone numbers. Format (0.5): this is a searchable HTML staff directory with identifiable posts and officials, so it meets the standard. Currency (0.5): the page names Sri. Rajendra P Cholan as Metropolitan Commissioner, which matches the current Metropolitan Commissioner on BMRDA's home page. The site also shows recent activity, such as a civic amenity (CA) site paper notification posted '2 months ago' and Rules dated 2026. That suggests the directory reflects the current structure. However, the page itself has no date and its 'Last Updated' field is blank, so the currency mark rests on this indirect evidence. Proposed score: 1 (0.5 + 0.5), with the currency half to be confirmed by a person.</t>
  </si>
  <si>
    <t xml:space="preserve">Bangalore Metropolitan Region Development Authority — official website [BMRDA-01]</t>
  </si>
  <si>
    <t xml:space="preserve">https://bmrda.karnataka.gov.in/page/Contact+Us/en</t>
  </si>
  <si>
    <t xml:space="preserve">Sri. Rajendra P Cholan
Metropolitan Commissioner
080-22255493</t>
  </si>
  <si>
    <t xml:space="preserve">Proposed score: 1 (0.5 format + 0.5 currency). A person should confirm the currency half because the evidence for it is indirect.
Format (0.5): BMRDA's Contact Us page (BMRDA-01) is a searchable HTML staff directory. It lists named officials against their posts, from the Metropolitan Commissioner, Metropolitan Planner and Director, Additional Metropolitan Commissioner and Joint Metropolitan Commissioner down to the Joint Directors, Assistant Director and Accounts Officer. It also marks vacant posts (Additional Director, Deputy Metropolitan Commissioner, Deputy and Assistant Directors, Account Superintendant) and gives office phone numbers. This meets the standard of an 'HTML organisation/staff directory' with identifiable posts and officials.
Currency (0.5): The directory names Sri. Rajendra P Cholan as Metropolitan Commissioner. That matches the current head shown on BMRDA's English home page (BMRDA-02: 'SRI RAJENDRA CHOLAN P , IAS Metropolitan Commissioner BMRDA'). The site is also clearly being kept up to date: the home page has CA site paper notifications from July 2026, Rules dated 2026, a news item posted '2 months ago', and a © 2026 footer. Together these show the directory reflects the current structure. However, the directory itself has no date and its 'Last Updated' field is blank, so I cannot record an exact FY or date for the latest information. Evidence field: undated, consistent with the 2026 (FY 2026-27) state of the website.
Other items: The home page also links an 'Organisation chart' PDF (ORGNenglish.pdf). It is not a separate source in the Citation Sheet, so its date and whether it is searchable or image-only are unknown. The score above does not rely on it.
For the person checking: open the Contact Us page, take a dated screenshot as the scorer notes require, and confirm the listed officials are current. If the officials have changed, reduce the currency half to 0. Also check the organisation chart PDF.</t>
  </si>
  <si>
    <t xml:space="preserve">DPG5g</t>
  </si>
  <si>
    <t xml:space="preserve">Major plans / projects</t>
  </si>
  <si>
    <t xml:space="preserve">Step 2 found no evidence: a source needs to be found and added. Step 2 found no evidence (Insufficient Evidence). Source needed: One of these, from BWSSB's official website (or an official Karnataka government site): a projects or ongoing-works page, project dashboard, or a downloadable project list or plan (e.g. Cauvery Stage V, 110-villages water supply and sewerage, sewage treatment plant projects), dated FY 2024-25 or FY 2025-26. Each needs an access date and screenshot. That would allow scoring of both currency and format (text-searchable PDF, HTML table, or XLS/CSV).</t>
  </si>
  <si>
    <t xml:space="preserve">Step 2 found no evidence: a source needs to be found and added. Step 2 found no evidence (Insufficient Evidence). Source needed: To score this question we need: (1) a page or document on BMTC's official website, or an official Government of Karnataka publication, that sets out BMTC's major plans or ongoing projects (for example new depots or TTMCs, electric bus procurement or deployment, bus priority lanes) for FY 2024-25 or FY 2025-26, with its date; (2) enough of that page or document to judge its format: a searchable text PDF, an HTML table or dashboard, or a downloadable XLS/CSV, rather than scans or images. BMTC's Annual Implementation Plan under Section 25 of the BMLTA Act, or its latest annual report or budget with a project list, would also do.</t>
  </si>
  <si>
    <t xml:space="preserve">Step 2 found no evidence: a source needs to be found and added. Step 2 found no evidence (Insufficient Evidence). Source needed: Two kinds of source are needed, each with its date of access: (1) the page on BDA's official website where its major plan is published, such as the Revised Master Plan or a draft master plan, as a downloadable document whose year can be read and whose text is searchable; and (2) a BDA project page, dashboard or downloadable list (HTML table or XLS/CSV) of ongoing projects, such as layouts, the Peripheral Ring Road, flyovers or housing projects, with status information dated to FY 2024-25 or FY 2025-26. Archived copies or screenshots of these pages would also do.</t>
  </si>
  <si>
    <t xml:space="preserve">Step 2 found no evidence: a source needs to be found and added. Step 2 found no evidence (Insufficient Evidence). Source needed: To score this, a researcher would need one of the following from BMRCL's official website, for FY 2024-25 or FY 2025-26: (a) a projects or ongoing-works page or project dashboard covering Phase-2, 2A, 2B and 3 in searchable HTML or a structured table; or (b) a recent searchable plan PDF, such as a current annual report or a Phase-3 or other major project plan or DPR. Screenshots or archived URLs with the date of access are also needed.</t>
  </si>
  <si>
    <t xml:space="preserve">I found no current major plan or ongoing-project information for BMRDA in the Citation Sheet, so the proposed score is 0 out of 1. The only plan whose content I could read is the Draft Revised Structure Plan 2031 (BMRDA-05). It was prepared for BMRDA by Groupe SCE India, and the copy is hosted on OpenCity, not on the BMRDA website. The draft is from about 2010–11: its annexures refer to meetings with the ABIDe committee in October 2010, and its data sources date from 2007–08. That is well outside the allowed window (current FY or the FY just before), so availability and currency scores 0. Latest information found: Draft RSP 2031, c. 2010–11. For format, the draft is a text-searchable PDF and would meet the format test. However, it is on a third-party site and is out of date. The official homepage (BMRDA-04, BMRDA-02) has links called 'Structure Plan', 'Report' and 'Maps', and a 'GBIT Brochure' labelled 'One year ago'. None of their contents are in the Citation Sheet, so I can't check their date, format or whether they describe ongoing projects. No project list, project dashboard or structured project data appears in the sources. Proposed score: availability and currency 0; format 0, because no current plan or project information was found on the official website.</t>
  </si>
  <si>
    <t xml:space="preserve">Proposed Draft Mobility Plan</t>
  </si>
  <si>
    <t xml:space="preserve">I left the score blank. The Citation Sheet isn't enough to decide either part, and the Step 2 score of 0 doesn't hold up against the sources.
(1) What Step 2 relied on: BMRDA-05 is the Draft Revised Structure Plan 2031. It dates from about 2010–11 (Annexure 13 says it was 'discussed with ABIDe committee on 24.10.2010') and is hosted on OpenCity, a third-party site. It is far outside the allowed currency window and can't count. So far Step 2 is right.
(2) What Step 2 missed: the official homepage (BMRDA-02 English; the same links are on the BMRDA-04 Kannada page) has a 'Proposed Draft Mobility Plan' section. It links PDFs on the BMRDA domain for 9 Local Planning Authorities: Anekal, the airport area planning authority (BIAAPA), Channapatna, Doddaballapur, Kanakapura, Magadi, Nelamangala, Ramanagara Urban Development Authority (RUDA) and Satellite Town Ring Road (STRR). Nearby items look recent: the CA site paper notifications have file names dated 29-07-2026 and 30-07-2026, there are 2025 gallery entries, and the newly listed 'Karnataka Planning Authorities (Allotment of Civic Amenity Sites within the Bengaluru Metropolitan Region) Rules, 2026'. That suggests the draft mobility plans may be current major plans (FY 2025-26 or 2026-27). If so, the availability-and-currency half could earn 0.5. But none of these PDFs is in the Citation Sheet, so I can't confirm their date, what they contain, or whether they are major plans and not just maps. Some file names, like 'KPA OVARALL MAP' and 'Whole LPA Map', hint they may be map-only or scanned. So I can't score format either (searchable text PDF versus scanned or image-only).
(3) No project dashboard or structured project list appears in the sheet. The 'GBIT BROCHURE' (labelled 'One year ago') could be ongoing-project information, but its contents and format aren't in the sheet.
Next steps: a reviewer should open the 9 Proposed Draft Mobility Plan PDFs, the 'GBIT BROCHURE' PDF, the 'Structure Plan' page and 'St report.pdf'. For each, record the date and check whether the text is searchable or the file is a scan or image. Then score:
- Currency: 0.5 if a major plan or ongoing-project information is from the current FY or the FY just before (record the latest date found even if this part scores 0).
- Format: 0.5 if that plan is a searchable PDF, or the project information is on a searchable page or in structured data.
Take screenshots with the date of access, as the scorer notes require.</t>
  </si>
  <si>
    <t xml:space="preserve">DPG5h</t>
  </si>
  <si>
    <t xml:space="preserve">Service-level benchmarks and performance reports</t>
  </si>
  <si>
    <t xml:space="preserve">Step 2 found no evidence: a source needs to be found and added. Step 2 found no evidence (Insufficient Evidence). Source needed: Evidence of BWSSB performance information for FY 2024-25 or FY 2025-26 published online, ideally on the official BWSSB website. Suitable documents would be an SLB report for water supply and sewerage (coverage, per-capita supply, metering, NRW, continuity, water quality, complaint redressal, cost recovery, collection efficiency), an annual or administration report with performance indicators, or a performance dashboard. To earn the format marks, the data must be downloadable in CSV, XLS or ODS, or shown as a structured HTML table. A dated screenshot or archive of the page is also needed.</t>
  </si>
  <si>
    <t xml:space="preserve">Step 2 found no evidence: a source needs to be found and added. Step 2 found no evidence (Insufficient Evidence). Source needed: Needed: BMTC's official website page(s) that publish its performance information for FY 2024-25 or 2025-26. That could be operational statistics (fleet, schedules, daily ridership, kilometres operated, revenue per km, cost per km), a service-level benchmark dashboard, an annual report or annual performance report. Each needs its date of access and its file format (CSV, XLS, a structured HTML table, a text PDF or a scanned PDF), so both parts of the score can be assessed. The Karnataka government's open data portal would also work if it holds BMTC performance data sets.</t>
  </si>
  <si>
    <t xml:space="preserve">Step 2 found no evidence: a source needs to be found and added. Step 2 found no evidence (Insufficient Evidence). Source needed: Two things are missing. First, a dated page on BDA's official website, or a Karnataka Government site, that publishes BDA performance information for FY 2024-25 or FY 2025-26. Examples: an annual report or administration report, an outcome or performance report, a service-level benchmark or Sakala service-delivery dashboard, or KPI tables. Second, proof of the format: a CSV, XLS or ODS download, or a structured HTML table or dashboard with downloadable data, as opposed to a scanned PDF or chart images. Record the date the page was accessed and the financial year it covers.</t>
  </si>
  <si>
    <t xml:space="preserve">Step 2 found no evidence: a source needs to be found and added. Step 2 found no evidence (Insufficient Evidence). Source needed: Performance information for FY 2024-25 or FY 2025-26 published by BMRCL, captured with the date of access. Examples: a ridership or operations statistics page on the BMRCL website, a recent annual report with O&amp;M performance (punctuality, train availability, ridership, revenue), or a service-level benchmark dashboard. For the format criterion, evidence is needed on whether the data can be downloaded as CSV/XLS or is a structured HTML table.</t>
  </si>
  <si>
    <t xml:space="preserve">No performance information for the current or previous financial year was found in the Citation Sheet sources. Taking the current year as FY 2026-27 (the site's uploads are dated 2026 and its footer reads © 2026), the previous year is FY 2025-26. The newest performance-type document linked from BMRDA's official home page is an 'Annual Report' PDF, and its file name ('2023-24 Anual Report.pdf') suggests it covers FY 2023-24. That is older than the permitted period. No data in CSV, XLS or ODS format, structured HTML tables, or downloadable dashboards appears anywhere on the home page. Availability and currency: 0. Format: 0 (the only item is a PDF, and no machine-readable performance data was found). Latest information found: FY 2023-24, inferred from the Annual Report file name. The report itself was not checked.</t>
  </si>
  <si>
    <t xml:space="preserve">I score this 0 out of 1. Availability and currency gets 0. Format gets 0.
What the source shows: the newest performance-type document on BMRDA's official home page is the 'Annual Report' link under Budget and Annual Reports. Its file name, '2023-24 Anual Report.pdf', points to FY 2023-24. The site looks current to 2026: the footer reads © 2026, there are newspaper notices dated 29-07-2026 and 30-07-2026, and the uploads carry recent timestamps. That makes the current FY 2026-27 and the previous FY 2025-26, so a FY 2023-24 report is older than the permitted period. Even if the current year were FY 2025-26, the previous year would be FY 2024-25, and FY 2023-24 would still be out of range. Currency therefore scores 0.
Format: the only performance item is a PDF. The home page links no CSV, XLS or ODS file, no structured HTML table and no downloadable dashboard. The Citizen Charter is dated 2020-21 and states service standards rather than reporting performance. Format therefore scores 0.
Other sources: a search for '2024-25' and performance reports across the Citation Sheet found nothing newer. BMRDA-04 (Kannada home page) shows the same Annual Report link. BMRDA-08 (the Act, Section 13 annual report duty) is a legal requirement, not evidence of what is published. BMRDA-05 is a draft structure plan, not a performance report.
Latest information found: FY 2023-24, taken from the file name only. The report itself and the Budget and Annual Reports sub-page are not in the Citation Sheet.
The Step 2 answer is consistent with the source.
For a person to check:
- Open https://bmrda.karnataka.gov.in/40/budget-and-annual-reports/en and the APA page.
- Confirm that no FY 2024-25 or FY 2025-26 report or data has been posted.
- Check what year the annual report covers and whether it is a scanned file or has readable text.
- Take screenshots with the date of access.</t>
  </si>
  <si>
    <t xml:space="preserve">DPG5i</t>
  </si>
  <si>
    <t xml:space="preserve">Citizen / Service Charter</t>
  </si>
  <si>
    <t xml:space="preserve">Step 2 found no evidence: a source needs to be found and added. Step 2 found no evidence (Insufficient Evidence). Source needed: BWSSB's current Citizen/Service Charter (often titled 'Our Customer Charter') as published on BWSSB's official website, or on a Government of Karnataka site such as a Sakala or service-guarantee page. It should show the Charter's date or version and that it is still in force, and its format: an HTML page or searchable PDF, rather than a scanned image. Record the date of access.</t>
  </si>
  <si>
    <t xml:space="preserve">Step 2 found no evidence: a source needs to be found and added. Step 2 found no evidence (Insufficient Evidence). Source needed: BMTC's Citizen or Service Charter as published on BMTC's official website (mybmtc.karnataka.gov.in / mybmtc.com), or on a Government of Karnataka portal (for example the Sakala or Transport Department citizen charter pages) that lists BMTC services, service standards, timelines and grievance redress. The record needs the charter's date or year, the exact URL and date of access, and the format: HTML, searchable PDF, or scanned image-only PDF.</t>
  </si>
  <si>
    <t xml:space="preserve">Step 2 found no evidence: a source needs to be found and added. Step 2 found no evidence (Insufficient Evidence). Source needed: The BDA's Citizen or Service Charter as published on the BDA's official website (or on a Karnataka government portal), as an HTML page or downloadable document. It should show its date or year and whether it is still in force. We would also need the date we accessed it and whether the file is text-searchable or a scanned image. If the BDA has no charter of its own, a Karnataka government listing of BDA services and time limits under the Sakala service-guarantee system might also count, if it is presented as BDA's charter.</t>
  </si>
  <si>
    <t xml:space="preserve">Step 2 found no evidence: a source needs to be found and added. Step 2 found no evidence (Insufficient Evidence). Source needed: A Citizen or Service Charter on BMRCL's official website, with its date or version and format (HTML or searchable PDF versus scanned image). It would typically sit on a 'Citizen Charter', 'Passenger Charter' or RTI/transparency page. Failing that, a Karnataka government notification adopting a charter for BMRCL. The research team should also record the date of access and keep a screenshot or archived URL.</t>
  </si>
  <si>
    <t xml:space="preserve">BMRDA's official English home page has a 'Citizen Charter' link under its INTRODUCTION menu. The link points to a PDF named 'CITIZEN CHARTER-2020-21 eng.pdf'. The Kannada home page links to a matching Kannada version, 'CITIZEN CHARTER-2020-21 ka.pdf'. Based on the file names, the latest Charter appears to be from FY 2020-21. Nothing in the Citation Sheet says it has been replaced or withdrawn, and the methodology does not count a Charter as outdated just because it is older, as long as it is still in force. However, the Charter itself is not in the Citation Sheet. Only the link on the home page is. So I could not confirm that the PDF opens, that it really is BMRDA's Citizen/Service Charter, or that it is still in force. I also could not check whether it is a searchable, text-readable PDF or a scanned image. I have not proposed a score. If a human opens the PDF and confirms it is the Charter, availability would earn 0.5. The format part would earn another 0.5 only if the PDF has selectable, searchable text.</t>
  </si>
  <si>
    <t xml:space="preserve">[https://bmrda.karnataka.gov.in/storage/pdf-files/CITIZEN CHARTER-2020-21 eng.pdf] Citizen Charter</t>
  </si>
  <si>
    <t xml:space="preserve">I left the score blank because the Citation Sheet does not contain the Charter itself. BMRDA's official English home page (BMRDA-02) has a 'Citizen Charter' link in its INTRODUCTION menu. The link points to a PDF named 'CITIZEN CHARTER-2020-21 eng.pdf'. The Kannada home page (BMRDA-04) also links to a matching Kannada version, according to the Step 2 notes. The latest information found is FY 2020-21, but that comes from the file name only. A search of the Citation Sheet found no Charter text in BMRDA-01, -02, -04, -05 or -08.
The question is scored at the Implementation level, so a link label is not enough. Both parts of the score are undecided:
(a) Availability and currency (0.5): no tool opened the PDF. I cannot confirm that it opens, that it is BMRDA's Citizen/Service Charter, or that it is still in force. The methodology does not count a 2020-21 Charter as outdated if it is still in force.
(b) Format (0.5): I cannot tell whether the PDF has searchable text or is a scanned image.
Next steps for a human scorer: open the exact link from the home page. The file name contains spaces, so it may need URL encoding. Then check three things:
1. The document is BMRDA's Charter and is still in force. If so, add 0.5.
2. The text can be selected or searched. If so, add another 0.5. A scanned or image-only PDF gets nothing for this part.
3. Record the date of access and take a screenshot.
Likely score: 1 if both checks pass, 0.5 if the PDF is scanned, and 0 if the link is broken.</t>
  </si>
  <si>
    <t xml:space="preserve">DPG5j</t>
  </si>
  <si>
    <t xml:space="preserve">RTI details and designated Public Information Officer contact/procedure</t>
  </si>
  <si>
    <t xml:space="preserve">Step 2 found no evidence: a source needs to be found and added. Step 2 found no evidence (Insufficient Evidence). Source needed: BWSSB's RTI page on its official website, or a searchable PDF published there. This should be the Section 4(1)(b) proactive disclosure or a notified list of PIOs, APIOs and First Appellate Authorities, with names or designations, office addresses, phone numbers or emails, the fee and how to apply, and a date showing the information is current. A dated screenshot or archived copy is also needed, along with a check of whether the document is searchable text or a scanned image.</t>
  </si>
  <si>
    <t xml:space="preserve">Step 2 found no evidence: a source needs to be found and added. Step 2 found no evidence (Insufficient Evidence). Source needed: Any one of these would answer it: BMTC's own RTI page or its Section 4(1)(b) proactive-disclosure document naming the current PIOs, APIOs and First Appellate Authority, with designations, addresses, phone numbers or emails, plus the RTI fee and filing procedure; or the RTI Online portal's PIO/FAA list filtered to BMTC. The page's date or last-updated date is also needed, along with confirmation that it is a searchable HTML page or text PDF rather than a scanned image.</t>
  </si>
  <si>
    <t xml:space="preserve">Step 2 found no evidence: a source needs to be found and added. Step 2 found no evidence (Insufficient Evidence). Source needed: BDA's own RTI or disclosure page, or a downloadable document from BDA, naming the current PIOs, Assistant PIOs and first appellate authority with their contact details and the RTI application procedure and fees. A notice listing BDA's RTI officers under Section 4(1)(b) of the RTI Act would also work. It should be recorded with the date accessed and the date or year of the information, and it should be checked whether it is a searchable page or PDF or a scanned or image-only file.</t>
  </si>
  <si>
    <t xml:space="preserve">Step 2 found no evidence: a source needs to be found and added. Step 2 found no evidence (Insufficient Evidence). Source needed: BMRCL's own RTI webpage, or its RTI Act Section 4(1)(b) proactive-disclosure document, on the official BMRCL website. It should name the current PIO/APIO and First Appellate Authority with designation, address, phone and email, and explain how to apply and pay the fee. It should be dated or verifiably current and be in a searchable format (an HTML page or a searchable PDF/DOC). A dated screenshot or archived copy of that page would also meet the evidence requirement.</t>
  </si>
  <si>
    <t xml:space="preserve">Step 2 found no evidence: a source needs to be found and added. Step 2 found no evidence (Insufficient Evidence). Source needed: BMRDA's own 'Right To Information' page, or its RTI Section 4(1)(b) proactive-disclosure document. It should name the current Public Information Officer, Assistant Public Information Officer and First Appellate Authority, give their contact details, and describe how to file an RTI request (how to apply, fee, timelines, appeal). It also needs a visible date, and it must be possible to check whether the page is searchable HTML or a searchable PDF rather than a scanned image.</t>
  </si>
  <si>
    <t xml:space="preserve">DPG5k</t>
  </si>
  <si>
    <t xml:space="preserve">Procurement / tender notices and awarded-contract details</t>
  </si>
  <si>
    <t xml:space="preserve">Step 2 found no evidence: a source needs to be found and added. Step 2 found no evidence (Insufficient Evidence). Source needed: Two things are needed: (1) the tender or procurement page on BWSSB's official website, and (2) BWSSB's listing on the Karnataka e-procurement portal, showing tenders or awarded contracts from FY 2025-26 or FY 2024-25. Record the date of the latest item, and screenshot or archive the page with the date of access. To score format, we need to see whether this is a searchable or filterable HTML table, a contract register or a CSV/XLS download, or just individual or scanned PDFs.</t>
  </si>
  <si>
    <t xml:space="preserve">Step 2 found no evidence: a source needs to be found and added. Step 2 found no evidence (Insufficient Evidence). Source needed: Two things are needed. (1) BMTC's own Tenders page on its official website, or BMTC's listing on the Karnataka Public Procurement (e-procurement) portal, showing tender notices and awarded contracts with dates from the current or previous financial year (FY 2024-25 or FY 2025-26). (2) Evidence of the format: a searchable HTML table or register, or a CSV/XLS download, as opposed to scanned or individual PDF notices with no index. Each page should be captured as a dated screenshot or archived URL with the date of access. If BMTC uses the state e-procurement portal, a dated capture of the BMTC entries on that portal would also count.</t>
  </si>
  <si>
    <t xml:space="preserve">Step 2 found no evidence: a source needs to be found and added. Step 2 found no evidence (Insufficient Evidence). Source needed: We need dated, current evidence of BDA's tenders and awards online. Two kinds of source would answer this: (1) BDA's official tender or procurement page, or the Karnataka e-Procurement portal filtered to BDA, showing tenders or awards from FY 2025-26 or FY 2024-25 (with a screenshot and access date); (2) evidence of the format, i.e. whether the listings are a searchable structured table or HTML contract register, or a CSV/XLS download, rather than scanned or image-only PDF notices. The date of the latest tender or award found should also be recorded.</t>
  </si>
  <si>
    <t xml:space="preserve">Step 2 found no evidence: a source needs to be found and added. Step 2 found no evidence (Insufficient Evidence). Source needed: BMRCL's official tenders/procurement page with tender notices and awarded contracts dated in the current or previous FY, or BMRCL listings on the Karnataka Public Procurement Portal (searchable e-procurement table), or a published contract register or award list (HTML or CSV/XLS). The date accessed should be recorded with a screenshot or archived copy.</t>
  </si>
  <si>
    <t xml:space="preserve">Step 2 found no evidence: a source needs to be found and added. Step 2 found no evidence (Insufficient Evidence). Source needed: Two things would answer this question. First, a Tenders or Procurement page on BMRDA's official website listing tenders and awards for the current or previous financial year. Second, BMRDA's entries on the Karnataka Public Procurement Portal (the state e-procurement portal), which can be searched and filtered by department. That would include awarded-contract or award-of-contract (AOC) details for BMRDA, with dates, saved with a screenshot and date of access. The Citation Sheet has neither.</t>
  </si>
  <si>
    <t xml:space="preserve">DPG6a</t>
  </si>
  <si>
    <t xml:space="preserve">Is the parastatal mandated to provide a grievance-redressal mechanism?</t>
  </si>
  <si>
    <t xml:space="preserve">Partly. The Bangalore Water Supply and Sewerage Act, 1964 does require one complaint-redressal channel, but only a narrow one. Section 59(7) says the Board "shall make regulations" for hearing and settling complaints from owners or occupiers of premises about licensed plumbers' work: its quality, the materials used, delays and the charges made. Section 59 covers water-supply work, and Section 82(2) applies it to drainage and sewerage work. Because "shall" makes this compulsory, it can meet the methodology's "any channel" test, so a score of 5 is proposed. The Act does not set up a general grievance mechanism for the Board's own services. The Consultative Committee under Section 14 only advises on policy and reviews the Board's work; it has no complaints role. A 2016 Public Affairs Centre study mentions a BWSSB consumer charter booklet ("Our Consumer Charter"), but the charter's text is not in the Citation Sheet, so we can't check whether it requires a grievance mechanism. Section 96(c) of the Greater Bengaluru Governance Act, 2024 lets Assembly Constituency committees receive grievances about authorities empowered under that Act. That is not the parastatal's own Act and does not clearly cover BWSSB, so it is not relied on.</t>
  </si>
  <si>
    <t xml:space="preserve">(7) The Board shall make regulations providing for,— (a)  the exercise of adequate control on all licensed plumbers; (b)  the inspection of all works carried out by them; and (c)  the hearing and disposal of complaints made by the owners or occupiers of premises with regard to the quality of work done, material used, delay in execution of work, and the charges made, by a licensed plumber.</t>
  </si>
  <si>
    <t xml:space="preserve">I propose a score of 5, but a reviewer should check how broad the mandate needs to be.
What the Act requires: I checked the Act's text in BWSSB-04. Section 59(7)(c) says the Board "shall make regulations" for hearing and settling complaints from owners or occupiers of premises. The complaints can be about a licensed plumber's quality of work, materials, delays or charges. Because the verb is "shall", this is a compulsory duty for the Board to provide a complaint-redressal process for consumers. Section 82(2) applies Section 59 to drainage and sewerage work as well as water supply. The methodology gives 5 if the parastatal's Act "requires a grievance-redressal mechanism (any channel)", so this narrow statutory mandate meets the test as worded. I agree with the Step 2 answer on this.
What a reviewer should check:
(1) Scope. The mandate covers only complaints about licensed plumbers. It does not cover complaints about the Board's own services, such as supply, billing or sewerage service failures. I found no general grievance provision in the Act. The Section 14 Consultative Committee only advises; it has no complaints role. If ASICS requires a general consumer grievance mechanism, change the score to 0 or leave it unconfirmed until the BWSSB citizen or consumer charter is obtained.
(2) Charter text. The charter is not in the Citation Sheet. BWSSB-32 (the 2016 Public Affairs Centre study) mentions an "Our Consumer Charter" booklet and the existing grievance system. That is evidence of practice from a source that is not official, not a mandate.
(3) Currency of the Act. The FAOLEX copy lists amendments only up to 1984 (Act 18 of 1984). Later amendments can't be confirmed, but none of the listed amendments touch Section 59.
(4) Other sources. Section 96(c) of the Greater Bengaluru Governance Act, 2024 (BWSSB-29) is not the parastatal's own Act, so I did not rely on it.</t>
  </si>
  <si>
    <t xml:space="preserve">Step 2 found no evidence: a source needs to be found and added. Step 2 found no evidence (Insufficient Evidence). Source needed: One of these documents would answer the question: (1) the full text of the Road Transport Corporations Act, 1950 together with any Karnataka rules or regulations made under it for BMTC that require a complaint or grievance mechanism; (2) BMTC's official Citizen Charter or Service Charter, published on BMTC's website, that sets out a grievance or complaint channel; or (3) a Karnataka Government order or notification requiring BMTC to provide grievance redressal.</t>
  </si>
  <si>
    <t xml:space="preserve">No source on the Citation Sheet requires BDA to run a general grievance-redressal mechanism. The consolidated BDA Act, 1976 (BDA-02) has no section that sets up a grievance cell, complaints channel or grievance officer. The only provision close to one is Section 62A, added by Act 6 of 1993. It lets a person who disputes a tax assessed under Section 28B appeal to an Appellate Authority notified by the Government. That is a narrow tax appeal, not a general grievance channel for citizens. Section 63 lets the Government or the Authority review proceedings and requires a hearing before any adverse order, but that is a review power, not a complaints channel. The Greater Bengaluru Governance Act (BDA-11) is not BDA's own Act. Under its Section 96(c), Assembly Constituency committees receive public grievances about 'any authority empowered under this Act', and no source shows that this covers BDA. No BDA citizen charter, service charter or subordinate legislation is on the sheet. On the BDA Act alone, the methodology gives 0. That score is provisional, because a BDA citizen charter or a state law covering BDA services was not checked.</t>
  </si>
  <si>
    <t xml:space="preserve">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</si>
  <si>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Score: 0, provisional. Someone needs to check this.
What I checked and found:
- The BDA Act, 1976 (BDA-02), as amended, does not require a grievance-redressal mechanism of any kind. It sets up no grievance cell, complaints channel or grievance officer.
- The closest provision is Section 62A. A person who disputes a property tax assessed under Section 28B 'may' appeal to an Appellate Authority that the Government notifies. This is a narrow statutory tax appeal, not a grievance channel for citizens. I did not count it under 'any channel'. If a reviewer decides it does count, the score becomes 5.
- Section 63 lets the Government or the Authority call for and review records, with a hearing before any adverse order. That is a supervisory power, not a complaints channel.
- The Greater Bengaluru Governance Act (BDA-11) is not BDA's own Act. Section 14(4) gives the Greater Bengaluru Authority power to 'integrate and supervise' BDA so that its functions are 'citizen-friendly'. That is a general phrase, not a grievance mechanism. The grievance role of the Assembly Constituency committees under Section 96(c) is not shown to cover BDA.
- The Karnataka Town and Country Planning Act (BDA-03) has no grievance provision for BDA.
- Searching the whole Citation Sheet for 'grievance redressal' found only text from the city-government Act.
What is missing:
The methodology also accepts subordinate legislation and a citizen or service charter. None is on the Citation Sheet. That includes any BDA citizen charter, BDA regulations or rules, and any notification placing BDA services under a Karnataka public-services guarantee law. If one of these requires a grievance or complaints channel, the score should be 5. Because of this gap, confidence is low.</t>
  </si>
  <si>
    <t xml:space="preserve">Step 2 found no evidence: a source needs to be found and added. Step 2 found no evidence (Insufficient Evidence). Source needed: Any of these would answer the question: (a) a BMRCL Citizen's Charter or Passenger/Service Charter that commits to a complaint channel (helpline, email, station complaint book, Public Grievance Officer); (b) rules or regulations under the Metro Railways (Operation and Maintenance) Act, 2002 that require complaint handling; or (c) a Karnataka or Government of India order that requires BMRCL to run a public grievance system.</t>
  </si>
  <si>
    <t xml:space="preserve">None of the sources provided says that BMRDA must run a general grievance-redressal mechanism, such as a complaints cell, a grievance officer or a public grievance channel. The closest provision is a narrow statutory appeal in the BMRDA Act, 1985. Under Section 10(5), any person or authority 'aggrieved by the decision of the Authority' on a development permission 'may, within thirty days from the date of the decision appeal against such decision to the State Government'. Under Section 26(3), no revision order may harm a person unless they have had 'an opportunity of making representation'. These are appeal and natural-justice rights against specific decisions. They do not set up a channel for citizens to lodge grievances. BMRDA's website links a 'Citizen Charter' (2020-21), and that is the kind of document that could require a grievance mechanism. However, its text is not in the Citation Sheet, so I could not check what it says. I have not proposed a score. The 0 in the methodology means 'not mandated', and I can't confirm that without reading the Citizen Charter.</t>
  </si>
  <si>
    <t xml:space="preserve">Any authority or person aggrieved by the decision of the Authority under sub-section (4) may, within thirty days from the date of the decision appeal against such decision to the State Government, whose decision thereon shall be final:</t>
  </si>
  <si>
    <t xml:space="preserve">I left the score blank because the deciding document is missing from the Citation Sheet.
**What the Act says.** I read the BMRDA Act, 1985 as amended by Act 8 of 2005 (BMRDA-08). It has no section that requires BMRDA to run a grievance-redressal mechanism. There is no grievance cell, grievance officer or complaints channel. Two provisions come close:
- **Section 10(5):** a person aggrieved by BMRDA's decision on a development permission 'may' appeal, within 30 days, to the State Government, whose decision is final. This appeal goes to the Government, not to a channel BMRDA runs. It only covers permission decisions, and 'may' gives the person a choice; it puts no duty on BMRDA.
- **Section 26(3):** before a revision order harms someone, they must have had 'an opportunity of making representation'. This is a natural-justice safeguard in revision proceedings, not a grievance mechanism.
On a strict reading, neither provision means the parastatal is mandated to provide a grievance-redressal mechanism. Based on the Act alone, the evidence points towards 0.
**Why I did not score 0.** The methodology also counts a citizen or service charter. The Step 2 notes say BMRDA's official website links a Citizen Charter for 2020-21. However, the website pages in the sheet (BMRDA-02, BMRDA-04) show only the link to it, not its text. My search of the sheet for 'citizen charter grievance redressal complaint' found no charter content. Scoring 0 now would mean assuming the charter has no grievance clause.
**What a reviewer should do:**
1. Get the BMRDA Citizen Charter from the official site and check whether it requires a grievance or complaint mechanism. If it does, score 5. If it does not, score 0.
2. Decide whether ASICS counts the Section 10(5) appeal to the State Government as 'any channel'. I think it should not, because the appeal is to the Government, is narrow, and puts no duty on BMRDA. If ASICS does count it, the score would be 5.
Other checks: no rules or regulations made under Sections 29 or 30 are in the Citation Sheet. BMRDA-08 is the official Act text, but the copy is hosted on India Water Portal rather than a government site.</t>
  </si>
  <si>
    <t xml:space="preserve">DPG6b</t>
  </si>
  <si>
    <t xml:space="preserve">Are accessible grievance-redressal channels available and functional in practice?</t>
  </si>
  <si>
    <t xml:space="preserve">Step 2 found no evidence: a source needs to be found and added. Step 2 found no evidence (Insufficient Evidence). Source needed: BWSSB's official website pages, current and dated, showing: (1) an online grievance/complaint form or a link to a state grievance portal; (2) the official grievance email, WhatsApp number or mobile app; (3) the designated grievance helpline or call-centre number; (4) a Citizen/Service Charter or office notice naming in-person grievance counters, help desks or designated officers (e.g. service stations, sub-division offices); (5) a portal page showing that complaints get a reference/docket number and can be tracked by status. A current BWSSB Citizen Charter or annual report describing the complaint management system would also help.</t>
  </si>
  <si>
    <t xml:space="preserve">Step 2 found no evidence: a source needs to be found and added. Step 2 found no evidence (Insufficient Evidence). Source needed: Pages from BMTC's official website (or official state government pages) that show: (1) an online grievance or complaint form, or a link to a state grievance portal that handles BMTC complaints; (2) an official BMTC mobile app, grievance email address or WhatsApp number for complaints; (3) a named BMTC helpline or call-centre number for passenger complaints; (4) an in-person channel, such as depot or bus-station complaint counters or a named public grievance officer, listed in a citizen charter or office order; (5) proof that complaints get a reference number and can be tracked, such as a screenshot of a portal or app showing complaint status. Each item needs a live, dated capture.</t>
  </si>
  <si>
    <t xml:space="preserve">Step 2 found no evidence: a source needs to be found and added. Step 2 found no evidence (Insufficient Evidence). Source needed: BDA's official website, recorded on a known date, showing: (a) a working online grievance form, or a link to a state grievance portal, plus the portal page itself; (b) a named grievance email, WhatsApp number or app listing; (c) a dedicated grievance helpline or call-centre number; (d) a Citizen Charter, office order or website page naming a grievance counter or Public Grievance Officer where complaints can be made in person; (e) proof that complaints get an acknowledgement or reference number and can be tracked, such as a portal screenshot.</t>
  </si>
  <si>
    <t xml:space="preserve">Step 2 found no evidence: a source needs to be found and added. Step 2 found no evidence (Insufficient Evidence). Source needed: Pages from BMRCL's official website (or the state or common grievance portal it sends users to), with dated screenshots, showing: (1) an online grievance or complaint form, or a link to an integrated portal such as CPGRAMS or the Karnataka state portal; (2) an electronic channel listed officially, such as a grievance email, WhatsApp number, or a Namma Metro app store listing with a complaint feature; (3) a commuter helpline or customer-care number explicitly designated for complaints; (4) a citizen charter, website page or office order naming an in-person channel, such as station customer-care counters or a designated public grievance officer; (5) a screenshot showing that complaints receive an acknowledgement or reference number and can be tracked.</t>
  </si>
  <si>
    <t xml:space="preserve">Step 2 found no evidence: a source needs to be found and added. Step 2 found no evidence (Insufficient Evidence). Source needed: Three things would answer the question: (a) the text of BMRDA's 2020-21 Citizen Charter, or a newer one, showing any grievance officer, counter or helpline and the time limits for resolving complaints; (b) the BMRDA Feedback page, or a dated screenshot of it, showing whether it accepts grievances and gives a reference number or status tracking; (c) any BMRDA page or order sending citizens to a state grievance portal such as e-Spandana or IPGRS, with that portal's page for BMRDA, as dated screenshots.</t>
  </si>
  <si>
    <t xml:space="preserve">DPG7a</t>
  </si>
  <si>
    <t xml:space="preserve">Is citizen participation in the preparation of the parastatal's plans mandated?</t>
  </si>
  <si>
    <t xml:space="preserve">No. None of the laws in the Citation Sheet requires citizen participation when BWSSB prepares its plans. Under the Bangalore Water Supply and Sewerage Act, 1964, Section 15(2)(b) and (c), it is the Board's duty to prepare and carry out water-supply and sewerage schemes. The only outside check in Section 15 is State Government approval for schemes costing more than one crore rupees. Nothing in the Act requires a draft scheme to be published, objections or suggestions to be invited, or a public hearing to be held. Section 14 sets up a Consultative Committee to 'advise the Board on major questions of policy and major schemes'. However, its members are Board members plus 3 to 9 people appointed by the State Government, after consulting bodies that represent the Corporation, the City Improvement Trust Board and water consumers 'as the State Government thinks fit'. That is advice from an appointed body, not a public participation process. The Karnataka Town and Country Planning Act does require public suggestions and objections, for example Section 10(1)–(2) on master plans. But that duty falls on the 'Planning Authority', which under Section 14(2)(a) of the Greater Bengaluru Governance Act, 2024 is the Greater Bengaluru Authority, not BWSSB. The Governance Act lets the Authority coordinate and direct BWSSB (Section 14(4)), but it does not require any public consultation on BWSSB's own plans. Ward committee planning under that Act belongs to the City Corporations. Under the methodo</t>
  </si>
  <si>
    <t xml:space="preserve">Score: 0. I found no law in the Citation Sheet that requires citizen participation when BWSSB prepares its plans or schemes.
**BWSSB Act, 1964 (BWSSB-04, FAOLEX copy with amendments up to 1984)**
- Section 15(2)(b) and (c) make preparing and carrying out water-supply and sewerage schemes a duty of the Board.
- The only outside check before a scheme goes ahead is State Government approval for schemes costing more than one crore rupees (proviso to Section 15(2)).
- The Act does not require the Board to publish a draft scheme, invite objections or suggestions, or hold a public hearing.
- Section 14 sets up a Consultative Committee to 'advise the Board on major questions of policy and major schemes'. Its members are Board members plus 3 to 9 people appointed by the State Government. The Government consults bodies representing the Corporation, the City Improvement Trust Board and consumers 'as the State Government thinks fit'. That is advice from an appointed body, not a public participation process, so I did not count it.
**Karnataka Town and Country Planning Act (BWSSB-28)**
- Section 10 requires ('shall') public objections and suggestions on master plans. That duty falls on Planning Authorities, not on BWSSB's water or sewerage schemes.
**Greater Bengaluru Governance Act, 2024 (BWSSB-29)**
- Section 14(4) lets the Greater Bengaluru Authority coordinate BWSSB and give it binding directions.
- Section 15 gives the Authority the master plan and mobility plans.
- Neither section requires any public consultation on BWSSB's own plans.
**Karnataka Urban Drinking Water and Sanitation Policy, 2002 (BWSSB-33)**
- The policy says the water action plan will be adopted after discussion with 'all the relevant agencies' only. It provides no role for citizens.
**For a reviewer to check**
1. I did not have any rules made under the BWSSB Act, such as Consultative Committee rules, or any amendments made after 1984. One of these could add a public consultation step for BWSSB plans.
2. Someone could argue that consumer representation on the Consultative Committee is limited, discretionary participation worth 2.5. I gave 0 because the State Government chooses the members and nothing is opened to the public.
The Step 2 answer matches the sources.</t>
  </si>
  <si>
    <t xml:space="preserve">I could not find any law in the Citation Sheet that requires BMTC to involve citizens when it prepares its own plans. A mandatory citizen-participation process does exist one level up. Under Section 21(3) of the Bengaluru Metropolitan Land Transport Authority (BMLTA) Act, 2022, before the Authority finalises any plan under the Act, it 'shall' publish a draft plan for inspection. It must also issue a notice inviting objections and suggestions from any person, for up to two months, and consider them before finalising. Section 23 applies the same process to each five-yearly revision of the Comprehensive Mobility Plan.
BMTC's plans reach the public only through that plan. The Comprehensive Mobility Plan must cover 'existing and proposed route plans of public transport' and the City Mobility Investment Program, which is built from the Sectoral Mobility Investment Programs of the urban transport agencies (Section 21(2)(d) and (l); Section 24(e)). But the plans BMTC makes itself have no participation requirement. Its Sectoral Mobility Investment Program need only be 'prepared in consultation with the Authority' (Section 24(b)). Its Annual Implementation Plan is reviewed and approved by the Authority (Section 25). Neither involves the public.
The Karnataka Town and Country Planning Act, 1961 does require public suggestions (Section 10(1)–(2)), but only for Master Plans made by Planning Authorities such as BDA. It does not apply to BMTC.
So participation is mandatory, but only for </t>
  </si>
  <si>
    <t xml:space="preserve">Before finalizing any plan as under this Act, the Authority shall cause to pu blish a draft plan by making a copy thereof available for inspection</t>
  </si>
  <si>
    <t xml:space="preserve">Score 2.5: the law does require public participation, but only for one plan type, and that plan is made by BMLTA, not BMTC.
Why BMTC is covered by the Act: it is an Urban Transport Agency under Section 2(ff), which reads "means and includes both the private and public agencies engaged in providing of Urban Mobility in Urban Mobility Region". The Schedule lists bus systems as public transport. The preamble names Bangalore Metropolitan Transport Corporation, and its Managing Director is an ex officio member of the Authority (Section 4) and of the Executive Committee. The Step 2 note said this definition was not visible; it is visible, so the gap is closed.
The participation process, Section 21(3): before finalising any plan under the Act, the Authority 'shall' publish a draft plan for inspection. It must also issue a notice inviting objections and suggestions from any person within a maximum of two months, and consider them before finalising. The verb is mandatory. Section 23 applies the same process to each five-yearly revision of the Comprehensive Mobility Plan (CMP). BMTC's planning reaches the public only through the CMP:
- The CMP must include 'existing and proposed route plans of public transport' (Section 21(2)(d)).
- It must include the City Mobility Investment Program, which is made up of the agencies' Sectoral Mobility Investment Programs (Section 21(2)(l); Section 24(c) and (e)).
Why not 5:
- BMTC's own Sectoral Mobility Investment Program need only be 'prepared in consultation with the Authority' (Section 24(b)).
- Its Annual Implementation Plan is reviewed and approved by the Authority (Section 25(2)).
- Neither includes a public-participation step.
So participation applies only to a specified plan type and stage: the CMP made by BMLTA, which includes BMTC's programme. That matches the 2.5 band.
Other laws: Section 20(1) requires mobility policies to be placed in the public domain for feedback, but these are policies, not plans. The Karnataka Town and Country Planning Act, 1961 (BMTC-25), Section 10, covers only Master Plans made by Planning Authorities. The Citation Sheet does not contain the BMTC/Road Transport Corporations Act or a State Municipal Act, so a reviewer should confirm that neither creates a direct participation duty for BMTC.
A reviewer could argue for 0 on the ground that nothing binds BMTC's own plans directly.
Source caveat: the text used is the PRS copy of Karnataka Act 6 of 2023, which says an amendment (Act 10 of 2026) is appended. Check Sections 21 and 24 against the official gazette text.</t>
  </si>
  <si>
    <t xml:space="preserve">None of the sources requires citizens to take part in preparing BMRCL's own plans, such as its metro project reports or corridor plans. BMRCL is a company set up under the Companies Act, jointly owned 50:50 by the Government of India and the Government of Karnataka. It has no Act of its own. The central Metro Railways (Operation and Maintenance) Act, 2002 has no provision for public participation in plan preparation. The Karnataka Town and Country Planning Act, 1961 (s.10) requires a planning authority to call for public suggestions on its intention to prepare a master plan. Under the Greater Bengaluru Governance Act (s.2(a)), that planning authority is the Greater Bengaluru Authority, not BMRCL. The closest applicable rule is in the Bengaluru Metropolitan Land Transport Authority (BMLTA) Act, 2022. Section 21(3) requires BMLTA, before finalising 'any plan' under the Act, to publish a draft and invite objections and suggestions from any person for up to two months, using mandatory 'shall' language. The plan covered is the Comprehensive Mobility Plan, which s.21(2) says must include existing and proposed public transport route plans (cl. d). It must also include an investment programme made up of investment programmes submitted by the urban transport agencies (cl. l). Section 19 also requires BMLTA's approval for major urban transport projects. So metro plans go through a mandatory public consultation only at one stage: when they are included in BMLTA's Comprehensive Mobility </t>
  </si>
  <si>
    <t xml:space="preserve">The Bengaluru Metropolitan Land Transport Authority Act, 2022 (Karnataka Act 6 of 2023) [BMRCL-35]</t>
  </si>
  <si>
    <t xml:space="preserve">Before finalizing any plan as under this Act, the Authority shall cause to pu blish a draft plan by making a copy thereof available for inspection and publis</t>
  </si>
  <si>
    <t xml:space="preserve">Proposed score: 2.5, because citizen participation is required only at one stage, through the Bengaluru Metropolitan Land Transport Authority's (BMLTA) plan.
**What the law requires, and of whom:**
- **BMRCL itself:** No law requires BMRCL to involve citizens in preparing its own plans. BMRCL is a company under the Companies Act with no Act of its own. The Metro Railways (Operation and Maintenance) Act, 2002 (BMRCL-15) has no provision on plan participation.
- **Planning authorities:** Section 10 of the Karnataka Town and Country Planning Act (BMRCL-31) requires public suggestions only from planning authorities preparing master plans. Under the Greater Bengaluru Governance Act (BMRCL-34), that planning authority is the Greater Bengaluru Authority, not BMRCL.
- **BMLTA:** The BMLTA Act (BMRCL-35), s.21(3), says that before finalising 'any plan' under the Act, BMLTA 'shall' publish a draft plan, make it available for inspection, and invite objections and suggestions from any person. The period may be at most two months. BMLTA must then consider the responses before finalising the plan.
**How this reaches metro plans:**
- The plan covered is the Comprehensive Mobility Plan. Under s.21(2)(d) it must include existing and proposed public transport route plans. Under s.21(2)(l) and s.24 it must include the City Mobility Investment Program, which is made up of the Sectoral Mobility Investment Programs prepared by each urban transport agency.
- The Schedule lists metro railway as public transport.
- Under s.19 and s.2(n), changes to the metro network count as major urban transport projects that need BMLTA's approval.
**Why 2.5 and not 5 or 0:** BMRCL's sectoral programme and metro route plans go through a mandatory public consultation only when BMLTA includes them in its Comprehensive Mobility Plan. BMRCL's own detailed project reports and Annual Implementation Plan (s.25) have no participation requirement. This matches the 2.5 test ('applies only to specified plan types/stages').
**For the reviewer:**
- A reviewer could argue for 0, because the duty falls on BMLTA and not on BMRCL.
- The Metro Railways (Construction of Works) Act, 1978 and BMLTA's regulations are not in the Citation Sheet, so I could not check them.
- The EIA (BMRCL-21) refers to project consultations driven by the lender (EIB), not by law.</t>
  </si>
  <si>
    <t xml:space="preserve">DPG7b</t>
  </si>
  <si>
    <t xml:space="preserve">Are citizens consulted in practice in the preparation of plans by the parastatal?</t>
  </si>
  <si>
    <t xml:space="preserve">There is some evidence of consultation, but official records cannot fully verify it. The 2017 JICA Final Report for the Bengaluru Water Supply and Sewerage Project (Phase 3) says BWSSB held a stakeholders' meeting on 22 August 2017, before the report was finalised in November 2017. The meeting covered the planned water supply and sewerage project for the 110 Villages. It had 125 participants: officials from other agencies (BDA, BBMP, the Pollution Control Board) and representatives from the 110 Villages. At the meeting, BWSSB explained the project outline and implementation plan. The participants welcomed the projects and promised to cooperate. Under the methodology, a reference to consultation inside the final plan, without the full verifiable record, earns 2.5. The minutes are said to be in a Supporting Report, but that report is not in the Citation Sheet. No source shows a public notice, a call for objections or suggestions, a public hearing, or a consultation report on BWSSB's own website. The same report's environmental checklist also says a public consultation meeting was not required under the EIA Notification 2006. That fits a meeting held only to explain the project, rather than a structured way for citizens to shape the plan. No source covers any recent BWSSB plan or planning exercise.</t>
  </si>
  <si>
    <t xml:space="preserve">JICA – Bengaluru Water Supply and Sewerage Project (Phase 3) Final Report (sewerage / O&amp;M volume) [BWSSB-23]</t>
  </si>
  <si>
    <t xml:space="preserve">https://openjicareport.jica.go.jp/pdf/12300364_04.pdf</t>
  </si>
  <si>
    <t xml:space="preserve">BWSSB held stakeholders’ meeting on August 22, 2017 for planned Water Supply and Sewerage Project for the 110 Villages. The number of the participants was 125 persons which were consisted of concerned authorities (BDA, BBMP, Pollution Control Board, etc.) and representatives from the 110 Villages. In the meeting BWSSB explained the outline of the projects and implementation plan.</t>
  </si>
  <si>
    <t xml:space="preserve">I scored 2.5. The source supports the Step 2 answer. BWSSB-23, the JICA/NJS Phase 3 Final Report of November 2017, Section 14.12, says BWSSB held a stakeholders' meeting on 22 August 2017, before the report was finalised. The meeting was about the planned water supply and sewerage project for the 110 Villages. Its 125 participants included representatives from the 110 Villages as well as BDA, BBMP and the Pollution Control Board. The report says the minutes are in a Supporting Report, which is not in the Citation Sheet. The methodology gives 2.5 when the only evidence is a reference to consultation in the final plan, without full official records, and that is the situation here.
Why not 5: No source shows a public notice, a call for objections or suggestions, a public hearing record or a consultation report on BWSSB's own website. The meeting was mainly BWSSB explaining the project. The participants were officials and village representatives, not an open public process. The same report also says a public consultation is not required under the EIA Notification 2006.
Why a reviewer might give 0: (1) The document is a project feasibility report prepared by a third party for JICA. It is not a plan BWSSB published itself. (2) The evidence is from 2017, so it says little about the latest planning exercise. (3) It is unclear whether a meeting held to inform people counts as a chance to participate.
The other sources do not help. BWSSB-22 (main report), BWSSB-04 (BWSSB Act), BWSSB-28 (the KTCP Act, which requires objections only on Master Plans), BWSSB-29 and BWSSB-30 (GBG Act and Bill), BWSSB-32, BWSSB-33, BWSSB-12 and BWSSB-25 show no consultation on BWSSB plans. The question is labelled Law/Policy, but the methodology asks for evidence of practice, so I scored it as a practice question.
A person should check BWSSB's website for recent plan-consultation notices or minutes, and try to find the 2017 Supporting Report minutes.</t>
  </si>
  <si>
    <t xml:space="preserve">Step 2 found no evidence: a source needs to be found and added. Step 2 found no evidence (Insufficient Evidence). Source needed: Each of these would need to be from BMTC's official website or other official records, unless stated otherwise: (a) a recent BMTC plan, such as a business, corporate, fleet or route rationalisation plan, that describes public consultation before it was finalised; (b) a BMTC public notice inviting objections or suggestions on a draft plan; (c) minutes or reports of public hearings or stakeholder consultations BMTC held while preparing a plan; or (d) dated news reports of BMTC public consultations on a plan, which could earn at most 2.5 points.</t>
  </si>
  <si>
    <t xml:space="preserve">There is some evidence, but not enough for full marks. Only one source deals with citizen consultation by BMRCL. That is the Environmental Impact Assessment (EIA) for Phase II Line 6 (Gottigere–Nagavara), which BMRCL prepared and which is held on the European Investment Bank's (EIB) disclosure register. It says BMRCL consulted people affected by the project while the EIA was being prepared and during land acquisition. It describes a formal public consultation session at the BMRCL Byappanahalli Training Institute in May 2017, plus informal sessions and focus group discussions. It lists the concerns people raised (dust, noise, vibration, traffic management, and compensation before the Jeddimara slum is cleared) and says 'BMRCL has addressed the issues raised by public'. This is credible evidence that consultation happened before the safeguard plan was finalised. It cannot be fully checked against official records, though. The public notice, participant list and Q&amp;A are said to be in Appendix 4, which is not in the text available. The document is on a lender's register, not BMRCL's own website. It covers one project's EIA and resettlement process from 2017, mainly with affected people, not a broader planning exercise. The two dates also disagree: the text says 18 May 2017, while Table 28 says 15 May 2017 with 70 affected people attending. Under the methodology this fits the 2.5 tier: credible evidence of consultation, but only partly documented. The other sources are laws and po</t>
  </si>
  <si>
    <t xml:space="preserve">Environmental Impact Assessment – Gottigere–Nagavara Corridor (Line 6), Bangalore Metro Rail Project Phase II (EIB register) [BMRCL-21]</t>
  </si>
  <si>
    <t xml:space="preserve">https://www.eib.org/attachments/registers/143756287.pdf</t>
  </si>
  <si>
    <t xml:space="preserve">Consultations were held with PAPs during preparation of this EIA as well as in the process of land acquisition. A formal public consultation session was held on 18 May 2017 at BMRCL Byappanahalli Training Institute, Bangalore to inform the people about project and discuss the resettlement policy framework.</t>
  </si>
  <si>
    <t xml:space="preserve">I scored this 2.5. There is credible evidence that BMRCL consulted citizens before finalising a plan, but official records can't fully confirm it. The source is the Phase II Line 6 (Gottigere–Nagavara) EIA, which includes an Environmental and Social Management Plan. BMRCL prepared it, and it is held on the EIB register. It describes the following: (1) a formal public consultation session in May 2017 at the BMRCL Byappanahalli Training Institute; (2) informal sessions and focus group discussions; (3) the concerns people raised (para 224); and (4) the statement that 'BMRCL has addressed the issues raised by public' (para 225).
This does not meet the 5-mark tier, for five reasons:
(a) The public notice, participant list, photographs and Q&amp;A are said to be in Appendix 4. That appendix appears on pages 109-110 of the source, but those pages contain no readable text (probably scanned images), so the record can't be checked.
(b) The document comes from a lender's disclosure register, not from BMRCL's official website.
(c) The dates conflict: the text says 18 May 2017, while Table 28 says 15 May 2017.
(d) The consultation was mainly with project-affected people and covered one project's environmental and resettlement safeguards. It was not a broader BMRCL planning exercise.
(e) The evidence is from 2017, so it says little about current practice.
The objections-and-suggestions procedure for draft plans in the BMLTA Act (BMRCL-35) applies to BMLTA, not BMRCL, so I gave it no credit. None of the other citations (BMRCL-01, 15, 18, 31, 34) shows BMRCL consulting citizens. The question is labelled Law/Policy, but its methodology asks for evidence of practice, so I scored it on that evidence.
A reviewer should: check BMRCL's own website for newer consultation records (for example, Phase 3 or Phase 2A/2B EIAs or SIAs with public notices and minutes); read the scanned Appendix 4; and confirm whether consultation on a single project's EIA counts as 'preparation of plans' for this question.</t>
  </si>
  <si>
    <t xml:space="preserve">SC1</t>
  </si>
  <si>
    <t xml:space="preserve">What proportion of the parastatal's total expenditure is financed through its own revenues?</t>
  </si>
  <si>
    <t xml:space="preserve">Step 2 found no evidence: a source needs to be found and added. Step 2 found no evidence (Insufficient Evidence). Source needed: BWSSB's annual budgets (budget estimates, revised estimates and actuals) for the last three financial years, for example FY2022-23 to FY2024-25. Its audited annual accounts or the CAG-audited annual financial statements for the same years would also work. These need to show total receipts split into own revenue (water and sewerage charges, connection, prorata and other charges, interest, rent) and state or central grants and loans, plus total revenue and capital expenditure.</t>
  </si>
  <si>
    <t xml:space="preserve">Step 2 found no evidence: a source needs to be found and added. Step 2 found no evidence (Insufficient Evidence). Source needed: Needed: BMTC's annual budgets, or preferably its audited annual accounts or Annual Administration Reports, for the last three financial years (e.g. FY 2021-22 to FY 2023-24). They should split income into traffic (fare) revenue, non-traffic revenue (advertising, commercial rent, etc.) and government grants or subsidies (travel concession reimbursements, viability gap funding, one-time grants), and show total revenue and capital expenditure. Karnataka State budget documents or a CAG audit report on BMTC would also do, if they give these figures.</t>
  </si>
  <si>
    <t xml:space="preserve">Step 2 found no evidence: a source needs to be found and added. Step 2 found no evidence (Insufficient Evidence). Source needed: BDA's annual budget documents (budget estimates with actuals) or audited annual accounts for the last three financial years, ideally the most recent ones. These should show receipts broken down into own revenue (for example sale and allotment of sites and flats, betterment tax, fees and charges, lease rents, interest) separately from State or Central government grants, along with total revenue and capital expenditure for each year. Annual reports under Section 47A, or Section 47 audited accounts laid before the Legislature, would also work.</t>
  </si>
  <si>
    <t xml:space="preserve">SC2</t>
  </si>
  <si>
    <t xml:space="preserve">What is the parastatal's per-capita capital expenditure?</t>
  </si>
  <si>
    <t xml:space="preserve">Step 2 found no evidence: a source needs to be found and added. Step 2 found no evidence (Insufficient Evidence). Source needed: Two things are needed. First, BWSSB's audited annual accounts or annual report for the latest completed financial year (e.g. FY2024-25), or its budget document with actual figures, showing actual capital expenditure. This could be a statement of capital receipts and payments, or additions to fixed assets and work in progress. Second, an official population figure for the BWSSB service area: the 2011 Census or a recent official projection for the BBMP/GBA area, such as a figure published by BWSSB or the Karnataka government.</t>
  </si>
  <si>
    <t xml:space="preserve">Step 2 found no evidence: a source needs to be found and added. Step 2 found no evidence (Insufficient Evidence). Source needed: Two things are needed. First, BMTC's audited annual accounts or annual administration report for the latest completed year (e.g. FY 2023-24 or FY 2024-25). This should show capital expenditure, meaning additions to fixed assets such as buses, depots, terminals and IT systems, or the capital section of BMTC's budget showing actual figures. Second, an official population figure for the area BMTC serves, from Census 2011 or a recent official projection, such as a Karnataka government or Census projection for Bengaluru city or the BMTC service area.</t>
  </si>
  <si>
    <t xml:space="preserve">Step 2 found no evidence: a source needs to be found and added. Step 2 found no evidence (Insufficient Evidence). Source needed: Two things are needed: (1) BDA's audited annual accounts or annual report for the latest completed financial year (e.g. FY 2023-24 or 2024-25), or its budget document showing actual capital expenditure for that year (spending on layouts, roads, flyovers, land acquisition and other capital works), with the page or table; and (2) an official population figure for BDA's jurisdiction (the Bangalore Metropolitan Area / BDA local planning area), from Census 2011 or the most recent official projection (e.g. the Revised Master Plan, or a state Directorate of Economics and Statistics or Census projection), with its source cited.</t>
  </si>
  <si>
    <t xml:space="preserve">I can only work out an illustrative figure for FY 2020-21. I cannot give one for the latest completed financial year. BMRCL's audited Cash Flow Statement for the year ended 31 March 2021 shows capital spending of ₹4,65,409.46 lakh (about ₹4,654.09 crore). This is the line 'Purchase of fixed assets, including CWIP and capital advances (Net)'. For comparison, FY 2019-20 was ₹6,31,413.09 lakh. The population figures come from the Phase II Line 6 environmental impact assessment, which cites Census 2011. They are 96,21,551 for Bangalore district and about 8.4 million for 'Greater Bangalore'. Calculation: ₹46,540,946,000 ÷ 9,621,551 = about ₹4,837 per person (district population). Using the 8.4 million Greater Bangalore figure instead gives ₹46,540,946,000 ÷ 8,400,000 = about ₹5,541 per person. The capital spending is audited, but it covers FY 2020-21, which is not the latest completed financial year. The population is a 2011 figure quoted in a secondary document. It is not a current official projection, and BMRCL's service area is not clearly defined. No score is proposed. The method needs a percentile or decile rank against other assessed metro or transport parastatals, and that comparison set is not available.</t>
  </si>
  <si>
    <t xml:space="preserve">Purchase of fixed assets, including CWIP and capital advances (Net) (465409.46) (631413.09)</t>
  </si>
  <si>
    <t xml:space="preserve">I left the score blank. A person needs to score this question.
**The capital spending figure checks out.** BMRCL-01 (the audited FY 2020-21 Cash Flow Statement) shows ₹4,65,409.46 lakh, about ₹4,654.09 crore, as net purchase of fixed assets, capital work-in-progress (CWIP) and capital advances. FY 2019-20 was ₹6,31,413.09 lakh.
**The population figures check out.** BMRCL-21 gives:
- Bangalore district: 96,21,551 (para 110)
- Greater Bangalore: 8.4 million in Census 2011 (para 57)
**Illustrative per-person figures** (not usable for scoring):
- About ₹4,837 per person using the district population.
- About ₹5,541 per person using the 8.4 million Greater Bangalore figure.
**Why I gave no score:**
1. The method converts the absolute figure into a percentile or decile rank against other assessed parastatals of the same type (metro or transport bodies). No such comparison set is in the Citation Sheet, so there is nothing to turn the figure into a 0-10 score.
2. FY 2020-21 is not the latest completed financial year, and it was affected by COVID. My search of the Citation Sheet found no later BMRCL accounts.
3. The population is a Census 2011 figure quoted in a lender's environmental impact assessment (BMRCL-21). It is not an official Census publication or a current official projection. It is also unclear which area the metro serves: the city corporation, the district or the metro region.
4. The CAG comments in BMRCL-01 flag misstatements: land understated by ₹61.63 crore, CWIP overstated by ₹294.49 crore, and the financing section of the cash flow statement presented incorrectly. These could slightly change the capital figure.
**What a person needs before scoring:**
- BMRCL's latest audited annual report (FY 2023-24 or 2024-25) for capital spending.
- An official population projection for the defined service area.
- Per-capita capital spending figures for the other assessed metro or transport parastatals, to build the percentile or decile rank.</t>
  </si>
  <si>
    <t xml:space="preserve">SC3</t>
  </si>
  <si>
    <t xml:space="preserve">How realistic is the parastatal's annual budget?</t>
  </si>
  <si>
    <t xml:space="preserve">Step 2 found no evidence: a source needs to be found and added. Step 2 found no evidence (Insufficient Evidence). Source needed: Two things are needed for at least 2 (ideally 3) recent financial years: BWSSB's annual budget documents (the annual financial statement of estimated capital and revenue receipts and expenditure under Section 17 of the BWSSB Act, or the Board-approved budget with budget estimates, revised estimates and actuals), and BWSSB's audited annual accounts for the same years. These would allow budgeted and actual totals to be compared side by side. Alternatively, a CAG or state audit report that compares BWSSB's budget with its actuals would do.</t>
  </si>
  <si>
    <t xml:space="preserve">Step 2 found no evidence: a source needs to be found and added. Step 2 found no evidence (Insufficient Evidence). Source needed: BMTC's annual budget documents (budget estimates, and revised estimates if any) for at least 2 and ideally 3 recent financial years, for example FY 2021-22 to FY 2023-24. These need to be compared with BMTC's audited annual accounts for the same years, from the Corporation's annual report or accounts certified by the CAG or state audit. Karnataka's budget or demand-for-grants documents showing BMTC's budget estimates and actuals could also be used.</t>
  </si>
  <si>
    <t xml:space="preserve">Step 2 found no evidence: a source needs to be found and added. Step 2 found no evidence (Insufficient Evidence). Source needed: BDA's approved budget estimates for each financial year (ideally FY2021-22 to FY2023-24, or other recent years). For the same years, the matching actual figures: BDA's audited annual statements of accounts under Section 47, or Revised/Actuals columns in later budget books. These could be the BDA budget books, BDA annual reports with audited accounts, or the audit reports on BDA laid before the Karnataka Legislature.</t>
  </si>
  <si>
    <t xml:space="preserve">Step 2 found no evidence: a source needs to be found and added. Step 2 found no evidence (Insufficient Evidence). Source needed: Two things are needed for at least 2 (ideally 3 and up to 5) recent financial years. First, BMRCL's approved annual budgets (Budget Estimates or Revised Estimates). These would come from the Board-approved budget, the budget documents of the Government of Karnataka Urban Development Department showing BMRCL allocations, or the MoHUA demand for grants. Second, BMRCL's audited annual accounts or annual reports for the same years, showing actual receipts and expenditure. Both must be on the same basis (revenue and/or capital) so they can be compared side by side. Annual reports for FY 2021-22 onwards would also give more recent actuals.</t>
  </si>
  <si>
    <t xml:space="preserve">Step 2 found no evidence: a source needs to be found and added. Step 2 found no evidence (Insufficient Evidence). Source needed: To score this, we need BMRDA's annual budget documents for at least 2, and ideally 3, recent financial years, for example 2021-22 to 2023-24. These should show the budget estimates (or revised estimates) for receipts and spending. We also need the audited annual accounts for the same years, so the budget and actual figures can be set side by side. Possible sources are the 'Budget' and 'Annual Report' documents on BMRDA's 'Budget and Annual Reports' page, the 2023-24 Annual Report, the audited statements of accounts under Section 16, or the Karnataka Urban Development Department's budget papers.</t>
  </si>
  <si>
    <t xml:space="preserve">SC4a</t>
  </si>
  <si>
    <t xml:space="preserve">Is a medium-term (3-5 year) and/or long-term (&gt;5 year) fiscal plan legally mandated?</t>
  </si>
  <si>
    <t xml:space="preserve">No. The BWSSB's enabling Act (the Bangalore Water Supply and Sewerage Act, 1964) does not require a medium-term (3-5 year) or long-term (more than 5 year) fiscal plan. Chapter III, which covers the Board's finance, accounts and audit, only requires a statement of estimated capital and revenue receipts and expenditure for the ensuing year (Section 17(1)). That statement goes to the State Government every February and is laid before the Legislature. The rest of the financial framework sets out tariff principles (Section 16), a limit on unbudgeted spending tied to that annual statement (Section 18), borrowing (Section 21), a depreciation reserve (Section 24), an improvement reserve (Section 24A) and accounts and audit (Section 25). Section 86(2) adds an annual activity report that covers the previous year and the activities likely in the next financial year. That is still a one-year horizon, not a multi-year fiscal plan. The Greater Bengaluru Governance Act, 2024 does require a three-year medium-term fiscal plan (Section 187), but only for the City Corporations, not for BWSSB. Under the methodology, the score is 0.</t>
  </si>
  <si>
    <t xml:space="preserve">Score: 0. BWSSB's enabling Act, the Bangalore Water Supply and Sewerage Act, 1964 (BWSSB-04), does not require a fiscal plan covering 3-5 years or more than 5 years. The Board's planning duties written with 'shall' are all for one year. Section 17(1) requires an annual financial statement of estimated capital and revenue receipts and expenditure 'for the ensuing year'. Section 18 limits spending to what was included in that annual statement. Section 86(2) requires an annual report covering the previous financial year and the activities likely 'in the next financial year'. The other finance provisions are tariff principles (Section 16), borrowing, which the Board 'may' do with State sanction (Section 21), the depreciation reserve (Section 24), the improvement reserve (Section 24A) and accounts and audit (Section 25). None of them sets a multi-year fiscal plan. Section 16(1)(c) mentions financing 'normal year to year improvements', but that is a tariff-setting principle, not a plan with a set horizon.
The Greater Bengaluru Governance Act, 2024 (BWSSB-29) does require a medium-term fiscal plan. Section 187(2) requires projections for 'three years', while the definition in Section 2(42) says 'five years'. However, Section 187(1) places this duty on the Mayor for the City Corporation only, not on BWSSB. The Act names BWSSB only as a 'public authority' (Section 2(54)), and that is not BWSSB's enabling Act. The JICA reports (BWSSB-22 and BWSSB-23) recommend long-term financial planning, but they are recommendations, not legal mandates. I checked the Step 2 answer against the source and it holds.
To check: the copy of the Act used here is the FAOLEX one, and its amendment history only goes up to Act 18 of 1984. Someone should confirm against the current official Karnataka text of the Act that no later amendment added a multi-year fiscal plan requirement.</t>
  </si>
  <si>
    <t xml:space="preserve">No. The available evidence indicates that BMTC's enabling law does not require a medium-term (3-5 year) or long-term (more than 5 year) fiscal plan. BMTC is governed by the Road Transport Corporations Act, 1950. Janaagraha's Financial Brief on BMTC says that this Act does not require medium-term fiscal plans covering 3-5 years. It recommends that BMTC adopt a 5-year Medium Term Fiscal Plan, which suggests that no such requirement existed when the brief was written. The Bengaluru Metropolitan Land Transport Authority (BMLTA) Act, 2022 is a separate Act and not BMTC's enabling Act. It requires a five-year City Mobility Investment Program (Section 2(g) and Section 24), which the Authority builds from the Sectoral Mobility Investment Programs of Urban Transport Agencies. It also requires an Annual Implementation Plan (Section 25). These are programs for investing in mobility projects, not fiscal plans for BMTC itself. Under the methodology, they do not count as a fiscal plan in BMTC's enabling Act. The proposed score is 0.</t>
  </si>
  <si>
    <t xml:space="preserve">Financial Brief on Bangalore Metropolitan Transport Corporation – Janaagraha [BMTC-22]</t>
  </si>
  <si>
    <t xml:space="preserve">https://www.janaagraha.org/files/publications/Financial-Brief-on-BMTC.pdf</t>
  </si>
  <si>
    <t xml:space="preserve">The Act also does not demand for preparation of medium fiscal term plans which facilitates sound financial planning for 3-5 years duration based on which annual plans can be drawn up.</t>
  </si>
  <si>
    <t xml:space="preserve">Proposed score: 0. BMTC's enabling law does not appear to require a medium-term (3-5 year) or long-term (more than 5 year) fiscal plan. Janaagraha's Financial Brief on BMTC (BMTC-22, page 1) says BMTC is governed by the Road Transport Act 1950. Page 4 says this Act 'does not demand for preparation of medium fiscal term plans' covering 3-5 years. The brief recommends that BMTC 'should mandate a 5 year Medium Term Fiscal Plan as the basis for annual budgets and operating plans.' That recommendation only makes sense if no such legal requirement existed when the brief was written (around 2017-18; the dated version, BMTC-28, is from 16.10.2018). The Step 2 answer matches the source.
The BMLTA Act 2022 (BMTC-23) was not credited. It requires a five-year City Mobility Investment Program (Section 2(g) and Section 24), but this is a mobility investment program prepared by the Authority. It is not a fiscal plan for BMTC, and it is not in BMTC's enabling Act, which is what the methodology asks for.
Limitation: the Citation Sheet does not contain the text of the Road Transport Corporations Act, 1950. A search for its financial-programme provisions found nothing. This finding therefore rests on a secondary source, not on the statute itself. A person should check the Act directly, in particular its annual financial programme or budget provisions (I recall this as Section 31 of the 1950 Act, but did not check it). As I understand it, that provision covers only one year and would not count as a medium-term or long-term plan. They should also check whether any later amendment adds a multi-year fiscal plan.</t>
  </si>
  <si>
    <t xml:space="preserve">No. The law that set up the BDA, the Bangalore Development Authority Act, 1976 (Karnataka Act 12 of 1976), does not require a medium-term (3-5 year) or long-term (more than 5 year) fiscal plan. Chapter V (Property and Finance) only sets out a budget process for one year at a time. Under Section 42(1), the Commissioner 'shall' present an estimate of income and spending for the year starting the following 1 April. Section 43 says the Authority 'shall' approve it, with or without changes. Section 44 says it must be sent to the State Government for approval. Section 45 says the Authority 'may' prepare supplementary estimates during the year, and Section 46 bans spending that is not in an approved estimate. Sections 47 and 47A cover accounts, audit and reports. None of these sections asks for a fiscal plan covering several years. By contrast, Sections 187 and 189 of the Greater Bengaluru Governance Act, 2024 do require a medium-term fiscal plan, but only for the City Corporations, not for the BDA. Under the methodology, this scores 0.</t>
  </si>
  <si>
    <t xml:space="preserve">42. Laying of annual estimate of income and expenditure.- (1) The 1[Commissioner]1 shall, at a special meeting to be held not later than the first day of February in each year, lay before the Authority an estimate of the income and  of the expenditure of the Authority for the year commencing on the first  day of April then next ensuing in such detail and form as the Authority shall, from time to time, direct.</t>
  </si>
  <si>
    <t xml:space="preserve">Score 0. I checked the Step 2 answer against the source (BDA-02) and it holds up. The source is the BDA's own enabling Act: the Bangalore Development Authority Act, 1976, in a consolidated text from PRS Legislative Research. Its finance chapter (Chapter V) requires only a one-year budget:
- Section 42(1): the Commissioner 'shall' present an estimate of income and spending for the year starting the following 1 April.
- Section 43: the Authority 'shall' approve it, with or without changes.
- Section 44: the estimate goes to the State Government for approval.
- Section 45: the Authority 'may' prepare supplementary estimates during the year.
- Section 46: no spending is allowed outside an approved estimate.
- Sections 47 and 47A: yearly accounts, audit and reports.
No section requires a fiscal plan covering 3–5 years or more than 5 years. Section 27 does mention 'five years', but it is a deadline for carrying out a development scheme, not a fiscal plan. A search of the Citation Sheet found medium-term fiscal plan rules only in the Greater Bengaluru Governance Act, 2024 (BDA-11: Section 2(42), Sections 187 and 189). Those rules apply to the City Corporations, not to the BDA, so they can't be credited here. The methodology scores only the parastatal's own enabling Act.
One point for a reviewer to check: PRS warns that its consolidated copies may not include every amendment. Someone could confirm against the latest official Karnataka text, including recent amendments, that no multi-year fiscal-planning rule has been added.</t>
  </si>
  <si>
    <t xml:space="preserve">No. None of the sources says BMRCL must prepare a 3-5 year or longer fiscal plan. BMRCL has no enabling Act of its own. It is a company incorporated under the Companies Act, 1956, a Government Company under Section 2(45) of the Companies Act, 2013, and a 50:50 joint venture of the Government of India and the Government of Karnataka (BMRCL-01, Annual Report 2020-21). The Metro Railways (Operation and Maintenance) Act, 2002 (BMRCL-15) is the central law that governs metro operations. In the sections we read, it has no budgeting or fiscal-planning duty for the metro railway administration. Two other laws mention medium-term planning, but neither applies here: (1) Section 24(d) of the Bengaluru Metropolitan Land Transport Authority Act, 2022 (BMRCL-35) says the City Mobility Investment Program 'shall be for short to medium term planning horizon'. That duty falls on the Authority, not BMRCL. It is an investment program, not a fiscal plan, and it sets no horizon in years. (2) Section 187 of the Greater Bengaluru Governance Act, 2024 (BMRCL-34) requires a medium-term fiscal plan, but only for the City Corporations. So under the methodology the proposed score is 0.</t>
  </si>
  <si>
    <t xml:space="preserve">Your Company is a Government Company within the meaning of Section 2(45) of the Companies Act, 2013 (‘the Act’) and a 50:50 joint venture of Go vernment of India and Go vernment of K arnataka.</t>
  </si>
  <si>
    <t xml:space="preserve">Proposed score: 0 out of 5. No law in the Citation Sheet requires BMRCL to prepare a medium-term (3-5 year) or long-term (more than 5 year) fiscal plan.
Why BMRCL has no enabling Act: The source confirms the Step 2 answer. BMRCL-01 (Annual Report 2020-21) says BMRCL was incorporated under the Companies Act, 1956. It is a Government Company under Section 2(45) of the Companies Act, 2013, owned 50:50 by the Government of India and the Government of Karnataka. It was not created by a statute of its own. The Annual Report lists what governs the company: the Companies Act, the Memorandum and Articles of Association, the KTPP Act, CVC guidelines and others. None of these is cited as requiring a fiscal plan of a set length.
Other laws checked:
- BMRCL-15, the Metro Railways (Operation and Maintenance) Act, 2002, deals with operations and safety. No fiscal-plan duty was found in the parts searched.
- A search of the whole Citation Sheet found a medium-term fiscal plan in only one place: GBGA 2024 (BMRCL-34), s.2(42) and s.187. It is defined as a five-year plan prepared by the City Corporation, so it applies only to City Corporations, not BMRCL.
- BMLTA Act s.24 (BMRCL-35) mentions 'short to medium term' planning. That is an investment program prepared by or with the Authority. It sets no defined horizon and is not BMRCL's enabling Act.
What a reviewer should check: BMRCL's Memorandum and Articles of Association are not in the Citation Sheet. Neither are any Government of India or Government of Karnataka directions (for example, Metro Rail Policy conditions or MoU terms) that might require multi-year financial plans. These are company or policy documents, not an enabling Act, so they would probably not change the score.</t>
  </si>
  <si>
    <t xml:space="preserve">No. The BMRDA's enabling law, the Bangalore Metropolitan Region Development Authority Act, 1985 (Karnataka Act 39 of 1985), does not require a medium-term (3-5 year) or long-term (more than 5 year) fiscal plan. Its finance chapter (Chapter IV, Sections 11-16) covers six things: the Authority's Fund (Section 11), an annual budget estimate for the next financial year only (Section 12), an annual report (Section 13), state subventions and loans (Section 14), borrowing with prior state sanction (Section 15), and annual accounts and audit (Section 16). Section 9 requires a spatial 'structure plan' and schemes, and lets the Authority 'raise finance' for projects. Neither is a fiscal plan with a defined multi-year horizon. The '5 year programme and annual budget plans' that appear in the draft Revised Structure Plan 2031 are recommendations by consultants, not legal requirements. Under the methodology this scores 0.</t>
  </si>
  <si>
    <t xml:space="preserve">12.  Budget.-  The Authority shall prepare, every year, in such form and at such time as may be prescribed, an annual budget estimate in respect of the next financial year showing the estimated receipts and disbursements of the Authority and shall submit a copy thereof to the State Government.</t>
  </si>
  <si>
    <t xml:space="preserve">Score 0. BMRDA's enabling law, the BMRDA Act, 1985 (Karnataka Act 39 of 1985), does not require a fiscal plan covering 3-5 years or more than 5 years. I checked the Act's text myself and it supports the Step 2 answer. The only budget duty is in Section 12: the Authority 'shall prepare, every year' an annual budget estimate for 'the next financial year' only. That is a one-year budget, not a multi-year plan. The rest of the finance chapter has nothing on multi-year fiscal planning: the Fund (S.11), annual report (S.13), state subventions and loans with 'may' (S.14), borrowing with prior state sanction (S.15) and annual accounts and audit (S.16). Section 9(1)(ii) requires a spatial 'structure plan', and Section 9(1)(vi) is a function 'to raise finance for any project or scheme'. Neither sets a fiscal plan with a time horizon. The rule-making section (S.29) and regulation section (S.30) say 'may' and create no such duty. The draft Revised Structure Plan 2031 (BMRDA-05) mentions 5-year programmes, but it is a draft by consultants, not the enabling Act, so it cannot earn credit under this methodology. A search of the Citation Sheet for multi-year fiscal planning found nothing in the Act. Points for a human reviewer to check: (1) The copy of the Act in the Citation Sheet is hosted by India Water Portal, not an official site. The 'BMRDA Act 1985' PDF listed on the official BMRDA website is not in the Citation Sheet, so please compare against it. (2) Check that no later amendment, rules or regulations add a multi-year fiscal plan requirement. The copy is described as 'with amendments' and shows none.</t>
  </si>
  <si>
    <t xml:space="preserve">SC4b</t>
  </si>
  <si>
    <t xml:space="preserve">Is the medium/long-term fiscal plan publicly available?</t>
  </si>
  <si>
    <t xml:space="preserve">Step 2 found no evidence: a source needs to be found and added. Step 2 found no evidence (Insufficient Evidence). Source needed: Pages from BWSSB's own website, either: (a) a page or PDF with a medium- or long-term fiscal plan, business plan or multi-year financial projections (for example 3–5 year receipts and expenditure projections) covering a recent year; or (b) a dated review of the website's budget, finance, publications and RTI sections showing that no such plan is posted, which would support a score of 0.</t>
  </si>
  <si>
    <t xml:space="preserve">Step 2 found no evidence: a source needs to be found and added. Step 2 found no evidence (Insufficient Evidence). Source needed: BMTC's official website, especially any finance, budget, reports or disclosure section, checked now to see whether a medium-term (3-5 year) or long-term fiscal plan is published there. A BMTC board resolution or annual report that refers to a published fiscal plan would also help.</t>
  </si>
  <si>
    <t xml:space="preserve">Step 2 found no evidence: a source needs to be found and added. Step 2 found no evidence (Insufficient Evidence). Source needed: BDA's official website, such as a Finance/Accounts or Budget page, or its proactive-disclosure page under RTI Section 4(1)(b). It should show whether a multi-year (3-5 year or longer) fiscal plan or projections document is published, or confirm after a full check that none is. BDA annual budget documents with multi-year projections would also help.</t>
  </si>
  <si>
    <t xml:space="preserve">Step 2 found no evidence: a source needs to be found and added. Step 2 found no evidence (Insufficient Evidence). Source needed: Two things would settle this. First, a fiscal plan, corporate plan or business plan covering 3–5 years or more, published on BMRCL's official website, with projected receipts and expenditure, financing and debt service, would support a score of 5. Second, a documented check of BMRCL's website (its finance, annual reports, RTI/proactive disclosure and publications pages) showing that no such plan is published would support a score of 0.</t>
  </si>
  <si>
    <t xml:space="preserve">No. None of the sources show a medium-term (3-5 year) or long-term (more than 5 year) fiscal plan for BMRDA published on its website, so the proposed score is 0. BMRDA's English and Kannada home pages and its Contact Us page list menu links for Local Planning Areas, Structure Plan/Reports, Maps, Fee Cess Surcharge, Jurisdiction, RTI disclosures (4(1)(a), 4(1)(b), 26(3)(b)), an APA link, local planning area plans (RUDA CPA, KPA MPA, NPA, HPA 2020-23), mobility plans, circulars, change-of-land-use notifications and CTTS reports. None of these is a fiscal plan, multi-year financial plan or budget. The BMRDA Act, 1985 also asks only for an annual budget estimate for the next financial year, sent to the State Government (Section 12). It does not require a multi-year fiscal plan or ask for one to be published. The Revised Structure Plan 2031 (BMRDA-05) is a spatial plan for the whole region. It mentions an 'indicative investment scenario' in an annexure, but that is not a fiscal plan of BMRDA's own income and spending, and the copy in the Citation Sheet is hosted by a third party (OpenCity).</t>
  </si>
  <si>
    <t xml:space="preserve">I left the Score blank because the Citation Sheet does not settle the question, and Step 2's score of 0 is not safe yet. Step 2 based the 0 on nothing appearing in BMRDA's website menus. But the full BMRDA-02 capture (BMRDA's official English home page) has a 'Department Documents' menu that Step 2 did not mention. It contains a 'Budget and Annual Reports' page (/40/budget-and-annual-reports/en) and a separate 'Budget' page (/44/budget/en), plus a 2023-24 Annual Report PDF. Neither the Budget page nor the annual report was opened, so the Citation Sheet does not show what they contain. They may hold only an annual budget, which would not count: Section 12 of the BMRDA Act, 1985 (BMRDA-08) only says the Authority 'shall prepare, every year ... an annual budget estimate in respect of the next financial year', and does not require a multi-year plan. They could also hold multi-year projections or a medium-term plan. Other points: (1) The Revised Structure Plan 2031 (BMRDA-05) is a spatial plan for the region, not a fiscal plan of BMRDA's own money, and the copy in the sheet comes from a third-party host (OpenCity), so it cannot earn the 5. (2) Nothing else in the Citation Sheet shows a medium-term (3-5 year) or long-term fiscal plan. What a person needs to do: open https://bmrda.karnataka.gov.in/44/budget/en, https://bmrda.karnataka.gov.in/40/budget-and-annual-reports/en and the 2023-24 Annual Report PDF (all three URLs appear in BMRDA-02). If they hold only annual budget estimates or actuals, score 0. If a fiscal plan covering 3 or more years is published there, score 5.</t>
  </si>
  <si>
    <t xml:space="preserve">SC5</t>
  </si>
  <si>
    <t xml:space="preserve">Does the law mandate a minimum tenure for the executive authority of the parastatal?</t>
  </si>
  <si>
    <t xml:space="preserve">Based on the Act alone, no. The Bangalore Water Supply and Sewerage Act, 1964 does not itself set a minimum tenure for BWSSB's top office. The Act creates no separate Managing Director, CEO or Commissioner. The Chairman is appointed by the State Government from among the Board members (Section 3(4)), and the Chairman's term is left to rules: under Section 4, the Chairman and members 'shall hold office for such period... as may be prescribed by the rules', and Section 87(2)(a) lets those rules cover the Chairman's term and powers. The Act does list grounds for removal (Section 6(1)), but some are left to the government's opinion, such as 'is otherwise unfit to continue as a member'. Section 6(5) also lets the government remove the Chairman and all members if the Board fails to carry out its functions or to follow government directions. The BWSSB rules that would actually fix the term are not in the Citation Sheet, so I cannot rule out a minimum tenure set there. My provisional score is 0, because no minimum tenure is found in the law available to me.</t>
  </si>
  <si>
    <t xml:space="preserve">4. Term of office and conditions for re-appointment of members of Board. —The Chairman and other members of the Board shall hold office for such period, and shall be eligible for re-appointment under such conditions, as may be prescribed by the rules.</t>
  </si>
  <si>
    <t xml:space="preserve">I scored this 0 because the Act does not set a minimum term for BWSSB's head, and the rules that would set one are not in the Citation Sheet.
**What the Act says**
- **No separate executive head:** The Bangalore Water Supply and Sewerage Act, 1964 (FAOLEX copy) creates no Managing Director, CEO or Commissioner. The Secretary and Chief Engineer under Section 12 are Board staff. The State Government appoints the Chairman from among the Board members under Section 3(4), so I treated the Chairman as the executive authority.
- **Term of office:** Section 4 gives no term. It leaves the period of office to the rules ('as may be prescribed by the rules'). Section 87(2)(a) only says the rules 'may provide for' the Chairman's term. Nothing in the Act sets a minimum period.
- **Removal:** The test for a score of 10 also fails here. Some removal grounds depend on the government's opinion, such as Section 6(1)(e)(iv), 'is otherwise unfit to continue as a member'. Section 6(5) also lets the government remove the Chairman and all members if the Board fails to carry out its functions or to follow government directions under Section 89. Section 6(3) does require that the member first be given a chance to explain.
**Other sources:** I searched the sheet for rules on the Chairman's term and found nothing. The Greater Bengaluru Governance Act 2024/25 (BWSSB-29, BWSSB-30) does not deal with the BWSSB Chairman's tenure.
**For the reviewer to check**
- Get the BWSSB rules made under Section 87, the State Government notification on the Chairman's term, and the Chairman's appointment order. If the rules set a fixed minimum term, the score could rise to 5, or to 10 only if removal were limited to defined grounds. Given Section 6(5), 10 looks unlikely.
- Confirm that the Chairman, usually a serving IAS officer, really is the Board's administrative head in practice.
- Confirm that the FAOLEX copy includes all later amendments.
**Agreement with Step 2:** This matches the Step 2 provisional score of 0. Confidence is medium because the rules are missing.</t>
  </si>
  <si>
    <t xml:space="preserve">Step 2 found no evidence: a source needs to be found and added. Step 2 found no evidence (Insufficient Evidence). Source needed: Three documents are needed: (1) the full text of the Road Transport Corporations Act, 1950, especially the sections on the corporation's composition and on appointing and removing the chief executive or Managing Director; (2) the Karnataka Government rules made under that Act, and the government order setting up BMTC (1997), which set the term, conditions of service and removal of BMTC's directors and Managing Director; (3) any Karnataka rule or order fixing a minimum tenure for IAS officers posted as heads of state undertakings, such as a civil services board or minimum-tenure rule under the All India Services (Cadre) Rules.</t>
  </si>
  <si>
    <t xml:space="preserve">No. The Commissioner is the BDA's executive head. Section 13(1) of the BDA Act, 1976 says the Commissioner "shall be the Chief Executive and Administrative Officer of the Authority". Section 12 is the only provision on how the Commissioner is appointed. It says the State Government "shall appoint" an officer not below the rank of Divisional Commissioner, and it covers salary, allowances and leave. It sets no term of office, no minimum tenure, and no limited grounds for removal or transfer. The Commissioner also sits on the Authority as an ex-officio member under Section 3(3)(m). Section 5(1) gives the Chairman and other members a three-year term, but that term is expressly "Subject to the pleasure of the Government". It applies to Authority membership, not to the office of Commissioner, so it is not a guaranteed minimum tenure for the executive head. The Bangalore Development Authority (Amendment) Act, 2026 (Act 42 of 2026), included at the end of the consolidated text, changes only Sections 10 and 38D and leaves Section 12 alone. Since the law sets no minimum tenure, the score is 0.</t>
  </si>
  <si>
    <t xml:space="preserve">12. Appointment of Commissioner.-  (1) The State  Government shall appoint an officer, not  below the rank of Divisional Commissioner, to be the Commissioner  for  the Authority. (2) The Commissioner shall receive such  monthly salary  and other allowances as the State Government may, from time to time determine.</t>
  </si>
  <si>
    <t xml:space="preserve">Score: 0. The BDA Act does not set a minimum tenure for the Commissioner, so the methodology's 0 band applies. Checked against BDA-02, the PRS consolidated text including amendments up to Act 42 of 2026.
1. The Commissioner is the executive head. Section 13(1) says the Commissioner "shall be the Chief Executive and Administrative Officer of the Authority". This post is what the question asks about. The Chairman is excluded under the methodology.
2. Section 12 is the only appointment provision. It covers only:
- the rank of the officer (not below Divisional Commissioner);
- salary and allowances, as the State Government decides;
- leave, granted by the Government.
It sets no term of office, no minimum tenure and no limited grounds for removal or transfer.
3. The Commissioner is an ex-officio member of the Authority under Section 3(3)(m). Section 5(1) gives "the Chairman and other members" a three-year term, but only "Subject to the pleasure of the Government and the provisions of section 6". That term is for membership of the Authority, not for the office of Commissioner. An ex-officio seat goes with the office, so it does not protect how long a person stays Commissioner. Even if it were read as applying, the 'pleasure' clause means removal is not limited to defined grounds. So it would not earn 10, and it is not a mandated minimum for the executive post.
4. Act 42 of 2026 changes only Sections 10 and 38D. Section 12 is unchanged.
5. The Step 2 answer matches the source.
Points for a reviewer to check:
- PRS warns that its consolidated copy is not the authoritative text.
- The Citation Sheet has no rules, regulations or service or cadre rules (for example, IAS or Karnataka civil-service tenure or transfer rules) that might set a minimum posting tenure. A search of the sheet found none.
- BDA-11 (Greater Bengaluru Governance Act) covers a different body and was not used.</t>
  </si>
  <si>
    <t xml:space="preserve">No source provided shows any legal minimum tenure for BMRCL's executive authority, the Managing Director &amp; Chief Executive Officer. BMRCL is not created by its own Act. It is a Government Company under the Companies Act, 2013, owned 50:50 by the Government of India and the Government of Karnataka. Its 2020-21 Annual Report says the Government of Karnataka nominates the Managing Director, with the prior agreement of the Government of India, and the Board of Directors appoints them. The report does not mention any fixed or minimum term, or any limit on the grounds for removal. The Metro Railways (Operation and Maintenance) Act, 2002 sets no tenure for the MD; the only tenure and removal provisions found in it cover the Claims Commissioner. The Greater Bengaluru Governance Act, 2024 only makes the BMRCL MD a member of the Greater Bengaluru Authority's Executive Committee. The removal grounds in the Bengaluru Metropolitan Land Transport Authority Act, 2022 cover that Authority's non-official members, not the BMRCL MD. In practice, MDs have been replaced at the government's discretion. An Additional Chief Secretary held the post as an additional charge from 9 April 2021 and was replaced on 15 July 2021, after about three months. This fits with there being no legal tenure protection. On the evidence available, the score is 0 because no minimum tenure is prescribed in law.</t>
  </si>
  <si>
    <t xml:space="preserve">Step 2 found no evidence: a source needs to be found and added. Step 2 found no evidence (Human Verification Required). Source needed: BMRCL's Memorandum and Articles of Association, especially the articles on appointing, setting the term of and removing the Managing Director. Also any Government of Karnataka order or rules on the MD's tenure. Neither is in the Citation Sheet, so we cannot confirm directly that the governing instruments set no minimum tenure.</t>
  </si>
  <si>
    <t xml:space="preserve">No. The law sets no minimum tenure for BMRDA's executive head, the Metropolitan Commissioner. Section 8(1) of the BMRDA Act, 1985 makes the Metropolitan Commissioner the Chief Administrative and Executive Officer of the Authority. The State Government appoints this officer and sets the terms and conditions of service 'by order, from time to time'. The Act limits tenure to a maximum: the appointment is 'for such period not exceeding three years as the State Government may decide', and it can be extended by up to three years at a time. Because the State Government chooses the period, it can be any length below three years. No minimum is set, and the cited text gives no defined grounds for removal. Under the methodology this scores 0.</t>
  </si>
  <si>
    <t xml:space="preserve">SC6</t>
  </si>
  <si>
    <t xml:space="preserve">What is the average tenure of the chief executive/executive authority of the parastatal?</t>
  </si>
  <si>
    <t xml:space="preserve">Step 2 found no evidence: a source needs to be found and added. Step 2 found no evidence (Insufficient Evidence). Source needed: Dated records of who held the BWSSB Chairman post over the last five years, with appointment and transfer dates and whether each officer held full or only additional/acting charge. Suitable sources: Karnataka Government (DPAR) orders or Gazette notifications appointing or transferring IAS officers as BWSSB Chairman, a list of past Chairmen on BWSSB's official website, or dated newspaper reports of each appointment or transfer.</t>
  </si>
  <si>
    <t xml:space="preserve">Step 2 found no evidence: a source needs to be found and added. Step 2 found no evidence (Insufficient Evidence). Source needed: A dated record of who has been BMTC's Managing Director over the last five years (about 2020–2025). Suitable sources: Karnataka government orders or Gazette notifications appointing or transferring IAS officers as BMTC Managing Director (from the Department of Personnel and Administrative Reforms); a list of past Managing Directors with their tenure dates on BMTC's website or in its annual administration reports; or dated newspaper reports of each appointment or transfer. Each should also show whether any officer held only additional or acting charge, which the methodology says must be recorded separately.</t>
  </si>
  <si>
    <t xml:space="preserve">Step 2 found no evidence: a source needs to be found and added. Step 2 found no evidence (Insufficient Evidence). Source needed: Dated records of who served as BDA Commissioner over the last five years (about 2021 to 2026). Suitable sources: Karnataka Government (DPAR) transfer and posting orders or Gazette notifications appointing BDA Commissioners; a BDA website page listing past Commissioners with their dates; or newspaper reports of each appointment and transfer. These records should also show whether any officer held only additional or acting charge.</t>
  </si>
  <si>
    <t xml:space="preserve">The only usable source is BMRCL's Annual Report 2020-21 (BMRCL-01), and it covers chief-executive changes only up to about August 2021. It shows that the Managing Director, who the report says is BMRCL's Chief Executive Officer, changed twice in 2021. Shri Ajay Seth was Managing Director until 09.04.2021, when he left for a Central Government posting. Shri Rakesh Singh, Additional Chief Secretary of the Urban Development Department, then held the post as a concurrent (additional) charge from 9 April 2021 to 15 July 2021. Under the methodology, this acting charge is recorded separately. Shri Anjum Parwez was appointed Managing Director from 15 July 2021. So within the five-year period, at least two regular chief executives (Seth and Parwez) and one acting holder (Rakesh Singh) are documented. That already rules out a score of 10. None of the sources show whether the Managing Director changed again after mid-2021, so I cannot tell whether the total stayed at 2–3 (score 5) or went above 3 (score 0). I have not proposed a score, and the average tenure cannot be calculated.</t>
  </si>
  <si>
    <t xml:space="preserve">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t>
  </si>
  <si>
    <t xml:space="preserve">I have left the Score blank because the Citation Sheet only covers Managing Director (MD) changes up to about August 2021. It cannot show how many MDs served in the full five-year window up to now.
What the source does show:
- BMRCL-01 is BMRCL's Annual Report 2020-21, laid before the Karnataka Legislative Council. Its Organizational set-up section says 'The Managing Director is the Chief Executive Officer of the Company', so the MD is the right post to assess.
- The report records three MD holders: Ajay Seth (MD 'upto 09.04.2021'), then Rakesh Singh, Additional Chief Secretary of the Urban Development Department, on concurrent charge from 9 April 2021, then Anjum Parwez, nominated MD 'with effect from 15th July 2021 in place of Shri Rakesh Singh'.
- As the methodology requires, Rakesh Singh's concurrent (additional) charge is recorded separately.
- So at least two regular chief executives (Seth and Parwez) fall within the period. That rules out a score of 10.
What is missing:
- No source on the Sheet records MD appointments or transfers after July 2021. I searched for later MD names and found nothing beyond BMRCL-01.
- The other sources (GBGA 2024, BMLTA Act 2022, KTCP Act, Metro Railways Act, Metro Rail Policy 2017, EIA) say nothing about who held the MD post.
- Without that, I cannot tell whether the total stays at 2–3 (score 5) or goes above 3 (score 0).
What a person should check: later BMRCL annual reports (2021-22 onward), Government of Karnataka notifications appointing or transferring the MD, or the MD history on the BMRCL website. Count the regular MDs and the acting/concurrent charges across the five-year window.
- If nobody replaced Anjum Parwez after July 2021, the score would be 5.
- If two or more further regular MDs were appointed, the score would probably be 0.
I agree with the Step 2 answer, and the source supports it.</t>
  </si>
  <si>
    <t xml:space="preserve">Step 2 found no evidence: a source needs to be found and added. Step 2 found no evidence (Insufficient Evidence). Source needed: A dated list of every Metropolitan Commissioner over the last five years, with start and end dates and a note of any additional or acting charge. Sources that would give this: Karnataka government orders or gazette notifications on the appointment and transfer of IAS officers to the post (from the DPAR / Urban Development Department), a list of past Metropolitan Commissioners on the BMRDA website, BMRDA annual reports that name the Commissioner each year, or dated newspaper reports of appointments and transfers.</t>
  </si>
  <si>
    <t xml:space="preserve">SC7a</t>
  </si>
  <si>
    <t xml:space="preserve">Does the parastatal have adequate staffing capacity to discharge its mandate?</t>
  </si>
  <si>
    <t xml:space="preserve">The latest staffing figures in the Citation Sheet are from August 2017 and come from BWSSB itself, as reported in the JICA Phase 3 Final Report (Nov 2017), Table 2.2.11. They show 3,501 sanctioned permanent posts and 2,157 people actually working, leaving 1,344 vacant. By group (sanctioned / working): Group A 207/146, Group B 310/190, Group C 1,935/1,241, Group D 1,049/580. Fill rate = 2,157 ÷ 3,501 = 61.6%, which falls in the 60–74% band, so the score is 3. The supporting JICA volume (BWSSB-23, Table 17.1.1) has earlier figures from the Office of the Secretary cum CAO, BWSSB, dated 25 Jan 2017: 2,203 regular staff against 3,500 sanctioned, or 62.9%. That is also a score of 3. About 2,000 outsourced workers (mostly Group D) are not counted because they sit outside the sanctioned staffing structure. Two cautions apply. First, the report says GoK approved another 211 permanent posts in 2016-17. It is unclear whether these are already in the 3,501. If they are not, sanctioned posts would be 3,712 and the fill rate 2,157 ÷ 3,712 = 58.1%, which would be a score of 2. Second, the data is about eight years old, so it is only partial evidence of current staffing for an Implementation question.</t>
  </si>
  <si>
    <t xml:space="preserve">A total of 3,501 persons with positions were approved by GoK, however, only 2,157 persons were employed and there are still vacant staff, as shown in the balance column (total of 1,344).</t>
  </si>
  <si>
    <t xml:space="preserve">I scored 3 out of 5. Of 3,501 sanctioned permanent posts, 2,157 were filled, a fill rate of 61.6%. That falls in the methodology's 60–74% band. I checked the figures against the source. Table 2.2.11 in the JICA Phase 3 Final Report, which credits BWSSB as of August 2017, gives these figures by group (sanctioned / working): A 207/146, B 310/190, C 1,935/1,241, D 1,049/580. Total: 3,501/2,157, with 1,344 vacant. The roughly 2,000 outsourced workers are left out because nothing shows they are part of the approved staffing structure. As a cross-check, the Step 2 answer reports 2,203 filled out of 3,500 sanctioned (62.9%) in BWSSB-23 as of January 2017. That would also score 3. I did not re-read BWSSB-23 myself.
Points a person should check:
(1) The report says GoK approved another 211 permanent posts in 2016-17. If these are not already in the 3,501, the sanctioned total would be 3,712. The fill rate would then be 58.1%, which scores 2.
(2) The same paragraph is internally inconsistent: the text says the table shows staff 'as of year 2015', but the table's source line says 'August, 2017'.
(3) The data is about eight years old. It comes from a JICA consultant report that reproduces BWSSB's figures, not from a BWSSB publication. It also predates BWSSB's expansion and the Greater Bengaluru Governance Act, 2024. For an Implementation question this is weak evidence of current staffing.
(4) The PAC 2016 assessment (BWSSB-32) only records officers' reports of staff shortages. The other sources in the Citation Sheet have no staffing figures.
Current figures on sanctioned and filled posts (for example from an annual report or an RTI request) should be obtained to confirm the score.</t>
  </si>
  <si>
    <t xml:space="preserve">Step 2 found no evidence: a source needs to be found and added. Step 2 found no evidence (Insufficient Evidence). Source needed: The sanctioned or approved staff strength for BMTC, alongside its working (filled) strength, both as of the same recent date. Separate figures for permanent staff and for contractual or outsourced staff that are part of the approved structure would also help. Suitable sources: BMTC's latest Annual Administration Report or annual accounts with a sanctioned-versus-working staff table; BMTC's RTI Section 4(1)(b) disclosures; a Karnataka Transport Department statement or Legislative Assembly reply on vacancies; or an RTI reply or formal data request to BMTC. The RTI portal (BMTC-41) is only a route for filing a request and contains no data itself.</t>
  </si>
  <si>
    <t xml:space="preserve">Step 2 found no evidence: a source needs to be found and added. Step 2 found no evidence (Insufficient Evidence). Source needed: A recent, dated staffing record from BDA showing sanctioned posts against filled posts, broken down by cadre or post. It should cover permanent staff, officers on deputation, and contract or outsourced staff where they are part of the approved structure. Possible sources: the staff table in BDA's proactive disclosure under RTI Act Section 4(1)(b); a BDA annual report; a Government Order sanctioning BDA's staff schedule under Section 49 together with current working-strength figures; an RTI reply or formal data request; or Karnataka Legislative Assembly answers or Urban Development Department documents giving BDA vacancy figures.</t>
  </si>
  <si>
    <t xml:space="preserve">Step 2 found no evidence: a source needs to be found and added. Step 2 found no evidence (Insufficient Evidence). Source needed: A dated official record of BMRCL's sanctioned posts next to the posts actually filled, covering regular, deputation and contract posts in both the Project and O&amp;M Wings. This could be a recent annual report with a sanctioned-versus-working staff table, BMRCL's RTI Act Section 4(1)(b) disclosure listing posts, a government order sanctioning posts (including Phase-2 posts), or an RTI reply or formal data request to BMRCL.</t>
  </si>
  <si>
    <t xml:space="preserve">No source on the Citation Sheet gives BMRDA's full sanctioned and filled staffing. The closest record is the officer list on BMRDA's official Contact Us page (BMRDA-01). It shows 18 senior and middle-level posts: 8 have a named officer and 10 are marked 'Vacant'. That gives a rough fill rate of 8 / 18 = 44.4%, which would fall in the Score 2 band (40%–59%). Filled (8): Metropolitan Commissioner; Metropolitan Planner and Director; Additional Metropolitan Commissioner; Joint Metropolitan Commissioner; Joint Director (2); Assistant Director (1 of 4); Accounts Officer. Vacant (10): Additional Director; Deputy Metropolitan Commissioner; Deputy Director (all 4); Assistant Director (3 of 4); Account Superintendent. However, this is a contact list, not an official record of sanctioned strength. It is undated, covers only officer posts, and leaves out ministerial, technical and support staff and any contract staff. So the fill rate cannot be properly calculated as the methodology requires. I have not proposed a score. If the research team accepts the contact list as a stand-in, it points to Score 2.</t>
  </si>
  <si>
    <t xml:space="preserve">Vacant Deputy Metropolitan Commissioner 080-22263479 Vacant Deputy Director 080-22263479</t>
  </si>
  <si>
    <t xml:space="preserve">I left the Score blank because the sources don't give BMRDA's approved staffing. To score this question we need the number of sanctioned posts and the number filled. No source has that.
What the sources do show:
- The only staffing data is the officer table on BMRDA's Contact Us page (BMRDA-01). I checked it against the page. It lists 18 officer posts. 8 have a named officer: Metropolitan Commissioner, Metropolitan Planner and Director, Additional Metropolitan Commissioner, Joint Metropolitan Commissioner, two Joint Directors, one of the four Assistant Directors and the Accounts Officer. The other 10 are marked 'Vacant': Additional Director, Deputy Metropolitan Commissioner, all four Deputy Directors, three Assistant Directors and the Account Superintendent.
- That gives a fill rate of 8 / 18 = 44.4% for these posts. That would fall in the Score 2 band (40%–59%).
Why I did not use that number:
- The table is a contact list, not a record of approved posts.
- It has no date.
- It covers only senior and middle officers. Clerical, technical, support and contract staff are missing.
- So the full fill rate cannot be worked out.
Other sources checked:
- My search of the whole sheet for sanctioned or working strength found nothing else.
- BMRDA-08, Section 8 of the 1985 Act, covers appointments ('shall appoint a Metropolitan Commissioner'; other posts 'may' be created). It gives no numbers.
- BMRDA-02, BMRDA-04 and BMRDA-05 have no staffing figures.
- I did not score 0. The 0 rule is for when there is no evidence of a staffing structure, and the contact list does show some posts.
What to do next: get BMRDA's table of sanctioned versus working staff. It may be in the 2023-24 Annual Report, the RTI Section 4(1)(b) disclosure (the posted one is 2019-20) or the Cadre and Recruitment Rules 2008. These are linked from the website but their contents are not on the Citation Sheet. An RTI request or a direct data request would also work. If reviewers accept the contact list as a stand-in, the likely score is 2.</t>
  </si>
  <si>
    <t xml:space="preserve">SC7b</t>
  </si>
  <si>
    <t xml:space="preserve">What proportion of the parastatal's workforce is women?</t>
  </si>
  <si>
    <t xml:space="preserve">Step 2 found no evidence: a source needs to be found and added. Step 2 found no evidence (Insufficient Evidence). Source needed: Current, dated staffing records from BWSSB that split staff by gender. Any of these would answer it: (a) BWSSB's latest annual report or administration report with sanctioned and working strength by sex; (b) an RTI reply or formal data request giving the number of women and men in filled posts, broken down by Group A/B/C/D or by cadre (engineering/technical vs administrative), plus the number of women in senior posts (EE/DCE and above, Chief Engineers, Board members); (c) a Government of Karnataka staffing or establishment return covering BWSSB.</t>
  </si>
  <si>
    <t xml:space="preserve">Step 2 found no evidence: a source needs to be found and added. Step 2 found no evidence (Insufficient Evidence). Source needed: Recent official BMTC staffing data broken down by gender, for example: (a) the latest BMTC Annual Administration Report or Annual Report with a table of filled posts or working strength by sex and cadre; (b) BMTC's RTI Section 4(1)(b) disclosure listing employees by gender; or (c) an RTI reply or formal data request to BMTC giving the number of women employees, total filled posts, and the number of women in senior/decision-making and technical cadres (e.g. drivers, mechanics, engineers), with a reference date.</t>
  </si>
  <si>
    <t xml:space="preserve">Step 2 found no evidence: a source needs to be found and added. Step 2 found no evidence (Insufficient Evidence). Source needed: Recent official BDA staffing records showing the total number of filled posts and how many are held by women, ideally also broken down by cadre (senior/decision-making and technical/professional). Possible sources: a BDA annual report with an establishment or staff table, the staff list or directory published under Section 4(1)(b) of the RTI Act, a reply to an RTI request, or a formal data request to BDA's Establishment/Administration section.</t>
  </si>
  <si>
    <t xml:space="preserve">Step 2 found no evidence: a source needs to be found and added. Step 2 found no evidence (Insufficient Evidence). Source needed: We need a count of employees by gender: the number of women among all filled posts in both the Project and O&amp;M Wings, ideally split by grade (Executive Director and above, General Managers, engineers and other technical staff, non-executives). This could come from a recent BMRCL annual report or HR statement that reports gender, a staff list on BMRCL's website, an RTI reply, or a formal data request to BMRCL.</t>
  </si>
  <si>
    <t xml:space="preserve">Step 2 found no evidence: a source needs to be found and added. Step 2 found no evidence (Insufficient Evidence). Source needed: Dated staffing records for BMRDA that give total filled (working) posts and the number of women employees, ideally split by cadre or grade. Possible sources: the establishment or staff details in BMRDA's RTI Section 4(1)(b) disclosure (the copy linked from the website is dated 2019-20), BMRDA's latest annual report (2023-24 is linked from the website), the Karnataka HRMS establishment data, or an RTI reply or formal data request to BMRDA.</t>
  </si>
  <si>
    <t xml:space="preserve">DRAFT PARASTATAL scoring workbook - generated from the methodology sheet</t>
  </si>
  <si>
    <t xml:space="preserve">This draft follows the same layout as the UPD scoring workbook, so the app can fill, merge and read it. The scoring experts should:</t>
  </si>
  <si>
    <t xml:space="preserve">  1. Replace each question sheet's simple inputs (yellow) and Points formula with the real ones, keeping the row-11 instructions (e.g. SELECT YES / NO) and the column names 'Points (Auto-generate)' and 'SCORER COMMENTS'.</t>
  </si>
  <si>
    <t xml:space="preserve">  2. Check 'Applies?' (filled in from each agency's type and the question's Applicability). To change it, fix the agency in the city register or Sources workbook and generate again.</t>
  </si>
  <si>
    <t xml:space="preserve">  3. Fix the points below in the methodology sheet and generate again.</t>
  </si>
  <si>
    <t xml:space="preserve">Points to check:</t>
  </si>
  <si>
    <t xml:space="preserve">  • Section 'Decentralised Participatory Governance' has no (CODE); using DPG</t>
  </si>
  <si>
    <t xml:space="preserve">  • Question Bank row 35: the ID "DPG d" has no number. We treated it as part of DPG 5. Please correct the ID in the question bank.</t>
  </si>
  <si>
    <t xml:space="preserve">  • Question Bank row 36: the ID "DPG f" has no number. We treated it as part of DPG 5. Please correct the ID in the question bank.</t>
  </si>
  <si>
    <t xml:space="preserve">  • Question Bank row 38: the ID "DPG h" has no number. We treated it as part of DPG 5. Please correct the ID in the question bank.</t>
  </si>
  <si>
    <t xml:space="preserve">  • Section 'State Capacities' has no (CODE); using SC</t>
  </si>
  <si>
    <t xml:space="preserve">  • UPD 1a: the methodology gives scores up to 10, but the Max Score is 5. Say how the score should be scaled.</t>
  </si>
  <si>
    <t xml:space="preserve">ASICS 2027_Report_Q No</t>
  </si>
  <si>
    <t xml:space="preserve">Group</t>
  </si>
  <si>
    <t xml:space="preserve">MQ_SQ</t>
  </si>
  <si>
    <t xml:space="preserve">Assessment level</t>
  </si>
  <si>
    <t xml:space="preserve">Max Score</t>
  </si>
  <si>
    <t xml:space="preserve">Surat – SUDA</t>
  </si>
  <si>
    <t xml:space="preserve">Surat – GMRC</t>
  </si>
  <si>
    <t xml:space="preserve">ENTER</t>
  </si>
  <si>
    <t xml:space="preserve">Derived</t>
  </si>
  <si>
    <t xml:space="preserve">UPD1</t>
  </si>
  <si>
    <t xml:space="preserve">UPD2</t>
  </si>
  <si>
    <t xml:space="preserve">UPD3</t>
  </si>
  <si>
    <t xml:space="preserve">UPD4</t>
  </si>
  <si>
    <t xml:space="preserve">UPD5</t>
  </si>
  <si>
    <t xml:space="preserve">UPD6</t>
  </si>
  <si>
    <t xml:space="preserve">DPG1</t>
  </si>
  <si>
    <t xml:space="preserve">DPG2</t>
  </si>
  <si>
    <t xml:space="preserve">DPG5</t>
  </si>
  <si>
    <t xml:space="preserve">DPG6</t>
  </si>
  <si>
    <t xml:space="preserve">DPG7</t>
  </si>
  <si>
    <t xml:space="preserve">SC4</t>
  </si>
  <si>
    <t xml:space="preserve">SC7</t>
  </si>
  <si>
    <t xml:space="preserve">PARASTATAL_Scores</t>
  </si>
  <si>
    <t xml:space="preserve">PARASTATAL_OVERALL_SCORE</t>
  </si>
  <si>
    <t xml:space="preserve">No. of MQs not yet scored ("?") - overall score is provisional while &gt; 0</t>
  </si>
  <si>
    <t xml:space="preserve">No. of MQs marked NA (excluded from overall score)</t>
  </si>
  <si>
    <t xml:space="preserve">City</t>
  </si>
  <si>
    <t xml:space="preserve">Agencies</t>
  </si>
  <si>
    <t xml:space="preserve">PARASTATAL score</t>
  </si>
  <si>
    <t xml:space="preserve">Agencies with a score</t>
  </si>
  <si>
    <t xml:space="preserve">Bengaluru</t>
  </si>
  <si>
    <t xml:space="preserve">BWSSB, BMTC, BDA, BMRCL, BMRDA</t>
  </si>
  <si>
    <t xml:space="preserve">Surat</t>
  </si>
  <si>
    <t xml:space="preserve">SUDA, GMRC</t>
  </si>
  <si>
    <t xml:space="preserve">A city's score is the average of its agencies' overall scores. Agencies with no applicable questions (NA) are left out.</t>
  </si>
  <si>
    <t xml:space="preserve">Q No</t>
  </si>
  <si>
    <t xml:space="preserve">Original ID</t>
  </si>
  <si>
    <t xml:space="preserve">Applicability</t>
  </si>
  <si>
    <t xml:space="preserve">Detailed Methodology</t>
  </si>
  <si>
    <t xml:space="preserve">Notes for scorers</t>
  </si>
  <si>
    <t xml:space="preserve">UPD 1</t>
  </si>
  <si>
    <t xml:space="preserve">Urban Planning &amp; Design (UPD)</t>
  </si>
  <si>
    <t xml:space="preserve">MQ</t>
  </si>
  <si>
    <t xml:space="preserve">Does the parastatal coordinate with the ULG(s) in preparing its spatial and/or sectoral plans?</t>
  </si>
  <si>
    <t xml:space="preserve">Common — all parastatal types.</t>
  </si>
  <si>
    <t xml:space="preserve">Sum total of the sub-indicators below -</t>
  </si>
  <si>
    <t xml:space="preserve">See sub-indicators</t>
  </si>
  <si>
    <t xml:space="preserve">UPD 1a</t>
  </si>
  <si>
    <t xml:space="preserve">SQ</t>
  </si>
  <si>
    <t xml:space="preserve">Law/Policy</t>
  </si>
  <si>
    <t xml:space="preserve">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</si>
  <si>
    <t xml:space="preserve">Relevant Parastatal Act; applicable Town and Country Planning (T&amp;CP) Act.</t>
  </si>
  <si>
    <t xml:space="preserve">UPD 1b</t>
  </si>
  <si>
    <t xml:space="preserve">Implementation</t>
  </si>
  <si>
    <t xml:space="preserve">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</si>
  <si>
    <t xml:space="preserve">Evidence may include plan documents, consultation records, meeting minutes, ULG resolutions/comments, responses to ULG inputs, or information published on the parastatal website.</t>
  </si>
  <si>
    <t xml:space="preserve">UPD 2</t>
  </si>
  <si>
    <t xml:space="preserve">Where multiple statutory or sectoral plans apply to the same territory, does the water supply board and transport corporation ensure consistency with the applicable metropolitan/regional or city master plan/strategic plan for the city?</t>
  </si>
  <si>
    <t xml:space="preserve">All parastatals excluding Development Authorities</t>
  </si>
  <si>
    <t xml:space="preserve">Sum of the sub-questions below -</t>
  </si>
  <si>
    <t xml:space="preserve">UPD 2a</t>
  </si>
  <si>
    <t xml:space="preserve">Water supply board</t>
  </si>
  <si>
    <t xml:space="preserve">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</si>
  <si>
    <t xml:space="preserve">UPD 2b</t>
  </si>
  <si>
    <t xml:space="preserve">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</si>
  <si>
    <t xml:space="preserve">Water Supply Board's current water supply/sewerage master plan or equivalent sectoral planning document; applicable Master Plan/Development Plan/Metropolitan or Regional Plan; land-use conversion/regularisation records for major treatment plants or trunk infrastructure, where available.</t>
  </si>
  <si>
    <t xml:space="preserve">UPD 2c</t>
  </si>
  <si>
    <t xml:space="preserve">Transport Corporation</t>
  </si>
  <si>
    <t xml:space="preserve">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</si>
  <si>
    <t xml:space="preserve">UPD 2d</t>
  </si>
  <si>
    <t xml:space="preserve">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</si>
  <si>
    <t xml:space="preserve">Transport corporation's current mobility/network plan; applicable Master Plan/Development Plan/Metropolitan or Regional Plan; land-use conversion/regularisation records for major transport infrastructure, where available.</t>
  </si>
  <si>
    <t xml:space="preserve">UPD 3</t>
  </si>
  <si>
    <t xml:space="preserve">Are the needs of women, the urban poor, and other vulnerable groups explicitly considered in the water board’s planning, service delivery or major investment decisions?</t>
  </si>
  <si>
    <t xml:space="preserve">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</si>
  <si>
    <t xml:space="preserve">Relevant Act of the parastatal and applicable sectoral legislation, rules, regulations and other binding policy instruments</t>
  </si>
  <si>
    <t xml:space="preserve">UPD 3a</t>
  </si>
  <si>
    <t xml:space="preserve">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</si>
  <si>
    <t xml:space="preserve">Water Supply Board/utility Act, water and sanitation legislation, tariff regulations, service rules, State policies and other applicable binding instruments</t>
  </si>
  <si>
    <t xml:space="preserve">UPD 3b</t>
  </si>
  <si>
    <t xml:space="preserve">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</si>
  <si>
    <t xml:space="preserve">Water Supply Board's current water supply/sanitation plan; scheme/coverage documents; tariff or connection-concession orders; design/service standards.</t>
  </si>
  <si>
    <t xml:space="preserve">UPD 4</t>
  </si>
  <si>
    <t xml:space="preserve">Are the needs of women, the urban poor, and other vulnerable groups explicitly considered in the transport Corporation’s planning, service delivery or major investment decisions?</t>
  </si>
  <si>
    <t xml:space="preserve">UPD 4a</t>
  </si>
  <si>
    <t xml:space="preserve">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</si>
  <si>
    <t xml:space="preserve">Transport authority/corporation Act, applicable transport legislation, rules, service regulations, fare policies and other binding policy instruments</t>
  </si>
  <si>
    <t xml:space="preserve">UPD 4b</t>
  </si>
  <si>
    <t xml:space="preserve">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</si>
  <si>
    <t xml:space="preserve">Transport Corporation's current transport/mobility plan; fare policy/concession orders; service design standards or specifications; annual report.</t>
  </si>
  <si>
    <t xml:space="preserve">UPD 5</t>
  </si>
  <si>
    <t xml:space="preserve">Are environmental considerations explicitly required to be integrated into the water supply board’s planning, service-delivery or major investment decisions?</t>
  </si>
  <si>
    <t xml:space="preserve">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</si>
  <si>
    <t xml:space="preserve">Enabling Act of the parastatal, applicable sectoral legislation, T&amp;CP/planning legislation, relevant environmental rules/regulations, and other binding policy instruments</t>
  </si>
  <si>
    <t xml:space="preserve">UPD 5a</t>
  </si>
  <si>
    <t xml:space="preserve">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</si>
  <si>
    <t xml:space="preserve">Water Supply Board/utility Act, water and sanitation legislation, service rules, State water policies, groundwater/source-protection provisions and other binding instruments</t>
  </si>
  <si>
    <t xml:space="preserve">UPD 5b</t>
  </si>
  <si>
    <t xml:space="preserve">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</si>
  <si>
    <t xml:space="preserve">Water Supply Board's current water supply/sanitation plan; source-protection or conservation programme documents; wastewater treatment/reuse scheme documents; annual report.</t>
  </si>
  <si>
    <t xml:space="preserve">UPD 6</t>
  </si>
  <si>
    <t xml:space="preserve">Are environmental considerations explicitly required to be integrated into the transport corporation’s planning, service-delivery or major investment decisions?</t>
  </si>
  <si>
    <t xml:space="preserve">UPD 6a</t>
  </si>
  <si>
    <t xml:space="preserve">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</si>
  <si>
    <t xml:space="preserve">Transport authority/corporation Act, applicable transport legislation, rules, mobility/transport policies and other binding instruments</t>
  </si>
  <si>
    <t xml:space="preserve">UPD 6b</t>
  </si>
  <si>
    <t xml:space="preserve">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</si>
  <si>
    <t xml:space="preserve">Transport Corporation's fleet plan; route/network plan; environmental/sustainability policy; annual report.</t>
  </si>
  <si>
    <t xml:space="preserve">DPG 1</t>
  </si>
  <si>
    <t xml:space="preserve">Decentralised Participatory Governance</t>
  </si>
  <si>
    <t xml:space="preserve">Are the functions and geographical jurisdiction of the parastatal clearly defined vis-à-vis the ULG and other relevant agencies?</t>
  </si>
  <si>
    <t xml:space="preserve">Institutional Design</t>
  </si>
  <si>
    <t xml:space="preserve">Parastatal, 12th Schedule mapping exercise</t>
  </si>
  <si>
    <t xml:space="preserve">DPG 1a</t>
  </si>
  <si>
    <t xml:space="preserve">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</si>
  <si>
    <t xml:space="preserve">Relevant Parastatal Act; State Municipal Act — record the specific provisions establishing devolution status and (where applicable) the functional carve-out.</t>
  </si>
  <si>
    <t xml:space="preserve">DPG 1b</t>
  </si>
  <si>
    <t xml:space="preserve">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</si>
  <si>
    <t xml:space="preserve">Enabling Act, 12th Schedule mapping exercise</t>
  </si>
  <si>
    <t xml:space="preserve">DPG 2</t>
  </si>
  <si>
    <t xml:space="preserve">Is the parastatal accountable to the ULG?</t>
  </si>
  <si>
    <t xml:space="preserve">DPG 2a</t>
  </si>
  <si>
    <t xml:space="preserve">Review the relevant Parastatal Act and Municipal Act for composition.
Score 5 if ULG-elected representatives sit on the board with voting rights. 
Score 2.5 if represented without voting rights or only as invitees. 
Score 0 if no representation.</t>
  </si>
  <si>
    <t xml:space="preserve">Composition clause of enabling Act; current board member list</t>
  </si>
  <si>
    <t xml:space="preserve">DPG-2b</t>
  </si>
  <si>
    <t xml:space="preserve">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</si>
  <si>
    <t xml:space="preserve">Plan/Budget preparation/Annual report preparation clause of the enabling Act of the relevant parastatal</t>
  </si>
  <si>
    <t xml:space="preserve">DPG 4</t>
  </si>
  <si>
    <t xml:space="preserve">Common.</t>
  </si>
  <si>
    <t xml:space="preserve">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</si>
  <si>
    <t xml:space="preserve">Live URL, screenshot/web-archive capture, date of check of the website of the relevant parastatal</t>
  </si>
  <si>
    <t xml:space="preserve">DPG 5</t>
  </si>
  <si>
    <t xml:space="preserve">Are the parastatal's key financial, governance, and operational documents available on the website and published in accessible, open-data formats?</t>
  </si>
  <si>
    <t xml:space="preserve">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</si>
  <si>
    <t xml:space="preserve">Website screenshots/archived URLs with date of access, for each document type</t>
  </si>
  <si>
    <t xml:space="preserve">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</si>
  <si>
    <t xml:space="preserve">DPG 5b</t>
  </si>
  <si>
    <t xml:space="preserve">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</si>
  <si>
    <t xml:space="preserve">DPG 5c</t>
  </si>
  <si>
    <t xml:space="preserve">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</si>
  <si>
    <t xml:space="preserve">DPG d</t>
  </si>
  <si>
    <t xml:space="preserve">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</si>
  <si>
    <t xml:space="preserve">DPG f</t>
  </si>
  <si>
    <t xml:space="preserve">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</si>
  <si>
    <t xml:space="preserve">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</si>
  <si>
    <t xml:space="preserve">DPG h</t>
  </si>
  <si>
    <t xml:space="preserve">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</si>
  <si>
    <t xml:space="preserve">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</si>
  <si>
    <t xml:space="preserve">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</si>
  <si>
    <t xml:space="preserve">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</si>
  <si>
    <t xml:space="preserve">DPG 6</t>
  </si>
  <si>
    <t xml:space="preserve">Does the parastatal provide for and maintain an accessible grievance-redressal mechanism?</t>
  </si>
  <si>
    <t xml:space="preserve">Composite of the legal-mandate and implementation sub-indicators below.</t>
  </si>
  <si>
    <t xml:space="preserve">DPG 6a</t>
  </si>
  <si>
    <t xml:space="preserve">Score 5 if  the Parastatal Act/ corresponding subordinate legislation/ citizen or service charter requires a grievance-redressal mechanism (any channel); 0 if not.</t>
  </si>
  <si>
    <t xml:space="preserve">Parastatal Act/ corresponding subordinate legislation/ citizen or service charter</t>
  </si>
  <si>
    <t xml:space="preserve">DPG 6b</t>
  </si>
  <si>
    <t xml:space="preserve">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</si>
  <si>
    <t xml:space="preserve">Relevant parastatal's official website 
Detailed evidence information provided in the methodology column (I 33)</t>
  </si>
  <si>
    <t xml:space="preserve">DPG 7</t>
  </si>
  <si>
    <t xml:space="preserve">Does the law mandate citizen participation in the preparation of plans for which the parastatal is responsible, and does the parastatal provide for such participation in practice?</t>
  </si>
  <si>
    <t xml:space="preserve">Sum of sub-questions below -</t>
  </si>
  <si>
    <t xml:space="preserve">Provisions on plan approval procedure in enabling act of the relevant parastatal/T&amp;CP Act</t>
  </si>
  <si>
    <t xml:space="preserve">DPG 7a</t>
  </si>
  <si>
    <t xml:space="preserve">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</si>
  <si>
    <t xml:space="preserve">Parastatal Act and rules; applicable T&amp;CP Act; State Municipal Act.</t>
  </si>
  <si>
    <t xml:space="preserve">DPG 7b</t>
  </si>
  <si>
    <t xml:space="preserve">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</si>
  <si>
    <t xml:space="preserve">Plan document; consultation reports; public notices; minutes/proceedings of consultations or hearings on the parastatal's official website; media reports.</t>
  </si>
  <si>
    <t xml:space="preserve">SC-1</t>
  </si>
  <si>
    <t xml:space="preserve">State Capacities</t>
  </si>
  <si>
    <t xml:space="preserve">Implementation (Numeric)</t>
  </si>
  <si>
    <t xml:space="preserve">Revenue-raising parastatals only</t>
  </si>
  <si>
    <t xml:space="preserve">Compute Own Revenue (Tax and Non-Tax revenue excluding any government grants) and use 3 years average wherever available (at least 2 years but not more than 5 years). Score is own revenue percentage as a proportion of 10 marks i.e. 50% gets 5 out of 10.</t>
  </si>
  <si>
    <t xml:space="preserve">Annual budget of the last three financial years of the relevant parastatal.</t>
  </si>
  <si>
    <t xml:space="preserve">SC-2</t>
  </si>
  <si>
    <t xml:space="preserve">Parastatals with an infrastructure-delivery/capital-expenditure mandate.</t>
  </si>
  <si>
    <t xml:space="preserve">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</si>
  <si>
    <t xml:space="preserve">Latest annual budget and capital-expenditure accounts of the relevant parastatal; population figure with source.</t>
  </si>
  <si>
    <t xml:space="preserve">SC-3</t>
  </si>
  <si>
    <t xml:space="preserve">Common — all parastatal types with an annual budget.</t>
  </si>
  <si>
    <t xml:space="preserve">3 year average of budget variance wherever available (at least 2 years but not more than 5 years); If variance is within 15%, the score will be 10 but anything over 15% will score 0 out of 10</t>
  </si>
  <si>
    <t xml:space="preserve">Budget documents and audited accounts for the same financial year, compared side by side</t>
  </si>
  <si>
    <t xml:space="preserve">SC-4</t>
  </si>
  <si>
    <t xml:space="preserve">Is the parastatal mandated to prepare a medium-term and/or long-term fiscal plan, and has it prepared a current plan in accordance with that mandate?</t>
  </si>
  <si>
    <t xml:space="preserve">Sum of the legal-mandate and public availability sub-indicators below.</t>
  </si>
  <si>
    <t xml:space="preserve">SC-4a</t>
  </si>
  <si>
    <t xml:space="preserve">Score 5 if enabling act of the relevant parastatal require a fiscal plan of defined horizon (Medium term at 3-5 years and long term at &gt;5 years). Score 0 if no such requirement.</t>
  </si>
  <si>
    <t xml:space="preserve">Enabling act of the relevant parastatal</t>
  </si>
  <si>
    <t xml:space="preserve">SC-4b</t>
  </si>
  <si>
    <t xml:space="preserve">Score 5 if the fiscal plan is published online on the relevant parastatal's website. Score 0 if not available.</t>
  </si>
  <si>
    <t xml:space="preserve">Website of the relevant parastatal</t>
  </si>
  <si>
    <t xml:space="preserve">SC-5</t>
  </si>
  <si>
    <t xml:space="preserve">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</si>
  <si>
    <t xml:space="preserve">Relevant Parastatal Act; rules governing appointment, tenure and removal of the executive authority/chief executive.</t>
  </si>
  <si>
    <t xml:space="preserve">SC-6</t>
  </si>
  <si>
    <t xml:space="preserve">Common — all parastatal types with a designated chief executive/executive authority post.</t>
  </si>
  <si>
    <t xml:space="preserve">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</si>
  <si>
    <t xml:space="preserve">Newspaper reports, Gazette notifications of appointment/transfer and website of relevant parastatal</t>
  </si>
  <si>
    <t xml:space="preserve">SC-7</t>
  </si>
  <si>
    <t xml:space="preserve">Does the parastatal have adequate and representative staffing capacity to discharge its mandate?</t>
  </si>
  <si>
    <t xml:space="preserve">Sum of the sub-indicators below.</t>
  </si>
  <si>
    <t xml:space="preserve">RTI / Formal data request with the parastatal and Website of the relevant parastatal</t>
  </si>
  <si>
    <t xml:space="preserve">SC-7a</t>
  </si>
  <si>
    <t xml:space="preserve">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</si>
  <si>
    <t xml:space="preserve">Staffing records on the website/ RTI  and/or formal data request with the parastatal/ annual report</t>
  </si>
  <si>
    <t xml:space="preserve">SC-7b</t>
  </si>
  <si>
    <t xml:space="preserve">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</si>
  <si>
    <t xml:space="preserve">Question Code</t>
  </si>
  <si>
    <t xml:space="preserve">&lt;Sheet name and this code must match&gt;</t>
  </si>
  <si>
    <t xml:space="preserve">← Back to Scores (start here)</t>
  </si>
  <si>
    <t xml:space="preserve">PRE-FILLED - DO NOT ALTER</t>
  </si>
  <si>
    <t xml:space="preserve">ENTER A NUMBER 0 TO 5</t>
  </si>
  <si>
    <t xml:space="preserve">DO NOT ALTER FORMULA</t>
  </si>
  <si>
    <t xml:space="preserve">AUTO - DO NOT ENTER</t>
  </si>
  <si>
    <t xml:space="preserve">Applies?</t>
  </si>
  <si>
    <t xml:space="preserve">Act Name/Web name/Doc name</t>
  </si>
  <si>
    <t xml:space="preserve">Chapter</t>
  </si>
  <si>
    <t xml:space="preserve">Provision</t>
  </si>
  <si>
    <t xml:space="preserve">Clause</t>
  </si>
  <si>
    <t xml:space="preserve">Page Number</t>
  </si>
  <si>
    <t xml:space="preserve">Score</t>
  </si>
  <si>
    <t xml:space="preserve">Points (Auto-generate)</t>
  </si>
  <si>
    <t xml:space="preserve">SCORER COMMENTS</t>
  </si>
  <si>
    <t xml:space="preserve">AI points</t>
  </si>
  <si>
    <t xml:space="preserve">YES</t>
  </si>
  <si>
    <t xml:space="preserve">Chapter II (Constitution, powers and duties of the Board)</t>
  </si>
  <si>
    <t xml:space="preserve">Section 14 (Consultative Committee), read with Section 15(2)(b)-(c) and its proviso (General duties of the Board)</t>
  </si>
  <si>
    <t xml:space="preserve">Section 14(1) and 14(4)(i); proviso to Section 15(2)</t>
  </si>
  <si>
    <t xml:space="preserve">12</t>
  </si>
  <si>
    <t xml:space="preserve">AI (medium confidence), from Step 2 answer (Answered — Verified Source) and BWSSB-04: I propose 1.25 out of 5. That is the methodology's 'consultation is discretionary' level (2.5 out of 10), scaled down to this question's maximum of 5. It is not a 'no formal role' 0, but that is a close call.
What I checked against the sources:
(1) BWSSB plans on its own. Under the BWSSB Act, Section 15(2)(b)-(c), it is the Board's duty to prepare and carry out water and sewerage schemes. The only approval required is from the State Government, for schemes costing over one crore rupees (proviso to Section 15(2)). The Act does not require ULG approval, joint preparation or consultation.
(2) The only ULG link is the Consultative Committee under Section 14. The State Government 'shall' set it up, and under Section 14(4)(i) it advises 'on major questions of policy and major schemes'. But the Municipal Corporation is consulted on members only 'as the State Government thinks fit'. The Board has no duty to incorporate the Committee's advice or respond to it. So any ULG input is discretionary.
(3) The Greater Bengaluru Governance Act, 2024 (BWSSB-29) gives the GBA general powers over BWSSB. Section 14(4) lets it integrate and supervise BWSSB with binding directions. Section 14(3)(b) lets it coordinate the execution of schemes that implement GBA plans. Under Section 15(5), the GBA 'may assign the task of planning the major infrastructural projects' to public authorities. These are general supervision and coordination powers. None of them requires BWSSB to prepare its own water or sewerage plans jointly with, with the approval of, or after consulting the GBA or the City Corporations. Also, the GBA is chaired by the Chief Minister and is mostly made up of State ministers, so treating it as the ULG is debatable.
(4) The Karnataka Town and Country Planning Act (BWSSB-28), as summarised in Step 2, gives BWSSB no planning role.
What a reviewer should check:
(a) Whether the workbook expects the 10-point bands to be scaled to the maximum of 5. I scaled proportionally.
(b) Whether a stricter reading should give 0, since the ULG has no statutory role in BWSSB's schemes themselves.
(c) Whether the GBA's binding-direction power should be treated as ULG concurrence. I did not treat it that way.
(d) My copy of the BWSSB Act (FAOLEX) shows amendments only up to 1984. Check for later amendments or rules adding a consultation or concurrence requirement, and confirm whether the 2025 Amendment Bill to the Greater Bengaluru Governance Act (BWSSB-30) has been enacted.
Quote: "The State Government shall constitute a Consultative Committee consisting of members of the Board and such other persons being not less than three and not more than nine as the State Government may appoint after consultation with such representatives or bodies representative of the following interests as the State Government thinks fit, that is to say, the Municipal Corporation of the City of Bangalore, the Bangalore City Improvement Trust Board and consumers of water."</t>
  </si>
  <si>
    <t xml:space="preserve">AI: not scored (error: AnthropicInvalidRequestError). Run Step 3 again.</t>
  </si>
  <si>
    <t xml:space="preserve">Development schemes (Sections 17–19), Bangalore Development Authority Act, 1976</t>
  </si>
  <si>
    <t xml:space="preserve">Section 17(2), read with Section 17(4) and Section 18(1)(d)</t>
  </si>
  <si>
    <t xml:space="preserve">S.17(2): notification 'shall be sent to the Corporation', and the Corporation may make a representation within 30 days; S.17(4): if it sends none, its concurrence is deemed given; S.18(1): BDA submits the scheme 'after consideration of representations' and must attach 'any representation received under sub-section (2) of section 17' (cl. (d)); S.18(3): the Government sanctions</t>
  </si>
  <si>
    <t xml:space="preserve">26</t>
  </si>
  <si>
    <t xml:space="preserve">AI (medium confidence), from Step 2 answer (Partially Answered) and BDA-02: I proposed 3.75 out of 5. That is the 7.5 band on the methodology's 10-point scale, scaled down because this question's maximum is 5. I checked this against the BDA Act text in BDA-02.
(1) Section 17(2) makes formal consultation mandatory. A copy of every development scheme notification 'shall be sent to the Corporation', and the Corporation then has 30 days to send its representation.
(2) BDA must consider the Corporation's response. Under Section 18(1), BDA submits the scheme to the Government only 'after consideration of representations', and clause (d) requires it to attach 'any representation received under sub-section (2) of section 17'. So the response must be considered and placed before the Government. That fits the 7.5 band rather than 5.
(3) The 10 band does not apply. The Corporation has no approval, veto or joint-preparation role. BDA may modify the scheme 'as it may think fit', and only the Government sanctions it (Section 18(3)). The 'deemed concurrence' wording in Section 17(4) hints that the Corporation's concurrence is sought, but nothing in the Act makes that concurrence binding. A reviewer could argue for a higher score on this point.
(4) The Corporation's concurrence is binding in one place: the first proviso to Section 32(1). That covers BDA sanctioning private layouts or extensions inside Corporation limits, not BDA's own plans, so I did not use it for this score.
(5) Under the Karnataka Town and Country Planning Act (BDA-03), the 2005 versions of Sections 9 and 10 give the local body no specific role in preparing the Master Plan. They provide for public suggestions, submission through the Director, and approval by the State Government. Section 10(3) only says the boundary plan is to be kept open for public inspection at the Planning Authority or Local Authority office. On the master plan alone, the score would be close to 0.
(6) According to the Step 2 notes, Section 14(2)(a) of the Greater Bengaluru Governance Act (BDA-11) makes the Greater Bengaluru Authority the Planning Authority for the Greater Bengaluru Area. I did not re-read BDA-11 myself. If that is right, BDA's master-plan role there may have moved to the new authority, and the consultation requirement mainly covers BDA's development schemes.
For a reviewer to check:
(a) Whether the workbook expects this 10-to-5 scaling (3.75) or some other conversion.
(b) The current wording of Sections 17 and 18. BDA-02 is a PRS consolidated copy and may not include amendments from 2024–25.
(c) Whether the 'Corporation' named in the BDA Act now means the city corporations created under the Greater Bengaluru Governance Act.
Quote: "(2)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</si>
  <si>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Chapter III – Greater Bengaluru Authority</t>
  </si>
  <si>
    <t xml:space="preserve">Section 14 (Functions of the Greater Bengaluru Authority)</t>
  </si>
  <si>
    <t xml:space="preserve">Section 14(4); also s.15(1) and s.15(5); BMLTA Act s.21(2) proviso (BMRCL-35)</t>
  </si>
  <si>
    <t xml:space="preserve">15</t>
  </si>
  <si>
    <t xml:space="preserve">AI (medium confidence), from Step 2 answer (Partially Answered) and BMRCL-34: I scored 0 ("no formal role"). Nothing on the Citation Sheet requires BMRCL to prepare its plans with the city government (ULG), whether by joint preparation, by getting its agreement, or by consulting it.
(1) No Act creates BMRCL or sets out how it plans. It is a company under the Companies Act, jointly owned by the Government of India and Government of Karnataka (BMRCL-01). The Metro Railways (Operation and Maintenance) Act, 2002 (BMRCL-15) does not mention consulting local bodies on plans.
(2) Greater Bengaluru Governance Act (BMRCL-34):
- s.14(4) lets the Greater Bengaluru Authority supervise BMRCL and give it binding directions. BMRCL "shall cooperate" and obey.
- s.15(1): the Authority makes the master plan and mobility plans.
- s.15(5): the Authority "may" ask agencies to plan major projects, and they "shall be bound to assist".
This is a general power for the Authority to coordinate and direct BMRCL. It is not a rule that BMRCL must consult the ULG on, or get its approval for, BMRCL's own plans. Also, the Authority is chaired by the Chief Minister and run by an officer the state appoints (s.9 and s.10), so it is not clearly a ULG. The ULGs are the City Corporations.
(3) BMLTA Act, s.21(2) proviso (BMRCL-35): any other authority planning urban mobility "shall necessarily consult the Authority and take its suggestions and inputs into account". "The Authority" here is BMLTA, a state body, not a ULG. Mayors and Commissioners sit on BMLTA, but that involves the city government only indirectly.
(4) Neither the Karnataka Town and Country Planning Act (BMRCL-31) nor the Metro Rail Policy 2017 (BMRCL-18) sets any planning duty between BMRCL and the ULG. The Policy's wording is only advice.
I agree with Step 2's strict reading.
For reviewers:
- How the scale converts to marks. The methodology scores out of 10 but the question's maximum is 5, so I assume the scale is halved. That makes no difference at 0.
- Whether the Authority's binding-direction power, or BMLTA's mandatory-consultation proviso, should count as a ULG role. If so, partial credit could be argued, roughly the 7.5 band halved to 3.75. I don't think either counts.
- Missing documents. BMRCL's Memorandum and Articles of Association and any government orders on BMRCL's planning are not on the Citation Sheet.
- Source quality. BMRCL-34 is a PRS copy, not the official gazette.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</si>
  <si>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Chapter III – Powers and Functions of the Authority</t>
  </si>
  <si>
    <t xml:space="preserve">Section 9(1)</t>
  </si>
  <si>
    <t xml:space="preserve">Section 9(1)(ii); also checked s.9(1)(viii)-(ix), s.10, s.18, s.31 (inserting s.81-C into the Karnataka Town and Country Planning Act)</t>
  </si>
  <si>
    <t xml:space="preserve">AI (medium confidence), from Step 2 answer (Partially Answered) and BMRDA-08: Score 0 (no formal role for the city government in BMRDA's plans). I checked the BMRDA Act, 1985 (BMRDA-08) against the Step 2 answer, and it holds up. Section 9(1)(ii) gives BMRDA the job of preparing a structure plan for the Bangalore Metropolitan Region. The Act sets no procedure for that plan. It does not require the city government to approve, agree to or jointly prepare it, and it neither requires consultation ('shall') nor allows it ('may'). Every other link between BMRDA and local bodies runs from BMRDA down to them. BMRDA may hand the carrying out of a development plan or town planning scheme to a local authority (s.9(1)(viii)). It coordinates the activities of the Bangalore City Corporation, BDA, BWSSB and other bodies (s.9(1)(ix)). Local authorities cannot grant development permission until BMRDA has (s.10(2)). BMRDA can issue directions that bodies must follow (s.18). Section 31 inserts Section 81-C into the Karnataka Town and Country Planning (T&amp;CP) Act. Under 81-C, Planning Authorities send their development plans to the State Government through BMRDA, which acts as Director of Town Planning for them. That makes BMRDA a reviewer of local plans, not a body that consults the city on its own plans. The Mayor's seat on the Authority (s.3(3)(d)) is board membership, not a duty to consult on plans, so I did not credit it. BMRDA-05 (a consultant's draft structure plan) describes 'consultative and participatory' preparation as a method, not a legal duty, so it does not count for this Law/Policy question. Things a person should check: (1) The full current text of the Karnataka T&amp;CP Act is not in the Citation Sheet, so I could not check whether any other provision of it, or a later amendment, requires consultation with local bodies on regional or structure plans. (2) The BMRDA Act copy used here is hosted by India Water Portal, an unofficial site, and may not include recent amendments. (3) Any recent Greater Bengaluru governance law is not in the sheet. (4) The question's maximum is 5, but its scoring bands go up to 10. At 0 this does not matter.
Quote: "9.  Powers and functions of the Authority.- (1) Subject to the provisions 
of this Act and the rules made thereunder the functions of the Authority shall 
be,- 
 (i) to carry out a survey of the Bangalore Metropolitan Region and 
prepare reports on the surveys so carried out; 
 (ii) to prepare a structure plan for the development of the Bangalore 
Metropolitan Region;"</t>
  </si>
  <si>
    <t xml:space="preserve">Chapter 5 Water Demand Projection for the Three Areas by Target Year</t>
  </si>
  <si>
    <t xml:space="preserve">Section 5.1.5 Projection of Population in the BBMP for the Water Balance Study (report p. 5-7, PDF p. 227)</t>
  </si>
  <si>
    <t xml:space="preserve">Item 2) 110 Villages; also the note under Table 5.1.10: 'Growth rates were authorized by BDA, BWSSB, BBMP and DHV for 110 Villages Project, 19 August 2014'</t>
  </si>
  <si>
    <t xml:space="preserve">227</t>
  </si>
  <si>
    <t xml:space="preserve">AI (medium confidence), from Step 2 answer (Partially Answered) and BWSSB-22: I propose the full 5, but a reviewer should confirm it. Two things are uncertain: which scoring scale applies, and whether this old, single-project evidence counts as the latest plan-making cycle.
What the source says: BWSSB-22 (JICA/NJS Final Report for BWSSB, November 2017) supports the Step 2 answer. The population projections for the 110 Villages water supply and sewerage project were 'authorized through a tripartite meeting by BDA, BBMP and BWSSB'. A note under Table 5.1.10 dates this to 19 August 2014 and says the growth rates were 'authorized by BDA, BWSSB, BBMP and DHV for 110 Villages Project'. So the ULG (then BBMP) jointly approved a key planning parameter. The methodology counts concurrence or approval as substantive participation, its highest level. The Step 2 answer also cites a stakeholders' meeting on 22 August 2017 (BWSSB-23, section 14.12) attended by BBMP. That would be formal consultation (the 5 level), since nothing shows how inputs were considered.
How I got to 5: the methodology's levels are 10/5/2.5/0, but this column's maximum is 5. Substantive participation is the top level, so I mapped it to the maximum, 5. If the reviewer scales the levels in proportion (10→5, 5→2.5, 2.5→1.25), the joint approval still scores 5.
Caveats for the reviewer:
(1) The evidence is 2014–2017 and covers only one project (the 110 Villages DPR/JICA Phase 3). It is not BWSSB's own master plan. The BBMP-area water and sewerage master plan started in 2015 had not been approved when the report was written.
(2) The evidence predates the Greater Bengaluru Governance Act, 2024 (BWSSB-29), which replaced BBMP with the Greater Bengaluru Authority and its corporations.
(3) No source in the Citation Sheet shows ULG participation in a more recent BWSSB plan. BWSSB-12 mentions a CWSS Stage VI DPR under preparation but says nothing about the ULG taking part.
If the reviewer decides this evidence is not the 'latest available plan-making cycle', the score should be lowered or the question marked for human scoring. The legal provision for a Consultative Committee (BWSSB Act s.14, BWSSB-04) is not evidence of practice, so I did not credit it.
Quote: "2) 110 Villages: The population for the next three decades were authorized through a tripartite meeting by BDA, BBMP and BWSSB."</t>
  </si>
  <si>
    <t xml:space="preserve">AI: left for a person. Step 2 found no evidence (Insufficient Evidence). Source needed: Any of these would answer the question: BMTC's own latest plan document (e.g. a fleet or route-rationalisation plan, business or corporate plan, or bus priority lane plan) with its list of stakeholders consulted; BMTC Board minutes or consultation records showing BBMP or Greater Bengaluru Authority (GBA) input or concurrence; BBMP/GBA council resolutions or letters commenting on BMTC plans; or joint BBMP–BMTC documents, such as bus priority lane planning records, that show the city government helped prepare the plan.</t>
  </si>
  <si>
    <t xml:space="preserve">AI: left for a person. Step 2 found no evidence (Insufficient Evidence). Source needed: Any one of these, covering BDA's latest plan-making cycle (the draft RMP-2031 or the approved RMP-2015), would answer it: (1) the plan document or report, especially any section on stakeholder or inter-agency consultation that lists meetings with BBMP, the GBA or the city corporations; (2) BDA Board or technical committee minutes that record BBMP/GBA inputs and BDA's response; (3) BBMP Council or Standing Committee resolutions, or GBA/corporation resolutions or formal comments on the draft master plan; (4) letters from BDA inviting ULG comments and the ULG's replies; (5) the Karnataka government's approval notification if it mentions ULG concurrence. Records from the new Greater Bengaluru planning process would also be relevant, given the GBA's new role as Planning Authority.</t>
  </si>
  <si>
    <t xml:space="preserve">AI: left for a person. Step 2 found no evidence (Insufficient Evidence). Source needed: Any of these would settle the question: (1) the latest metro DPR, such as the Phase-3 DPR or the Phase-2A/2B DPRs, or its stakeholder-consultation chapter, showing whether BBMP or GBA was consulted, gave comments or concurred; (2) minutes of BMRCL Board or project-coordination meetings with the BBMP or GBA Commissioner present to discuss alignment or station planning; (3) BBMP/GBA council or standing-committee resolutions or letters commenting on metro plans; (4) BMLTA or Comprehensive Mobility Plan records showing joint preparation with the city corporations.</t>
  </si>
  <si>
    <t xml:space="preserve">AI: left for a person. Step 2 found no evidence (Insufficient Evidence). Source needed: Any of these would answer the question: the final or approved BMR Structure Plan 2031 (or a later plan) with its consultation chapter or annexure listing stakeholder meetings; minutes of BMRDA Authority or Executive Committee meetings where the draft plan was discussed with BBMP/GBA representatives; letters or comments from BBMP/GBA or city corporation council resolutions on the draft plan; or BMRDA's record of responses to city government inputs.</t>
  </si>
  <si>
    <t xml:space="preserve">ENTER A NUMBER 0 TO 2.5</t>
  </si>
  <si>
    <t xml:space="preserve">Chapter III (Board's duties)</t>
  </si>
  <si>
    <t xml:space="preserve">Section 15 – General duties of the Board</t>
  </si>
  <si>
    <t xml:space="preserve">Section 15(2)(b)-(c) and proviso</t>
  </si>
  <si>
    <t xml:space="preserve">13</t>
  </si>
  <si>
    <t xml:space="preserve">AI (medium confidence), from Step 2 answer (Answered — Verified Source) and BWSSB-04: Proposed score: 0. None of the Acts on the Citation Sheet requires BWSSB to keep its water supply or sewerage plans consistent with the Master Plan, and none lets it choose to do so either.
1. BWSSB Act (BWSSB-04), Section 15(2)(b)-(c): the Board has a duty to prepare and carry out water supply and sewerage schemes. Section 15(3) says what a water scheme must cover. The only outside check is the proviso quoted above: schemes costing more than a crore of rupees need State Government approval. The Act does not mention the Master Plan, the Comprehensive Development Plan (CDP) or the Metropolitan Planning Committee.
2. Karnataka Town and Country Planning Act (BWSSB-28), Section 14(1), as substituted by Act 1 of 2005: 'every land use, every change in land use and every development in the area covered by the plan ... shall conform to ... the Master Plan'. This is a general control on land use and development. It does not name BWSSB, and it does not require any agency's sectoral plan to be consistent with the Master Plan. I did not credit it.
3. Greater Bengaluru Governance Act, 2024 (BWSSB-29):
- Section 2(54) lists BWSSB as a 'public authority'.
- Section 14(3)(b) lets the Greater Bengaluru Authority (GBA) coordinate the schemes that carry out its plans, with binding directions.
- Section 14(4) makes GBA's directions to public authorities such as BWSSB binding, and requires those authorities to obey them.
- Section 15(1) is the only place where bodies are told to 'incorporate' GBA's infrastructure plan, and it applies to the City Corporations, not BWSSB.
These are powers to coordinate and direct. None of them requires BWSSB's plans to be consistent with the master plan.
I checked the Step 2 answer against the sources and agree with it.
For a human reviewer:
(a) Someone could argue that KTCP Section 14(1) covers BWSSB's physical works because they count as 'development', which would earn 2.5.
(b) Someone could argue that GBGA Section 14(3)(b) and 14(4) give a binding route to alignment through directions, which might earn 1.25.
(c) The BWSSB Act copy is from FAOLEX and may not include recent amendments. The current consolidated text from the Karnataka law department should be checked for any newly added clause requiring conformity with the Master Plan.
Quote: "Provided that no scheme under clause (b) or (c) estimated to cost more than a crore of rupees shall be carried out by the Board except with the approval of the State Government."</t>
  </si>
  <si>
    <t xml:space="preserve">NO</t>
  </si>
  <si>
    <t xml:space="preserve">AI: left for a person. Step 2 found no evidence (Human Verification Required). Source needed: BWSSB's current approved water supply and sewerage master plan. In 2017 it was still in draft (started July 2015 and 'not been approved officially'). The current applicable statutory plan is also needed: BDA's Revised Master Plan 2015, or a newer GBA or Bengaluru Metropolitan Planning Committee development plan, together with any section of the water plan that maps network expansion, service zones or the siting of STPs and reservoirs against master-plan growth and land-use zones. Land-use conversion or regularisation records for major STPs and water treatment plants would cover the extra quality check.</t>
  </si>
  <si>
    <t xml:space="preserve">Chapter VI – Sectoral and City Mobility Investment Program and Annual Implementation Plan (also Chapters IV–V)</t>
  </si>
  <si>
    <t xml:space="preserve">Bengaluru Metropolitan Land Transport Authority Act, 2022 (Karnataka Act No. 6 of 2023): Section 24(a); see also Sections 2(ff), 2(v), 19(1)-(2), 21(2), 22 and 25(1)(c)</t>
  </si>
  <si>
    <t xml:space="preserve">s.24(a)</t>
  </si>
  <si>
    <t xml:space="preserve">19</t>
  </si>
  <si>
    <t xml:space="preserve">AI (medium confidence), from Step 2 answer (Partially Answered) and BMTC-23: Proposed score: 2.5. I checked the Step 2 answer against the text of BMTC-23 and it holds up.
(1) The Act covers BMTC. Under s.2(ff), an 'Urban Transport Agency' means and includes 'both the private and public agencies engaged in providing of Urban Mobility in Urban Mobility Region'. BMTC is a public bus operator in the Bengaluru region, so it falls under this definition. BMTC's Managing Director also sits on the Authority under s.4(1)(t).
(2) BMTC must align its plan with the Comprehensive Mobility Plan (CMP), and the Act uses 'shall'. Under s.2(v), the Sectoral Mobility Investment Program is prepared by each Urban Transport Agency 'in accordance with the Comprehensive Mobility Plan'. Under s.24(a), it 'shall be aligned with the goals of the Comprehensive Mobility Plan'. Under s.25(1)(c), additional projects in the Annual Implementation Plan 'shall align with the Comprehensive Mobility Plan goals'.
(3) There is a binding approval check. Under s.19(1), the Authority approves major urban transport projects 'from the perspective of consistency with the Comprehensive Mobility Plan'. The definition of such projects in s.2(n) includes 'changes and/or expansion in the current bus ... network'. Under s.19(2), no state agency may start an urban mobility project without prior approval.
(4) The CMP is a statutory metropolitan-level plan. It is prepared under s.21, published as a draft for objections, and approved by the State Government. Under s.21(2), it must be prepared 'in conjunction with ... the land use plan applicable to the Urban Mobility Region'. Under s.22(1), the Planning Authority must prepare the Master Plan's land use plan 'by taking into consideration the Comprehensive Mobility Plan in its entirety', and needs the Authority's concurrence. So the CMP and the Master Plan are formally integrated.
Why 2.5 and not 1.25: every link in the chain uses 'shall', so alignment is not discretionary.
Caveats for the reviewer:
(a) BMTC must align with the CMP, the statutory mobility or strategic plan for the metropolitan region. No provision makes BMTC conform directly to the BDA Master Plan. The link to the Master Plan runs through ss.21(2) and 22. Separately, s.14(1) of the Karnataka Town and Country Planning Act (BMTC-25, as cited in Step 2) requires every development to conform to the Master Plan. That binds physical development such as depots, not BMTC's plans. A reviewer who insists on a direct BMTC-to-Master-Plan rule might score lower.
(b) Under s.1(3), the Act comes into force on a date set by Gazette notification. The Citation Sheet does not confirm that date.
(c) The PRS copy says Amendment Act 10 of 2026 is appended. I have not reviewed its effect on ss.2, 19, 21, 22, 24 or 25.
(d) BMTC-23 is a PRS copy, not the official gazette text.
The Road Transport Corporations Act, 1950 is not in the Citation Sheet, so I could not check it for its own consistency provision.
Quote: "(a) The Sectoral Mobility Investment Program shall be aligned with the goals of the Comprehensive Mobility Plan;"</t>
  </si>
  <si>
    <t xml:space="preserve">AI: left for a person. Step 2 found no evidence (Insufficient Evidence). Source needed: Needed: BMTC's current network expansion, route rationalisation or depot/bus-terminal (TTMC) development plan, or its Sectoral Mobility Investment Program / Annual Implementation Plan under the BMLTA Act. It should show whether routes or depot/terminal sites are chosen using the Revised Master Plan 2015 (or the draft RMP 2031): its land-use zones, growth corridors or population/density projections. Also useful: the full text of CMP Bengaluru 2020, showing whether it uses master-plan land use and projections to place bus infrastructure and whether BMTC adopted it. Also: BDA/BMRDA land-use change approvals, or BMTC annual reports noting land-use conversion or regularisation for depots and terminals.</t>
  </si>
  <si>
    <t xml:space="preserve">Karnataka Urban Drinking Water and Sanitation Policy, 2002</t>
  </si>
  <si>
    <t xml:space="preserve">Tariff section</t>
  </si>
  <si>
    <t xml:space="preserve">pp. 2-3: subsidies focused on 'pockets and communities of extreme poverty'; minimum 'life line' supply to the poor. Objective section (p.1) names BWSSB as a partner agency.</t>
  </si>
  <si>
    <t xml:space="preserve">3</t>
  </si>
  <si>
    <t xml:space="preserve">AI (medium confidence), from Step 2 answer (Partially Answered) and BWSSB-33: I propose 2.5: there are explicit equity requirements, but they cover only one group (the poor) and mostly tariffs.
**What supports 2.5**
- **2002 State policy (BWSSB-33):** It names BWSSB as a partner of the Government of Karnataka. Its Tariff section says subsidies 'will be focused in areas such as pockets and communities of extreme poverty'. It also says tariffs will ensure 'at least a minimum “life line” supply to the poor'. These are explicit affordability and lifeline provisions for the poor, which the methodology lists.
- **BWSSB Act 1964, Section 15(3) (BWSSB-04):** The Step 2 answer missed this. It is binding ('shall'). A scheme under s.15(2)(b) must provide piped wholesome water 'to every part of the Bangalore Metropolitan Area in which there are houses'. Where pipes are not practicable at reasonable cost and there is danger to health, it must provide a supply 'within a reasonable distance of every house'. This is a general universal-access duty. It is limited by 'reasonable cost' and 'practicable', and it names no vulnerable group.
- **BWSSB Act, Section 38:** The Board 'may' provide gratuitous public water through hydrants, paid for by the Corporation. This is discretionary only.
**Why not 5**
- No source on the sheet requires BWSSB to consider women, persons with disabilities, slums or informal settlements, or households without land tenure in access or delivery decisions.
- The policy's 'universal coverage' aim is limited to services people 'want and are willing to pay for'.
- The Greater Bengaluru Governance Act 2024 (BWSSB-29) gives functions such as slum improvement, poverty alleviation and protecting persons with disabilities to the city corporations, not to BWSSB.
**Why not 0**
- The lifeline-supply and pro-poor subsidy provisions are explicit requirements for an identified group.
**Caveats for a reviewer**
- The policy uses 'will', not 'shall'.
- It dates from 2002 and may have been superseded.
- The copy on the sheet is reproduced by IELRC, not taken from an official Government of Karnataka site.
**Still to check**
- Current BWSSB tariff regulations or Government Orders, for example slum or EWS connection concessions or a free lifeline supply. If these apply across all service decisions, the score could rise.
- If the 2002 policy is found to be no longer in force, the score could fall to 0, unless s.15(3)'s general universal-supply duty is counted as an equity requirement.
Quote: "Tariff will be structured in a manner such as to disincentives excessive consumption and wastage of water, whilst ensuring at least a minimum “life line” supply to the poor."</t>
  </si>
  <si>
    <t xml:space="preserve">Chapter 16 (Financial analysis): 16.3 Study on Present Water and Sewerage Tariff</t>
  </si>
  <si>
    <t xml:space="preserve">16.3.1 Study on Present Water and Sewerage Tariff, (1) Domestic Water Use, Table 16.3.2 Tariff for Domestic Water Charges</t>
  </si>
  <si>
    <t xml:space="preserve">Note to Table 16.3.2: 'Slum group; free charge, Poor group; flat charge 56 INR' (PDF p.192, report p.16-13)</t>
  </si>
  <si>
    <t xml:space="preserve">192</t>
  </si>
  <si>
    <t xml:space="preserve">AI: left for a person. Step 2 found no evidence (Human Verification Required). Source needed: Current evidence is missing for both parts.
(1) For Component 1: BWSSB's current approved water-supply master plan or scheme documents, the current tariff order or schedule (for example a Board resolution or government order revising tariffs) showing whether the slum/free supply and the poor flat-rate or concessional categories still exist, and any current slum or low-income connection scheme or connection-fee concession order.
(2) For Component 2: BWSSB's project reports or design standards, or any gender/social-inclusion framework, that sets specific design or siting measures for women, persons with disabilities, elderly people or children at public water points, kiosks or other public-facing infrastructure.</t>
  </si>
  <si>
    <t xml:space="preserve">Issue of Monthly Pass.</t>
  </si>
  <si>
    <t xml:space="preserve">BMTC Services – Issue of Monthly Pass (pass rate list)</t>
  </si>
  <si>
    <t xml:space="preserve">AI: left for a person. Step 2 found no evidence (Human Verification Required). Source needed: To score fully we need binding instruments that apply to BMTC directly: (1) the Road Transport Corporations Act, 1950 and any state rules or government orders governing BMTC; (2) Government of Karnataka or BMTC orders on concessional fares and passes (students, senior citizens, persons with disabilities and other categories); (3) the government order setting up free bus travel for women (the Shakti scheme), if one exists; (4) any BMTC service-planning, route-rationalisation or service-obligation policy that requires coverage of low-income or peripheral areas, or women's safety measures; (5) the latest notified Bengaluru Comprehensive Mobility Plan, showing how it covers these groups. With these, a reviewer could judge whether such considerations run across core service planning and delivery (score 5).</t>
  </si>
  <si>
    <t xml:space="preserve">BMTC Services available with KarnatakaOne Centres</t>
  </si>
  <si>
    <t xml:space="preserve">Issue of Monthly Pass – rates of bus passes by type</t>
  </si>
  <si>
    <t xml:space="preserve">Senior citizen pass rates (Sr. Citizen Black Board Pass Rs 650 against Black Board Pass Rs 725; Sr. Citizen Pushpak Pass Rs 830 against Pushpak Pass Rs 925)</t>
  </si>
  <si>
    <t xml:space="preserve">AI (medium confidence), from Step 2 answer (Partially Answered) and BMTC-13: I propose 1.25 out of 5. Component 1 gets 1.25 and Component 2 gets 0. I checked the Step 2 answer against the source and agree with it.
Component 1 (affordability and coverage): 1.25 of 2.5.
- Part (i), fare concession: Present. BMTC-13 is the Government of Karnataka's KarnatakaOne portal (source priority 2). It lists cheaper monthly passes for senior citizens: Rs 650 against Rs 725 for the Black Board Pass, and Rs 830 against Rs 925 for the Pushpak Pass. The page also says BMTC offers 'student passes', but gives no terms.
- Part (ii), coverage for a vulnerable group: Missing. I found no route or coverage commitment for informal settlements, low-income or peripheral areas, or last-mile links for underserved settlements. I searched for feeder, slum, low-income and coverage terms. BMTC-39 (UITP) only notes that BMTC's coverage is limited outside the municipal limits. That is a general network observation, not a commitment aimed at a vulnerable group.
- Under the methodology, one of the two parts earns 1.25.
Component 2 (gender, safety and accessible design): 0 of 2.5.
- No source in the Citation Sheet shows BMTC measures such as CCTV, panic buttons, gender screening, low-floor buses, ramps or priority seating.
- BMTC-23 (BMLTA Act, 2022) requires accessible mobility in the Comprehensive Mobility Plan. That is a legal duty on a different body (BMLTA), not evidence of what BMTC does, and this question is assessed at Implementation level.
- BMTC-40 (WRI) mentions the travel penalty women pay, but only as an unofficial recommendation, not BMTC practice.
What a person should check:
- The KarnatakaOne page has no date for the pass rates and says they 'are subjected to change'. The rates may be out of date, and the page is not a BMTC concession order.
- The Citation Sheet has no BMTC sources on the Shakti free-travel scheme for women, concessions for persons with disabilities, CCTV or panic buttons on buses, or accessible-fleet specifications. If BMTC documents on these are added, both components could score higher, possibly to full marks.
Quote: "Sr. Citizen Black Board Pass Rs 650/-"</t>
  </si>
  <si>
    <t xml:space="preserve">Chapter V (Sewerage); also Chapter IV (Water Supply)</t>
  </si>
  <si>
    <t xml:space="preserve">Section 74 (Appointment of places for the emptying of sewers and disposal of sewage); supporting: Sections 49, 50, 52</t>
  </si>
  <si>
    <t xml:space="preserve">Section 74, second proviso</t>
  </si>
  <si>
    <t xml:space="preserve">32</t>
  </si>
  <si>
    <t xml:space="preserve">AI (medium confidence), from Step 2 answer (Partially Answered) and BWSSB-04: I propose a score of 2.5 because the environmental requirements in the Act cover only some functions and some concerns. They do not apply across all of the Board's planning and service delivery.
What the Act text (BWSSB-04, FAOLEX copy) says:
- **Section 74, second proviso:** sewage 'shall' not be discharged into any water-course until it has been treated as the bye-laws prescribe. This is a pollution-control rule for sewage disposal. However, it only applies from 'such date as may be appointed by the Board', so the Board decides when the duty starts.
- **Section 49:** no person may let a water fitting they are responsible for cause water to be 'wasted, misused or unduly consumed, or contaminated before use'. This duty falls on consumers, not on the Board.
- **Section 50:** the Board may enter premises to detect waste or misuse of water.
- **Section 52:** water pipes must not be laid, and latrines or cesspools must not be built, where the water is likely to be polluted. This protects water quality inside the network.
- **Section 27:** the Board's power to build water works is a 'may' power with no sustainability condition.
I found nothing in the Act about sustainable sources, protecting sources, reusing wastewater, reducing losses or non-revenue water as a duty of the Board, or climate resilience.
Other sources:
- **2002 Urban Drinking Water and Sanitation Policy (BWSSB-33):** it refers to sustainability, but it states aims rather than binding duties on the Board. It is also a non-official IELRC reproduction.
- **BWSSB-12:** says BWSSB made rainwater harvesting mandatory. This is a presentation of practice and does not name the law behind the rule.
- **JICA reports:** these are secondary sources.
I checked the Step 2 answer against the source and agree with it.
What a person should check:
1. The FAOLEX copy may not include later amendments, such as any rainwater-harvesting section (for example a Section 72A, which I could not find in the copy). An amendment like that, or an official groundwater or wastewater reuse instrument, could still be limited in scope and might not be enough to raise the score to 5.
2. Confirm the Act text against the official copy from the Karnataka Law Department.
Quote: "Provided further that on and after such date as may be appointed by the Board in this behalf no sewage shall be discharged into any water-course until it has been 1[treated in such manner as may be prescribed in the bye-laws made in this behalf.]1"</t>
  </si>
  <si>
    <t xml:space="preserve">Presentation by Chief Engineer, BWSSB – 'Water Sensitivity' (AMDA), slides 11-38</t>
  </si>
  <si>
    <t xml:space="preserve">Slide 14 'BWSSB's Actions to Mitigate Water Demand'; slides 15 and 19 'Reuse of Treated Waste Water' / 'Recycle &amp; Reuse of Water'; slide 24 'Rainwater Harvesting'; slide 31 (Jakkur advanced water treatment plant); slides 36-38 (wastewater treatment gap analysis, Karnataka Multi Sectoral Resilience Development Project objectives, treated sewage parameters)</t>
  </si>
  <si>
    <t xml:space="preserve">Slide 15, first bullet</t>
  </si>
  <si>
    <t xml:space="preserve">AI (medium confidence), from Step 2 answer (Partially Answered) and BWSSB-12: Score is 5 of 5 (2.5 + 2.5). This agrees with Step 2's proposed total. I checked it against BWSSB-12 and BWSSB-22.
Component 1, sustainable sources and loss reduction: 2.5 of 2.5. Both required parts are present.
(i) Source and protection measures (BWSSB-12):
- Slide 24: rainwater harvesting was made mandatory for prescribed buildings in the BBMP area by 31 July 2023, with 1.88 lakh buildings now having it. The building-size thresholds are 2,400 sq ft for existing buildings and 1,200 sq ft for new ones.
- Slide 31: a proposed advanced treatment plant at Jakkur would treat lake water and blend it with Cauvery water, 'thus reducing the dependency on fresh water'.
- Slide 14: the Arkavathi river would be revived so the T.G. Halli reservoir can be used again as a source.
(ii) Loss-reduction programme: slide 14 lists 'Non Revenue Water (NRW) REDUCTION IN DISTRIBUTION' as a current BWSSB action, and slide 11 reports NRW at 28%. Mandatory rainwater harvesting also counts as a demand-management measure. The only explicit numeric target is in the JICA Phase 3 Final Report (BWSSB-22, November 2017, pp. 3-42 to 3-46). It describes metered-district contracts with 'Baseline 44% and target 16%', 209 metered districts, leak detection and repair, and replacement of 131,000 consumer meters. It also plans unaccounted-for water ratios of 23% by 2034 and 16% by 2049 (Table 5.4.3).
Component 2, wastewater, reuse and climate resilience: 2.5 of 2.5. The measures are specific and operational, not generic.
- Slide 12: 32 sewage treatment plants with 1,381 MLD capacity, against 1,480 MLD of sewage generated.
- Slide 15: 850 of 1,300 MLD of treated waste water is reused, with named recipients. These include KIADB, KIAL, KPCL's gas-based power plant, and about 380 MLD and 150 MLD supplied to fill lakes and tanks in Kolar and Chikkaballapur districts.
- Slide 19: tariffs for recycled water.
- Slide 36: a gap analysis to 2025 for the 110 villages (474 MLD of sewage expected, 326 MLD of capacity under construction, 148 MLD gap).
- Slide 37: resilience project objectives, including tertiary treatment to NGT norms, filling lakes during droughts, pumping surplus treated water to drought-prone areas, and separating sewage from storm water to prevent flash floods.
- Slide 38: BWSSB's own design limits for treated sewage are stricter than the CPHEEO manual (BOD &lt;5 and TN &lt;5 mg/L).
- Slides 13 and 22: the 60 MLD K&amp;C Valley plant generates power.
Things a reviewer should check:
1. The Citation Sheet has no formal 'latest water supply plan' or annual report from BWSSB. The main evidence is an undated Chief Engineer presentation hosted on the AMDA website, not BWSSB's own site. Its references to the July 2023 rainwater-harvesting deadline and 2024 commissioning suggest it dates from about 2023-24.
2. The only numeric loss-reduction target comes from a 2017 consultant report prepared for JICA, which is older evidence. If a reviewer decides an NRW action listed without a target is not enough, the score could fall to 3.75.
I did not credit generic statements such as 'no loss no profit basis for sustainability'.
Quote: "850 MLD out of 1300 MLD treated waste water is being reused."</t>
  </si>
  <si>
    <t xml:space="preserve">Chapter VI – Sectoral and City Mobility Investment Program and Annual Implementation Plan</t>
  </si>
  <si>
    <t xml:space="preserve">Section 25(1)(c) (read with ss. 2(aa), 2(h), 2(ff), 14(1)(a), 14(1)(d), 21(2)(a), 24(a))</t>
  </si>
  <si>
    <t xml:space="preserve">s.25(1)(c)</t>
  </si>
  <si>
    <t xml:space="preserve">AI (medium confidence), from Step 2 answer (Partially Answered) and BMTC-23: Score: 2.5. The only binding instrument in the Citation Sheet is the Bengaluru Metropolitan Land Transport Authority (BMLTA) Act, 2022 (Karnataka Act 6 of 2023, BMTC-23). It does put a mandatory 'sustainable urban transport' requirement on BMTC, but only for one environmental objective and only for planning and investment.
Why BMTC is covered: the Act does not name BMTC in its definitions. It applies because s.2(ff) defines an 'Urban Transport Agency' as any public or private agency 'engaged in providing of Urban Mobility', and the Schedule lists 'Bus systems' under public transport. The preamble does name Bangalore Metropolitan Transport Corporation as one of the agencies the Act is meant to coordinate.
What the Act requires:
- s.2(aa) defines 'Sustainable Urban Transport' as projects 'to reduce the use of private vehicles and increase the use of public transport and non-motorised modes like walking and cycling'.
- s.2(h) describes the Comprehensive Mobility Plan as a plan for 'safe, clean and efficient urban transport' under 'an integrated land use and transport planning process'.
- s.14(1)(a): the Authority's duties 'shall include' promoting 'sustainable urban transport and integration of land use and transport planning'.
- s.14(1)(d): the Authority's duties also cover travel demand management, such as congestion pricing.
- s.21(2)(a): the Comprehensive Mobility Plan 'shall include' integration of policies 'to advance sustainable urban transport'.
- s.24(a): each agency's Sectoral Mobility Investment Program 'shall be aligned with the goals of the Comprehensive Mobility Plan'.
- s.25(1)(c): each agency's Annual Implementation Plan, and any additional projects in it, 'shall align with the Comprehensive Mobility Plan goals and promote sustainable urban transport'.
Why not 5: the requirement is mostly about shifting travel to public and non-motorised transport, linking land use with transport, and managing travel demand. I found no explicit duty in the sheet to cut emissions, move to cleaner vehicles or fuels, improve energy efficiency, plan for climate resilience, or assess the environmental impact of projects. There is also no environmental duty tied to how BMTC runs its bus services. The only pollution reference is s.30(1)(c)(i), where part of a 'Green Tax' goes into the Authority's fund; that is a revenue source, not a duty. The other sources in the sheet don't change this: BMTC-34, -39 and -40 are non-binding RMI, UITP and WRI reports on electric buses, and BMTC-25 and BMTC-36 to -38 are not BMTC mandates. So the 'limited to specific objectives' rule applies.
One gap in the Step 2 answer is now closed. I read the 2025 Amendment Act appended to the PRS copy (Karnataka Act 10 of 2026, notified 08.01.2026). It only changes s.2(cc) (Urban Local Body becomes the Greater Bengaluru Authority) and the membership lists in ss.4 and 12. It does not touch ss.14, 21, 24 or 25.
What a person should check:
(a) BMTC's own constituting law (incorporation under the Road Transport Corporations Act, 1950) and any Karnataka EV or clean-bus policy or government order binding on BMTC. None of these is in the sheet, and any of them could raise the score.
(b) BMTC-23 is the PRS Legislative Research copy of the Act, not the gazette itself. The gazette notification is the authoritative text.
Quote: "List of additional projects proposed to be taken up and which were not part of the approved City Mobility Investment Program, along with the sources of funding and justification for inclusion of such projects in the City Mobility Investment Program. These additional projects shall align with the Comprehensive Mobility Plan goals and promote sustainable urban transport."</t>
  </si>
  <si>
    <t xml:space="preserve">Section 3, Overview of current BMTC operations; sidebar 'BMTC Electric Bus Procurement'; Section 4, BMTC 2030 fleet needs and procurement timeline</t>
  </si>
  <si>
    <t xml:space="preserve">UITP/ICCT Working Paper (August 2023), pages 4-5</t>
  </si>
  <si>
    <t xml:space="preserve">Sidebar 'BMTC Electric Bus Procurement' and the text under Table 2 (1,101 12m non-AC e-buses under FAME-II; 840 BS VI diesel buses; all 1,941 to be deployed in 2023)</t>
  </si>
  <si>
    <t xml:space="preserve">4</t>
  </si>
  <si>
    <t xml:space="preserve">AI (medium confidence), from Step 2 answer (Partially Answered) and BMTC-39: Proposed score: 1.25 out of 5. It is provisional because every piece of evidence comes from third parties. The Citation Sheet has no BMTC fleet plan, route or network plan, sustainability policy or annual report. The Step 2 total is confirmed, but my reading of BMTC-39 is a little different.
Component 1 (cleaner fleet and emissions): 1.25 out of 2.5.
- Fleet-transition measure: present. BMTC-39 pages 4-5 report actual buying, not just intentions. BMTC bought 300 e-buses under FAME-II in 2021-22 and another 921 through the CESL Grand Challenge. Of the 1,941 buses contracted for 2023, 1,101 are electric (under GCC contracts) and 840 are BS VI diesel. This is stronger, dated evidence of a cleaner fleet than the 'only electric from 2024' claim the Step 2 answer used.
- That 2024 claim is weak. The paper's introduction attributes it to a Times of India link, and its own Recommendation 4 says 'BMTC needs to take a policy decision to procure only electric buses from 2024'. So the paper treats it as a recommendation, not an adopted BMTC policy.
- Emissions or efficiency target: not shown. The 40% electric by 2030 figure and the NOx, PM2.5 and CO2 reductions come from UITP/ICCT's own TURBO model scenario. Nothing shows BMTC adopted them.
- Table 1 lists scheduled scrappage ages (non-AC buses at 11 years or 8 lakh km; AC buses at 15 years or 10 lakh km). These are general asset-life rules, not an emissions-based phase-out, so I did not count them as a second element.
Component 2 (modal integration and demand-side measures): 0 out of 2.5.
- Metro feeder needs and the 9m midi-bus mix are UITP's indicative recommendations (pages 4 and 17).
- WRI India's ideas (BMTC-40) are also recommendations.
- The Comprehensive Mobility Plan's multimodal goals belong to BMRCL, DULT and BMLTA (BMTC-34, BMTC-23), not BMTC.
- No source shows BMTC running common ticketing, NMT access at stops, metro interchange services or energy-efficiency measures at depots.
A person should check:
- BMTC's own annual report, its e-bus GCC tenders and contracts, any formal decision to buy only electric buses, and its metro feeder service and ticketing integration records. These could raise both components.
- If the research team decides third-party reports of procurement cannot count as implementation evidence, Component 1 could fall to 0.
Quote: "BMTC procured 300 e-buses under the FAME II scheme in 2021-22"</t>
  </si>
  <si>
    <t xml:space="preserve">Chapter IX (Powers, Functions and Procedures of the City Corporation and Committees); Schedule I</t>
  </si>
  <si>
    <t xml:space="preserve">Section 111(1) read with Schedule I, Part (1) Core Functions</t>
  </si>
  <si>
    <t xml:space="preserve">Schedule I(1)(v) and (vi)</t>
  </si>
  <si>
    <t xml:space="preserve">134</t>
  </si>
  <si>
    <t xml:space="preserve">AI (medium confidence), from Step 2 answer (Answered — Verified Source) and BWSSB-29: I score this as Scenario B (fully devolved, and both bodies deliver the function), which gives 0 out of 5.
Municipal side: under the Greater Bengaluru Governance Act, 2024 (BWSSB-29), Section 111(1) gives the City Corporation 'the power and responsibility to prepare and implement schemes ... in relation to the matters enumerated in the First Schedule'. Schedule I(1)(v) lists 'Water supply for domestic, industrial and commercial purposes' and item (vi) lists sanitation, including liquid waste management. The function is therefore assigned to the city government in full.
Parastatal side: Section 15(1) of the BWSSB Act, 1964 (BWSSB-04) gives the Board 'the general duty of providing a supply and improving the existing supply of water in the Bangalore Metropolitan Area' and of providing for sewerage. Section 15(2)(b) and 15(3)(a) add schemes for 'wholesome water for domestic purposes' piped 'to every part of the Bangalore Metropolitan Area'. Nothing in the Act limits BWSSB to bulk supply or production, or to a particular area or scale. Both Acts assign the same function with no distinction between them, so the score is 0.
I checked the Step 2 answer against both sources and agree with it. Points for the reviewer:
(1) Section 128 of the BWSSB Act did draw a line in 1964. It removed the water-supply sections (ss.171-182) from the City of Bangalore Municipal Corporation Act, 1949, and limited the Corporation's drainage role to 'public surface drains' (ss.184 and 187). But that only amended the old 1949 Act. The Greater Bengaluru Governance Act's preamble says the BBMP was governed by later Acts (the Karnataka Municipal Corporations Act, 1976 and the BBMP Act, 2020). The new Act gives water supply back to the City Corporations without restating that line, so I did not treat Section 128 as a current carve-out.
(2) Section 111(1)'s words 'subject to ... the provisions of the other Acts' are only a general saving clause. They do not divide functions between the two bodies.
(3) The Statement of Objects and Reasons says the Board will be 'solely in charge' of water supply and underground drainage. That statement is not an operative provision.
(4) Both texts are unofficial copies: the 2024 Act is PRS's copy and the BWSSB Act is FAOLEX's. Later amendments, such as the 2025 Amendment Bill (BWSSB-30), do not appear to change the water functions.
A reviewer could take the view that Section 128 plus the saving clause amounts to a working demarcation, so I have set confidence to medium.
Quote: "(v) Water supply for domestic, industrial and commercial purposes; (vi) Public health, sanitation including storm water drains, conservancy and solid and liquid waste management;"</t>
  </si>
  <si>
    <t xml:space="preserve">AI: left for a person. Step 2 found no evidence (Insufficient Evidence). Source needed: (1) The full text of the State Municipal Act now in force for Bengaluru: the Greater Bengaluru Governance Act, 2024 (or the BBMP Act, 2020 if it still applies). We need its section and schedule listing the city government's functions, to see whether public or urban bus transport is assigned to the city government. (2) The full text of the Road Transport Corporations Act, 1950, especially Sections 3, 18 and 19 on how a corporation is set up and what its duties and powers are. We also need the Karnataka government notification setting up BMTC under that Act, which fixes BMTC's area and functions. With these, we can decide between scenario A, B or C and check whether BMTC's role is explicitly separated from the city government's.</t>
  </si>
  <si>
    <t xml:space="preserve">Chapter II (s.14) and Chapter III – Development Schemes (ss.15, 16, 25, 28, 28A)</t>
  </si>
  <si>
    <t xml:space="preserve">Section 14 (Objects of the Authority); Sections 15 and 16 (development schemes)</t>
  </si>
  <si>
    <t xml:space="preserve">s.14; s.15(1)(a)-(b), s.15(2)(ii); s.16(1)(a)-(d); proviso to s.25(1); s.28; s.28A(a)</t>
  </si>
  <si>
    <t xml:space="preserve">25</t>
  </si>
  <si>
    <t xml:space="preserve">AI (medium confidence), from Step 2 answer (Answered — Verified Source) and BDA-02: Score: 0. This is Scenario B: the function is fully devolved to the city corporations, the BDA also delivers it, and the BDA Act does not set the two roles apart.
**Municipal Act side (BDA-11, Greater Bengaluru Governance Act, 2024)**
- Section 111 gives City Corporations power and responsibility over the core functions in Schedule I.
- Schedule I(1) core functions include:
  - (i) 'Urban planning including town planning'
  - (ii) 'Regulation of land-use including protection of public land from encroachment and construction of buildings'
  - (iii) 'Planning for economic and social development'
  - (iv) roads
  - (xii) parks, gardens and playgrounds
- Schedule I(3)(i)(a), a sector-wise function, adds 'Planned development of new areas for human settlement'.
- Schedule I(3)(iv), housing, adds 'provision of house sites and houses'.
- These cover the same ground as the BDA's work: layout and site development, streets, and parks and civic-amenity reservations.
**Parastatal Act side (BDA-02, BDA Act 1976)**
- Section 14 gives a general mandate to 'promote and secure the development of the Bangalore Metropolitan Area'.
- Section 15(1) lets the BDA draw up development schemes for the whole Bangalore Metropolitan Area.
- Section 16(1) says those schemes cover:
  - laying out land
  - building construction
  - streets
  - drainage, water supply and electricity
  - park and civic-amenity reservations
- No provision gives the BDA a separate aspect, area or scale of urban planning or development as against the Corporation.
- The links that do exist are only procedural or temporary:
  - s.15(2)(ii): schemes on the local authority's recommendation
  - proviso to s.25(1): the Corporation must be consulted
  - s.28: Corporation streets vested temporarily in the BDA
  - s.28A: the BDA maintains streets 'till such streets are vested in the Corporation'
- The Act also still refers to the old Corporation and the Karnataka Municipal Corporations Act, 1976.
**What changes the BDA's role**
The GBG Act itself makes the Greater Bengaluru Authority the Planning Authority (s.14(2)(a)) and has it supervise the BDA (s.14(4)). That is a change made through the Municipal Act, not a carve-out in the BDA's own Act. The methodology asks for the carve-out to be in the parastatal Act.
**Check of the Step 2 answer**
I checked it against the source text, and it is supported.
**Points for a reviewer to check**
- Both texts are PRS copies, not gazette originals.
- Confirm that no BDA Act amendment, rules or notification made after the GBG Act redefines the BDA's functions relative to the City Corporations. The appended Act 42 of 2026 appears to change only contract limits and allotment rates.
Quote: "14. Objects of  the Authority.-  The objects of the Authority shall be to promote  and secure the development of the Bangalore Metropolitan Area and for that purpose the Authority shall  have the power to acquire, hold, manage and dispose of moveable and immoveable"</t>
  </si>
  <si>
    <t xml:space="preserve">Chapter IX – Powers, Functions and Procedures of the City Corporation and Committees; Schedule I (see section 111)</t>
  </si>
  <si>
    <t xml:space="preserve">Section 112(1); Section 111 read with Schedule I (Core Functions items (iv) and (xvii))</t>
  </si>
  <si>
    <t xml:space="preserve">s.112(1) puts urban transport in the Central/State functional domain; Schedule I core items (iv) roads, flyovers, underpasses, subways, skywalks and bridges and (xvii) parking spaces and bus stops are the only transport-related ULG functions</t>
  </si>
  <si>
    <t xml:space="preserve">46</t>
  </si>
  <si>
    <t xml:space="preserve">AI (medium confidence), from Step 2 answer (Answered — Verified Source) and BMRCL-34: Devolution scenario A (not devolved), so the score is 5. I checked the source myself rather than relying on the Step 2 answer. The Municipal Act is the Greater Bengaluru Governance Act, 2024 (Karnataka Act 36 of 2025). Its Section 111 and Schedule I list the City Corporation's core, general and sector-wise functions. Metro rail and mass rapid transit do not appear there. The only transport-related items are core items (iv) (roads, flyovers, underpasses, subways, skywalks, bridges) and (xvii) (parking spaces, bus stops, street lighting). Section 112(1) says urban transport belongs to 'the functional domain of the Central Government or the State Government'. A City Corporation 'may' take it on only as an additional function, and only with that government's approval and cost underwriting. So the ULG has no claim to metro rail, and under the methodology the parastatal's assignment stands on its own. BMRCL is a Government of India–Government of Karnataka company. Its statutory basis is the central Metro Railways Acts (BMRCL-15).
Things a reviewer should check:
(a) Greater Bengaluru Authority (GBA) powers. Section 14(4) lets the GBA integrate and supervise public authorities, including BMRCL, and issue binding directions. Section 15(1) makes it responsible for mobility plans, and Section 14(3)(d) gives it Intelligent Transport Systems. These are coordination and planning powers, not delivery of metro rail. If the reviewer counts the GBA as part of the ULG, they should confirm that these powers do not amount to devolving the metro function.
(b) Source copy. The text comes from the PRS India copy. It reproduces the Karnataka Gazette Extraordinary of 24 April 2025 and also includes Amendment Act 60 of 2025, which changes only Sections 8(2) and 14(1). A reviewer should check the official gazette text.
(c) Schedule I core item (i), 'Urban planning including town planning', is general planning and does not cover metro rail.
Quote: "The City Corporation may, subject to the underwriting of the costs by, and approval of, the Central Government or the State Government, as the case may be, undertake any function belonging to the functional domain of the Central Government or the State Government as the  case  may  be,  and  such  functions  may  include  primary education, curative health, urban  transport,  supply  of  energy,  fire  prevention  and fire safety and urban poverty alleviation."</t>
  </si>
  <si>
    <t xml:space="preserve">Section 9(1) (also Sections 10, 18, 19 and 31, which inserts Section 81-C into the KTCP Act 1961)</t>
  </si>
  <si>
    <t xml:space="preserve">Section 9(1)(i)-(vii)</t>
  </si>
  <si>
    <t xml:space="preserve">AI (low confidence), from Step 2 answer (Partially Answered) and BMRDA-08: I left the score blank. The methodology works in two steps. Step 1 is to decide from the Municipal Act whether the function is not devolved (A), fully devolved (B) or partially devolved (C). Step 2 is to score from that. The Citation Sheet has no Municipal Act text at all: not the Greater Bengaluru Governance Act 2024, not the BBMP Act 2020, and not the KMC Act 1976. So the scenario can't be recorded and I can't give a score.
I checked the Step 2 answer against the source and it holds. Section 9(1) of the BMRDA Act 1985 gives BMRDA functions at the scale of the whole Bangalore Metropolitan Region. These are: surveying the Region, preparing its structure plan, carrying out works in that plan, drawing up schemes to implement it, coordinating town planning schemes, and raising finance while helping local authorities in the Region. Section 31 adds Section 81-C to the KTCP Act, so planning authorities in the Region send their development plans to the State Government through BMRDA, which acts as Director of Town Planning for those plans. Section 19 lets the Metropolitan Commissioner attend city corporation meetings but not vote. Taken together, this reads like a regional-scale carve-out. That would point to a score of 5 if the scenario turns out to be B or C.
The only other relevant source is BMRDA-05, the draft Revised Structure Plan 2031. It is a consultant's planning report, not law, and it describes the Municipal Act only second-hand. It says the KMC Act and the Municipalities Act let city governments prepare city development plans based on Master Plans. It also says some planning functions (social and economic development, urban forestry, environment) are discretionary for Karnataka city governments, and that KMC Act s.503B on the Metropolitan Planning Committee has not been brought into force. That isn't enough to decide devolution status from the Municipal Act's text, so I didn't score from it.
What a person should check:
(1) Get the current Municipal Act (Greater Bengaluru Governance Act 2024, or the BBMP Act 2020 if that applies) and its functions schedule. Decide whether urban or regional planning is devolved and at what scale (A, B or C), then apply Step 2 against BMRDA Act s.9.
(2) The BMRDA Act copy (BMRDA-08) is hosted by India Water Portal, not an official site, and its amendment notes stop at Act 8 of 2005. Check it against the official Act PDF for later amendments.
Quote: "(ii) to prepare a structure plan for the development of the Bangalore Metropolitan Region; (iii) to cause to be carried out such works as are contemplated in the structure plan;"
"Score" left blank: the Citation Sheet doesn't decide it.</t>
  </si>
  <si>
    <t xml:space="preserve">Chapter I – Preliminary</t>
  </si>
  <si>
    <t xml:space="preserve">Section 2 (Definitions)</t>
  </si>
  <si>
    <t xml:space="preserve">Section 2(1); read with Section 15(1)-(3) (general duties of the Board in the Bangalore Metropolitan Area)</t>
  </si>
  <si>
    <t xml:space="preserve">7</t>
  </si>
  <si>
    <t xml:space="preserve">AI (medium confidence), from Step 2 answer (Answered — Verified Source) and BWSSB-04: Proposed score: 2.5 out of 5. The source supports the Step 2 answer, with one correction. Under the Bangalore Water Supply and Sewerage Act, 1964, the Board's area is defined only in general terms. Section 2(1) defines the 'Bangalore Metropolitan Area' as the area of an administrative district (Bangalore District urban), plus any adjacent areas the State Government notifies 'from time to time'. The Board's main duty in Section 15(1) is stated by reference to that area: it 'shall be charged with the general duty of providing a supply and improving the existing supply of water in the Bangalore Metropolitan Area' and of providing sewerage there. Sections 63 and 64 (sewers) also refer to it.
Correction to Step 2: Step 2 named Sections 26, 27, 63 and 64 as the duty provisions. The general duty is actually in Section 15. This does not change the score.
Why not 5: the Act has no boundary description, territorial schedule or map. Its only Schedule (under Section 24) lists asset lives for depreciation.
Why not 0: the area is defined; it is not left undefined.
This matches the 2.5 rule for a 'notified area' with no schedule.
The Greater Bengaluru Governance Act, 2024 (BWSSB-29) and its Second Amendment Act, 2025 (printed with it) name BWSSB as a 'public authority' in the Greater Bengaluru Area. They put BWSSB under the coordination of the Greater Bengaluru Authority and make its Chairman a member. In the passages read, they do not redefine BWSSB's territory or amend Section 2(1).
For a person to check:
(a) BWSSB-04 is a FAOLEX copy, not an official text. It shows amendments only up to Act 18 of 1984. Later amendments to Section 2(1) or the definition, and gazette notifications adding adjacent areas, should be checked on the Karnataka e-Gazette or law department site.
(b) The Citation Sheet has no official BWSSB page or gazette notification giving the current boundary.
(c) The 800 sq km BBMP-area figure in BWSSB-12 describes operations; it is not a legal boundary.
Quote: "(1) ‘Bangalore Metropolitan Area’ means the area of the Bangalore District urban and includes such other areas adjacent thereto as the State Government may by notification from time to time specify;"</t>
  </si>
  <si>
    <t xml:space="preserve">AI: left for a person. Step 2 found no evidence (Insufficient Evidence). Source needed: Three documents would answer this: (1) the full text of the Road Transport Corporations Act, 1950, especially the sections on setting up a corporation for an area and on the area of operation; (2) the Karnataka Government gazette notification of 1997 that set up BMTC and fixed its area of operation, plus any later notifications that changed that area; (3) BMTC's official website or an annual administration report stating its current service area.</t>
  </si>
  <si>
    <t xml:space="preserve">Section 2(c) 'Bangalore Metropolitan Area'</t>
  </si>
  <si>
    <t xml:space="preserve">16</t>
  </si>
  <si>
    <t xml:space="preserve">AI (high confidence), from Step 2 answer (Answered — Verified Source) and BDA-02: Score: 2.5. The BDA Act, 1976 defines BDA's area only in general terms. It has no schedule, boundary description or map.
What the Act says: Section 2(c) defines the 'Bangalore Metropolitan Area' by reference to three things: the City of Bangalore under the 1949 Corporation Act, the area where the 1945 Improvement Act applied, and adjacent areas the Government may add 'from time to time by notification'.
What I checked:
- The consolidated text (as amended up to Act 19 of 2005) has an arrangement of sections ending at Section 77 (repeal of Ordinance 29 of 1975), with no schedule.
- A search of the Citation Sheet for 'schedule' or 'boundaries' turned up no schedule or map.
- Section 67 inserts Section 81-B into the Karnataka Town and Country Planning Act, 1961. That makes BDA the local planning authority over the area the old City Planning Authority covered. This is again a reference to another body's area, with no specific boundary.
- Section 2(c) points to the 1949 and 1945 Acts, which have been superseded or repealed. So the boundary cannot be worked out from the Act alone.
This fits the methodology's 2.5 band: defined only in general or notified-area terms, with no schedule. It does not reach the 5-point band, which requires a specific boundary, schedule or map in the enabling Act.
The Step 2 answer agrees with the source.
What a reviewer should check:
- The Citation Sheet has no gazette notifications adding areas to the Bangalore Metropolitan Area and no material from the BDA website. So I could not do the methodology's cross-check of the current boundary.
- All the text comes from PRS copies, not the official gazette, and the consolidation stops at the 2005 amendment.
- A reviewer should confirm that no later amendment added a schedule or map, and that the Greater Bengaluru Governance Act, 2024 (BDA-11) does not redefine BDA's area.
Quote: "(c)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</si>
  <si>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Section 1(2) (extent, as substituted by Act 34 of 2009); also Section 2(1)(h), 2(1)(ha), 2(1)(i)(A); Sections 3(1) and 5</t>
  </si>
  <si>
    <t xml:space="preserve">Section 1(2)</t>
  </si>
  <si>
    <t xml:space="preserve">AI (medium confidence), from Step 2 answer (Partially Answered) and BMRCL-15: Proposed score: 2.5 (jurisdiction defined only in general terms). I checked the Step 2 answer against the sources and they support it.
1. BMRCL has no Act of its own. BMRCL-01, the Annual Report 2020-21, says it was incorporated under the Companies Act, 1956. It is a Government Company and a 50:50 joint venture of the Government of India and the Government of Karnataka, promoted "to implement the Metro Rail Project in the city of Bangalore". That gives a general purpose, not a legal boundary.
2. The closest enabling statute in the Citation Sheet is the Metro Railways (Operation and Maintenance) Act, 2002 (BMRCL-15), as amended by Act 34 of 2009. It defines its reach only in general terms:
- Section 1(2) applies it to the National Capital Region. The Central Government may extend it by notification to other 'metropolitan areas' and 'metropolitan cities'.
- Section 2(1)(h) defines 'metropolitan area' by referring to Article 243P(c) of the Constitution.
- Section 2(1)(i)(A) covers land 'within the boundary marks' of a metro railway.
- Sections 3(1) and 5 describe functions in the 'National Capital Region, metropolitan city and metropolitan area'.
- There is no schedule, boundary description or map for Bengaluru or for BMRCL.
This matches the methodology's 2.5 case ("notified area" with no schedule).
3. BMRCL-34 (Greater Bengaluru Governance Act) and BMRCL-35 (BMLTA Act) define territories for other bodies, not for BMRCL, so I did not credit them. A search of the sheet found no gazette notification extending the 2002 Act to Bengaluru and no BMRCL document setting out its area.
For a human reviewer to check:
(a) Whether a Companies Act company with no Act of its own should be treated as having no enabling legal framework. If so, the score would be 0.
(b) Whether the Bengaluru extension notification under the 2002 Act, or BMRCL's Memorandum of Association, defines a specific area. If either does, the score could change. Neither is in the Citation Sheet.
(c) The Metro Railways (Construction of Works) Act, 1978, which is not in the sheet.
Quote: "It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t>
  </si>
  <si>
    <t xml:space="preserve">Section 2(c) (definition of 'Bangalore Metropolitan Region'), read with Section 3(1)</t>
  </si>
  <si>
    <t xml:space="preserve">2(c), as substituted by Karnataka Act 8 of 2005 w.e.f. 23.03.2005</t>
  </si>
  <si>
    <t xml:space="preserve">AI (medium confidence), from Step 2 answer (Answered — Verified Source) and BMRDA-08: I propose 5 out of 5, with medium confidence. A reviewer should confirm two things: whether naming districts in the Act counts as a 'specific boundary description', and what the current boundary is.
**What the Act says**
The Step 2 answer matches the source. The Bangalore Metropolitan Region Development Authority Act, 1985 (as amended by Act 8 of 2005) is the enabling Act, and the copy is BMRDA-08:
- **Section 2(c)** defines the Bangalore Metropolitan Region as the area made up of two named revenue districts, Bangalore District and Bangalore Rural District. It also lets the State add other areas by notification.
- **Section 3(1)** says the State Government 'shall' constitute the Authority 'for the Bangalore Metropolitan Region'.
- **The 2005 amending Bill** shows the legislature drew this boundary on purpose. Its Statement of Objects and Reasons says it was passed 'to confine the jurisdiction ... to Bangalore urban and rural districts by deleting Malur taluk of Kolar district'.
**Why 5 rather than 2.5**
Named revenue districts have fixed legal boundaries. That makes this more than the methodology's 2.5-point example of a general 'notified area' with no schedule, so I treated it as a specific boundary description.
**Caveats for the reviewer**
1. **No schedule or map.** The Act has neither, and the notification clause means the current area depends on later notifications.
2. **Current boundary not confirmed.** The BMRDA website (BMRDA-02 and BMRDA-04) links to a jurisdiction notification and a jurisdiction map, but their contents are not in the Citation Sheet, so I could not cross-check the current boundary.
3. **Region has likely grown.** The draft Revised Structure Plan 2031 (BMRDA-05, page 19) gives 8005 sq km 'under the BMRDA jurisdiction' and says the region has three districts. This suggests Ramanagara was added by notification under Section 2(c).
4. **Unofficial copy of the Act.** BMRDA-08 is hosted by India Water Portal, not an official government site. It should be checked against the official 'BMRDA Act 1985' PDF linked from BMRDA-02.
5. **No municipal Act reviewed.** I scored on the parastatal's own Act only.
If the reviewer decides that naming districts without a schedule or map counts as 'general terms', the score would be 2.5.
Quote: "(c)  "Bangalore Metropolitan Region" means the area comprising the 
Bangalore District and 1[Bangalore Rural District] 1 and such other areas as 
the State Government may, from time to time, by notification, specify;"</t>
  </si>
  <si>
    <t xml:space="preserve">Chapter II – Establishment of the Board</t>
  </si>
  <si>
    <t xml:space="preserve">Section 3 – Constitution and composition of the Bangalore Water Supply and Sewerage Board</t>
  </si>
  <si>
    <t xml:space="preserve">Section 3(2), 3(3), 3(5)</t>
  </si>
  <si>
    <t xml:space="preserve">AI: left for a person. Step 2 found no evidence (Human Verification Required). Source needed: Three things are missing: (1) a current list of Board members, such as the latest State Government notification setting up the Board or the 'Board of Directors' page on the BWSSB website; (2) any amendment to Section 3 made after 1984, since the FAOLEX copy only covers amendments up to Act 18 of 1984; (3) confirmation of whether a Greater Bengaluru Authority or City Corporation official now sits on the Board as an ex-officio member.</t>
  </si>
  <si>
    <t xml:space="preserve">AI: left for a person. Step 2 found no evidence (Insufficient Evidence). Source needed: Two documents are needed: (1) the full text of the Road Transport Corporations Act, 1950, especially Section 5 on how a corporation's board is made up, together with the Karnataka government notification that set up BMTC and appointed its directors; and (2) the current list of BMTC's board members, from BMTC's website or its latest annual report, showing whether any director is an elected councillor, mayor or other nominee of the city government, and whether they can vote. The Karnataka Municipal Act or the Greater Bengaluru Governance Act would also help if they provide for city representation on BMTC.</t>
  </si>
  <si>
    <t xml:space="preserve">Chapter II – Constitution of the Authority</t>
  </si>
  <si>
    <t xml:space="preserve">Section 3(3)(l), read with Sections 4(1)(f), 5(1) proviso and 8(4)</t>
  </si>
  <si>
    <t xml:space="preserve">Section 3(3)(l): two members elected by the councillors of the Bangalore City Corporation</t>
  </si>
  <si>
    <t xml:space="preserve">AI (medium confidence), from Step 2 answer (Partially Answered) and BDA-02: I agree with the Step 2 answer and score 5, based on how the BDA Act sets up the board. Under Section 3(3)(l) of the BDA Act, 1976 (consolidated text in BDA-02), the board includes 'two persons elected by the councillors of the Bangalore City Corporation from among themselves'. Two other sections show these are elected council members. Section 4(1)(f) disqualifies a member who, 'being an elected member ceases to be a councillor'. The proviso to Section 5(1) ends the term of the Corporation's representative when that person stops being a councillor. Section 8(4) says all questions are 'decided by a majority of the votes of the members present and voting' and does not exclude these members, so they vote like everyone else. The Corporation Commissioner is also an ex-officio member under Section 3(3)(f), but that is an official, not an elected representative. The amendments in BDA-02 do not show any later change to Section 3(3)(l). In BDA-11 (Greater Bengaluru Governance Act), my searches found nothing that changes the BDA board. Things a person should check: (1) Section 3(3)(l) still says 'Bangalore City Corporation'. The Citation Sheet does not say how this applies to the new city corporations under the Greater Bengaluru Governance Act. (2) A proviso says that while the Corporation is superseded or run by an Administrator, the two seats go to Corporation officers the Administrator nominates. If the new corporations have no elected councils yet, these seats may now be held by officers, not councillors. If the scorer counts current practice, that could lower the score. (3) The Citation Sheet has no current list of board members, so I cannot confirm who actually holds these seats today. The score rests only on the composition clause in the Act.
Quote: "(l) two persons elected by the councillors of  the Bangalore  City 
Corporation from among themselves in the prescribed manner :"</t>
  </si>
  <si>
    <t xml:space="preserve">Board's Report – Corporate Governance Report</t>
  </si>
  <si>
    <t xml:space="preserve">Board of Directors – Constitution of the Board (summary of the Articles of Association)</t>
  </si>
  <si>
    <t xml:space="preserve">Annual Report 2020-21, around pp. 45-46 of the printed report; also the 'Board of Directors' list on p. 2</t>
  </si>
  <si>
    <t xml:space="preserve">47</t>
  </si>
  <si>
    <t xml:space="preserve">AI (high confidence), from Step 2 answer (Partially Answered) and BMRCL-01: Score 0: the city government (ULG) has no representation on BMRCL's board.
1. **No state Act sets up BMRCL.** It is a Government Company under the Companies Act, 2013, owned 50:50 by the Government of India and the Government of Karnataka. BMRCL-01 summarises its Articles of Association: only these two Governments nominate directors, five each. The Government of India appoints the part-time Chairman and the Government of Karnataka appoints the Managing Director. Under the Articles, directors "may be either whole-time functional Directors or Part-time Directors nominated by the Promoter Government(s)". There is no seat for the ULG, and no provision for ULG invitees.
2. **Board list on p. 2 (as of 2021).** I checked every name. The members are:
   - the Secretary of the Ministry of Housing and Urban Affairs (Chairman);
   - the Managing Director;
   - Government of India officials from the Ministry of Housing and Urban Affairs, Delhi Metro Rail Corporation, the Railway Board and HUDCO;
   - Karnataka Additional Chief Secretaries for Urban Development and for Finance, and the Development Commissioner;
   - the Principal Secretary to the Chief Minister;
   - two functional Directors.
   No councillor or other elected city representative sits on the board, either as a voting member or as an invitee. Neither does any BBMP official.
3. **No other law gives the city a seat.**
   - A search of the Citation Sheet finds the BBMP Chief Commissioner only on the transport authority set up by the BMLTA Act (BMRCL-35). That is a different body from BMRCL, and the Chief Commissioner is an official, not an elected member.
   - The Step 2 review found nothing in the Greater Bengaluru Governance Act (BMRCL-34) that gives the city a seat on BMRCL's board.
The Step 2 answer matches the source.
**Limitation:** the board list is from 2021, as of 31.03.2021 with changes up to August 2021. Someone should check the current board on BMRCL's website or in its latest annual report. Even so, the Articles allow only the two Governments to nominate directors, so the score is very unlikely to change.
Quote: "Both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t>
  </si>
  <si>
    <t xml:space="preserve">Chapter II – The Bangalore Metropolitan Region Development Authority</t>
  </si>
  <si>
    <t xml:space="preserve">Section 3(3)(d), read with Section 5(4)</t>
  </si>
  <si>
    <t xml:space="preserve">Section 3(3)(d): the Mayor is an ex-officio member of the Authority. Section 5(4): questions are decided by majority vote of members present and voting. Also Section 6(1)(e): the Mayor sits on the Executive Committee.</t>
  </si>
  <si>
    <t xml:space="preserve">6</t>
  </si>
  <si>
    <t xml:space="preserve">AI (medium confidence), from Step 2 answer (Partially Answered) and BMRDA-08: Proposed score: 5, based on the Act, which matches the Institutional Design level of this question. Under Section 3(3) of the BMRDA Act, 1985 (Karnataka Act 39 of 1985), the Authority 'shall consist of' a list of members. Clause (d) is 'the Mayor, Corporation of the City of Bangalore', who is the elected head of the city's municipal government. Section 5(4) says all questions at Authority meetings 'shall be decided by majority of the votes of the members present and voting'. The Act sets no voting limit for any member and never calls the Mayor an invitee, so the Mayor is a full voting member. The Mayor also sits on the Executive Committee under Section 6(1)(e). Clause (w) adds four members 'representing the local authorities', but Section 2(j) defines 'local authority' broadly, so those seats can go to parastatal heads. I did not rely on clause (w).
I checked the Step 2 answer against the source, and the source supports it.
Things a person should check before this score is final:
(1) The source is an unofficial copy on India Water Portal, current up to Act 8 of 2005. It is not BMRDA's or the Karnataka Gazette's own copy.
(2) There is no current board member list on the Citation Sheet. I searched all the sources and none has one. The notes for scorers ask for that list.
(3) The Act still names the old 'Corporation of the City of Bangalore'. The city is now run by the Greater Bengaluru Authority and new city corporations, and BBMP had no elected council for years. So an elected Mayor may not hold this seat today. If later amendments or the current board show no elected city representative, the score should be revisited.
Quote: "(d) the Mayor, Corporation of the City of Bangalore"</t>
  </si>
  <si>
    <t xml:space="preserve">Chapter III (The Board's Finance, Accounts and Audit); Chapter VI (Miscellaneous)</t>
  </si>
  <si>
    <t xml:space="preserve">Sections 17(1), 17(3), 86(1), 86(2), 86(3), 14(5)</t>
  </si>
  <si>
    <t xml:space="preserve">s.17(1) budget goes to the State Government; s.17(3) the State Government lays it before the State Legislature; s.86(1)-(2) annual and activities reports go to the State Government and the Legislature; s.86(3) scheme particulars go to the State Government</t>
  </si>
  <si>
    <t xml:space="preserve">14</t>
  </si>
  <si>
    <t xml:space="preserve">AI (high confidence), from Step 2 answer (Answered — Verified Source) and BWSSB-04: Score 0 (plans 0, budgets 0, reports 0). I checked the BWSSB Act, 1964 (FAOLEX copy, BWSSB-04) and the law agrees with the Step 2 answer. BWSSB does not have to submit or table any of the three documents before the ULG or council. (1) Plans: no section sends plans or schemes to the Corporation. Under s.86(3), the Board gives 'particulars in regard to any proposed or existing scheme' to the State Government only. (2) Budget: under s.17(1), the Board 'shall submit to the State Government' its annual financial statement. Under s.17(3), the State Government lays it before both Houses of the State Legislature. s.14(5) also requires the Board to place the statement before the Consultative Committee. That Committee is set up by the State Government and chaired by the BWSSB Chairman. The Municipal Corporation is only consulted on who is appointed to it, so the Committee is not the ULG or council. (3) Reports: under s.86(1), the annual report goes to the State Government and is published in the Gazette. Under s.86(2), the activities report goes to the State Government and is laid before the Legislature. The methodology says submission only to the State Government or another authority does not count. I also checked the Greater Bengaluru Governance Act, 2024 (BWSSB-29). s.14(4) lets the GBA integrate and supervise BWSSB and give it binding directions. s.19(1) lets the Government call for periodic reports from public authorities. s.22(2) requires only the GBA's own Annual Report and Budget to go to the City Corporations. I found no provision requiring BWSSB to submit its plans, budgets or reports to the City Corporations or their councils. Two things a reviewer should check: (a) whether the current consolidated BWSSB Act has amendments after 1966 that the FAOLEX copy leaves out; (b) whether any rules or regulations under the GBGA, or the 2025 Amendment Bill (BWSSB-30), require parastatals to report to the GBA or the Corporations. Even then, the GBA is a coordinating authority chaired at the state level, not the elected council.
Quote: "17. Annual financial statement. —(1) In February of each year the Board shall submit to the State Government a statement in the form prescribed by 1[regulations]1 of the estimated capital and revenue receipts and expenditure for the ensuing year."</t>
  </si>
  <si>
    <t xml:space="preserve">AI: left for a person. Step 2 found no evidence (Insufficient Evidence). Source needed: The full official text of BMTC's enabling statute as currently amended, with its sections on financial and capital estimates or budget, annual report, and accounts and audit, showing who receives each document. The full text of the current municipal Act for the Greater Bengaluru Authority and its city corporations, to check for any provision requiring transport parastatals to table plans, budgets or reports before the corporation council. Any state rules or government orders under these Acts that require BMTC to submit these documents to the ULG.</t>
  </si>
  <si>
    <t xml:space="preserve">Finance, Accounts and Audit; Development Schemes (Ch. III)</t>
  </si>
  <si>
    <t xml:space="preserve">BDA Act 1976 ss.42-45 (budget estimates), s.47(5) (audited accounts), s.47A (reports), s.18 (sanction of schemes); s.17(2) borderline</t>
  </si>
  <si>
    <t xml:space="preserve">s.44; s.47A; s.47(5); s.18(1)-(3); s.17(2), (4)</t>
  </si>
  <si>
    <t xml:space="preserve">43</t>
  </si>
  <si>
    <t xml:space="preserve">AI (high confidence), from Step 2 answer (Answered — Verified Source) and BDA-02: I scored this 0 out of 5 because the BDA Act does not require BDA to submit or table any of the three document types before the ULG or its council. Each requirement points to the State Government or the Legislature instead.
(1) Budgets: under s.42-43 the Commissioner lays the estimate before the Authority itself, which approves it. Under s.44 the approved estimate 'shall be submitted to the Government'. Supplementary estimates also go to the Government (s.45). 0 points.
(2) Reports: under s.47A BDA 'shall... submit to the State Government a report', which is laid before the State Legislature. Under s.47(5) the audited accounts and auditor's report go to the State Government and the Legislature. 0 points.
(3) Plans: under s.18(1) schemes are submitted 'to the Government for sanction', and under s.18(2) housing plans and estimates also go to the Government. 0 points.
The methodology says submission only to the State Government or another authority does not count.
Steps taken: I checked the Step 2 answer against the BDA-02 text and it matches. The Step 2 notes say the KTCP Act (BDA-03) sends budgets, accounts and annual reports to the State Government and the Board. They also say the GBG Act 2024 (BDA-11) lets the GBA coordinate BDA and issue it directions (s.14), but does not require BDA to submit plans, budgets or reports to the GBA or the City Corporations. The GBA's own duty to send its budget and report to the Corporations (s.22(2)) does not apply to BDA. My search of BDA-11 found no such BDA obligation either.
For a reviewer to check: s.17(2) of the BDA Act says a copy of the notification of each development scheme 'shall be sent to the Corporation', which may send representations within 30 days. If it does not, its agreement is assumed (s.17(4)). I did not credit this, for three reasons. It is a notice naming the place where scheme details can be inspected, not submission of the plan itself. It covers only individual schemes. Its purpose is consultation, with the scheme then sanctioned by the State Government. If reviewers count it as submitting plans, the score would be 1.67.
The Act still refers to the former 'Corporation'. The sheet's text includes no amendment mapping this to the GBA City Corporations.
Quote: "44. Estimates to be submitted to Government for sanction.- The estimate, as approved by the Authority, shall be  submitted to the Government which may, either sanction or disallow such estimate or any portion thereof  and return the same for amendment."</t>
  </si>
  <si>
    <t xml:space="preserve">Section 19 (Power of supervision and to issue directions to authorities); see also Sections 9(3)(j), 13(1)(j) and 14(4)</t>
  </si>
  <si>
    <t xml:space="preserve">Section 19(1)</t>
  </si>
  <si>
    <t xml:space="preserve">17</t>
  </si>
  <si>
    <t xml:space="preserve">AI (high confidence), from Step 2 answer (Answered — Verified Source) and BMRCL-34: Score 0: plans 0, budgets 0, annual/performance reports 0. I checked the Step 2 answer against the sources and they support it. BMRCL is a company under the Companies Act, not a body set up by its own Act, so there is no parastatal Act that requires it to submit documents. The municipal law is the Greater Bengaluru Governance Act, 2024 (BMRCL-34). That Act links BMRCL to the city in three ways: (a) BMRCL's MD is an ex-officio member of the Greater Bengaluru Authority (GBA) under s.9(3)(j); (b) the MD sits on the GBA Executive Committee under s.13(1)(j); (c) under s.14(4), the GBA integrates and supervises public authorities, including BMRCL, and can issue binding directions to them. None of these requires BMRCL to submit or table its plans, budgets or reports before the GBA or a City Corporation council. Under s.19(1), periodic reports from public authorities go to the State Government. Under the methodology, submission to the State Government does not count. The GBA's own budget and annual report go to the City Corporations (s.22(2)), but that duty applies to the GBA, not to BMRCL. Under s.122, the City Corporations send administration reports to the GBA, which also does not involve BMRCL. Other laws on the sheet point the same way. The Metro Railways (O&amp;M) Act, 2002 (BMRCL-15) sends reporting to the Central Government. Annual Report 2020-21 (BMRCL-01) was laid before the State Legislature. The KTCP Act (BMRCL-31) and the BMLTA Act (BMRCL-35) send documents to the State Government or the Board, not to the ULG. Note also that the GBA is chaired by the Chief Minister and is arguably not the ULG/council in any case. For a reviewer to check: BMRCL's Memorandum and Articles of Association are not on the Citation Sheet. The GBG Act was read through targeted excerpts, not in full. Any rules or regulations made under s.14(4) could in theory require BMRCL to submit documents, and I could not check this.
Quote: "The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t>
  </si>
  <si>
    <t xml:space="preserve">Chapter III (Powers and Functions); Chapter IV (Finance, Accounts and Audit); Chapter V (Miscellaneous)</t>
  </si>
  <si>
    <t xml:space="preserve">Sections 9(1)(ii), 12, 13, 16(3), 19 and 31 (inserting Section 81-C into the Karnataka Town and Country Planning Act, 1961), BMRDA Act, 1985</t>
  </si>
  <si>
    <t xml:space="preserve">Section 12 (Budget); Section 13 (Annual report)</t>
  </si>
  <si>
    <t xml:space="preserve">AI (medium confidence), from Step 2 answer (Answered — Verified Source) and BMRDA-08: Score 0 (plans 0 + budgets 0 + reports 0). I checked the Step 2 answer against BMRDA-08 and agree with it. Budgets: under Section 12 the annual budget estimate goes only to the State Government, so 0. Annual reports: under Section 13 the annual report goes to the State Government, which lays it before both Houses of the State Legislature. That is not the ULG or its council, so 0. Section 16(3) is the same: audited accounts and the auditor's report go to the State Government and are published, not submitted to a council. Plans: Section 9(1)(ii) says BMRDA prepares the structure plan, but the readable text has no requirement to submit or table it before the Corporation or any council, so 0. Section 31 (new Section 81-C of the Karnataka Town and Country Planning Act) works the other way: local Planning Authorities send their development plans to the State Government through BMRDA. Section 19 lets the Metropolitan Commissioner attend Corporation meetings without a vote and makes the Corporation invite him. That is a right to attend, not a duty to submit documents. Section 9(1)(ix) gives BMRDA a coordination role, which is also not a submission duty. The methodology says submission only to the State Government does not count. Things a person should check: (1) BMRDA-08 is a copy hosted by India Water Portal, which is not an official site. Check it against the official Act PDF on BMRDA's Acts and Rules page, which is not in the Citation Sheet, and confirm there are no later amendments. (2) The methodology also asks for the Municipal Act to be reviewed. The current Greater Bengaluru governance law and the Karnataka Municipal Corporations Act are not in the Citation Sheet. So I could not check them for any provision requiring BMRDA to table documents before the Greater Bengaluru Authority or its corporations. Such a provision is unlikely, but a person should confirm. A search across all the citations found nothing on BMRDA submitting documents to a city government.
Quote: "The Authority shall prepare, every year, in such form and at such time as may be prescribed, an annual budget estimate in respect of the next financial year showing the estimated receipts and disbursements of the Authority and shall submit a copy thereof to the State Government. 13.  Annual report.-  The Authority shall, after the end of each year prepare in such form and before such date as may be prescribed, a report of its activities during such year and submit to the State Government and the State Government shall cause a copy of such report to be laid  before both Houses of the State Legislature."</t>
  </si>
  <si>
    <t xml:space="preserve">ENTER A NUMBER 0 TO 10</t>
  </si>
  <si>
    <t xml:space="preserve">AI: left for a person. Step 2 found no evidence (Insufficient Evidence). Source needed: A dated check of BWSSB's own official website: its home page, or a notices, circulars or tenders page, captured on the day of checking (screenshot or web-archive capture). It should show that the site opens without error and has a 'last updated' date or a notice, circular or tender dated within the last 12 months.</t>
  </si>
  <si>
    <t xml:space="preserve">AI: left for a person. Step 2 found no evidence (Insufficient Evidence). Source needed: A dated capture of BMTC's official website (for example its home page or its notices, circulars or tenders page) showing that it opens without error and has dated content from the last 12 months, such as a 'last updated' stamp or a recent notice. It also needs the date of the check and an archived screenshot or web-archive link, as the methodology requires.</t>
  </si>
  <si>
    <t xml:space="preserve">AI: left for a person. Step 2 found no evidence (Insufficient Evidence). Source needed: A dated check of BDA's official website: the exact live URL as it opens, with the date checked, plus a screenshot or web-archive copy. It should show content from the last 12 months, such as a recent notice, circular, tender or press release, or a 'last updated' date.</t>
  </si>
  <si>
    <t xml:space="preserve">Board's Report; Corporate Governance Report</t>
  </si>
  <si>
    <t xml:space="preserve">Corporate Governance Report, item 7 'Company's Website'; Board's Report sections on Risk Management, Vigil Mechanism and BMRC Newsletter</t>
  </si>
  <si>
    <t xml:space="preserve">Annual Report FY 2020-21, pp. 40, 42, 55-56</t>
  </si>
  <si>
    <t xml:space="preserve">42</t>
  </si>
  <si>
    <t xml:space="preserve">AI (high confidence), from Step 2 answer (Partially Answered) and BMRCL-01: I left the Score blank because the Citation Sheet can't decide it. DPG 4 is a point-in-time Implementation check. A score of 10 needs three things: an official website that exists, that opens without error, and that has content updated in the last 12 months (a 'last updated' date or a recent dated notice). The only relevant source is BMRCL-01, the BMRCL Annual Report for FY 2020-21. Its notes and AGM notice are dated 2021 (for example, 09-11-2021). It confirms that BMRCL had an official website then ('www.bmrc.co.in'), and that the site carried tenders, RTI details, policies, a monthly newsletter and project information. It also says the site 'is continuously updated'. That is a second-hand statement about the site from about 4 years ago. It doesn't show that the site opens today or has content from the last 12 months. A search of the whole sheet found no website capture, archive snapshot or recent dated notice. The other sources (BMRCL-15, -18, -21, -31, -34, -35) are Acts, policies and project documents. Score 0 is also not supported, because the methodology gives 0 only when no official website is found, and the report documents one. I agree with the Step 2 answer. What a reviewer needs to do: open BMRCL's official website, write down the date of the check, save a web-archive capture or screenshot, and note the date of the most recent tender, notice or circular. If the site is live and that date is within 12 months, enter 10. I report no URL because the source only shows the address as text ('www.bmrc.co.in'), not as a full URL.
Quote: "and BMRCL Whistle Blower Policy which are available on the Company’s official website www.bmrc.co.in."
"Score" left blank: the Citation Sheet doesn't decide it.</t>
  </si>
  <si>
    <t xml:space="preserve">Home page – Department Documents</t>
  </si>
  <si>
    <t xml:space="preserve">Acts and Rules list; Notifications &gt; CA Site Paper Notifications; News and Events panel</t>
  </si>
  <si>
    <t xml:space="preserve">AI (high confidence), from Step 2 answer (Answered — Verified Source) and BMRDA-02: I scored 10 because the methodology's three tests for full marks are met. (1) BMRDA has an official website on the Karnataka government portal. The footer says 'Content Owned and maintained by: Bengaluru Metropolitan Region Development Authority(BMRDA), Government of Karnataka'. (2) The captured home page has full content: menus, RTI disclosures, Acts and Rules, notifications, the annual report and the gallery. (3) There is dated content from within the last 12 months. The Acts and Rules list includes the 2026 Rules on Civic Amenity (CA) site allotment. The News and Events panel lists 'CA Site Paper Notification' as '2 months ago'. The CA site newspaper notices have dated file names: a Deccan Herald file 'DH_Bengaluru _20260729', a New Indian Express file 'NIE Bengaluru 29-07-2026' and an e-paper file '30-07-2026'. The footer reads '© 2026'.
One correction to the Step 2 answer: it calls the 29-07-2026 notice a TOI notice. The Times of India file (Hoskote Planning Authority) has no date in its name. The files dated 29/30-07-2026 are the Deccan Herald, New Indian Express and e-paper notices. This does not change the score.
Things a person should check: (a) the site's 'Last Updated:' field is blank, so recency rests on dated content, not a stated update date; (b) the Citation Sheet does not record when the page was captured. The methodology asks for a point-in-time check, so a reviewer should open https://bmrda.karnataka.gov.in/english again, note the date of the check and save a web-archive copy or screenshot. Some sections are older (items marked 'One year ago', pages labelled 2020–2023), but the methodology only needs some content updated within 12 months.
Quote: "The Karnataka Planning Authorities (Allotment of Civic Amenity Sites within the Bengaluru Metropolitan Region) Rules, 2026."</t>
  </si>
  <si>
    <t xml:space="preserve">ENTER A NUMBER 0 TO 1</t>
  </si>
  <si>
    <t xml:space="preserve">AI: left for a person. Step 2 found no evidence (Insufficient Evidence). Source needed: One of these, published for FY2025-26 or FY2024-25 and opened with the access date recorded: BWSSB's budget or annual financial statement on its official website (e.g. a Finance/Budget or proactive-disclosure page); the statement under Section 17 as laid before the Karnataka Legislature on a Government of Karnataka site; or BWSSB budget data in a machine-readable form (XLS/CSV/HTML table) on an open-data portal. A dated screenshot or archived link of that page is needed for each document.</t>
  </si>
  <si>
    <t xml:space="preserve">AI: left for a person. Step 2 found no evidence (Insufficient Evidence). Source needed: BMTC's own website, specifically its finance, transparency or RTI section 4(1)(b) disclosure page, showing the annual budget (Budget Estimates or Revised Estimates) for FY 2025-26 or FY 2024-25 with the date accessed. Also the file format of that budget (XLS/CSV or a structured HTML table, versus a scanned or table-only PDF). Failing that, a Karnataka Transport Department or Finance Department publication that reproduces BMTC's current budget.</t>
  </si>
  <si>
    <t xml:space="preserve">AI: left for a person. Step 2 found no evidence (Insufficient Evidence). Source needed: We need BDA's published annual budget (budget estimates) for the current or previous FY. It should be on the official BDA website (for example a Finance, Budget or RTI Section 4(1)(b) disclosure page), or else in a Karnataka Urban Development Department publication. The source should give the FY, the date it was accessed, and the file format, ideally XLS, CSV or an HTML table rather than a scanned PDF.</t>
  </si>
  <si>
    <t xml:space="preserve">AI: left for a person. Step 2 found no evidence (Insufficient Evidence). Source needed: A BMRCL budget for FY 2025-26 or FY 2024-25 published online, showing estimated receipts and spending. This could be a budget document on BMRCL's website, a budget or financials page, or a proactive disclosure under RTI Section 4(1)(b). It could also be a Government of Karnataka budget document that shows BMRCL's own budget rather than just the state's grant to it. For the format score, it should be XLS/CSV or a structured HTML table. Screenshots with access dates are needed.</t>
  </si>
  <si>
    <t xml:space="preserve">AI: left for a person. Step 2 found no evidence (Insufficient Evidence). Source needed: BMRDA's 'Budget' page on its official website, captured with the access date. It should show the latest budget estimate posted, which financial year it covers (2025-26 or 2026-27 would count as current or immediately preceding), and the file format (XLS/CSV or an HTML table, versus a scanned or text PDF). A budget published by the Karnataka government or its Urban Development Department that sets out BMRDA's own budget would also answer the question.</t>
  </si>
  <si>
    <t xml:space="preserve">AI: left for a person. Step 2 found no evidence (Insufficient Evidence). Source needed: Three things would answer this. First, the 'Accounts' or 'Audit Report' page on BWSSB's official website showing the audited annual accounts (Income and Expenditure Account and Balance Sheet with the auditor's certificate) for FY2024-25, or FY2023-24 if a one-year lag is allowed, with the date of access. Second, the file format of those statements (XLS/CSV/structured HTML, or text versus scanned PDF). Third, or alternatively, the audited accounts or audit report laid before the Karnataka Legislature under Section 25(5) of the BWSSB Act, published on a Government of Karnataka website. None of these is in the Citation Sheet.</t>
  </si>
  <si>
    <t xml:space="preserve">AI: left for a person. Step 2 found no evidence (Insufficient Evidence). Source needed: Two things are needed. (1) A current, dated capture of the 'Accounts', 'Annual Report' or 'Financial Statements' page on BMTC's official website. It should show the latest FY of audited accounts published (ideally FY 2024-25, or FY 2023-24 if a one-year lag applies) and the file format (XLS/CSV/structured HTML, or PDF/scanned). (2) Failing that, BMTC's latest annual administration report with audited accounts, or the CAG/AG Karnataka audit report on BMTC's accounts, with a note of where it is hosted online.</t>
  </si>
  <si>
    <t xml:space="preserve">AI: left for a person. Step 2 found no evidence (Insufficient Evidence). Source needed: BDA's audited annual accounts (balance sheet, income and expenditure account, auditor's report) posted on BDA's official website. Ideally FY 2024-25, or FY 2023-24 under the one-year lag. The page should show the financial year, date of access, and file format (XLS/CSV/structured HTML versus scanned or text PDF). Other acceptable sources: the State Audit and Accounts Department audit report on BDA accounts, or BDA's audited accounts as laid before the Karnataka Legislature, if posted on an official Karnataka government website.</t>
  </si>
  <si>
    <t xml:space="preserve">Notice of AGM; Independent Auditor's Report; Financial Statements (Balance Sheet, Statement of Profit and Loss, Cash Flow) for FY 2020-21</t>
  </si>
  <si>
    <t xml:space="preserve">Ordinary Business item 1 (Notice of AGM, p.4 of report / PDF p.6); Auditor's Report dated 24-08-2021; C&amp;AG comments dated 22 October 2021</t>
  </si>
  <si>
    <t xml:space="preserve">AI (medium confidence), from Step 2 answer (Partially Answered) and BMRCL-01: I propose a score of 0 out of 1 (0 for currency + 0 for format). This score depends on what the Citation Sheet holds. Nobody has checked BMRCL's website directly.
Latest information found: FY 2020-21. These are the audited accounts for the year ended 31 March 2021. The Independent Auditor's Report (Badari, Madhusudhan &amp; Srinivasan) is dated 24-08-2021 and the C&amp;AG comments under Section 143(6)(b) are dated 22 October 2021. They are in BMRCL-01, the BMRCL Annual Report 2020-21, a PDF laid before the Karnataka Legislative Council at kla.kar.nic.in.
(1) Availability and currency, 0 of 0.5: the methodology needs audited accounts for the immediately preceding FY, with a one-FY lag allowed. With the assessment in about 2025-26, that means FY 2024-25, or FY 2023-24 at the latest. FY 2020-21 is too old. I searched the Citation Sheet for audited statements for 2023-24 and found none. Every hit was BMRCL-01 (FY 2020-21).
(2) Format, 0 of 0.5: the only copy is a PDF annual report. The financial tables have a text layer, but they are not in XLS/XLSX, CSV, ODS, a structured HTML table or a downloadable dataset. The methodology gives 0.5 only for those structured formats, so this part scores 0.
I agree with the Step 2 answer.
What a person should check before finalising:
- **BMRCL's website.** The Board's Report (p.40) says statutory documents such as the annual return are placed on www.bmrc.co.in. Check whether the site has audited accounts or annual reports for FY 2023-24 or FY 2024-25.
- **Stock exchange filings.** The report mentions SEBI LODR Regulation 52 filings, so check for audited financial results there too.
- **Score change.** If the newer accounts are found, the currency part would rise to 0.5. The format part would stay 0 unless they are also published in a structured, machine-readable format.
- **Screenshots.** Take screenshots with dates of access, as the scorer notes require.
Quote: "To receive, consider and adopt the Audited Financial Statements of the Company for the Financial year ended March 31, 2021"</t>
  </si>
  <si>
    <t xml:space="preserve">AI: left for a person. Step 2 found no evidence (Insufficient Evidence). Source needed: Needed: BMRDA's audited annual accounts (audited financial statements with the auditor's report) for FY 2024-25, or FY 2023-24 if the one-year lag applies, as published on the official BMRDA website or a Government of Karnataka site. The likely places are the 'Budget and Annual Reports' page and the 2023-24 Annual Report PDF on bmrda.karnataka.gov.in, whose contents are not in the Citation Sheet. The Karnataka State Accounts Department or the CAG audit reports on BMRDA could also serve. The file format must be recorded (XLS/CSV/HTML table, text PDF or scanned PDF) to score the format part.</t>
  </si>
  <si>
    <t xml:space="preserve">AI: left for a person. Step 2 found no evidence (Insufficient Evidence). Source needed: BWSSB's latest annual report (for FY 2024-25, or the latest one due), published on BWSSB's official website or in the Karnataka Gazette. It should be a searchable, downloadable PDF, HTML or DOC file. The page where it is published, its financial year and the date it was accessed should be recorded, along with a screenshot or archived URL.</t>
  </si>
  <si>
    <t xml:space="preserve">AI: left for a person. Step 2 found no evidence (Insufficient Evidence). Source needed: BMTC's official website page that lists annual reports or annual administration reports (or a Government of Karnataka Transport Department page hosting them). It should show the latest report, ideally for FY 2024-25 or the latest one due, with its year. The report file itself is also needed to check whether it is a searchable, downloadable PDF or a scanned image-only file, with the date it was accessed.</t>
  </si>
  <si>
    <t xml:space="preserve">AI: left for a person. Step 2 found no evidence (Insufficient Evidence). Source needed: Two things are needed. (1) A page on BDA's official website (or an official Karnataka government page, such as Legislature papers) where BDA's annual report for FY 2024-25 or the latest year due can be opened and downloaded, with the date of access recorded. (2) The report file itself, to check whether it is a searchable, text-readable PDF/HTML/DOC or a scanned, image-only PDF. If no current report can be found, record the year of the latest report found online.</t>
  </si>
  <si>
    <t xml:space="preserve">AI: left for a person. Step 2 found no evidence (Human Verification Required). Source needed: BMRCL's own annual-reports page, with the date of access, showing whether the FY 2024-25 or FY 2023-24 Annual Report (Directors' Report and audited accounts) has been published, and in what format (searchable PDF or scanned images). Alternatively, a copy of the latest annual report tabled in the Karnataka Legislature.</t>
  </si>
  <si>
    <t xml:space="preserve">Official BMRDA website, English home page</t>
  </si>
  <si>
    <t xml:space="preserve">Department Documents menu &gt; Budget and Annual Reports</t>
  </si>
  <si>
    <t xml:space="preserve">Annual Report link (file '2023-24 Anual Report.pdf')</t>
  </si>
  <si>
    <t xml:space="preserve">AI (medium confidence), from Step 2 answer (Partially Answered) and BMRDA-02: I left Score blank because the total is either 0 or 0.5, and the Citation Sheet can't settle which.
(1) Availability and currency (0.5): I score this part 0. The official BMRDA home page links only one annual report, '2023-24 Anual Report.pdf', and the Kannada home page (BMRDA-04) links the same file. The latest year found is FY 2023-24.
- The site shows it was captured in the second half of 2026. Its Department Documents list the 'Karnataka Planning Authorities (Allotment of Civic Amenity Sites within the Bengaluru Metropolitan Region) Rules, 2026'. It links CA Site newspaper notices dated 29-07-2026 and 30-07-2026, and the footer reads '© 2026'.
- The immediately preceding FY is therefore 2025-26, and the FY 2024-25 report would also have been due by then. No report for either year is linked, so FY 2023-24 is older than the permitted period.
- BMRDA Act s.13 (BMRDA-08) says the Authority 'shall' prepare a yearly report of its activities. The deadline is 'as may be prescribed', and that rule is not in the sheet.
(2) Format (0.5): I can't decide this part. The 2023-24 PDF is not in the Citation Sheet, so I can't tell whether it is a searchable, text-readable PDF or a scanned image. The link only shows it is a downloadable PDF.
What a person needs to do:
- Open the PDF and check whether its text can be selected and searched. Record the date accessed.
- Check the 'Budget and Annual Reports' page (https://bmrda.karnataka.gov.in/40/budget-and-annual-reports/en) for any newer report. That page was not saved separately, and its contents could change the currency score.
- Confirm whether ASICS gives the format 0.5 when the only report is out of date. The methodology scores the two parts separately, so the likely result is 0 if the PDF is scanned and 0.5 if it is searchable.
I checked the Step 2 answer against BMRDA-02 and BMRDA-04, and the sources support it.
Quote: "[https://bmrda.karnataka.gov.in/40/budget-and-annual-reports/en] Budget and Annual Reports [https://bmrda.karnataka.gov.in/storage/pdf-files/2023-24 Anual Report.pdf] Annual Report"
"Score" left blank: the Citation Sheet doesn't decide it.</t>
  </si>
  <si>
    <t xml:space="preserve">AI: left for a person. Step 2 found no evidence (Insufficient Evidence). Source needed: We need BWSSB Board meeting minutes or proceedings from FY 2025-26 or FY 2024-25, published on BWSSB's official website (for example a 'Board Meetings', 'Board Proceedings' or RTI proactive-disclosure page). We also need the access date and file type, to confirm whether the document is a searchable PDF or HTML page or only a scanned image. If no minutes are published, an access-dated screenshot of the relevant BWSSB website section showing that would support a score of 0.</t>
  </si>
  <si>
    <t xml:space="preserve">AI: left for a person. Step 2 found no evidence (Insufficient Evidence). Source needed: To answer this, we need the BMTC website's page for Board meeting proceedings, minutes or resolutions (or a Government of Karnataka Transport Department page that hosts them). It should show at least one set of BMTC Board of Directors minutes from FY 2024-25 or FY 2025-26, with the meeting date, in a format that can be downloaded and searched (text PDF, HTML or DOC). Alternatively, a dated page listing BMTC's proactive disclosures under RTI Section 4(1)(b) that includes Board minutes, or confirms that none are published, would also answer it.</t>
  </si>
  <si>
    <t xml:space="preserve">AI: left for a person. Step 2 found no evidence (Insufficient Evidence). Source needed: BDA's official website, specifically the page where it publishes Authority (board) meeting proceedings, minutes or resolutions (for example a 'Board Meetings', 'Proceedings' or RTI Section 4(1)(b) disclosure page). It would need to show the date or FY of the latest minutes and the document format (text-searchable PDF, HTML or DOC versus scanned image), with screenshots or archived URLs and the date of access. If the website has no minutes, a documented search of the site with the date of access would support a score of 0.</t>
  </si>
  <si>
    <t xml:space="preserve">AI: left for a person. Step 2 found no evidence (Insufficient Evidence). Source needed: Two things would settle this. First, a dated check of BMRCL's official website (for example a Board meetings, minutes, RTI section 4(1)(b) or disclosure page), with access date and screenshot or archived copy, showing either that Board minutes from FY 2024-25 or FY 2025-26 are published or that none are. Second, if minutes are published, their file format: a searchable PDF, HTML or DOC/DOCX, or a scanned image.</t>
  </si>
  <si>
    <t xml:space="preserve">AI: left for a person. Step 2 found no evidence (Insufficient Evidence). Source needed: Two things are needed. (1) The minutes or proceedings of BMRDA's Authority or Executive Committee meetings for FY 2025-26 or 2024-25, published on the official BMRDA website, for example under a 'Meeting Proceedings' page or inside the RTI Section 4(1)(b) disclosures. (2) A check of whether that document is a searchable PDF or a scanned image. A full check of the website's sitemap and of the RTI 4(1)(a) Parts I-IV and 4(1)(b) PDFs, which are not in the Citation Sheet, would show whether any minutes are posted.</t>
  </si>
  <si>
    <t xml:space="preserve">AI: left for a person. Step 2 found no evidence (Insufficient Evidence). Source needed: What would answer this: BWSSB's own current 'Organisation Structure' / 'Who's Who' / officers' contact directory web page, or a searchable organisation chart or staff-position document on the BWSSB website, dated FY 2024-25 or FY 2025-26. Alternatively, BWSSB's current RTI Section 4(1)(b) proactive disclosure listing posts, officers and staff. The page should be captured with its date of access and its format recorded (HTML or searchable PDF, versus image-only or scanned).</t>
  </si>
  <si>
    <t xml:space="preserve">AI: left for a person. Step 2 found no evidence (Insufficient Evidence). Source needed: The organisation chart or officer and staff directory on BMTC's official website. This could be an HTML 'Who's Who' or officers' contact page, a searchable PDF organisation chart, or a list of sanctioned and working posts. Other options are BMTC's RTI Act Section 4(1)(b) proactive disclosure (organisation, functions, directory of officers, number of staff), or BMTC's latest annual report. Each should have a visible date or financial year and be in a format that can be searched or downloaded.</t>
  </si>
  <si>
    <t xml:space="preserve">AI: left for a person. Step 2 found no evidence (Insufficient Evidence). Source needed: For currency (0.5): BDA's current organisation chart or 'Who's Who' / officers' directory on its official website, ideally the RTI Act Section 4(1)(b) proactive disclosure (organisation, functions and duties; directory of officers and employees). It should be dated within the current or previous financial year, or clearly reflect current officials such as the present Commissioner, Secretary, Engineer Member and Town Planning Member. For format (0.5): the same material as an HTML page or a searchable PDF/XLS, not an image-only chart or a scanned list. Both need the access date and the date or financial year of the information.</t>
  </si>
  <si>
    <t xml:space="preserve">AI: left for a person. Step 2 found no evidence (Insufficient Evidence). Source needed: The current organisation chart, staff directory, or list of officers and posts on BMRCL's official website. This could be an HTML 'Who's Who' or officers' contact directory, an organisation chart in searchable PDF, or the RTI Act Section 4(1)(b) disclosure listing officers, employees and sanctioned posts. It needs to be dated FY 2024-25 or 2025-26, with a dated screenshot or archived URL. A recent BMRCL annual report (FY 2023-24 or later) with sanctioned and working staff by post would be partial supporting evidence.</t>
  </si>
  <si>
    <t xml:space="preserve">BMRDA official website: Contact Us page</t>
  </si>
  <si>
    <t xml:space="preserve">Staff directory listing name, designation and office number for each post</t>
  </si>
  <si>
    <t xml:space="preserve">AI (medium confidence), from Step 2 answer (Partially Answered) and BMRDA-01: Proposed score: 1 (0.5 format + 0.5 currency). A person should confirm the currency half because the evidence for it is indirect.
Format (0.5): BMRDA's Contact Us page (BMRDA-01) is a searchable HTML staff directory. It lists named officials against their posts, from the Metropolitan Commissioner, Metropolitan Planner and Director, Additional Metropolitan Commissioner and Joint Metropolitan Commissioner down to the Joint Directors, Assistant Director and Accounts Officer. It also marks vacant posts (Additional Director, Deputy Metropolitan Commissioner, Deputy and Assistant Directors, Account Superintendant) and gives office phone numbers. This meets the standard of an 'HTML organisation/staff directory' with identifiable posts and officials.
Currency (0.5): The directory names Sri. Rajendra P Cholan as Metropolitan Commissioner. That matches the current head shown on BMRDA's English home page (BMRDA-02: 'SRI RAJENDRA CHOLAN P , IAS Metropolitan Commissioner BMRDA'). The site is also clearly being kept up to date: the home page has CA site paper notifications from July 2026, Rules dated 2026, a news item posted '2 months ago', and a © 2026 footer. Together these show the directory reflects the current structure. However, the directory itself has no date and its 'Last Updated' field is blank, so I cannot record an exact FY or date for the latest information. Evidence field: undated, consistent with the 2026 (FY 2026-27) state of the website.
Other items: The home page also links an 'Organisation chart' PDF (ORGNenglish.pdf). It is not a separate source in the Citation Sheet, so its date and whether it is searchable or image-only are unknown. The score above does not rely on it.
For the person checking: open the Contact Us page, take a dated screenshot as the scorer notes require, and confirm the listed officials are current. If the officials have changed, reduce the currency half to 0. Also check the organisation chart PDF.
Quote: "Sri. Rajendra P Cholan
Metropolitan Commissioner
080-22255493"</t>
  </si>
  <si>
    <t xml:space="preserve">AI: left for a person. Step 2 found no evidence (Insufficient Evidence). Source needed: One of these, from BWSSB's official website (or an official Karnataka government site): a projects or ongoing-works page, project dashboard, or a downloadable project list or plan (e.g. Cauvery Stage V, 110-villages water supply and sewerage, sewage treatment plant projects), dated FY 2024-25 or FY 2025-26. Each needs an access date and screenshot. That would allow scoring of both currency and format (text-searchable PDF, HTML table, or XLS/CSV).</t>
  </si>
  <si>
    <t xml:space="preserve">AI: left for a person. Step 2 found no evidence (Insufficient Evidence). Source needed: To score this question we need: (1) a page or document on BMTC's official website, or an official Government of Karnataka publication, that sets out BMTC's major plans or ongoing projects (for example new depots or TTMCs, electric bus procurement or deployment, bus priority lanes) for FY 2024-25 or FY 2025-26, with its date; (2) enough of that page or document to judge its format: a searchable text PDF, an HTML table or dashboard, or a downloadable XLS/CSV, rather than scans or images. BMTC's Annual Implementation Plan under Section 25 of the BMLTA Act, or its latest annual report or budget with a project list, would also do.</t>
  </si>
  <si>
    <t xml:space="preserve">AI: left for a person. Step 2 found no evidence (Insufficient Evidence). Source needed: Two kinds of source are needed, each with its date of access: (1) the page on BDA's official website where its major plan is published, such as the Revised Master Plan or a draft master plan, as a downloadable document whose year can be read and whose text is searchable; and (2) a BDA project page, dashboard or downloadable list (HTML table or XLS/CSV) of ongoing projects, such as layouts, the Peripheral Ring Road, flyovers or housing projects, with status information dated to FY 2024-25 or FY 2025-26. Archived copies or screenshots of these pages would also do.</t>
  </si>
  <si>
    <t xml:space="preserve">AI: left for a person. Step 2 found no evidence (Insufficient Evidence). Source needed: To score this, a researcher would need one of the following from BMRCL's official website, for FY 2024-25 or FY 2025-26: (a) a projects or ongoing-works page or project dashboard covering Phase-2, 2A, 2B and 3 in searchable HTML or a structured table; or (b) a recent searchable plan PDF, such as a current annual report or a Phase-3 or other major project plan or DPR. Screenshots or archived URLs with the date of access are also needed.</t>
  </si>
  <si>
    <t xml:space="preserve">Official BMRDA English homepage, 'Department Documents' section</t>
  </si>
  <si>
    <t xml:space="preserve">Notifications &gt; Proposed Draft Mobility Plan (links for 9 Local Planning Authorities); also 'GBIT BROCHURE', 'Structure Plan', 'Reports'</t>
  </si>
  <si>
    <t xml:space="preserve">AI (low confidence), from Step 2 answer (Partially Answered) and BMRDA-02: I left the score blank. The Citation Sheet isn't enough to decide either part, and the Step 2 score of 0 doesn't hold up against the sources.
(1) What Step 2 relied on: BMRDA-05 is the Draft Revised Structure Plan 2031. It dates from about 2010–11 (Annexure 13 says it was 'discussed with ABIDe committee on 24.10.2010') and is hosted on OpenCity, a third-party site. It is far outside the allowed currency window and can't count. So far Step 2 is right.
(2) What Step 2 missed: the official homepage (BMRDA-02 English; the same links are on the BMRDA-04 Kannada page) has a 'Proposed Draft Mobility Plan' section. It links PDFs on the BMRDA domain for 9 Local Planning Authorities: Anekal, the airport area planning authority (BIAAPA), Channapatna, Doddaballapur, Kanakapura, Magadi, Nelamangala, Ramanagara Urban Development Authority (RUDA) and Satellite Town Ring Road (STRR). Nearby items look recent: the CA site paper notifications have file names dated 29-07-2026 and 30-07-2026, there are 2025 gallery entries, and the newly listed 'Karnataka Planning Authorities (Allotment of Civic Amenity Sites within the Bengaluru Metropolitan Region) Rules, 2026'. That suggests the draft mobility plans may be current major plans (FY 2025-26 or 2026-27). If so, the availability-and-currency half could earn 0.5. But none of these PDFs is in the Citation Sheet, so I can't confirm their date, what they contain, or whether they are major plans and not just maps. Some file names, like 'KPA OVARALL MAP' and 'Whole LPA Map', hint they may be map-only or scanned. So I can't score format either (searchable text PDF versus scanned or image-only).
(3) No project dashboard or structured project list appears in the sheet. The 'GBIT BROCHURE' (labelled 'One year ago') could be ongoing-project information, but its contents and format aren't in the sheet.
Next steps: a reviewer should open the 9 Proposed Draft Mobility Plan PDFs, the 'GBIT BROCHURE' PDF, the 'Structure Plan' page and 'St report.pdf'. For each, record the date and check whether the text is searchable or the file is a scan or image. Then score:
- Currency: 0.5 if a major plan or ongoing-project information is from the current FY or the FY just before (record the latest date found even if this part scores 0).
- Format: 0.5 if that plan is a searchable PDF, or the project information is on a searchable page or in structured data.
Take screenshots with the date of access, as the scorer notes require.
Quote: "Proposed Draft Mobility Plan"
"Score" left blank: the Citation Sheet doesn't decide it.</t>
  </si>
  <si>
    <t xml:space="preserve">AI: left for a person. Step 2 found no evidence (Insufficient Evidence). Source needed: Evidence of BWSSB performance information for FY 2024-25 or FY 2025-26 published online, ideally on the official BWSSB website. Suitable documents would be an SLB report for water supply and sewerage (coverage, per-capita supply, metering, NRW, continuity, water quality, complaint redressal, cost recovery, collection efficiency), an annual or administration report with performance indicators, or a performance dashboard. To earn the format marks, the data must be downloadable in CSV, XLS or ODS, or shown as a structured HTML table. A dated screenshot or archive of the page is also needed.</t>
  </si>
  <si>
    <t xml:space="preserve">AI: left for a person. Step 2 found no evidence (Insufficient Evidence). Source needed: Needed: BMTC's official website page(s) that publish its performance information for FY 2024-25 or 2025-26. That could be operational statistics (fleet, schedules, daily ridership, kilometres operated, revenue per km, cost per km), a service-level benchmark dashboard, an annual report or annual performance report. Each needs its date of access and its file format (CSV, XLS, a structured HTML table, a text PDF or a scanned PDF), so both parts of the score can be assessed. The Karnataka government's open data portal would also work if it holds BMTC performance data sets.</t>
  </si>
  <si>
    <t xml:space="preserve">AI: left for a person. Step 2 found no evidence (Insufficient Evidence). Source needed: Two things are missing. First, a dated page on BDA's official website, or a Karnataka Government site, that publishes BDA performance information for FY 2024-25 or FY 2025-26. Examples: an annual report or administration report, an outcome or performance report, a service-level benchmark or Sakala service-delivery dashboard, or KPI tables. Second, proof of the format: a CSV, XLS or ODS download, or a structured HTML table or dashboard with downloadable data, as opposed to a scanned PDF or chart images. Record the date the page was accessed and the financial year it covers.</t>
  </si>
  <si>
    <t xml:space="preserve">AI: left for a person. Step 2 found no evidence (Insufficient Evidence). Source needed: Performance information for FY 2024-25 or FY 2025-26 published by BMRCL, captured with the date of access. Examples: a ridership or operations statistics page on the BMRCL website, a recent annual report with O&amp;M performance (punctuality, train availability, ridership, revenue), or a service-level benchmark dashboard. For the format criterion, evidence is needed on whether the data can be downloaded as CSV/XLS or is a structured HTML table.</t>
  </si>
  <si>
    <t xml:space="preserve">BMRDA official website, English home page</t>
  </si>
  <si>
    <t xml:space="preserve">Department Documents &gt; Budget and Annual Reports</t>
  </si>
  <si>
    <t xml:space="preserve">Annual Report link (file name '2023-24 Anual Report.pdf')</t>
  </si>
  <si>
    <t xml:space="preserve">AI (medium confidence), from Step 2 answer (Partially Answered) and BMRDA-02: I score this 0 out of 1. Availability and currency gets 0. Format gets 0.
What the source shows: the newest performance-type document on BMRDA's official home page is the 'Annual Report' link under Budget and Annual Reports. Its file name, '2023-24 Anual Report.pdf', points to FY 2023-24. The site looks current to 2026: the footer reads © 2026, there are newspaper notices dated 29-07-2026 and 30-07-2026, and the uploads carry recent timestamps. That makes the current FY 2026-27 and the previous FY 2025-26, so a FY 2023-24 report is older than the permitted period. Even if the current year were FY 2025-26, the previous year would be FY 2024-25, and FY 2023-24 would still be out of range. Currency therefore scores 0.
Format: the only performance item is a PDF. The home page links no CSV, XLS or ODS file, no structured HTML table and no downloadable dashboard. The Citizen Charter is dated 2020-21 and states service standards rather than reporting performance. Format therefore scores 0.
Other sources: a search for '2024-25' and performance reports across the Citation Sheet found nothing newer. BMRDA-04 (Kannada home page) shows the same Annual Report link. BMRDA-08 (the Act, Section 13 annual report duty) is a legal requirement, not evidence of what is published. BMRDA-05 is a draft structure plan, not a performance report.
Latest information found: FY 2023-24, taken from the file name only. The report itself and the Budget and Annual Reports sub-page are not in the Citation Sheet.
The Step 2 answer is consistent with the source.
For a person to check:
- Open https://bmrda.karnataka.gov.in/40/budget-and-annual-reports/en and the APA page.
- Confirm that no FY 2024-25 or FY 2025-26 report or data has been posted.
- Check what year the annual report covers and whether it is a scanned file or has readable text.
- Take screenshots with the date of access.
Quote: "[https://bmrda.karnataka.gov.in/40/budget-and-annual-reports/en] Budget and Annual Reports [https://bmrda.karnataka.gov.in/storage/pdf-files/2023-24 Anual Report.pdf] Annual Report"</t>
  </si>
  <si>
    <t xml:space="preserve">AI: left for a person. Step 2 found no evidence (Insufficient Evidence). Source needed: BWSSB's current Citizen/Service Charter (often titled 'Our Customer Charter') as published on BWSSB's official website, or on a Government of Karnataka site such as a Sakala or service-guarantee page. It should show the Charter's date or version and that it is still in force, and its format: an HTML page or searchable PDF, rather than a scanned image. Record the date of access.</t>
  </si>
  <si>
    <t xml:space="preserve">AI: left for a person. Step 2 found no evidence (Insufficient Evidence). Source needed: BMTC's Citizen or Service Charter as published on BMTC's official website (mybmtc.karnataka.gov.in / mybmtc.com), or on a Government of Karnataka portal (for example the Sakala or Transport Department citizen charter pages) that lists BMTC services, service standards, timelines and grievance redress. The record needs the charter's date or year, the exact URL and date of access, and the format: HTML, searchable PDF, or scanned image-only PDF.</t>
  </si>
  <si>
    <t xml:space="preserve">AI: left for a person. Step 2 found no evidence (Insufficient Evidence). Source needed: The BDA's Citizen or Service Charter as published on the BDA's official website (or on a Karnataka government portal), as an HTML page or downloadable document. It should show its date or year and whether it is still in force. We would also need the date we accessed it and whether the file is text-searchable or a scanned image. If the BDA has no charter of its own, a Karnataka government listing of BDA services and time limits under the Sakala service-guarantee system might also count, if it is presented as BDA's charter.</t>
  </si>
  <si>
    <t xml:space="preserve">AI: left for a person. Step 2 found no evidence (Insufficient Evidence). Source needed: A Citizen or Service Charter on BMRCL's official website, with its date or version and format (HTML or searchable PDF versus scanned image). It would typically sit on a 'Citizen Charter', 'Passenger Charter' or RTI/transparency page. Failing that, a Karnataka government notification adopting a charter for BMRCL. The research team should also record the date of access and keep a screenshot or archived URL.</t>
  </si>
  <si>
    <t xml:space="preserve">BMRDA English home page, INTRODUCTION menu</t>
  </si>
  <si>
    <t xml:space="preserve">'Citizen Charter' link</t>
  </si>
  <si>
    <t xml:space="preserve">AI (low confidence), from Step 2 answer (Partially Answered) and BMRDA-02: I left the score blank because the Citation Sheet does not contain the Charter itself. BMRDA's official English home page (BMRDA-02) has a 'Citizen Charter' link in its INTRODUCTION menu. The link points to a PDF named 'CITIZEN CHARTER-2020-21 eng.pdf'. The Kannada home page (BMRDA-04) also links to a matching Kannada version, according to the Step 2 notes. The latest information found is FY 2020-21, but that comes from the file name only. A search of the Citation Sheet found no Charter text in BMRDA-01, -02, -04, -05 or -08.
The question is scored at the Implementation level, so a link label is not enough. Both parts of the score are undecided:
(a) Availability and currency (0.5): no tool opened the PDF. I cannot confirm that it opens, that it is BMRDA's Citizen/Service Charter, or that it is still in force. The methodology does not count a 2020-21 Charter as outdated if it is still in force.
(b) Format (0.5): I cannot tell whether the PDF has searchable text or is a scanned image.
Next steps for a human scorer: open the exact link from the home page. The file name contains spaces, so it may need URL encoding. Then check three things:
1. The document is BMRDA's Charter and is still in force. If so, add 0.5.
2. The text can be selected or searched. If so, add another 0.5. A scanned or image-only PDF gets nothing for this part.
3. Record the date of access and take a screenshot.
Likely score: 1 if both checks pass, 0.5 if the PDF is scanned, and 0 if the link is broken.
Quote: "[https://bmrda.karnataka.gov.in/storage/pdf-files/CITIZEN CHARTER-2020-21 eng.pdf] Citizen Charter"
"Score" left blank: the Citation Sheet doesn't decide it.</t>
  </si>
  <si>
    <t xml:space="preserve">AI: left for a person. Step 2 found no evidence (Insufficient Evidence). Source needed: BWSSB's RTI page on its official website, or a searchable PDF published there. This should be the Section 4(1)(b) proactive disclosure or a notified list of PIOs, APIOs and First Appellate Authorities, with names or designations, office addresses, phone numbers or emails, the fee and how to apply, and a date showing the information is current. A dated screenshot or archived copy is also needed, along with a check of whether the document is searchable text or a scanned image.</t>
  </si>
  <si>
    <t xml:space="preserve">AI: left for a person. Step 2 found no evidence (Insufficient Evidence). Source needed: Any one of these would answer it: BMTC's own RTI page or its Section 4(1)(b) proactive-disclosure document naming the current PIOs, APIOs and First Appellate Authority, with designations, addresses, phone numbers or emails, plus the RTI fee and filing procedure; or the RTI Online portal's PIO/FAA list filtered to BMTC. The page's date or last-updated date is also needed, along with confirmation that it is a searchable HTML page or text PDF rather than a scanned image.</t>
  </si>
  <si>
    <t xml:space="preserve">AI: left for a person. Step 2 found no evidence (Insufficient Evidence). Source needed: BDA's own RTI or disclosure page, or a downloadable document from BDA, naming the current PIOs, Assistant PIOs and first appellate authority with their contact details and the RTI application procedure and fees. A notice listing BDA's RTI officers under Section 4(1)(b) of the RTI Act would also work. It should be recorded with the date accessed and the date or year of the information, and it should be checked whether it is a searchable page or PDF or a scanned or image-only file.</t>
  </si>
  <si>
    <t xml:space="preserve">AI: left for a person. Step 2 found no evidence (Insufficient Evidence). Source needed: BMRCL's own RTI webpage, or its RTI Act Section 4(1)(b) proactive-disclosure document, on the official BMRCL website. It should name the current PIO/APIO and First Appellate Authority with designation, address, phone and email, and explain how to apply and pay the fee. It should be dated or verifiably current and be in a searchable format (an HTML page or a searchable PDF/DOC). A dated screenshot or archived copy of that page would also meet the evidence requirement.</t>
  </si>
  <si>
    <t xml:space="preserve">BMRDA official website – English home page (top menu and News and Events)</t>
  </si>
  <si>
    <t xml:space="preserve">RTI menu links (Right To Information, Online R T I, RTI 4(1) A, RTI 4(1) B, RTI 26 (3) (B)) and the news item 'RTI ONLINE SERVICES ARE AVAILABLE FOR BMRDA'</t>
  </si>
  <si>
    <t xml:space="preserve">AI: left for a person. Step 2 found no evidence (Insufficient Evidence). Source needed: BMRDA's own 'Right To Information' page, or its RTI Section 4(1)(b) proactive-disclosure document. It should name the current Public Information Officer, Assistant Public Information Officer and First Appellate Authority, give their contact details, and describe how to file an RTI request (how to apply, fee, timelines, appeal). It also needs a visible date, and it must be possible to check whether the page is searchable HTML or a searchable PDF rather than a scanned image.</t>
  </si>
  <si>
    <t xml:space="preserve">AI: left for a person. Step 2 found no evidence (Insufficient Evidence). Source needed: Two things are needed: (1) the tender or procurement page on BWSSB's official website, and (2) BWSSB's listing on the Karnataka e-procurement portal, showing tenders or awarded contracts from FY 2025-26 or FY 2024-25. Record the date of the latest item, and screenshot or archive the page with the date of access. To score format, we need to see whether this is a searchable or filterable HTML table, a contract register or a CSV/XLS download, or just individual or scanned PDFs.</t>
  </si>
  <si>
    <t xml:space="preserve">AI: left for a person. Step 2 found no evidence (Insufficient Evidence). Source needed: Two things are needed. (1) BMTC's own Tenders page on its official website, or BMTC's listing on the Karnataka Public Procurement (e-procurement) portal, showing tender notices and awarded contracts with dates from the current or previous financial year (FY 2024-25 or FY 2025-26). (2) Evidence of the format: a searchable HTML table or register, or a CSV/XLS download, as opposed to scanned or individual PDF notices with no index. Each page should be captured as a dated screenshot or archived URL with the date of access. If BMTC uses the state e-procurement portal, a dated capture of the BMTC entries on that portal would also count.</t>
  </si>
  <si>
    <t xml:space="preserve">AI: left for a person. Step 2 found no evidence (Insufficient Evidence). Source needed: We need dated, current evidence of BDA's tenders and awards online. Two kinds of source would answer this: (1) BDA's official tender or procurement page, or the Karnataka e-Procurement portal filtered to BDA, showing tenders or awards from FY 2025-26 or FY 2024-25 (with a screenshot and access date); (2) evidence of the format, i.e. whether the listings are a searchable structured table or HTML contract register, or a CSV/XLS download, rather than scanned or image-only PDF notices. The date of the latest tender or award found should also be recorded.</t>
  </si>
  <si>
    <t xml:space="preserve">AI: left for a person. Step 2 found no evidence (Insufficient Evidence). Source needed: BMRCL's official tenders/procurement page with tender notices and awarded contracts dated in the current or previous FY, or BMRCL listings on the Karnataka Public Procurement Portal (searchable e-procurement table), or a published contract register or award list (HTML or CSV/XLS). The date accessed should be recorded with a screenshot or archived copy.</t>
  </si>
  <si>
    <t xml:space="preserve">AI: left for a person. Step 2 found no evidence (Insufficient Evidence). Source needed: Two things would answer this question. First, a Tenders or Procurement page on BMRDA's official website listing tenders and awards for the current or previous financial year. Second, BMRDA's entries on the Karnataka Public Procurement Portal (the state e-procurement portal), which can be searched and filtered by department. That would include awarded-contract or award-of-contract (AOC) details for BMRDA, with dates, saved with a screenshot and date of access. The Citation Sheet has neither.</t>
  </si>
  <si>
    <t xml:space="preserve">Chapter IV (Water Supply), applied to Chapter V (Sewers and Sewerage) by Section 82(2)</t>
  </si>
  <si>
    <t xml:space="preserve">Section 59(7)</t>
  </si>
  <si>
    <t xml:space="preserve">Section 59(7)(c), read with Section 82(2)</t>
  </si>
  <si>
    <t xml:space="preserve">AI (medium confidence), from Step 2 answer (Partially Answered) and BWSSB-04: I propose a score of 5, but a reviewer should check how broad the mandate needs to be.
What the Act requires: I checked the Act's text in BWSSB-04. Section 59(7)(c) says the Board "shall make regulations" for hearing and settling complaints from owners or occupiers of premises. The complaints can be about a licensed plumber's quality of work, materials, delays or charges. Because the verb is "shall", this is a compulsory duty for the Board to provide a complaint-redressal process for consumers. Section 82(2) applies Section 59 to drainage and sewerage work as well as water supply. The methodology gives 5 if the parastatal's Act "requires a grievance-redressal mechanism (any channel)", so this narrow statutory mandate meets the test as worded. I agree with the Step 2 answer on this.
What a reviewer should check:
(1) Scope. The mandate covers only complaints about licensed plumbers. It does not cover complaints about the Board's own services, such as supply, billing or sewerage service failures. I found no general grievance provision in the Act. The Section 14 Consultative Committee only advises; it has no complaints role. If ASICS requires a general consumer grievance mechanism, change the score to 0 or leave it unconfirmed until the BWSSB citizen or consumer charter is obtained.
(2) Charter text. The charter is not in the Citation Sheet. BWSSB-32 (the 2016 Public Affairs Centre study) mentions an "Our Consumer Charter" booklet and the existing grievance system. That is evidence of practice from a source that is not official, not a mandate.
(3) Currency of the Act. The FAOLEX copy lists amendments only up to 1984 (Act 18 of 1984). Later amendments can't be confirmed, but none of the listed amendments touch Section 59.
(4) Other sources. Section 96(c) of the Greater Bengaluru Governance Act, 2024 (BWSSB-29) is not the parastatal's own Act, so I did not rely on it.
Quote: "(7) The Board shall make regulations providing for,— (a)  the exercise of adequate control on all licensed plumbers; (b)  the inspection of all works carried out by them; and (c)  the hearing and disposal of complaints made by the owners or occupiers of premises with regard to the quality of work done, material used, delay in execution of work, and the charges made, by a licensed plumber."</t>
  </si>
  <si>
    <t xml:space="preserve">AI: left for a person. Step 2 found no evidence (Insufficient Evidence). Source needed: One of these documents would answer the question: (1) the full text of the Road Transport Corporations Act, 1950 together with any Karnataka rules or regulations made under it for BMTC that require a complaint or grievance mechanism; (2) BMTC's official Citizen Charter or Service Charter, published on BMTC's website, that sets out a grievance or complaint channel; or (3) a Karnataka Government order or notification requiring BMTC to provide grievance redressal.</t>
  </si>
  <si>
    <t xml:space="preserve">Chapter VIII (Miscellaneous), per consolidated BDA Act, 1976</t>
  </si>
  <si>
    <t xml:space="preserve">Section 62A (Appeal against assessment etc.), inserted by Act 6 of 1993; also checked Section 63 (Revision)</t>
  </si>
  <si>
    <t xml:space="preserve">Section 62A(1)</t>
  </si>
  <si>
    <t xml:space="preserve">50</t>
  </si>
  <si>
    <t xml:space="preserve">AI (low confidence), from Step 2 answer (Partially Answered) and BDA-02: Score: 0, provisional. Someone needs to check this.
What I checked and found:
- The BDA Act, 1976 (BDA-02), as amended, does not require a grievance-redressal mechanism of any kind. It sets up no grievance cell, complaints channel or grievance officer.
- The closest provision is Section 62A. A person who disputes a property tax assessed under Section 28B 'may' appeal to an Appellate Authority that the Government notifies. This is a narrow statutory tax appeal, not a grievance channel for citizens. I did not count it under 'any channel'. If a reviewer decides it does count, the score becomes 5.
- Section 63 lets the Government or the Authority call for and review records, with a hearing before any adverse order. That is a supervisory power, not a complaints channel.
- The Greater Bengaluru Governance Act (BDA-11) is not BDA's own Act. Section 14(4) gives the Greater Bengaluru Authority power to 'integrate and supervise' BDA so that its functions are 'citizen-friendly'. That is a general phrase, not a grievance mechanism. The grievance role of the Assembly Constituency committees under Section 96(c) is not shown to cover BDA.
- The Karnataka Town and Country Planning Act (BDA-03) has no grievance provision for BDA.
- Searching the whole Citation Sheet for 'grievance redressal' found only text from the city-government Act.
What is missing:
The methodology also accepts subordinate legislation and a citizen or service charter. None is on the Citation Sheet. That includes any BDA citizen charter, BDA regulations or rules, and any notification placing BDA services under a Karnataka public-services guarantee law. If one of these requires a grievance or complaints channel, the score should be 5. Because of this gap, confidence is low.
Quote: "Any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</si>
  <si>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AI: left for a person. Step 2 found no evidence (Insufficient Evidence). Source needed: Any of these would answer the question: (a) a BMRCL Citizen's Charter or Passenger/Service Charter that commits to a complaint channel (helpline, email, station complaint book, Public Grievance Officer); (b) rules or regulations under the Metro Railways (Operation and Maintenance) Act, 2002 that require complaint handling; or (c) a Karnataka or Government of India order that requires BMRCL to run a public grievance system.</t>
  </si>
  <si>
    <t xml:space="preserve">Chapter III (powers and functions of the Authority; s.10 is just before Chapter IV, Finance, Accounts and Audit)</t>
  </si>
  <si>
    <t xml:space="preserve">Section 10(5); see also Section 26(3)</t>
  </si>
  <si>
    <t xml:space="preserve">s.10(5): appeal to the State Government against BMRDA's decision on development permission under s.10(4)</t>
  </si>
  <si>
    <t xml:space="preserve">11</t>
  </si>
  <si>
    <t xml:space="preserve">AI (medium confidence), from Step 2 answer (Partially Answered) and BMRDA-08: I left the score blank because the deciding document is missing from the Citation Sheet.
**What the Act says.** I read the BMRDA Act, 1985 as amended by Act 8 of 2005 (BMRDA-08). It has no section that requires BMRDA to run a grievance-redressal mechanism. There is no grievance cell, grievance officer or complaints channel. Two provisions come close:
- **Section 10(5):** a person aggrieved by BMRDA's decision on a development permission 'may' appeal, within 30 days, to the State Government, whose decision is final. This appeal goes to the Government, not to a channel BMRDA runs. It only covers permission decisions, and 'may' gives the person a choice; it puts no duty on BMRDA.
- **Section 26(3):** before a revision order harms someone, they must have had 'an opportunity of making representation'. This is a natural-justice safeguard in revision proceedings, not a grievance mechanism.
On a strict reading, neither provision means the parastatal is mandated to provide a grievance-redressal mechanism. Based on the Act alone, the evidence points towards 0.
**Why I did not score 0.** The methodology also counts a citizen or service charter. The Step 2 notes say BMRDA's official website links a Citizen Charter for 2020-21. However, the website pages in the sheet (BMRDA-02, BMRDA-04) show only the link to it, not its text. My search of the sheet for 'citizen charter grievance redressal complaint' found no charter content. Scoring 0 now would mean assuming the charter has no grievance clause.
**What a reviewer should do:**
1. Get the BMRDA Citizen Charter from the official site and check whether it requires a grievance or complaint mechanism. If it does, score 5. If it does not, score 0.
2. Decide whether ASICS counts the Section 10(5) appeal to the State Government as 'any channel'. I think it should not, because the appeal is to the Government, is narrow, and puts no duty on BMRDA. If ASICS does count it, the score would be 5.
Other checks: no rules or regulations made under Sections 29 or 30 are in the Citation Sheet. BMRDA-08 is the official Act text, but the copy is hosted on India Water Portal rather than a government site.
Quote: "Any authority or person aggrieved by the decision of the Authority under sub-section (4) may, within thirty days from the date of the decision appeal against such decision to the State Government, whose decision thereon shall be final:"
"Score" left blank: the Citation Sheet doesn't decide it.</t>
  </si>
  <si>
    <t xml:space="preserve">AI: left for a person. Step 2 found no evidence (Insufficient Evidence). Source needed: BWSSB's official website pages, current and dated, showing: (1) an online grievance/complaint form or a link to a state grievance portal; (2) the official grievance email, WhatsApp number or mobile app; (3) the designated grievance helpline or call-centre number; (4) a Citizen/Service Charter or office notice naming in-person grievance counters, help desks or designated officers (e.g. service stations, sub-division offices); (5) a portal page showing that complaints get a reference/docket number and can be tracked by status. A current BWSSB Citizen Charter or annual report describing the complaint management system would also help.</t>
  </si>
  <si>
    <t xml:space="preserve">AI: left for a person. Step 2 found no evidence (Insufficient Evidence). Source needed: Pages from BMTC's official website (or official state government pages) that show: (1) an online grievance or complaint form, or a link to a state grievance portal that handles BMTC complaints; (2) an official BMTC mobile app, grievance email address or WhatsApp number for complaints; (3) a named BMTC helpline or call-centre number for passenger complaints; (4) an in-person channel, such as depot or bus-station complaint counters or a named public grievance officer, listed in a citizen charter or office order; (5) proof that complaints get a reference number and can be tracked, such as a screenshot of a portal or app showing complaint status. Each item needs a live, dated capture.</t>
  </si>
  <si>
    <t xml:space="preserve">AI: left for a person. Step 2 found no evidence (Insufficient Evidence). Source needed: BDA's official website, recorded on a known date, showing: (a) a working online grievance form, or a link to a state grievance portal, plus the portal page itself; (b) a named grievance email, WhatsApp number or app listing; (c) a dedicated grievance helpline or call-centre number; (d) a Citizen Charter, office order or website page naming a grievance counter or Public Grievance Officer where complaints can be made in person; (e) proof that complaints get an acknowledgement or reference number and can be tracked, such as a portal screenshot.</t>
  </si>
  <si>
    <t xml:space="preserve">AI: left for a person. Step 2 found no evidence (Insufficient Evidence). Source needed: Pages from BMRCL's official website (or the state or common grievance portal it sends users to), with dated screenshots, showing: (1) an online grievance or complaint form, or a link to an integrated portal such as CPGRAMS or the Karnataka state portal; (2) an electronic channel listed officially, such as a grievance email, WhatsApp number, or a Namma Metro app store listing with a complaint feature; (3) a commuter helpline or customer-care number explicitly designated for complaints; (4) a citizen charter, website page or office order naming an in-person channel, such as station customer-care counters or a designated public grievance officer; (5) a screenshot showing that complaints receive an acknowledgement or reference number and can be tracked.</t>
  </si>
  <si>
    <t xml:space="preserve">AI: left for a person. Step 2 found no evidence (Insufficient Evidence). Source needed: Three things would answer the question: (a) the text of BMRDA's 2020-21 Citizen Charter, or a newer one, showing any grievance officer, counter or helpline and the time limits for resolving complaints; (b) the BMRDA Feedback page, or a dated screenshot of it, showing whether it accepts grievances and gives a reference number or status tracking; (c) any BMRDA page or order sending citizens to a state grievance portal such as e-Spandana or IPGRS, with that portal's page for BMRDA, as dated screenshots.</t>
  </si>
  <si>
    <t xml:space="preserve">Chapter II (Board, Consultative Committee and general duties)</t>
  </si>
  <si>
    <t xml:space="preserve">Section 15(2)(b)-(c) and proviso; Section 14</t>
  </si>
  <si>
    <t xml:space="preserve">s.15(2)(b), s.15(2)(c), proviso to s.15(2); s.14(1) and s.14(4)(i)</t>
  </si>
  <si>
    <t xml:space="preserve">AI (medium confidence), from Step 2 answer (Answered — Verified Source) and BWSSB-04: Score: 0. I found no law in the Citation Sheet that requires citizen participation when BWSSB prepares its plans or schemes.
**BWSSB Act, 1964 (BWSSB-04, FAOLEX copy with amendments up to 1984)**
- Section 15(2)(b) and (c) make preparing and carrying out water-supply and sewerage schemes a duty of the Board.
- The only outside check before a scheme goes ahead is State Government approval for schemes costing more than one crore rupees (proviso to Section 15(2)).
- The Act does not require the Board to publish a draft scheme, invite objections or suggestions, or hold a public hearing.
- Section 14 sets up a Consultative Committee to 'advise the Board on major questions of policy and major schemes'. Its members are Board members plus 3 to 9 people appointed by the State Government. The Government consults bodies representing the Corporation, the City Improvement Trust Board and consumers 'as the State Government thinks fit'. That is advice from an appointed body, not a public participation process, so I did not count it.
**Karnataka Town and Country Planning Act (BWSSB-28)**
- Section 10 requires ('shall') public objections and suggestions on master plans. That duty falls on Planning Authorities, not on BWSSB's water or sewerage schemes.
**Greater Bengaluru Governance Act, 2024 (BWSSB-29)**
- Section 14(4) lets the Greater Bengaluru Authority coordinate BWSSB and give it binding directions.
- Section 15 gives the Authority the master plan and mobility plans.
- Neither section requires any public consultation on BWSSB's own plans.
**Karnataka Urban Drinking Water and Sanitation Policy, 2002 (BWSSB-33)**
- The policy says the water action plan will be adopted after discussion with 'all the relevant agencies' only. It provides no role for citizens.
**For a reviewer to check**
1. I did not have any rules made under the BWSSB Act, such as Consultative Committee rules, or any amendments made after 1984. One of these could add a public consultation step for BWSSB plans.
2. Someone could argue that consumer representation on the Consultative Committee is limited, discretionary participation worth 2.5. I gave 0 because the State Government chooses the members and nothing is opened to the public.
The Step 2 answer matches the sources.
Quote: "Provided that no scheme under clause (b) or (c) estimated to cost more than a crore of rupees shall be carried out by the Board except with the approval of the State Government."</t>
  </si>
  <si>
    <t xml:space="preserve">Chapter V – Preparation of policies and Comprehensive Mobility Plan; Chapter VI – Sectoral and City Mobility Investment Program and Annual Implementation Plan</t>
  </si>
  <si>
    <t xml:space="preserve">Section 21(3) (with Sections 21(2)(d), 21(2)(l), 23, 24(b)-(e), 25(2) and 2(ff))</t>
  </si>
  <si>
    <t xml:space="preserve">Section 21(3): draft plan, objections and suggestions from any person, maximum two months; Section 23: same process for five-yearly CMP revision</t>
  </si>
  <si>
    <t xml:space="preserve">AI (medium confidence), from Step 2 answer (Partially Answered) and BMTC-23: Score 2.5: the law does require public participation, but only for one plan type, and that plan is made by BMLTA, not BMTC.
Why BMTC is covered by the Act: it is an Urban Transport Agency under Section 2(ff), which reads "means and includes both the private and public agencies engaged in providing of Urban Mobility in Urban Mobility Region". The Schedule lists bus systems as public transport. The preamble names Bangalore Metropolitan Transport Corporation, and its Managing Director is an ex officio member of the Authority (Section 4) and of the Executive Committee. The Step 2 note said this definition was not visible; it is visible, so the gap is closed.
The participation process, Section 21(3): before finalising any plan under the Act, the Authority 'shall' publish a draft plan for inspection. It must also issue a notice inviting objections and suggestions from any person within a maximum of two months, and consider them before finalising. The verb is mandatory. Section 23 applies the same process to each five-yearly revision of the Comprehensive Mobility Plan (CMP). BMTC's planning reaches the public only through the CMP:
- The CMP must include 'existing and proposed route plans of public transport' (Section 21(2)(d)).
- It must include the City Mobility Investment Program, which is made up of the agencies' Sectoral Mobility Investment Programs (Section 21(2)(l); Section 24(c) and (e)).
Why not 5:
- BMTC's own Sectoral Mobility Investment Program need only be 'prepared in consultation with the Authority' (Section 24(b)).
- Its Annual Implementation Plan is reviewed and approved by the Authority (Section 25(2)).
- Neither includes a public-participation step.
So participation applies only to a specified plan type and stage: the CMP made by BMLTA, which includes BMTC's programme. That matches the 2.5 band.
Other laws: Section 20(1) requires mobility policies to be placed in the public domain for feedback, but these are policies, not plans. The Karnataka Town and Country Planning Act, 1961 (BMTC-25), Section 10, covers only Master Plans made by Planning Authorities. The Citation Sheet does not contain the BMTC/Road Transport Corporations Act or a State Municipal Act, so a reviewer should confirm that neither creates a direct participation duty for BMTC.
A reviewer could argue for 0 on the ground that nothing binds BMTC's own plans directly.
Source caveat: the text used is the PRS copy of Karnataka Act 6 of 2023, which says an amendment (Act 10 of 2026) is appended. Check Sections 21 and 24 against the official gazette text.
Quote: "Before finalizing any plan as under this Act, the Authority shall cause to pu blish a draft plan by making a copy thereof available for inspection"</t>
  </si>
  <si>
    <t xml:space="preserve">Chapter V – Preparation of policies and Comprehensive Mobility Plan (also Chapter VI, s.24)</t>
  </si>
  <si>
    <t xml:space="preserve">Section 21(3), read with s.21(2)(d), s.21(2)(l), s.24 and s.19</t>
  </si>
  <si>
    <t xml:space="preserve">s.21(3): publish a draft plan and invite objections/suggestions from any person within a period of up to two months; mandatory 'shall'</t>
  </si>
  <si>
    <t xml:space="preserve">AI (medium confidence), from Step 2 answer (Partially Answered) and BMRCL-35: Proposed score: 2.5, because citizen participation is required only at one stage, through the Bengaluru Metropolitan Land Transport Authority's (BMLTA) plan.
**What the law requires, and of whom:**
- **BMRCL itself:** No law requires BMRCL to involve citizens in preparing its own plans. BMRCL is a company under the Companies Act with no Act of its own. The Metro Railways (Operation and Maintenance) Act, 2002 (BMRCL-15) has no provision on plan participation.
- **Planning authorities:** Section 10 of the Karnataka Town and Country Planning Act (BMRCL-31) requires public suggestions only from planning authorities preparing master plans. Under the Greater Bengaluru Governance Act (BMRCL-34), that planning authority is the Greater Bengaluru Authority, not BMRCL.
- **BMLTA:** The BMLTA Act (BMRCL-35), s.21(3), says that before finalising 'any plan' under the Act, BMLTA 'shall' publish a draft plan, make it available for inspection, and invite objections and suggestions from any person. The period may be at most two months. BMLTA must then consider the responses before finalising the plan.
**How this reaches metro plans:**
- The plan covered is the Comprehensive Mobility Plan. Under s.21(2)(d) it must include existing and proposed public transport route plans. Under s.21(2)(l) and s.24 it must include the City Mobility Investment Program, which is made up of the Sectoral Mobility Investment Programs prepared by each urban transport agency.
- The Schedule lists metro railway as public transport.
- Under s.19 and s.2(n), changes to the metro network count as major urban transport projects that need BMLTA's approval.
**Why 2.5 and not 5 or 0:** BMRCL's sectoral programme and metro route plans go through a mandatory public consultation only when BMLTA includes them in its Comprehensive Mobility Plan. BMRCL's own detailed project reports and Annual Implementation Plan (s.25) have no participation requirement. This matches the 2.5 test ('applies only to specified plan types/stages').
**For the reviewer:**
- A reviewer could argue for 0, because the duty falls on BMLTA and not on BMRCL.
- The Metro Railways (Construction of Works) Act, 1978 and BMLTA's regulations are not in the Citation Sheet, so I could not check them.
- The EIA (BMRCL-21) refers to project consultations driven by the lender (EIB), not by law.
Quote: "Before finalizing any plan as under this Act, the Authority shall cause to pu blish a draft plan by making a copy thereof available for inspection and publis"</t>
  </si>
  <si>
    <t xml:space="preserve">Chapter 14 Environmental and Social Considerations</t>
  </si>
  <si>
    <t xml:space="preserve">Section 14.12 Stakeholders' Meeting</t>
  </si>
  <si>
    <t xml:space="preserve">p. 14-100 / PDF page ~135 of the JICA Phase 3 Final Report (NJS Consultants, November 2017)</t>
  </si>
  <si>
    <t xml:space="preserve">135</t>
  </si>
  <si>
    <t xml:space="preserve">AI (medium confidence), from Step 2 answer (Partially Answered) and BWSSB-23: I scored 2.5. The source supports the Step 2 answer. BWSSB-23, the JICA/NJS Phase 3 Final Report of November 2017, Section 14.12, says BWSSB held a stakeholders' meeting on 22 August 2017, before the report was finalised. The meeting was about the planned water supply and sewerage project for the 110 Villages. Its 125 participants included representatives from the 110 Villages as well as BDA, BBMP and the Pollution Control Board. The report says the minutes are in a Supporting Report, which is not in the Citation Sheet. The methodology gives 2.5 when the only evidence is a reference to consultation in the final plan, without full official records, and that is the situation here.
Why not 5: No source shows a public notice, a call for objections or suggestions, a public hearing record or a consultation report on BWSSB's own website. The meeting was mainly BWSSB explaining the project. The participants were officials and village representatives, not an open public process. The same report also says a public consultation is not required under the EIA Notification 2006.
Why a reviewer might give 0: (1) The document is a project feasibility report prepared by a third party for JICA. It is not a plan BWSSB published itself. (2) The evidence is from 2017, so it says little about the latest planning exercise. (3) It is unclear whether a meeting held to inform people counts as a chance to participate.
The other sources do not help. BWSSB-22 (main report), BWSSB-04 (BWSSB Act), BWSSB-28 (the KTCP Act, which requires objections only on Master Plans), BWSSB-29 and BWSSB-30 (GBG Act and Bill), BWSSB-32, BWSSB-33, BWSSB-12 and BWSSB-25 show no consultation on BWSSB plans. The question is labelled Law/Policy, but the methodology asks for evidence of practice, so I scored it as a practice question.
A person should check BWSSB's website for recent plan-consultation notices or minutes, and try to find the 2017 Supporting Report minutes.
Quote: "BWSSB held stakeholders’ meeting on August 22, 2017 for planned Water Supply and Sewerage Project for the 110 Villages. The number of the participants was 125 persons which were consisted of concerned authorities (BDA, BBMP, Pollution Control Board, etc.) and representatives from the 110 Villages. In the meeting BWSSB explained the outline of the projects and implementation plan."</t>
  </si>
  <si>
    <t xml:space="preserve">AI: left for a person. Step 2 found no evidence (Insufficient Evidence). Source needed: Each of these would need to be from BMTC's official website or other official records, unless stated otherwise: (a) a recent BMTC plan, such as a business, corporate, fleet or route rationalisation plan, that describes public consultation before it was finalised; (b) a BMTC public notice inviting objections or suggestions on a draft plan; (c) minutes or reports of public hearings or stakeholder consultations BMTC held while preparing a plan; or (d) dated news reports of BMTC public consultations on a plan, which could earn at most 2.5 points.</t>
  </si>
  <si>
    <t xml:space="preserve">G. Consultations, Participation and Information Disclosure</t>
  </si>
  <si>
    <t xml:space="preserve">1.2 Public Consultation, para 223 (with Table 28, paras 224-225 and Appendix 4)</t>
  </si>
  <si>
    <t xml:space="preserve">para 223</t>
  </si>
  <si>
    <t xml:space="preserve">66</t>
  </si>
  <si>
    <t xml:space="preserve">AI (medium confidence), from Step 2 answer (Partially Answered) and BMRCL-21: I scored this 2.5. There is credible evidence that BMRCL consulted citizens before finalising a plan, but official records can't fully confirm it. The source is the Phase II Line 6 (Gottigere–Nagavara) EIA, which includes an Environmental and Social Management Plan. BMRCL prepared it, and it is held on the EIB register. It describes the following: (1) a formal public consultation session in May 2017 at the BMRCL Byappanahalli Training Institute; (2) informal sessions and focus group discussions; (3) the concerns people raised (para 224); and (4) the statement that 'BMRCL has addressed the issues raised by public' (para 225).
This does not meet the 5-mark tier, for five reasons:
(a) The public notice, participant list, photographs and Q&amp;A are said to be in Appendix 4. That appendix appears on pages 109-110 of the source, but those pages contain no readable text (probably scanned images), so the record can't be checked.
(b) The document comes from a lender's disclosure register, not from BMRCL's official website.
(c) The dates conflict: the text says 18 May 2017, while Table 28 says 15 May 2017.
(d) The consultation was mainly with project-affected people and covered one project's environmental and resettlement safeguards. It was not a broader BMRCL planning exercise.
(e) The evidence is from 2017, so it says little about current practice.
The objections-and-suggestions procedure for draft plans in the BMLTA Act (BMRCL-35) applies to BMLTA, not BMRCL, so I gave it no credit. None of the other citations (BMRCL-01, 15, 18, 31, 34) shows BMRCL consulting citizens. The question is labelled Law/Policy, but its methodology asks for evidence of practice, so I scored it on that evidence.
A reviewer should: check BMRCL's own website for newer consultation records (for example, Phase 3 or Phase 2A/2B EIAs or SIAs with public notices and minutes); read the scanned Appendix 4; and confirm whether consultation on a single project's EIA counts as 'preparation of plans' for this question.
Quote: "Consultations were held with PAPs during preparation of this EIA as well as in the process of land acquisition. A formal public consultation session was held on 18 May 2017 at BMRCL Byappanahalli Training Institute, Bangalore to inform the people about project and discuss the resettlement policy framework."</t>
  </si>
  <si>
    <t xml:space="preserve">AI: left for a person. Step 2 found no evidence (Insufficient Evidence). Source needed: BWSSB's annual budgets (budget estimates, revised estimates and actuals) for the last three financial years, for example FY2022-23 to FY2024-25. Its audited annual accounts or the CAG-audited annual financial statements for the same years would also work. These need to show total receipts split into own revenue (water and sewerage charges, connection, prorata and other charges, interest, rent) and state or central grants and loans, plus total revenue and capital expenditure.</t>
  </si>
  <si>
    <t xml:space="preserve">AI: left for a person. Step 2 found no evidence (Insufficient Evidence). Source needed: Needed: BMTC's annual budgets, or preferably its audited annual accounts or Annual Administration Reports, for the last three financial years (e.g. FY 2021-22 to FY 2023-24). They should split income into traffic (fare) revenue, non-traffic revenue (advertising, commercial rent, etc.) and government grants or subsidies (travel concession reimbursements, viability gap funding, one-time grants), and show total revenue and capital expenditure. Karnataka State budget documents or a CAG audit report on BMTC would also do, if they give these figures.</t>
  </si>
  <si>
    <t xml:space="preserve">AI: left for a person. Step 2 found no evidence (Insufficient Evidence). Source needed: BDA's annual budget documents (budget estimates with actuals) or audited annual accounts for the last three financial years, ideally the most recent ones. These should show receipts broken down into own revenue (for example sale and allotment of sites and flats, betterment tax, fees and charges, lease rents, interest) separately from State or Central government grants, along with total revenue and capital expenditure for each year. Annual reports under Section 47A, or Section 47 audited accounts laid before the Legislature, would also work.</t>
  </si>
  <si>
    <t xml:space="preserve">AI: left for a person. Step 2 found no evidence (Insufficient Evidence). Source needed: Two things are needed. First, BWSSB's audited annual accounts or annual report for the latest completed financial year (e.g. FY2024-25), or its budget document with actual figures, showing actual capital expenditure. This could be a statement of capital receipts and payments, or additions to fixed assets and work in progress. Second, an official population figure for the BWSSB service area: the 2011 Census or a recent official projection for the BBMP/GBA area, such as a figure published by BWSSB or the Karnataka government.</t>
  </si>
  <si>
    <t xml:space="preserve">AI: left for a person. Step 2 found no evidence (Insufficient Evidence). Source needed: Two things are needed. First, BMTC's audited annual accounts or annual administration report for the latest completed year (e.g. FY 2023-24 or FY 2024-25). This should show capital expenditure, meaning additions to fixed assets such as buses, depots, terminals and IT systems, or the capital section of BMTC's budget showing actual figures. Second, an official population figure for the area BMTC serves, from Census 2011 or a recent official projection, such as a Karnataka government or Census projection for Bengaluru city or the BMTC service area.</t>
  </si>
  <si>
    <t xml:space="preserve">AI: left for a person. Step 2 found no evidence (Insufficient Evidence). Source needed: Two things are needed: (1) BDA's audited annual accounts or annual report for the latest completed financial year (e.g. FY 2023-24 or 2024-25), or its budget document showing actual capital expenditure for that year (spending on layouts, roads, flyovers, land acquisition and other capital works), with the page or table; and (2) an official population figure for BDA's jurisdiction (the Bangalore Metropolitan Area / BDA local planning area), from Census 2011 or the most recent official projection (e.g. the Revised Master Plan, or a state Directorate of Economics and Statistics or Census projection), with its source cited.</t>
  </si>
  <si>
    <t xml:space="preserve">Audited Financial Statements FY 2020-21: Statement of Cash Flows</t>
  </si>
  <si>
    <t xml:space="preserve">Cash flows from Investing Activities (Amount in ₹ Lakhs), page 87 of the Annual Report (PDF page 89)</t>
  </si>
  <si>
    <t xml:space="preserve">Purchase of fixed assets, including CWIP and capital advances (Net): year ended 31 March 2021 vs 31 March 2020</t>
  </si>
  <si>
    <t xml:space="preserve">89</t>
  </si>
  <si>
    <t xml:space="preserve">AI (high confidence), from Step 2 answer (Partially Answered) and BMRCL-01: I left the score blank. A person needs to score this question.
**The capital spending figure checks out.** BMRCL-01 (the audited FY 2020-21 Cash Flow Statement) shows ₹4,65,409.46 lakh, about ₹4,654.09 crore, as net purchase of fixed assets, capital work-in-progress (CWIP) and capital advances. FY 2019-20 was ₹6,31,413.09 lakh.
**The population figures check out.** BMRCL-21 gives:
- Bangalore district: 96,21,551 (para 110)
- Greater Bangalore: 8.4 million in Census 2011 (para 57)
**Illustrative per-person figures** (not usable for scoring):
- About ₹4,837 per person using the district population.
- About ₹5,541 per person using the 8.4 million Greater Bangalore figure.
**Why I gave no score:**
1. The method converts the absolute figure into a percentile or decile rank against other assessed parastatals of the same type (metro or transport bodies). No such comparison set is in the Citation Sheet, so there is nothing to turn the figure into a 0-10 score.
2. FY 2020-21 is not the latest completed financial year, and it was affected by COVID. My search of the Citation Sheet found no later BMRCL accounts.
3. The population is a Census 2011 figure quoted in a lender's environmental impact assessment (BMRCL-21). It is not an official Census publication or a current official projection. It is also unclear which area the metro serves: the city corporation, the district or the metro region.
4. The CAG comments in BMRCL-01 flag misstatements: land understated by ₹61.63 crore, CWIP overstated by ₹294.49 crore, and the financing section of the cash flow statement presented incorrectly. These could slightly change the capital figure.
**What a person needs before scoring:**
- BMRCL's latest audited annual report (FY 2023-24 or 2024-25) for capital spending.
- An official population projection for the defined service area.
- Per-capita capital spending figures for the other assessed metro or transport parastatals, to build the percentile or decile rank.
Quote: "Purchase of fixed assets, including CWIP and capital advances (Net) (465409.46) (631413.09)"
"Score" left blank: the Citation Sheet doesn't decide it.</t>
  </si>
  <si>
    <t xml:space="preserve">AI: left for a person. Step 2 found no evidence (Insufficient Evidence). Source needed: Two things are needed for at least 2 (ideally 3) recent financial years: BWSSB's annual budget documents (the annual financial statement of estimated capital and revenue receipts and expenditure under Section 17 of the BWSSB Act, or the Board-approved budget with budget estimates, revised estimates and actuals), and BWSSB's audited annual accounts for the same years. These would allow budgeted and actual totals to be compared side by side. Alternatively, a CAG or state audit report that compares BWSSB's budget with its actuals would do.</t>
  </si>
  <si>
    <t xml:space="preserve">AI: left for a person. Step 2 found no evidence (Insufficient Evidence). Source needed: BMTC's annual budget documents (budget estimates, and revised estimates if any) for at least 2 and ideally 3 recent financial years, for example FY 2021-22 to FY 2023-24. These need to be compared with BMTC's audited annual accounts for the same years, from the Corporation's annual report or accounts certified by the CAG or state audit. Karnataka's budget or demand-for-grants documents showing BMTC's budget estimates and actuals could also be used.</t>
  </si>
  <si>
    <t xml:space="preserve">AI: left for a person. Step 2 found no evidence (Insufficient Evidence). Source needed: BDA's approved budget estimates for each financial year (ideally FY2021-22 to FY2023-24, or other recent years). For the same years, the matching actual figures: BDA's audited annual statements of accounts under Section 47, or Revised/Actuals columns in later budget books. These could be the BDA budget books, BDA annual reports with audited accounts, or the audit reports on BDA laid before the Karnataka Legislature.</t>
  </si>
  <si>
    <t xml:space="preserve">AI: left for a person. Step 2 found no evidence (Insufficient Evidence). Source needed: Two things are needed for at least 2 (ideally 3 and up to 5) recent financial years. First, BMRCL's approved annual budgets (Budget Estimates or Revised Estimates). These would come from the Board-approved budget, the budget documents of the Government of Karnataka Urban Development Department showing BMRCL allocations, or the MoHUA demand for grants. Second, BMRCL's audited annual accounts or annual reports for the same years, showing actual receipts and expenditure. Both must be on the same basis (revenue and/or capital) so they can be compared side by side. Annual reports for FY 2021-22 onwards would also give more recent actuals.</t>
  </si>
  <si>
    <t xml:space="preserve">AI: left for a person. Step 2 found no evidence (Insufficient Evidence). Source needed: To score this, we need BMRDA's annual budget documents for at least 2, and ideally 3, recent financial years, for example 2021-22 to 2023-24. These should show the budget estimates (or revised estimates) for receipts and spending. We also need the audited annual accounts for the same years, so the budget and actual figures can be set side by side. Possible sources are the 'Budget' and 'Annual Report' documents on BMRDA's 'Budget and Annual Reports' page, the 2023-24 Annual Report, the audited statements of accounts under Section 16, or the Karnataka Urban Development Department's budget papers.</t>
  </si>
  <si>
    <t xml:space="preserve">Chapter III – The Board's Finance, Accounts and Audit</t>
  </si>
  <si>
    <t xml:space="preserve">Section 17</t>
  </si>
  <si>
    <t xml:space="preserve">Sub-section (1)</t>
  </si>
  <si>
    <t xml:space="preserve">AI (high confidence), from Step 2 answer (Answered — Verified Source) and BWSSB-04: Score: 0. BWSSB's enabling Act, the Bangalore Water Supply and Sewerage Act, 1964 (BWSSB-04), does not require a fiscal plan covering 3-5 years or more than 5 years. The Board's planning duties written with 'shall' are all for one year. Section 17(1) requires an annual financial statement of estimated capital and revenue receipts and expenditure 'for the ensuing year'. Section 18 limits spending to what was included in that annual statement. Section 86(2) requires an annual report covering the previous financial year and the activities likely 'in the next financial year'. The other finance provisions are tariff principles (Section 16), borrowing, which the Board 'may' do with State sanction (Section 21), the depreciation reserve (Section 24), the improvement reserve (Section 24A) and accounts and audit (Section 25). None of them sets a multi-year fiscal plan. Section 16(1)(c) mentions financing 'normal year to year improvements', but that is a tariff-setting principle, not a plan with a set horizon.
The Greater Bengaluru Governance Act, 2024 (BWSSB-29) does require a medium-term fiscal plan. Section 187(2) requires projections for 'three years', while the definition in Section 2(42) says 'five years'. However, Section 187(1) places this duty on the Mayor for the City Corporation only, not on BWSSB. The Act names BWSSB only as a 'public authority' (Section 2(54)), and that is not BWSSB's enabling Act. The JICA reports (BWSSB-22 and BWSSB-23) recommend long-term financial planning, but they are recommendations, not legal mandates. I checked the Step 2 answer against the source and it holds.
To check: the copy of the Act used here is the FAOLEX one, and its amendment history only goes up to Act 18 of 1984. Someone should confirm against the current official Karnataka text of the Act that no later amendment added a multi-year fiscal plan requirement.
Quote: "17. Annual financial statement. —(1) In February of each year the Board shall submit to the State Government a statement in the form prescribed by 1[regulations]1 of the estimated capital and revenue receipts and expenditure for the ensuing year."</t>
  </si>
  <si>
    <t xml:space="preserve">Insight 5 (page 4)</t>
  </si>
  <si>
    <t xml:space="preserve">Discussion of the Road Transport Corporations Act, 1950 as BMTC's governing Act</t>
  </si>
  <si>
    <t xml:space="preserve">AI (medium confidence), from Step 2 answer (Partially Answered) and BMTC-22: Proposed score: 0. BMTC's enabling law does not appear to require a medium-term (3-5 year) or long-term (more than 5 year) fiscal plan. Janaagraha's Financial Brief on BMTC (BMTC-22, page 1) says BMTC is governed by the Road Transport Act 1950. Page 4 says this Act 'does not demand for preparation of medium fiscal term plans' covering 3-5 years. The brief recommends that BMTC 'should mandate a 5 year Medium Term Fiscal Plan as the basis for annual budgets and operating plans.' That recommendation only makes sense if no such legal requirement existed when the brief was written (around 2017-18; the dated version, BMTC-28, is from 16.10.2018). The Step 2 answer matches the source.
The BMLTA Act 2022 (BMTC-23) was not credited. It requires a five-year City Mobility Investment Program (Section 2(g) and Section 24), but this is a mobility investment program prepared by the Authority. It is not a fiscal plan for BMTC, and it is not in BMTC's enabling Act, which is what the methodology asks for.
Limitation: the Citation Sheet does not contain the text of the Road Transport Corporations Act, 1950. A search for its financial-programme provisions found nothing. This finding therefore rests on a secondary source, not on the statute itself. A person should check the Act directly, in particular its annual financial programme or budget provisions (I recall this as Section 31 of the 1950 Act, but did not check it). As I understand it, that provision covers only one year and would not count as a medium-term or long-term plan. They should also check whether any later amendment adds a multi-year fiscal plan.
Quote: "The Act also does not demand for preparation of medium fiscal term plans which facilitates sound financial planning for 3-5 years duration based on which annual plans can be drawn up."</t>
  </si>
  <si>
    <t xml:space="preserve">Chapter V – Property and Finance</t>
  </si>
  <si>
    <t xml:space="preserve">Section 42 (read with Sections 43–47A)</t>
  </si>
  <si>
    <t xml:space="preserve">42(1)</t>
  </si>
  <si>
    <t xml:space="preserve">AI (high confidence), from Step 2 answer (Answered — Verified Source) and BDA-02: Score 0. I checked the Step 2 answer against the source (BDA-02) and it holds up. The source is the BDA's own enabling Act: the Bangalore Development Authority Act, 1976, in a consolidated text from PRS Legislative Research. Its finance chapter (Chapter V) requires only a one-year budget:
- Section 42(1): the Commissioner 'shall' present an estimate of income and spending for the year starting the following 1 April.
- Section 43: the Authority 'shall' approve it, with or without changes.
- Section 44: the estimate goes to the State Government for approval.
- Section 45: the Authority 'may' prepare supplementary estimates during the year.
- Section 46: no spending is allowed outside an approved estimate.
- Sections 47 and 47A: yearly accounts, audit and reports.
No section requires a fiscal plan covering 3–5 years or more than 5 years. Section 27 does mention 'five years', but it is a deadline for carrying out a development scheme, not a fiscal plan. A search of the Citation Sheet found medium-term fiscal plan rules only in the Greater Bengaluru Governance Act, 2024 (BDA-11: Section 2(42), Sections 187 and 189). Those rules apply to the City Corporations, not to the BDA, so they can't be credited here. The methodology scores only the parastatal's own enabling Act.
One point for a reviewer to check: PRS warns that its consolidated copies may not include every amendment. Someone could confirm against the latest official Karnataka text, including recent amendments, that no multi-year fiscal-planning rule has been added.
Quote: "42. Laying of annual estimate of income and expenditure.- (1) The 1[Commissioner]1 shall, at a special meeting to be held not later than the first day of February in each year, lay before the Authority an estimate of the income and  of the expenditure of the Authority for the year commencing on the first  day of April then next ensuing in such detail and form as the Authority shall, from time to time, direct."</t>
  </si>
  <si>
    <t xml:space="preserve">Constitution of the Board</t>
  </si>
  <si>
    <t xml:space="preserve">s. 2(g), s. 2(o), s. 24(d), s. 25(1)(b)</t>
  </si>
  <si>
    <t xml:space="preserve">AI (high confidence), from Step 2 answer (Partially Answered) and BMRCL-01: Proposed score: 0 out of 5. No law in the Citation Sheet requires BMRCL to prepare a medium-term (3-5 year) or long-term (more than 5 year) fiscal plan.
Why BMRCL has no enabling Act: The source confirms the Step 2 answer. BMRCL-01 (Annual Report 2020-21) says BMRCL was incorporated under the Companies Act, 1956. It is a Government Company under Section 2(45) of the Companies Act, 2013, owned 50:50 by the Government of India and the Government of Karnataka. It was not created by a statute of its own. The Annual Report lists what governs the company: the Companies Act, the Memorandum and Articles of Association, the KTPP Act, CVC guidelines and others. None of these is cited as requiring a fiscal plan of a set length.
Other laws checked:
- BMRCL-15, the Metro Railways (Operation and Maintenance) Act, 2002, deals with operations and safety. No fiscal-plan duty was found in the parts searched.
- A search of the whole Citation Sheet found a medium-term fiscal plan in only one place: GBGA 2024 (BMRCL-34), s.2(42) and s.187. It is defined as a five-year plan prepared by the City Corporation, so it applies only to City Corporations, not BMRCL.
- BMLTA Act s.24 (BMRCL-35) mentions 'short to medium term' planning. That is an investment program prepared by or with the Authority. It sets no defined horizon and is not BMRCL's enabling Act.
What a reviewer should check: BMRCL's Memorandum and Articles of Association are not in the Citation Sheet. Neither are any Government of India or Government of Karnataka directions (for example, Metro Rail Policy conditions or MoU terms) that might require multi-year financial plans. These are company or policy documents, not an enabling Act, so they would probably not change the score.
Quote: "Your Company is a Government Company within the meaning of Section 2(45) of the Companies Act, 2013 (‘the Act’) and a 50:50 joint venture of Go vernment of India and Go vernment of K arnataka."</t>
  </si>
  <si>
    <t xml:space="preserve">Chapter IV (Finance)</t>
  </si>
  <si>
    <t xml:space="preserve">Section 12 (Budget); also Sections 11, 13-16 and Section 9(1)(ii),(vi)</t>
  </si>
  <si>
    <t xml:space="preserve">AI (high confidence), from Step 2 answer (Answered — Verified Source) and BMRDA-08: Score 0. BMRDA's enabling law, the BMRDA Act, 1985 (Karnataka Act 39 of 1985), does not require a fiscal plan covering 3-5 years or more than 5 years. I checked the Act's text myself and it supports the Step 2 answer. The only budget duty is in Section 12: the Authority 'shall prepare, every year' an annual budget estimate for 'the next financial year' only. That is a one-year budget, not a multi-year plan. The rest of the finance chapter has nothing on multi-year fiscal planning: the Fund (S.11), annual report (S.13), state subventions and loans with 'may' (S.14), borrowing with prior state sanction (S.15) and annual accounts and audit (S.16). Section 9(1)(ii) requires a spatial 'structure plan', and Section 9(1)(vi) is a function 'to raise finance for any project or scheme'. Neither sets a fiscal plan with a time horizon. The rule-making section (S.29) and regulation section (S.30) say 'may' and create no such duty. The draft Revised Structure Plan 2031 (BMRDA-05) mentions 5-year programmes, but it is a draft by consultants, not the enabling Act, so it cannot earn credit under this methodology. A search of the Citation Sheet for multi-year fiscal planning found nothing in the Act. Points for a human reviewer to check: (1) The copy of the Act in the Citation Sheet is hosted by India Water Portal, not an official site. The 'BMRDA Act 1985' PDF listed on the official BMRDA website is not in the Citation Sheet, so please compare against it. (2) Check that no later amendment, rules or regulations add a multi-year fiscal plan requirement. The copy is described as 'with amendments' and shows none.
Quote: "12.  Budget.-  The Authority shall prepare, every year, in such form and at such time as may be prescribed, an annual budget estimate in respect of the next financial year showing the estimated receipts and disbursements of the Authority and shall submit a copy thereof to the State Government."</t>
  </si>
  <si>
    <t xml:space="preserve">AI: left for a person. Step 2 found no evidence (Insufficient Evidence). Source needed: Pages from BWSSB's own website, either: (a) a page or PDF with a medium- or long-term fiscal plan, business plan or multi-year financial projections (for example 3–5 year receipts and expenditure projections) covering a recent year; or (b) a dated review of the website's budget, finance, publications and RTI sections showing that no such plan is posted, which would support a score of 0.</t>
  </si>
  <si>
    <t xml:space="preserve">AI: left for a person. Step 2 found no evidence (Insufficient Evidence). Source needed: BMTC's official website, especially any finance, budget, reports or disclosure section, checked now to see whether a medium-term (3-5 year) or long-term fiscal plan is published there. A BMTC board resolution or annual report that refers to a published fiscal plan would also help.</t>
  </si>
  <si>
    <t xml:space="preserve">AI: left for a person. Step 2 found no evidence (Insufficient Evidence). Source needed: BDA's official website, such as a Finance/Accounts or Budget page, or its proactive-disclosure page under RTI Section 4(1)(b). It should show whether a multi-year (3-5 year or longer) fiscal plan or projections document is published, or confirm after a full check that none is. BDA annual budget documents with multi-year projections would also help.</t>
  </si>
  <si>
    <t xml:space="preserve">AI: left for a person. Step 2 found no evidence (Insufficient Evidence). Source needed: Two things would settle this. First, a fiscal plan, corporate plan or business plan covering 3–5 years or more, published on BMRCL's official website, with projected receipts and expenditure, financing and debt service, would support a score of 5. Second, a documented check of BMRCL's website (its finance, annual reports, RTI/proactive disclosure and publications pages) showing that no such plan is published would support a score of 0.</t>
  </si>
  <si>
    <t xml:space="preserve">BMRDA official website, English home page, 'Department Documents' menu</t>
  </si>
  <si>
    <t xml:space="preserve">Menu items 'Budget and Annual Reports' and 'Budget' (https://bmrda.karnataka.gov.in/44/budget/en)</t>
  </si>
  <si>
    <t xml:space="preserve">AI (low confidence), from Step 2 answer (Partially Answered) and BMRDA-02: I left the Score blank because the Citation Sheet does not settle the question, and Step 2's score of 0 is not safe yet. Step 2 based the 0 on nothing appearing in BMRDA's website menus. But the full BMRDA-02 capture (BMRDA's official English home page) has a 'Department Documents' menu that Step 2 did not mention. It contains a 'Budget and Annual Reports' page (/40/budget-and-annual-reports/en) and a separate 'Budget' page (/44/budget/en), plus a 2023-24 Annual Report PDF. Neither the Budget page nor the annual report was opened, so the Citation Sheet does not show what they contain. They may hold only an annual budget, which would not count: Section 12 of the BMRDA Act, 1985 (BMRDA-08) only says the Authority 'shall prepare, every year ... an annual budget estimate in respect of the next financial year', and does not require a multi-year plan. They could also hold multi-year projections or a medium-term plan. Other points: (1) The Revised Structure Plan 2031 (BMRDA-05) is a spatial plan for the region, not a fiscal plan of BMRDA's own money, and the copy in the sheet comes from a third-party host (OpenCity), so it cannot earn the 5. (2) Nothing else in the Citation Sheet shows a medium-term (3-5 year) or long-term fiscal plan. What a person needs to do: open https://bmrda.karnataka.gov.in/44/budget/en, https://bmrda.karnataka.gov.in/40/budget-and-annual-reports/en and the 2023-24 Annual Report PDF (all three URLs appear in BMRDA-02). If they hold only annual budget estimates or actuals, score 0. If a fiscal plan covering 3 or more years is published there, score 5.
Quote: "[https://bmrda.karnataka.gov.in/40/budget-and-annual-reports/en] Budget and Annual Reports [https://bmrda.karnataka.gov.in/storage/pdf-files/2023-24 Anual Report.pdf] Annual Report"
"Score" left blank: the Citation Sheet doesn't decide it.</t>
  </si>
  <si>
    <t xml:space="preserve">Chapter II (Constitution of the Board)</t>
  </si>
  <si>
    <t xml:space="preserve">Section 4 (term of office); also Section 3(4), Section 6 and Section 87(2)(a)</t>
  </si>
  <si>
    <t xml:space="preserve">Section 4; Section 6(1)(e) and 6(5) cover removal</t>
  </si>
  <si>
    <t xml:space="preserve">AI (medium confidence), from Step 2 answer (Partially Answered) and BWSSB-04: I scored this 0 because the Act does not set a minimum term for BWSSB's head, and the rules that would set one are not in the Citation Sheet.
**What the Act says**
- **No separate executive head:** The Bangalore Water Supply and Sewerage Act, 1964 (FAOLEX copy) creates no Managing Director, CEO or Commissioner. The Secretary and Chief Engineer under Section 12 are Board staff. The State Government appoints the Chairman from among the Board members under Section 3(4), so I treated the Chairman as the executive authority.
- **Term of office:** Section 4 gives no term. It leaves the period of office to the rules ('as may be prescribed by the rules'). Section 87(2)(a) only says the rules 'may provide for' the Chairman's term. Nothing in the Act sets a minimum period.
- **Removal:** The test for a score of 10 also fails here. Some removal grounds depend on the government's opinion, such as Section 6(1)(e)(iv), 'is otherwise unfit to continue as a member'. Section 6(5) also lets the government remove the Chairman and all members if the Board fails to carry out its functions or to follow government directions under Section 89. Section 6(3) does require that the member first be given a chance to explain.
**Other sources:** I searched the sheet for rules on the Chairman's term and found nothing. The Greater Bengaluru Governance Act 2024/25 (BWSSB-29, BWSSB-30) does not deal with the BWSSB Chairman's tenure.
**For the reviewer to check**
- Get the BWSSB rules made under Section 87, the State Government notification on the Chairman's term, and the Chairman's appointment order. If the rules set a fixed minimum term, the score could rise to 5, or to 10 only if removal were limited to defined grounds. Given Section 6(5), 10 looks unlikely.
- Confirm that the Chairman, usually a serving IAS officer, really is the Board's administrative head in practice.
- Confirm that the FAOLEX copy includes all later amendments.
**Agreement with Step 2:** This matches the Step 2 provisional score of 0. Confidence is medium because the rules are missing.
Quote: "4. Term of office and conditions for re-appointment of members of Board. —The Chairman and other members of the Board shall hold office for such period, and shall be eligible for re-appointment under such conditions, as may be prescribed by the rules."</t>
  </si>
  <si>
    <t xml:space="preserve">AI: left for a person. Step 2 found no evidence (Insufficient Evidence). Source needed: Three documents are needed: (1) the full text of the Road Transport Corporations Act, 1950, especially the sections on the corporation's composition and on appointing and removing the chief executive or Managing Director; (2) the Karnataka Government rules made under that Act, and the government order setting up BMTC (1997), which set the term, conditions of service and removal of BMTC's directors and Managing Director; (3) any Karnataka rule or order fixing a minimum tenure for IAS officers posted as heads of state undertakings, such as a civil services board or minimum-tenure rule under the All India Services (Cadre) Rules.</t>
  </si>
  <si>
    <t xml:space="preserve">Chapter II – The Bangalore Development Authority</t>
  </si>
  <si>
    <t xml:space="preserve">Section 12 (Appointment of Commissioner), read with Section 13(1) and Sections 3(3)(m), 5(1) and 6</t>
  </si>
  <si>
    <t xml:space="preserve">Section 12(1)-(3)</t>
  </si>
  <si>
    <t xml:space="preserve">23</t>
  </si>
  <si>
    <t xml:space="preserve">AI (high confidence), from Step 2 answer (Answered — Verified Source) and BDA-02: Score: 0. The BDA Act does not set a minimum tenure for the Commissioner, so the methodology's 0 band applies. Checked against BDA-02, the PRS consolidated text including amendments up to Act 42 of 2026.
1. The Commissioner is the executive head. Section 13(1) says the Commissioner "shall be the Chief Executive and Administrative Officer of the Authority". This post is what the question asks about. The Chairman is excluded under the methodology.
2. Section 12 is the only appointment provision. It covers only:
- the rank of the officer (not below Divisional Commissioner);
- salary and allowances, as the State Government decides;
- leave, granted by the Government.
It sets no term of office, no minimum tenure and no limited grounds for removal or transfer.
3. The Commissioner is an ex-officio member of the Authority under Section 3(3)(m). Section 5(1) gives "the Chairman and other members" a three-year term, but only "Subject to the pleasure of the Government and the provisions of section 6". That term is for membership of the Authority, not for the office of Commissioner. An ex-officio seat goes with the office, so it does not protect how long a person stays Commissioner. Even if it were read as applying, the 'pleasure' clause means removal is not limited to defined grounds. So it would not earn 10, and it is not a mandated minimum for the executive post.
4. Act 42 of 2026 changes only Sections 10 and 38D. Section 12 is unchanged.
5. The Step 2 answer matches the source.
Points for a reviewer to check:
- PRS warns that its consolidated copy is not the authoritative text.
- The Citation Sheet has no rules, regulations or service or cadre rules (for example, IAS or Karnataka civil-service tenure or transfer rules) that might set a minimum posting tenure. A search of the sheet found none.
- BDA-11 (Greater Bengaluru Governance Act) covers a different body and was not used.
Quote: "12. Appointment of Commissioner.-  (1) The State  Government shall appoint an officer, not  below the rank of Divisional Commissioner, to be the Commissioner  for  the Authority. (2) The Commissioner shall receive such  monthly salary  and other allowances as the State Government may, from time to time determine."</t>
  </si>
  <si>
    <t xml:space="preserve">Corporate Governance Report (Board's Report, BMRCL Annual Report 2020-21)</t>
  </si>
  <si>
    <t xml:space="preserve">Summary of the Articles of Association on rights to nominate and appoint the Chairman and the MD &amp; CEO (about pages 47-48 of the PDF)</t>
  </si>
  <si>
    <t xml:space="preserve">AI: left for a person. Step 2 found no evidence (Human Verification Required). Source needed: BMRCL's Memorandum and Articles of Association, especially the articles on appointing, setting the term of and removing the Managing Director. Also any Government of Karnataka order or rules on the MD's tenure. Neither is in the Citation Sheet, so we cannot confirm directly that the governing instruments set no minimum tenure.</t>
  </si>
  <si>
    <t xml:space="preserve">AI: left for a person. Step 2 found no evidence (Insufficient Evidence). Source needed: Dated records of who held the BWSSB Chairman post over the last five years, with appointment and transfer dates and whether each officer held full or only additional/acting charge. Suitable sources: Karnataka Government (DPAR) orders or Gazette notifications appointing or transferring IAS officers as BWSSB Chairman, a list of past Chairmen on BWSSB's official website, or dated newspaper reports of each appointment or transfer.</t>
  </si>
  <si>
    <t xml:space="preserve">AI: left for a person. Step 2 found no evidence (Insufficient Evidence). Source needed: A dated record of who has been BMTC's Managing Director over the last five years (about 2020–2025). Suitable sources: Karnataka government orders or Gazette notifications appointing or transferring IAS officers as BMTC Managing Director (from the Department of Personnel and Administrative Reforms); a list of past Managing Directors with their tenure dates on BMTC's website or in its annual administration reports; or dated newspaper reports of each appointment or transfer. Each should also show whether any officer held only additional or acting charge, which the methodology says must be recorded separately.</t>
  </si>
  <si>
    <t xml:space="preserve">AI: left for a person. Step 2 found no evidence (Insufficient Evidence). Source needed: Dated records of who served as BDA Commissioner over the last five years (about 2021 to 2026). Suitable sources: Karnataka Government (DPAR) transfer and posting orders or Gazette notifications appointing BDA Commissioners; a BDA website page listing past Commissioners with their dates; or newspaper reports of each appointment and transfer. These records should also show whether any officer held only additional or acting charge.</t>
  </si>
  <si>
    <t xml:space="preserve">Board's Report – General Information</t>
  </si>
  <si>
    <t xml:space="preserve">Appointment of Managing Director and Director after the end of the Financial year 31.03.2021</t>
  </si>
  <si>
    <t xml:space="preserve">Page 39 of the PDF (page 37 of the report); also the Board of Directors list on page 4 of the PDF</t>
  </si>
  <si>
    <t xml:space="preserve">39</t>
  </si>
  <si>
    <t xml:space="preserve">AI (medium confidence), from Step 2 answer (Partially Answered) and BMRCL-01: I have left the Score blank because the Citation Sheet only covers Managing Director (MD) changes up to about August 2021. It cannot show how many MDs served in the full five-year window up to now.
What the source does show:
- BMRCL-01 is BMRCL's Annual Report 2020-21, laid before the Karnataka Legislative Council. Its Organizational set-up section says 'The Managing Director is the Chief Executive Officer of the Company', so the MD is the right post to assess.
- The report records three MD holders: Ajay Seth (MD 'upto 09.04.2021'), then Rakesh Singh, Additional Chief Secretary of the Urban Development Department, on concurrent charge from 9 April 2021, then Anjum Parwez, nominated MD 'with effect from 15th July 2021 in place of Shri Rakesh Singh'.
- As the methodology requires, Rakesh Singh's concurrent (additional) charge is recorded separately.
- So at least two regular chief executives (Seth and Parwez) fall within the period. That rules out a score of 10.
What is missing:
- No source on the Sheet records MD appointments or transfers after July 2021. I searched for later MD names and found nothing beyond BMRCL-01.
- The other sources (GBGA 2024, BMLTA Act 2022, KTCP Act, Metro Railways Act, Metro Rail Policy 2017, EIA) say nothing about who held the MD post.
- Without that, I cannot tell whether the total stays at 2–3 (score 5) or goes above 3 (score 0).
What a person should check: later BMRCL annual reports (2021-22 onward), Government of Karnataka notifications appointing or transferring the MD, or the MD history on the BMRCL website. Count the regular MDs and the acting/concurrent charges across the five-year window.
- If nobody replaced Anjum Parwez after July 2021, the score would be 5.
- If two or more further regular MDs were appointed, the score would probably be 0.
I agree with the Step 2 answer, and the source supports it.
Quote: "Shri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
"Score" left blank: the Citation Sheet doesn't decide it.</t>
  </si>
  <si>
    <t xml:space="preserve">AI: left for a person. Step 2 found no evidence (Insufficient Evidence). Source needed: A dated list of every Metropolitan Commissioner over the last five years, with start and end dates and a note of any additional or acting charge. Sources that would give this: Karnataka government orders or gazette notifications on the appointment and transfer of IAS officers to the post (from the DPAR / Urban Development Department), a list of past Metropolitan Commissioners on the BMRDA website, BMRDA annual reports that name the Commissioner each year, or dated newspaper reports of appointments and transfers.</t>
  </si>
  <si>
    <t xml:space="preserve">Chapter 2, Section 2.2.3 Relevant Organizations to the Sectors, (3) BWSSB (page 2-38, PDF page 116)</t>
  </si>
  <si>
    <t xml:space="preserve">Table 2.2.11 Present Number of BWSSB Permanent Staff (Source: BWSSB as of August, 2017)</t>
  </si>
  <si>
    <t xml:space="preserve">Total row: Sanctioned 3,501 / Actual working 2,157 / Vacancy 1,344</t>
  </si>
  <si>
    <t xml:space="preserve">116</t>
  </si>
  <si>
    <t xml:space="preserve">AI (medium confidence), from Step 2 answer (Partially Answered) and BWSSB-22: I scored 3 out of 5. Of 3,501 sanctioned permanent posts, 2,157 were filled, a fill rate of 61.6%. That falls in the methodology's 60–74% band. I checked the figures against the source. Table 2.2.11 in the JICA Phase 3 Final Report, which credits BWSSB as of August 2017, gives these figures by group (sanctioned / working): A 207/146, B 310/190, C 1,935/1,241, D 1,049/580. Total: 3,501/2,157, with 1,344 vacant. The roughly 2,000 outsourced workers are left out because nothing shows they are part of the approved staffing structure. As a cross-check, the Step 2 answer reports 2,203 filled out of 3,500 sanctioned (62.9%) in BWSSB-23 as of January 2017. That would also score 3. I did not re-read BWSSB-23 myself.
Points a person should check:
(1) The report says GoK approved another 211 permanent posts in 2016-17. If these are not already in the 3,501, the sanctioned total would be 3,712. The fill rate would then be 58.1%, which scores 2.
(2) The same paragraph is internally inconsistent: the text says the table shows staff 'as of year 2015', but the table's source line says 'August, 2017'.
(3) The data is about eight years old. It comes from a JICA consultant report that reproduces BWSSB's figures, not from a BWSSB publication. It also predates BWSSB's expansion and the Greater Bengaluru Governance Act, 2024. For an Implementation question this is weak evidence of current staffing.
(4) The PAC 2016 assessment (BWSSB-32) only records officers' reports of staff shortages. The other sources in the Citation Sheet have no staffing figures.
Current figures on sanctioned and filled posts (for example from an annual report or an RTI request) should be obtained to confirm the score.
Quote: "A total of 3,501 persons with positions were approved by GoK, however, only 2,157 persons were employed and there are still vacant staff, as shown in the balance column (total of 1,344)."</t>
  </si>
  <si>
    <t xml:space="preserve">AI: left for a person. Step 2 found no evidence (Insufficient Evidence). Source needed: The sanctioned or approved staff strength for BMTC, alongside its working (filled) strength, both as of the same recent date. Separate figures for permanent staff and for contractual or outsourced staff that are part of the approved structure would also help. Suitable sources: BMTC's latest Annual Administration Report or annual accounts with a sanctioned-versus-working staff table; BMTC's RTI Section 4(1)(b) disclosures; a Karnataka Transport Department statement or Legislative Assembly reply on vacancies; or an RTI reply or formal data request to BMTC. The RTI portal (BMTC-41) is only a route for filing a request and contains no data itself.</t>
  </si>
  <si>
    <t xml:space="preserve">AI: left for a person. Step 2 found no evidence (Insufficient Evidence). Source needed: A recent, dated staffing record from BDA showing sanctioned posts against filled posts, broken down by cadre or post. It should cover permanent staff, officers on deputation, and contract or outsourced staff where they are part of the approved structure. Possible sources: the staff table in BDA's proactive disclosure under RTI Act Section 4(1)(b); a BDA annual report; a Government Order sanctioning BDA's staff schedule under Section 49 together with current working-strength figures; an RTI reply or formal data request; or Karnataka Legislative Assembly answers or Urban Development Department documents giving BDA vacancy figures.</t>
  </si>
  <si>
    <t xml:space="preserve">AI: left for a person. Step 2 found no evidence (Insufficient Evidence). Source needed: A dated official record of BMRCL's sanctioned posts next to the posts actually filled, covering regular, deputation and contract posts in both the Project and O&amp;M Wings. This could be a recent annual report with a sanctioned-versus-working staff table, BMRCL's RTI Act Section 4(1)(b) disclosure listing posts, a government order sanctioning posts (including Phase-2 posts), or an RTI reply or formal data request to BMRCL.</t>
  </si>
  <si>
    <t xml:space="preserve">Contact Us page (official BMRDA website)</t>
  </si>
  <si>
    <t xml:space="preserve">Officer directory table (Name / Designation / Office Number)</t>
  </si>
  <si>
    <t xml:space="preserve">AI (low confidence), from Step 2 answer (Partially Answered) and BMRDA-01: I left the Score blank because the sources don't give BMRDA's approved staffing. To score this question we need the number of sanctioned posts and the number filled. No source has that.
What the sources do show:
- The only staffing data is the officer table on BMRDA's Contact Us page (BMRDA-01). I checked it against the page. It lists 18 officer posts. 8 have a named officer: Metropolitan Commissioner, Metropolitan Planner and Director, Additional Metropolitan Commissioner, Joint Metropolitan Commissioner, two Joint Directors, one of the four Assistant Directors and the Accounts Officer. The other 10 are marked 'Vacant': Additional Director, Deputy Metropolitan Commissioner, all four Deputy Directors, three Assistant Directors and the Account Superintendent.
- That gives a fill rate of 8 / 18 = 44.4% for these posts. That would fall in the Score 2 band (40%–59%).
Why I did not use that number:
- The table is a contact list, not a record of approved posts.
- It has no date.
- It covers only senior and middle officers. Clerical, technical, support and contract staff are missing.
- So the full fill rate cannot be worked out.
Other sources checked:
- My search of the whole sheet for sanctioned or working strength found nothing else.
- BMRDA-08, Section 8 of the 1985 Act, covers appointments ('shall appoint a Metropolitan Commissioner'; other posts 'may' be created). It gives no numbers.
- BMRDA-02, BMRDA-04 and BMRDA-05 have no staffing figures.
- I did not score 0. The 0 rule is for when there is no evidence of a staffing structure, and the contact list does show some posts.
What to do next: get BMRDA's table of sanctioned versus working staff. It may be in the 2023-24 Annual Report, the RTI Section 4(1)(b) disclosure (the posted one is 2019-20) or the Cadre and Recruitment Rules 2008. These are linked from the website but their contents are not on the Citation Sheet. An RTI request or a direct data request would also work. If reviewers accept the contact list as a stand-in, the likely score is 2.
Quote: "Vacant Deputy Metropolitan Commissioner 080-22263479 Vacant Deputy Director 080-22263479"
"Score" left blank: the Citation Sheet doesn't decide it.</t>
  </si>
  <si>
    <t xml:space="preserve">AI: left for a person. Step 2 found no evidence (Insufficient Evidence). Source needed: Current, dated staffing records from BWSSB that split staff by gender. Any of these would answer it: (a) BWSSB's latest annual report or administration report with sanctioned and working strength by sex; (b) an RTI reply or formal data request giving the number of women and men in filled posts, broken down by Group A/B/C/D or by cadre (engineering/technical vs administrative), plus the number of women in senior posts (EE/DCE and above, Chief Engineers, Board members); (c) a Government of Karnataka staffing or establishment return covering BWSSB.</t>
  </si>
  <si>
    <t xml:space="preserve">AI: left for a person. Step 2 found no evidence (Insufficient Evidence). Source needed: Recent official BMTC staffing data broken down by gender, for example: (a) the latest BMTC Annual Administration Report or Annual Report with a table of filled posts or working strength by sex and cadre; (b) BMTC's RTI Section 4(1)(b) disclosure listing employees by gender; or (c) an RTI reply or formal data request to BMTC giving the number of women employees, total filled posts, and the number of women in senior/decision-making and technical cadres (e.g. drivers, mechanics, engineers), with a reference date.</t>
  </si>
  <si>
    <t xml:space="preserve">AI: left for a person. Step 2 found no evidence (Insufficient Evidence). Source needed: Recent official BDA staffing records showing the total number of filled posts and how many are held by women, ideally also broken down by cadre (senior/decision-making and technical/professional). Possible sources: a BDA annual report with an establishment or staff table, the staff list or directory published under Section 4(1)(b) of the RTI Act, a reply to an RTI request, or a formal data request to BDA's Establishment/Administration section.</t>
  </si>
  <si>
    <t xml:space="preserve">AI: left for a person. Step 2 found no evidence (Insufficient Evidence). Source needed: We need a count of employees by gender: the number of women among all filled posts in both the Project and O&amp;M Wings, ideally split by grade (Executive Director and above, General Managers, engineers and other technical staff, non-executives). This could come from a recent BMRCL annual report or HR statement that reports gender, a staff list on BMRCL's website, an RTI reply, or a formal data request to BMRCL.</t>
  </si>
  <si>
    <t xml:space="preserve">AI: left for a person. Step 2 found no evidence (Insufficient Evidence). Source needed: Dated staffing records for BMRDA that give total filled (working) posts and the number of women employees, ideally split by cadre or grade. Possible sources: the establishment or staff details in BMRDA's RTI Section 4(1)(b) disclosure (the copy linked from the website is dated 2019-20), BMRDA's latest annual report (2023-24 is linked from the website), the Karnataka HRMS establishment data, or an RTI reply or formal data request to BMRDA.</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</si>
</sst>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1F4E9C"/>
      <name val="Cambria"/>
      <family val="0"/>
      <charset val="1"/>
    </font>
    <font>
      <b val="true"/>
      <sz val="14"/>
      <name val="Cambria"/>
      <family val="0"/>
      <charset val="1"/>
    </font>
    <font>
      <i val="true"/>
      <sz val="11"/>
      <name val="Cambria"/>
      <family val="0"/>
      <charset val="1"/>
    </font>
    <font>
      <b val="true"/>
      <u val="single"/>
      <sz val="11"/>
      <color rgb="FF1F4E9C"/>
      <name val="Cambria"/>
      <family val="0"/>
      <charset val="1"/>
    </font>
    <font>
      <b val="true"/>
      <sz val="9"/>
      <name val="Cambria"/>
      <family val="0"/>
      <charset val="1"/>
    </font>
    <font>
      <sz val="11"/>
      <color theme="1"/>
      <name val="Noto Sans"/>
      <family val="2"/>
      <charset val="1"/>
    </font>
  </fonts>
  <fills count="7">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FF6D5"/>
      </patternFill>
    </fill>
    <fill>
      <patternFill patternType="solid">
        <fgColor rgb="FFFFF6D5"/>
        <bgColor rgb="FFFFF2B3"/>
      </patternFill>
    </fill>
    <fill>
      <patternFill patternType="solid">
        <fgColor rgb="FFE7E6E6"/>
        <bgColor rgb="FFDDE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DDE7F0"/>
          <bgColor rgb="FF000000"/>
        </patternFill>
      </fill>
    </dxf>
    <dxf>
      <fill>
        <patternFill patternType="solid">
          <bgColor rgb="FF000000"/>
        </patternFill>
      </fill>
    </dxf>
    <dxf>
      <fill>
        <patternFill patternType="solid">
          <fgColor rgb="FF1F4E9C"/>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C6E7C1"/>
        </patternFill>
      </fill>
    </dxf>
    <dxf>
      <fill>
        <patternFill>
          <bgColor rgb="FFFBD5B5"/>
        </patternFill>
      </fill>
    </dxf>
    <dxf>
      <fill>
        <patternFill>
          <bgColor rgb="FFF4B6B6"/>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6D5"/>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7C1"/>
      <rgbColor rgb="FFFFF2B3"/>
      <rgbColor rgb="FF99CCFF"/>
      <rgbColor rgb="FFF4B6B6"/>
      <rgbColor rgb="FFCC99FF"/>
      <rgbColor rgb="FFFBD5B5"/>
      <rgbColor rgb="FF3366FF"/>
      <rgbColor rgb="FF33CCCC"/>
      <rgbColor rgb="FF99CC00"/>
      <rgbColor rgb="FFF2C200"/>
      <rgbColor rgb="FFFF9900"/>
      <rgbColor rgb="FFFF6600"/>
      <rgbColor rgb="FF666699"/>
      <rgbColor rgb="FF969696"/>
      <rgbColor rgb="FF003366"/>
      <rgbColor rgb="FF2E9C5A"/>
      <rgbColor rgb="FF003300"/>
      <rgbColor rgb="FF333300"/>
      <rgbColor rgb="FF993300"/>
      <rgbColor rgb="FF993366"/>
      <rgbColor rgb="FF1F4E9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C5A"/>
    <pageSetUpPr fitToPage="false"/>
  </sheetPr>
  <dimension ref="A1:R1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9"/>
    <col collapsed="false" customWidth="true" hidden="false" outlineLevel="0" max="10" min="10" style="0" width="14"/>
    <col collapsed="false" customWidth="true" hidden="false" outlineLevel="0" max="11" min="11" style="0" width="16"/>
    <col collapsed="false" customWidth="true" hidden="false" outlineLevel="0" max="12" min="12" style="0" width="20"/>
    <col collapsed="false" customWidth="true" hidden="false" outlineLevel="0" max="13" min="13" style="0" width="60"/>
    <col collapsed="false" customWidth="true" hidden="false" outlineLevel="0" max="14" min="14" style="0" width="36"/>
    <col collapsed="false" customWidth="true" hidden="false" outlineLevel="0" max="15" min="15" style="0" width="30"/>
    <col collapsed="false" customWidth="true" hidden="false" outlineLevel="0" max="16" min="16" style="0" width="50"/>
    <col collapsed="false" customWidth="true" hidden="false" outlineLevel="0" max="17" min="17" style="0" width="70"/>
    <col collapsed="false" customWidth="true" hidden="false" outlineLevel="0" max="18" min="18" style="0" width="50"/>
  </cols>
  <sheetData>
    <row r="1" customFormat="false" ht="31.5" hidden="false" customHeight="tru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row>
    <row r="2" customFormat="false" ht="93" hidden="false" customHeight="true" outlineLevel="0" collapsed="false">
      <c r="A2" s="3" t="s">
        <v>18</v>
      </c>
      <c r="B2" s="4" t="s">
        <v>19</v>
      </c>
      <c r="C2" s="4" t="s">
        <v>20</v>
      </c>
      <c r="D2" s="4" t="n">
        <f aca="false">IFERROR(UPD1a!L13,"")</f>
        <v>1.25</v>
      </c>
      <c r="E2" s="4" t="s">
        <v>21</v>
      </c>
      <c r="F2" s="5"/>
      <c r="G2" s="5"/>
      <c r="H2" s="6" t="str">
        <f aca="false">IF(OR(F2="",NOT(ISNUMBER(D2))),"",IF(ABS(F2-D2)&lt;0.001,"Yes","No"))</f>
        <v/>
      </c>
      <c r="I2" s="7" t="n">
        <f aca="false">IF(ISNUMBER(F2),F2,D2)</f>
        <v>1.25</v>
      </c>
      <c r="J2" s="6" t="str">
        <f aca="false">IF(ISNUMBER(F2),"Expert (overrides AI)",IF(ISNUMBER(D2),"AI","Not scored yet"))</f>
        <v>AI</v>
      </c>
      <c r="K2" s="4" t="s">
        <v>22</v>
      </c>
      <c r="L2" s="4" t="s">
        <v>23</v>
      </c>
      <c r="M2" s="4" t="s">
        <v>24</v>
      </c>
      <c r="N2" s="4" t="s">
        <v>25</v>
      </c>
      <c r="O2" s="4" t="s">
        <v>26</v>
      </c>
      <c r="P2" s="4" t="s">
        <v>27</v>
      </c>
      <c r="Q2" s="4" t="s">
        <v>28</v>
      </c>
      <c r="R2" s="4"/>
    </row>
    <row r="3" customFormat="false" ht="93" hidden="false" customHeight="true" outlineLevel="0" collapsed="false">
      <c r="A3" s="3" t="s">
        <v>18</v>
      </c>
      <c r="B3" s="4" t="s">
        <v>29</v>
      </c>
      <c r="C3" s="4" t="s">
        <v>20</v>
      </c>
      <c r="D3" s="4" t="str">
        <f aca="false">IFERROR(UPD1a!L14,"")</f>
        <v/>
      </c>
      <c r="E3" s="4" t="s">
        <v>21</v>
      </c>
      <c r="F3" s="5"/>
      <c r="G3" s="5"/>
      <c r="H3" s="6" t="str">
        <f aca="false">IF(OR(F3="",NOT(ISNUMBER(D3))),"",IF(ABS(F3-D3)&lt;0.001,"Yes","No"))</f>
        <v/>
      </c>
      <c r="I3" s="7" t="str">
        <f aca="false">IF(ISNUMBER(F3),F3,D3)</f>
        <v/>
      </c>
      <c r="J3" s="6" t="str">
        <f aca="false">IF(ISNUMBER(F3),"Expert (overrides AI)",IF(ISNUMBER(D3),"AI","Not scored yet"))</f>
        <v>Not scored yet</v>
      </c>
      <c r="K3" s="4" t="s">
        <v>30</v>
      </c>
      <c r="L3" s="4" t="s">
        <v>31</v>
      </c>
      <c r="M3" s="4" t="s">
        <v>32</v>
      </c>
      <c r="N3" s="4"/>
      <c r="O3" s="4"/>
      <c r="P3" s="4"/>
      <c r="Q3" s="4"/>
      <c r="R3" s="4" t="s">
        <v>33</v>
      </c>
    </row>
    <row r="4" customFormat="false" ht="93" hidden="false" customHeight="true" outlineLevel="0" collapsed="false">
      <c r="A4" s="3" t="s">
        <v>18</v>
      </c>
      <c r="B4" s="4" t="s">
        <v>34</v>
      </c>
      <c r="C4" s="4" t="s">
        <v>20</v>
      </c>
      <c r="D4" s="4" t="n">
        <f aca="false">IFERROR(UPD1a!L15,"")</f>
        <v>3.75</v>
      </c>
      <c r="E4" s="4" t="s">
        <v>21</v>
      </c>
      <c r="F4" s="5"/>
      <c r="G4" s="5"/>
      <c r="H4" s="6" t="str">
        <f aca="false">IF(OR(F4="",NOT(ISNUMBER(D4))),"",IF(ABS(F4-D4)&lt;0.001,"Yes","No"))</f>
        <v/>
      </c>
      <c r="I4" s="7" t="n">
        <f aca="false">IF(ISNUMBER(F4),F4,D4)</f>
        <v>3.75</v>
      </c>
      <c r="J4" s="6" t="str">
        <f aca="false">IF(ISNUMBER(F4),"Expert (overrides AI)",IF(ISNUMBER(D4),"AI","Not scored yet"))</f>
        <v>AI</v>
      </c>
      <c r="K4" s="4" t="s">
        <v>22</v>
      </c>
      <c r="L4" s="4" t="s">
        <v>31</v>
      </c>
      <c r="M4" s="4" t="s">
        <v>35</v>
      </c>
      <c r="N4" s="4" t="s">
        <v>36</v>
      </c>
      <c r="O4" s="4" t="s">
        <v>37</v>
      </c>
      <c r="P4" s="4" t="s">
        <v>38</v>
      </c>
      <c r="Q4" s="4" t="s">
        <v>39</v>
      </c>
      <c r="R4" s="4"/>
    </row>
    <row r="5" customFormat="false" ht="93" hidden="false" customHeight="true" outlineLevel="0" collapsed="false">
      <c r="A5" s="3" t="s">
        <v>18</v>
      </c>
      <c r="B5" s="4" t="s">
        <v>40</v>
      </c>
      <c r="C5" s="4" t="s">
        <v>20</v>
      </c>
      <c r="D5" s="4" t="n">
        <f aca="false">IFERROR(UPD1a!L16,"")</f>
        <v>0</v>
      </c>
      <c r="E5" s="4" t="s">
        <v>21</v>
      </c>
      <c r="F5" s="5"/>
      <c r="G5" s="5"/>
      <c r="H5" s="6" t="str">
        <f aca="false">IF(OR(F5="",NOT(ISNUMBER(D5))),"",IF(ABS(F5-D5)&lt;0.001,"Yes","No"))</f>
        <v/>
      </c>
      <c r="I5" s="7" t="n">
        <f aca="false">IF(ISNUMBER(F5),F5,D5)</f>
        <v>0</v>
      </c>
      <c r="J5" s="6" t="str">
        <f aca="false">IF(ISNUMBER(F5),"Expert (overrides AI)",IF(ISNUMBER(D5),"AI","Not scored yet"))</f>
        <v>AI</v>
      </c>
      <c r="K5" s="4" t="s">
        <v>22</v>
      </c>
      <c r="L5" s="4" t="s">
        <v>31</v>
      </c>
      <c r="M5" s="4" t="s">
        <v>41</v>
      </c>
      <c r="N5" s="4" t="s">
        <v>42</v>
      </c>
      <c r="O5" s="4" t="s">
        <v>43</v>
      </c>
      <c r="P5" s="4" t="s">
        <v>44</v>
      </c>
      <c r="Q5" s="4" t="s">
        <v>45</v>
      </c>
      <c r="R5" s="4"/>
    </row>
    <row r="6" customFormat="false" ht="93" hidden="false" customHeight="true" outlineLevel="0" collapsed="false">
      <c r="A6" s="3" t="s">
        <v>18</v>
      </c>
      <c r="B6" s="4" t="s">
        <v>46</v>
      </c>
      <c r="C6" s="4" t="s">
        <v>20</v>
      </c>
      <c r="D6" s="4" t="n">
        <f aca="false">IFERROR(UPD1a!L17,"")</f>
        <v>0</v>
      </c>
      <c r="E6" s="4" t="s">
        <v>21</v>
      </c>
      <c r="F6" s="5"/>
      <c r="G6" s="5"/>
      <c r="H6" s="6" t="str">
        <f aca="false">IF(OR(F6="",NOT(ISNUMBER(D6))),"",IF(ABS(F6-D6)&lt;0.001,"Yes","No"))</f>
        <v/>
      </c>
      <c r="I6" s="7" t="n">
        <f aca="false">IF(ISNUMBER(F6),F6,D6)</f>
        <v>0</v>
      </c>
      <c r="J6" s="6" t="str">
        <f aca="false">IF(ISNUMBER(F6),"Expert (overrides AI)",IF(ISNUMBER(D6),"AI","Not scored yet"))</f>
        <v>AI</v>
      </c>
      <c r="K6" s="4" t="s">
        <v>22</v>
      </c>
      <c r="L6" s="4" t="s">
        <v>31</v>
      </c>
      <c r="M6" s="4" t="s">
        <v>47</v>
      </c>
      <c r="N6" s="4" t="s">
        <v>48</v>
      </c>
      <c r="O6" s="4" t="s">
        <v>49</v>
      </c>
      <c r="P6" s="4" t="s">
        <v>50</v>
      </c>
      <c r="Q6" s="4" t="s">
        <v>51</v>
      </c>
      <c r="R6" s="4"/>
    </row>
    <row r="7" customFormat="false" ht="93" hidden="false" customHeight="true" outlineLevel="0" collapsed="false">
      <c r="A7" s="3" t="s">
        <v>52</v>
      </c>
      <c r="B7" s="4" t="s">
        <v>19</v>
      </c>
      <c r="C7" s="4" t="s">
        <v>53</v>
      </c>
      <c r="D7" s="4" t="n">
        <f aca="false">IFERROR(UPD1b!L13,"")</f>
        <v>5</v>
      </c>
      <c r="E7" s="4" t="s">
        <v>21</v>
      </c>
      <c r="F7" s="5"/>
      <c r="G7" s="5"/>
      <c r="H7" s="6" t="str">
        <f aca="false">IF(OR(F7="",NOT(ISNUMBER(D7))),"",IF(ABS(F7-D7)&lt;0.001,"Yes","No"))</f>
        <v/>
      </c>
      <c r="I7" s="7" t="n">
        <f aca="false">IF(ISNUMBER(F7),F7,D7)</f>
        <v>5</v>
      </c>
      <c r="J7" s="6" t="str">
        <f aca="false">IF(ISNUMBER(F7),"Expert (overrides AI)",IF(ISNUMBER(D7),"AI","Not scored yet"))</f>
        <v>AI</v>
      </c>
      <c r="K7" s="4" t="s">
        <v>22</v>
      </c>
      <c r="L7" s="4" t="s">
        <v>31</v>
      </c>
      <c r="M7" s="4" t="s">
        <v>54</v>
      </c>
      <c r="N7" s="4" t="s">
        <v>55</v>
      </c>
      <c r="O7" s="4" t="s">
        <v>56</v>
      </c>
      <c r="P7" s="4" t="s">
        <v>57</v>
      </c>
      <c r="Q7" s="4" t="s">
        <v>58</v>
      </c>
      <c r="R7" s="4"/>
    </row>
    <row r="8" customFormat="false" ht="93" hidden="false" customHeight="true" outlineLevel="0" collapsed="false">
      <c r="A8" s="3" t="s">
        <v>52</v>
      </c>
      <c r="B8" s="4" t="s">
        <v>29</v>
      </c>
      <c r="C8" s="4" t="s">
        <v>53</v>
      </c>
      <c r="D8" s="4" t="str">
        <f aca="false">IFERROR(UPD1b!L14,"")</f>
        <v/>
      </c>
      <c r="E8" s="4" t="s">
        <v>21</v>
      </c>
      <c r="F8" s="5"/>
      <c r="G8" s="5"/>
      <c r="H8" s="6" t="str">
        <f aca="false">IF(OR(F8="",NOT(ISNUMBER(D8))),"",IF(ABS(F8-D8)&lt;0.001,"Yes","No"))</f>
        <v/>
      </c>
      <c r="I8" s="7" t="str">
        <f aca="false">IF(ISNUMBER(F8),F8,D8)</f>
        <v/>
      </c>
      <c r="J8" s="6" t="str">
        <f aca="false">IF(ISNUMBER(F8),"Expert (overrides AI)",IF(ISNUMBER(D8),"AI","Not scored yet"))</f>
        <v>Not scored yet</v>
      </c>
      <c r="K8" s="4" t="s">
        <v>30</v>
      </c>
      <c r="L8" s="4" t="s">
        <v>59</v>
      </c>
      <c r="M8" s="4"/>
      <c r="N8" s="4"/>
      <c r="O8" s="4"/>
      <c r="P8" s="4"/>
      <c r="Q8" s="4"/>
      <c r="R8" s="4" t="s">
        <v>60</v>
      </c>
    </row>
    <row r="9" customFormat="false" ht="93" hidden="false" customHeight="true" outlineLevel="0" collapsed="false">
      <c r="A9" s="3" t="s">
        <v>52</v>
      </c>
      <c r="B9" s="4" t="s">
        <v>34</v>
      </c>
      <c r="C9" s="4" t="s">
        <v>53</v>
      </c>
      <c r="D9" s="4" t="str">
        <f aca="false">IFERROR(UPD1b!L15,"")</f>
        <v/>
      </c>
      <c r="E9" s="4" t="s">
        <v>21</v>
      </c>
      <c r="F9" s="5"/>
      <c r="G9" s="5"/>
      <c r="H9" s="6" t="str">
        <f aca="false">IF(OR(F9="",NOT(ISNUMBER(D9))),"",IF(ABS(F9-D9)&lt;0.001,"Yes","No"))</f>
        <v/>
      </c>
      <c r="I9" s="7" t="str">
        <f aca="false">IF(ISNUMBER(F9),F9,D9)</f>
        <v/>
      </c>
      <c r="J9" s="6" t="str">
        <f aca="false">IF(ISNUMBER(F9),"Expert (overrides AI)",IF(ISNUMBER(D9),"AI","Not scored yet"))</f>
        <v>Not scored yet</v>
      </c>
      <c r="K9" s="4" t="s">
        <v>30</v>
      </c>
      <c r="L9" s="4" t="s">
        <v>59</v>
      </c>
      <c r="M9" s="4"/>
      <c r="N9" s="4"/>
      <c r="O9" s="4"/>
      <c r="P9" s="4"/>
      <c r="Q9" s="4"/>
      <c r="R9" s="4" t="s">
        <v>61</v>
      </c>
    </row>
    <row r="10" customFormat="false" ht="93" hidden="false" customHeight="true" outlineLevel="0" collapsed="false">
      <c r="A10" s="3" t="s">
        <v>52</v>
      </c>
      <c r="B10" s="4" t="s">
        <v>40</v>
      </c>
      <c r="C10" s="4" t="s">
        <v>53</v>
      </c>
      <c r="D10" s="4" t="str">
        <f aca="false">IFERROR(UPD1b!L16,"")</f>
        <v/>
      </c>
      <c r="E10" s="4" t="s">
        <v>21</v>
      </c>
      <c r="F10" s="5"/>
      <c r="G10" s="5"/>
      <c r="H10" s="6" t="str">
        <f aca="false">IF(OR(F10="",NOT(ISNUMBER(D10))),"",IF(ABS(F10-D10)&lt;0.001,"Yes","No"))</f>
        <v/>
      </c>
      <c r="I10" s="7" t="str">
        <f aca="false">IF(ISNUMBER(F10),F10,D10)</f>
        <v/>
      </c>
      <c r="J10" s="6" t="str">
        <f aca="false">IF(ISNUMBER(F10),"Expert (overrides AI)",IF(ISNUMBER(D10),"AI","Not scored yet"))</f>
        <v>Not scored yet</v>
      </c>
      <c r="K10" s="4" t="s">
        <v>30</v>
      </c>
      <c r="L10" s="4" t="s">
        <v>59</v>
      </c>
      <c r="M10" s="4"/>
      <c r="N10" s="4"/>
      <c r="O10" s="4"/>
      <c r="P10" s="4"/>
      <c r="Q10" s="4"/>
      <c r="R10" s="4" t="s">
        <v>62</v>
      </c>
    </row>
    <row r="11" customFormat="false" ht="93" hidden="false" customHeight="true" outlineLevel="0" collapsed="false">
      <c r="A11" s="3" t="s">
        <v>52</v>
      </c>
      <c r="B11" s="4" t="s">
        <v>46</v>
      </c>
      <c r="C11" s="4" t="s">
        <v>53</v>
      </c>
      <c r="D11" s="4" t="str">
        <f aca="false">IFERROR(UPD1b!L17,"")</f>
        <v/>
      </c>
      <c r="E11" s="4" t="s">
        <v>21</v>
      </c>
      <c r="F11" s="5"/>
      <c r="G11" s="5"/>
      <c r="H11" s="6" t="str">
        <f aca="false">IF(OR(F11="",NOT(ISNUMBER(D11))),"",IF(ABS(F11-D11)&lt;0.001,"Yes","No"))</f>
        <v/>
      </c>
      <c r="I11" s="7" t="str">
        <f aca="false">IF(ISNUMBER(F11),F11,D11)</f>
        <v/>
      </c>
      <c r="J11" s="6" t="str">
        <f aca="false">IF(ISNUMBER(F11),"Expert (overrides AI)",IF(ISNUMBER(D11),"AI","Not scored yet"))</f>
        <v>Not scored yet</v>
      </c>
      <c r="K11" s="4" t="s">
        <v>30</v>
      </c>
      <c r="L11" s="4" t="s">
        <v>59</v>
      </c>
      <c r="M11" s="4"/>
      <c r="N11" s="4"/>
      <c r="O11" s="4"/>
      <c r="P11" s="4"/>
      <c r="Q11" s="4"/>
      <c r="R11" s="4" t="s">
        <v>63</v>
      </c>
    </row>
    <row r="12" customFormat="false" ht="93" hidden="false" customHeight="true" outlineLevel="0" collapsed="false">
      <c r="A12" s="3" t="s">
        <v>64</v>
      </c>
      <c r="B12" s="4" t="s">
        <v>19</v>
      </c>
      <c r="C12" s="4" t="s">
        <v>65</v>
      </c>
      <c r="D12" s="4" t="n">
        <f aca="false">IFERROR(UPD2a!L13,"")</f>
        <v>0</v>
      </c>
      <c r="E12" s="4" t="s">
        <v>66</v>
      </c>
      <c r="F12" s="5"/>
      <c r="G12" s="5"/>
      <c r="H12" s="6" t="str">
        <f aca="false">IF(OR(F12="",NOT(ISNUMBER(D12))),"",IF(ABS(F12-D12)&lt;0.001,"Yes","No"))</f>
        <v/>
      </c>
      <c r="I12" s="7" t="n">
        <f aca="false">IF(ISNUMBER(F12),F12,D12)</f>
        <v>0</v>
      </c>
      <c r="J12" s="6" t="str">
        <f aca="false">IF(ISNUMBER(F12),"Expert (overrides AI)",IF(ISNUMBER(D12),"AI","Not scored yet"))</f>
        <v>AI</v>
      </c>
      <c r="K12" s="4" t="s">
        <v>22</v>
      </c>
      <c r="L12" s="4" t="s">
        <v>23</v>
      </c>
      <c r="M12" s="4" t="s">
        <v>67</v>
      </c>
      <c r="N12" s="4" t="s">
        <v>25</v>
      </c>
      <c r="O12" s="4" t="s">
        <v>26</v>
      </c>
      <c r="P12" s="4" t="s">
        <v>68</v>
      </c>
      <c r="Q12" s="4" t="s">
        <v>69</v>
      </c>
      <c r="R12" s="4"/>
    </row>
    <row r="13" customFormat="false" ht="93" hidden="false" customHeight="true" outlineLevel="0" collapsed="false">
      <c r="A13" s="3" t="s">
        <v>70</v>
      </c>
      <c r="B13" s="4" t="s">
        <v>19</v>
      </c>
      <c r="C13" s="4" t="s">
        <v>71</v>
      </c>
      <c r="D13" s="4" t="str">
        <f aca="false">IFERROR(UPD2b!L13,"")</f>
        <v/>
      </c>
      <c r="E13" s="4" t="s">
        <v>66</v>
      </c>
      <c r="F13" s="5"/>
      <c r="G13" s="5"/>
      <c r="H13" s="6" t="str">
        <f aca="false">IF(OR(F13="",NOT(ISNUMBER(D13))),"",IF(ABS(F13-D13)&lt;0.001,"Yes","No"))</f>
        <v/>
      </c>
      <c r="I13" s="7" t="str">
        <f aca="false">IF(ISNUMBER(F13),F13,D13)</f>
        <v/>
      </c>
      <c r="J13" s="6" t="str">
        <f aca="false">IF(ISNUMBER(F13),"Expert (overrides AI)",IF(ISNUMBER(D13),"AI","Not scored yet"))</f>
        <v>Not scored yet</v>
      </c>
      <c r="K13" s="4" t="s">
        <v>30</v>
      </c>
      <c r="L13" s="4" t="s">
        <v>72</v>
      </c>
      <c r="M13" s="4" t="s">
        <v>73</v>
      </c>
      <c r="N13" s="4"/>
      <c r="O13" s="4"/>
      <c r="P13" s="4"/>
      <c r="Q13" s="4"/>
      <c r="R13" s="4" t="s">
        <v>74</v>
      </c>
    </row>
    <row r="14" customFormat="false" ht="93" hidden="false" customHeight="true" outlineLevel="0" collapsed="false">
      <c r="A14" s="3" t="s">
        <v>75</v>
      </c>
      <c r="B14" s="4" t="s">
        <v>29</v>
      </c>
      <c r="C14" s="4" t="s">
        <v>76</v>
      </c>
      <c r="D14" s="4" t="n">
        <f aca="false">IFERROR(UPD2c!L14,"")</f>
        <v>2.5</v>
      </c>
      <c r="E14" s="4" t="s">
        <v>66</v>
      </c>
      <c r="F14" s="5"/>
      <c r="G14" s="5"/>
      <c r="H14" s="6" t="str">
        <f aca="false">IF(OR(F14="",NOT(ISNUMBER(D14))),"",IF(ABS(F14-D14)&lt;0.001,"Yes","No"))</f>
        <v/>
      </c>
      <c r="I14" s="7" t="n">
        <f aca="false">IF(ISNUMBER(F14),F14,D14)</f>
        <v>2.5</v>
      </c>
      <c r="J14" s="6" t="str">
        <f aca="false">IF(ISNUMBER(F14),"Expert (overrides AI)",IF(ISNUMBER(D14),"AI","Not scored yet"))</f>
        <v>AI</v>
      </c>
      <c r="K14" s="4" t="s">
        <v>22</v>
      </c>
      <c r="L14" s="4" t="s">
        <v>31</v>
      </c>
      <c r="M14" s="4" t="s">
        <v>77</v>
      </c>
      <c r="N14" s="4" t="s">
        <v>78</v>
      </c>
      <c r="O14" s="4" t="s">
        <v>79</v>
      </c>
      <c r="P14" s="4" t="s">
        <v>80</v>
      </c>
      <c r="Q14" s="4" t="s">
        <v>81</v>
      </c>
      <c r="R14" s="4"/>
    </row>
    <row r="15" customFormat="false" ht="93" hidden="false" customHeight="true" outlineLevel="0" collapsed="false">
      <c r="A15" s="3" t="s">
        <v>82</v>
      </c>
      <c r="B15" s="4" t="s">
        <v>29</v>
      </c>
      <c r="C15" s="4" t="s">
        <v>83</v>
      </c>
      <c r="D15" s="4" t="str">
        <f aca="false">IFERROR(UPD2d!L14,"")</f>
        <v/>
      </c>
      <c r="E15" s="4" t="s">
        <v>66</v>
      </c>
      <c r="F15" s="5"/>
      <c r="G15" s="5"/>
      <c r="H15" s="6" t="str">
        <f aca="false">IF(OR(F15="",NOT(ISNUMBER(D15))),"",IF(ABS(F15-D15)&lt;0.001,"Yes","No"))</f>
        <v/>
      </c>
      <c r="I15" s="7" t="str">
        <f aca="false">IF(ISNUMBER(F15),F15,D15)</f>
        <v/>
      </c>
      <c r="J15" s="6" t="str">
        <f aca="false">IF(ISNUMBER(F15),"Expert (overrides AI)",IF(ISNUMBER(D15),"AI","Not scored yet"))</f>
        <v>Not scored yet</v>
      </c>
      <c r="K15" s="4" t="s">
        <v>30</v>
      </c>
      <c r="L15" s="4" t="s">
        <v>59</v>
      </c>
      <c r="M15" s="4"/>
      <c r="N15" s="4"/>
      <c r="O15" s="4"/>
      <c r="P15" s="4"/>
      <c r="Q15" s="4"/>
      <c r="R15" s="4" t="s">
        <v>84</v>
      </c>
    </row>
    <row r="16" customFormat="false" ht="93" hidden="false" customHeight="true" outlineLevel="0" collapsed="false">
      <c r="A16" s="3" t="s">
        <v>85</v>
      </c>
      <c r="B16" s="4" t="s">
        <v>19</v>
      </c>
      <c r="C16" s="4" t="s">
        <v>86</v>
      </c>
      <c r="D16" s="4" t="n">
        <f aca="false">IFERROR(UPD3a!L13,"")</f>
        <v>2.5</v>
      </c>
      <c r="E16" s="4" t="s">
        <v>21</v>
      </c>
      <c r="F16" s="5"/>
      <c r="G16" s="5"/>
      <c r="H16" s="6" t="str">
        <f aca="false">IF(OR(F16="",NOT(ISNUMBER(D16))),"",IF(ABS(F16-D16)&lt;0.001,"Yes","No"))</f>
        <v/>
      </c>
      <c r="I16" s="7" t="n">
        <f aca="false">IF(ISNUMBER(F16),F16,D16)</f>
        <v>2.5</v>
      </c>
      <c r="J16" s="6" t="str">
        <f aca="false">IF(ISNUMBER(F16),"Expert (overrides AI)",IF(ISNUMBER(D16),"AI","Not scored yet"))</f>
        <v>AI</v>
      </c>
      <c r="K16" s="4" t="s">
        <v>22</v>
      </c>
      <c r="L16" s="4" t="s">
        <v>31</v>
      </c>
      <c r="M16" s="4" t="s">
        <v>87</v>
      </c>
      <c r="N16" s="4" t="s">
        <v>88</v>
      </c>
      <c r="O16" s="4" t="s">
        <v>89</v>
      </c>
      <c r="P16" s="4" t="s">
        <v>90</v>
      </c>
      <c r="Q16" s="4" t="s">
        <v>91</v>
      </c>
      <c r="R16" s="4"/>
    </row>
    <row r="17" customFormat="false" ht="93" hidden="false" customHeight="true" outlineLevel="0" collapsed="false">
      <c r="A17" s="3" t="s">
        <v>92</v>
      </c>
      <c r="B17" s="4" t="s">
        <v>19</v>
      </c>
      <c r="C17" s="4" t="s">
        <v>93</v>
      </c>
      <c r="D17" s="4" t="n">
        <f aca="false">IFERROR(UPD3b!L13,"")</f>
        <v>2.5</v>
      </c>
      <c r="E17" s="4" t="s">
        <v>21</v>
      </c>
      <c r="F17" s="5"/>
      <c r="G17" s="5"/>
      <c r="H17" s="6" t="str">
        <f aca="false">IF(OR(F17="",NOT(ISNUMBER(D17))),"",IF(ABS(F17-D17)&lt;0.001,"Yes","No"))</f>
        <v/>
      </c>
      <c r="I17" s="7" t="n">
        <f aca="false">IF(ISNUMBER(F17),F17,D17)</f>
        <v>2.5</v>
      </c>
      <c r="J17" s="6" t="str">
        <f aca="false">IF(ISNUMBER(F17),"Expert (overrides AI)",IF(ISNUMBER(D17),"AI","Not scored yet"))</f>
        <v>AI</v>
      </c>
      <c r="K17" s="4" t="s">
        <v>30</v>
      </c>
      <c r="L17" s="4" t="s">
        <v>72</v>
      </c>
      <c r="M17" s="4" t="s">
        <v>94</v>
      </c>
      <c r="N17" s="4"/>
      <c r="O17" s="4"/>
      <c r="P17" s="4"/>
      <c r="Q17" s="4"/>
      <c r="R17" s="4" t="s">
        <v>95</v>
      </c>
    </row>
    <row r="18" customFormat="false" ht="93" hidden="false" customHeight="true" outlineLevel="0" collapsed="false">
      <c r="A18" s="3" t="s">
        <v>96</v>
      </c>
      <c r="B18" s="4" t="s">
        <v>29</v>
      </c>
      <c r="C18" s="4" t="s">
        <v>97</v>
      </c>
      <c r="D18" s="4" t="str">
        <f aca="false">IFERROR(UPD4a!L14,"")</f>
        <v/>
      </c>
      <c r="E18" s="4" t="s">
        <v>21</v>
      </c>
      <c r="F18" s="5"/>
      <c r="G18" s="5"/>
      <c r="H18" s="6" t="str">
        <f aca="false">IF(OR(F18="",NOT(ISNUMBER(D18))),"",IF(ABS(F18-D18)&lt;0.001,"Yes","No"))</f>
        <v/>
      </c>
      <c r="I18" s="7" t="str">
        <f aca="false">IF(ISNUMBER(F18),F18,D18)</f>
        <v/>
      </c>
      <c r="J18" s="6" t="str">
        <f aca="false">IF(ISNUMBER(F18),"Expert (overrides AI)",IF(ISNUMBER(D18),"AI","Not scored yet"))</f>
        <v>Not scored yet</v>
      </c>
      <c r="K18" s="4" t="s">
        <v>30</v>
      </c>
      <c r="L18" s="4" t="s">
        <v>72</v>
      </c>
      <c r="M18" s="4" t="s">
        <v>98</v>
      </c>
      <c r="N18" s="4"/>
      <c r="O18" s="4"/>
      <c r="P18" s="4"/>
      <c r="Q18" s="4"/>
      <c r="R18" s="4" t="s">
        <v>99</v>
      </c>
    </row>
    <row r="19" customFormat="false" ht="93" hidden="false" customHeight="true" outlineLevel="0" collapsed="false">
      <c r="A19" s="3" t="s">
        <v>100</v>
      </c>
      <c r="B19" s="4" t="s">
        <v>29</v>
      </c>
      <c r="C19" s="4" t="s">
        <v>101</v>
      </c>
      <c r="D19" s="4" t="n">
        <f aca="false">IFERROR(UPD4b!L14,"")</f>
        <v>1.25</v>
      </c>
      <c r="E19" s="4" t="s">
        <v>21</v>
      </c>
      <c r="F19" s="5"/>
      <c r="G19" s="5"/>
      <c r="H19" s="6" t="str">
        <f aca="false">IF(OR(F19="",NOT(ISNUMBER(D19))),"",IF(ABS(F19-D19)&lt;0.001,"Yes","No"))</f>
        <v/>
      </c>
      <c r="I19" s="7" t="n">
        <f aca="false">IF(ISNUMBER(F19),F19,D19)</f>
        <v>1.25</v>
      </c>
      <c r="J19" s="6" t="str">
        <f aca="false">IF(ISNUMBER(F19),"Expert (overrides AI)",IF(ISNUMBER(D19),"AI","Not scored yet"))</f>
        <v>AI</v>
      </c>
      <c r="K19" s="4" t="s">
        <v>22</v>
      </c>
      <c r="L19" s="4" t="s">
        <v>31</v>
      </c>
      <c r="M19" s="4" t="s">
        <v>102</v>
      </c>
      <c r="N19" s="4" t="s">
        <v>103</v>
      </c>
      <c r="O19" s="4" t="s">
        <v>104</v>
      </c>
      <c r="P19" s="4" t="s">
        <v>105</v>
      </c>
      <c r="Q19" s="4" t="s">
        <v>106</v>
      </c>
      <c r="R19" s="4"/>
    </row>
    <row r="20" customFormat="false" ht="93" hidden="false" customHeight="true" outlineLevel="0" collapsed="false">
      <c r="A20" s="3" t="s">
        <v>107</v>
      </c>
      <c r="B20" s="4" t="s">
        <v>19</v>
      </c>
      <c r="C20" s="4" t="s">
        <v>108</v>
      </c>
      <c r="D20" s="4" t="n">
        <f aca="false">IFERROR(UPD5a!L13,"")</f>
        <v>2.5</v>
      </c>
      <c r="E20" s="4" t="s">
        <v>21</v>
      </c>
      <c r="F20" s="5"/>
      <c r="G20" s="5"/>
      <c r="H20" s="6" t="str">
        <f aca="false">IF(OR(F20="",NOT(ISNUMBER(D20))),"",IF(ABS(F20-D20)&lt;0.001,"Yes","No"))</f>
        <v/>
      </c>
      <c r="I20" s="7" t="n">
        <f aca="false">IF(ISNUMBER(F20),F20,D20)</f>
        <v>2.5</v>
      </c>
      <c r="J20" s="6" t="str">
        <f aca="false">IF(ISNUMBER(F20),"Expert (overrides AI)",IF(ISNUMBER(D20),"AI","Not scored yet"))</f>
        <v>AI</v>
      </c>
      <c r="K20" s="4" t="s">
        <v>22</v>
      </c>
      <c r="L20" s="4" t="s">
        <v>31</v>
      </c>
      <c r="M20" s="4" t="s">
        <v>109</v>
      </c>
      <c r="N20" s="4" t="s">
        <v>25</v>
      </c>
      <c r="O20" s="4" t="s">
        <v>26</v>
      </c>
      <c r="P20" s="4" t="s">
        <v>110</v>
      </c>
      <c r="Q20" s="4" t="s">
        <v>111</v>
      </c>
      <c r="R20" s="4"/>
    </row>
    <row r="21" customFormat="false" ht="93" hidden="false" customHeight="true" outlineLevel="0" collapsed="false">
      <c r="A21" s="3" t="s">
        <v>112</v>
      </c>
      <c r="B21" s="4" t="s">
        <v>19</v>
      </c>
      <c r="C21" s="4" t="s">
        <v>113</v>
      </c>
      <c r="D21" s="4" t="n">
        <f aca="false">IFERROR(UPD5b!L13,"")</f>
        <v>5</v>
      </c>
      <c r="E21" s="4" t="s">
        <v>21</v>
      </c>
      <c r="F21" s="5"/>
      <c r="G21" s="5"/>
      <c r="H21" s="6" t="str">
        <f aca="false">IF(OR(F21="",NOT(ISNUMBER(D21))),"",IF(ABS(F21-D21)&lt;0.001,"Yes","No"))</f>
        <v/>
      </c>
      <c r="I21" s="7" t="n">
        <f aca="false">IF(ISNUMBER(F21),F21,D21)</f>
        <v>5</v>
      </c>
      <c r="J21" s="6" t="str">
        <f aca="false">IF(ISNUMBER(F21),"Expert (overrides AI)",IF(ISNUMBER(D21),"AI","Not scored yet"))</f>
        <v>AI</v>
      </c>
      <c r="K21" s="4" t="s">
        <v>22</v>
      </c>
      <c r="L21" s="4" t="s">
        <v>31</v>
      </c>
      <c r="M21" s="4" t="s">
        <v>114</v>
      </c>
      <c r="N21" s="4" t="s">
        <v>115</v>
      </c>
      <c r="O21" s="4" t="s">
        <v>116</v>
      </c>
      <c r="P21" s="4" t="s">
        <v>117</v>
      </c>
      <c r="Q21" s="4" t="s">
        <v>118</v>
      </c>
      <c r="R21" s="4"/>
    </row>
    <row r="22" customFormat="false" ht="93" hidden="false" customHeight="true" outlineLevel="0" collapsed="false">
      <c r="A22" s="3" t="s">
        <v>119</v>
      </c>
      <c r="B22" s="4" t="s">
        <v>29</v>
      </c>
      <c r="C22" s="4" t="s">
        <v>120</v>
      </c>
      <c r="D22" s="4" t="n">
        <f aca="false">IFERROR(UPD6a!L14,"")</f>
        <v>2.5</v>
      </c>
      <c r="E22" s="4" t="s">
        <v>21</v>
      </c>
      <c r="F22" s="5"/>
      <c r="G22" s="5"/>
      <c r="H22" s="6" t="str">
        <f aca="false">IF(OR(F22="",NOT(ISNUMBER(D22))),"",IF(ABS(F22-D22)&lt;0.001,"Yes","No"))</f>
        <v/>
      </c>
      <c r="I22" s="7" t="n">
        <f aca="false">IF(ISNUMBER(F22),F22,D22)</f>
        <v>2.5</v>
      </c>
      <c r="J22" s="6" t="str">
        <f aca="false">IF(ISNUMBER(F22),"Expert (overrides AI)",IF(ISNUMBER(D22),"AI","Not scored yet"))</f>
        <v>AI</v>
      </c>
      <c r="K22" s="4" t="s">
        <v>22</v>
      </c>
      <c r="L22" s="4" t="s">
        <v>31</v>
      </c>
      <c r="M22" s="4" t="s">
        <v>121</v>
      </c>
      <c r="N22" s="4" t="s">
        <v>78</v>
      </c>
      <c r="O22" s="4" t="s">
        <v>79</v>
      </c>
      <c r="P22" s="4" t="s">
        <v>122</v>
      </c>
      <c r="Q22" s="4" t="s">
        <v>123</v>
      </c>
      <c r="R22" s="4"/>
    </row>
    <row r="23" customFormat="false" ht="93" hidden="false" customHeight="true" outlineLevel="0" collapsed="false">
      <c r="A23" s="3" t="s">
        <v>124</v>
      </c>
      <c r="B23" s="4" t="s">
        <v>29</v>
      </c>
      <c r="C23" s="4" t="s">
        <v>125</v>
      </c>
      <c r="D23" s="4" t="n">
        <f aca="false">IFERROR(UPD6b!L14,"")</f>
        <v>1.25</v>
      </c>
      <c r="E23" s="4" t="s">
        <v>21</v>
      </c>
      <c r="F23" s="5"/>
      <c r="G23" s="5"/>
      <c r="H23" s="6" t="str">
        <f aca="false">IF(OR(F23="",NOT(ISNUMBER(D23))),"",IF(ABS(F23-D23)&lt;0.001,"Yes","No"))</f>
        <v/>
      </c>
      <c r="I23" s="7" t="n">
        <f aca="false">IF(ISNUMBER(F23),F23,D23)</f>
        <v>1.25</v>
      </c>
      <c r="J23" s="6" t="str">
        <f aca="false">IF(ISNUMBER(F23),"Expert (overrides AI)",IF(ISNUMBER(D23),"AI","Not scored yet"))</f>
        <v>AI</v>
      </c>
      <c r="K23" s="4" t="s">
        <v>22</v>
      </c>
      <c r="L23" s="4" t="s">
        <v>31</v>
      </c>
      <c r="M23" s="4" t="s">
        <v>126</v>
      </c>
      <c r="N23" s="4" t="s">
        <v>127</v>
      </c>
      <c r="O23" s="4" t="s">
        <v>128</v>
      </c>
      <c r="P23" s="4" t="s">
        <v>129</v>
      </c>
      <c r="Q23" s="4" t="s">
        <v>130</v>
      </c>
      <c r="R23" s="4"/>
    </row>
    <row r="24" customFormat="false" ht="93" hidden="false" customHeight="true" outlineLevel="0" collapsed="false">
      <c r="A24" s="3" t="s">
        <v>131</v>
      </c>
      <c r="B24" s="4" t="s">
        <v>19</v>
      </c>
      <c r="C24" s="4" t="s">
        <v>132</v>
      </c>
      <c r="D24" s="4" t="n">
        <f aca="false">IFERROR(DPG1a!L13,"")</f>
        <v>0</v>
      </c>
      <c r="E24" s="4" t="s">
        <v>21</v>
      </c>
      <c r="F24" s="5"/>
      <c r="G24" s="5"/>
      <c r="H24" s="6" t="str">
        <f aca="false">IF(OR(F24="",NOT(ISNUMBER(D24))),"",IF(ABS(F24-D24)&lt;0.001,"Yes","No"))</f>
        <v/>
      </c>
      <c r="I24" s="7" t="n">
        <f aca="false">IF(ISNUMBER(F24),F24,D24)</f>
        <v>0</v>
      </c>
      <c r="J24" s="6" t="str">
        <f aca="false">IF(ISNUMBER(F24),"Expert (overrides AI)",IF(ISNUMBER(D24),"AI","Not scored yet"))</f>
        <v>AI</v>
      </c>
      <c r="K24" s="4" t="s">
        <v>22</v>
      </c>
      <c r="L24" s="4" t="s">
        <v>23</v>
      </c>
      <c r="M24" s="4" t="s">
        <v>133</v>
      </c>
      <c r="N24" s="4" t="s">
        <v>134</v>
      </c>
      <c r="O24" s="4" t="s">
        <v>43</v>
      </c>
      <c r="P24" s="4" t="s">
        <v>135</v>
      </c>
      <c r="Q24" s="4" t="s">
        <v>136</v>
      </c>
      <c r="R24" s="4"/>
    </row>
    <row r="25" customFormat="false" ht="93" hidden="false" customHeight="true" outlineLevel="0" collapsed="false">
      <c r="A25" s="3" t="s">
        <v>131</v>
      </c>
      <c r="B25" s="4" t="s">
        <v>29</v>
      </c>
      <c r="C25" s="4" t="s">
        <v>132</v>
      </c>
      <c r="D25" s="4" t="str">
        <f aca="false">IFERROR(DPG1a!L14,"")</f>
        <v/>
      </c>
      <c r="E25" s="4" t="s">
        <v>21</v>
      </c>
      <c r="F25" s="5"/>
      <c r="G25" s="5"/>
      <c r="H25" s="6" t="str">
        <f aca="false">IF(OR(F25="",NOT(ISNUMBER(D25))),"",IF(ABS(F25-D25)&lt;0.001,"Yes","No"))</f>
        <v/>
      </c>
      <c r="I25" s="7" t="str">
        <f aca="false">IF(ISNUMBER(F25),F25,D25)</f>
        <v/>
      </c>
      <c r="J25" s="6" t="str">
        <f aca="false">IF(ISNUMBER(F25),"Expert (overrides AI)",IF(ISNUMBER(D25),"AI","Not scored yet"))</f>
        <v>Not scored yet</v>
      </c>
      <c r="K25" s="4" t="s">
        <v>30</v>
      </c>
      <c r="L25" s="4" t="s">
        <v>59</v>
      </c>
      <c r="M25" s="4"/>
      <c r="N25" s="4"/>
      <c r="O25" s="4"/>
      <c r="P25" s="4"/>
      <c r="Q25" s="4"/>
      <c r="R25" s="4" t="s">
        <v>137</v>
      </c>
    </row>
    <row r="26" customFormat="false" ht="93" hidden="false" customHeight="true" outlineLevel="0" collapsed="false">
      <c r="A26" s="3" t="s">
        <v>131</v>
      </c>
      <c r="B26" s="4" t="s">
        <v>34</v>
      </c>
      <c r="C26" s="4" t="s">
        <v>132</v>
      </c>
      <c r="D26" s="4" t="n">
        <f aca="false">IFERROR(DPG1a!L15,"")</f>
        <v>0</v>
      </c>
      <c r="E26" s="4" t="s">
        <v>21</v>
      </c>
      <c r="F26" s="5"/>
      <c r="G26" s="5"/>
      <c r="H26" s="6" t="str">
        <f aca="false">IF(OR(F26="",NOT(ISNUMBER(D26))),"",IF(ABS(F26-D26)&lt;0.001,"Yes","No"))</f>
        <v/>
      </c>
      <c r="I26" s="7" t="n">
        <f aca="false">IF(ISNUMBER(F26),F26,D26)</f>
        <v>0</v>
      </c>
      <c r="J26" s="6" t="str">
        <f aca="false">IF(ISNUMBER(F26),"Expert (overrides AI)",IF(ISNUMBER(D26),"AI","Not scored yet"))</f>
        <v>AI</v>
      </c>
      <c r="K26" s="4" t="s">
        <v>22</v>
      </c>
      <c r="L26" s="4" t="s">
        <v>23</v>
      </c>
      <c r="M26" s="4" t="s">
        <v>138</v>
      </c>
      <c r="N26" s="4" t="s">
        <v>36</v>
      </c>
      <c r="O26" s="4" t="s">
        <v>37</v>
      </c>
      <c r="P26" s="4" t="s">
        <v>139</v>
      </c>
      <c r="Q26" s="4" t="s">
        <v>140</v>
      </c>
      <c r="R26" s="4"/>
    </row>
    <row r="27" customFormat="false" ht="93" hidden="false" customHeight="true" outlineLevel="0" collapsed="false">
      <c r="A27" s="3" t="s">
        <v>131</v>
      </c>
      <c r="B27" s="4" t="s">
        <v>40</v>
      </c>
      <c r="C27" s="4" t="s">
        <v>132</v>
      </c>
      <c r="D27" s="4" t="n">
        <f aca="false">IFERROR(DPG1a!L16,"")</f>
        <v>5</v>
      </c>
      <c r="E27" s="4" t="s">
        <v>21</v>
      </c>
      <c r="F27" s="5"/>
      <c r="G27" s="5"/>
      <c r="H27" s="6" t="str">
        <f aca="false">IF(OR(F27="",NOT(ISNUMBER(D27))),"",IF(ABS(F27-D27)&lt;0.001,"Yes","No"))</f>
        <v/>
      </c>
      <c r="I27" s="7" t="n">
        <f aca="false">IF(ISNUMBER(F27),F27,D27)</f>
        <v>5</v>
      </c>
      <c r="J27" s="6" t="str">
        <f aca="false">IF(ISNUMBER(F27),"Expert (overrides AI)",IF(ISNUMBER(D27),"AI","Not scored yet"))</f>
        <v>AI</v>
      </c>
      <c r="K27" s="4" t="s">
        <v>22</v>
      </c>
      <c r="L27" s="4" t="s">
        <v>23</v>
      </c>
      <c r="M27" s="4" t="s">
        <v>141</v>
      </c>
      <c r="N27" s="4" t="s">
        <v>42</v>
      </c>
      <c r="O27" s="4" t="s">
        <v>43</v>
      </c>
      <c r="P27" s="4" t="s">
        <v>142</v>
      </c>
      <c r="Q27" s="4" t="s">
        <v>143</v>
      </c>
      <c r="R27" s="4"/>
    </row>
    <row r="28" customFormat="false" ht="93" hidden="false" customHeight="true" outlineLevel="0" collapsed="false">
      <c r="A28" s="3" t="s">
        <v>131</v>
      </c>
      <c r="B28" s="4" t="s">
        <v>46</v>
      </c>
      <c r="C28" s="4" t="s">
        <v>132</v>
      </c>
      <c r="D28" s="4" t="str">
        <f aca="false">IFERROR(DPG1a!L17,"")</f>
        <v/>
      </c>
      <c r="E28" s="4" t="s">
        <v>21</v>
      </c>
      <c r="F28" s="5"/>
      <c r="G28" s="5"/>
      <c r="H28" s="6" t="str">
        <f aca="false">IF(OR(F28="",NOT(ISNUMBER(D28))),"",IF(ABS(F28-D28)&lt;0.001,"Yes","No"))</f>
        <v/>
      </c>
      <c r="I28" s="7" t="str">
        <f aca="false">IF(ISNUMBER(F28),F28,D28)</f>
        <v/>
      </c>
      <c r="J28" s="6" t="str">
        <f aca="false">IF(ISNUMBER(F28),"Expert (overrides AI)",IF(ISNUMBER(D28),"AI","Not scored yet"))</f>
        <v>Not scored yet</v>
      </c>
      <c r="K28" s="4" t="s">
        <v>30</v>
      </c>
      <c r="L28" s="4" t="s">
        <v>31</v>
      </c>
      <c r="M28" s="4" t="s">
        <v>144</v>
      </c>
      <c r="N28" s="4" t="s">
        <v>48</v>
      </c>
      <c r="O28" s="4" t="s">
        <v>49</v>
      </c>
      <c r="P28" s="4" t="s">
        <v>145</v>
      </c>
      <c r="Q28" s="4" t="s">
        <v>146</v>
      </c>
      <c r="R28" s="4" t="s">
        <v>147</v>
      </c>
    </row>
    <row r="29" customFormat="false" ht="93" hidden="false" customHeight="true" outlineLevel="0" collapsed="false">
      <c r="A29" s="3" t="s">
        <v>148</v>
      </c>
      <c r="B29" s="4" t="s">
        <v>19</v>
      </c>
      <c r="C29" s="4" t="s">
        <v>149</v>
      </c>
      <c r="D29" s="4" t="n">
        <f aca="false">IFERROR(DPG1b!L13,"")</f>
        <v>2.5</v>
      </c>
      <c r="E29" s="4" t="s">
        <v>21</v>
      </c>
      <c r="F29" s="5"/>
      <c r="G29" s="5"/>
      <c r="H29" s="6" t="str">
        <f aca="false">IF(OR(F29="",NOT(ISNUMBER(D29))),"",IF(ABS(F29-D29)&lt;0.001,"Yes","No"))</f>
        <v/>
      </c>
      <c r="I29" s="7" t="n">
        <f aca="false">IF(ISNUMBER(F29),F29,D29)</f>
        <v>2.5</v>
      </c>
      <c r="J29" s="6" t="str">
        <f aca="false">IF(ISNUMBER(F29),"Expert (overrides AI)",IF(ISNUMBER(D29),"AI","Not scored yet"))</f>
        <v>AI</v>
      </c>
      <c r="K29" s="4" t="s">
        <v>22</v>
      </c>
      <c r="L29" s="4" t="s">
        <v>23</v>
      </c>
      <c r="M29" s="4" t="s">
        <v>150</v>
      </c>
      <c r="N29" s="4" t="s">
        <v>25</v>
      </c>
      <c r="O29" s="4" t="s">
        <v>26</v>
      </c>
      <c r="P29" s="4" t="s">
        <v>151</v>
      </c>
      <c r="Q29" s="4" t="s">
        <v>152</v>
      </c>
      <c r="R29" s="4"/>
    </row>
    <row r="30" customFormat="false" ht="93" hidden="false" customHeight="true" outlineLevel="0" collapsed="false">
      <c r="A30" s="3" t="s">
        <v>148</v>
      </c>
      <c r="B30" s="4" t="s">
        <v>29</v>
      </c>
      <c r="C30" s="4" t="s">
        <v>149</v>
      </c>
      <c r="D30" s="4" t="str">
        <f aca="false">IFERROR(DPG1b!L14,"")</f>
        <v/>
      </c>
      <c r="E30" s="4" t="s">
        <v>21</v>
      </c>
      <c r="F30" s="5"/>
      <c r="G30" s="5"/>
      <c r="H30" s="6" t="str">
        <f aca="false">IF(OR(F30="",NOT(ISNUMBER(D30))),"",IF(ABS(F30-D30)&lt;0.001,"Yes","No"))</f>
        <v/>
      </c>
      <c r="I30" s="7" t="str">
        <f aca="false">IF(ISNUMBER(F30),F30,D30)</f>
        <v/>
      </c>
      <c r="J30" s="6" t="str">
        <f aca="false">IF(ISNUMBER(F30),"Expert (overrides AI)",IF(ISNUMBER(D30),"AI","Not scored yet"))</f>
        <v>Not scored yet</v>
      </c>
      <c r="K30" s="4" t="s">
        <v>30</v>
      </c>
      <c r="L30" s="4" t="s">
        <v>59</v>
      </c>
      <c r="M30" s="4"/>
      <c r="N30" s="4"/>
      <c r="O30" s="4"/>
      <c r="P30" s="4"/>
      <c r="Q30" s="4"/>
      <c r="R30" s="4" t="s">
        <v>153</v>
      </c>
    </row>
    <row r="31" customFormat="false" ht="93" hidden="false" customHeight="true" outlineLevel="0" collapsed="false">
      <c r="A31" s="3" t="s">
        <v>148</v>
      </c>
      <c r="B31" s="4" t="s">
        <v>34</v>
      </c>
      <c r="C31" s="4" t="s">
        <v>149</v>
      </c>
      <c r="D31" s="4" t="n">
        <f aca="false">IFERROR(DPG1b!L15,"")</f>
        <v>2.5</v>
      </c>
      <c r="E31" s="4" t="s">
        <v>21</v>
      </c>
      <c r="F31" s="5"/>
      <c r="G31" s="5"/>
      <c r="H31" s="6" t="str">
        <f aca="false">IF(OR(F31="",NOT(ISNUMBER(D31))),"",IF(ABS(F31-D31)&lt;0.001,"Yes","No"))</f>
        <v/>
      </c>
      <c r="I31" s="7" t="n">
        <f aca="false">IF(ISNUMBER(F31),F31,D31)</f>
        <v>2.5</v>
      </c>
      <c r="J31" s="6" t="str">
        <f aca="false">IF(ISNUMBER(F31),"Expert (overrides AI)",IF(ISNUMBER(D31),"AI","Not scored yet"))</f>
        <v>AI</v>
      </c>
      <c r="K31" s="4" t="s">
        <v>22</v>
      </c>
      <c r="L31" s="4" t="s">
        <v>23</v>
      </c>
      <c r="M31" s="4" t="s">
        <v>154</v>
      </c>
      <c r="N31" s="4" t="s">
        <v>36</v>
      </c>
      <c r="O31" s="4" t="s">
        <v>37</v>
      </c>
      <c r="P31" s="4" t="s">
        <v>155</v>
      </c>
      <c r="Q31" s="4" t="s">
        <v>156</v>
      </c>
      <c r="R31" s="4"/>
    </row>
    <row r="32" customFormat="false" ht="93" hidden="false" customHeight="true" outlineLevel="0" collapsed="false">
      <c r="A32" s="3" t="s">
        <v>148</v>
      </c>
      <c r="B32" s="4" t="s">
        <v>40</v>
      </c>
      <c r="C32" s="4" t="s">
        <v>149</v>
      </c>
      <c r="D32" s="4" t="n">
        <f aca="false">IFERROR(DPG1b!L16,"")</f>
        <v>2.5</v>
      </c>
      <c r="E32" s="4" t="s">
        <v>21</v>
      </c>
      <c r="F32" s="5"/>
      <c r="G32" s="5"/>
      <c r="H32" s="6" t="str">
        <f aca="false">IF(OR(F32="",NOT(ISNUMBER(D32))),"",IF(ABS(F32-D32)&lt;0.001,"Yes","No"))</f>
        <v/>
      </c>
      <c r="I32" s="7" t="n">
        <f aca="false">IF(ISNUMBER(F32),F32,D32)</f>
        <v>2.5</v>
      </c>
      <c r="J32" s="6" t="str">
        <f aca="false">IF(ISNUMBER(F32),"Expert (overrides AI)",IF(ISNUMBER(D32),"AI","Not scored yet"))</f>
        <v>AI</v>
      </c>
      <c r="K32" s="4" t="s">
        <v>22</v>
      </c>
      <c r="L32" s="4" t="s">
        <v>31</v>
      </c>
      <c r="M32" s="4" t="s">
        <v>157</v>
      </c>
      <c r="N32" s="4" t="s">
        <v>158</v>
      </c>
      <c r="O32" s="4" t="s">
        <v>159</v>
      </c>
      <c r="P32" s="4" t="s">
        <v>160</v>
      </c>
      <c r="Q32" s="4" t="s">
        <v>161</v>
      </c>
      <c r="R32" s="4"/>
    </row>
    <row r="33" customFormat="false" ht="93" hidden="false" customHeight="true" outlineLevel="0" collapsed="false">
      <c r="A33" s="3" t="s">
        <v>148</v>
      </c>
      <c r="B33" s="4" t="s">
        <v>46</v>
      </c>
      <c r="C33" s="4" t="s">
        <v>149</v>
      </c>
      <c r="D33" s="4" t="n">
        <f aca="false">IFERROR(DPG1b!L17,"")</f>
        <v>5</v>
      </c>
      <c r="E33" s="4" t="s">
        <v>21</v>
      </c>
      <c r="F33" s="5"/>
      <c r="G33" s="5"/>
      <c r="H33" s="6" t="str">
        <f aca="false">IF(OR(F33="",NOT(ISNUMBER(D33))),"",IF(ABS(F33-D33)&lt;0.001,"Yes","No"))</f>
        <v/>
      </c>
      <c r="I33" s="7" t="n">
        <f aca="false">IF(ISNUMBER(F33),F33,D33)</f>
        <v>5</v>
      </c>
      <c r="J33" s="6" t="str">
        <f aca="false">IF(ISNUMBER(F33),"Expert (overrides AI)",IF(ISNUMBER(D33),"AI","Not scored yet"))</f>
        <v>AI</v>
      </c>
      <c r="K33" s="4" t="s">
        <v>22</v>
      </c>
      <c r="L33" s="4" t="s">
        <v>23</v>
      </c>
      <c r="M33" s="4" t="s">
        <v>162</v>
      </c>
      <c r="N33" s="4" t="s">
        <v>48</v>
      </c>
      <c r="O33" s="4" t="s">
        <v>49</v>
      </c>
      <c r="P33" s="4" t="s">
        <v>163</v>
      </c>
      <c r="Q33" s="4" t="s">
        <v>164</v>
      </c>
      <c r="R33" s="4"/>
    </row>
    <row r="34" customFormat="false" ht="93" hidden="false" customHeight="true" outlineLevel="0" collapsed="false">
      <c r="A34" s="3" t="s">
        <v>165</v>
      </c>
      <c r="B34" s="4" t="s">
        <v>19</v>
      </c>
      <c r="C34" s="4" t="s">
        <v>166</v>
      </c>
      <c r="D34" s="4" t="n">
        <f aca="false">IFERROR(DPG2a!L13,"")</f>
        <v>0</v>
      </c>
      <c r="E34" s="4" t="s">
        <v>21</v>
      </c>
      <c r="F34" s="5"/>
      <c r="G34" s="5"/>
      <c r="H34" s="6" t="str">
        <f aca="false">IF(OR(F34="",NOT(ISNUMBER(D34))),"",IF(ABS(F34-D34)&lt;0.001,"Yes","No"))</f>
        <v/>
      </c>
      <c r="I34" s="7" t="n">
        <f aca="false">IF(ISNUMBER(F34),F34,D34)</f>
        <v>0</v>
      </c>
      <c r="J34" s="6" t="str">
        <f aca="false">IF(ISNUMBER(F34),"Expert (overrides AI)",IF(ISNUMBER(D34),"AI","Not scored yet"))</f>
        <v>AI</v>
      </c>
      <c r="K34" s="4" t="s">
        <v>30</v>
      </c>
      <c r="L34" s="4" t="s">
        <v>72</v>
      </c>
      <c r="M34" s="4" t="s">
        <v>167</v>
      </c>
      <c r="N34" s="4"/>
      <c r="O34" s="4"/>
      <c r="P34" s="4"/>
      <c r="Q34" s="4"/>
      <c r="R34" s="4" t="s">
        <v>168</v>
      </c>
    </row>
    <row r="35" customFormat="false" ht="93" hidden="false" customHeight="true" outlineLevel="0" collapsed="false">
      <c r="A35" s="3" t="s">
        <v>165</v>
      </c>
      <c r="B35" s="4" t="s">
        <v>29</v>
      </c>
      <c r="C35" s="4" t="s">
        <v>166</v>
      </c>
      <c r="D35" s="4" t="str">
        <f aca="false">IFERROR(DPG2a!L14,"")</f>
        <v/>
      </c>
      <c r="E35" s="4" t="s">
        <v>21</v>
      </c>
      <c r="F35" s="5"/>
      <c r="G35" s="5"/>
      <c r="H35" s="6" t="str">
        <f aca="false">IF(OR(F35="",NOT(ISNUMBER(D35))),"",IF(ABS(F35-D35)&lt;0.001,"Yes","No"))</f>
        <v/>
      </c>
      <c r="I35" s="7" t="str">
        <f aca="false">IF(ISNUMBER(F35),F35,D35)</f>
        <v/>
      </c>
      <c r="J35" s="6" t="str">
        <f aca="false">IF(ISNUMBER(F35),"Expert (overrides AI)",IF(ISNUMBER(D35),"AI","Not scored yet"))</f>
        <v>Not scored yet</v>
      </c>
      <c r="K35" s="4" t="s">
        <v>30</v>
      </c>
      <c r="L35" s="4" t="s">
        <v>59</v>
      </c>
      <c r="M35" s="4"/>
      <c r="N35" s="4"/>
      <c r="O35" s="4"/>
      <c r="P35" s="4"/>
      <c r="Q35" s="4"/>
      <c r="R35" s="4" t="s">
        <v>169</v>
      </c>
    </row>
    <row r="36" customFormat="false" ht="93" hidden="false" customHeight="true" outlineLevel="0" collapsed="false">
      <c r="A36" s="3" t="s">
        <v>165</v>
      </c>
      <c r="B36" s="4" t="s">
        <v>34</v>
      </c>
      <c r="C36" s="4" t="s">
        <v>166</v>
      </c>
      <c r="D36" s="4" t="n">
        <f aca="false">IFERROR(DPG2a!L15,"")</f>
        <v>5</v>
      </c>
      <c r="E36" s="4" t="s">
        <v>21</v>
      </c>
      <c r="F36" s="5"/>
      <c r="G36" s="5"/>
      <c r="H36" s="6" t="str">
        <f aca="false">IF(OR(F36="",NOT(ISNUMBER(D36))),"",IF(ABS(F36-D36)&lt;0.001,"Yes","No"))</f>
        <v/>
      </c>
      <c r="I36" s="7" t="n">
        <f aca="false">IF(ISNUMBER(F36),F36,D36)</f>
        <v>5</v>
      </c>
      <c r="J36" s="6" t="str">
        <f aca="false">IF(ISNUMBER(F36),"Expert (overrides AI)",IF(ISNUMBER(D36),"AI","Not scored yet"))</f>
        <v>AI</v>
      </c>
      <c r="K36" s="4" t="s">
        <v>22</v>
      </c>
      <c r="L36" s="4" t="s">
        <v>31</v>
      </c>
      <c r="M36" s="4" t="s">
        <v>170</v>
      </c>
      <c r="N36" s="4" t="s">
        <v>36</v>
      </c>
      <c r="O36" s="4" t="s">
        <v>37</v>
      </c>
      <c r="P36" s="4" t="s">
        <v>171</v>
      </c>
      <c r="Q36" s="4" t="s">
        <v>172</v>
      </c>
      <c r="R36" s="4"/>
    </row>
    <row r="37" customFormat="false" ht="93" hidden="false" customHeight="true" outlineLevel="0" collapsed="false">
      <c r="A37" s="3" t="s">
        <v>165</v>
      </c>
      <c r="B37" s="4" t="s">
        <v>40</v>
      </c>
      <c r="C37" s="4" t="s">
        <v>166</v>
      </c>
      <c r="D37" s="4" t="n">
        <f aca="false">IFERROR(DPG2a!L16,"")</f>
        <v>0</v>
      </c>
      <c r="E37" s="4" t="s">
        <v>21</v>
      </c>
      <c r="F37" s="5"/>
      <c r="G37" s="5"/>
      <c r="H37" s="6" t="str">
        <f aca="false">IF(OR(F37="",NOT(ISNUMBER(D37))),"",IF(ABS(F37-D37)&lt;0.001,"Yes","No"))</f>
        <v/>
      </c>
      <c r="I37" s="7" t="n">
        <f aca="false">IF(ISNUMBER(F37),F37,D37)</f>
        <v>0</v>
      </c>
      <c r="J37" s="6" t="str">
        <f aca="false">IF(ISNUMBER(F37),"Expert (overrides AI)",IF(ISNUMBER(D37),"AI","Not scored yet"))</f>
        <v>AI</v>
      </c>
      <c r="K37" s="4" t="s">
        <v>22</v>
      </c>
      <c r="L37" s="4" t="s">
        <v>31</v>
      </c>
      <c r="M37" s="4" t="s">
        <v>173</v>
      </c>
      <c r="N37" s="4" t="s">
        <v>174</v>
      </c>
      <c r="O37" s="4" t="s">
        <v>175</v>
      </c>
      <c r="P37" s="4" t="s">
        <v>176</v>
      </c>
      <c r="Q37" s="4" t="s">
        <v>177</v>
      </c>
      <c r="R37" s="4"/>
    </row>
    <row r="38" customFormat="false" ht="93" hidden="false" customHeight="true" outlineLevel="0" collapsed="false">
      <c r="A38" s="3" t="s">
        <v>165</v>
      </c>
      <c r="B38" s="4" t="s">
        <v>46</v>
      </c>
      <c r="C38" s="4" t="s">
        <v>166</v>
      </c>
      <c r="D38" s="4" t="n">
        <f aca="false">IFERROR(DPG2a!L17,"")</f>
        <v>5</v>
      </c>
      <c r="E38" s="4" t="s">
        <v>21</v>
      </c>
      <c r="F38" s="5"/>
      <c r="G38" s="5"/>
      <c r="H38" s="6" t="str">
        <f aca="false">IF(OR(F38="",NOT(ISNUMBER(D38))),"",IF(ABS(F38-D38)&lt;0.001,"Yes","No"))</f>
        <v/>
      </c>
      <c r="I38" s="7" t="n">
        <f aca="false">IF(ISNUMBER(F38),F38,D38)</f>
        <v>5</v>
      </c>
      <c r="J38" s="6" t="str">
        <f aca="false">IF(ISNUMBER(F38),"Expert (overrides AI)",IF(ISNUMBER(D38),"AI","Not scored yet"))</f>
        <v>AI</v>
      </c>
      <c r="K38" s="4" t="s">
        <v>22</v>
      </c>
      <c r="L38" s="4" t="s">
        <v>31</v>
      </c>
      <c r="M38" s="4" t="s">
        <v>178</v>
      </c>
      <c r="N38" s="4" t="s">
        <v>48</v>
      </c>
      <c r="O38" s="4" t="s">
        <v>49</v>
      </c>
      <c r="P38" s="4" t="s">
        <v>179</v>
      </c>
      <c r="Q38" s="4" t="s">
        <v>180</v>
      </c>
      <c r="R38" s="4"/>
    </row>
    <row r="39" customFormat="false" ht="93" hidden="false" customHeight="true" outlineLevel="0" collapsed="false">
      <c r="A39" s="3" t="s">
        <v>181</v>
      </c>
      <c r="B39" s="4" t="s">
        <v>19</v>
      </c>
      <c r="C39" s="4" t="s">
        <v>182</v>
      </c>
      <c r="D39" s="4" t="n">
        <f aca="false">IFERROR(DPG2b!L13,"")</f>
        <v>0</v>
      </c>
      <c r="E39" s="4" t="s">
        <v>21</v>
      </c>
      <c r="F39" s="5"/>
      <c r="G39" s="5"/>
      <c r="H39" s="6" t="str">
        <f aca="false">IF(OR(F39="",NOT(ISNUMBER(D39))),"",IF(ABS(F39-D39)&lt;0.001,"Yes","No"))</f>
        <v/>
      </c>
      <c r="I39" s="7" t="n">
        <f aca="false">IF(ISNUMBER(F39),F39,D39)</f>
        <v>0</v>
      </c>
      <c r="J39" s="6" t="str">
        <f aca="false">IF(ISNUMBER(F39),"Expert (overrides AI)",IF(ISNUMBER(D39),"AI","Not scored yet"))</f>
        <v>AI</v>
      </c>
      <c r="K39" s="4" t="s">
        <v>22</v>
      </c>
      <c r="L39" s="4" t="s">
        <v>23</v>
      </c>
      <c r="M39" s="4" t="s">
        <v>183</v>
      </c>
      <c r="N39" s="4" t="s">
        <v>25</v>
      </c>
      <c r="O39" s="4" t="s">
        <v>26</v>
      </c>
      <c r="P39" s="4" t="s">
        <v>184</v>
      </c>
      <c r="Q39" s="4" t="s">
        <v>185</v>
      </c>
      <c r="R39" s="4"/>
    </row>
    <row r="40" customFormat="false" ht="93" hidden="false" customHeight="true" outlineLevel="0" collapsed="false">
      <c r="A40" s="3" t="s">
        <v>181</v>
      </c>
      <c r="B40" s="4" t="s">
        <v>29</v>
      </c>
      <c r="C40" s="4" t="s">
        <v>182</v>
      </c>
      <c r="D40" s="4" t="str">
        <f aca="false">IFERROR(DPG2b!L14,"")</f>
        <v/>
      </c>
      <c r="E40" s="4" t="s">
        <v>21</v>
      </c>
      <c r="F40" s="5"/>
      <c r="G40" s="5"/>
      <c r="H40" s="6" t="str">
        <f aca="false">IF(OR(F40="",NOT(ISNUMBER(D40))),"",IF(ABS(F40-D40)&lt;0.001,"Yes","No"))</f>
        <v/>
      </c>
      <c r="I40" s="7" t="str">
        <f aca="false">IF(ISNUMBER(F40),F40,D40)</f>
        <v/>
      </c>
      <c r="J40" s="6" t="str">
        <f aca="false">IF(ISNUMBER(F40),"Expert (overrides AI)",IF(ISNUMBER(D40),"AI","Not scored yet"))</f>
        <v>Not scored yet</v>
      </c>
      <c r="K40" s="4" t="s">
        <v>30</v>
      </c>
      <c r="L40" s="4" t="s">
        <v>59</v>
      </c>
      <c r="M40" s="4"/>
      <c r="N40" s="4"/>
      <c r="O40" s="4"/>
      <c r="P40" s="4"/>
      <c r="Q40" s="4"/>
      <c r="R40" s="4" t="s">
        <v>186</v>
      </c>
    </row>
    <row r="41" customFormat="false" ht="93" hidden="false" customHeight="true" outlineLevel="0" collapsed="false">
      <c r="A41" s="3" t="s">
        <v>181</v>
      </c>
      <c r="B41" s="4" t="s">
        <v>34</v>
      </c>
      <c r="C41" s="4" t="s">
        <v>182</v>
      </c>
      <c r="D41" s="4" t="n">
        <f aca="false">IFERROR(DPG2b!L15,"")</f>
        <v>0</v>
      </c>
      <c r="E41" s="4" t="s">
        <v>21</v>
      </c>
      <c r="F41" s="5"/>
      <c r="G41" s="5"/>
      <c r="H41" s="6" t="str">
        <f aca="false">IF(OR(F41="",NOT(ISNUMBER(D41))),"",IF(ABS(F41-D41)&lt;0.001,"Yes","No"))</f>
        <v/>
      </c>
      <c r="I41" s="7" t="n">
        <f aca="false">IF(ISNUMBER(F41),F41,D41)</f>
        <v>0</v>
      </c>
      <c r="J41" s="6" t="str">
        <f aca="false">IF(ISNUMBER(F41),"Expert (overrides AI)",IF(ISNUMBER(D41),"AI","Not scored yet"))</f>
        <v>AI</v>
      </c>
      <c r="K41" s="4" t="s">
        <v>22</v>
      </c>
      <c r="L41" s="4" t="s">
        <v>23</v>
      </c>
      <c r="M41" s="4" t="s">
        <v>187</v>
      </c>
      <c r="N41" s="4" t="s">
        <v>36</v>
      </c>
      <c r="O41" s="4" t="s">
        <v>37</v>
      </c>
      <c r="P41" s="4" t="s">
        <v>188</v>
      </c>
      <c r="Q41" s="4" t="s">
        <v>189</v>
      </c>
      <c r="R41" s="4"/>
    </row>
    <row r="42" customFormat="false" ht="93" hidden="false" customHeight="true" outlineLevel="0" collapsed="false">
      <c r="A42" s="3" t="s">
        <v>181</v>
      </c>
      <c r="B42" s="4" t="s">
        <v>40</v>
      </c>
      <c r="C42" s="4" t="s">
        <v>182</v>
      </c>
      <c r="D42" s="4" t="n">
        <f aca="false">IFERROR(DPG2b!L16,"")</f>
        <v>0</v>
      </c>
      <c r="E42" s="4" t="s">
        <v>21</v>
      </c>
      <c r="F42" s="5"/>
      <c r="G42" s="5"/>
      <c r="H42" s="6" t="str">
        <f aca="false">IF(OR(F42="",NOT(ISNUMBER(D42))),"",IF(ABS(F42-D42)&lt;0.001,"Yes","No"))</f>
        <v/>
      </c>
      <c r="I42" s="7" t="n">
        <f aca="false">IF(ISNUMBER(F42),F42,D42)</f>
        <v>0</v>
      </c>
      <c r="J42" s="6" t="str">
        <f aca="false">IF(ISNUMBER(F42),"Expert (overrides AI)",IF(ISNUMBER(D42),"AI","Not scored yet"))</f>
        <v>AI</v>
      </c>
      <c r="K42" s="4" t="s">
        <v>22</v>
      </c>
      <c r="L42" s="4" t="s">
        <v>23</v>
      </c>
      <c r="M42" s="4" t="s">
        <v>190</v>
      </c>
      <c r="N42" s="4" t="s">
        <v>42</v>
      </c>
      <c r="O42" s="4" t="s">
        <v>43</v>
      </c>
      <c r="P42" s="4" t="s">
        <v>191</v>
      </c>
      <c r="Q42" s="4" t="s">
        <v>192</v>
      </c>
      <c r="R42" s="4"/>
    </row>
    <row r="43" customFormat="false" ht="93" hidden="false" customHeight="true" outlineLevel="0" collapsed="false">
      <c r="A43" s="3" t="s">
        <v>181</v>
      </c>
      <c r="B43" s="4" t="s">
        <v>46</v>
      </c>
      <c r="C43" s="4" t="s">
        <v>182</v>
      </c>
      <c r="D43" s="4" t="n">
        <f aca="false">IFERROR(DPG2b!L17,"")</f>
        <v>0</v>
      </c>
      <c r="E43" s="4" t="s">
        <v>21</v>
      </c>
      <c r="F43" s="5"/>
      <c r="G43" s="5"/>
      <c r="H43" s="6" t="str">
        <f aca="false">IF(OR(F43="",NOT(ISNUMBER(D43))),"",IF(ABS(F43-D43)&lt;0.001,"Yes","No"))</f>
        <v/>
      </c>
      <c r="I43" s="7" t="n">
        <f aca="false">IF(ISNUMBER(F43),F43,D43)</f>
        <v>0</v>
      </c>
      <c r="J43" s="6" t="str">
        <f aca="false">IF(ISNUMBER(F43),"Expert (overrides AI)",IF(ISNUMBER(D43),"AI","Not scored yet"))</f>
        <v>AI</v>
      </c>
      <c r="K43" s="4" t="s">
        <v>22</v>
      </c>
      <c r="L43" s="4" t="s">
        <v>23</v>
      </c>
      <c r="M43" s="4" t="s">
        <v>193</v>
      </c>
      <c r="N43" s="4" t="s">
        <v>48</v>
      </c>
      <c r="O43" s="4" t="s">
        <v>49</v>
      </c>
      <c r="P43" s="4" t="s">
        <v>194</v>
      </c>
      <c r="Q43" s="4" t="s">
        <v>195</v>
      </c>
      <c r="R43" s="4"/>
    </row>
    <row r="44" customFormat="false" ht="93" hidden="false" customHeight="true" outlineLevel="0" collapsed="false">
      <c r="A44" s="3" t="s">
        <v>196</v>
      </c>
      <c r="B44" s="4" t="s">
        <v>19</v>
      </c>
      <c r="C44" s="4" t="s">
        <v>197</v>
      </c>
      <c r="D44" s="4" t="str">
        <f aca="false">IFERROR('DPG4'!L13,"")</f>
        <v/>
      </c>
      <c r="E44" s="4" t="s">
        <v>198</v>
      </c>
      <c r="F44" s="5"/>
      <c r="G44" s="5"/>
      <c r="H44" s="6" t="str">
        <f aca="false">IF(OR(F44="",NOT(ISNUMBER(D44))),"",IF(ABS(F44-D44)&lt;0.001,"Yes","No"))</f>
        <v/>
      </c>
      <c r="I44" s="7" t="str">
        <f aca="false">IF(ISNUMBER(F44),F44,D44)</f>
        <v/>
      </c>
      <c r="J44" s="6" t="str">
        <f aca="false">IF(ISNUMBER(F44),"Expert (overrides AI)",IF(ISNUMBER(D44),"AI","Not scored yet"))</f>
        <v>Not scored yet</v>
      </c>
      <c r="K44" s="4" t="s">
        <v>30</v>
      </c>
      <c r="L44" s="4" t="s">
        <v>59</v>
      </c>
      <c r="M44" s="4"/>
      <c r="N44" s="4"/>
      <c r="O44" s="4"/>
      <c r="P44" s="4"/>
      <c r="Q44" s="4"/>
      <c r="R44" s="4" t="s">
        <v>199</v>
      </c>
    </row>
    <row r="45" customFormat="false" ht="93" hidden="false" customHeight="true" outlineLevel="0" collapsed="false">
      <c r="A45" s="3" t="s">
        <v>196</v>
      </c>
      <c r="B45" s="4" t="s">
        <v>29</v>
      </c>
      <c r="C45" s="4" t="s">
        <v>197</v>
      </c>
      <c r="D45" s="4" t="str">
        <f aca="false">IFERROR('DPG4'!L14,"")</f>
        <v/>
      </c>
      <c r="E45" s="4" t="s">
        <v>198</v>
      </c>
      <c r="F45" s="5"/>
      <c r="G45" s="5"/>
      <c r="H45" s="6" t="str">
        <f aca="false">IF(OR(F45="",NOT(ISNUMBER(D45))),"",IF(ABS(F45-D45)&lt;0.001,"Yes","No"))</f>
        <v/>
      </c>
      <c r="I45" s="7" t="str">
        <f aca="false">IF(ISNUMBER(F45),F45,D45)</f>
        <v/>
      </c>
      <c r="J45" s="6" t="str">
        <f aca="false">IF(ISNUMBER(F45),"Expert (overrides AI)",IF(ISNUMBER(D45),"AI","Not scored yet"))</f>
        <v>Not scored yet</v>
      </c>
      <c r="K45" s="4" t="s">
        <v>30</v>
      </c>
      <c r="L45" s="4" t="s">
        <v>59</v>
      </c>
      <c r="M45" s="4"/>
      <c r="N45" s="4"/>
      <c r="O45" s="4"/>
      <c r="P45" s="4"/>
      <c r="Q45" s="4"/>
      <c r="R45" s="4" t="s">
        <v>200</v>
      </c>
    </row>
    <row r="46" customFormat="false" ht="93" hidden="false" customHeight="true" outlineLevel="0" collapsed="false">
      <c r="A46" s="3" t="s">
        <v>196</v>
      </c>
      <c r="B46" s="4" t="s">
        <v>34</v>
      </c>
      <c r="C46" s="4" t="s">
        <v>197</v>
      </c>
      <c r="D46" s="4" t="str">
        <f aca="false">IFERROR('DPG4'!L15,"")</f>
        <v/>
      </c>
      <c r="E46" s="4" t="s">
        <v>198</v>
      </c>
      <c r="F46" s="5"/>
      <c r="G46" s="5"/>
      <c r="H46" s="6" t="str">
        <f aca="false">IF(OR(F46="",NOT(ISNUMBER(D46))),"",IF(ABS(F46-D46)&lt;0.001,"Yes","No"))</f>
        <v/>
      </c>
      <c r="I46" s="7" t="str">
        <f aca="false">IF(ISNUMBER(F46),F46,D46)</f>
        <v/>
      </c>
      <c r="J46" s="6" t="str">
        <f aca="false">IF(ISNUMBER(F46),"Expert (overrides AI)",IF(ISNUMBER(D46),"AI","Not scored yet"))</f>
        <v>Not scored yet</v>
      </c>
      <c r="K46" s="4" t="s">
        <v>30</v>
      </c>
      <c r="L46" s="4" t="s">
        <v>59</v>
      </c>
      <c r="M46" s="4"/>
      <c r="N46" s="4"/>
      <c r="O46" s="4"/>
      <c r="P46" s="4"/>
      <c r="Q46" s="4"/>
      <c r="R46" s="4" t="s">
        <v>201</v>
      </c>
    </row>
    <row r="47" customFormat="false" ht="93" hidden="false" customHeight="true" outlineLevel="0" collapsed="false">
      <c r="A47" s="3" t="s">
        <v>196</v>
      </c>
      <c r="B47" s="4" t="s">
        <v>40</v>
      </c>
      <c r="C47" s="4" t="s">
        <v>197</v>
      </c>
      <c r="D47" s="4" t="str">
        <f aca="false">IFERROR('DPG4'!L16,"")</f>
        <v/>
      </c>
      <c r="E47" s="4" t="s">
        <v>198</v>
      </c>
      <c r="F47" s="5"/>
      <c r="G47" s="5"/>
      <c r="H47" s="6" t="str">
        <f aca="false">IF(OR(F47="",NOT(ISNUMBER(D47))),"",IF(ABS(F47-D47)&lt;0.001,"Yes","No"))</f>
        <v/>
      </c>
      <c r="I47" s="7" t="str">
        <f aca="false">IF(ISNUMBER(F47),F47,D47)</f>
        <v/>
      </c>
      <c r="J47" s="6" t="str">
        <f aca="false">IF(ISNUMBER(F47),"Expert (overrides AI)",IF(ISNUMBER(D47),"AI","Not scored yet"))</f>
        <v>Not scored yet</v>
      </c>
      <c r="K47" s="4" t="s">
        <v>30</v>
      </c>
      <c r="L47" s="4" t="s">
        <v>31</v>
      </c>
      <c r="M47" s="4" t="s">
        <v>202</v>
      </c>
      <c r="N47" s="4" t="s">
        <v>174</v>
      </c>
      <c r="O47" s="4" t="s">
        <v>175</v>
      </c>
      <c r="P47" s="4" t="s">
        <v>203</v>
      </c>
      <c r="Q47" s="4" t="s">
        <v>204</v>
      </c>
      <c r="R47" s="4" t="s">
        <v>147</v>
      </c>
    </row>
    <row r="48" customFormat="false" ht="93" hidden="false" customHeight="true" outlineLevel="0" collapsed="false">
      <c r="A48" s="3" t="s">
        <v>196</v>
      </c>
      <c r="B48" s="4" t="s">
        <v>46</v>
      </c>
      <c r="C48" s="4" t="s">
        <v>197</v>
      </c>
      <c r="D48" s="4" t="n">
        <f aca="false">IFERROR('DPG4'!L17,"")</f>
        <v>10</v>
      </c>
      <c r="E48" s="4" t="s">
        <v>198</v>
      </c>
      <c r="F48" s="5"/>
      <c r="G48" s="5"/>
      <c r="H48" s="6" t="str">
        <f aca="false">IF(OR(F48="",NOT(ISNUMBER(D48))),"",IF(ABS(F48-D48)&lt;0.001,"Yes","No"))</f>
        <v/>
      </c>
      <c r="I48" s="7" t="n">
        <f aca="false">IF(ISNUMBER(F48),F48,D48)</f>
        <v>10</v>
      </c>
      <c r="J48" s="6" t="str">
        <f aca="false">IF(ISNUMBER(F48),"Expert (overrides AI)",IF(ISNUMBER(D48),"AI","Not scored yet"))</f>
        <v>AI</v>
      </c>
      <c r="K48" s="4" t="s">
        <v>22</v>
      </c>
      <c r="L48" s="4" t="s">
        <v>23</v>
      </c>
      <c r="M48" s="4" t="s">
        <v>205</v>
      </c>
      <c r="N48" s="4" t="s">
        <v>206</v>
      </c>
      <c r="O48" s="4" t="s">
        <v>207</v>
      </c>
      <c r="P48" s="4" t="s">
        <v>208</v>
      </c>
      <c r="Q48" s="4" t="s">
        <v>209</v>
      </c>
      <c r="R48" s="4"/>
    </row>
    <row r="49" customFormat="false" ht="93" hidden="false" customHeight="true" outlineLevel="0" collapsed="false">
      <c r="A49" s="3" t="s">
        <v>210</v>
      </c>
      <c r="B49" s="4" t="s">
        <v>19</v>
      </c>
      <c r="C49" s="4" t="s">
        <v>211</v>
      </c>
      <c r="D49" s="4" t="str">
        <f aca="false">IFERROR(DPG5a!L13,"")</f>
        <v/>
      </c>
      <c r="E49" s="4" t="s">
        <v>212</v>
      </c>
      <c r="F49" s="5"/>
      <c r="G49" s="5"/>
      <c r="H49" s="6" t="str">
        <f aca="false">IF(OR(F49="",NOT(ISNUMBER(D49))),"",IF(ABS(F49-D49)&lt;0.001,"Yes","No"))</f>
        <v/>
      </c>
      <c r="I49" s="7" t="str">
        <f aca="false">IF(ISNUMBER(F49),F49,D49)</f>
        <v/>
      </c>
      <c r="J49" s="6" t="str">
        <f aca="false">IF(ISNUMBER(F49),"Expert (overrides AI)",IF(ISNUMBER(D49),"AI","Not scored yet"))</f>
        <v>Not scored yet</v>
      </c>
      <c r="K49" s="4" t="s">
        <v>30</v>
      </c>
      <c r="L49" s="4" t="s">
        <v>59</v>
      </c>
      <c r="M49" s="4"/>
      <c r="N49" s="4"/>
      <c r="O49" s="4"/>
      <c r="P49" s="4"/>
      <c r="Q49" s="4"/>
      <c r="R49" s="4" t="s">
        <v>213</v>
      </c>
    </row>
    <row r="50" customFormat="false" ht="93" hidden="false" customHeight="true" outlineLevel="0" collapsed="false">
      <c r="A50" s="3" t="s">
        <v>210</v>
      </c>
      <c r="B50" s="4" t="s">
        <v>29</v>
      </c>
      <c r="C50" s="4" t="s">
        <v>211</v>
      </c>
      <c r="D50" s="4" t="str">
        <f aca="false">IFERROR(DPG5a!L14,"")</f>
        <v/>
      </c>
      <c r="E50" s="4" t="s">
        <v>212</v>
      </c>
      <c r="F50" s="5"/>
      <c r="G50" s="5"/>
      <c r="H50" s="6" t="str">
        <f aca="false">IF(OR(F50="",NOT(ISNUMBER(D50))),"",IF(ABS(F50-D50)&lt;0.001,"Yes","No"))</f>
        <v/>
      </c>
      <c r="I50" s="7" t="str">
        <f aca="false">IF(ISNUMBER(F50),F50,D50)</f>
        <v/>
      </c>
      <c r="J50" s="6" t="str">
        <f aca="false">IF(ISNUMBER(F50),"Expert (overrides AI)",IF(ISNUMBER(D50),"AI","Not scored yet"))</f>
        <v>Not scored yet</v>
      </c>
      <c r="K50" s="4" t="s">
        <v>30</v>
      </c>
      <c r="L50" s="4" t="s">
        <v>59</v>
      </c>
      <c r="M50" s="4"/>
      <c r="N50" s="4"/>
      <c r="O50" s="4"/>
      <c r="P50" s="4"/>
      <c r="Q50" s="4"/>
      <c r="R50" s="4" t="s">
        <v>214</v>
      </c>
    </row>
    <row r="51" customFormat="false" ht="93" hidden="false" customHeight="true" outlineLevel="0" collapsed="false">
      <c r="A51" s="3" t="s">
        <v>210</v>
      </c>
      <c r="B51" s="4" t="s">
        <v>34</v>
      </c>
      <c r="C51" s="4" t="s">
        <v>211</v>
      </c>
      <c r="D51" s="4" t="str">
        <f aca="false">IFERROR(DPG5a!L15,"")</f>
        <v/>
      </c>
      <c r="E51" s="4" t="s">
        <v>212</v>
      </c>
      <c r="F51" s="5"/>
      <c r="G51" s="5"/>
      <c r="H51" s="6" t="str">
        <f aca="false">IF(OR(F51="",NOT(ISNUMBER(D51))),"",IF(ABS(F51-D51)&lt;0.001,"Yes","No"))</f>
        <v/>
      </c>
      <c r="I51" s="7" t="str">
        <f aca="false">IF(ISNUMBER(F51),F51,D51)</f>
        <v/>
      </c>
      <c r="J51" s="6" t="str">
        <f aca="false">IF(ISNUMBER(F51),"Expert (overrides AI)",IF(ISNUMBER(D51),"AI","Not scored yet"))</f>
        <v>Not scored yet</v>
      </c>
      <c r="K51" s="4" t="s">
        <v>30</v>
      </c>
      <c r="L51" s="4" t="s">
        <v>59</v>
      </c>
      <c r="M51" s="4"/>
      <c r="N51" s="4"/>
      <c r="O51" s="4"/>
      <c r="P51" s="4"/>
      <c r="Q51" s="4"/>
      <c r="R51" s="4" t="s">
        <v>215</v>
      </c>
    </row>
    <row r="52" customFormat="false" ht="93" hidden="false" customHeight="true" outlineLevel="0" collapsed="false">
      <c r="A52" s="3" t="s">
        <v>210</v>
      </c>
      <c r="B52" s="4" t="s">
        <v>40</v>
      </c>
      <c r="C52" s="4" t="s">
        <v>211</v>
      </c>
      <c r="D52" s="4" t="str">
        <f aca="false">IFERROR(DPG5a!L16,"")</f>
        <v/>
      </c>
      <c r="E52" s="4" t="s">
        <v>212</v>
      </c>
      <c r="F52" s="5"/>
      <c r="G52" s="5"/>
      <c r="H52" s="6" t="str">
        <f aca="false">IF(OR(F52="",NOT(ISNUMBER(D52))),"",IF(ABS(F52-D52)&lt;0.001,"Yes","No"))</f>
        <v/>
      </c>
      <c r="I52" s="7" t="str">
        <f aca="false">IF(ISNUMBER(F52),F52,D52)</f>
        <v/>
      </c>
      <c r="J52" s="6" t="str">
        <f aca="false">IF(ISNUMBER(F52),"Expert (overrides AI)",IF(ISNUMBER(D52),"AI","Not scored yet"))</f>
        <v>Not scored yet</v>
      </c>
      <c r="K52" s="4" t="s">
        <v>30</v>
      </c>
      <c r="L52" s="4" t="s">
        <v>59</v>
      </c>
      <c r="M52" s="4"/>
      <c r="N52" s="4"/>
      <c r="O52" s="4"/>
      <c r="P52" s="4"/>
      <c r="Q52" s="4"/>
      <c r="R52" s="4" t="s">
        <v>216</v>
      </c>
    </row>
    <row r="53" customFormat="false" ht="93" hidden="false" customHeight="true" outlineLevel="0" collapsed="false">
      <c r="A53" s="3" t="s">
        <v>210</v>
      </c>
      <c r="B53" s="4" t="s">
        <v>46</v>
      </c>
      <c r="C53" s="4" t="s">
        <v>211</v>
      </c>
      <c r="D53" s="4" t="str">
        <f aca="false">IFERROR(DPG5a!L17,"")</f>
        <v/>
      </c>
      <c r="E53" s="4" t="s">
        <v>212</v>
      </c>
      <c r="F53" s="5"/>
      <c r="G53" s="5"/>
      <c r="H53" s="6" t="str">
        <f aca="false">IF(OR(F53="",NOT(ISNUMBER(D53))),"",IF(ABS(F53-D53)&lt;0.001,"Yes","No"))</f>
        <v/>
      </c>
      <c r="I53" s="7" t="str">
        <f aca="false">IF(ISNUMBER(F53),F53,D53)</f>
        <v/>
      </c>
      <c r="J53" s="6" t="str">
        <f aca="false">IF(ISNUMBER(F53),"Expert (overrides AI)",IF(ISNUMBER(D53),"AI","Not scored yet"))</f>
        <v>Not scored yet</v>
      </c>
      <c r="K53" s="4" t="s">
        <v>30</v>
      </c>
      <c r="L53" s="4" t="s">
        <v>59</v>
      </c>
      <c r="M53" s="4"/>
      <c r="N53" s="4"/>
      <c r="O53" s="4"/>
      <c r="P53" s="4"/>
      <c r="Q53" s="4"/>
      <c r="R53" s="4" t="s">
        <v>217</v>
      </c>
    </row>
    <row r="54" customFormat="false" ht="93" hidden="false" customHeight="true" outlineLevel="0" collapsed="false">
      <c r="A54" s="3" t="s">
        <v>218</v>
      </c>
      <c r="B54" s="4" t="s">
        <v>19</v>
      </c>
      <c r="C54" s="4" t="s">
        <v>219</v>
      </c>
      <c r="D54" s="4" t="str">
        <f aca="false">IFERROR(DPG5b!L13,"")</f>
        <v/>
      </c>
      <c r="E54" s="4" t="s">
        <v>212</v>
      </c>
      <c r="F54" s="5"/>
      <c r="G54" s="5"/>
      <c r="H54" s="6" t="str">
        <f aca="false">IF(OR(F54="",NOT(ISNUMBER(D54))),"",IF(ABS(F54-D54)&lt;0.001,"Yes","No"))</f>
        <v/>
      </c>
      <c r="I54" s="7" t="str">
        <f aca="false">IF(ISNUMBER(F54),F54,D54)</f>
        <v/>
      </c>
      <c r="J54" s="6" t="str">
        <f aca="false">IF(ISNUMBER(F54),"Expert (overrides AI)",IF(ISNUMBER(D54),"AI","Not scored yet"))</f>
        <v>Not scored yet</v>
      </c>
      <c r="K54" s="4" t="s">
        <v>30</v>
      </c>
      <c r="L54" s="4" t="s">
        <v>59</v>
      </c>
      <c r="M54" s="4"/>
      <c r="N54" s="4"/>
      <c r="O54" s="4"/>
      <c r="P54" s="4"/>
      <c r="Q54" s="4"/>
      <c r="R54" s="4" t="s">
        <v>220</v>
      </c>
    </row>
    <row r="55" customFormat="false" ht="93" hidden="false" customHeight="true" outlineLevel="0" collapsed="false">
      <c r="A55" s="3" t="s">
        <v>218</v>
      </c>
      <c r="B55" s="4" t="s">
        <v>29</v>
      </c>
      <c r="C55" s="4" t="s">
        <v>219</v>
      </c>
      <c r="D55" s="4" t="str">
        <f aca="false">IFERROR(DPG5b!L14,"")</f>
        <v/>
      </c>
      <c r="E55" s="4" t="s">
        <v>212</v>
      </c>
      <c r="F55" s="5"/>
      <c r="G55" s="5"/>
      <c r="H55" s="6" t="str">
        <f aca="false">IF(OR(F55="",NOT(ISNUMBER(D55))),"",IF(ABS(F55-D55)&lt;0.001,"Yes","No"))</f>
        <v/>
      </c>
      <c r="I55" s="7" t="str">
        <f aca="false">IF(ISNUMBER(F55),F55,D55)</f>
        <v/>
      </c>
      <c r="J55" s="6" t="str">
        <f aca="false">IF(ISNUMBER(F55),"Expert (overrides AI)",IF(ISNUMBER(D55),"AI","Not scored yet"))</f>
        <v>Not scored yet</v>
      </c>
      <c r="K55" s="4" t="s">
        <v>30</v>
      </c>
      <c r="L55" s="4" t="s">
        <v>59</v>
      </c>
      <c r="M55" s="4"/>
      <c r="N55" s="4"/>
      <c r="O55" s="4"/>
      <c r="P55" s="4"/>
      <c r="Q55" s="4"/>
      <c r="R55" s="4" t="s">
        <v>221</v>
      </c>
    </row>
    <row r="56" customFormat="false" ht="93" hidden="false" customHeight="true" outlineLevel="0" collapsed="false">
      <c r="A56" s="3" t="s">
        <v>218</v>
      </c>
      <c r="B56" s="4" t="s">
        <v>34</v>
      </c>
      <c r="C56" s="4" t="s">
        <v>219</v>
      </c>
      <c r="D56" s="4" t="str">
        <f aca="false">IFERROR(DPG5b!L15,"")</f>
        <v/>
      </c>
      <c r="E56" s="4" t="s">
        <v>212</v>
      </c>
      <c r="F56" s="5"/>
      <c r="G56" s="5"/>
      <c r="H56" s="6" t="str">
        <f aca="false">IF(OR(F56="",NOT(ISNUMBER(D56))),"",IF(ABS(F56-D56)&lt;0.001,"Yes","No"))</f>
        <v/>
      </c>
      <c r="I56" s="7" t="str">
        <f aca="false">IF(ISNUMBER(F56),F56,D56)</f>
        <v/>
      </c>
      <c r="J56" s="6" t="str">
        <f aca="false">IF(ISNUMBER(F56),"Expert (overrides AI)",IF(ISNUMBER(D56),"AI","Not scored yet"))</f>
        <v>Not scored yet</v>
      </c>
      <c r="K56" s="4" t="s">
        <v>30</v>
      </c>
      <c r="L56" s="4" t="s">
        <v>59</v>
      </c>
      <c r="M56" s="4"/>
      <c r="N56" s="4"/>
      <c r="O56" s="4"/>
      <c r="P56" s="4"/>
      <c r="Q56" s="4"/>
      <c r="R56" s="4" t="s">
        <v>222</v>
      </c>
    </row>
    <row r="57" customFormat="false" ht="93" hidden="false" customHeight="true" outlineLevel="0" collapsed="false">
      <c r="A57" s="3" t="s">
        <v>218</v>
      </c>
      <c r="B57" s="4" t="s">
        <v>40</v>
      </c>
      <c r="C57" s="4" t="s">
        <v>219</v>
      </c>
      <c r="D57" s="4" t="n">
        <f aca="false">IFERROR(DPG5b!L16,"")</f>
        <v>0</v>
      </c>
      <c r="E57" s="4" t="s">
        <v>212</v>
      </c>
      <c r="F57" s="5"/>
      <c r="G57" s="5"/>
      <c r="H57" s="6" t="str">
        <f aca="false">IF(OR(F57="",NOT(ISNUMBER(D57))),"",IF(ABS(F57-D57)&lt;0.001,"Yes","No"))</f>
        <v/>
      </c>
      <c r="I57" s="7" t="n">
        <f aca="false">IF(ISNUMBER(F57),F57,D57)</f>
        <v>0</v>
      </c>
      <c r="J57" s="6" t="str">
        <f aca="false">IF(ISNUMBER(F57),"Expert (overrides AI)",IF(ISNUMBER(D57),"AI","Not scored yet"))</f>
        <v>AI</v>
      </c>
      <c r="K57" s="4" t="s">
        <v>22</v>
      </c>
      <c r="L57" s="4" t="s">
        <v>31</v>
      </c>
      <c r="M57" s="4" t="s">
        <v>223</v>
      </c>
      <c r="N57" s="4" t="s">
        <v>174</v>
      </c>
      <c r="O57" s="4" t="s">
        <v>175</v>
      </c>
      <c r="P57" s="4" t="s">
        <v>224</v>
      </c>
      <c r="Q57" s="4" t="s">
        <v>225</v>
      </c>
      <c r="R57" s="4"/>
    </row>
    <row r="58" customFormat="false" ht="93" hidden="false" customHeight="true" outlineLevel="0" collapsed="false">
      <c r="A58" s="3" t="s">
        <v>218</v>
      </c>
      <c r="B58" s="4" t="s">
        <v>46</v>
      </c>
      <c r="C58" s="4" t="s">
        <v>219</v>
      </c>
      <c r="D58" s="4" t="str">
        <f aca="false">IFERROR(DPG5b!L17,"")</f>
        <v/>
      </c>
      <c r="E58" s="4" t="s">
        <v>212</v>
      </c>
      <c r="F58" s="5"/>
      <c r="G58" s="5"/>
      <c r="H58" s="6" t="str">
        <f aca="false">IF(OR(F58="",NOT(ISNUMBER(D58))),"",IF(ABS(F58-D58)&lt;0.001,"Yes","No"))</f>
        <v/>
      </c>
      <c r="I58" s="7" t="str">
        <f aca="false">IF(ISNUMBER(F58),F58,D58)</f>
        <v/>
      </c>
      <c r="J58" s="6" t="str">
        <f aca="false">IF(ISNUMBER(F58),"Expert (overrides AI)",IF(ISNUMBER(D58),"AI","Not scored yet"))</f>
        <v>Not scored yet</v>
      </c>
      <c r="K58" s="4" t="s">
        <v>30</v>
      </c>
      <c r="L58" s="4" t="s">
        <v>59</v>
      </c>
      <c r="M58" s="4"/>
      <c r="N58" s="4"/>
      <c r="O58" s="4"/>
      <c r="P58" s="4"/>
      <c r="Q58" s="4"/>
      <c r="R58" s="4" t="s">
        <v>226</v>
      </c>
    </row>
    <row r="59" customFormat="false" ht="93" hidden="false" customHeight="true" outlineLevel="0" collapsed="false">
      <c r="A59" s="3" t="s">
        <v>227</v>
      </c>
      <c r="B59" s="4" t="s">
        <v>19</v>
      </c>
      <c r="C59" s="4" t="s">
        <v>228</v>
      </c>
      <c r="D59" s="4" t="str">
        <f aca="false">IFERROR(DPG5c!L13,"")</f>
        <v/>
      </c>
      <c r="E59" s="4" t="s">
        <v>212</v>
      </c>
      <c r="F59" s="5"/>
      <c r="G59" s="5"/>
      <c r="H59" s="6" t="str">
        <f aca="false">IF(OR(F59="",NOT(ISNUMBER(D59))),"",IF(ABS(F59-D59)&lt;0.001,"Yes","No"))</f>
        <v/>
      </c>
      <c r="I59" s="7" t="str">
        <f aca="false">IF(ISNUMBER(F59),F59,D59)</f>
        <v/>
      </c>
      <c r="J59" s="6" t="str">
        <f aca="false">IF(ISNUMBER(F59),"Expert (overrides AI)",IF(ISNUMBER(D59),"AI","Not scored yet"))</f>
        <v>Not scored yet</v>
      </c>
      <c r="K59" s="4" t="s">
        <v>30</v>
      </c>
      <c r="L59" s="4" t="s">
        <v>59</v>
      </c>
      <c r="M59" s="4"/>
      <c r="N59" s="4"/>
      <c r="O59" s="4"/>
      <c r="P59" s="4"/>
      <c r="Q59" s="4"/>
      <c r="R59" s="4" t="s">
        <v>229</v>
      </c>
    </row>
    <row r="60" customFormat="false" ht="93" hidden="false" customHeight="true" outlineLevel="0" collapsed="false">
      <c r="A60" s="3" t="s">
        <v>227</v>
      </c>
      <c r="B60" s="4" t="s">
        <v>29</v>
      </c>
      <c r="C60" s="4" t="s">
        <v>228</v>
      </c>
      <c r="D60" s="4" t="str">
        <f aca="false">IFERROR(DPG5c!L14,"")</f>
        <v/>
      </c>
      <c r="E60" s="4" t="s">
        <v>212</v>
      </c>
      <c r="F60" s="5"/>
      <c r="G60" s="5"/>
      <c r="H60" s="6" t="str">
        <f aca="false">IF(OR(F60="",NOT(ISNUMBER(D60))),"",IF(ABS(F60-D60)&lt;0.001,"Yes","No"))</f>
        <v/>
      </c>
      <c r="I60" s="7" t="str">
        <f aca="false">IF(ISNUMBER(F60),F60,D60)</f>
        <v/>
      </c>
      <c r="J60" s="6" t="str">
        <f aca="false">IF(ISNUMBER(F60),"Expert (overrides AI)",IF(ISNUMBER(D60),"AI","Not scored yet"))</f>
        <v>Not scored yet</v>
      </c>
      <c r="K60" s="4" t="s">
        <v>30</v>
      </c>
      <c r="L60" s="4" t="s">
        <v>59</v>
      </c>
      <c r="M60" s="4"/>
      <c r="N60" s="4"/>
      <c r="O60" s="4"/>
      <c r="P60" s="4"/>
      <c r="Q60" s="4"/>
      <c r="R60" s="4" t="s">
        <v>230</v>
      </c>
    </row>
    <row r="61" customFormat="false" ht="93" hidden="false" customHeight="true" outlineLevel="0" collapsed="false">
      <c r="A61" s="3" t="s">
        <v>227</v>
      </c>
      <c r="B61" s="4" t="s">
        <v>34</v>
      </c>
      <c r="C61" s="4" t="s">
        <v>228</v>
      </c>
      <c r="D61" s="4" t="str">
        <f aca="false">IFERROR(DPG5c!L15,"")</f>
        <v/>
      </c>
      <c r="E61" s="4" t="s">
        <v>212</v>
      </c>
      <c r="F61" s="5"/>
      <c r="G61" s="5"/>
      <c r="H61" s="6" t="str">
        <f aca="false">IF(OR(F61="",NOT(ISNUMBER(D61))),"",IF(ABS(F61-D61)&lt;0.001,"Yes","No"))</f>
        <v/>
      </c>
      <c r="I61" s="7" t="str">
        <f aca="false">IF(ISNUMBER(F61),F61,D61)</f>
        <v/>
      </c>
      <c r="J61" s="6" t="str">
        <f aca="false">IF(ISNUMBER(F61),"Expert (overrides AI)",IF(ISNUMBER(D61),"AI","Not scored yet"))</f>
        <v>Not scored yet</v>
      </c>
      <c r="K61" s="4" t="s">
        <v>30</v>
      </c>
      <c r="L61" s="4" t="s">
        <v>59</v>
      </c>
      <c r="M61" s="4"/>
      <c r="N61" s="4"/>
      <c r="O61" s="4"/>
      <c r="P61" s="4"/>
      <c r="Q61" s="4"/>
      <c r="R61" s="4" t="s">
        <v>231</v>
      </c>
    </row>
    <row r="62" customFormat="false" ht="93" hidden="false" customHeight="true" outlineLevel="0" collapsed="false">
      <c r="A62" s="3" t="s">
        <v>227</v>
      </c>
      <c r="B62" s="4" t="s">
        <v>40</v>
      </c>
      <c r="C62" s="4" t="s">
        <v>228</v>
      </c>
      <c r="D62" s="4" t="str">
        <f aca="false">IFERROR(DPG5c!L16,"")</f>
        <v/>
      </c>
      <c r="E62" s="4" t="s">
        <v>212</v>
      </c>
      <c r="F62" s="5"/>
      <c r="G62" s="5"/>
      <c r="H62" s="6" t="str">
        <f aca="false">IF(OR(F62="",NOT(ISNUMBER(D62))),"",IF(ABS(F62-D62)&lt;0.001,"Yes","No"))</f>
        <v/>
      </c>
      <c r="I62" s="7" t="str">
        <f aca="false">IF(ISNUMBER(F62),F62,D62)</f>
        <v/>
      </c>
      <c r="J62" s="6" t="str">
        <f aca="false">IF(ISNUMBER(F62),"Expert (overrides AI)",IF(ISNUMBER(D62),"AI","Not scored yet"))</f>
        <v>Not scored yet</v>
      </c>
      <c r="K62" s="4" t="s">
        <v>30</v>
      </c>
      <c r="L62" s="4" t="s">
        <v>72</v>
      </c>
      <c r="M62" s="4" t="s">
        <v>232</v>
      </c>
      <c r="N62" s="4"/>
      <c r="O62" s="4"/>
      <c r="P62" s="4"/>
      <c r="Q62" s="4"/>
      <c r="R62" s="4" t="s">
        <v>233</v>
      </c>
    </row>
    <row r="63" customFormat="false" ht="93" hidden="false" customHeight="true" outlineLevel="0" collapsed="false">
      <c r="A63" s="3" t="s">
        <v>227</v>
      </c>
      <c r="B63" s="4" t="s">
        <v>46</v>
      </c>
      <c r="C63" s="4" t="s">
        <v>228</v>
      </c>
      <c r="D63" s="4" t="str">
        <f aca="false">IFERROR(DPG5c!L17,"")</f>
        <v/>
      </c>
      <c r="E63" s="4" t="s">
        <v>212</v>
      </c>
      <c r="F63" s="5"/>
      <c r="G63" s="5"/>
      <c r="H63" s="6" t="str">
        <f aca="false">IF(OR(F63="",NOT(ISNUMBER(D63))),"",IF(ABS(F63-D63)&lt;0.001,"Yes","No"))</f>
        <v/>
      </c>
      <c r="I63" s="7" t="str">
        <f aca="false">IF(ISNUMBER(F63),F63,D63)</f>
        <v/>
      </c>
      <c r="J63" s="6" t="str">
        <f aca="false">IF(ISNUMBER(F63),"Expert (overrides AI)",IF(ISNUMBER(D63),"AI","Not scored yet"))</f>
        <v>Not scored yet</v>
      </c>
      <c r="K63" s="4" t="s">
        <v>30</v>
      </c>
      <c r="L63" s="4" t="s">
        <v>31</v>
      </c>
      <c r="M63" s="4" t="s">
        <v>234</v>
      </c>
      <c r="N63" s="4" t="s">
        <v>206</v>
      </c>
      <c r="O63" s="4" t="s">
        <v>207</v>
      </c>
      <c r="P63" s="4" t="s">
        <v>235</v>
      </c>
      <c r="Q63" s="4" t="s">
        <v>236</v>
      </c>
      <c r="R63" s="4" t="s">
        <v>147</v>
      </c>
    </row>
    <row r="64" customFormat="false" ht="93" hidden="false" customHeight="true" outlineLevel="0" collapsed="false">
      <c r="A64" s="3" t="s">
        <v>237</v>
      </c>
      <c r="B64" s="4" t="s">
        <v>19</v>
      </c>
      <c r="C64" s="4" t="s">
        <v>238</v>
      </c>
      <c r="D64" s="4" t="str">
        <f aca="false">IFERROR(DPG5d!L13,"")</f>
        <v/>
      </c>
      <c r="E64" s="4" t="s">
        <v>212</v>
      </c>
      <c r="F64" s="5"/>
      <c r="G64" s="5"/>
      <c r="H64" s="6" t="str">
        <f aca="false">IF(OR(F64="",NOT(ISNUMBER(D64))),"",IF(ABS(F64-D64)&lt;0.001,"Yes","No"))</f>
        <v/>
      </c>
      <c r="I64" s="7" t="str">
        <f aca="false">IF(ISNUMBER(F64),F64,D64)</f>
        <v/>
      </c>
      <c r="J64" s="6" t="str">
        <f aca="false">IF(ISNUMBER(F64),"Expert (overrides AI)",IF(ISNUMBER(D64),"AI","Not scored yet"))</f>
        <v>Not scored yet</v>
      </c>
      <c r="K64" s="4" t="s">
        <v>30</v>
      </c>
      <c r="L64" s="4" t="s">
        <v>59</v>
      </c>
      <c r="M64" s="4"/>
      <c r="N64" s="4"/>
      <c r="O64" s="4"/>
      <c r="P64" s="4"/>
      <c r="Q64" s="4"/>
      <c r="R64" s="4" t="s">
        <v>239</v>
      </c>
    </row>
    <row r="65" customFormat="false" ht="93" hidden="false" customHeight="true" outlineLevel="0" collapsed="false">
      <c r="A65" s="3" t="s">
        <v>237</v>
      </c>
      <c r="B65" s="4" t="s">
        <v>29</v>
      </c>
      <c r="C65" s="4" t="s">
        <v>238</v>
      </c>
      <c r="D65" s="4" t="str">
        <f aca="false">IFERROR(DPG5d!L14,"")</f>
        <v/>
      </c>
      <c r="E65" s="4" t="s">
        <v>212</v>
      </c>
      <c r="F65" s="5"/>
      <c r="G65" s="5"/>
      <c r="H65" s="6" t="str">
        <f aca="false">IF(OR(F65="",NOT(ISNUMBER(D65))),"",IF(ABS(F65-D65)&lt;0.001,"Yes","No"))</f>
        <v/>
      </c>
      <c r="I65" s="7" t="str">
        <f aca="false">IF(ISNUMBER(F65),F65,D65)</f>
        <v/>
      </c>
      <c r="J65" s="6" t="str">
        <f aca="false">IF(ISNUMBER(F65),"Expert (overrides AI)",IF(ISNUMBER(D65),"AI","Not scored yet"))</f>
        <v>Not scored yet</v>
      </c>
      <c r="K65" s="4" t="s">
        <v>30</v>
      </c>
      <c r="L65" s="4" t="s">
        <v>59</v>
      </c>
      <c r="M65" s="4"/>
      <c r="N65" s="4"/>
      <c r="O65" s="4"/>
      <c r="P65" s="4"/>
      <c r="Q65" s="4"/>
      <c r="R65" s="4" t="s">
        <v>240</v>
      </c>
    </row>
    <row r="66" customFormat="false" ht="93" hidden="false" customHeight="true" outlineLevel="0" collapsed="false">
      <c r="A66" s="3" t="s">
        <v>237</v>
      </c>
      <c r="B66" s="4" t="s">
        <v>34</v>
      </c>
      <c r="C66" s="4" t="s">
        <v>238</v>
      </c>
      <c r="D66" s="4" t="str">
        <f aca="false">IFERROR(DPG5d!L15,"")</f>
        <v/>
      </c>
      <c r="E66" s="4" t="s">
        <v>212</v>
      </c>
      <c r="F66" s="5"/>
      <c r="G66" s="5"/>
      <c r="H66" s="6" t="str">
        <f aca="false">IF(OR(F66="",NOT(ISNUMBER(D66))),"",IF(ABS(F66-D66)&lt;0.001,"Yes","No"))</f>
        <v/>
      </c>
      <c r="I66" s="7" t="str">
        <f aca="false">IF(ISNUMBER(F66),F66,D66)</f>
        <v/>
      </c>
      <c r="J66" s="6" t="str">
        <f aca="false">IF(ISNUMBER(F66),"Expert (overrides AI)",IF(ISNUMBER(D66),"AI","Not scored yet"))</f>
        <v>Not scored yet</v>
      </c>
      <c r="K66" s="4" t="s">
        <v>30</v>
      </c>
      <c r="L66" s="4" t="s">
        <v>59</v>
      </c>
      <c r="M66" s="4"/>
      <c r="N66" s="4"/>
      <c r="O66" s="4"/>
      <c r="P66" s="4"/>
      <c r="Q66" s="4"/>
      <c r="R66" s="4" t="s">
        <v>241</v>
      </c>
    </row>
    <row r="67" customFormat="false" ht="93" hidden="false" customHeight="true" outlineLevel="0" collapsed="false">
      <c r="A67" s="3" t="s">
        <v>237</v>
      </c>
      <c r="B67" s="4" t="s">
        <v>40</v>
      </c>
      <c r="C67" s="4" t="s">
        <v>238</v>
      </c>
      <c r="D67" s="4" t="str">
        <f aca="false">IFERROR(DPG5d!L16,"")</f>
        <v/>
      </c>
      <c r="E67" s="4" t="s">
        <v>212</v>
      </c>
      <c r="F67" s="5"/>
      <c r="G67" s="5"/>
      <c r="H67" s="6" t="str">
        <f aca="false">IF(OR(F67="",NOT(ISNUMBER(D67))),"",IF(ABS(F67-D67)&lt;0.001,"Yes","No"))</f>
        <v/>
      </c>
      <c r="I67" s="7" t="str">
        <f aca="false">IF(ISNUMBER(F67),F67,D67)</f>
        <v/>
      </c>
      <c r="J67" s="6" t="str">
        <f aca="false">IF(ISNUMBER(F67),"Expert (overrides AI)",IF(ISNUMBER(D67),"AI","Not scored yet"))</f>
        <v>Not scored yet</v>
      </c>
      <c r="K67" s="4" t="s">
        <v>30</v>
      </c>
      <c r="L67" s="4" t="s">
        <v>59</v>
      </c>
      <c r="M67" s="4"/>
      <c r="N67" s="4"/>
      <c r="O67" s="4"/>
      <c r="P67" s="4"/>
      <c r="Q67" s="4"/>
      <c r="R67" s="4" t="s">
        <v>242</v>
      </c>
    </row>
    <row r="68" customFormat="false" ht="93" hidden="false" customHeight="true" outlineLevel="0" collapsed="false">
      <c r="A68" s="3" t="s">
        <v>237</v>
      </c>
      <c r="B68" s="4" t="s">
        <v>46</v>
      </c>
      <c r="C68" s="4" t="s">
        <v>238</v>
      </c>
      <c r="D68" s="4" t="str">
        <f aca="false">IFERROR(DPG5d!L17,"")</f>
        <v/>
      </c>
      <c r="E68" s="4" t="s">
        <v>212</v>
      </c>
      <c r="F68" s="5"/>
      <c r="G68" s="5"/>
      <c r="H68" s="6" t="str">
        <f aca="false">IF(OR(F68="",NOT(ISNUMBER(D68))),"",IF(ABS(F68-D68)&lt;0.001,"Yes","No"))</f>
        <v/>
      </c>
      <c r="I68" s="7" t="str">
        <f aca="false">IF(ISNUMBER(F68),F68,D68)</f>
        <v/>
      </c>
      <c r="J68" s="6" t="str">
        <f aca="false">IF(ISNUMBER(F68),"Expert (overrides AI)",IF(ISNUMBER(D68),"AI","Not scored yet"))</f>
        <v>Not scored yet</v>
      </c>
      <c r="K68" s="4" t="s">
        <v>30</v>
      </c>
      <c r="L68" s="4" t="s">
        <v>59</v>
      </c>
      <c r="M68" s="4"/>
      <c r="N68" s="4"/>
      <c r="O68" s="4"/>
      <c r="P68" s="4"/>
      <c r="Q68" s="4"/>
      <c r="R68" s="4" t="s">
        <v>243</v>
      </c>
    </row>
    <row r="69" customFormat="false" ht="93" hidden="false" customHeight="true" outlineLevel="0" collapsed="false">
      <c r="A69" s="3" t="s">
        <v>244</v>
      </c>
      <c r="B69" s="4" t="s">
        <v>19</v>
      </c>
      <c r="C69" s="4" t="s">
        <v>245</v>
      </c>
      <c r="D69" s="4" t="str">
        <f aca="false">IFERROR(DPG5f!L13,"")</f>
        <v/>
      </c>
      <c r="E69" s="4" t="s">
        <v>212</v>
      </c>
      <c r="F69" s="5"/>
      <c r="G69" s="5"/>
      <c r="H69" s="6" t="str">
        <f aca="false">IF(OR(F69="",NOT(ISNUMBER(D69))),"",IF(ABS(F69-D69)&lt;0.001,"Yes","No"))</f>
        <v/>
      </c>
      <c r="I69" s="7" t="str">
        <f aca="false">IF(ISNUMBER(F69),F69,D69)</f>
        <v/>
      </c>
      <c r="J69" s="6" t="str">
        <f aca="false">IF(ISNUMBER(F69),"Expert (overrides AI)",IF(ISNUMBER(D69),"AI","Not scored yet"))</f>
        <v>Not scored yet</v>
      </c>
      <c r="K69" s="4" t="s">
        <v>30</v>
      </c>
      <c r="L69" s="4" t="s">
        <v>59</v>
      </c>
      <c r="M69" s="4"/>
      <c r="N69" s="4"/>
      <c r="O69" s="4"/>
      <c r="P69" s="4"/>
      <c r="Q69" s="4"/>
      <c r="R69" s="4" t="s">
        <v>246</v>
      </c>
    </row>
    <row r="70" customFormat="false" ht="93" hidden="false" customHeight="true" outlineLevel="0" collapsed="false">
      <c r="A70" s="3" t="s">
        <v>244</v>
      </c>
      <c r="B70" s="4" t="s">
        <v>29</v>
      </c>
      <c r="C70" s="4" t="s">
        <v>245</v>
      </c>
      <c r="D70" s="4" t="str">
        <f aca="false">IFERROR(DPG5f!L14,"")</f>
        <v/>
      </c>
      <c r="E70" s="4" t="s">
        <v>212</v>
      </c>
      <c r="F70" s="5"/>
      <c r="G70" s="5"/>
      <c r="H70" s="6" t="str">
        <f aca="false">IF(OR(F70="",NOT(ISNUMBER(D70))),"",IF(ABS(F70-D70)&lt;0.001,"Yes","No"))</f>
        <v/>
      </c>
      <c r="I70" s="7" t="str">
        <f aca="false">IF(ISNUMBER(F70),F70,D70)</f>
        <v/>
      </c>
      <c r="J70" s="6" t="str">
        <f aca="false">IF(ISNUMBER(F70),"Expert (overrides AI)",IF(ISNUMBER(D70),"AI","Not scored yet"))</f>
        <v>Not scored yet</v>
      </c>
      <c r="K70" s="4" t="s">
        <v>30</v>
      </c>
      <c r="L70" s="4" t="s">
        <v>59</v>
      </c>
      <c r="M70" s="4"/>
      <c r="N70" s="4"/>
      <c r="O70" s="4"/>
      <c r="P70" s="4"/>
      <c r="Q70" s="4"/>
      <c r="R70" s="4" t="s">
        <v>247</v>
      </c>
    </row>
    <row r="71" customFormat="false" ht="93" hidden="false" customHeight="true" outlineLevel="0" collapsed="false">
      <c r="A71" s="3" t="s">
        <v>244</v>
      </c>
      <c r="B71" s="4" t="s">
        <v>34</v>
      </c>
      <c r="C71" s="4" t="s">
        <v>245</v>
      </c>
      <c r="D71" s="4" t="str">
        <f aca="false">IFERROR(DPG5f!L15,"")</f>
        <v/>
      </c>
      <c r="E71" s="4" t="s">
        <v>212</v>
      </c>
      <c r="F71" s="5"/>
      <c r="G71" s="5"/>
      <c r="H71" s="6" t="str">
        <f aca="false">IF(OR(F71="",NOT(ISNUMBER(D71))),"",IF(ABS(F71-D71)&lt;0.001,"Yes","No"))</f>
        <v/>
      </c>
      <c r="I71" s="7" t="str">
        <f aca="false">IF(ISNUMBER(F71),F71,D71)</f>
        <v/>
      </c>
      <c r="J71" s="6" t="str">
        <f aca="false">IF(ISNUMBER(F71),"Expert (overrides AI)",IF(ISNUMBER(D71),"AI","Not scored yet"))</f>
        <v>Not scored yet</v>
      </c>
      <c r="K71" s="4" t="s">
        <v>30</v>
      </c>
      <c r="L71" s="4" t="s">
        <v>59</v>
      </c>
      <c r="M71" s="4"/>
      <c r="N71" s="4"/>
      <c r="O71" s="4"/>
      <c r="P71" s="4"/>
      <c r="Q71" s="4"/>
      <c r="R71" s="4" t="s">
        <v>248</v>
      </c>
    </row>
    <row r="72" customFormat="false" ht="93" hidden="false" customHeight="true" outlineLevel="0" collapsed="false">
      <c r="A72" s="3" t="s">
        <v>244</v>
      </c>
      <c r="B72" s="4" t="s">
        <v>40</v>
      </c>
      <c r="C72" s="4" t="s">
        <v>245</v>
      </c>
      <c r="D72" s="4" t="str">
        <f aca="false">IFERROR(DPG5f!L16,"")</f>
        <v/>
      </c>
      <c r="E72" s="4" t="s">
        <v>212</v>
      </c>
      <c r="F72" s="5"/>
      <c r="G72" s="5"/>
      <c r="H72" s="6" t="str">
        <f aca="false">IF(OR(F72="",NOT(ISNUMBER(D72))),"",IF(ABS(F72-D72)&lt;0.001,"Yes","No"))</f>
        <v/>
      </c>
      <c r="I72" s="7" t="str">
        <f aca="false">IF(ISNUMBER(F72),F72,D72)</f>
        <v/>
      </c>
      <c r="J72" s="6" t="str">
        <f aca="false">IF(ISNUMBER(F72),"Expert (overrides AI)",IF(ISNUMBER(D72),"AI","Not scored yet"))</f>
        <v>Not scored yet</v>
      </c>
      <c r="K72" s="4" t="s">
        <v>30</v>
      </c>
      <c r="L72" s="4" t="s">
        <v>59</v>
      </c>
      <c r="M72" s="4"/>
      <c r="N72" s="4"/>
      <c r="O72" s="4"/>
      <c r="P72" s="4"/>
      <c r="Q72" s="4"/>
      <c r="R72" s="4" t="s">
        <v>249</v>
      </c>
    </row>
    <row r="73" customFormat="false" ht="93" hidden="false" customHeight="true" outlineLevel="0" collapsed="false">
      <c r="A73" s="3" t="s">
        <v>244</v>
      </c>
      <c r="B73" s="4" t="s">
        <v>46</v>
      </c>
      <c r="C73" s="4" t="s">
        <v>245</v>
      </c>
      <c r="D73" s="4" t="n">
        <f aca="false">IFERROR(DPG5f!L17,"")</f>
        <v>1</v>
      </c>
      <c r="E73" s="4" t="s">
        <v>212</v>
      </c>
      <c r="F73" s="5"/>
      <c r="G73" s="5"/>
      <c r="H73" s="6" t="str">
        <f aca="false">IF(OR(F73="",NOT(ISNUMBER(D73))),"",IF(ABS(F73-D73)&lt;0.001,"Yes","No"))</f>
        <v/>
      </c>
      <c r="I73" s="7" t="n">
        <f aca="false">IF(ISNUMBER(F73),F73,D73)</f>
        <v>1</v>
      </c>
      <c r="J73" s="6" t="str">
        <f aca="false">IF(ISNUMBER(F73),"Expert (overrides AI)",IF(ISNUMBER(D73),"AI","Not scored yet"))</f>
        <v>AI</v>
      </c>
      <c r="K73" s="4" t="s">
        <v>22</v>
      </c>
      <c r="L73" s="4" t="s">
        <v>31</v>
      </c>
      <c r="M73" s="4" t="s">
        <v>250</v>
      </c>
      <c r="N73" s="4" t="s">
        <v>251</v>
      </c>
      <c r="O73" s="4" t="s">
        <v>252</v>
      </c>
      <c r="P73" s="4" t="s">
        <v>253</v>
      </c>
      <c r="Q73" s="4" t="s">
        <v>254</v>
      </c>
      <c r="R73" s="4"/>
    </row>
    <row r="74" customFormat="false" ht="93" hidden="false" customHeight="true" outlineLevel="0" collapsed="false">
      <c r="A74" s="3" t="s">
        <v>255</v>
      </c>
      <c r="B74" s="4" t="s">
        <v>19</v>
      </c>
      <c r="C74" s="4" t="s">
        <v>256</v>
      </c>
      <c r="D74" s="4" t="str">
        <f aca="false">IFERROR(DPG5g!L13,"")</f>
        <v/>
      </c>
      <c r="E74" s="4" t="s">
        <v>212</v>
      </c>
      <c r="F74" s="5"/>
      <c r="G74" s="5"/>
      <c r="H74" s="6" t="str">
        <f aca="false">IF(OR(F74="",NOT(ISNUMBER(D74))),"",IF(ABS(F74-D74)&lt;0.001,"Yes","No"))</f>
        <v/>
      </c>
      <c r="I74" s="7" t="str">
        <f aca="false">IF(ISNUMBER(F74),F74,D74)</f>
        <v/>
      </c>
      <c r="J74" s="6" t="str">
        <f aca="false">IF(ISNUMBER(F74),"Expert (overrides AI)",IF(ISNUMBER(D74),"AI","Not scored yet"))</f>
        <v>Not scored yet</v>
      </c>
      <c r="K74" s="4" t="s">
        <v>30</v>
      </c>
      <c r="L74" s="4" t="s">
        <v>59</v>
      </c>
      <c r="M74" s="4"/>
      <c r="N74" s="4"/>
      <c r="O74" s="4"/>
      <c r="P74" s="4"/>
      <c r="Q74" s="4"/>
      <c r="R74" s="4" t="s">
        <v>257</v>
      </c>
    </row>
    <row r="75" customFormat="false" ht="93" hidden="false" customHeight="true" outlineLevel="0" collapsed="false">
      <c r="A75" s="3" t="s">
        <v>255</v>
      </c>
      <c r="B75" s="4" t="s">
        <v>29</v>
      </c>
      <c r="C75" s="4" t="s">
        <v>256</v>
      </c>
      <c r="D75" s="4" t="str">
        <f aca="false">IFERROR(DPG5g!L14,"")</f>
        <v/>
      </c>
      <c r="E75" s="4" t="s">
        <v>212</v>
      </c>
      <c r="F75" s="5"/>
      <c r="G75" s="5"/>
      <c r="H75" s="6" t="str">
        <f aca="false">IF(OR(F75="",NOT(ISNUMBER(D75))),"",IF(ABS(F75-D75)&lt;0.001,"Yes","No"))</f>
        <v/>
      </c>
      <c r="I75" s="7" t="str">
        <f aca="false">IF(ISNUMBER(F75),F75,D75)</f>
        <v/>
      </c>
      <c r="J75" s="6" t="str">
        <f aca="false">IF(ISNUMBER(F75),"Expert (overrides AI)",IF(ISNUMBER(D75),"AI","Not scored yet"))</f>
        <v>Not scored yet</v>
      </c>
      <c r="K75" s="4" t="s">
        <v>30</v>
      </c>
      <c r="L75" s="4" t="s">
        <v>59</v>
      </c>
      <c r="M75" s="4"/>
      <c r="N75" s="4"/>
      <c r="O75" s="4"/>
      <c r="P75" s="4"/>
      <c r="Q75" s="4"/>
      <c r="R75" s="4" t="s">
        <v>258</v>
      </c>
    </row>
    <row r="76" customFormat="false" ht="93" hidden="false" customHeight="true" outlineLevel="0" collapsed="false">
      <c r="A76" s="3" t="s">
        <v>255</v>
      </c>
      <c r="B76" s="4" t="s">
        <v>34</v>
      </c>
      <c r="C76" s="4" t="s">
        <v>256</v>
      </c>
      <c r="D76" s="4" t="str">
        <f aca="false">IFERROR(DPG5g!L15,"")</f>
        <v/>
      </c>
      <c r="E76" s="4" t="s">
        <v>212</v>
      </c>
      <c r="F76" s="5"/>
      <c r="G76" s="5"/>
      <c r="H76" s="6" t="str">
        <f aca="false">IF(OR(F76="",NOT(ISNUMBER(D76))),"",IF(ABS(F76-D76)&lt;0.001,"Yes","No"))</f>
        <v/>
      </c>
      <c r="I76" s="7" t="str">
        <f aca="false">IF(ISNUMBER(F76),F76,D76)</f>
        <v/>
      </c>
      <c r="J76" s="6" t="str">
        <f aca="false">IF(ISNUMBER(F76),"Expert (overrides AI)",IF(ISNUMBER(D76),"AI","Not scored yet"))</f>
        <v>Not scored yet</v>
      </c>
      <c r="K76" s="4" t="s">
        <v>30</v>
      </c>
      <c r="L76" s="4" t="s">
        <v>59</v>
      </c>
      <c r="M76" s="4"/>
      <c r="N76" s="4"/>
      <c r="O76" s="4"/>
      <c r="P76" s="4"/>
      <c r="Q76" s="4"/>
      <c r="R76" s="4" t="s">
        <v>259</v>
      </c>
    </row>
    <row r="77" customFormat="false" ht="93" hidden="false" customHeight="true" outlineLevel="0" collapsed="false">
      <c r="A77" s="3" t="s">
        <v>255</v>
      </c>
      <c r="B77" s="4" t="s">
        <v>40</v>
      </c>
      <c r="C77" s="4" t="s">
        <v>256</v>
      </c>
      <c r="D77" s="4" t="str">
        <f aca="false">IFERROR(DPG5g!L16,"")</f>
        <v/>
      </c>
      <c r="E77" s="4" t="s">
        <v>212</v>
      </c>
      <c r="F77" s="5"/>
      <c r="G77" s="5"/>
      <c r="H77" s="6" t="str">
        <f aca="false">IF(OR(F77="",NOT(ISNUMBER(D77))),"",IF(ABS(F77-D77)&lt;0.001,"Yes","No"))</f>
        <v/>
      </c>
      <c r="I77" s="7" t="str">
        <f aca="false">IF(ISNUMBER(F77),F77,D77)</f>
        <v/>
      </c>
      <c r="J77" s="6" t="str">
        <f aca="false">IF(ISNUMBER(F77),"Expert (overrides AI)",IF(ISNUMBER(D77),"AI","Not scored yet"))</f>
        <v>Not scored yet</v>
      </c>
      <c r="K77" s="4" t="s">
        <v>30</v>
      </c>
      <c r="L77" s="4" t="s">
        <v>59</v>
      </c>
      <c r="M77" s="4"/>
      <c r="N77" s="4"/>
      <c r="O77" s="4"/>
      <c r="P77" s="4"/>
      <c r="Q77" s="4"/>
      <c r="R77" s="4" t="s">
        <v>260</v>
      </c>
    </row>
    <row r="78" customFormat="false" ht="93" hidden="false" customHeight="true" outlineLevel="0" collapsed="false">
      <c r="A78" s="3" t="s">
        <v>255</v>
      </c>
      <c r="B78" s="4" t="s">
        <v>46</v>
      </c>
      <c r="C78" s="4" t="s">
        <v>256</v>
      </c>
      <c r="D78" s="4" t="str">
        <f aca="false">IFERROR(DPG5g!L17,"")</f>
        <v/>
      </c>
      <c r="E78" s="4" t="s">
        <v>212</v>
      </c>
      <c r="F78" s="5"/>
      <c r="G78" s="5"/>
      <c r="H78" s="6" t="str">
        <f aca="false">IF(OR(F78="",NOT(ISNUMBER(D78))),"",IF(ABS(F78-D78)&lt;0.001,"Yes","No"))</f>
        <v/>
      </c>
      <c r="I78" s="7" t="str">
        <f aca="false">IF(ISNUMBER(F78),F78,D78)</f>
        <v/>
      </c>
      <c r="J78" s="6" t="str">
        <f aca="false">IF(ISNUMBER(F78),"Expert (overrides AI)",IF(ISNUMBER(D78),"AI","Not scored yet"))</f>
        <v>Not scored yet</v>
      </c>
      <c r="K78" s="4" t="s">
        <v>30</v>
      </c>
      <c r="L78" s="4" t="s">
        <v>31</v>
      </c>
      <c r="M78" s="4" t="s">
        <v>261</v>
      </c>
      <c r="N78" s="4" t="s">
        <v>206</v>
      </c>
      <c r="O78" s="4" t="s">
        <v>207</v>
      </c>
      <c r="P78" s="4" t="s">
        <v>262</v>
      </c>
      <c r="Q78" s="4" t="s">
        <v>263</v>
      </c>
      <c r="R78" s="4" t="s">
        <v>147</v>
      </c>
    </row>
    <row r="79" customFormat="false" ht="93" hidden="false" customHeight="true" outlineLevel="0" collapsed="false">
      <c r="A79" s="3" t="s">
        <v>264</v>
      </c>
      <c r="B79" s="4" t="s">
        <v>19</v>
      </c>
      <c r="C79" s="4" t="s">
        <v>265</v>
      </c>
      <c r="D79" s="4" t="str">
        <f aca="false">IFERROR(DPG5h!L13,"")</f>
        <v/>
      </c>
      <c r="E79" s="4" t="s">
        <v>212</v>
      </c>
      <c r="F79" s="5"/>
      <c r="G79" s="5"/>
      <c r="H79" s="6" t="str">
        <f aca="false">IF(OR(F79="",NOT(ISNUMBER(D79))),"",IF(ABS(F79-D79)&lt;0.001,"Yes","No"))</f>
        <v/>
      </c>
      <c r="I79" s="7" t="str">
        <f aca="false">IF(ISNUMBER(F79),F79,D79)</f>
        <v/>
      </c>
      <c r="J79" s="6" t="str">
        <f aca="false">IF(ISNUMBER(F79),"Expert (overrides AI)",IF(ISNUMBER(D79),"AI","Not scored yet"))</f>
        <v>Not scored yet</v>
      </c>
      <c r="K79" s="4" t="s">
        <v>30</v>
      </c>
      <c r="L79" s="4" t="s">
        <v>59</v>
      </c>
      <c r="M79" s="4"/>
      <c r="N79" s="4"/>
      <c r="O79" s="4"/>
      <c r="P79" s="4"/>
      <c r="Q79" s="4"/>
      <c r="R79" s="4" t="s">
        <v>266</v>
      </c>
    </row>
    <row r="80" customFormat="false" ht="93" hidden="false" customHeight="true" outlineLevel="0" collapsed="false">
      <c r="A80" s="3" t="s">
        <v>264</v>
      </c>
      <c r="B80" s="4" t="s">
        <v>29</v>
      </c>
      <c r="C80" s="4" t="s">
        <v>265</v>
      </c>
      <c r="D80" s="4" t="str">
        <f aca="false">IFERROR(DPG5h!L14,"")</f>
        <v/>
      </c>
      <c r="E80" s="4" t="s">
        <v>212</v>
      </c>
      <c r="F80" s="5"/>
      <c r="G80" s="5"/>
      <c r="H80" s="6" t="str">
        <f aca="false">IF(OR(F80="",NOT(ISNUMBER(D80))),"",IF(ABS(F80-D80)&lt;0.001,"Yes","No"))</f>
        <v/>
      </c>
      <c r="I80" s="7" t="str">
        <f aca="false">IF(ISNUMBER(F80),F80,D80)</f>
        <v/>
      </c>
      <c r="J80" s="6" t="str">
        <f aca="false">IF(ISNUMBER(F80),"Expert (overrides AI)",IF(ISNUMBER(D80),"AI","Not scored yet"))</f>
        <v>Not scored yet</v>
      </c>
      <c r="K80" s="4" t="s">
        <v>30</v>
      </c>
      <c r="L80" s="4" t="s">
        <v>59</v>
      </c>
      <c r="M80" s="4"/>
      <c r="N80" s="4"/>
      <c r="O80" s="4"/>
      <c r="P80" s="4"/>
      <c r="Q80" s="4"/>
      <c r="R80" s="4" t="s">
        <v>267</v>
      </c>
    </row>
    <row r="81" customFormat="false" ht="93" hidden="false" customHeight="true" outlineLevel="0" collapsed="false">
      <c r="A81" s="3" t="s">
        <v>264</v>
      </c>
      <c r="B81" s="4" t="s">
        <v>34</v>
      </c>
      <c r="C81" s="4" t="s">
        <v>265</v>
      </c>
      <c r="D81" s="4" t="str">
        <f aca="false">IFERROR(DPG5h!L15,"")</f>
        <v/>
      </c>
      <c r="E81" s="4" t="s">
        <v>212</v>
      </c>
      <c r="F81" s="5"/>
      <c r="G81" s="5"/>
      <c r="H81" s="6" t="str">
        <f aca="false">IF(OR(F81="",NOT(ISNUMBER(D81))),"",IF(ABS(F81-D81)&lt;0.001,"Yes","No"))</f>
        <v/>
      </c>
      <c r="I81" s="7" t="str">
        <f aca="false">IF(ISNUMBER(F81),F81,D81)</f>
        <v/>
      </c>
      <c r="J81" s="6" t="str">
        <f aca="false">IF(ISNUMBER(F81),"Expert (overrides AI)",IF(ISNUMBER(D81),"AI","Not scored yet"))</f>
        <v>Not scored yet</v>
      </c>
      <c r="K81" s="4" t="s">
        <v>30</v>
      </c>
      <c r="L81" s="4" t="s">
        <v>59</v>
      </c>
      <c r="M81" s="4"/>
      <c r="N81" s="4"/>
      <c r="O81" s="4"/>
      <c r="P81" s="4"/>
      <c r="Q81" s="4"/>
      <c r="R81" s="4" t="s">
        <v>268</v>
      </c>
    </row>
    <row r="82" customFormat="false" ht="93" hidden="false" customHeight="true" outlineLevel="0" collapsed="false">
      <c r="A82" s="3" t="s">
        <v>264</v>
      </c>
      <c r="B82" s="4" t="s">
        <v>40</v>
      </c>
      <c r="C82" s="4" t="s">
        <v>265</v>
      </c>
      <c r="D82" s="4" t="str">
        <f aca="false">IFERROR(DPG5h!L16,"")</f>
        <v/>
      </c>
      <c r="E82" s="4" t="s">
        <v>212</v>
      </c>
      <c r="F82" s="5"/>
      <c r="G82" s="5"/>
      <c r="H82" s="6" t="str">
        <f aca="false">IF(OR(F82="",NOT(ISNUMBER(D82))),"",IF(ABS(F82-D82)&lt;0.001,"Yes","No"))</f>
        <v/>
      </c>
      <c r="I82" s="7" t="str">
        <f aca="false">IF(ISNUMBER(F82),F82,D82)</f>
        <v/>
      </c>
      <c r="J82" s="6" t="str">
        <f aca="false">IF(ISNUMBER(F82),"Expert (overrides AI)",IF(ISNUMBER(D82),"AI","Not scored yet"))</f>
        <v>Not scored yet</v>
      </c>
      <c r="K82" s="4" t="s">
        <v>30</v>
      </c>
      <c r="L82" s="4" t="s">
        <v>59</v>
      </c>
      <c r="M82" s="4"/>
      <c r="N82" s="4"/>
      <c r="O82" s="4"/>
      <c r="P82" s="4"/>
      <c r="Q82" s="4"/>
      <c r="R82" s="4" t="s">
        <v>269</v>
      </c>
    </row>
    <row r="83" customFormat="false" ht="93" hidden="false" customHeight="true" outlineLevel="0" collapsed="false">
      <c r="A83" s="3" t="s">
        <v>264</v>
      </c>
      <c r="B83" s="4" t="s">
        <v>46</v>
      </c>
      <c r="C83" s="4" t="s">
        <v>265</v>
      </c>
      <c r="D83" s="4" t="n">
        <f aca="false">IFERROR(DPG5h!L17,"")</f>
        <v>0</v>
      </c>
      <c r="E83" s="4" t="s">
        <v>212</v>
      </c>
      <c r="F83" s="5"/>
      <c r="G83" s="5"/>
      <c r="H83" s="6" t="str">
        <f aca="false">IF(OR(F83="",NOT(ISNUMBER(D83))),"",IF(ABS(F83-D83)&lt;0.001,"Yes","No"))</f>
        <v/>
      </c>
      <c r="I83" s="7" t="n">
        <f aca="false">IF(ISNUMBER(F83),F83,D83)</f>
        <v>0</v>
      </c>
      <c r="J83" s="6" t="str">
        <f aca="false">IF(ISNUMBER(F83),"Expert (overrides AI)",IF(ISNUMBER(D83),"AI","Not scored yet"))</f>
        <v>AI</v>
      </c>
      <c r="K83" s="4" t="s">
        <v>22</v>
      </c>
      <c r="L83" s="4" t="s">
        <v>31</v>
      </c>
      <c r="M83" s="4" t="s">
        <v>270</v>
      </c>
      <c r="N83" s="4" t="s">
        <v>206</v>
      </c>
      <c r="O83" s="4" t="s">
        <v>207</v>
      </c>
      <c r="P83" s="4" t="s">
        <v>235</v>
      </c>
      <c r="Q83" s="4" t="s">
        <v>271</v>
      </c>
      <c r="R83" s="4"/>
    </row>
    <row r="84" customFormat="false" ht="93" hidden="false" customHeight="true" outlineLevel="0" collapsed="false">
      <c r="A84" s="3" t="s">
        <v>272</v>
      </c>
      <c r="B84" s="4" t="s">
        <v>19</v>
      </c>
      <c r="C84" s="4" t="s">
        <v>273</v>
      </c>
      <c r="D84" s="4" t="str">
        <f aca="false">IFERROR(DPG5i!L13,"")</f>
        <v/>
      </c>
      <c r="E84" s="4" t="s">
        <v>212</v>
      </c>
      <c r="F84" s="5"/>
      <c r="G84" s="5"/>
      <c r="H84" s="6" t="str">
        <f aca="false">IF(OR(F84="",NOT(ISNUMBER(D84))),"",IF(ABS(F84-D84)&lt;0.001,"Yes","No"))</f>
        <v/>
      </c>
      <c r="I84" s="7" t="str">
        <f aca="false">IF(ISNUMBER(F84),F84,D84)</f>
        <v/>
      </c>
      <c r="J84" s="6" t="str">
        <f aca="false">IF(ISNUMBER(F84),"Expert (overrides AI)",IF(ISNUMBER(D84),"AI","Not scored yet"))</f>
        <v>Not scored yet</v>
      </c>
      <c r="K84" s="4" t="s">
        <v>30</v>
      </c>
      <c r="L84" s="4" t="s">
        <v>59</v>
      </c>
      <c r="M84" s="4"/>
      <c r="N84" s="4"/>
      <c r="O84" s="4"/>
      <c r="P84" s="4"/>
      <c r="Q84" s="4"/>
      <c r="R84" s="4" t="s">
        <v>274</v>
      </c>
    </row>
    <row r="85" customFormat="false" ht="93" hidden="false" customHeight="true" outlineLevel="0" collapsed="false">
      <c r="A85" s="3" t="s">
        <v>272</v>
      </c>
      <c r="B85" s="4" t="s">
        <v>29</v>
      </c>
      <c r="C85" s="4" t="s">
        <v>273</v>
      </c>
      <c r="D85" s="4" t="str">
        <f aca="false">IFERROR(DPG5i!L14,"")</f>
        <v/>
      </c>
      <c r="E85" s="4" t="s">
        <v>212</v>
      </c>
      <c r="F85" s="5"/>
      <c r="G85" s="5"/>
      <c r="H85" s="6" t="str">
        <f aca="false">IF(OR(F85="",NOT(ISNUMBER(D85))),"",IF(ABS(F85-D85)&lt;0.001,"Yes","No"))</f>
        <v/>
      </c>
      <c r="I85" s="7" t="str">
        <f aca="false">IF(ISNUMBER(F85),F85,D85)</f>
        <v/>
      </c>
      <c r="J85" s="6" t="str">
        <f aca="false">IF(ISNUMBER(F85),"Expert (overrides AI)",IF(ISNUMBER(D85),"AI","Not scored yet"))</f>
        <v>Not scored yet</v>
      </c>
      <c r="K85" s="4" t="s">
        <v>30</v>
      </c>
      <c r="L85" s="4" t="s">
        <v>59</v>
      </c>
      <c r="M85" s="4"/>
      <c r="N85" s="4"/>
      <c r="O85" s="4"/>
      <c r="P85" s="4"/>
      <c r="Q85" s="4"/>
      <c r="R85" s="4" t="s">
        <v>275</v>
      </c>
    </row>
    <row r="86" customFormat="false" ht="93" hidden="false" customHeight="true" outlineLevel="0" collapsed="false">
      <c r="A86" s="3" t="s">
        <v>272</v>
      </c>
      <c r="B86" s="4" t="s">
        <v>34</v>
      </c>
      <c r="C86" s="4" t="s">
        <v>273</v>
      </c>
      <c r="D86" s="4" t="str">
        <f aca="false">IFERROR(DPG5i!L15,"")</f>
        <v/>
      </c>
      <c r="E86" s="4" t="s">
        <v>212</v>
      </c>
      <c r="F86" s="5"/>
      <c r="G86" s="5"/>
      <c r="H86" s="6" t="str">
        <f aca="false">IF(OR(F86="",NOT(ISNUMBER(D86))),"",IF(ABS(F86-D86)&lt;0.001,"Yes","No"))</f>
        <v/>
      </c>
      <c r="I86" s="7" t="str">
        <f aca="false">IF(ISNUMBER(F86),F86,D86)</f>
        <v/>
      </c>
      <c r="J86" s="6" t="str">
        <f aca="false">IF(ISNUMBER(F86),"Expert (overrides AI)",IF(ISNUMBER(D86),"AI","Not scored yet"))</f>
        <v>Not scored yet</v>
      </c>
      <c r="K86" s="4" t="s">
        <v>30</v>
      </c>
      <c r="L86" s="4" t="s">
        <v>59</v>
      </c>
      <c r="M86" s="4"/>
      <c r="N86" s="4"/>
      <c r="O86" s="4"/>
      <c r="P86" s="4"/>
      <c r="Q86" s="4"/>
      <c r="R86" s="4" t="s">
        <v>276</v>
      </c>
    </row>
    <row r="87" customFormat="false" ht="93" hidden="false" customHeight="true" outlineLevel="0" collapsed="false">
      <c r="A87" s="3" t="s">
        <v>272</v>
      </c>
      <c r="B87" s="4" t="s">
        <v>40</v>
      </c>
      <c r="C87" s="4" t="s">
        <v>273</v>
      </c>
      <c r="D87" s="4" t="str">
        <f aca="false">IFERROR(DPG5i!L16,"")</f>
        <v/>
      </c>
      <c r="E87" s="4" t="s">
        <v>212</v>
      </c>
      <c r="F87" s="5"/>
      <c r="G87" s="5"/>
      <c r="H87" s="6" t="str">
        <f aca="false">IF(OR(F87="",NOT(ISNUMBER(D87))),"",IF(ABS(F87-D87)&lt;0.001,"Yes","No"))</f>
        <v/>
      </c>
      <c r="I87" s="7" t="str">
        <f aca="false">IF(ISNUMBER(F87),F87,D87)</f>
        <v/>
      </c>
      <c r="J87" s="6" t="str">
        <f aca="false">IF(ISNUMBER(F87),"Expert (overrides AI)",IF(ISNUMBER(D87),"AI","Not scored yet"))</f>
        <v>Not scored yet</v>
      </c>
      <c r="K87" s="4" t="s">
        <v>30</v>
      </c>
      <c r="L87" s="4" t="s">
        <v>59</v>
      </c>
      <c r="M87" s="4"/>
      <c r="N87" s="4"/>
      <c r="O87" s="4"/>
      <c r="P87" s="4"/>
      <c r="Q87" s="4"/>
      <c r="R87" s="4" t="s">
        <v>277</v>
      </c>
    </row>
    <row r="88" customFormat="false" ht="93" hidden="false" customHeight="true" outlineLevel="0" collapsed="false">
      <c r="A88" s="3" t="s">
        <v>272</v>
      </c>
      <c r="B88" s="4" t="s">
        <v>46</v>
      </c>
      <c r="C88" s="4" t="s">
        <v>273</v>
      </c>
      <c r="D88" s="4" t="str">
        <f aca="false">IFERROR(DPG5i!L17,"")</f>
        <v/>
      </c>
      <c r="E88" s="4" t="s">
        <v>212</v>
      </c>
      <c r="F88" s="5"/>
      <c r="G88" s="5"/>
      <c r="H88" s="6" t="str">
        <f aca="false">IF(OR(F88="",NOT(ISNUMBER(D88))),"",IF(ABS(F88-D88)&lt;0.001,"Yes","No"))</f>
        <v/>
      </c>
      <c r="I88" s="7" t="str">
        <f aca="false">IF(ISNUMBER(F88),F88,D88)</f>
        <v/>
      </c>
      <c r="J88" s="6" t="str">
        <f aca="false">IF(ISNUMBER(F88),"Expert (overrides AI)",IF(ISNUMBER(D88),"AI","Not scored yet"))</f>
        <v>Not scored yet</v>
      </c>
      <c r="K88" s="4" t="s">
        <v>30</v>
      </c>
      <c r="L88" s="4" t="s">
        <v>31</v>
      </c>
      <c r="M88" s="4" t="s">
        <v>278</v>
      </c>
      <c r="N88" s="4" t="s">
        <v>206</v>
      </c>
      <c r="O88" s="4" t="s">
        <v>207</v>
      </c>
      <c r="P88" s="4" t="s">
        <v>279</v>
      </c>
      <c r="Q88" s="4" t="s">
        <v>280</v>
      </c>
      <c r="R88" s="4" t="s">
        <v>147</v>
      </c>
    </row>
    <row r="89" customFormat="false" ht="93" hidden="false" customHeight="true" outlineLevel="0" collapsed="false">
      <c r="A89" s="3" t="s">
        <v>281</v>
      </c>
      <c r="B89" s="4" t="s">
        <v>19</v>
      </c>
      <c r="C89" s="4" t="s">
        <v>282</v>
      </c>
      <c r="D89" s="4" t="str">
        <f aca="false">IFERROR(DPG5j!L13,"")</f>
        <v/>
      </c>
      <c r="E89" s="4" t="s">
        <v>212</v>
      </c>
      <c r="F89" s="5"/>
      <c r="G89" s="5"/>
      <c r="H89" s="6" t="str">
        <f aca="false">IF(OR(F89="",NOT(ISNUMBER(D89))),"",IF(ABS(F89-D89)&lt;0.001,"Yes","No"))</f>
        <v/>
      </c>
      <c r="I89" s="7" t="str">
        <f aca="false">IF(ISNUMBER(F89),F89,D89)</f>
        <v/>
      </c>
      <c r="J89" s="6" t="str">
        <f aca="false">IF(ISNUMBER(F89),"Expert (overrides AI)",IF(ISNUMBER(D89),"AI","Not scored yet"))</f>
        <v>Not scored yet</v>
      </c>
      <c r="K89" s="4" t="s">
        <v>30</v>
      </c>
      <c r="L89" s="4" t="s">
        <v>59</v>
      </c>
      <c r="M89" s="4"/>
      <c r="N89" s="4"/>
      <c r="O89" s="4"/>
      <c r="P89" s="4"/>
      <c r="Q89" s="4"/>
      <c r="R89" s="4" t="s">
        <v>283</v>
      </c>
    </row>
    <row r="90" customFormat="false" ht="93" hidden="false" customHeight="true" outlineLevel="0" collapsed="false">
      <c r="A90" s="3" t="s">
        <v>281</v>
      </c>
      <c r="B90" s="4" t="s">
        <v>29</v>
      </c>
      <c r="C90" s="4" t="s">
        <v>282</v>
      </c>
      <c r="D90" s="4" t="str">
        <f aca="false">IFERROR(DPG5j!L14,"")</f>
        <v/>
      </c>
      <c r="E90" s="4" t="s">
        <v>212</v>
      </c>
      <c r="F90" s="5"/>
      <c r="G90" s="5"/>
      <c r="H90" s="6" t="str">
        <f aca="false">IF(OR(F90="",NOT(ISNUMBER(D90))),"",IF(ABS(F90-D90)&lt;0.001,"Yes","No"))</f>
        <v/>
      </c>
      <c r="I90" s="7" t="str">
        <f aca="false">IF(ISNUMBER(F90),F90,D90)</f>
        <v/>
      </c>
      <c r="J90" s="6" t="str">
        <f aca="false">IF(ISNUMBER(F90),"Expert (overrides AI)",IF(ISNUMBER(D90),"AI","Not scored yet"))</f>
        <v>Not scored yet</v>
      </c>
      <c r="K90" s="4" t="s">
        <v>30</v>
      </c>
      <c r="L90" s="4" t="s">
        <v>59</v>
      </c>
      <c r="M90" s="4"/>
      <c r="N90" s="4"/>
      <c r="O90" s="4"/>
      <c r="P90" s="4"/>
      <c r="Q90" s="4"/>
      <c r="R90" s="4" t="s">
        <v>284</v>
      </c>
    </row>
    <row r="91" customFormat="false" ht="93" hidden="false" customHeight="true" outlineLevel="0" collapsed="false">
      <c r="A91" s="3" t="s">
        <v>281</v>
      </c>
      <c r="B91" s="4" t="s">
        <v>34</v>
      </c>
      <c r="C91" s="4" t="s">
        <v>282</v>
      </c>
      <c r="D91" s="4" t="str">
        <f aca="false">IFERROR(DPG5j!L15,"")</f>
        <v/>
      </c>
      <c r="E91" s="4" t="s">
        <v>212</v>
      </c>
      <c r="F91" s="5"/>
      <c r="G91" s="5"/>
      <c r="H91" s="6" t="str">
        <f aca="false">IF(OR(F91="",NOT(ISNUMBER(D91))),"",IF(ABS(F91-D91)&lt;0.001,"Yes","No"))</f>
        <v/>
      </c>
      <c r="I91" s="7" t="str">
        <f aca="false">IF(ISNUMBER(F91),F91,D91)</f>
        <v/>
      </c>
      <c r="J91" s="6" t="str">
        <f aca="false">IF(ISNUMBER(F91),"Expert (overrides AI)",IF(ISNUMBER(D91),"AI","Not scored yet"))</f>
        <v>Not scored yet</v>
      </c>
      <c r="K91" s="4" t="s">
        <v>30</v>
      </c>
      <c r="L91" s="4" t="s">
        <v>59</v>
      </c>
      <c r="M91" s="4"/>
      <c r="N91" s="4"/>
      <c r="O91" s="4"/>
      <c r="P91" s="4"/>
      <c r="Q91" s="4"/>
      <c r="R91" s="4" t="s">
        <v>285</v>
      </c>
    </row>
    <row r="92" customFormat="false" ht="93" hidden="false" customHeight="true" outlineLevel="0" collapsed="false">
      <c r="A92" s="3" t="s">
        <v>281</v>
      </c>
      <c r="B92" s="4" t="s">
        <v>40</v>
      </c>
      <c r="C92" s="4" t="s">
        <v>282</v>
      </c>
      <c r="D92" s="4" t="str">
        <f aca="false">IFERROR(DPG5j!L16,"")</f>
        <v/>
      </c>
      <c r="E92" s="4" t="s">
        <v>212</v>
      </c>
      <c r="F92" s="5"/>
      <c r="G92" s="5"/>
      <c r="H92" s="6" t="str">
        <f aca="false">IF(OR(F92="",NOT(ISNUMBER(D92))),"",IF(ABS(F92-D92)&lt;0.001,"Yes","No"))</f>
        <v/>
      </c>
      <c r="I92" s="7" t="str">
        <f aca="false">IF(ISNUMBER(F92),F92,D92)</f>
        <v/>
      </c>
      <c r="J92" s="6" t="str">
        <f aca="false">IF(ISNUMBER(F92),"Expert (overrides AI)",IF(ISNUMBER(D92),"AI","Not scored yet"))</f>
        <v>Not scored yet</v>
      </c>
      <c r="K92" s="4" t="s">
        <v>30</v>
      </c>
      <c r="L92" s="4" t="s">
        <v>59</v>
      </c>
      <c r="M92" s="4"/>
      <c r="N92" s="4"/>
      <c r="O92" s="4"/>
      <c r="P92" s="4"/>
      <c r="Q92" s="4"/>
      <c r="R92" s="4" t="s">
        <v>286</v>
      </c>
    </row>
    <row r="93" customFormat="false" ht="93" hidden="false" customHeight="true" outlineLevel="0" collapsed="false">
      <c r="A93" s="3" t="s">
        <v>281</v>
      </c>
      <c r="B93" s="4" t="s">
        <v>46</v>
      </c>
      <c r="C93" s="4" t="s">
        <v>282</v>
      </c>
      <c r="D93" s="4" t="str">
        <f aca="false">IFERROR(DPG5j!L17,"")</f>
        <v/>
      </c>
      <c r="E93" s="4" t="s">
        <v>212</v>
      </c>
      <c r="F93" s="5"/>
      <c r="G93" s="5"/>
      <c r="H93" s="6" t="str">
        <f aca="false">IF(OR(F93="",NOT(ISNUMBER(D93))),"",IF(ABS(F93-D93)&lt;0.001,"Yes","No"))</f>
        <v/>
      </c>
      <c r="I93" s="7" t="str">
        <f aca="false">IF(ISNUMBER(F93),F93,D93)</f>
        <v/>
      </c>
      <c r="J93" s="6" t="str">
        <f aca="false">IF(ISNUMBER(F93),"Expert (overrides AI)",IF(ISNUMBER(D93),"AI","Not scored yet"))</f>
        <v>Not scored yet</v>
      </c>
      <c r="K93" s="4" t="s">
        <v>30</v>
      </c>
      <c r="L93" s="4" t="s">
        <v>59</v>
      </c>
      <c r="M93" s="4"/>
      <c r="N93" s="4"/>
      <c r="O93" s="4"/>
      <c r="P93" s="4"/>
      <c r="Q93" s="4"/>
      <c r="R93" s="4" t="s">
        <v>287</v>
      </c>
    </row>
    <row r="94" customFormat="false" ht="93" hidden="false" customHeight="true" outlineLevel="0" collapsed="false">
      <c r="A94" s="3" t="s">
        <v>288</v>
      </c>
      <c r="B94" s="4" t="s">
        <v>19</v>
      </c>
      <c r="C94" s="4" t="s">
        <v>289</v>
      </c>
      <c r="D94" s="4" t="str">
        <f aca="false">IFERROR(DPG5k!L13,"")</f>
        <v/>
      </c>
      <c r="E94" s="4" t="s">
        <v>212</v>
      </c>
      <c r="F94" s="5"/>
      <c r="G94" s="5"/>
      <c r="H94" s="6" t="str">
        <f aca="false">IF(OR(F94="",NOT(ISNUMBER(D94))),"",IF(ABS(F94-D94)&lt;0.001,"Yes","No"))</f>
        <v/>
      </c>
      <c r="I94" s="7" t="str">
        <f aca="false">IF(ISNUMBER(F94),F94,D94)</f>
        <v/>
      </c>
      <c r="J94" s="6" t="str">
        <f aca="false">IF(ISNUMBER(F94),"Expert (overrides AI)",IF(ISNUMBER(D94),"AI","Not scored yet"))</f>
        <v>Not scored yet</v>
      </c>
      <c r="K94" s="4" t="s">
        <v>30</v>
      </c>
      <c r="L94" s="4" t="s">
        <v>59</v>
      </c>
      <c r="M94" s="4"/>
      <c r="N94" s="4"/>
      <c r="O94" s="4"/>
      <c r="P94" s="4"/>
      <c r="Q94" s="4"/>
      <c r="R94" s="4" t="s">
        <v>290</v>
      </c>
    </row>
    <row r="95" customFormat="false" ht="93" hidden="false" customHeight="true" outlineLevel="0" collapsed="false">
      <c r="A95" s="3" t="s">
        <v>288</v>
      </c>
      <c r="B95" s="4" t="s">
        <v>29</v>
      </c>
      <c r="C95" s="4" t="s">
        <v>289</v>
      </c>
      <c r="D95" s="4" t="str">
        <f aca="false">IFERROR(DPG5k!L14,"")</f>
        <v/>
      </c>
      <c r="E95" s="4" t="s">
        <v>212</v>
      </c>
      <c r="F95" s="5"/>
      <c r="G95" s="5"/>
      <c r="H95" s="6" t="str">
        <f aca="false">IF(OR(F95="",NOT(ISNUMBER(D95))),"",IF(ABS(F95-D95)&lt;0.001,"Yes","No"))</f>
        <v/>
      </c>
      <c r="I95" s="7" t="str">
        <f aca="false">IF(ISNUMBER(F95),F95,D95)</f>
        <v/>
      </c>
      <c r="J95" s="6" t="str">
        <f aca="false">IF(ISNUMBER(F95),"Expert (overrides AI)",IF(ISNUMBER(D95),"AI","Not scored yet"))</f>
        <v>Not scored yet</v>
      </c>
      <c r="K95" s="4" t="s">
        <v>30</v>
      </c>
      <c r="L95" s="4" t="s">
        <v>59</v>
      </c>
      <c r="M95" s="4"/>
      <c r="N95" s="4"/>
      <c r="O95" s="4"/>
      <c r="P95" s="4"/>
      <c r="Q95" s="4"/>
      <c r="R95" s="4" t="s">
        <v>291</v>
      </c>
    </row>
    <row r="96" customFormat="false" ht="93" hidden="false" customHeight="true" outlineLevel="0" collapsed="false">
      <c r="A96" s="3" t="s">
        <v>288</v>
      </c>
      <c r="B96" s="4" t="s">
        <v>34</v>
      </c>
      <c r="C96" s="4" t="s">
        <v>289</v>
      </c>
      <c r="D96" s="4" t="str">
        <f aca="false">IFERROR(DPG5k!L15,"")</f>
        <v/>
      </c>
      <c r="E96" s="4" t="s">
        <v>212</v>
      </c>
      <c r="F96" s="5"/>
      <c r="G96" s="5"/>
      <c r="H96" s="6" t="str">
        <f aca="false">IF(OR(F96="",NOT(ISNUMBER(D96))),"",IF(ABS(F96-D96)&lt;0.001,"Yes","No"))</f>
        <v/>
      </c>
      <c r="I96" s="7" t="str">
        <f aca="false">IF(ISNUMBER(F96),F96,D96)</f>
        <v/>
      </c>
      <c r="J96" s="6" t="str">
        <f aca="false">IF(ISNUMBER(F96),"Expert (overrides AI)",IF(ISNUMBER(D96),"AI","Not scored yet"))</f>
        <v>Not scored yet</v>
      </c>
      <c r="K96" s="4" t="s">
        <v>30</v>
      </c>
      <c r="L96" s="4" t="s">
        <v>59</v>
      </c>
      <c r="M96" s="4"/>
      <c r="N96" s="4"/>
      <c r="O96" s="4"/>
      <c r="P96" s="4"/>
      <c r="Q96" s="4"/>
      <c r="R96" s="4" t="s">
        <v>292</v>
      </c>
    </row>
    <row r="97" customFormat="false" ht="93" hidden="false" customHeight="true" outlineLevel="0" collapsed="false">
      <c r="A97" s="3" t="s">
        <v>288</v>
      </c>
      <c r="B97" s="4" t="s">
        <v>40</v>
      </c>
      <c r="C97" s="4" t="s">
        <v>289</v>
      </c>
      <c r="D97" s="4" t="str">
        <f aca="false">IFERROR(DPG5k!L16,"")</f>
        <v/>
      </c>
      <c r="E97" s="4" t="s">
        <v>212</v>
      </c>
      <c r="F97" s="5"/>
      <c r="G97" s="5"/>
      <c r="H97" s="6" t="str">
        <f aca="false">IF(OR(F97="",NOT(ISNUMBER(D97))),"",IF(ABS(F97-D97)&lt;0.001,"Yes","No"))</f>
        <v/>
      </c>
      <c r="I97" s="7" t="str">
        <f aca="false">IF(ISNUMBER(F97),F97,D97)</f>
        <v/>
      </c>
      <c r="J97" s="6" t="str">
        <f aca="false">IF(ISNUMBER(F97),"Expert (overrides AI)",IF(ISNUMBER(D97),"AI","Not scored yet"))</f>
        <v>Not scored yet</v>
      </c>
      <c r="K97" s="4" t="s">
        <v>30</v>
      </c>
      <c r="L97" s="4" t="s">
        <v>59</v>
      </c>
      <c r="M97" s="4"/>
      <c r="N97" s="4"/>
      <c r="O97" s="4"/>
      <c r="P97" s="4"/>
      <c r="Q97" s="4"/>
      <c r="R97" s="4" t="s">
        <v>293</v>
      </c>
    </row>
    <row r="98" customFormat="false" ht="93" hidden="false" customHeight="true" outlineLevel="0" collapsed="false">
      <c r="A98" s="3" t="s">
        <v>288</v>
      </c>
      <c r="B98" s="4" t="s">
        <v>46</v>
      </c>
      <c r="C98" s="4" t="s">
        <v>289</v>
      </c>
      <c r="D98" s="4" t="str">
        <f aca="false">IFERROR(DPG5k!L17,"")</f>
        <v/>
      </c>
      <c r="E98" s="4" t="s">
        <v>212</v>
      </c>
      <c r="F98" s="5"/>
      <c r="G98" s="5"/>
      <c r="H98" s="6" t="str">
        <f aca="false">IF(OR(F98="",NOT(ISNUMBER(D98))),"",IF(ABS(F98-D98)&lt;0.001,"Yes","No"))</f>
        <v/>
      </c>
      <c r="I98" s="7" t="str">
        <f aca="false">IF(ISNUMBER(F98),F98,D98)</f>
        <v/>
      </c>
      <c r="J98" s="6" t="str">
        <f aca="false">IF(ISNUMBER(F98),"Expert (overrides AI)",IF(ISNUMBER(D98),"AI","Not scored yet"))</f>
        <v>Not scored yet</v>
      </c>
      <c r="K98" s="4" t="s">
        <v>30</v>
      </c>
      <c r="L98" s="4" t="s">
        <v>59</v>
      </c>
      <c r="M98" s="4"/>
      <c r="N98" s="4"/>
      <c r="O98" s="4"/>
      <c r="P98" s="4"/>
      <c r="Q98" s="4"/>
      <c r="R98" s="4" t="s">
        <v>294</v>
      </c>
    </row>
    <row r="99" customFormat="false" ht="93" hidden="false" customHeight="true" outlineLevel="0" collapsed="false">
      <c r="A99" s="3" t="s">
        <v>295</v>
      </c>
      <c r="B99" s="4" t="s">
        <v>19</v>
      </c>
      <c r="C99" s="4" t="s">
        <v>296</v>
      </c>
      <c r="D99" s="4" t="n">
        <f aca="false">IFERROR(DPG6a!L13,"")</f>
        <v>5</v>
      </c>
      <c r="E99" s="4" t="s">
        <v>21</v>
      </c>
      <c r="F99" s="5"/>
      <c r="G99" s="5"/>
      <c r="H99" s="6" t="str">
        <f aca="false">IF(OR(F99="",NOT(ISNUMBER(D99))),"",IF(ABS(F99-D99)&lt;0.001,"Yes","No"))</f>
        <v/>
      </c>
      <c r="I99" s="7" t="n">
        <f aca="false">IF(ISNUMBER(F99),F99,D99)</f>
        <v>5</v>
      </c>
      <c r="J99" s="6" t="str">
        <f aca="false">IF(ISNUMBER(F99),"Expert (overrides AI)",IF(ISNUMBER(D99),"AI","Not scored yet"))</f>
        <v>AI</v>
      </c>
      <c r="K99" s="4" t="s">
        <v>22</v>
      </c>
      <c r="L99" s="4" t="s">
        <v>31</v>
      </c>
      <c r="M99" s="4" t="s">
        <v>297</v>
      </c>
      <c r="N99" s="4" t="s">
        <v>25</v>
      </c>
      <c r="O99" s="4" t="s">
        <v>26</v>
      </c>
      <c r="P99" s="4" t="s">
        <v>298</v>
      </c>
      <c r="Q99" s="4" t="s">
        <v>299</v>
      </c>
      <c r="R99" s="4"/>
    </row>
    <row r="100" customFormat="false" ht="93" hidden="false" customHeight="true" outlineLevel="0" collapsed="false">
      <c r="A100" s="3" t="s">
        <v>295</v>
      </c>
      <c r="B100" s="4" t="s">
        <v>29</v>
      </c>
      <c r="C100" s="4" t="s">
        <v>296</v>
      </c>
      <c r="D100" s="4" t="str">
        <f aca="false">IFERROR(DPG6a!L14,"")</f>
        <v/>
      </c>
      <c r="E100" s="4" t="s">
        <v>21</v>
      </c>
      <c r="F100" s="5"/>
      <c r="G100" s="5"/>
      <c r="H100" s="6" t="str">
        <f aca="false">IF(OR(F100="",NOT(ISNUMBER(D100))),"",IF(ABS(F100-D100)&lt;0.001,"Yes","No"))</f>
        <v/>
      </c>
      <c r="I100" s="7" t="str">
        <f aca="false">IF(ISNUMBER(F100),F100,D100)</f>
        <v/>
      </c>
      <c r="J100" s="6" t="str">
        <f aca="false">IF(ISNUMBER(F100),"Expert (overrides AI)",IF(ISNUMBER(D100),"AI","Not scored yet"))</f>
        <v>Not scored yet</v>
      </c>
      <c r="K100" s="4" t="s">
        <v>30</v>
      </c>
      <c r="L100" s="4" t="s">
        <v>59</v>
      </c>
      <c r="M100" s="4"/>
      <c r="N100" s="4"/>
      <c r="O100" s="4"/>
      <c r="P100" s="4"/>
      <c r="Q100" s="4"/>
      <c r="R100" s="4" t="s">
        <v>300</v>
      </c>
    </row>
    <row r="101" customFormat="false" ht="93" hidden="false" customHeight="true" outlineLevel="0" collapsed="false">
      <c r="A101" s="3" t="s">
        <v>295</v>
      </c>
      <c r="B101" s="4" t="s">
        <v>34</v>
      </c>
      <c r="C101" s="4" t="s">
        <v>296</v>
      </c>
      <c r="D101" s="4" t="n">
        <f aca="false">IFERROR(DPG6a!L15,"")</f>
        <v>0</v>
      </c>
      <c r="E101" s="4" t="s">
        <v>21</v>
      </c>
      <c r="F101" s="5"/>
      <c r="G101" s="5"/>
      <c r="H101" s="6" t="str">
        <f aca="false">IF(OR(F101="",NOT(ISNUMBER(D101))),"",IF(ABS(F101-D101)&lt;0.001,"Yes","No"))</f>
        <v/>
      </c>
      <c r="I101" s="7" t="n">
        <f aca="false">IF(ISNUMBER(F101),F101,D101)</f>
        <v>0</v>
      </c>
      <c r="J101" s="6" t="str">
        <f aca="false">IF(ISNUMBER(F101),"Expert (overrides AI)",IF(ISNUMBER(D101),"AI","Not scored yet"))</f>
        <v>AI</v>
      </c>
      <c r="K101" s="4" t="s">
        <v>22</v>
      </c>
      <c r="L101" s="4" t="s">
        <v>31</v>
      </c>
      <c r="M101" s="4" t="s">
        <v>301</v>
      </c>
      <c r="N101" s="4" t="s">
        <v>36</v>
      </c>
      <c r="O101" s="4" t="s">
        <v>37</v>
      </c>
      <c r="P101" s="4" t="s">
        <v>302</v>
      </c>
      <c r="Q101" s="4" t="s">
        <v>303</v>
      </c>
      <c r="R101" s="4"/>
    </row>
    <row r="102" customFormat="false" ht="93" hidden="false" customHeight="true" outlineLevel="0" collapsed="false">
      <c r="A102" s="3" t="s">
        <v>295</v>
      </c>
      <c r="B102" s="4" t="s">
        <v>40</v>
      </c>
      <c r="C102" s="4" t="s">
        <v>296</v>
      </c>
      <c r="D102" s="4" t="str">
        <f aca="false">IFERROR(DPG6a!L16,"")</f>
        <v/>
      </c>
      <c r="E102" s="4" t="s">
        <v>21</v>
      </c>
      <c r="F102" s="5"/>
      <c r="G102" s="5"/>
      <c r="H102" s="6" t="str">
        <f aca="false">IF(OR(F102="",NOT(ISNUMBER(D102))),"",IF(ABS(F102-D102)&lt;0.001,"Yes","No"))</f>
        <v/>
      </c>
      <c r="I102" s="7" t="str">
        <f aca="false">IF(ISNUMBER(F102),F102,D102)</f>
        <v/>
      </c>
      <c r="J102" s="6" t="str">
        <f aca="false">IF(ISNUMBER(F102),"Expert (overrides AI)",IF(ISNUMBER(D102),"AI","Not scored yet"))</f>
        <v>Not scored yet</v>
      </c>
      <c r="K102" s="4" t="s">
        <v>30</v>
      </c>
      <c r="L102" s="4" t="s">
        <v>59</v>
      </c>
      <c r="M102" s="4"/>
      <c r="N102" s="4"/>
      <c r="O102" s="4"/>
      <c r="P102" s="4"/>
      <c r="Q102" s="4"/>
      <c r="R102" s="4" t="s">
        <v>304</v>
      </c>
    </row>
    <row r="103" customFormat="false" ht="93" hidden="false" customHeight="true" outlineLevel="0" collapsed="false">
      <c r="A103" s="3" t="s">
        <v>295</v>
      </c>
      <c r="B103" s="4" t="s">
        <v>46</v>
      </c>
      <c r="C103" s="4" t="s">
        <v>296</v>
      </c>
      <c r="D103" s="4" t="str">
        <f aca="false">IFERROR(DPG6a!L17,"")</f>
        <v/>
      </c>
      <c r="E103" s="4" t="s">
        <v>21</v>
      </c>
      <c r="F103" s="5"/>
      <c r="G103" s="5"/>
      <c r="H103" s="6" t="str">
        <f aca="false">IF(OR(F103="",NOT(ISNUMBER(D103))),"",IF(ABS(F103-D103)&lt;0.001,"Yes","No"))</f>
        <v/>
      </c>
      <c r="I103" s="7" t="str">
        <f aca="false">IF(ISNUMBER(F103),F103,D103)</f>
        <v/>
      </c>
      <c r="J103" s="6" t="str">
        <f aca="false">IF(ISNUMBER(F103),"Expert (overrides AI)",IF(ISNUMBER(D103),"AI","Not scored yet"))</f>
        <v>Not scored yet</v>
      </c>
      <c r="K103" s="4" t="s">
        <v>30</v>
      </c>
      <c r="L103" s="4" t="s">
        <v>31</v>
      </c>
      <c r="M103" s="4" t="s">
        <v>305</v>
      </c>
      <c r="N103" s="4" t="s">
        <v>48</v>
      </c>
      <c r="O103" s="4" t="s">
        <v>49</v>
      </c>
      <c r="P103" s="4" t="s">
        <v>306</v>
      </c>
      <c r="Q103" s="4" t="s">
        <v>307</v>
      </c>
      <c r="R103" s="4" t="s">
        <v>147</v>
      </c>
    </row>
    <row r="104" customFormat="false" ht="93" hidden="false" customHeight="true" outlineLevel="0" collapsed="false">
      <c r="A104" s="3" t="s">
        <v>308</v>
      </c>
      <c r="B104" s="4" t="s">
        <v>19</v>
      </c>
      <c r="C104" s="4" t="s">
        <v>309</v>
      </c>
      <c r="D104" s="4" t="str">
        <f aca="false">IFERROR(DPG6b!L13,"")</f>
        <v/>
      </c>
      <c r="E104" s="4" t="s">
        <v>21</v>
      </c>
      <c r="F104" s="5"/>
      <c r="G104" s="5"/>
      <c r="H104" s="6" t="str">
        <f aca="false">IF(OR(F104="",NOT(ISNUMBER(D104))),"",IF(ABS(F104-D104)&lt;0.001,"Yes","No"))</f>
        <v/>
      </c>
      <c r="I104" s="7" t="str">
        <f aca="false">IF(ISNUMBER(F104),F104,D104)</f>
        <v/>
      </c>
      <c r="J104" s="6" t="str">
        <f aca="false">IF(ISNUMBER(F104),"Expert (overrides AI)",IF(ISNUMBER(D104),"AI","Not scored yet"))</f>
        <v>Not scored yet</v>
      </c>
      <c r="K104" s="4" t="s">
        <v>30</v>
      </c>
      <c r="L104" s="4" t="s">
        <v>59</v>
      </c>
      <c r="M104" s="4"/>
      <c r="N104" s="4"/>
      <c r="O104" s="4"/>
      <c r="P104" s="4"/>
      <c r="Q104" s="4"/>
      <c r="R104" s="4" t="s">
        <v>310</v>
      </c>
    </row>
    <row r="105" customFormat="false" ht="93" hidden="false" customHeight="true" outlineLevel="0" collapsed="false">
      <c r="A105" s="3" t="s">
        <v>308</v>
      </c>
      <c r="B105" s="4" t="s">
        <v>29</v>
      </c>
      <c r="C105" s="4" t="s">
        <v>309</v>
      </c>
      <c r="D105" s="4" t="str">
        <f aca="false">IFERROR(DPG6b!L14,"")</f>
        <v/>
      </c>
      <c r="E105" s="4" t="s">
        <v>21</v>
      </c>
      <c r="F105" s="5"/>
      <c r="G105" s="5"/>
      <c r="H105" s="6" t="str">
        <f aca="false">IF(OR(F105="",NOT(ISNUMBER(D105))),"",IF(ABS(F105-D105)&lt;0.001,"Yes","No"))</f>
        <v/>
      </c>
      <c r="I105" s="7" t="str">
        <f aca="false">IF(ISNUMBER(F105),F105,D105)</f>
        <v/>
      </c>
      <c r="J105" s="6" t="str">
        <f aca="false">IF(ISNUMBER(F105),"Expert (overrides AI)",IF(ISNUMBER(D105),"AI","Not scored yet"))</f>
        <v>Not scored yet</v>
      </c>
      <c r="K105" s="4" t="s">
        <v>30</v>
      </c>
      <c r="L105" s="4" t="s">
        <v>59</v>
      </c>
      <c r="M105" s="4"/>
      <c r="N105" s="4"/>
      <c r="O105" s="4"/>
      <c r="P105" s="4"/>
      <c r="Q105" s="4"/>
      <c r="R105" s="4" t="s">
        <v>311</v>
      </c>
    </row>
    <row r="106" customFormat="false" ht="93" hidden="false" customHeight="true" outlineLevel="0" collapsed="false">
      <c r="A106" s="3" t="s">
        <v>308</v>
      </c>
      <c r="B106" s="4" t="s">
        <v>34</v>
      </c>
      <c r="C106" s="4" t="s">
        <v>309</v>
      </c>
      <c r="D106" s="4" t="str">
        <f aca="false">IFERROR(DPG6b!L15,"")</f>
        <v/>
      </c>
      <c r="E106" s="4" t="s">
        <v>21</v>
      </c>
      <c r="F106" s="5"/>
      <c r="G106" s="5"/>
      <c r="H106" s="6" t="str">
        <f aca="false">IF(OR(F106="",NOT(ISNUMBER(D106))),"",IF(ABS(F106-D106)&lt;0.001,"Yes","No"))</f>
        <v/>
      </c>
      <c r="I106" s="7" t="str">
        <f aca="false">IF(ISNUMBER(F106),F106,D106)</f>
        <v/>
      </c>
      <c r="J106" s="6" t="str">
        <f aca="false">IF(ISNUMBER(F106),"Expert (overrides AI)",IF(ISNUMBER(D106),"AI","Not scored yet"))</f>
        <v>Not scored yet</v>
      </c>
      <c r="K106" s="4" t="s">
        <v>30</v>
      </c>
      <c r="L106" s="4" t="s">
        <v>59</v>
      </c>
      <c r="M106" s="4"/>
      <c r="N106" s="4"/>
      <c r="O106" s="4"/>
      <c r="P106" s="4"/>
      <c r="Q106" s="4"/>
      <c r="R106" s="4" t="s">
        <v>312</v>
      </c>
    </row>
    <row r="107" customFormat="false" ht="93" hidden="false" customHeight="true" outlineLevel="0" collapsed="false">
      <c r="A107" s="3" t="s">
        <v>308</v>
      </c>
      <c r="B107" s="4" t="s">
        <v>40</v>
      </c>
      <c r="C107" s="4" t="s">
        <v>309</v>
      </c>
      <c r="D107" s="4" t="str">
        <f aca="false">IFERROR(DPG6b!L16,"")</f>
        <v/>
      </c>
      <c r="E107" s="4" t="s">
        <v>21</v>
      </c>
      <c r="F107" s="5"/>
      <c r="G107" s="5"/>
      <c r="H107" s="6" t="str">
        <f aca="false">IF(OR(F107="",NOT(ISNUMBER(D107))),"",IF(ABS(F107-D107)&lt;0.001,"Yes","No"))</f>
        <v/>
      </c>
      <c r="I107" s="7" t="str">
        <f aca="false">IF(ISNUMBER(F107),F107,D107)</f>
        <v/>
      </c>
      <c r="J107" s="6" t="str">
        <f aca="false">IF(ISNUMBER(F107),"Expert (overrides AI)",IF(ISNUMBER(D107),"AI","Not scored yet"))</f>
        <v>Not scored yet</v>
      </c>
      <c r="K107" s="4" t="s">
        <v>30</v>
      </c>
      <c r="L107" s="4" t="s">
        <v>59</v>
      </c>
      <c r="M107" s="4"/>
      <c r="N107" s="4"/>
      <c r="O107" s="4"/>
      <c r="P107" s="4"/>
      <c r="Q107" s="4"/>
      <c r="R107" s="4" t="s">
        <v>313</v>
      </c>
    </row>
    <row r="108" customFormat="false" ht="93" hidden="false" customHeight="true" outlineLevel="0" collapsed="false">
      <c r="A108" s="3" t="s">
        <v>308</v>
      </c>
      <c r="B108" s="4" t="s">
        <v>46</v>
      </c>
      <c r="C108" s="4" t="s">
        <v>309</v>
      </c>
      <c r="D108" s="4" t="str">
        <f aca="false">IFERROR(DPG6b!L17,"")</f>
        <v/>
      </c>
      <c r="E108" s="4" t="s">
        <v>21</v>
      </c>
      <c r="F108" s="5"/>
      <c r="G108" s="5"/>
      <c r="H108" s="6" t="str">
        <f aca="false">IF(OR(F108="",NOT(ISNUMBER(D108))),"",IF(ABS(F108-D108)&lt;0.001,"Yes","No"))</f>
        <v/>
      </c>
      <c r="I108" s="7" t="str">
        <f aca="false">IF(ISNUMBER(F108),F108,D108)</f>
        <v/>
      </c>
      <c r="J108" s="6" t="str">
        <f aca="false">IF(ISNUMBER(F108),"Expert (overrides AI)",IF(ISNUMBER(D108),"AI","Not scored yet"))</f>
        <v>Not scored yet</v>
      </c>
      <c r="K108" s="4" t="s">
        <v>30</v>
      </c>
      <c r="L108" s="4" t="s">
        <v>59</v>
      </c>
      <c r="M108" s="4"/>
      <c r="N108" s="4"/>
      <c r="O108" s="4"/>
      <c r="P108" s="4"/>
      <c r="Q108" s="4"/>
      <c r="R108" s="4" t="s">
        <v>314</v>
      </c>
    </row>
    <row r="109" customFormat="false" ht="93" hidden="false" customHeight="true" outlineLevel="0" collapsed="false">
      <c r="A109" s="3" t="s">
        <v>315</v>
      </c>
      <c r="B109" s="4" t="s">
        <v>19</v>
      </c>
      <c r="C109" s="4" t="s">
        <v>316</v>
      </c>
      <c r="D109" s="4" t="n">
        <f aca="false">IFERROR(DPG7a!L13,"")</f>
        <v>0</v>
      </c>
      <c r="E109" s="4" t="s">
        <v>21</v>
      </c>
      <c r="F109" s="5"/>
      <c r="G109" s="5"/>
      <c r="H109" s="6" t="str">
        <f aca="false">IF(OR(F109="",NOT(ISNUMBER(D109))),"",IF(ABS(F109-D109)&lt;0.001,"Yes","No"))</f>
        <v/>
      </c>
      <c r="I109" s="7" t="n">
        <f aca="false">IF(ISNUMBER(F109),F109,D109)</f>
        <v>0</v>
      </c>
      <c r="J109" s="6" t="str">
        <f aca="false">IF(ISNUMBER(F109),"Expert (overrides AI)",IF(ISNUMBER(D109),"AI","Not scored yet"))</f>
        <v>AI</v>
      </c>
      <c r="K109" s="4" t="s">
        <v>22</v>
      </c>
      <c r="L109" s="4" t="s">
        <v>23</v>
      </c>
      <c r="M109" s="4" t="s">
        <v>317</v>
      </c>
      <c r="N109" s="4" t="s">
        <v>25</v>
      </c>
      <c r="O109" s="4" t="s">
        <v>26</v>
      </c>
      <c r="P109" s="4" t="s">
        <v>68</v>
      </c>
      <c r="Q109" s="4" t="s">
        <v>318</v>
      </c>
      <c r="R109" s="4"/>
    </row>
    <row r="110" customFormat="false" ht="93" hidden="false" customHeight="true" outlineLevel="0" collapsed="false">
      <c r="A110" s="3" t="s">
        <v>315</v>
      </c>
      <c r="B110" s="4" t="s">
        <v>29</v>
      </c>
      <c r="C110" s="4" t="s">
        <v>316</v>
      </c>
      <c r="D110" s="4" t="n">
        <f aca="false">IFERROR(DPG7a!L14,"")</f>
        <v>2.5</v>
      </c>
      <c r="E110" s="4" t="s">
        <v>21</v>
      </c>
      <c r="F110" s="5"/>
      <c r="G110" s="5"/>
      <c r="H110" s="6" t="str">
        <f aca="false">IF(OR(F110="",NOT(ISNUMBER(D110))),"",IF(ABS(F110-D110)&lt;0.001,"Yes","No"))</f>
        <v/>
      </c>
      <c r="I110" s="7" t="n">
        <f aca="false">IF(ISNUMBER(F110),F110,D110)</f>
        <v>2.5</v>
      </c>
      <c r="J110" s="6" t="str">
        <f aca="false">IF(ISNUMBER(F110),"Expert (overrides AI)",IF(ISNUMBER(D110),"AI","Not scored yet"))</f>
        <v>AI</v>
      </c>
      <c r="K110" s="4" t="s">
        <v>22</v>
      </c>
      <c r="L110" s="4" t="s">
        <v>31</v>
      </c>
      <c r="M110" s="4" t="s">
        <v>319</v>
      </c>
      <c r="N110" s="4" t="s">
        <v>78</v>
      </c>
      <c r="O110" s="4" t="s">
        <v>79</v>
      </c>
      <c r="P110" s="4" t="s">
        <v>320</v>
      </c>
      <c r="Q110" s="4" t="s">
        <v>321</v>
      </c>
      <c r="R110" s="4"/>
    </row>
    <row r="111" customFormat="false" ht="93" hidden="false" customHeight="true" outlineLevel="0" collapsed="false">
      <c r="A111" s="3" t="s">
        <v>315</v>
      </c>
      <c r="B111" s="4" t="s">
        <v>40</v>
      </c>
      <c r="C111" s="4" t="s">
        <v>316</v>
      </c>
      <c r="D111" s="4" t="n">
        <f aca="false">IFERROR(DPG7a!L16,"")</f>
        <v>2.5</v>
      </c>
      <c r="E111" s="4" t="s">
        <v>21</v>
      </c>
      <c r="F111" s="5"/>
      <c r="G111" s="5"/>
      <c r="H111" s="6" t="str">
        <f aca="false">IF(OR(F111="",NOT(ISNUMBER(D111))),"",IF(ABS(F111-D111)&lt;0.001,"Yes","No"))</f>
        <v/>
      </c>
      <c r="I111" s="7" t="n">
        <f aca="false">IF(ISNUMBER(F111),F111,D111)</f>
        <v>2.5</v>
      </c>
      <c r="J111" s="6" t="str">
        <f aca="false">IF(ISNUMBER(F111),"Expert (overrides AI)",IF(ISNUMBER(D111),"AI","Not scored yet"))</f>
        <v>AI</v>
      </c>
      <c r="K111" s="4" t="s">
        <v>22</v>
      </c>
      <c r="L111" s="4" t="s">
        <v>31</v>
      </c>
      <c r="M111" s="4" t="s">
        <v>322</v>
      </c>
      <c r="N111" s="4" t="s">
        <v>323</v>
      </c>
      <c r="O111" s="4" t="s">
        <v>79</v>
      </c>
      <c r="P111" s="4" t="s">
        <v>324</v>
      </c>
      <c r="Q111" s="4" t="s">
        <v>325</v>
      </c>
      <c r="R111" s="4"/>
    </row>
    <row r="112" customFormat="false" ht="93" hidden="false" customHeight="true" outlineLevel="0" collapsed="false">
      <c r="A112" s="3" t="s">
        <v>326</v>
      </c>
      <c r="B112" s="4" t="s">
        <v>19</v>
      </c>
      <c r="C112" s="4" t="s">
        <v>327</v>
      </c>
      <c r="D112" s="4" t="n">
        <f aca="false">IFERROR(DPG7b!L13,"")</f>
        <v>2.5</v>
      </c>
      <c r="E112" s="4" t="s">
        <v>21</v>
      </c>
      <c r="F112" s="5"/>
      <c r="G112" s="5"/>
      <c r="H112" s="6" t="str">
        <f aca="false">IF(OR(F112="",NOT(ISNUMBER(D112))),"",IF(ABS(F112-D112)&lt;0.001,"Yes","No"))</f>
        <v/>
      </c>
      <c r="I112" s="7" t="n">
        <f aca="false">IF(ISNUMBER(F112),F112,D112)</f>
        <v>2.5</v>
      </c>
      <c r="J112" s="6" t="str">
        <f aca="false">IF(ISNUMBER(F112),"Expert (overrides AI)",IF(ISNUMBER(D112),"AI","Not scored yet"))</f>
        <v>AI</v>
      </c>
      <c r="K112" s="4" t="s">
        <v>22</v>
      </c>
      <c r="L112" s="4" t="s">
        <v>31</v>
      </c>
      <c r="M112" s="4" t="s">
        <v>328</v>
      </c>
      <c r="N112" s="4" t="s">
        <v>329</v>
      </c>
      <c r="O112" s="4" t="s">
        <v>330</v>
      </c>
      <c r="P112" s="4" t="s">
        <v>331</v>
      </c>
      <c r="Q112" s="4" t="s">
        <v>332</v>
      </c>
      <c r="R112" s="4"/>
    </row>
    <row r="113" customFormat="false" ht="93" hidden="false" customHeight="true" outlineLevel="0" collapsed="false">
      <c r="A113" s="3" t="s">
        <v>326</v>
      </c>
      <c r="B113" s="4" t="s">
        <v>29</v>
      </c>
      <c r="C113" s="4" t="s">
        <v>327</v>
      </c>
      <c r="D113" s="4" t="str">
        <f aca="false">IFERROR(DPG7b!L14,"")</f>
        <v/>
      </c>
      <c r="E113" s="4" t="s">
        <v>21</v>
      </c>
      <c r="F113" s="5"/>
      <c r="G113" s="5"/>
      <c r="H113" s="6" t="str">
        <f aca="false">IF(OR(F113="",NOT(ISNUMBER(D113))),"",IF(ABS(F113-D113)&lt;0.001,"Yes","No"))</f>
        <v/>
      </c>
      <c r="I113" s="7" t="str">
        <f aca="false">IF(ISNUMBER(F113),F113,D113)</f>
        <v/>
      </c>
      <c r="J113" s="6" t="str">
        <f aca="false">IF(ISNUMBER(F113),"Expert (overrides AI)",IF(ISNUMBER(D113),"AI","Not scored yet"))</f>
        <v>Not scored yet</v>
      </c>
      <c r="K113" s="4" t="s">
        <v>30</v>
      </c>
      <c r="L113" s="4" t="s">
        <v>59</v>
      </c>
      <c r="M113" s="4"/>
      <c r="N113" s="4"/>
      <c r="O113" s="4"/>
      <c r="P113" s="4"/>
      <c r="Q113" s="4"/>
      <c r="R113" s="4" t="s">
        <v>333</v>
      </c>
    </row>
    <row r="114" customFormat="false" ht="93" hidden="false" customHeight="true" outlineLevel="0" collapsed="false">
      <c r="A114" s="3" t="s">
        <v>326</v>
      </c>
      <c r="B114" s="4" t="s">
        <v>40</v>
      </c>
      <c r="C114" s="4" t="s">
        <v>327</v>
      </c>
      <c r="D114" s="4" t="n">
        <f aca="false">IFERROR(DPG7b!L16,"")</f>
        <v>2.5</v>
      </c>
      <c r="E114" s="4" t="s">
        <v>21</v>
      </c>
      <c r="F114" s="5"/>
      <c r="G114" s="5"/>
      <c r="H114" s="6" t="str">
        <f aca="false">IF(OR(F114="",NOT(ISNUMBER(D114))),"",IF(ABS(F114-D114)&lt;0.001,"Yes","No"))</f>
        <v/>
      </c>
      <c r="I114" s="7" t="n">
        <f aca="false">IF(ISNUMBER(F114),F114,D114)</f>
        <v>2.5</v>
      </c>
      <c r="J114" s="6" t="str">
        <f aca="false">IF(ISNUMBER(F114),"Expert (overrides AI)",IF(ISNUMBER(D114),"AI","Not scored yet"))</f>
        <v>AI</v>
      </c>
      <c r="K114" s="4" t="s">
        <v>22</v>
      </c>
      <c r="L114" s="4" t="s">
        <v>31</v>
      </c>
      <c r="M114" s="4" t="s">
        <v>334</v>
      </c>
      <c r="N114" s="4" t="s">
        <v>335</v>
      </c>
      <c r="O114" s="4" t="s">
        <v>336</v>
      </c>
      <c r="P114" s="4" t="s">
        <v>337</v>
      </c>
      <c r="Q114" s="4" t="s">
        <v>338</v>
      </c>
      <c r="R114" s="4"/>
    </row>
    <row r="115" customFormat="false" ht="93" hidden="false" customHeight="true" outlineLevel="0" collapsed="false">
      <c r="A115" s="3" t="s">
        <v>339</v>
      </c>
      <c r="B115" s="4" t="s">
        <v>19</v>
      </c>
      <c r="C115" s="4" t="s">
        <v>340</v>
      </c>
      <c r="D115" s="4" t="str">
        <f aca="false">IFERROR('SC1'!L13,"")</f>
        <v/>
      </c>
      <c r="E115" s="4" t="s">
        <v>198</v>
      </c>
      <c r="F115" s="5"/>
      <c r="G115" s="5"/>
      <c r="H115" s="6" t="str">
        <f aca="false">IF(OR(F115="",NOT(ISNUMBER(D115))),"",IF(ABS(F115-D115)&lt;0.001,"Yes","No"))</f>
        <v/>
      </c>
      <c r="I115" s="7" t="str">
        <f aca="false">IF(ISNUMBER(F115),F115,D115)</f>
        <v/>
      </c>
      <c r="J115" s="6" t="str">
        <f aca="false">IF(ISNUMBER(F115),"Expert (overrides AI)",IF(ISNUMBER(D115),"AI","Not scored yet"))</f>
        <v>Not scored yet</v>
      </c>
      <c r="K115" s="4" t="s">
        <v>30</v>
      </c>
      <c r="L115" s="4" t="s">
        <v>59</v>
      </c>
      <c r="M115" s="4"/>
      <c r="N115" s="4"/>
      <c r="O115" s="4"/>
      <c r="P115" s="4"/>
      <c r="Q115" s="4"/>
      <c r="R115" s="4" t="s">
        <v>341</v>
      </c>
    </row>
    <row r="116" customFormat="false" ht="93" hidden="false" customHeight="true" outlineLevel="0" collapsed="false">
      <c r="A116" s="3" t="s">
        <v>339</v>
      </c>
      <c r="B116" s="4" t="s">
        <v>29</v>
      </c>
      <c r="C116" s="4" t="s">
        <v>340</v>
      </c>
      <c r="D116" s="4" t="str">
        <f aca="false">IFERROR('SC1'!L14,"")</f>
        <v/>
      </c>
      <c r="E116" s="4" t="s">
        <v>198</v>
      </c>
      <c r="F116" s="5"/>
      <c r="G116" s="5"/>
      <c r="H116" s="6" t="str">
        <f aca="false">IF(OR(F116="",NOT(ISNUMBER(D116))),"",IF(ABS(F116-D116)&lt;0.001,"Yes","No"))</f>
        <v/>
      </c>
      <c r="I116" s="7" t="str">
        <f aca="false">IF(ISNUMBER(F116),F116,D116)</f>
        <v/>
      </c>
      <c r="J116" s="6" t="str">
        <f aca="false">IF(ISNUMBER(F116),"Expert (overrides AI)",IF(ISNUMBER(D116),"AI","Not scored yet"))</f>
        <v>Not scored yet</v>
      </c>
      <c r="K116" s="4" t="s">
        <v>30</v>
      </c>
      <c r="L116" s="4" t="s">
        <v>59</v>
      </c>
      <c r="M116" s="4"/>
      <c r="N116" s="4"/>
      <c r="O116" s="4"/>
      <c r="P116" s="4"/>
      <c r="Q116" s="4"/>
      <c r="R116" s="4" t="s">
        <v>342</v>
      </c>
    </row>
    <row r="117" customFormat="false" ht="93" hidden="false" customHeight="true" outlineLevel="0" collapsed="false">
      <c r="A117" s="3" t="s">
        <v>339</v>
      </c>
      <c r="B117" s="4" t="s">
        <v>34</v>
      </c>
      <c r="C117" s="4" t="s">
        <v>340</v>
      </c>
      <c r="D117" s="4" t="str">
        <f aca="false">IFERROR('SC1'!L15,"")</f>
        <v/>
      </c>
      <c r="E117" s="4" t="s">
        <v>198</v>
      </c>
      <c r="F117" s="5"/>
      <c r="G117" s="5"/>
      <c r="H117" s="6" t="str">
        <f aca="false">IF(OR(F117="",NOT(ISNUMBER(D117))),"",IF(ABS(F117-D117)&lt;0.001,"Yes","No"))</f>
        <v/>
      </c>
      <c r="I117" s="7" t="str">
        <f aca="false">IF(ISNUMBER(F117),F117,D117)</f>
        <v/>
      </c>
      <c r="J117" s="6" t="str">
        <f aca="false">IF(ISNUMBER(F117),"Expert (overrides AI)",IF(ISNUMBER(D117),"AI","Not scored yet"))</f>
        <v>Not scored yet</v>
      </c>
      <c r="K117" s="4" t="s">
        <v>30</v>
      </c>
      <c r="L117" s="4" t="s">
        <v>59</v>
      </c>
      <c r="M117" s="4"/>
      <c r="N117" s="4"/>
      <c r="O117" s="4"/>
      <c r="P117" s="4"/>
      <c r="Q117" s="4"/>
      <c r="R117" s="4" t="s">
        <v>343</v>
      </c>
    </row>
    <row r="118" customFormat="false" ht="93" hidden="false" customHeight="true" outlineLevel="0" collapsed="false">
      <c r="A118" s="3" t="s">
        <v>344</v>
      </c>
      <c r="B118" s="4" t="s">
        <v>19</v>
      </c>
      <c r="C118" s="4" t="s">
        <v>345</v>
      </c>
      <c r="D118" s="4" t="str">
        <f aca="false">IFERROR('SC2'!L13,"")</f>
        <v/>
      </c>
      <c r="E118" s="4" t="s">
        <v>198</v>
      </c>
      <c r="F118" s="5"/>
      <c r="G118" s="5"/>
      <c r="H118" s="6" t="str">
        <f aca="false">IF(OR(F118="",NOT(ISNUMBER(D118))),"",IF(ABS(F118-D118)&lt;0.001,"Yes","No"))</f>
        <v/>
      </c>
      <c r="I118" s="7" t="str">
        <f aca="false">IF(ISNUMBER(F118),F118,D118)</f>
        <v/>
      </c>
      <c r="J118" s="6" t="str">
        <f aca="false">IF(ISNUMBER(F118),"Expert (overrides AI)",IF(ISNUMBER(D118),"AI","Not scored yet"))</f>
        <v>Not scored yet</v>
      </c>
      <c r="K118" s="4" t="s">
        <v>30</v>
      </c>
      <c r="L118" s="4" t="s">
        <v>59</v>
      </c>
      <c r="M118" s="4"/>
      <c r="N118" s="4"/>
      <c r="O118" s="4"/>
      <c r="P118" s="4"/>
      <c r="Q118" s="4"/>
      <c r="R118" s="4" t="s">
        <v>346</v>
      </c>
    </row>
    <row r="119" customFormat="false" ht="93" hidden="false" customHeight="true" outlineLevel="0" collapsed="false">
      <c r="A119" s="3" t="s">
        <v>344</v>
      </c>
      <c r="B119" s="4" t="s">
        <v>29</v>
      </c>
      <c r="C119" s="4" t="s">
        <v>345</v>
      </c>
      <c r="D119" s="4" t="str">
        <f aca="false">IFERROR('SC2'!L14,"")</f>
        <v/>
      </c>
      <c r="E119" s="4" t="s">
        <v>198</v>
      </c>
      <c r="F119" s="5"/>
      <c r="G119" s="5"/>
      <c r="H119" s="6" t="str">
        <f aca="false">IF(OR(F119="",NOT(ISNUMBER(D119))),"",IF(ABS(F119-D119)&lt;0.001,"Yes","No"))</f>
        <v/>
      </c>
      <c r="I119" s="7" t="str">
        <f aca="false">IF(ISNUMBER(F119),F119,D119)</f>
        <v/>
      </c>
      <c r="J119" s="6" t="str">
        <f aca="false">IF(ISNUMBER(F119),"Expert (overrides AI)",IF(ISNUMBER(D119),"AI","Not scored yet"))</f>
        <v>Not scored yet</v>
      </c>
      <c r="K119" s="4" t="s">
        <v>30</v>
      </c>
      <c r="L119" s="4" t="s">
        <v>59</v>
      </c>
      <c r="M119" s="4"/>
      <c r="N119" s="4"/>
      <c r="O119" s="4"/>
      <c r="P119" s="4"/>
      <c r="Q119" s="4"/>
      <c r="R119" s="4" t="s">
        <v>347</v>
      </c>
    </row>
    <row r="120" customFormat="false" ht="93" hidden="false" customHeight="true" outlineLevel="0" collapsed="false">
      <c r="A120" s="3" t="s">
        <v>344</v>
      </c>
      <c r="B120" s="4" t="s">
        <v>34</v>
      </c>
      <c r="C120" s="4" t="s">
        <v>345</v>
      </c>
      <c r="D120" s="4" t="str">
        <f aca="false">IFERROR('SC2'!L15,"")</f>
        <v/>
      </c>
      <c r="E120" s="4" t="s">
        <v>198</v>
      </c>
      <c r="F120" s="5"/>
      <c r="G120" s="5"/>
      <c r="H120" s="6" t="str">
        <f aca="false">IF(OR(F120="",NOT(ISNUMBER(D120))),"",IF(ABS(F120-D120)&lt;0.001,"Yes","No"))</f>
        <v/>
      </c>
      <c r="I120" s="7" t="str">
        <f aca="false">IF(ISNUMBER(F120),F120,D120)</f>
        <v/>
      </c>
      <c r="J120" s="6" t="str">
        <f aca="false">IF(ISNUMBER(F120),"Expert (overrides AI)",IF(ISNUMBER(D120),"AI","Not scored yet"))</f>
        <v>Not scored yet</v>
      </c>
      <c r="K120" s="4" t="s">
        <v>30</v>
      </c>
      <c r="L120" s="4" t="s">
        <v>59</v>
      </c>
      <c r="M120" s="4"/>
      <c r="N120" s="4"/>
      <c r="O120" s="4"/>
      <c r="P120" s="4"/>
      <c r="Q120" s="4"/>
      <c r="R120" s="4" t="s">
        <v>348</v>
      </c>
    </row>
    <row r="121" customFormat="false" ht="93" hidden="false" customHeight="true" outlineLevel="0" collapsed="false">
      <c r="A121" s="3" t="s">
        <v>344</v>
      </c>
      <c r="B121" s="4" t="s">
        <v>40</v>
      </c>
      <c r="C121" s="4" t="s">
        <v>345</v>
      </c>
      <c r="D121" s="4" t="str">
        <f aca="false">IFERROR('SC2'!L16,"")</f>
        <v/>
      </c>
      <c r="E121" s="4" t="s">
        <v>198</v>
      </c>
      <c r="F121" s="5"/>
      <c r="G121" s="5"/>
      <c r="H121" s="6" t="str">
        <f aca="false">IF(OR(F121="",NOT(ISNUMBER(D121))),"",IF(ABS(F121-D121)&lt;0.001,"Yes","No"))</f>
        <v/>
      </c>
      <c r="I121" s="7" t="str">
        <f aca="false">IF(ISNUMBER(F121),F121,D121)</f>
        <v/>
      </c>
      <c r="J121" s="6" t="str">
        <f aca="false">IF(ISNUMBER(F121),"Expert (overrides AI)",IF(ISNUMBER(D121),"AI","Not scored yet"))</f>
        <v>Not scored yet</v>
      </c>
      <c r="K121" s="4" t="s">
        <v>30</v>
      </c>
      <c r="L121" s="4" t="s">
        <v>31</v>
      </c>
      <c r="M121" s="4" t="s">
        <v>349</v>
      </c>
      <c r="N121" s="4" t="s">
        <v>174</v>
      </c>
      <c r="O121" s="4" t="s">
        <v>175</v>
      </c>
      <c r="P121" s="4" t="s">
        <v>350</v>
      </c>
      <c r="Q121" s="4" t="s">
        <v>351</v>
      </c>
      <c r="R121" s="4" t="s">
        <v>147</v>
      </c>
    </row>
    <row r="122" customFormat="false" ht="93" hidden="false" customHeight="true" outlineLevel="0" collapsed="false">
      <c r="A122" s="3" t="s">
        <v>352</v>
      </c>
      <c r="B122" s="4" t="s">
        <v>19</v>
      </c>
      <c r="C122" s="4" t="s">
        <v>353</v>
      </c>
      <c r="D122" s="4" t="str">
        <f aca="false">IFERROR('SC3'!L13,"")</f>
        <v/>
      </c>
      <c r="E122" s="4" t="s">
        <v>198</v>
      </c>
      <c r="F122" s="5"/>
      <c r="G122" s="5"/>
      <c r="H122" s="6" t="str">
        <f aca="false">IF(OR(F122="",NOT(ISNUMBER(D122))),"",IF(ABS(F122-D122)&lt;0.001,"Yes","No"))</f>
        <v/>
      </c>
      <c r="I122" s="7" t="str">
        <f aca="false">IF(ISNUMBER(F122),F122,D122)</f>
        <v/>
      </c>
      <c r="J122" s="6" t="str">
        <f aca="false">IF(ISNUMBER(F122),"Expert (overrides AI)",IF(ISNUMBER(D122),"AI","Not scored yet"))</f>
        <v>Not scored yet</v>
      </c>
      <c r="K122" s="4" t="s">
        <v>30</v>
      </c>
      <c r="L122" s="4" t="s">
        <v>59</v>
      </c>
      <c r="M122" s="4"/>
      <c r="N122" s="4"/>
      <c r="O122" s="4"/>
      <c r="P122" s="4"/>
      <c r="Q122" s="4"/>
      <c r="R122" s="4" t="s">
        <v>354</v>
      </c>
    </row>
    <row r="123" customFormat="false" ht="93" hidden="false" customHeight="true" outlineLevel="0" collapsed="false">
      <c r="A123" s="3" t="s">
        <v>352</v>
      </c>
      <c r="B123" s="4" t="s">
        <v>29</v>
      </c>
      <c r="C123" s="4" t="s">
        <v>353</v>
      </c>
      <c r="D123" s="4" t="str">
        <f aca="false">IFERROR('SC3'!L14,"")</f>
        <v/>
      </c>
      <c r="E123" s="4" t="s">
        <v>198</v>
      </c>
      <c r="F123" s="5"/>
      <c r="G123" s="5"/>
      <c r="H123" s="6" t="str">
        <f aca="false">IF(OR(F123="",NOT(ISNUMBER(D123))),"",IF(ABS(F123-D123)&lt;0.001,"Yes","No"))</f>
        <v/>
      </c>
      <c r="I123" s="7" t="str">
        <f aca="false">IF(ISNUMBER(F123),F123,D123)</f>
        <v/>
      </c>
      <c r="J123" s="6" t="str">
        <f aca="false">IF(ISNUMBER(F123),"Expert (overrides AI)",IF(ISNUMBER(D123),"AI","Not scored yet"))</f>
        <v>Not scored yet</v>
      </c>
      <c r="K123" s="4" t="s">
        <v>30</v>
      </c>
      <c r="L123" s="4" t="s">
        <v>59</v>
      </c>
      <c r="M123" s="4"/>
      <c r="N123" s="4"/>
      <c r="O123" s="4"/>
      <c r="P123" s="4"/>
      <c r="Q123" s="4"/>
      <c r="R123" s="4" t="s">
        <v>355</v>
      </c>
    </row>
    <row r="124" customFormat="false" ht="93" hidden="false" customHeight="true" outlineLevel="0" collapsed="false">
      <c r="A124" s="3" t="s">
        <v>352</v>
      </c>
      <c r="B124" s="4" t="s">
        <v>34</v>
      </c>
      <c r="C124" s="4" t="s">
        <v>353</v>
      </c>
      <c r="D124" s="4" t="str">
        <f aca="false">IFERROR('SC3'!L15,"")</f>
        <v/>
      </c>
      <c r="E124" s="4" t="s">
        <v>198</v>
      </c>
      <c r="F124" s="5"/>
      <c r="G124" s="5"/>
      <c r="H124" s="6" t="str">
        <f aca="false">IF(OR(F124="",NOT(ISNUMBER(D124))),"",IF(ABS(F124-D124)&lt;0.001,"Yes","No"))</f>
        <v/>
      </c>
      <c r="I124" s="7" t="str">
        <f aca="false">IF(ISNUMBER(F124),F124,D124)</f>
        <v/>
      </c>
      <c r="J124" s="6" t="str">
        <f aca="false">IF(ISNUMBER(F124),"Expert (overrides AI)",IF(ISNUMBER(D124),"AI","Not scored yet"))</f>
        <v>Not scored yet</v>
      </c>
      <c r="K124" s="4" t="s">
        <v>30</v>
      </c>
      <c r="L124" s="4" t="s">
        <v>59</v>
      </c>
      <c r="M124" s="4"/>
      <c r="N124" s="4"/>
      <c r="O124" s="4"/>
      <c r="P124" s="4"/>
      <c r="Q124" s="4"/>
      <c r="R124" s="4" t="s">
        <v>356</v>
      </c>
    </row>
    <row r="125" customFormat="false" ht="93" hidden="false" customHeight="true" outlineLevel="0" collapsed="false">
      <c r="A125" s="3" t="s">
        <v>352</v>
      </c>
      <c r="B125" s="4" t="s">
        <v>40</v>
      </c>
      <c r="C125" s="4" t="s">
        <v>353</v>
      </c>
      <c r="D125" s="4" t="str">
        <f aca="false">IFERROR('SC3'!L16,"")</f>
        <v/>
      </c>
      <c r="E125" s="4" t="s">
        <v>198</v>
      </c>
      <c r="F125" s="5"/>
      <c r="G125" s="5"/>
      <c r="H125" s="6" t="str">
        <f aca="false">IF(OR(F125="",NOT(ISNUMBER(D125))),"",IF(ABS(F125-D125)&lt;0.001,"Yes","No"))</f>
        <v/>
      </c>
      <c r="I125" s="7" t="str">
        <f aca="false">IF(ISNUMBER(F125),F125,D125)</f>
        <v/>
      </c>
      <c r="J125" s="6" t="str">
        <f aca="false">IF(ISNUMBER(F125),"Expert (overrides AI)",IF(ISNUMBER(D125),"AI","Not scored yet"))</f>
        <v>Not scored yet</v>
      </c>
      <c r="K125" s="4" t="s">
        <v>30</v>
      </c>
      <c r="L125" s="4" t="s">
        <v>59</v>
      </c>
      <c r="M125" s="4"/>
      <c r="N125" s="4"/>
      <c r="O125" s="4"/>
      <c r="P125" s="4"/>
      <c r="Q125" s="4"/>
      <c r="R125" s="4" t="s">
        <v>357</v>
      </c>
    </row>
    <row r="126" customFormat="false" ht="93" hidden="false" customHeight="true" outlineLevel="0" collapsed="false">
      <c r="A126" s="3" t="s">
        <v>352</v>
      </c>
      <c r="B126" s="4" t="s">
        <v>46</v>
      </c>
      <c r="C126" s="4" t="s">
        <v>353</v>
      </c>
      <c r="D126" s="4" t="str">
        <f aca="false">IFERROR('SC3'!L17,"")</f>
        <v/>
      </c>
      <c r="E126" s="4" t="s">
        <v>198</v>
      </c>
      <c r="F126" s="5"/>
      <c r="G126" s="5"/>
      <c r="H126" s="6" t="str">
        <f aca="false">IF(OR(F126="",NOT(ISNUMBER(D126))),"",IF(ABS(F126-D126)&lt;0.001,"Yes","No"))</f>
        <v/>
      </c>
      <c r="I126" s="7" t="str">
        <f aca="false">IF(ISNUMBER(F126),F126,D126)</f>
        <v/>
      </c>
      <c r="J126" s="6" t="str">
        <f aca="false">IF(ISNUMBER(F126),"Expert (overrides AI)",IF(ISNUMBER(D126),"AI","Not scored yet"))</f>
        <v>Not scored yet</v>
      </c>
      <c r="K126" s="4" t="s">
        <v>30</v>
      </c>
      <c r="L126" s="4" t="s">
        <v>59</v>
      </c>
      <c r="M126" s="4"/>
      <c r="N126" s="4"/>
      <c r="O126" s="4"/>
      <c r="P126" s="4"/>
      <c r="Q126" s="4"/>
      <c r="R126" s="4" t="s">
        <v>358</v>
      </c>
    </row>
    <row r="127" customFormat="false" ht="93" hidden="false" customHeight="true" outlineLevel="0" collapsed="false">
      <c r="A127" s="3" t="s">
        <v>359</v>
      </c>
      <c r="B127" s="4" t="s">
        <v>19</v>
      </c>
      <c r="C127" s="4" t="s">
        <v>360</v>
      </c>
      <c r="D127" s="4" t="n">
        <f aca="false">IFERROR(SC4a!L13,"")</f>
        <v>0</v>
      </c>
      <c r="E127" s="4" t="s">
        <v>21</v>
      </c>
      <c r="F127" s="5"/>
      <c r="G127" s="5"/>
      <c r="H127" s="6" t="str">
        <f aca="false">IF(OR(F127="",NOT(ISNUMBER(D127))),"",IF(ABS(F127-D127)&lt;0.001,"Yes","No"))</f>
        <v/>
      </c>
      <c r="I127" s="7" t="n">
        <f aca="false">IF(ISNUMBER(F127),F127,D127)</f>
        <v>0</v>
      </c>
      <c r="J127" s="6" t="str">
        <f aca="false">IF(ISNUMBER(F127),"Expert (overrides AI)",IF(ISNUMBER(D127),"AI","Not scored yet"))</f>
        <v>AI</v>
      </c>
      <c r="K127" s="4" t="s">
        <v>22</v>
      </c>
      <c r="L127" s="4" t="s">
        <v>23</v>
      </c>
      <c r="M127" s="4" t="s">
        <v>361</v>
      </c>
      <c r="N127" s="4" t="s">
        <v>25</v>
      </c>
      <c r="O127" s="4" t="s">
        <v>26</v>
      </c>
      <c r="P127" s="4" t="s">
        <v>184</v>
      </c>
      <c r="Q127" s="4" t="s">
        <v>362</v>
      </c>
      <c r="R127" s="4"/>
    </row>
    <row r="128" customFormat="false" ht="93" hidden="false" customHeight="true" outlineLevel="0" collapsed="false">
      <c r="A128" s="3" t="s">
        <v>359</v>
      </c>
      <c r="B128" s="4" t="s">
        <v>29</v>
      </c>
      <c r="C128" s="4" t="s">
        <v>360</v>
      </c>
      <c r="D128" s="4" t="n">
        <f aca="false">IFERROR(SC4a!L14,"")</f>
        <v>0</v>
      </c>
      <c r="E128" s="4" t="s">
        <v>21</v>
      </c>
      <c r="F128" s="5"/>
      <c r="G128" s="5"/>
      <c r="H128" s="6" t="str">
        <f aca="false">IF(OR(F128="",NOT(ISNUMBER(D128))),"",IF(ABS(F128-D128)&lt;0.001,"Yes","No"))</f>
        <v/>
      </c>
      <c r="I128" s="7" t="n">
        <f aca="false">IF(ISNUMBER(F128),F128,D128)</f>
        <v>0</v>
      </c>
      <c r="J128" s="6" t="str">
        <f aca="false">IF(ISNUMBER(F128),"Expert (overrides AI)",IF(ISNUMBER(D128),"AI","Not scored yet"))</f>
        <v>AI</v>
      </c>
      <c r="K128" s="4" t="s">
        <v>22</v>
      </c>
      <c r="L128" s="4" t="s">
        <v>31</v>
      </c>
      <c r="M128" s="4" t="s">
        <v>363</v>
      </c>
      <c r="N128" s="4" t="s">
        <v>364</v>
      </c>
      <c r="O128" s="4" t="s">
        <v>365</v>
      </c>
      <c r="P128" s="4" t="s">
        <v>366</v>
      </c>
      <c r="Q128" s="4" t="s">
        <v>367</v>
      </c>
      <c r="R128" s="4"/>
    </row>
    <row r="129" customFormat="false" ht="93" hidden="false" customHeight="true" outlineLevel="0" collapsed="false">
      <c r="A129" s="3" t="s">
        <v>359</v>
      </c>
      <c r="B129" s="4" t="s">
        <v>34</v>
      </c>
      <c r="C129" s="4" t="s">
        <v>360</v>
      </c>
      <c r="D129" s="4" t="n">
        <f aca="false">IFERROR(SC4a!L15,"")</f>
        <v>0</v>
      </c>
      <c r="E129" s="4" t="s">
        <v>21</v>
      </c>
      <c r="F129" s="5"/>
      <c r="G129" s="5"/>
      <c r="H129" s="6" t="str">
        <f aca="false">IF(OR(F129="",NOT(ISNUMBER(D129))),"",IF(ABS(F129-D129)&lt;0.001,"Yes","No"))</f>
        <v/>
      </c>
      <c r="I129" s="7" t="n">
        <f aca="false">IF(ISNUMBER(F129),F129,D129)</f>
        <v>0</v>
      </c>
      <c r="J129" s="6" t="str">
        <f aca="false">IF(ISNUMBER(F129),"Expert (overrides AI)",IF(ISNUMBER(D129),"AI","Not scored yet"))</f>
        <v>AI</v>
      </c>
      <c r="K129" s="4" t="s">
        <v>22</v>
      </c>
      <c r="L129" s="4" t="s">
        <v>23</v>
      </c>
      <c r="M129" s="4" t="s">
        <v>368</v>
      </c>
      <c r="N129" s="4" t="s">
        <v>36</v>
      </c>
      <c r="O129" s="4" t="s">
        <v>37</v>
      </c>
      <c r="P129" s="4" t="s">
        <v>369</v>
      </c>
      <c r="Q129" s="4" t="s">
        <v>370</v>
      </c>
      <c r="R129" s="4"/>
    </row>
    <row r="130" customFormat="false" ht="93" hidden="false" customHeight="true" outlineLevel="0" collapsed="false">
      <c r="A130" s="3" t="s">
        <v>359</v>
      </c>
      <c r="B130" s="4" t="s">
        <v>40</v>
      </c>
      <c r="C130" s="4" t="s">
        <v>360</v>
      </c>
      <c r="D130" s="4" t="n">
        <f aca="false">IFERROR(SC4a!L16,"")</f>
        <v>0</v>
      </c>
      <c r="E130" s="4" t="s">
        <v>21</v>
      </c>
      <c r="F130" s="5"/>
      <c r="G130" s="5"/>
      <c r="H130" s="6" t="str">
        <f aca="false">IF(OR(F130="",NOT(ISNUMBER(D130))),"",IF(ABS(F130-D130)&lt;0.001,"Yes","No"))</f>
        <v/>
      </c>
      <c r="I130" s="7" t="n">
        <f aca="false">IF(ISNUMBER(F130),F130,D130)</f>
        <v>0</v>
      </c>
      <c r="J130" s="6" t="str">
        <f aca="false">IF(ISNUMBER(F130),"Expert (overrides AI)",IF(ISNUMBER(D130),"AI","Not scored yet"))</f>
        <v>AI</v>
      </c>
      <c r="K130" s="4" t="s">
        <v>22</v>
      </c>
      <c r="L130" s="4" t="s">
        <v>31</v>
      </c>
      <c r="M130" s="4" t="s">
        <v>371</v>
      </c>
      <c r="N130" s="4" t="s">
        <v>174</v>
      </c>
      <c r="O130" s="4" t="s">
        <v>175</v>
      </c>
      <c r="P130" s="4" t="s">
        <v>372</v>
      </c>
      <c r="Q130" s="4" t="s">
        <v>373</v>
      </c>
      <c r="R130" s="4"/>
    </row>
    <row r="131" customFormat="false" ht="93" hidden="false" customHeight="true" outlineLevel="0" collapsed="false">
      <c r="A131" s="3" t="s">
        <v>359</v>
      </c>
      <c r="B131" s="4" t="s">
        <v>46</v>
      </c>
      <c r="C131" s="4" t="s">
        <v>360</v>
      </c>
      <c r="D131" s="4" t="n">
        <f aca="false">IFERROR(SC4a!L17,"")</f>
        <v>0</v>
      </c>
      <c r="E131" s="4" t="s">
        <v>21</v>
      </c>
      <c r="F131" s="5"/>
      <c r="G131" s="5"/>
      <c r="H131" s="6" t="str">
        <f aca="false">IF(OR(F131="",NOT(ISNUMBER(D131))),"",IF(ABS(F131-D131)&lt;0.001,"Yes","No"))</f>
        <v/>
      </c>
      <c r="I131" s="7" t="n">
        <f aca="false">IF(ISNUMBER(F131),F131,D131)</f>
        <v>0</v>
      </c>
      <c r="J131" s="6" t="str">
        <f aca="false">IF(ISNUMBER(F131),"Expert (overrides AI)",IF(ISNUMBER(D131),"AI","Not scored yet"))</f>
        <v>AI</v>
      </c>
      <c r="K131" s="4" t="s">
        <v>22</v>
      </c>
      <c r="L131" s="4" t="s">
        <v>23</v>
      </c>
      <c r="M131" s="4" t="s">
        <v>374</v>
      </c>
      <c r="N131" s="4" t="s">
        <v>48</v>
      </c>
      <c r="O131" s="4" t="s">
        <v>49</v>
      </c>
      <c r="P131" s="4" t="s">
        <v>375</v>
      </c>
      <c r="Q131" s="4" t="s">
        <v>376</v>
      </c>
      <c r="R131" s="4"/>
    </row>
    <row r="132" customFormat="false" ht="93" hidden="false" customHeight="true" outlineLevel="0" collapsed="false">
      <c r="A132" s="3" t="s">
        <v>377</v>
      </c>
      <c r="B132" s="4" t="s">
        <v>19</v>
      </c>
      <c r="C132" s="4" t="s">
        <v>378</v>
      </c>
      <c r="D132" s="4" t="str">
        <f aca="false">IFERROR(SC4b!L13,"")</f>
        <v/>
      </c>
      <c r="E132" s="4" t="s">
        <v>21</v>
      </c>
      <c r="F132" s="5"/>
      <c r="G132" s="5"/>
      <c r="H132" s="6" t="str">
        <f aca="false">IF(OR(F132="",NOT(ISNUMBER(D132))),"",IF(ABS(F132-D132)&lt;0.001,"Yes","No"))</f>
        <v/>
      </c>
      <c r="I132" s="7" t="str">
        <f aca="false">IF(ISNUMBER(F132),F132,D132)</f>
        <v/>
      </c>
      <c r="J132" s="6" t="str">
        <f aca="false">IF(ISNUMBER(F132),"Expert (overrides AI)",IF(ISNUMBER(D132),"AI","Not scored yet"))</f>
        <v>Not scored yet</v>
      </c>
      <c r="K132" s="4" t="s">
        <v>30</v>
      </c>
      <c r="L132" s="4" t="s">
        <v>59</v>
      </c>
      <c r="M132" s="4"/>
      <c r="N132" s="4"/>
      <c r="O132" s="4"/>
      <c r="P132" s="4"/>
      <c r="Q132" s="4"/>
      <c r="R132" s="4" t="s">
        <v>379</v>
      </c>
    </row>
    <row r="133" customFormat="false" ht="93" hidden="false" customHeight="true" outlineLevel="0" collapsed="false">
      <c r="A133" s="3" t="s">
        <v>377</v>
      </c>
      <c r="B133" s="4" t="s">
        <v>29</v>
      </c>
      <c r="C133" s="4" t="s">
        <v>378</v>
      </c>
      <c r="D133" s="4" t="str">
        <f aca="false">IFERROR(SC4b!L14,"")</f>
        <v/>
      </c>
      <c r="E133" s="4" t="s">
        <v>21</v>
      </c>
      <c r="F133" s="5"/>
      <c r="G133" s="5"/>
      <c r="H133" s="6" t="str">
        <f aca="false">IF(OR(F133="",NOT(ISNUMBER(D133))),"",IF(ABS(F133-D133)&lt;0.001,"Yes","No"))</f>
        <v/>
      </c>
      <c r="I133" s="7" t="str">
        <f aca="false">IF(ISNUMBER(F133),F133,D133)</f>
        <v/>
      </c>
      <c r="J133" s="6" t="str">
        <f aca="false">IF(ISNUMBER(F133),"Expert (overrides AI)",IF(ISNUMBER(D133),"AI","Not scored yet"))</f>
        <v>Not scored yet</v>
      </c>
      <c r="K133" s="4" t="s">
        <v>30</v>
      </c>
      <c r="L133" s="4" t="s">
        <v>59</v>
      </c>
      <c r="M133" s="4"/>
      <c r="N133" s="4"/>
      <c r="O133" s="4"/>
      <c r="P133" s="4"/>
      <c r="Q133" s="4"/>
      <c r="R133" s="4" t="s">
        <v>380</v>
      </c>
    </row>
    <row r="134" customFormat="false" ht="93" hidden="false" customHeight="true" outlineLevel="0" collapsed="false">
      <c r="A134" s="3" t="s">
        <v>377</v>
      </c>
      <c r="B134" s="4" t="s">
        <v>34</v>
      </c>
      <c r="C134" s="4" t="s">
        <v>378</v>
      </c>
      <c r="D134" s="4" t="str">
        <f aca="false">IFERROR(SC4b!L15,"")</f>
        <v/>
      </c>
      <c r="E134" s="4" t="s">
        <v>21</v>
      </c>
      <c r="F134" s="5"/>
      <c r="G134" s="5"/>
      <c r="H134" s="6" t="str">
        <f aca="false">IF(OR(F134="",NOT(ISNUMBER(D134))),"",IF(ABS(F134-D134)&lt;0.001,"Yes","No"))</f>
        <v/>
      </c>
      <c r="I134" s="7" t="str">
        <f aca="false">IF(ISNUMBER(F134),F134,D134)</f>
        <v/>
      </c>
      <c r="J134" s="6" t="str">
        <f aca="false">IF(ISNUMBER(F134),"Expert (overrides AI)",IF(ISNUMBER(D134),"AI","Not scored yet"))</f>
        <v>Not scored yet</v>
      </c>
      <c r="K134" s="4" t="s">
        <v>30</v>
      </c>
      <c r="L134" s="4" t="s">
        <v>59</v>
      </c>
      <c r="M134" s="4"/>
      <c r="N134" s="4"/>
      <c r="O134" s="4"/>
      <c r="P134" s="4"/>
      <c r="Q134" s="4"/>
      <c r="R134" s="4" t="s">
        <v>381</v>
      </c>
    </row>
    <row r="135" customFormat="false" ht="93" hidden="false" customHeight="true" outlineLevel="0" collapsed="false">
      <c r="A135" s="3" t="s">
        <v>377</v>
      </c>
      <c r="B135" s="4" t="s">
        <v>40</v>
      </c>
      <c r="C135" s="4" t="s">
        <v>378</v>
      </c>
      <c r="D135" s="4" t="str">
        <f aca="false">IFERROR(SC4b!L16,"")</f>
        <v/>
      </c>
      <c r="E135" s="4" t="s">
        <v>21</v>
      </c>
      <c r="F135" s="5"/>
      <c r="G135" s="5"/>
      <c r="H135" s="6" t="str">
        <f aca="false">IF(OR(F135="",NOT(ISNUMBER(D135))),"",IF(ABS(F135-D135)&lt;0.001,"Yes","No"))</f>
        <v/>
      </c>
      <c r="I135" s="7" t="str">
        <f aca="false">IF(ISNUMBER(F135),F135,D135)</f>
        <v/>
      </c>
      <c r="J135" s="6" t="str">
        <f aca="false">IF(ISNUMBER(F135),"Expert (overrides AI)",IF(ISNUMBER(D135),"AI","Not scored yet"))</f>
        <v>Not scored yet</v>
      </c>
      <c r="K135" s="4" t="s">
        <v>30</v>
      </c>
      <c r="L135" s="4" t="s">
        <v>59</v>
      </c>
      <c r="M135" s="4"/>
      <c r="N135" s="4"/>
      <c r="O135" s="4"/>
      <c r="P135" s="4"/>
      <c r="Q135" s="4"/>
      <c r="R135" s="4" t="s">
        <v>382</v>
      </c>
    </row>
    <row r="136" customFormat="false" ht="93" hidden="false" customHeight="true" outlineLevel="0" collapsed="false">
      <c r="A136" s="3" t="s">
        <v>377</v>
      </c>
      <c r="B136" s="4" t="s">
        <v>46</v>
      </c>
      <c r="C136" s="4" t="s">
        <v>378</v>
      </c>
      <c r="D136" s="4" t="str">
        <f aca="false">IFERROR(SC4b!L17,"")</f>
        <v/>
      </c>
      <c r="E136" s="4" t="s">
        <v>21</v>
      </c>
      <c r="F136" s="5"/>
      <c r="G136" s="5"/>
      <c r="H136" s="6" t="str">
        <f aca="false">IF(OR(F136="",NOT(ISNUMBER(D136))),"",IF(ABS(F136-D136)&lt;0.001,"Yes","No"))</f>
        <v/>
      </c>
      <c r="I136" s="7" t="str">
        <f aca="false">IF(ISNUMBER(F136),F136,D136)</f>
        <v/>
      </c>
      <c r="J136" s="6" t="str">
        <f aca="false">IF(ISNUMBER(F136),"Expert (overrides AI)",IF(ISNUMBER(D136),"AI","Not scored yet"))</f>
        <v>Not scored yet</v>
      </c>
      <c r="K136" s="4" t="s">
        <v>30</v>
      </c>
      <c r="L136" s="4" t="s">
        <v>31</v>
      </c>
      <c r="M136" s="4" t="s">
        <v>383</v>
      </c>
      <c r="N136" s="4" t="s">
        <v>206</v>
      </c>
      <c r="O136" s="4" t="s">
        <v>207</v>
      </c>
      <c r="P136" s="4" t="s">
        <v>235</v>
      </c>
      <c r="Q136" s="4" t="s">
        <v>384</v>
      </c>
      <c r="R136" s="4" t="s">
        <v>147</v>
      </c>
    </row>
    <row r="137" customFormat="false" ht="93" hidden="false" customHeight="true" outlineLevel="0" collapsed="false">
      <c r="A137" s="3" t="s">
        <v>385</v>
      </c>
      <c r="B137" s="4" t="s">
        <v>19</v>
      </c>
      <c r="C137" s="4" t="s">
        <v>386</v>
      </c>
      <c r="D137" s="4" t="n">
        <f aca="false">IFERROR('SC5'!L13,"")</f>
        <v>0</v>
      </c>
      <c r="E137" s="4" t="s">
        <v>198</v>
      </c>
      <c r="F137" s="5"/>
      <c r="G137" s="5"/>
      <c r="H137" s="6" t="str">
        <f aca="false">IF(OR(F137="",NOT(ISNUMBER(D137))),"",IF(ABS(F137-D137)&lt;0.001,"Yes","No"))</f>
        <v/>
      </c>
      <c r="I137" s="7" t="n">
        <f aca="false">IF(ISNUMBER(F137),F137,D137)</f>
        <v>0</v>
      </c>
      <c r="J137" s="6" t="str">
        <f aca="false">IF(ISNUMBER(F137),"Expert (overrides AI)",IF(ISNUMBER(D137),"AI","Not scored yet"))</f>
        <v>AI</v>
      </c>
      <c r="K137" s="4" t="s">
        <v>22</v>
      </c>
      <c r="L137" s="4" t="s">
        <v>31</v>
      </c>
      <c r="M137" s="4" t="s">
        <v>387</v>
      </c>
      <c r="N137" s="4" t="s">
        <v>25</v>
      </c>
      <c r="O137" s="4" t="s">
        <v>26</v>
      </c>
      <c r="P137" s="4" t="s">
        <v>388</v>
      </c>
      <c r="Q137" s="4" t="s">
        <v>389</v>
      </c>
      <c r="R137" s="4"/>
    </row>
    <row r="138" customFormat="false" ht="93" hidden="false" customHeight="true" outlineLevel="0" collapsed="false">
      <c r="A138" s="3" t="s">
        <v>385</v>
      </c>
      <c r="B138" s="4" t="s">
        <v>29</v>
      </c>
      <c r="C138" s="4" t="s">
        <v>386</v>
      </c>
      <c r="D138" s="4" t="str">
        <f aca="false">IFERROR('SC5'!L14,"")</f>
        <v/>
      </c>
      <c r="E138" s="4" t="s">
        <v>198</v>
      </c>
      <c r="F138" s="5"/>
      <c r="G138" s="5"/>
      <c r="H138" s="6" t="str">
        <f aca="false">IF(OR(F138="",NOT(ISNUMBER(D138))),"",IF(ABS(F138-D138)&lt;0.001,"Yes","No"))</f>
        <v/>
      </c>
      <c r="I138" s="7" t="str">
        <f aca="false">IF(ISNUMBER(F138),F138,D138)</f>
        <v/>
      </c>
      <c r="J138" s="6" t="str">
        <f aca="false">IF(ISNUMBER(F138),"Expert (overrides AI)",IF(ISNUMBER(D138),"AI","Not scored yet"))</f>
        <v>Not scored yet</v>
      </c>
      <c r="K138" s="4" t="s">
        <v>30</v>
      </c>
      <c r="L138" s="4" t="s">
        <v>59</v>
      </c>
      <c r="M138" s="4"/>
      <c r="N138" s="4"/>
      <c r="O138" s="4"/>
      <c r="P138" s="4"/>
      <c r="Q138" s="4"/>
      <c r="R138" s="4" t="s">
        <v>390</v>
      </c>
    </row>
    <row r="139" customFormat="false" ht="93" hidden="false" customHeight="true" outlineLevel="0" collapsed="false">
      <c r="A139" s="3" t="s">
        <v>385</v>
      </c>
      <c r="B139" s="4" t="s">
        <v>34</v>
      </c>
      <c r="C139" s="4" t="s">
        <v>386</v>
      </c>
      <c r="D139" s="4" t="n">
        <f aca="false">IFERROR('SC5'!L15,"")</f>
        <v>0</v>
      </c>
      <c r="E139" s="4" t="s">
        <v>198</v>
      </c>
      <c r="F139" s="5"/>
      <c r="G139" s="5"/>
      <c r="H139" s="6" t="str">
        <f aca="false">IF(OR(F139="",NOT(ISNUMBER(D139))),"",IF(ABS(F139-D139)&lt;0.001,"Yes","No"))</f>
        <v/>
      </c>
      <c r="I139" s="7" t="n">
        <f aca="false">IF(ISNUMBER(F139),F139,D139)</f>
        <v>0</v>
      </c>
      <c r="J139" s="6" t="str">
        <f aca="false">IF(ISNUMBER(F139),"Expert (overrides AI)",IF(ISNUMBER(D139),"AI","Not scored yet"))</f>
        <v>AI</v>
      </c>
      <c r="K139" s="4" t="s">
        <v>22</v>
      </c>
      <c r="L139" s="4" t="s">
        <v>23</v>
      </c>
      <c r="M139" s="4" t="s">
        <v>391</v>
      </c>
      <c r="N139" s="4" t="s">
        <v>36</v>
      </c>
      <c r="O139" s="4" t="s">
        <v>37</v>
      </c>
      <c r="P139" s="4" t="s">
        <v>392</v>
      </c>
      <c r="Q139" s="4" t="s">
        <v>393</v>
      </c>
      <c r="R139" s="4"/>
    </row>
    <row r="140" customFormat="false" ht="93" hidden="false" customHeight="true" outlineLevel="0" collapsed="false">
      <c r="A140" s="3" t="s">
        <v>385</v>
      </c>
      <c r="B140" s="4" t="s">
        <v>40</v>
      </c>
      <c r="C140" s="4" t="s">
        <v>386</v>
      </c>
      <c r="D140" s="4" t="n">
        <f aca="false">IFERROR('SC5'!L16,"")</f>
        <v>0</v>
      </c>
      <c r="E140" s="4" t="s">
        <v>198</v>
      </c>
      <c r="F140" s="5"/>
      <c r="G140" s="5"/>
      <c r="H140" s="6" t="str">
        <f aca="false">IF(OR(F140="",NOT(ISNUMBER(D140))),"",IF(ABS(F140-D140)&lt;0.001,"Yes","No"))</f>
        <v/>
      </c>
      <c r="I140" s="7" t="n">
        <f aca="false">IF(ISNUMBER(F140),F140,D140)</f>
        <v>0</v>
      </c>
      <c r="J140" s="6" t="str">
        <f aca="false">IF(ISNUMBER(F140),"Expert (overrides AI)",IF(ISNUMBER(D140),"AI","Not scored yet"))</f>
        <v>AI</v>
      </c>
      <c r="K140" s="4" t="s">
        <v>30</v>
      </c>
      <c r="L140" s="4" t="s">
        <v>72</v>
      </c>
      <c r="M140" s="4" t="s">
        <v>394</v>
      </c>
      <c r="N140" s="4"/>
      <c r="O140" s="4"/>
      <c r="P140" s="4"/>
      <c r="Q140" s="4"/>
      <c r="R140" s="4" t="s">
        <v>395</v>
      </c>
    </row>
    <row r="141" customFormat="false" ht="93" hidden="false" customHeight="true" outlineLevel="0" collapsed="false">
      <c r="A141" s="3" t="s">
        <v>385</v>
      </c>
      <c r="B141" s="4" t="s">
        <v>46</v>
      </c>
      <c r="C141" s="4" t="s">
        <v>386</v>
      </c>
      <c r="D141" s="4" t="str">
        <f aca="false">IFERROR('SC5'!L17,"")</f>
        <v/>
      </c>
      <c r="E141" s="4" t="s">
        <v>198</v>
      </c>
      <c r="F141" s="5"/>
      <c r="G141" s="5"/>
      <c r="H141" s="6" t="str">
        <f aca="false">IF(OR(F141="",NOT(ISNUMBER(D141))),"",IF(ABS(F141-D141)&lt;0.001,"Yes","No"))</f>
        <v/>
      </c>
      <c r="I141" s="7" t="str">
        <f aca="false">IF(ISNUMBER(F141),F141,D141)</f>
        <v/>
      </c>
      <c r="J141" s="6" t="str">
        <f aca="false">IF(ISNUMBER(F141),"Expert (overrides AI)",IF(ISNUMBER(D141),"AI","Not scored yet"))</f>
        <v>Not scored yet</v>
      </c>
      <c r="K141" s="4" t="s">
        <v>30</v>
      </c>
      <c r="L141" s="4" t="s">
        <v>23</v>
      </c>
      <c r="M141" s="4" t="s">
        <v>396</v>
      </c>
      <c r="N141" s="4"/>
      <c r="O141" s="4"/>
      <c r="P141" s="4"/>
      <c r="Q141" s="4"/>
      <c r="R141" s="4" t="s">
        <v>33</v>
      </c>
    </row>
    <row r="142" customFormat="false" ht="93" hidden="false" customHeight="true" outlineLevel="0" collapsed="false">
      <c r="A142" s="3" t="s">
        <v>397</v>
      </c>
      <c r="B142" s="4" t="s">
        <v>19</v>
      </c>
      <c r="C142" s="4" t="s">
        <v>398</v>
      </c>
      <c r="D142" s="4" t="str">
        <f aca="false">IFERROR('SC6'!L13,"")</f>
        <v/>
      </c>
      <c r="E142" s="4" t="s">
        <v>198</v>
      </c>
      <c r="F142" s="5"/>
      <c r="G142" s="5"/>
      <c r="H142" s="6" t="str">
        <f aca="false">IF(OR(F142="",NOT(ISNUMBER(D142))),"",IF(ABS(F142-D142)&lt;0.001,"Yes","No"))</f>
        <v/>
      </c>
      <c r="I142" s="7" t="str">
        <f aca="false">IF(ISNUMBER(F142),F142,D142)</f>
        <v/>
      </c>
      <c r="J142" s="6" t="str">
        <f aca="false">IF(ISNUMBER(F142),"Expert (overrides AI)",IF(ISNUMBER(D142),"AI","Not scored yet"))</f>
        <v>Not scored yet</v>
      </c>
      <c r="K142" s="4" t="s">
        <v>30</v>
      </c>
      <c r="L142" s="4" t="s">
        <v>59</v>
      </c>
      <c r="M142" s="4"/>
      <c r="N142" s="4"/>
      <c r="O142" s="4"/>
      <c r="P142" s="4"/>
      <c r="Q142" s="4"/>
      <c r="R142" s="4" t="s">
        <v>399</v>
      </c>
    </row>
    <row r="143" customFormat="false" ht="93" hidden="false" customHeight="true" outlineLevel="0" collapsed="false">
      <c r="A143" s="3" t="s">
        <v>397</v>
      </c>
      <c r="B143" s="4" t="s">
        <v>29</v>
      </c>
      <c r="C143" s="4" t="s">
        <v>398</v>
      </c>
      <c r="D143" s="4" t="str">
        <f aca="false">IFERROR('SC6'!L14,"")</f>
        <v/>
      </c>
      <c r="E143" s="4" t="s">
        <v>198</v>
      </c>
      <c r="F143" s="5"/>
      <c r="G143" s="5"/>
      <c r="H143" s="6" t="str">
        <f aca="false">IF(OR(F143="",NOT(ISNUMBER(D143))),"",IF(ABS(F143-D143)&lt;0.001,"Yes","No"))</f>
        <v/>
      </c>
      <c r="I143" s="7" t="str">
        <f aca="false">IF(ISNUMBER(F143),F143,D143)</f>
        <v/>
      </c>
      <c r="J143" s="6" t="str">
        <f aca="false">IF(ISNUMBER(F143),"Expert (overrides AI)",IF(ISNUMBER(D143),"AI","Not scored yet"))</f>
        <v>Not scored yet</v>
      </c>
      <c r="K143" s="4" t="s">
        <v>30</v>
      </c>
      <c r="L143" s="4" t="s">
        <v>59</v>
      </c>
      <c r="M143" s="4"/>
      <c r="N143" s="4"/>
      <c r="O143" s="4"/>
      <c r="P143" s="4"/>
      <c r="Q143" s="4"/>
      <c r="R143" s="4" t="s">
        <v>400</v>
      </c>
    </row>
    <row r="144" customFormat="false" ht="93" hidden="false" customHeight="true" outlineLevel="0" collapsed="false">
      <c r="A144" s="3" t="s">
        <v>397</v>
      </c>
      <c r="B144" s="4" t="s">
        <v>34</v>
      </c>
      <c r="C144" s="4" t="s">
        <v>398</v>
      </c>
      <c r="D144" s="4" t="str">
        <f aca="false">IFERROR('SC6'!L15,"")</f>
        <v/>
      </c>
      <c r="E144" s="4" t="s">
        <v>198</v>
      </c>
      <c r="F144" s="5"/>
      <c r="G144" s="5"/>
      <c r="H144" s="6" t="str">
        <f aca="false">IF(OR(F144="",NOT(ISNUMBER(D144))),"",IF(ABS(F144-D144)&lt;0.001,"Yes","No"))</f>
        <v/>
      </c>
      <c r="I144" s="7" t="str">
        <f aca="false">IF(ISNUMBER(F144),F144,D144)</f>
        <v/>
      </c>
      <c r="J144" s="6" t="str">
        <f aca="false">IF(ISNUMBER(F144),"Expert (overrides AI)",IF(ISNUMBER(D144),"AI","Not scored yet"))</f>
        <v>Not scored yet</v>
      </c>
      <c r="K144" s="4" t="s">
        <v>30</v>
      </c>
      <c r="L144" s="4" t="s">
        <v>59</v>
      </c>
      <c r="M144" s="4"/>
      <c r="N144" s="4"/>
      <c r="O144" s="4"/>
      <c r="P144" s="4"/>
      <c r="Q144" s="4"/>
      <c r="R144" s="4" t="s">
        <v>401</v>
      </c>
    </row>
    <row r="145" customFormat="false" ht="93" hidden="false" customHeight="true" outlineLevel="0" collapsed="false">
      <c r="A145" s="3" t="s">
        <v>397</v>
      </c>
      <c r="B145" s="4" t="s">
        <v>40</v>
      </c>
      <c r="C145" s="4" t="s">
        <v>398</v>
      </c>
      <c r="D145" s="4" t="str">
        <f aca="false">IFERROR('SC6'!L16,"")</f>
        <v/>
      </c>
      <c r="E145" s="4" t="s">
        <v>198</v>
      </c>
      <c r="F145" s="5"/>
      <c r="G145" s="5"/>
      <c r="H145" s="6" t="str">
        <f aca="false">IF(OR(F145="",NOT(ISNUMBER(D145))),"",IF(ABS(F145-D145)&lt;0.001,"Yes","No"))</f>
        <v/>
      </c>
      <c r="I145" s="7" t="str">
        <f aca="false">IF(ISNUMBER(F145),F145,D145)</f>
        <v/>
      </c>
      <c r="J145" s="6" t="str">
        <f aca="false">IF(ISNUMBER(F145),"Expert (overrides AI)",IF(ISNUMBER(D145),"AI","Not scored yet"))</f>
        <v>Not scored yet</v>
      </c>
      <c r="K145" s="4" t="s">
        <v>30</v>
      </c>
      <c r="L145" s="4" t="s">
        <v>31</v>
      </c>
      <c r="M145" s="4" t="s">
        <v>402</v>
      </c>
      <c r="N145" s="4" t="s">
        <v>174</v>
      </c>
      <c r="O145" s="4" t="s">
        <v>175</v>
      </c>
      <c r="P145" s="4" t="s">
        <v>403</v>
      </c>
      <c r="Q145" s="4" t="s">
        <v>404</v>
      </c>
      <c r="R145" s="4" t="s">
        <v>147</v>
      </c>
    </row>
    <row r="146" customFormat="false" ht="93" hidden="false" customHeight="true" outlineLevel="0" collapsed="false">
      <c r="A146" s="3" t="s">
        <v>397</v>
      </c>
      <c r="B146" s="4" t="s">
        <v>46</v>
      </c>
      <c r="C146" s="4" t="s">
        <v>398</v>
      </c>
      <c r="D146" s="4" t="str">
        <f aca="false">IFERROR('SC6'!L17,"")</f>
        <v/>
      </c>
      <c r="E146" s="4" t="s">
        <v>198</v>
      </c>
      <c r="F146" s="5"/>
      <c r="G146" s="5"/>
      <c r="H146" s="6" t="str">
        <f aca="false">IF(OR(F146="",NOT(ISNUMBER(D146))),"",IF(ABS(F146-D146)&lt;0.001,"Yes","No"))</f>
        <v/>
      </c>
      <c r="I146" s="7" t="str">
        <f aca="false">IF(ISNUMBER(F146),F146,D146)</f>
        <v/>
      </c>
      <c r="J146" s="6" t="str">
        <f aca="false">IF(ISNUMBER(F146),"Expert (overrides AI)",IF(ISNUMBER(D146),"AI","Not scored yet"))</f>
        <v>Not scored yet</v>
      </c>
      <c r="K146" s="4" t="s">
        <v>30</v>
      </c>
      <c r="L146" s="4" t="s">
        <v>59</v>
      </c>
      <c r="M146" s="4"/>
      <c r="N146" s="4"/>
      <c r="O146" s="4"/>
      <c r="P146" s="4"/>
      <c r="Q146" s="4"/>
      <c r="R146" s="4" t="s">
        <v>405</v>
      </c>
    </row>
    <row r="147" customFormat="false" ht="93" hidden="false" customHeight="true" outlineLevel="0" collapsed="false">
      <c r="A147" s="3" t="s">
        <v>406</v>
      </c>
      <c r="B147" s="4" t="s">
        <v>19</v>
      </c>
      <c r="C147" s="4" t="s">
        <v>407</v>
      </c>
      <c r="D147" s="4" t="n">
        <f aca="false">IFERROR(SC7a!L13,"")</f>
        <v>3</v>
      </c>
      <c r="E147" s="4" t="s">
        <v>21</v>
      </c>
      <c r="F147" s="5"/>
      <c r="G147" s="5"/>
      <c r="H147" s="6" t="str">
        <f aca="false">IF(OR(F147="",NOT(ISNUMBER(D147))),"",IF(ABS(F147-D147)&lt;0.001,"Yes","No"))</f>
        <v/>
      </c>
      <c r="I147" s="7" t="n">
        <f aca="false">IF(ISNUMBER(F147),F147,D147)</f>
        <v>3</v>
      </c>
      <c r="J147" s="6" t="str">
        <f aca="false">IF(ISNUMBER(F147),"Expert (overrides AI)",IF(ISNUMBER(D147),"AI","Not scored yet"))</f>
        <v>AI</v>
      </c>
      <c r="K147" s="4" t="s">
        <v>22</v>
      </c>
      <c r="L147" s="4" t="s">
        <v>31</v>
      </c>
      <c r="M147" s="4" t="s">
        <v>408</v>
      </c>
      <c r="N147" s="4" t="s">
        <v>55</v>
      </c>
      <c r="O147" s="4" t="s">
        <v>56</v>
      </c>
      <c r="P147" s="4" t="s">
        <v>409</v>
      </c>
      <c r="Q147" s="4" t="s">
        <v>410</v>
      </c>
      <c r="R147" s="4"/>
    </row>
    <row r="148" customFormat="false" ht="93" hidden="false" customHeight="true" outlineLevel="0" collapsed="false">
      <c r="A148" s="3" t="s">
        <v>406</v>
      </c>
      <c r="B148" s="4" t="s">
        <v>29</v>
      </c>
      <c r="C148" s="4" t="s">
        <v>407</v>
      </c>
      <c r="D148" s="4" t="str">
        <f aca="false">IFERROR(SC7a!L14,"")</f>
        <v/>
      </c>
      <c r="E148" s="4" t="s">
        <v>21</v>
      </c>
      <c r="F148" s="5"/>
      <c r="G148" s="5"/>
      <c r="H148" s="6" t="str">
        <f aca="false">IF(OR(F148="",NOT(ISNUMBER(D148))),"",IF(ABS(F148-D148)&lt;0.001,"Yes","No"))</f>
        <v/>
      </c>
      <c r="I148" s="7" t="str">
        <f aca="false">IF(ISNUMBER(F148),F148,D148)</f>
        <v/>
      </c>
      <c r="J148" s="6" t="str">
        <f aca="false">IF(ISNUMBER(F148),"Expert (overrides AI)",IF(ISNUMBER(D148),"AI","Not scored yet"))</f>
        <v>Not scored yet</v>
      </c>
      <c r="K148" s="4" t="s">
        <v>30</v>
      </c>
      <c r="L148" s="4" t="s">
        <v>59</v>
      </c>
      <c r="M148" s="4"/>
      <c r="N148" s="4"/>
      <c r="O148" s="4"/>
      <c r="P148" s="4"/>
      <c r="Q148" s="4"/>
      <c r="R148" s="4" t="s">
        <v>411</v>
      </c>
    </row>
    <row r="149" customFormat="false" ht="93" hidden="false" customHeight="true" outlineLevel="0" collapsed="false">
      <c r="A149" s="3" t="s">
        <v>406</v>
      </c>
      <c r="B149" s="4" t="s">
        <v>34</v>
      </c>
      <c r="C149" s="4" t="s">
        <v>407</v>
      </c>
      <c r="D149" s="4" t="str">
        <f aca="false">IFERROR(SC7a!L15,"")</f>
        <v/>
      </c>
      <c r="E149" s="4" t="s">
        <v>21</v>
      </c>
      <c r="F149" s="5"/>
      <c r="G149" s="5"/>
      <c r="H149" s="6" t="str">
        <f aca="false">IF(OR(F149="",NOT(ISNUMBER(D149))),"",IF(ABS(F149-D149)&lt;0.001,"Yes","No"))</f>
        <v/>
      </c>
      <c r="I149" s="7" t="str">
        <f aca="false">IF(ISNUMBER(F149),F149,D149)</f>
        <v/>
      </c>
      <c r="J149" s="6" t="str">
        <f aca="false">IF(ISNUMBER(F149),"Expert (overrides AI)",IF(ISNUMBER(D149),"AI","Not scored yet"))</f>
        <v>Not scored yet</v>
      </c>
      <c r="K149" s="4" t="s">
        <v>30</v>
      </c>
      <c r="L149" s="4" t="s">
        <v>59</v>
      </c>
      <c r="M149" s="4"/>
      <c r="N149" s="4"/>
      <c r="O149" s="4"/>
      <c r="P149" s="4"/>
      <c r="Q149" s="4"/>
      <c r="R149" s="4" t="s">
        <v>412</v>
      </c>
    </row>
    <row r="150" customFormat="false" ht="93" hidden="false" customHeight="true" outlineLevel="0" collapsed="false">
      <c r="A150" s="3" t="s">
        <v>406</v>
      </c>
      <c r="B150" s="4" t="s">
        <v>40</v>
      </c>
      <c r="C150" s="4" t="s">
        <v>407</v>
      </c>
      <c r="D150" s="4" t="str">
        <f aca="false">IFERROR(SC7a!L16,"")</f>
        <v/>
      </c>
      <c r="E150" s="4" t="s">
        <v>21</v>
      </c>
      <c r="F150" s="5"/>
      <c r="G150" s="5"/>
      <c r="H150" s="6" t="str">
        <f aca="false">IF(OR(F150="",NOT(ISNUMBER(D150))),"",IF(ABS(F150-D150)&lt;0.001,"Yes","No"))</f>
        <v/>
      </c>
      <c r="I150" s="7" t="str">
        <f aca="false">IF(ISNUMBER(F150),F150,D150)</f>
        <v/>
      </c>
      <c r="J150" s="6" t="str">
        <f aca="false">IF(ISNUMBER(F150),"Expert (overrides AI)",IF(ISNUMBER(D150),"AI","Not scored yet"))</f>
        <v>Not scored yet</v>
      </c>
      <c r="K150" s="4" t="s">
        <v>30</v>
      </c>
      <c r="L150" s="4" t="s">
        <v>59</v>
      </c>
      <c r="M150" s="4"/>
      <c r="N150" s="4"/>
      <c r="O150" s="4"/>
      <c r="P150" s="4"/>
      <c r="Q150" s="4"/>
      <c r="R150" s="4" t="s">
        <v>413</v>
      </c>
    </row>
    <row r="151" customFormat="false" ht="93" hidden="false" customHeight="true" outlineLevel="0" collapsed="false">
      <c r="A151" s="3" t="s">
        <v>406</v>
      </c>
      <c r="B151" s="4" t="s">
        <v>46</v>
      </c>
      <c r="C151" s="4" t="s">
        <v>407</v>
      </c>
      <c r="D151" s="4" t="str">
        <f aca="false">IFERROR(SC7a!L17,"")</f>
        <v/>
      </c>
      <c r="E151" s="4" t="s">
        <v>21</v>
      </c>
      <c r="F151" s="5"/>
      <c r="G151" s="5"/>
      <c r="H151" s="6" t="str">
        <f aca="false">IF(OR(F151="",NOT(ISNUMBER(D151))),"",IF(ABS(F151-D151)&lt;0.001,"Yes","No"))</f>
        <v/>
      </c>
      <c r="I151" s="7" t="str">
        <f aca="false">IF(ISNUMBER(F151),F151,D151)</f>
        <v/>
      </c>
      <c r="J151" s="6" t="str">
        <f aca="false">IF(ISNUMBER(F151),"Expert (overrides AI)",IF(ISNUMBER(D151),"AI","Not scored yet"))</f>
        <v>Not scored yet</v>
      </c>
      <c r="K151" s="4" t="s">
        <v>30</v>
      </c>
      <c r="L151" s="4" t="s">
        <v>31</v>
      </c>
      <c r="M151" s="4" t="s">
        <v>414</v>
      </c>
      <c r="N151" s="4" t="s">
        <v>251</v>
      </c>
      <c r="O151" s="4" t="s">
        <v>252</v>
      </c>
      <c r="P151" s="4" t="s">
        <v>415</v>
      </c>
      <c r="Q151" s="4" t="s">
        <v>416</v>
      </c>
      <c r="R151" s="4" t="s">
        <v>147</v>
      </c>
    </row>
    <row r="152" customFormat="false" ht="93" hidden="false" customHeight="true" outlineLevel="0" collapsed="false">
      <c r="A152" s="3" t="s">
        <v>417</v>
      </c>
      <c r="B152" s="4" t="s">
        <v>19</v>
      </c>
      <c r="C152" s="4" t="s">
        <v>418</v>
      </c>
      <c r="D152" s="4" t="str">
        <f aca="false">IFERROR(SC7b!L13,"")</f>
        <v/>
      </c>
      <c r="E152" s="4" t="s">
        <v>21</v>
      </c>
      <c r="F152" s="5"/>
      <c r="G152" s="5"/>
      <c r="H152" s="6" t="str">
        <f aca="false">IF(OR(F152="",NOT(ISNUMBER(D152))),"",IF(ABS(F152-D152)&lt;0.001,"Yes","No"))</f>
        <v/>
      </c>
      <c r="I152" s="7" t="str">
        <f aca="false">IF(ISNUMBER(F152),F152,D152)</f>
        <v/>
      </c>
      <c r="J152" s="6" t="str">
        <f aca="false">IF(ISNUMBER(F152),"Expert (overrides AI)",IF(ISNUMBER(D152),"AI","Not scored yet"))</f>
        <v>Not scored yet</v>
      </c>
      <c r="K152" s="4" t="s">
        <v>30</v>
      </c>
      <c r="L152" s="4" t="s">
        <v>59</v>
      </c>
      <c r="M152" s="4"/>
      <c r="N152" s="4"/>
      <c r="O152" s="4"/>
      <c r="P152" s="4"/>
      <c r="Q152" s="4"/>
      <c r="R152" s="4" t="s">
        <v>419</v>
      </c>
    </row>
    <row r="153" customFormat="false" ht="93" hidden="false" customHeight="true" outlineLevel="0" collapsed="false">
      <c r="A153" s="3" t="s">
        <v>417</v>
      </c>
      <c r="B153" s="4" t="s">
        <v>29</v>
      </c>
      <c r="C153" s="4" t="s">
        <v>418</v>
      </c>
      <c r="D153" s="4" t="str">
        <f aca="false">IFERROR(SC7b!L14,"")</f>
        <v/>
      </c>
      <c r="E153" s="4" t="s">
        <v>21</v>
      </c>
      <c r="F153" s="5"/>
      <c r="G153" s="5"/>
      <c r="H153" s="6" t="str">
        <f aca="false">IF(OR(F153="",NOT(ISNUMBER(D153))),"",IF(ABS(F153-D153)&lt;0.001,"Yes","No"))</f>
        <v/>
      </c>
      <c r="I153" s="7" t="str">
        <f aca="false">IF(ISNUMBER(F153),F153,D153)</f>
        <v/>
      </c>
      <c r="J153" s="6" t="str">
        <f aca="false">IF(ISNUMBER(F153),"Expert (overrides AI)",IF(ISNUMBER(D153),"AI","Not scored yet"))</f>
        <v>Not scored yet</v>
      </c>
      <c r="K153" s="4" t="s">
        <v>30</v>
      </c>
      <c r="L153" s="4" t="s">
        <v>59</v>
      </c>
      <c r="M153" s="4"/>
      <c r="N153" s="4"/>
      <c r="O153" s="4"/>
      <c r="P153" s="4"/>
      <c r="Q153" s="4"/>
      <c r="R153" s="4" t="s">
        <v>420</v>
      </c>
    </row>
    <row r="154" customFormat="false" ht="93" hidden="false" customHeight="true" outlineLevel="0" collapsed="false">
      <c r="A154" s="3" t="s">
        <v>417</v>
      </c>
      <c r="B154" s="4" t="s">
        <v>34</v>
      </c>
      <c r="C154" s="4" t="s">
        <v>418</v>
      </c>
      <c r="D154" s="4" t="str">
        <f aca="false">IFERROR(SC7b!L15,"")</f>
        <v/>
      </c>
      <c r="E154" s="4" t="s">
        <v>21</v>
      </c>
      <c r="F154" s="5"/>
      <c r="G154" s="5"/>
      <c r="H154" s="6" t="str">
        <f aca="false">IF(OR(F154="",NOT(ISNUMBER(D154))),"",IF(ABS(F154-D154)&lt;0.001,"Yes","No"))</f>
        <v/>
      </c>
      <c r="I154" s="7" t="str">
        <f aca="false">IF(ISNUMBER(F154),F154,D154)</f>
        <v/>
      </c>
      <c r="J154" s="6" t="str">
        <f aca="false">IF(ISNUMBER(F154),"Expert (overrides AI)",IF(ISNUMBER(D154),"AI","Not scored yet"))</f>
        <v>Not scored yet</v>
      </c>
      <c r="K154" s="4" t="s">
        <v>30</v>
      </c>
      <c r="L154" s="4" t="s">
        <v>59</v>
      </c>
      <c r="M154" s="4"/>
      <c r="N154" s="4"/>
      <c r="O154" s="4"/>
      <c r="P154" s="4"/>
      <c r="Q154" s="4"/>
      <c r="R154" s="4" t="s">
        <v>421</v>
      </c>
    </row>
    <row r="155" customFormat="false" ht="93" hidden="false" customHeight="true" outlineLevel="0" collapsed="false">
      <c r="A155" s="3" t="s">
        <v>417</v>
      </c>
      <c r="B155" s="4" t="s">
        <v>40</v>
      </c>
      <c r="C155" s="4" t="s">
        <v>418</v>
      </c>
      <c r="D155" s="4" t="str">
        <f aca="false">IFERROR(SC7b!L16,"")</f>
        <v/>
      </c>
      <c r="E155" s="4" t="s">
        <v>21</v>
      </c>
      <c r="F155" s="5"/>
      <c r="G155" s="5"/>
      <c r="H155" s="6" t="str">
        <f aca="false">IF(OR(F155="",NOT(ISNUMBER(D155))),"",IF(ABS(F155-D155)&lt;0.001,"Yes","No"))</f>
        <v/>
      </c>
      <c r="I155" s="7" t="str">
        <f aca="false">IF(ISNUMBER(F155),F155,D155)</f>
        <v/>
      </c>
      <c r="J155" s="6" t="str">
        <f aca="false">IF(ISNUMBER(F155),"Expert (overrides AI)",IF(ISNUMBER(D155),"AI","Not scored yet"))</f>
        <v>Not scored yet</v>
      </c>
      <c r="K155" s="4" t="s">
        <v>30</v>
      </c>
      <c r="L155" s="4" t="s">
        <v>59</v>
      </c>
      <c r="M155" s="4"/>
      <c r="N155" s="4"/>
      <c r="O155" s="4"/>
      <c r="P155" s="4"/>
      <c r="Q155" s="4"/>
      <c r="R155" s="4" t="s">
        <v>422</v>
      </c>
    </row>
    <row r="156" customFormat="false" ht="93" hidden="false" customHeight="true" outlineLevel="0" collapsed="false">
      <c r="A156" s="3" t="s">
        <v>417</v>
      </c>
      <c r="B156" s="4" t="s">
        <v>46</v>
      </c>
      <c r="C156" s="4" t="s">
        <v>418</v>
      </c>
      <c r="D156" s="4" t="str">
        <f aca="false">IFERROR(SC7b!L17,"")</f>
        <v/>
      </c>
      <c r="E156" s="4" t="s">
        <v>21</v>
      </c>
      <c r="F156" s="5"/>
      <c r="G156" s="5"/>
      <c r="H156" s="6" t="str">
        <f aca="false">IF(OR(F156="",NOT(ISNUMBER(D156))),"",IF(ABS(F156-D156)&lt;0.001,"Yes","No"))</f>
        <v/>
      </c>
      <c r="I156" s="7" t="str">
        <f aca="false">IF(ISNUMBER(F156),F156,D156)</f>
        <v/>
      </c>
      <c r="J156" s="6" t="str">
        <f aca="false">IF(ISNUMBER(F156),"Expert (overrides AI)",IF(ISNUMBER(D156),"AI","Not scored yet"))</f>
        <v>Not scored yet</v>
      </c>
      <c r="K156" s="4" t="s">
        <v>30</v>
      </c>
      <c r="L156" s="4" t="s">
        <v>59</v>
      </c>
      <c r="M156" s="4"/>
      <c r="N156" s="4"/>
      <c r="O156" s="4"/>
      <c r="P156" s="4"/>
      <c r="Q156" s="4"/>
      <c r="R156" s="4" t="s">
        <v>423</v>
      </c>
    </row>
  </sheetData>
  <autoFilter ref="A1:R156"/>
  <conditionalFormatting sqref="I2:J156">
    <cfRule type="expression" priority="2" aboveAverage="0" equalAverage="0" bottom="0" percent="0" rank="0" text="" dxfId="7">
      <formula>$J2="Expert (overrides AI)"</formula>
    </cfRule>
  </conditionalFormatting>
  <conditionalFormatting sqref="K2:K156">
    <cfRule type="expression" priority="3" aboveAverage="0" equalAverage="0" bottom="0" percent="0" rank="0" text="" dxfId="8">
      <formula>$K2="Left for a person"</formula>
    </cfRule>
  </conditionalFormatting>
  <conditionalFormatting sqref="H2:H156">
    <cfRule type="expression" priority="4" aboveAverage="0" equalAverage="0" bottom="0" percent="0" rank="0" text="" dxfId="9">
      <formula>$H2="No"</formula>
    </cfRule>
  </conditionalFormatting>
  <hyperlinks>
    <hyperlink ref="A2" location="'UPD1a'!A1" display="UPD1a"/>
    <hyperlink ref="A3" location="'UPD1a'!A1" display="UPD1a"/>
    <hyperlink ref="A4" location="'UPD1a'!A1" display="UPD1a"/>
    <hyperlink ref="A5" location="'UPD1a'!A1" display="UPD1a"/>
    <hyperlink ref="A6" location="'UPD1a'!A1" display="UPD1a"/>
    <hyperlink ref="A7" location="'UPD1b'!A1" display="UPD1b"/>
    <hyperlink ref="A8" location="'UPD1b'!A1" display="UPD1b"/>
    <hyperlink ref="A9" location="'UPD1b'!A1" display="UPD1b"/>
    <hyperlink ref="A10" location="'UPD1b'!A1" display="UPD1b"/>
    <hyperlink ref="A11" location="'UPD1b'!A1" display="UPD1b"/>
    <hyperlink ref="A12" location="'UPD2a'!A1" display="UPD2a"/>
    <hyperlink ref="A13" location="'UPD2b'!A1" display="UPD2b"/>
    <hyperlink ref="A14" location="'UPD2c'!A1" display="UPD2c"/>
    <hyperlink ref="A15" location="'UPD2d'!A1" display="UPD2d"/>
    <hyperlink ref="A16" location="'UPD3a'!A1" display="UPD3a"/>
    <hyperlink ref="A17" location="'UPD3b'!A1" display="UPD3b"/>
    <hyperlink ref="A18" location="'UPD4a'!A1" display="UPD4a"/>
    <hyperlink ref="A19" location="'UPD4b'!A1" display="UPD4b"/>
    <hyperlink ref="A20" location="'UPD5a'!A1" display="UPD5a"/>
    <hyperlink ref="A21" location="'UPD5b'!A1" display="UPD5b"/>
    <hyperlink ref="A22" location="'UPD6a'!A1" display="UPD6a"/>
    <hyperlink ref="A23" location="'UPD6b'!A1" display="UPD6b"/>
    <hyperlink ref="A24" location="'DPG1a'!A1" display="DPG1a"/>
    <hyperlink ref="A25" location="'DPG1a'!A1" display="DPG1a"/>
    <hyperlink ref="A26" location="'DPG1a'!A1" display="DPG1a"/>
    <hyperlink ref="A27" location="'DPG1a'!A1" display="DPG1a"/>
    <hyperlink ref="A28" location="'DPG1a'!A1" display="DPG1a"/>
    <hyperlink ref="A29" location="'DPG1b'!A1" display="DPG1b"/>
    <hyperlink ref="A30" location="'DPG1b'!A1" display="DPG1b"/>
    <hyperlink ref="A31" location="'DPG1b'!A1" display="DPG1b"/>
    <hyperlink ref="A32" location="'DPG1b'!A1" display="DPG1b"/>
    <hyperlink ref="A33" location="'DPG1b'!A1" display="DPG1b"/>
    <hyperlink ref="A34" location="'DPG2a'!A1" display="DPG2a"/>
    <hyperlink ref="A35" location="'DPG2a'!A1" display="DPG2a"/>
    <hyperlink ref="A36" location="'DPG2a'!A1" display="DPG2a"/>
    <hyperlink ref="A37" location="'DPG2a'!A1" display="DPG2a"/>
    <hyperlink ref="A38" location="'DPG2a'!A1" display="DPG2a"/>
    <hyperlink ref="A39" location="'DPG2b'!A1" display="DPG2b"/>
    <hyperlink ref="A40" location="'DPG2b'!A1" display="DPG2b"/>
    <hyperlink ref="A41" location="'DPG2b'!A1" display="DPG2b"/>
    <hyperlink ref="A42" location="'DPG2b'!A1" display="DPG2b"/>
    <hyperlink ref="A43" location="'DPG2b'!A1" display="DPG2b"/>
    <hyperlink ref="A44" location="'DPG4'!A1" display="DPG4"/>
    <hyperlink ref="A45" location="'DPG4'!A1" display="DPG4"/>
    <hyperlink ref="A46" location="'DPG4'!A1" display="DPG4"/>
    <hyperlink ref="A47" location="'DPG4'!A1" display="DPG4"/>
    <hyperlink ref="A48" location="'DPG4'!A1" display="DPG4"/>
    <hyperlink ref="A49" location="'DPG5a'!A1" display="DPG5a"/>
    <hyperlink ref="A50" location="'DPG5a'!A1" display="DPG5a"/>
    <hyperlink ref="A51" location="'DPG5a'!A1" display="DPG5a"/>
    <hyperlink ref="A52" location="'DPG5a'!A1" display="DPG5a"/>
    <hyperlink ref="A53" location="'DPG5a'!A1" display="DPG5a"/>
    <hyperlink ref="A54" location="'DPG5b'!A1" display="DPG5b"/>
    <hyperlink ref="A55" location="'DPG5b'!A1" display="DPG5b"/>
    <hyperlink ref="A56" location="'DPG5b'!A1" display="DPG5b"/>
    <hyperlink ref="A57" location="'DPG5b'!A1" display="DPG5b"/>
    <hyperlink ref="A58" location="'DPG5b'!A1" display="DPG5b"/>
    <hyperlink ref="A59" location="'DPG5c'!A1" display="DPG5c"/>
    <hyperlink ref="A60" location="'DPG5c'!A1" display="DPG5c"/>
    <hyperlink ref="A61" location="'DPG5c'!A1" display="DPG5c"/>
    <hyperlink ref="A62" location="'DPG5c'!A1" display="DPG5c"/>
    <hyperlink ref="A63" location="'DPG5c'!A1" display="DPG5c"/>
    <hyperlink ref="A64" location="'DPG5d'!A1" display="DPG5d"/>
    <hyperlink ref="A65" location="'DPG5d'!A1" display="DPG5d"/>
    <hyperlink ref="A66" location="'DPG5d'!A1" display="DPG5d"/>
    <hyperlink ref="A67" location="'DPG5d'!A1" display="DPG5d"/>
    <hyperlink ref="A68" location="'DPG5d'!A1" display="DPG5d"/>
    <hyperlink ref="A69" location="'DPG5f'!A1" display="DPG5f"/>
    <hyperlink ref="A70" location="'DPG5f'!A1" display="DPG5f"/>
    <hyperlink ref="A71" location="'DPG5f'!A1" display="DPG5f"/>
    <hyperlink ref="A72" location="'DPG5f'!A1" display="DPG5f"/>
    <hyperlink ref="A73" location="'DPG5f'!A1" display="DPG5f"/>
    <hyperlink ref="A74" location="'DPG5g'!A1" display="DPG5g"/>
    <hyperlink ref="A75" location="'DPG5g'!A1" display="DPG5g"/>
    <hyperlink ref="A76" location="'DPG5g'!A1" display="DPG5g"/>
    <hyperlink ref="A77" location="'DPG5g'!A1" display="DPG5g"/>
    <hyperlink ref="A78" location="'DPG5g'!A1" display="DPG5g"/>
    <hyperlink ref="A79" location="'DPG5h'!A1" display="DPG5h"/>
    <hyperlink ref="A80" location="'DPG5h'!A1" display="DPG5h"/>
    <hyperlink ref="A81" location="'DPG5h'!A1" display="DPG5h"/>
    <hyperlink ref="A82" location="'DPG5h'!A1" display="DPG5h"/>
    <hyperlink ref="A83" location="'DPG5h'!A1" display="DPG5h"/>
    <hyperlink ref="A84" location="'DPG5i'!A1" display="DPG5i"/>
    <hyperlink ref="A85" location="'DPG5i'!A1" display="DPG5i"/>
    <hyperlink ref="A86" location="'DPG5i'!A1" display="DPG5i"/>
    <hyperlink ref="A87" location="'DPG5i'!A1" display="DPG5i"/>
    <hyperlink ref="A88" location="'DPG5i'!A1" display="DPG5i"/>
    <hyperlink ref="A89" location="'DPG5j'!A1" display="DPG5j"/>
    <hyperlink ref="A90" location="'DPG5j'!A1" display="DPG5j"/>
    <hyperlink ref="A91" location="'DPG5j'!A1" display="DPG5j"/>
    <hyperlink ref="A92" location="'DPG5j'!A1" display="DPG5j"/>
    <hyperlink ref="A93" location="'DPG5j'!A1" display="DPG5j"/>
    <hyperlink ref="A94" location="'DPG5k'!A1" display="DPG5k"/>
    <hyperlink ref="A95" location="'DPG5k'!A1" display="DPG5k"/>
    <hyperlink ref="A96" location="'DPG5k'!A1" display="DPG5k"/>
    <hyperlink ref="A97" location="'DPG5k'!A1" display="DPG5k"/>
    <hyperlink ref="A98" location="'DPG5k'!A1" display="DPG5k"/>
    <hyperlink ref="A99" location="'DPG6a'!A1" display="DPG6a"/>
    <hyperlink ref="A100" location="'DPG6a'!A1" display="DPG6a"/>
    <hyperlink ref="A101" location="'DPG6a'!A1" display="DPG6a"/>
    <hyperlink ref="A102" location="'DPG6a'!A1" display="DPG6a"/>
    <hyperlink ref="A103" location="'DPG6a'!A1" display="DPG6a"/>
    <hyperlink ref="A104" location="'DPG6b'!A1" display="DPG6b"/>
    <hyperlink ref="A105" location="'DPG6b'!A1" display="DPG6b"/>
    <hyperlink ref="A106" location="'DPG6b'!A1" display="DPG6b"/>
    <hyperlink ref="A107" location="'DPG6b'!A1" display="DPG6b"/>
    <hyperlink ref="A108" location="'DPG6b'!A1" display="DPG6b"/>
    <hyperlink ref="A109" location="'DPG7a'!A1" display="DPG7a"/>
    <hyperlink ref="A110" location="'DPG7a'!A1" display="DPG7a"/>
    <hyperlink ref="A111" location="'DPG7a'!A1" display="DPG7a"/>
    <hyperlink ref="A112" location="'DPG7b'!A1" display="DPG7b"/>
    <hyperlink ref="A113" location="'DPG7b'!A1" display="DPG7b"/>
    <hyperlink ref="A114" location="'DPG7b'!A1" display="DPG7b"/>
    <hyperlink ref="A115" location="'SC1'!A1" display="SC1"/>
    <hyperlink ref="A116" location="'SC1'!A1" display="SC1"/>
    <hyperlink ref="A117" location="'SC1'!A1" display="SC1"/>
    <hyperlink ref="A118" location="'SC2'!A1" display="SC2"/>
    <hyperlink ref="A119" location="'SC2'!A1" display="SC2"/>
    <hyperlink ref="A120" location="'SC2'!A1" display="SC2"/>
    <hyperlink ref="A121" location="'SC2'!A1" display="SC2"/>
    <hyperlink ref="A122" location="'SC3'!A1" display="SC3"/>
    <hyperlink ref="A123" location="'SC3'!A1" display="SC3"/>
    <hyperlink ref="A124" location="'SC3'!A1" display="SC3"/>
    <hyperlink ref="A125" location="'SC3'!A1" display="SC3"/>
    <hyperlink ref="A126" location="'SC3'!A1" display="SC3"/>
    <hyperlink ref="A127" location="'SC4a'!A1" display="SC4a"/>
    <hyperlink ref="A128" location="'SC4a'!A1" display="SC4a"/>
    <hyperlink ref="A129" location="'SC4a'!A1" display="SC4a"/>
    <hyperlink ref="A130" location="'SC4a'!A1" display="SC4a"/>
    <hyperlink ref="A131" location="'SC4a'!A1" display="SC4a"/>
    <hyperlink ref="A132" location="'SC4b'!A1" display="SC4b"/>
    <hyperlink ref="A133" location="'SC4b'!A1" display="SC4b"/>
    <hyperlink ref="A134" location="'SC4b'!A1" display="SC4b"/>
    <hyperlink ref="A135" location="'SC4b'!A1" display="SC4b"/>
    <hyperlink ref="A136" location="'SC4b'!A1" display="SC4b"/>
    <hyperlink ref="A137" location="'SC5'!A1" display="SC5"/>
    <hyperlink ref="A138" location="'SC5'!A1" display="SC5"/>
    <hyperlink ref="A139" location="'SC5'!A1" display="SC5"/>
    <hyperlink ref="A140" location="'SC5'!A1" display="SC5"/>
    <hyperlink ref="A141" location="'SC5'!A1" display="SC5"/>
    <hyperlink ref="A142" location="'SC6'!A1" display="SC6"/>
    <hyperlink ref="A143" location="'SC6'!A1" display="SC6"/>
    <hyperlink ref="A144" location="'SC6'!A1" display="SC6"/>
    <hyperlink ref="A145" location="'SC6'!A1" display="SC6"/>
    <hyperlink ref="A146" location="'SC6'!A1" display="SC6"/>
    <hyperlink ref="A147" location="'SC7a'!A1" display="SC7a"/>
    <hyperlink ref="A148" location="'SC7a'!A1" display="SC7a"/>
    <hyperlink ref="A149" location="'SC7a'!A1" display="SC7a"/>
    <hyperlink ref="A150" location="'SC7a'!A1" display="SC7a"/>
    <hyperlink ref="A151" location="'SC7a'!A1" display="SC7a"/>
    <hyperlink ref="A152" location="'SC7b'!A1" display="SC7b"/>
    <hyperlink ref="A153" location="'SC7b'!A1" display="SC7b"/>
    <hyperlink ref="A154" location="'SC7b'!A1" display="SC7b"/>
    <hyperlink ref="A155" location="'SC7b'!A1" display="SC7b"/>
    <hyperlink ref="A156" location="'SC7b'!A1" display="SC7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8" width="120"/>
  </cols>
  <sheetData>
    <row r="1" customFormat="false" ht="17.25" hidden="false" customHeight="true" outlineLevel="0" collapsed="false">
      <c r="A1" s="9" t="s">
        <v>424</v>
      </c>
    </row>
    <row r="2" customFormat="false" ht="15" hidden="false" customHeight="true" outlineLevel="0" collapsed="false">
      <c r="A2" s="4"/>
    </row>
    <row r="3" customFormat="false" ht="15" hidden="false" customHeight="true" outlineLevel="0" collapsed="false">
      <c r="A3" s="4" t="s">
        <v>425</v>
      </c>
    </row>
    <row r="4" customFormat="false" ht="23.25" hidden="false" customHeight="true" outlineLevel="0" collapsed="false">
      <c r="A4" s="4" t="s">
        <v>426</v>
      </c>
    </row>
    <row r="5" customFormat="false" ht="23.25" hidden="false" customHeight="true" outlineLevel="0" collapsed="false">
      <c r="A5" s="4" t="s">
        <v>427</v>
      </c>
    </row>
    <row r="6" customFormat="false" ht="15" hidden="false" customHeight="true" outlineLevel="0" collapsed="false">
      <c r="A6" s="4" t="s">
        <v>428</v>
      </c>
    </row>
    <row r="7" customFormat="false" ht="15" hidden="false" customHeight="true" outlineLevel="0" collapsed="false">
      <c r="A7" s="4"/>
    </row>
    <row r="8" customFormat="false" ht="15" hidden="false" customHeight="true" outlineLevel="0" collapsed="false">
      <c r="A8" s="4" t="s">
        <v>429</v>
      </c>
    </row>
    <row r="9" customFormat="false" ht="15" hidden="false" customHeight="true" outlineLevel="0" collapsed="false">
      <c r="A9" s="4" t="s">
        <v>430</v>
      </c>
    </row>
    <row r="10" customFormat="false" ht="15" hidden="false" customHeight="true" outlineLevel="0" collapsed="false">
      <c r="A10" s="4" t="s">
        <v>431</v>
      </c>
    </row>
    <row r="11" customFormat="false" ht="15" hidden="false" customHeight="true" outlineLevel="0" collapsed="false">
      <c r="A11" s="4" t="s">
        <v>432</v>
      </c>
    </row>
    <row r="12" customFormat="false" ht="15" hidden="false" customHeight="true" outlineLevel="0" collapsed="false">
      <c r="A12" s="4" t="s">
        <v>433</v>
      </c>
    </row>
    <row r="13" customFormat="false" ht="15" hidden="false" customHeight="true" outlineLevel="0" collapsed="false">
      <c r="A13" s="4" t="s">
        <v>434</v>
      </c>
    </row>
    <row r="14" customFormat="false" ht="15" hidden="false" customHeight="true" outlineLevel="0" collapsed="false">
      <c r="A14" s="4" t="s">
        <v>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14"/>
    <col collapsed="false" customWidth="true" hidden="false" outlineLevel="0" max="2" min="2" style="8" width="24"/>
    <col collapsed="false" customWidth="true" hidden="false" outlineLevel="0" max="4" min="4" style="8" width="50"/>
    <col collapsed="false" customWidth="true" hidden="false" outlineLevel="0" max="5" min="5" style="8" width="18"/>
  </cols>
  <sheetData>
    <row r="1" customFormat="false" ht="39" hidden="false" customHeight="true" outlineLevel="0" collapsed="false">
      <c r="A1" s="1" t="s">
        <v>436</v>
      </c>
      <c r="B1" s="1" t="s">
        <v>437</v>
      </c>
      <c r="C1" s="1" t="s">
        <v>438</v>
      </c>
      <c r="D1" s="1" t="s">
        <v>0</v>
      </c>
      <c r="E1" s="1" t="s">
        <v>439</v>
      </c>
      <c r="F1" s="1" t="s">
        <v>440</v>
      </c>
      <c r="G1" s="1" t="s">
        <v>19</v>
      </c>
      <c r="H1" s="1" t="s">
        <v>29</v>
      </c>
      <c r="I1" s="1" t="s">
        <v>34</v>
      </c>
      <c r="J1" s="1" t="s">
        <v>40</v>
      </c>
      <c r="K1" s="1" t="s">
        <v>46</v>
      </c>
      <c r="L1" s="1" t="s">
        <v>441</v>
      </c>
      <c r="M1" s="1" t="s">
        <v>442</v>
      </c>
    </row>
    <row r="2" customFormat="false" ht="15" hidden="false" customHeight="true" outlineLevel="0" collapsed="false">
      <c r="A2" s="8" t="s">
        <v>443</v>
      </c>
      <c r="B2" s="8" t="s">
        <v>444</v>
      </c>
      <c r="C2" s="8" t="s">
        <v>444</v>
      </c>
      <c r="D2" s="8" t="s">
        <v>444</v>
      </c>
      <c r="E2" s="8" t="s">
        <v>444</v>
      </c>
      <c r="F2" s="8" t="s">
        <v>444</v>
      </c>
      <c r="G2" s="8" t="s">
        <v>444</v>
      </c>
      <c r="H2" s="8" t="s">
        <v>444</v>
      </c>
      <c r="I2" s="8" t="s">
        <v>444</v>
      </c>
      <c r="J2" s="8" t="s">
        <v>444</v>
      </c>
      <c r="K2" s="8" t="s">
        <v>444</v>
      </c>
      <c r="L2" s="8" t="s">
        <v>444</v>
      </c>
      <c r="M2" s="8" t="s">
        <v>444</v>
      </c>
    </row>
    <row r="3" customFormat="false" ht="15" hidden="false" customHeight="true" outlineLevel="0" collapsed="false">
      <c r="A3" s="10" t="s">
        <v>445</v>
      </c>
      <c r="B3" s="10" t="str">
        <f aca="false">VLOOKUP($A3,'PARASTATAL Questions'!$A:$J,3,0)&amp;""</f>
        <v>Urban Planning &amp; Design (UPD)</v>
      </c>
      <c r="C3" s="10" t="str">
        <f aca="false">VLOOKUP($A3,'PARASTATAL Questions'!$A:$J,4,0)&amp;""</f>
        <v>MQ</v>
      </c>
      <c r="D3" s="10" t="str">
        <f aca="false">VLOOKUP($A3,'PARASTATAL Questions'!$A:$J,5,0)&amp;""</f>
        <v>Does the parastatal coordinate with the ULG(s) in preparing its spatial and/or sectoral plans?</v>
      </c>
      <c r="E3" s="10" t="str">
        <f aca="false">VLOOKUP($A3,'PARASTATAL Questions'!$A:$J,7,0)&amp;""</f>
        <v/>
      </c>
      <c r="F3" s="10" t="n">
        <f aca="false">VLOOKUP($A3,'PARASTATAL Questions'!$A:$J,6,0)</f>
        <v>10</v>
      </c>
      <c r="G3" s="10" t="n">
        <f aca="false">IF(OR(G4="ER",G5="ER"),"ER",IF(OR(G4="?",G5="?"),"?",IF(AND(G4="NA",G5="NA"),"NA",SUM(G4,G5)/((G4&lt;&gt;"NA")*$F$4+(G5&lt;&gt;"NA")*$F$5)*$F3)))</f>
        <v>6.25</v>
      </c>
      <c r="H3" s="10" t="str">
        <f aca="false">IF(OR(H4="ER",H5="ER"),"ER",IF(OR(H4="?",H5="?"),"?",IF(AND(H4="NA",H5="NA"),"NA",SUM(H4,H5)/((H4&lt;&gt;"NA")*$F$4+(H5&lt;&gt;"NA")*$F$5)*$F3)))</f>
        <v>?</v>
      </c>
      <c r="I3" s="10" t="str">
        <f aca="false">IF(OR(I4="ER",I5="ER"),"ER",IF(OR(I4="?",I5="?"),"?",IF(AND(I4="NA",I5="NA"),"NA",SUM(I4,I5)/((I4&lt;&gt;"NA")*$F$4+(I5&lt;&gt;"NA")*$F$5)*$F3)))</f>
        <v>?</v>
      </c>
      <c r="J3" s="10" t="str">
        <f aca="false">IF(OR(J4="ER",J5="ER"),"ER",IF(OR(J4="?",J5="?"),"?",IF(AND(J4="NA",J5="NA"),"NA",SUM(J4,J5)/((J4&lt;&gt;"NA")*$F$4+(J5&lt;&gt;"NA")*$F$5)*$F3)))</f>
        <v>?</v>
      </c>
      <c r="K3" s="10" t="str">
        <f aca="false">IF(OR(K4="ER",K5="ER"),"ER",IF(OR(K4="?",K5="?"),"?",IF(AND(K4="NA",K5="NA"),"NA",SUM(K4,K5)/((K4&lt;&gt;"NA")*$F$4+(K5&lt;&gt;"NA")*$F$5)*$F3)))</f>
        <v>?</v>
      </c>
      <c r="L3" s="10" t="str">
        <f aca="false">IF(OR(L4="ER",L5="ER"),"ER",IF(OR(L4="?",L5="?"),"?",IF(AND(L4="NA",L5="NA"),"NA",SUM(L4,L5)/((L4&lt;&gt;"NA")*$F$4+(L5&lt;&gt;"NA")*$F$5)*$F3)))</f>
        <v>?</v>
      </c>
      <c r="M3" s="10" t="str">
        <f aca="false">IF(OR(M4="ER",M5="ER"),"ER",IF(OR(M4="?",M5="?"),"?",IF(AND(M4="NA",M5="NA"),"NA",SUM(M4,M5)/((M4&lt;&gt;"NA")*$F$4+(M5&lt;&gt;"NA")*$F$5)*$F3)))</f>
        <v>?</v>
      </c>
    </row>
    <row r="4" customFormat="false" ht="15" hidden="false" customHeight="true" outlineLevel="0" collapsed="false">
      <c r="A4" s="8" t="s">
        <v>18</v>
      </c>
      <c r="B4" s="8" t="str">
        <f aca="false">VLOOKUP($A4,'PARASTATAL Questions'!$A:$J,3,0)&amp;""</f>
        <v>Urban Planning &amp; Design (UPD)</v>
      </c>
      <c r="C4" s="8" t="str">
        <f aca="false">VLOOKUP($A4,'PARASTATAL Questions'!$A:$J,4,0)&amp;""</f>
        <v>SQ</v>
      </c>
      <c r="D4" s="8" t="str">
        <f aca="false">VLOOKUP($A4,'PARASTATAL Questions'!$A:$J,5,0)&amp;""</f>
        <v>Is the parastatal mandated to prepare its spatial and/or sectoral plans in coordination with the ULG(s) within its jurisdiction?</v>
      </c>
      <c r="E4" s="8" t="str">
        <f aca="false">VLOOKUP($A4,'PARASTATAL Questions'!$A:$J,7,0)&amp;""</f>
        <v>Law/Policy</v>
      </c>
      <c r="F4" s="8" t="n">
        <f aca="false">VLOOKUP($A4,'PARASTATAL Questions'!$A:$J,6,0)</f>
        <v>5</v>
      </c>
      <c r="G4" s="8" t="n">
        <f aca="true">IF($F4=0,"NA",IF($A4=INDIRECT("'"&amp;$A4&amp;"'!$B$1"),IF(VLOOKUP(G$1,INDIRECT("'"&amp;$A4&amp;"'!$A$12:$Z$19"),MATCH("Points (Auto-generate)",INDIRECT("'"&amp;$A4&amp;"'!$A$12:$Z$12"),0),0)="","?",VLOOKUP(G$1,INDIRECT("'"&amp;$A4&amp;"'!$A$12:$Z$19"),MATCH("Points (Auto-generate)",INDIRECT("'"&amp;$A4&amp;"'!$A$12:$Z$12"),0),0)),"ER"))</f>
        <v>1.25</v>
      </c>
      <c r="H4" s="8" t="str">
        <f aca="true">IF($F4=0,"NA",IF($A4=INDIRECT("'"&amp;$A4&amp;"'!$B$1"),IF(VLOOKUP(H$1,INDIRECT("'"&amp;$A4&amp;"'!$A$12:$Z$19"),MATCH("Points (Auto-generate)",INDIRECT("'"&amp;$A4&amp;"'!$A$12:$Z$12"),0),0)="","?",VLOOKUP(H$1,INDIRECT("'"&amp;$A4&amp;"'!$A$12:$Z$19"),MATCH("Points (Auto-generate)",INDIRECT("'"&amp;$A4&amp;"'!$A$12:$Z$12"),0),0)),"ER"))</f>
        <v>?</v>
      </c>
      <c r="I4" s="8" t="n">
        <f aca="true">IF($F4=0,"NA",IF($A4=INDIRECT("'"&amp;$A4&amp;"'!$B$1"),IF(VLOOKUP(I$1,INDIRECT("'"&amp;$A4&amp;"'!$A$12:$Z$19"),MATCH("Points (Auto-generate)",INDIRECT("'"&amp;$A4&amp;"'!$A$12:$Z$12"),0),0)="","?",VLOOKUP(I$1,INDIRECT("'"&amp;$A4&amp;"'!$A$12:$Z$19"),MATCH("Points (Auto-generate)",INDIRECT("'"&amp;$A4&amp;"'!$A$12:$Z$12"),0),0)),"ER"))</f>
        <v>3.75</v>
      </c>
      <c r="J4" s="8" t="n">
        <f aca="true">IF($F4=0,"NA",IF($A4=INDIRECT("'"&amp;$A4&amp;"'!$B$1"),IF(VLOOKUP(J$1,INDIRECT("'"&amp;$A4&amp;"'!$A$12:$Z$19"),MATCH("Points (Auto-generate)",INDIRECT("'"&amp;$A4&amp;"'!$A$12:$Z$12"),0),0)="","?",VLOOKUP(J$1,INDIRECT("'"&amp;$A4&amp;"'!$A$12:$Z$19"),MATCH("Points (Auto-generate)",INDIRECT("'"&amp;$A4&amp;"'!$A$12:$Z$12"),0),0)),"ER"))</f>
        <v>0</v>
      </c>
      <c r="K4" s="8" t="n">
        <f aca="true">IF($F4=0,"NA",IF($A4=INDIRECT("'"&amp;$A4&amp;"'!$B$1"),IF(VLOOKUP(K$1,INDIRECT("'"&amp;$A4&amp;"'!$A$12:$Z$19"),MATCH("Points (Auto-generate)",INDIRECT("'"&amp;$A4&amp;"'!$A$12:$Z$12"),0),0)="","?",VLOOKUP(K$1,INDIRECT("'"&amp;$A4&amp;"'!$A$12:$Z$19"),MATCH("Points (Auto-generate)",INDIRECT("'"&amp;$A4&amp;"'!$A$12:$Z$12"),0),0)),"ER"))</f>
        <v>0</v>
      </c>
      <c r="L4" s="8" t="str">
        <f aca="true">IF($F4=0,"NA",IF($A4=INDIRECT("'"&amp;$A4&amp;"'!$B$1"),IF(VLOOKUP(L$1,INDIRECT("'"&amp;$A4&amp;"'!$A$12:$Z$19"),MATCH("Points (Auto-generate)",INDIRECT("'"&amp;$A4&amp;"'!$A$12:$Z$12"),0),0)="","?",VLOOKUP(L$1,INDIRECT("'"&amp;$A4&amp;"'!$A$12:$Z$19"),MATCH("Points (Auto-generate)",INDIRECT("'"&amp;$A4&amp;"'!$A$12:$Z$12"),0),0)),"ER"))</f>
        <v>?</v>
      </c>
      <c r="M4" s="8" t="str">
        <f aca="true">IF($F4=0,"NA",IF($A4=INDIRECT("'"&amp;$A4&amp;"'!$B$1"),IF(VLOOKUP(M$1,INDIRECT("'"&amp;$A4&amp;"'!$A$12:$Z$19"),MATCH("Points (Auto-generate)",INDIRECT("'"&amp;$A4&amp;"'!$A$12:$Z$12"),0),0)="","?",VLOOKUP(M$1,INDIRECT("'"&amp;$A4&amp;"'!$A$12:$Z$19"),MATCH("Points (Auto-generate)",INDIRECT("'"&amp;$A4&amp;"'!$A$12:$Z$12"),0),0)),"ER"))</f>
        <v>?</v>
      </c>
    </row>
    <row r="5" customFormat="false" ht="15" hidden="false" customHeight="true" outlineLevel="0" collapsed="false">
      <c r="A5" s="8" t="s">
        <v>52</v>
      </c>
      <c r="B5" s="8" t="str">
        <f aca="false">VLOOKUP($A5,'PARASTATAL Questions'!$A:$J,3,0)&amp;""</f>
        <v>Urban Planning &amp; Design (UPD)</v>
      </c>
      <c r="C5" s="8" t="str">
        <f aca="false">VLOOKUP($A5,'PARASTATAL Questions'!$A:$J,4,0)&amp;""</f>
        <v>SQ</v>
      </c>
      <c r="D5" s="8" t="str">
        <f aca="false">VLOOKUP($A5,'PARASTATAL Questions'!$A:$J,5,0)&amp;""</f>
        <v>Has the ULG participated in the parastatal’s plan-making process?</v>
      </c>
      <c r="E5" s="8" t="str">
        <f aca="false">VLOOKUP($A5,'PARASTATAL Questions'!$A:$J,7,0)&amp;""</f>
        <v>Implementation</v>
      </c>
      <c r="F5" s="8" t="n">
        <f aca="false">VLOOKUP($A5,'PARASTATAL Questions'!$A:$J,6,0)</f>
        <v>5</v>
      </c>
      <c r="G5" s="8" t="n">
        <f aca="true">IF($F5=0,"NA",IF($A5=INDIRECT("'"&amp;$A5&amp;"'!$B$1"),IF(VLOOKUP(G$1,INDIRECT("'"&amp;$A5&amp;"'!$A$12:$Z$19"),MATCH("Points (Auto-generate)",INDIRECT("'"&amp;$A5&amp;"'!$A$12:$Z$12"),0),0)="","?",VLOOKUP(G$1,INDIRECT("'"&amp;$A5&amp;"'!$A$12:$Z$19"),MATCH("Points (Auto-generate)",INDIRECT("'"&amp;$A5&amp;"'!$A$12:$Z$12"),0),0)),"ER"))</f>
        <v>5</v>
      </c>
      <c r="H5" s="8" t="str">
        <f aca="true">IF($F5=0,"NA",IF($A5=INDIRECT("'"&amp;$A5&amp;"'!$B$1"),IF(VLOOKUP(H$1,INDIRECT("'"&amp;$A5&amp;"'!$A$12:$Z$19"),MATCH("Points (Auto-generate)",INDIRECT("'"&amp;$A5&amp;"'!$A$12:$Z$12"),0),0)="","?",VLOOKUP(H$1,INDIRECT("'"&amp;$A5&amp;"'!$A$12:$Z$19"),MATCH("Points (Auto-generate)",INDIRECT("'"&amp;$A5&amp;"'!$A$12:$Z$12"),0),0)),"ER"))</f>
        <v>?</v>
      </c>
      <c r="I5" s="8" t="str">
        <f aca="true">IF($F5=0,"NA",IF($A5=INDIRECT("'"&amp;$A5&amp;"'!$B$1"),IF(VLOOKUP(I$1,INDIRECT("'"&amp;$A5&amp;"'!$A$12:$Z$19"),MATCH("Points (Auto-generate)",INDIRECT("'"&amp;$A5&amp;"'!$A$12:$Z$12"),0),0)="","?",VLOOKUP(I$1,INDIRECT("'"&amp;$A5&amp;"'!$A$12:$Z$19"),MATCH("Points (Auto-generate)",INDIRECT("'"&amp;$A5&amp;"'!$A$12:$Z$12"),0),0)),"ER"))</f>
        <v>?</v>
      </c>
      <c r="J5" s="8" t="str">
        <f aca="true">IF($F5=0,"NA",IF($A5=INDIRECT("'"&amp;$A5&amp;"'!$B$1"),IF(VLOOKUP(J$1,INDIRECT("'"&amp;$A5&amp;"'!$A$12:$Z$19"),MATCH("Points (Auto-generate)",INDIRECT("'"&amp;$A5&amp;"'!$A$12:$Z$12"),0),0)="","?",VLOOKUP(J$1,INDIRECT("'"&amp;$A5&amp;"'!$A$12:$Z$19"),MATCH("Points (Auto-generate)",INDIRECT("'"&amp;$A5&amp;"'!$A$12:$Z$12"),0),0)),"ER"))</f>
        <v>?</v>
      </c>
      <c r="K5" s="8" t="str">
        <f aca="true">IF($F5=0,"NA",IF($A5=INDIRECT("'"&amp;$A5&amp;"'!$B$1"),IF(VLOOKUP(K$1,INDIRECT("'"&amp;$A5&amp;"'!$A$12:$Z$19"),MATCH("Points (Auto-generate)",INDIRECT("'"&amp;$A5&amp;"'!$A$12:$Z$12"),0),0)="","?",VLOOKUP(K$1,INDIRECT("'"&amp;$A5&amp;"'!$A$12:$Z$19"),MATCH("Points (Auto-generate)",INDIRECT("'"&amp;$A5&amp;"'!$A$12:$Z$12"),0),0)),"ER"))</f>
        <v>?</v>
      </c>
      <c r="L5" s="8" t="str">
        <f aca="true">IF($F5=0,"NA",IF($A5=INDIRECT("'"&amp;$A5&amp;"'!$B$1"),IF(VLOOKUP(L$1,INDIRECT("'"&amp;$A5&amp;"'!$A$12:$Z$19"),MATCH("Points (Auto-generate)",INDIRECT("'"&amp;$A5&amp;"'!$A$12:$Z$12"),0),0)="","?",VLOOKUP(L$1,INDIRECT("'"&amp;$A5&amp;"'!$A$12:$Z$19"),MATCH("Points (Auto-generate)",INDIRECT("'"&amp;$A5&amp;"'!$A$12:$Z$12"),0),0)),"ER"))</f>
        <v>?</v>
      </c>
      <c r="M5" s="8" t="str">
        <f aca="true">IF($F5=0,"NA",IF($A5=INDIRECT("'"&amp;$A5&amp;"'!$B$1"),IF(VLOOKUP(M$1,INDIRECT("'"&amp;$A5&amp;"'!$A$12:$Z$19"),MATCH("Points (Auto-generate)",INDIRECT("'"&amp;$A5&amp;"'!$A$12:$Z$12"),0),0)="","?",VLOOKUP(M$1,INDIRECT("'"&amp;$A5&amp;"'!$A$12:$Z$19"),MATCH("Points (Auto-generate)",INDIRECT("'"&amp;$A5&amp;"'!$A$12:$Z$12"),0),0)),"ER"))</f>
        <v>?</v>
      </c>
    </row>
    <row r="6" customFormat="false" ht="15" hidden="false" customHeight="true" outlineLevel="0" collapsed="false">
      <c r="A6" s="10" t="s">
        <v>446</v>
      </c>
      <c r="B6" s="10" t="str">
        <f aca="false">VLOOKUP($A6,'PARASTATAL Questions'!$A:$J,3,0)&amp;""</f>
        <v>Urban Planning &amp; Design (UPD)</v>
      </c>
      <c r="C6" s="10" t="str">
        <f aca="false">VLOOKUP($A6,'PARASTATAL Questions'!$A:$J,4,0)&amp;""</f>
        <v>MQ</v>
      </c>
      <c r="D6" s="10" t="str">
        <f aca="false">VLOOKUP($A6,'PARASTATAL Questions'!$A:$J,5,0)&amp;""</f>
        <v>Where multiple statutory or sectoral plans apply to the same territory, does the water supply board and transport corporation ensure consistency with the applicable metropolitan/regional or city master plan/strategic plan for the city?</v>
      </c>
      <c r="E6" s="10" t="str">
        <f aca="false">VLOOKUP($A6,'PARASTATAL Questions'!$A:$J,7,0)&amp;""</f>
        <v/>
      </c>
      <c r="F6" s="10" t="n">
        <f aca="false">VLOOKUP($A6,'PARASTATAL Questions'!$A:$J,6,0)</f>
        <v>10</v>
      </c>
      <c r="G6" s="10" t="str">
        <f aca="false">IF(OR(G7="ER",G8="ER",G9="ER",G10="ER"),"ER",IF(OR(G7="?",G8="?",G9="?",G10="?"),"?",IF(AND(G7="NA",G8="NA",G9="NA",G10="NA"),"NA",SUM(G7,G8,G9,G10)/((G7&lt;&gt;"NA")*$F$7+(G8&lt;&gt;"NA")*$F$8+(G9&lt;&gt;"NA")*$F$9+(G10&lt;&gt;"NA")*$F$10)*$F6)))</f>
        <v>?</v>
      </c>
      <c r="H6" s="10" t="str">
        <f aca="false">IF(OR(H7="ER",H8="ER",H9="ER",H10="ER"),"ER",IF(OR(H7="?",H8="?",H9="?",H10="?"),"?",IF(AND(H7="NA",H8="NA",H9="NA",H10="NA"),"NA",SUM(H7,H8,H9,H10)/((H7&lt;&gt;"NA")*$F$7+(H8&lt;&gt;"NA")*$F$8+(H9&lt;&gt;"NA")*$F$9+(H10&lt;&gt;"NA")*$F$10)*$F6)))</f>
        <v>?</v>
      </c>
      <c r="I6" s="10" t="str">
        <f aca="false">IF(OR(I7="ER",I8="ER",I9="ER",I10="ER"),"ER",IF(OR(I7="?",I8="?",I9="?",I10="?"),"?",IF(AND(I7="NA",I8="NA",I9="NA",I10="NA"),"NA",SUM(I7,I8,I9,I10)/((I7&lt;&gt;"NA")*$F$7+(I8&lt;&gt;"NA")*$F$8+(I9&lt;&gt;"NA")*$F$9+(I10&lt;&gt;"NA")*$F$10)*$F6)))</f>
        <v>NA</v>
      </c>
      <c r="J6" s="10" t="str">
        <f aca="false">IF(OR(J7="ER",J8="ER",J9="ER",J10="ER"),"ER",IF(OR(J7="?",J8="?",J9="?",J10="?"),"?",IF(AND(J7="NA",J8="NA",J9="NA",J10="NA"),"NA",SUM(J7,J8,J9,J10)/((J7&lt;&gt;"NA")*$F$7+(J8&lt;&gt;"NA")*$F$8+(J9&lt;&gt;"NA")*$F$9+(J10&lt;&gt;"NA")*$F$10)*$F6)))</f>
        <v>NA</v>
      </c>
      <c r="K6" s="10" t="str">
        <f aca="false">IF(OR(K7="ER",K8="ER",K9="ER",K10="ER"),"ER",IF(OR(K7="?",K8="?",K9="?",K10="?"),"?",IF(AND(K7="NA",K8="NA",K9="NA",K10="NA"),"NA",SUM(K7,K8,K9,K10)/((K7&lt;&gt;"NA")*$F$7+(K8&lt;&gt;"NA")*$F$8+(K9&lt;&gt;"NA")*$F$9+(K10&lt;&gt;"NA")*$F$10)*$F6)))</f>
        <v>NA</v>
      </c>
      <c r="L6" s="10" t="str">
        <f aca="false">IF(OR(L7="ER",L8="ER",L9="ER",L10="ER"),"ER",IF(OR(L7="?",L8="?",L9="?",L10="?"),"?",IF(AND(L7="NA",L8="NA",L9="NA",L10="NA"),"NA",SUM(L7,L8,L9,L10)/((L7&lt;&gt;"NA")*$F$7+(L8&lt;&gt;"NA")*$F$8+(L9&lt;&gt;"NA")*$F$9+(L10&lt;&gt;"NA")*$F$10)*$F6)))</f>
        <v>NA</v>
      </c>
      <c r="M6" s="10" t="str">
        <f aca="false">IF(OR(M7="ER",M8="ER",M9="ER",M10="ER"),"ER",IF(OR(M7="?",M8="?",M9="?",M10="?"),"?",IF(AND(M7="NA",M8="NA",M9="NA",M10="NA"),"NA",SUM(M7,M8,M9,M10)/((M7&lt;&gt;"NA")*$F$7+(M8&lt;&gt;"NA")*$F$8+(M9&lt;&gt;"NA")*$F$9+(M10&lt;&gt;"NA")*$F$10)*$F6)))</f>
        <v>NA</v>
      </c>
    </row>
    <row r="7" customFormat="false" ht="15" hidden="false" customHeight="true" outlineLevel="0" collapsed="false">
      <c r="A7" s="8" t="s">
        <v>64</v>
      </c>
      <c r="B7" s="8" t="str">
        <f aca="false">VLOOKUP($A7,'PARASTATAL Questions'!$A:$J,3,0)&amp;""</f>
        <v>Urban Planning &amp; Design (UPD)</v>
      </c>
      <c r="C7" s="8" t="str">
        <f aca="false">VLOOKUP($A7,'PARASTATAL Questions'!$A:$J,4,0)&amp;""</f>
        <v>SQ</v>
      </c>
      <c r="D7" s="8" t="str">
        <f aca="false">VLOOKUP($A7,'PARASTATAL Questions'!$A:$J,5,0)&amp;""</f>
        <v>Where multiple statutory or sectoral plans apply to the same territory, is the water board mandated to ensure consistency with the applicable metropolitan/regional or city master plan/strategic plan for the city?</v>
      </c>
      <c r="E7" s="8" t="str">
        <f aca="false">VLOOKUP($A7,'PARASTATAL Questions'!$A:$J,7,0)&amp;""</f>
        <v>Law/Policy</v>
      </c>
      <c r="F7" s="8" t="n">
        <f aca="false">VLOOKUP($A7,'PARASTATAL Questions'!$A:$J,6,0)</f>
        <v>2.5</v>
      </c>
      <c r="G7" s="8" t="n">
        <f aca="true">IF($F7=0,"NA",IF($A7=INDIRECT("'"&amp;$A7&amp;"'!$B$1"),IF(VLOOKUP(G$1,INDIRECT("'"&amp;$A7&amp;"'!$A$12:$Z$19"),MATCH("Points (Auto-generate)",INDIRECT("'"&amp;$A7&amp;"'!$A$12:$Z$12"),0),0)="","?",VLOOKUP(G$1,INDIRECT("'"&amp;$A7&amp;"'!$A$12:$Z$19"),MATCH("Points (Auto-generate)",INDIRECT("'"&amp;$A7&amp;"'!$A$12:$Z$12"),0),0)),"ER"))</f>
        <v>0</v>
      </c>
      <c r="H7" s="8" t="str">
        <f aca="true">IF($F7=0,"NA",IF($A7=INDIRECT("'"&amp;$A7&amp;"'!$B$1"),IF(VLOOKUP(H$1,INDIRECT("'"&amp;$A7&amp;"'!$A$12:$Z$19"),MATCH("Points (Auto-generate)",INDIRECT("'"&amp;$A7&amp;"'!$A$12:$Z$12"),0),0)="","?",VLOOKUP(H$1,INDIRECT("'"&amp;$A7&amp;"'!$A$12:$Z$19"),MATCH("Points (Auto-generate)",INDIRECT("'"&amp;$A7&amp;"'!$A$12:$Z$12"),0),0)),"ER"))</f>
        <v>NA</v>
      </c>
      <c r="I7" s="8" t="str">
        <f aca="true">IF($F7=0,"NA",IF($A7=INDIRECT("'"&amp;$A7&amp;"'!$B$1"),IF(VLOOKUP(I$1,INDIRECT("'"&amp;$A7&amp;"'!$A$12:$Z$19"),MATCH("Points (Auto-generate)",INDIRECT("'"&amp;$A7&amp;"'!$A$12:$Z$12"),0),0)="","?",VLOOKUP(I$1,INDIRECT("'"&amp;$A7&amp;"'!$A$12:$Z$19"),MATCH("Points (Auto-generate)",INDIRECT("'"&amp;$A7&amp;"'!$A$12:$Z$12"),0),0)),"ER"))</f>
        <v>NA</v>
      </c>
      <c r="J7" s="8" t="str">
        <f aca="true">IF($F7=0,"NA",IF($A7=INDIRECT("'"&amp;$A7&amp;"'!$B$1"),IF(VLOOKUP(J$1,INDIRECT("'"&amp;$A7&amp;"'!$A$12:$Z$19"),MATCH("Points (Auto-generate)",INDIRECT("'"&amp;$A7&amp;"'!$A$12:$Z$12"),0),0)="","?",VLOOKUP(J$1,INDIRECT("'"&amp;$A7&amp;"'!$A$12:$Z$19"),MATCH("Points (Auto-generate)",INDIRECT("'"&amp;$A7&amp;"'!$A$12:$Z$12"),0),0)),"ER"))</f>
        <v>NA</v>
      </c>
      <c r="K7" s="8" t="str">
        <f aca="true">IF($F7=0,"NA",IF($A7=INDIRECT("'"&amp;$A7&amp;"'!$B$1"),IF(VLOOKUP(K$1,INDIRECT("'"&amp;$A7&amp;"'!$A$12:$Z$19"),MATCH("Points (Auto-generate)",INDIRECT("'"&amp;$A7&amp;"'!$A$12:$Z$12"),0),0)="","?",VLOOKUP(K$1,INDIRECT("'"&amp;$A7&amp;"'!$A$12:$Z$19"),MATCH("Points (Auto-generate)",INDIRECT("'"&amp;$A7&amp;"'!$A$12:$Z$12"),0),0)),"ER"))</f>
        <v>NA</v>
      </c>
      <c r="L7" s="8" t="str">
        <f aca="true">IF($F7=0,"NA",IF($A7=INDIRECT("'"&amp;$A7&amp;"'!$B$1"),IF(VLOOKUP(L$1,INDIRECT("'"&amp;$A7&amp;"'!$A$12:$Z$19"),MATCH("Points (Auto-generate)",INDIRECT("'"&amp;$A7&amp;"'!$A$12:$Z$12"),0),0)="","?",VLOOKUP(L$1,INDIRECT("'"&amp;$A7&amp;"'!$A$12:$Z$19"),MATCH("Points (Auto-generate)",INDIRECT("'"&amp;$A7&amp;"'!$A$12:$Z$12"),0),0)),"ER"))</f>
        <v>NA</v>
      </c>
      <c r="M7" s="8" t="str">
        <f aca="true">IF($F7=0,"NA",IF($A7=INDIRECT("'"&amp;$A7&amp;"'!$B$1"),IF(VLOOKUP(M$1,INDIRECT("'"&amp;$A7&amp;"'!$A$12:$Z$19"),MATCH("Points (Auto-generate)",INDIRECT("'"&amp;$A7&amp;"'!$A$12:$Z$12"),0),0)="","?",VLOOKUP(M$1,INDIRECT("'"&amp;$A7&amp;"'!$A$12:$Z$19"),MATCH("Points (Auto-generate)",INDIRECT("'"&amp;$A7&amp;"'!$A$12:$Z$12"),0),0)),"ER"))</f>
        <v>NA</v>
      </c>
    </row>
    <row r="8" customFormat="false" ht="15" hidden="false" customHeight="true" outlineLevel="0" collapsed="false">
      <c r="A8" s="8" t="s">
        <v>70</v>
      </c>
      <c r="B8" s="8" t="str">
        <f aca="false">VLOOKUP($A8,'PARASTATAL Questions'!$A:$J,3,0)&amp;""</f>
        <v>Urban Planning &amp; Design (UPD)</v>
      </c>
      <c r="C8" s="8" t="str">
        <f aca="false">VLOOKUP($A8,'PARASTATAL Questions'!$A:$J,4,0)&amp;""</f>
        <v>SQ</v>
      </c>
      <c r="D8" s="8" t="str">
        <f aca="false">VLOOKUP($A8,'PARASTATAL Questions'!$A:$J,5,0)&amp;""</f>
        <v>Where multiple statutory or sectoral plans apply to the same territory, does the water supply board ensure consistency with the applicable metropolitan/regional or city master plan/strategic plan for the city?</v>
      </c>
      <c r="E8" s="8" t="str">
        <f aca="false">VLOOKUP($A8,'PARASTATAL Questions'!$A:$J,7,0)&amp;""</f>
        <v>Implementation</v>
      </c>
      <c r="F8" s="8" t="n">
        <f aca="false">VLOOKUP($A8,'PARASTATAL Questions'!$A:$J,6,0)</f>
        <v>2.5</v>
      </c>
      <c r="G8" s="8" t="str">
        <f aca="true">IF($F8=0,"NA",IF($A8=INDIRECT("'"&amp;$A8&amp;"'!$B$1"),IF(VLOOKUP(G$1,INDIRECT("'"&amp;$A8&amp;"'!$A$12:$Z$19"),MATCH("Points (Auto-generate)",INDIRECT("'"&amp;$A8&amp;"'!$A$12:$Z$12"),0),0)="","?",VLOOKUP(G$1,INDIRECT("'"&amp;$A8&amp;"'!$A$12:$Z$19"),MATCH("Points (Auto-generate)",INDIRECT("'"&amp;$A8&amp;"'!$A$12:$Z$12"),0),0)),"ER"))</f>
        <v>?</v>
      </c>
      <c r="H8" s="8" t="str">
        <f aca="true">IF($F8=0,"NA",IF($A8=INDIRECT("'"&amp;$A8&amp;"'!$B$1"),IF(VLOOKUP(H$1,INDIRECT("'"&amp;$A8&amp;"'!$A$12:$Z$19"),MATCH("Points (Auto-generate)",INDIRECT("'"&amp;$A8&amp;"'!$A$12:$Z$12"),0),0)="","?",VLOOKUP(H$1,INDIRECT("'"&amp;$A8&amp;"'!$A$12:$Z$19"),MATCH("Points (Auto-generate)",INDIRECT("'"&amp;$A8&amp;"'!$A$12:$Z$12"),0),0)),"ER"))</f>
        <v>NA</v>
      </c>
      <c r="I8" s="8" t="str">
        <f aca="true">IF($F8=0,"NA",IF($A8=INDIRECT("'"&amp;$A8&amp;"'!$B$1"),IF(VLOOKUP(I$1,INDIRECT("'"&amp;$A8&amp;"'!$A$12:$Z$19"),MATCH("Points (Auto-generate)",INDIRECT("'"&amp;$A8&amp;"'!$A$12:$Z$12"),0),0)="","?",VLOOKUP(I$1,INDIRECT("'"&amp;$A8&amp;"'!$A$12:$Z$19"),MATCH("Points (Auto-generate)",INDIRECT("'"&amp;$A8&amp;"'!$A$12:$Z$12"),0),0)),"ER"))</f>
        <v>NA</v>
      </c>
      <c r="J8" s="8" t="str">
        <f aca="true">IF($F8=0,"NA",IF($A8=INDIRECT("'"&amp;$A8&amp;"'!$B$1"),IF(VLOOKUP(J$1,INDIRECT("'"&amp;$A8&amp;"'!$A$12:$Z$19"),MATCH("Points (Auto-generate)",INDIRECT("'"&amp;$A8&amp;"'!$A$12:$Z$12"),0),0)="","?",VLOOKUP(J$1,INDIRECT("'"&amp;$A8&amp;"'!$A$12:$Z$19"),MATCH("Points (Auto-generate)",INDIRECT("'"&amp;$A8&amp;"'!$A$12:$Z$12"),0),0)),"ER"))</f>
        <v>NA</v>
      </c>
      <c r="K8" s="8" t="str">
        <f aca="true">IF($F8=0,"NA",IF($A8=INDIRECT("'"&amp;$A8&amp;"'!$B$1"),IF(VLOOKUP(K$1,INDIRECT("'"&amp;$A8&amp;"'!$A$12:$Z$19"),MATCH("Points (Auto-generate)",INDIRECT("'"&amp;$A8&amp;"'!$A$12:$Z$12"),0),0)="","?",VLOOKUP(K$1,INDIRECT("'"&amp;$A8&amp;"'!$A$12:$Z$19"),MATCH("Points (Auto-generate)",INDIRECT("'"&amp;$A8&amp;"'!$A$12:$Z$12"),0),0)),"ER"))</f>
        <v>NA</v>
      </c>
      <c r="L8" s="8" t="str">
        <f aca="true">IF($F8=0,"NA",IF($A8=INDIRECT("'"&amp;$A8&amp;"'!$B$1"),IF(VLOOKUP(L$1,INDIRECT("'"&amp;$A8&amp;"'!$A$12:$Z$19"),MATCH("Points (Auto-generate)",INDIRECT("'"&amp;$A8&amp;"'!$A$12:$Z$12"),0),0)="","?",VLOOKUP(L$1,INDIRECT("'"&amp;$A8&amp;"'!$A$12:$Z$19"),MATCH("Points (Auto-generate)",INDIRECT("'"&amp;$A8&amp;"'!$A$12:$Z$12"),0),0)),"ER"))</f>
        <v>NA</v>
      </c>
      <c r="M8" s="8" t="str">
        <f aca="true">IF($F8=0,"NA",IF($A8=INDIRECT("'"&amp;$A8&amp;"'!$B$1"),IF(VLOOKUP(M$1,INDIRECT("'"&amp;$A8&amp;"'!$A$12:$Z$19"),MATCH("Points (Auto-generate)",INDIRECT("'"&amp;$A8&amp;"'!$A$12:$Z$12"),0),0)="","?",VLOOKUP(M$1,INDIRECT("'"&amp;$A8&amp;"'!$A$12:$Z$19"),MATCH("Points (Auto-generate)",INDIRECT("'"&amp;$A8&amp;"'!$A$12:$Z$12"),0),0)),"ER"))</f>
        <v>NA</v>
      </c>
    </row>
    <row r="9" customFormat="false" ht="15" hidden="false" customHeight="true" outlineLevel="0" collapsed="false">
      <c r="A9" s="8" t="s">
        <v>75</v>
      </c>
      <c r="B9" s="8" t="str">
        <f aca="false">VLOOKUP($A9,'PARASTATAL Questions'!$A:$J,3,0)&amp;""</f>
        <v>Urban Planning &amp; Design (UPD)</v>
      </c>
      <c r="C9" s="8" t="str">
        <f aca="false">VLOOKUP($A9,'PARASTATAL Questions'!$A:$J,4,0)&amp;""</f>
        <v>SQ</v>
      </c>
      <c r="D9" s="8" t="str">
        <f aca="false">VLOOKUP($A9,'PARASTATAL Questions'!$A:$J,5,0)&amp;""</f>
        <v>Where multiple statutory or sectoral plans apply to the same territory, is the transport corporation mandated to ensure consistency with the applicable metropolitan/regional or city master plan/strategic plan for the city?</v>
      </c>
      <c r="E9" s="8" t="str">
        <f aca="false">VLOOKUP($A9,'PARASTATAL Questions'!$A:$J,7,0)&amp;""</f>
        <v>Law/Policy</v>
      </c>
      <c r="F9" s="8" t="n">
        <f aca="false">VLOOKUP($A9,'PARASTATAL Questions'!$A:$J,6,0)</f>
        <v>2.5</v>
      </c>
      <c r="G9" s="8" t="str">
        <f aca="true">IF($F9=0,"NA",IF($A9=INDIRECT("'"&amp;$A9&amp;"'!$B$1"),IF(VLOOKUP(G$1,INDIRECT("'"&amp;$A9&amp;"'!$A$12:$Z$19"),MATCH("Points (Auto-generate)",INDIRECT("'"&amp;$A9&amp;"'!$A$12:$Z$12"),0),0)="","?",VLOOKUP(G$1,INDIRECT("'"&amp;$A9&amp;"'!$A$12:$Z$19"),MATCH("Points (Auto-generate)",INDIRECT("'"&amp;$A9&amp;"'!$A$12:$Z$12"),0),0)),"ER"))</f>
        <v>NA</v>
      </c>
      <c r="H9" s="8" t="n">
        <f aca="true">IF($F9=0,"NA",IF($A9=INDIRECT("'"&amp;$A9&amp;"'!$B$1"),IF(VLOOKUP(H$1,INDIRECT("'"&amp;$A9&amp;"'!$A$12:$Z$19"),MATCH("Points (Auto-generate)",INDIRECT("'"&amp;$A9&amp;"'!$A$12:$Z$12"),0),0)="","?",VLOOKUP(H$1,INDIRECT("'"&amp;$A9&amp;"'!$A$12:$Z$19"),MATCH("Points (Auto-generate)",INDIRECT("'"&amp;$A9&amp;"'!$A$12:$Z$12"),0),0)),"ER"))</f>
        <v>2.5</v>
      </c>
      <c r="I9" s="8" t="str">
        <f aca="true">IF($F9=0,"NA",IF($A9=INDIRECT("'"&amp;$A9&amp;"'!$B$1"),IF(VLOOKUP(I$1,INDIRECT("'"&amp;$A9&amp;"'!$A$12:$Z$19"),MATCH("Points (Auto-generate)",INDIRECT("'"&amp;$A9&amp;"'!$A$12:$Z$12"),0),0)="","?",VLOOKUP(I$1,INDIRECT("'"&amp;$A9&amp;"'!$A$12:$Z$19"),MATCH("Points (Auto-generate)",INDIRECT("'"&amp;$A9&amp;"'!$A$12:$Z$12"),0),0)),"ER"))</f>
        <v>NA</v>
      </c>
      <c r="J9" s="8" t="str">
        <f aca="true">IF($F9=0,"NA",IF($A9=INDIRECT("'"&amp;$A9&amp;"'!$B$1"),IF(VLOOKUP(J$1,INDIRECT("'"&amp;$A9&amp;"'!$A$12:$Z$19"),MATCH("Points (Auto-generate)",INDIRECT("'"&amp;$A9&amp;"'!$A$12:$Z$12"),0),0)="","?",VLOOKUP(J$1,INDIRECT("'"&amp;$A9&amp;"'!$A$12:$Z$19"),MATCH("Points (Auto-generate)",INDIRECT("'"&amp;$A9&amp;"'!$A$12:$Z$12"),0),0)),"ER"))</f>
        <v>NA</v>
      </c>
      <c r="K9" s="8" t="str">
        <f aca="true">IF($F9=0,"NA",IF($A9=INDIRECT("'"&amp;$A9&amp;"'!$B$1"),IF(VLOOKUP(K$1,INDIRECT("'"&amp;$A9&amp;"'!$A$12:$Z$19"),MATCH("Points (Auto-generate)",INDIRECT("'"&amp;$A9&amp;"'!$A$12:$Z$12"),0),0)="","?",VLOOKUP(K$1,INDIRECT("'"&amp;$A9&amp;"'!$A$12:$Z$19"),MATCH("Points (Auto-generate)",INDIRECT("'"&amp;$A9&amp;"'!$A$12:$Z$12"),0),0)),"ER"))</f>
        <v>NA</v>
      </c>
      <c r="L9" s="8" t="str">
        <f aca="true">IF($F9=0,"NA",IF($A9=INDIRECT("'"&amp;$A9&amp;"'!$B$1"),IF(VLOOKUP(L$1,INDIRECT("'"&amp;$A9&amp;"'!$A$12:$Z$19"),MATCH("Points (Auto-generate)",INDIRECT("'"&amp;$A9&amp;"'!$A$12:$Z$12"),0),0)="","?",VLOOKUP(L$1,INDIRECT("'"&amp;$A9&amp;"'!$A$12:$Z$19"),MATCH("Points (Auto-generate)",INDIRECT("'"&amp;$A9&amp;"'!$A$12:$Z$12"),0),0)),"ER"))</f>
        <v>NA</v>
      </c>
      <c r="M9" s="8" t="str">
        <f aca="true">IF($F9=0,"NA",IF($A9=INDIRECT("'"&amp;$A9&amp;"'!$B$1"),IF(VLOOKUP(M$1,INDIRECT("'"&amp;$A9&amp;"'!$A$12:$Z$19"),MATCH("Points (Auto-generate)",INDIRECT("'"&amp;$A9&amp;"'!$A$12:$Z$12"),0),0)="","?",VLOOKUP(M$1,INDIRECT("'"&amp;$A9&amp;"'!$A$12:$Z$19"),MATCH("Points (Auto-generate)",INDIRECT("'"&amp;$A9&amp;"'!$A$12:$Z$12"),0),0)),"ER"))</f>
        <v>NA</v>
      </c>
    </row>
    <row r="10" customFormat="false" ht="15" hidden="false" customHeight="true" outlineLevel="0" collapsed="false">
      <c r="A10" s="8" t="s">
        <v>82</v>
      </c>
      <c r="B10" s="8" t="str">
        <f aca="false">VLOOKUP($A10,'PARASTATAL Questions'!$A:$J,3,0)&amp;""</f>
        <v>Urban Planning &amp; Design (UPD)</v>
      </c>
      <c r="C10" s="8" t="str">
        <f aca="false">VLOOKUP($A10,'PARASTATAL Questions'!$A:$J,4,0)&amp;""</f>
        <v>SQ</v>
      </c>
      <c r="D10" s="8" t="str">
        <f aca="false">VLOOKUP($A10,'PARASTATAL Questions'!$A:$J,5,0)&amp;""</f>
        <v>Where multiple statutory or sectoral plans apply to the same territory, does the transport corporation ensure consistency with the applicable metropolitan/regional or city master plan/strategic plan for the city?</v>
      </c>
      <c r="E10" s="8" t="str">
        <f aca="false">VLOOKUP($A10,'PARASTATAL Questions'!$A:$J,7,0)&amp;""</f>
        <v>Implementation</v>
      </c>
      <c r="F10" s="8" t="n">
        <f aca="false">VLOOKUP($A10,'PARASTATAL Questions'!$A:$J,6,0)</f>
        <v>2.5</v>
      </c>
      <c r="G10" s="8" t="str">
        <f aca="true">IF($F10=0,"NA",IF($A10=INDIRECT("'"&amp;$A10&amp;"'!$B$1"),IF(VLOOKUP(G$1,INDIRECT("'"&amp;$A10&amp;"'!$A$12:$Z$19"),MATCH("Points (Auto-generate)",INDIRECT("'"&amp;$A10&amp;"'!$A$12:$Z$12"),0),0)="","?",VLOOKUP(G$1,INDIRECT("'"&amp;$A10&amp;"'!$A$12:$Z$19"),MATCH("Points (Auto-generate)",INDIRECT("'"&amp;$A10&amp;"'!$A$12:$Z$12"),0),0)),"ER"))</f>
        <v>NA</v>
      </c>
      <c r="H10" s="8" t="str">
        <f aca="true">IF($F10=0,"NA",IF($A10=INDIRECT("'"&amp;$A10&amp;"'!$B$1"),IF(VLOOKUP(H$1,INDIRECT("'"&amp;$A10&amp;"'!$A$12:$Z$19"),MATCH("Points (Auto-generate)",INDIRECT("'"&amp;$A10&amp;"'!$A$12:$Z$12"),0),0)="","?",VLOOKUP(H$1,INDIRECT("'"&amp;$A10&amp;"'!$A$12:$Z$19"),MATCH("Points (Auto-generate)",INDIRECT("'"&amp;$A10&amp;"'!$A$12:$Z$12"),0),0)),"ER"))</f>
        <v>?</v>
      </c>
      <c r="I10" s="8" t="str">
        <f aca="true">IF($F10=0,"NA",IF($A10=INDIRECT("'"&amp;$A10&amp;"'!$B$1"),IF(VLOOKUP(I$1,INDIRECT("'"&amp;$A10&amp;"'!$A$12:$Z$19"),MATCH("Points (Auto-generate)",INDIRECT("'"&amp;$A10&amp;"'!$A$12:$Z$12"),0),0)="","?",VLOOKUP(I$1,INDIRECT("'"&amp;$A10&amp;"'!$A$12:$Z$19"),MATCH("Points (Auto-generate)",INDIRECT("'"&amp;$A10&amp;"'!$A$12:$Z$12"),0),0)),"ER"))</f>
        <v>NA</v>
      </c>
      <c r="J10" s="8" t="str">
        <f aca="true">IF($F10=0,"NA",IF($A10=INDIRECT("'"&amp;$A10&amp;"'!$B$1"),IF(VLOOKUP(J$1,INDIRECT("'"&amp;$A10&amp;"'!$A$12:$Z$19"),MATCH("Points (Auto-generate)",INDIRECT("'"&amp;$A10&amp;"'!$A$12:$Z$12"),0),0)="","?",VLOOKUP(J$1,INDIRECT("'"&amp;$A10&amp;"'!$A$12:$Z$19"),MATCH("Points (Auto-generate)",INDIRECT("'"&amp;$A10&amp;"'!$A$12:$Z$12"),0),0)),"ER"))</f>
        <v>NA</v>
      </c>
      <c r="K10" s="8" t="str">
        <f aca="true">IF($F10=0,"NA",IF($A10=INDIRECT("'"&amp;$A10&amp;"'!$B$1"),IF(VLOOKUP(K$1,INDIRECT("'"&amp;$A10&amp;"'!$A$12:$Z$19"),MATCH("Points (Auto-generate)",INDIRECT("'"&amp;$A10&amp;"'!$A$12:$Z$12"),0),0)="","?",VLOOKUP(K$1,INDIRECT("'"&amp;$A10&amp;"'!$A$12:$Z$19"),MATCH("Points (Auto-generate)",INDIRECT("'"&amp;$A10&amp;"'!$A$12:$Z$12"),0),0)),"ER"))</f>
        <v>NA</v>
      </c>
      <c r="L10" s="8" t="str">
        <f aca="true">IF($F10=0,"NA",IF($A10=INDIRECT("'"&amp;$A10&amp;"'!$B$1"),IF(VLOOKUP(L$1,INDIRECT("'"&amp;$A10&amp;"'!$A$12:$Z$19"),MATCH("Points (Auto-generate)",INDIRECT("'"&amp;$A10&amp;"'!$A$12:$Z$12"),0),0)="","?",VLOOKUP(L$1,INDIRECT("'"&amp;$A10&amp;"'!$A$12:$Z$19"),MATCH("Points (Auto-generate)",INDIRECT("'"&amp;$A10&amp;"'!$A$12:$Z$12"),0),0)),"ER"))</f>
        <v>NA</v>
      </c>
      <c r="M10" s="8" t="str">
        <f aca="true">IF($F10=0,"NA",IF($A10=INDIRECT("'"&amp;$A10&amp;"'!$B$1"),IF(VLOOKUP(M$1,INDIRECT("'"&amp;$A10&amp;"'!$A$12:$Z$19"),MATCH("Points (Auto-generate)",INDIRECT("'"&amp;$A10&amp;"'!$A$12:$Z$12"),0),0)="","?",VLOOKUP(M$1,INDIRECT("'"&amp;$A10&amp;"'!$A$12:$Z$19"),MATCH("Points (Auto-generate)",INDIRECT("'"&amp;$A10&amp;"'!$A$12:$Z$12"),0),0)),"ER"))</f>
        <v>NA</v>
      </c>
    </row>
    <row r="11" customFormat="false" ht="15" hidden="false" customHeight="true" outlineLevel="0" collapsed="false">
      <c r="A11" s="10" t="s">
        <v>447</v>
      </c>
      <c r="B11" s="10" t="str">
        <f aca="false">VLOOKUP($A11,'PARASTATAL Questions'!$A:$J,3,0)&amp;""</f>
        <v>Urban Planning &amp; Design (UPD)</v>
      </c>
      <c r="C11" s="10" t="str">
        <f aca="false">VLOOKUP($A11,'PARASTATAL Questions'!$A:$J,4,0)&amp;""</f>
        <v>MQ</v>
      </c>
      <c r="D11" s="10" t="str">
        <f aca="false">VLOOKUP($A11,'PARASTATAL Questions'!$A:$J,5,0)&amp;""</f>
        <v>Are the needs of women, the urban poor, and other vulnerable groups explicitly considered in the water board’s planning, service delivery or major investment decisions?</v>
      </c>
      <c r="E11" s="10" t="str">
        <f aca="false">VLOOKUP($A11,'PARASTATAL Questions'!$A:$J,7,0)&amp;""</f>
        <v>Law/Policy</v>
      </c>
      <c r="F11" s="10" t="n">
        <f aca="false">VLOOKUP($A11,'PARASTATAL Questions'!$A:$J,6,0)</f>
        <v>10</v>
      </c>
      <c r="G11" s="10" t="n">
        <f aca="false">IF(OR(G12="ER",G13="ER"),"ER",IF(OR(G12="?",G13="?"),"?",IF(AND(G12="NA",G13="NA"),"NA",SUM(G12,G13)/((G12&lt;&gt;"NA")*$F$12+(G13&lt;&gt;"NA")*$F$13)*$F11)))</f>
        <v>5</v>
      </c>
      <c r="H11" s="10" t="str">
        <f aca="false">IF(OR(H12="ER",H13="ER"),"ER",IF(OR(H12="?",H13="?"),"?",IF(AND(H12="NA",H13="NA"),"NA",SUM(H12,H13)/((H12&lt;&gt;"NA")*$F$12+(H13&lt;&gt;"NA")*$F$13)*$F11)))</f>
        <v>NA</v>
      </c>
      <c r="I11" s="10" t="str">
        <f aca="false">IF(OR(I12="ER",I13="ER"),"ER",IF(OR(I12="?",I13="?"),"?",IF(AND(I12="NA",I13="NA"),"NA",SUM(I12,I13)/((I12&lt;&gt;"NA")*$F$12+(I13&lt;&gt;"NA")*$F$13)*$F11)))</f>
        <v>NA</v>
      </c>
      <c r="J11" s="10" t="str">
        <f aca="false">IF(OR(J12="ER",J13="ER"),"ER",IF(OR(J12="?",J13="?"),"?",IF(AND(J12="NA",J13="NA"),"NA",SUM(J12,J13)/((J12&lt;&gt;"NA")*$F$12+(J13&lt;&gt;"NA")*$F$13)*$F11)))</f>
        <v>NA</v>
      </c>
      <c r="K11" s="10" t="str">
        <f aca="false">IF(OR(K12="ER",K13="ER"),"ER",IF(OR(K12="?",K13="?"),"?",IF(AND(K12="NA",K13="NA"),"NA",SUM(K12,K13)/((K12&lt;&gt;"NA")*$F$12+(K13&lt;&gt;"NA")*$F$13)*$F11)))</f>
        <v>NA</v>
      </c>
      <c r="L11" s="10" t="str">
        <f aca="false">IF(OR(L12="ER",L13="ER"),"ER",IF(OR(L12="?",L13="?"),"?",IF(AND(L12="NA",L13="NA"),"NA",SUM(L12,L13)/((L12&lt;&gt;"NA")*$F$12+(L13&lt;&gt;"NA")*$F$13)*$F11)))</f>
        <v>NA</v>
      </c>
      <c r="M11" s="10" t="str">
        <f aca="false">IF(OR(M12="ER",M13="ER"),"ER",IF(OR(M12="?",M13="?"),"?",IF(AND(M12="NA",M13="NA"),"NA",SUM(M12,M13)/((M12&lt;&gt;"NA")*$F$12+(M13&lt;&gt;"NA")*$F$13)*$F11)))</f>
        <v>NA</v>
      </c>
    </row>
    <row r="12" customFormat="false" ht="15" hidden="false" customHeight="true" outlineLevel="0" collapsed="false">
      <c r="A12" s="8" t="s">
        <v>85</v>
      </c>
      <c r="B12" s="8" t="str">
        <f aca="false">VLOOKUP($A12,'PARASTATAL Questions'!$A:$J,3,0)&amp;""</f>
        <v>Urban Planning &amp; Design (UPD)</v>
      </c>
      <c r="C12" s="8" t="str">
        <f aca="false">VLOOKUP($A12,'PARASTATAL Questions'!$A:$J,4,0)&amp;""</f>
        <v>SQ</v>
      </c>
      <c r="D12" s="8" t="str">
        <f aca="false">VLOOKUP($A12,'PARASTATAL Questions'!$A:$J,5,0)&amp;""</f>
        <v>Is the water supply board mandated to consider the needs of women, the urban poor and other vulnerable groups in decisions relating to access, affordability and delivery of water and sanitation services?</v>
      </c>
      <c r="E12" s="8" t="str">
        <f aca="false">VLOOKUP($A12,'PARASTATAL Questions'!$A:$J,7,0)&amp;""</f>
        <v>Law/Policy</v>
      </c>
      <c r="F12" s="8" t="n">
        <f aca="false">VLOOKUP($A12,'PARASTATAL Questions'!$A:$J,6,0)</f>
        <v>5</v>
      </c>
      <c r="G12" s="8" t="n">
        <f aca="true">IF($F12=0,"NA",IF($A12=INDIRECT("'"&amp;$A12&amp;"'!$B$1"),IF(VLOOKUP(G$1,INDIRECT("'"&amp;$A12&amp;"'!$A$12:$Z$19"),MATCH("Points (Auto-generate)",INDIRECT("'"&amp;$A12&amp;"'!$A$12:$Z$12"),0),0)="","?",VLOOKUP(G$1,INDIRECT("'"&amp;$A12&amp;"'!$A$12:$Z$19"),MATCH("Points (Auto-generate)",INDIRECT("'"&amp;$A12&amp;"'!$A$12:$Z$12"),0),0)),"ER"))</f>
        <v>2.5</v>
      </c>
      <c r="H12" s="8" t="str">
        <f aca="true">IF($F12=0,"NA",IF($A12=INDIRECT("'"&amp;$A12&amp;"'!$B$1"),IF(VLOOKUP(H$1,INDIRECT("'"&amp;$A12&amp;"'!$A$12:$Z$19"),MATCH("Points (Auto-generate)",INDIRECT("'"&amp;$A12&amp;"'!$A$12:$Z$12"),0),0)="","?",VLOOKUP(H$1,INDIRECT("'"&amp;$A12&amp;"'!$A$12:$Z$19"),MATCH("Points (Auto-generate)",INDIRECT("'"&amp;$A12&amp;"'!$A$12:$Z$12"),0),0)),"ER"))</f>
        <v>NA</v>
      </c>
      <c r="I12" s="8" t="str">
        <f aca="true">IF($F12=0,"NA",IF($A12=INDIRECT("'"&amp;$A12&amp;"'!$B$1"),IF(VLOOKUP(I$1,INDIRECT("'"&amp;$A12&amp;"'!$A$12:$Z$19"),MATCH("Points (Auto-generate)",INDIRECT("'"&amp;$A12&amp;"'!$A$12:$Z$12"),0),0)="","?",VLOOKUP(I$1,INDIRECT("'"&amp;$A12&amp;"'!$A$12:$Z$19"),MATCH("Points (Auto-generate)",INDIRECT("'"&amp;$A12&amp;"'!$A$12:$Z$12"),0),0)),"ER"))</f>
        <v>NA</v>
      </c>
      <c r="J12" s="8" t="str">
        <f aca="true">IF($F12=0,"NA",IF($A12=INDIRECT("'"&amp;$A12&amp;"'!$B$1"),IF(VLOOKUP(J$1,INDIRECT("'"&amp;$A12&amp;"'!$A$12:$Z$19"),MATCH("Points (Auto-generate)",INDIRECT("'"&amp;$A12&amp;"'!$A$12:$Z$12"),0),0)="","?",VLOOKUP(J$1,INDIRECT("'"&amp;$A12&amp;"'!$A$12:$Z$19"),MATCH("Points (Auto-generate)",INDIRECT("'"&amp;$A12&amp;"'!$A$12:$Z$12"),0),0)),"ER"))</f>
        <v>NA</v>
      </c>
      <c r="K12" s="8" t="str">
        <f aca="true">IF($F12=0,"NA",IF($A12=INDIRECT("'"&amp;$A12&amp;"'!$B$1"),IF(VLOOKUP(K$1,INDIRECT("'"&amp;$A12&amp;"'!$A$12:$Z$19"),MATCH("Points (Auto-generate)",INDIRECT("'"&amp;$A12&amp;"'!$A$12:$Z$12"),0),0)="","?",VLOOKUP(K$1,INDIRECT("'"&amp;$A12&amp;"'!$A$12:$Z$19"),MATCH("Points (Auto-generate)",INDIRECT("'"&amp;$A12&amp;"'!$A$12:$Z$12"),0),0)),"ER"))</f>
        <v>NA</v>
      </c>
      <c r="L12" s="8" t="str">
        <f aca="true">IF($F12=0,"NA",IF($A12=INDIRECT("'"&amp;$A12&amp;"'!$B$1"),IF(VLOOKUP(L$1,INDIRECT("'"&amp;$A12&amp;"'!$A$12:$Z$19"),MATCH("Points (Auto-generate)",INDIRECT("'"&amp;$A12&amp;"'!$A$12:$Z$12"),0),0)="","?",VLOOKUP(L$1,INDIRECT("'"&amp;$A12&amp;"'!$A$12:$Z$19"),MATCH("Points (Auto-generate)",INDIRECT("'"&amp;$A12&amp;"'!$A$12:$Z$12"),0),0)),"ER"))</f>
        <v>NA</v>
      </c>
      <c r="M12" s="8" t="str">
        <f aca="true">IF($F12=0,"NA",IF($A12=INDIRECT("'"&amp;$A12&amp;"'!$B$1"),IF(VLOOKUP(M$1,INDIRECT("'"&amp;$A12&amp;"'!$A$12:$Z$19"),MATCH("Points (Auto-generate)",INDIRECT("'"&amp;$A12&amp;"'!$A$12:$Z$12"),0),0)="","?",VLOOKUP(M$1,INDIRECT("'"&amp;$A12&amp;"'!$A$12:$Z$19"),MATCH("Points (Auto-generate)",INDIRECT("'"&amp;$A12&amp;"'!$A$12:$Z$12"),0),0)),"ER"))</f>
        <v>NA</v>
      </c>
    </row>
    <row r="13" customFormat="false" ht="15" hidden="false" customHeight="true" outlineLevel="0" collapsed="false">
      <c r="A13" s="8" t="s">
        <v>92</v>
      </c>
      <c r="B13" s="8" t="str">
        <f aca="false">VLOOKUP($A13,'PARASTATAL Questions'!$A:$J,3,0)&amp;""</f>
        <v>Urban Planning &amp; Design (UPD)</v>
      </c>
      <c r="C13" s="8" t="str">
        <f aca="false">VLOOKUP($A13,'PARASTATAL Questions'!$A:$J,4,0)&amp;""</f>
        <v>SQ</v>
      </c>
      <c r="D13" s="8" t="str">
        <f aca="false">VLOOKUP($A13,'PARASTATAL Questions'!$A:$J,5,0)&amp;""</f>
        <v>Does the water supply board actually consider the needs of women, the urban poor and other vulnerable groups in decisions relating to access, affordability and delivery of water and sanitation services?</v>
      </c>
      <c r="E13" s="8" t="str">
        <f aca="false">VLOOKUP($A13,'PARASTATAL Questions'!$A:$J,7,0)&amp;""</f>
        <v>Implementation</v>
      </c>
      <c r="F13" s="8" t="n">
        <f aca="false">VLOOKUP($A13,'PARASTATAL Questions'!$A:$J,6,0)</f>
        <v>5</v>
      </c>
      <c r="G13" s="8" t="n">
        <f aca="true">IF($F13=0,"NA",IF($A13=INDIRECT("'"&amp;$A13&amp;"'!$B$1"),IF(VLOOKUP(G$1,INDIRECT("'"&amp;$A13&amp;"'!$A$12:$Z$19"),MATCH("Points (Auto-generate)",INDIRECT("'"&amp;$A13&amp;"'!$A$12:$Z$12"),0),0)="","?",VLOOKUP(G$1,INDIRECT("'"&amp;$A13&amp;"'!$A$12:$Z$19"),MATCH("Points (Auto-generate)",INDIRECT("'"&amp;$A13&amp;"'!$A$12:$Z$12"),0),0)),"ER"))</f>
        <v>2.5</v>
      </c>
      <c r="H13" s="8" t="str">
        <f aca="true">IF($F13=0,"NA",IF($A13=INDIRECT("'"&amp;$A13&amp;"'!$B$1"),IF(VLOOKUP(H$1,INDIRECT("'"&amp;$A13&amp;"'!$A$12:$Z$19"),MATCH("Points (Auto-generate)",INDIRECT("'"&amp;$A13&amp;"'!$A$12:$Z$12"),0),0)="","?",VLOOKUP(H$1,INDIRECT("'"&amp;$A13&amp;"'!$A$12:$Z$19"),MATCH("Points (Auto-generate)",INDIRECT("'"&amp;$A13&amp;"'!$A$12:$Z$12"),0),0)),"ER"))</f>
        <v>NA</v>
      </c>
      <c r="I13" s="8" t="str">
        <f aca="true">IF($F13=0,"NA",IF($A13=INDIRECT("'"&amp;$A13&amp;"'!$B$1"),IF(VLOOKUP(I$1,INDIRECT("'"&amp;$A13&amp;"'!$A$12:$Z$19"),MATCH("Points (Auto-generate)",INDIRECT("'"&amp;$A13&amp;"'!$A$12:$Z$12"),0),0)="","?",VLOOKUP(I$1,INDIRECT("'"&amp;$A13&amp;"'!$A$12:$Z$19"),MATCH("Points (Auto-generate)",INDIRECT("'"&amp;$A13&amp;"'!$A$12:$Z$12"),0),0)),"ER"))</f>
        <v>NA</v>
      </c>
      <c r="J13" s="8" t="str">
        <f aca="true">IF($F13=0,"NA",IF($A13=INDIRECT("'"&amp;$A13&amp;"'!$B$1"),IF(VLOOKUP(J$1,INDIRECT("'"&amp;$A13&amp;"'!$A$12:$Z$19"),MATCH("Points (Auto-generate)",INDIRECT("'"&amp;$A13&amp;"'!$A$12:$Z$12"),0),0)="","?",VLOOKUP(J$1,INDIRECT("'"&amp;$A13&amp;"'!$A$12:$Z$19"),MATCH("Points (Auto-generate)",INDIRECT("'"&amp;$A13&amp;"'!$A$12:$Z$12"),0),0)),"ER"))</f>
        <v>NA</v>
      </c>
      <c r="K13" s="8" t="str">
        <f aca="true">IF($F13=0,"NA",IF($A13=INDIRECT("'"&amp;$A13&amp;"'!$B$1"),IF(VLOOKUP(K$1,INDIRECT("'"&amp;$A13&amp;"'!$A$12:$Z$19"),MATCH("Points (Auto-generate)",INDIRECT("'"&amp;$A13&amp;"'!$A$12:$Z$12"),0),0)="","?",VLOOKUP(K$1,INDIRECT("'"&amp;$A13&amp;"'!$A$12:$Z$19"),MATCH("Points (Auto-generate)",INDIRECT("'"&amp;$A13&amp;"'!$A$12:$Z$12"),0),0)),"ER"))</f>
        <v>NA</v>
      </c>
      <c r="L13" s="8" t="str">
        <f aca="true">IF($F13=0,"NA",IF($A13=INDIRECT("'"&amp;$A13&amp;"'!$B$1"),IF(VLOOKUP(L$1,INDIRECT("'"&amp;$A13&amp;"'!$A$12:$Z$19"),MATCH("Points (Auto-generate)",INDIRECT("'"&amp;$A13&amp;"'!$A$12:$Z$12"),0),0)="","?",VLOOKUP(L$1,INDIRECT("'"&amp;$A13&amp;"'!$A$12:$Z$19"),MATCH("Points (Auto-generate)",INDIRECT("'"&amp;$A13&amp;"'!$A$12:$Z$12"),0),0)),"ER"))</f>
        <v>NA</v>
      </c>
      <c r="M13" s="8" t="str">
        <f aca="true">IF($F13=0,"NA",IF($A13=INDIRECT("'"&amp;$A13&amp;"'!$B$1"),IF(VLOOKUP(M$1,INDIRECT("'"&amp;$A13&amp;"'!$A$12:$Z$19"),MATCH("Points (Auto-generate)",INDIRECT("'"&amp;$A13&amp;"'!$A$12:$Z$12"),0),0)="","?",VLOOKUP(M$1,INDIRECT("'"&amp;$A13&amp;"'!$A$12:$Z$19"),MATCH("Points (Auto-generate)",INDIRECT("'"&amp;$A13&amp;"'!$A$12:$Z$12"),0),0)),"ER"))</f>
        <v>NA</v>
      </c>
    </row>
    <row r="14" customFormat="false" ht="15" hidden="false" customHeight="true" outlineLevel="0" collapsed="false">
      <c r="A14" s="10" t="s">
        <v>448</v>
      </c>
      <c r="B14" s="10" t="str">
        <f aca="false">VLOOKUP($A14,'PARASTATAL Questions'!$A:$J,3,0)&amp;""</f>
        <v>Urban Planning &amp; Design (UPD)</v>
      </c>
      <c r="C14" s="10" t="str">
        <f aca="false">VLOOKUP($A14,'PARASTATAL Questions'!$A:$J,4,0)&amp;""</f>
        <v>MQ</v>
      </c>
      <c r="D14" s="10" t="str">
        <f aca="false">VLOOKUP($A14,'PARASTATAL Questions'!$A:$J,5,0)&amp;""</f>
        <v>Are the needs of women, the urban poor, and other vulnerable groups explicitly considered in the transport Corporation’s planning, service delivery or major investment decisions?</v>
      </c>
      <c r="E14" s="10" t="str">
        <f aca="false">VLOOKUP($A14,'PARASTATAL Questions'!$A:$J,7,0)&amp;""</f>
        <v/>
      </c>
      <c r="F14" s="10" t="n">
        <f aca="false">VLOOKUP($A14,'PARASTATAL Questions'!$A:$J,6,0)</f>
        <v>10</v>
      </c>
      <c r="G14" s="10" t="str">
        <f aca="false">IF(OR(G15="ER",G16="ER"),"ER",IF(OR(G15="?",G16="?"),"?",IF(AND(G15="NA",G16="NA"),"NA",SUM(G15,G16)/((G15&lt;&gt;"NA")*$F$15+(G16&lt;&gt;"NA")*$F$16)*$F14)))</f>
        <v>NA</v>
      </c>
      <c r="H14" s="10" t="str">
        <f aca="false">IF(OR(H15="ER",H16="ER"),"ER",IF(OR(H15="?",H16="?"),"?",IF(AND(H15="NA",H16="NA"),"NA",SUM(H15,H16)/((H15&lt;&gt;"NA")*$F$15+(H16&lt;&gt;"NA")*$F$16)*$F14)))</f>
        <v>?</v>
      </c>
      <c r="I14" s="10" t="str">
        <f aca="false">IF(OR(I15="ER",I16="ER"),"ER",IF(OR(I15="?",I16="?"),"?",IF(AND(I15="NA",I16="NA"),"NA",SUM(I15,I16)/((I15&lt;&gt;"NA")*$F$15+(I16&lt;&gt;"NA")*$F$16)*$F14)))</f>
        <v>NA</v>
      </c>
      <c r="J14" s="10" t="str">
        <f aca="false">IF(OR(J15="ER",J16="ER"),"ER",IF(OR(J15="?",J16="?"),"?",IF(AND(J15="NA",J16="NA"),"NA",SUM(J15,J16)/((J15&lt;&gt;"NA")*$F$15+(J16&lt;&gt;"NA")*$F$16)*$F14)))</f>
        <v>NA</v>
      </c>
      <c r="K14" s="10" t="str">
        <f aca="false">IF(OR(K15="ER",K16="ER"),"ER",IF(OR(K15="?",K16="?"),"?",IF(AND(K15="NA",K16="NA"),"NA",SUM(K15,K16)/((K15&lt;&gt;"NA")*$F$15+(K16&lt;&gt;"NA")*$F$16)*$F14)))</f>
        <v>NA</v>
      </c>
      <c r="L14" s="10" t="str">
        <f aca="false">IF(OR(L15="ER",L16="ER"),"ER",IF(OR(L15="?",L16="?"),"?",IF(AND(L15="NA",L16="NA"),"NA",SUM(L15,L16)/((L15&lt;&gt;"NA")*$F$15+(L16&lt;&gt;"NA")*$F$16)*$F14)))</f>
        <v>NA</v>
      </c>
      <c r="M14" s="10" t="str">
        <f aca="false">IF(OR(M15="ER",M16="ER"),"ER",IF(OR(M15="?",M16="?"),"?",IF(AND(M15="NA",M16="NA"),"NA",SUM(M15,M16)/((M15&lt;&gt;"NA")*$F$15+(M16&lt;&gt;"NA")*$F$16)*$F14)))</f>
        <v>NA</v>
      </c>
    </row>
    <row r="15" customFormat="false" ht="15" hidden="false" customHeight="true" outlineLevel="0" collapsed="false">
      <c r="A15" s="8" t="s">
        <v>96</v>
      </c>
      <c r="B15" s="8" t="str">
        <f aca="false">VLOOKUP($A15,'PARASTATAL Questions'!$A:$J,3,0)&amp;""</f>
        <v>Urban Planning &amp; Design (UPD)</v>
      </c>
      <c r="C15" s="8" t="str">
        <f aca="false">VLOOKUP($A15,'PARASTATAL Questions'!$A:$J,4,0)&amp;""</f>
        <v>SQ</v>
      </c>
      <c r="D15" s="8" t="str">
        <f aca="false">VLOOKUP($A15,'PARASTATAL Questions'!$A:$J,5,0)&amp;""</f>
        <v>Is the transport corporation mandated to consider the mobility needs of women, the urban poor and other vulnerable groups in planning and delivering public transport services?</v>
      </c>
      <c r="E15" s="8" t="str">
        <f aca="false">VLOOKUP($A15,'PARASTATAL Questions'!$A:$J,7,0)&amp;""</f>
        <v>Law/Policy</v>
      </c>
      <c r="F15" s="8" t="n">
        <f aca="false">VLOOKUP($A15,'PARASTATAL Questions'!$A:$J,6,0)</f>
        <v>5</v>
      </c>
      <c r="G15" s="8" t="str">
        <f aca="true">IF($F15=0,"NA",IF($A15=INDIRECT("'"&amp;$A15&amp;"'!$B$1"),IF(VLOOKUP(G$1,INDIRECT("'"&amp;$A15&amp;"'!$A$12:$Z$19"),MATCH("Points (Auto-generate)",INDIRECT("'"&amp;$A15&amp;"'!$A$12:$Z$12"),0),0)="","?",VLOOKUP(G$1,INDIRECT("'"&amp;$A15&amp;"'!$A$12:$Z$19"),MATCH("Points (Auto-generate)",INDIRECT("'"&amp;$A15&amp;"'!$A$12:$Z$12"),0),0)),"ER"))</f>
        <v>NA</v>
      </c>
      <c r="H15" s="8" t="str">
        <f aca="true">IF($F15=0,"NA",IF($A15=INDIRECT("'"&amp;$A15&amp;"'!$B$1"),IF(VLOOKUP(H$1,INDIRECT("'"&amp;$A15&amp;"'!$A$12:$Z$19"),MATCH("Points (Auto-generate)",INDIRECT("'"&amp;$A15&amp;"'!$A$12:$Z$12"),0),0)="","?",VLOOKUP(H$1,INDIRECT("'"&amp;$A15&amp;"'!$A$12:$Z$19"),MATCH("Points (Auto-generate)",INDIRECT("'"&amp;$A15&amp;"'!$A$12:$Z$12"),0),0)),"ER"))</f>
        <v>?</v>
      </c>
      <c r="I15" s="8" t="str">
        <f aca="true">IF($F15=0,"NA",IF($A15=INDIRECT("'"&amp;$A15&amp;"'!$B$1"),IF(VLOOKUP(I$1,INDIRECT("'"&amp;$A15&amp;"'!$A$12:$Z$19"),MATCH("Points (Auto-generate)",INDIRECT("'"&amp;$A15&amp;"'!$A$12:$Z$12"),0),0)="","?",VLOOKUP(I$1,INDIRECT("'"&amp;$A15&amp;"'!$A$12:$Z$19"),MATCH("Points (Auto-generate)",INDIRECT("'"&amp;$A15&amp;"'!$A$12:$Z$12"),0),0)),"ER"))</f>
        <v>NA</v>
      </c>
      <c r="J15" s="8" t="str">
        <f aca="true">IF($F15=0,"NA",IF($A15=INDIRECT("'"&amp;$A15&amp;"'!$B$1"),IF(VLOOKUP(J$1,INDIRECT("'"&amp;$A15&amp;"'!$A$12:$Z$19"),MATCH("Points (Auto-generate)",INDIRECT("'"&amp;$A15&amp;"'!$A$12:$Z$12"),0),0)="","?",VLOOKUP(J$1,INDIRECT("'"&amp;$A15&amp;"'!$A$12:$Z$19"),MATCH("Points (Auto-generate)",INDIRECT("'"&amp;$A15&amp;"'!$A$12:$Z$12"),0),0)),"ER"))</f>
        <v>NA</v>
      </c>
      <c r="K15" s="8" t="str">
        <f aca="true">IF($F15=0,"NA",IF($A15=INDIRECT("'"&amp;$A15&amp;"'!$B$1"),IF(VLOOKUP(K$1,INDIRECT("'"&amp;$A15&amp;"'!$A$12:$Z$19"),MATCH("Points (Auto-generate)",INDIRECT("'"&amp;$A15&amp;"'!$A$12:$Z$12"),0),0)="","?",VLOOKUP(K$1,INDIRECT("'"&amp;$A15&amp;"'!$A$12:$Z$19"),MATCH("Points (Auto-generate)",INDIRECT("'"&amp;$A15&amp;"'!$A$12:$Z$12"),0),0)),"ER"))</f>
        <v>NA</v>
      </c>
      <c r="L15" s="8" t="str">
        <f aca="true">IF($F15=0,"NA",IF($A15=INDIRECT("'"&amp;$A15&amp;"'!$B$1"),IF(VLOOKUP(L$1,INDIRECT("'"&amp;$A15&amp;"'!$A$12:$Z$19"),MATCH("Points (Auto-generate)",INDIRECT("'"&amp;$A15&amp;"'!$A$12:$Z$12"),0),0)="","?",VLOOKUP(L$1,INDIRECT("'"&amp;$A15&amp;"'!$A$12:$Z$19"),MATCH("Points (Auto-generate)",INDIRECT("'"&amp;$A15&amp;"'!$A$12:$Z$12"),0),0)),"ER"))</f>
        <v>NA</v>
      </c>
      <c r="M15" s="8" t="str">
        <f aca="true">IF($F15=0,"NA",IF($A15=INDIRECT("'"&amp;$A15&amp;"'!$B$1"),IF(VLOOKUP(M$1,INDIRECT("'"&amp;$A15&amp;"'!$A$12:$Z$19"),MATCH("Points (Auto-generate)",INDIRECT("'"&amp;$A15&amp;"'!$A$12:$Z$12"),0),0)="","?",VLOOKUP(M$1,INDIRECT("'"&amp;$A15&amp;"'!$A$12:$Z$19"),MATCH("Points (Auto-generate)",INDIRECT("'"&amp;$A15&amp;"'!$A$12:$Z$12"),0),0)),"ER"))</f>
        <v>NA</v>
      </c>
    </row>
    <row r="16" customFormat="false" ht="15" hidden="false" customHeight="true" outlineLevel="0" collapsed="false">
      <c r="A16" s="8" t="s">
        <v>100</v>
      </c>
      <c r="B16" s="8" t="str">
        <f aca="false">VLOOKUP($A16,'PARASTATAL Questions'!$A:$J,3,0)&amp;""</f>
        <v>Urban Planning &amp; Design (UPD)</v>
      </c>
      <c r="C16" s="8" t="str">
        <f aca="false">VLOOKUP($A16,'PARASTATAL Questions'!$A:$J,4,0)&amp;""</f>
        <v>SQ</v>
      </c>
      <c r="D16" s="8" t="str">
        <f aca="false">VLOOKUP($A16,'PARASTATAL Questions'!$A:$J,5,0)&amp;""</f>
        <v>Does the Transport Corporation actually consider the needs of women, the urban poor and other vulnerable groups in decisions relating to access, affordability and delivery of public transport services?</v>
      </c>
      <c r="E16" s="8" t="str">
        <f aca="false">VLOOKUP($A16,'PARASTATAL Questions'!$A:$J,7,0)&amp;""</f>
        <v>Implementation</v>
      </c>
      <c r="F16" s="8" t="n">
        <f aca="false">VLOOKUP($A16,'PARASTATAL Questions'!$A:$J,6,0)</f>
        <v>5</v>
      </c>
      <c r="G16" s="8" t="str">
        <f aca="true">IF($F16=0,"NA",IF($A16=INDIRECT("'"&amp;$A16&amp;"'!$B$1"),IF(VLOOKUP(G$1,INDIRECT("'"&amp;$A16&amp;"'!$A$12:$Z$19"),MATCH("Points (Auto-generate)",INDIRECT("'"&amp;$A16&amp;"'!$A$12:$Z$12"),0),0)="","?",VLOOKUP(G$1,INDIRECT("'"&amp;$A16&amp;"'!$A$12:$Z$19"),MATCH("Points (Auto-generate)",INDIRECT("'"&amp;$A16&amp;"'!$A$12:$Z$12"),0),0)),"ER"))</f>
        <v>NA</v>
      </c>
      <c r="H16" s="8" t="n">
        <f aca="true">IF($F16=0,"NA",IF($A16=INDIRECT("'"&amp;$A16&amp;"'!$B$1"),IF(VLOOKUP(H$1,INDIRECT("'"&amp;$A16&amp;"'!$A$12:$Z$19"),MATCH("Points (Auto-generate)",INDIRECT("'"&amp;$A16&amp;"'!$A$12:$Z$12"),0),0)="","?",VLOOKUP(H$1,INDIRECT("'"&amp;$A16&amp;"'!$A$12:$Z$19"),MATCH("Points (Auto-generate)",INDIRECT("'"&amp;$A16&amp;"'!$A$12:$Z$12"),0),0)),"ER"))</f>
        <v>1.25</v>
      </c>
      <c r="I16" s="8" t="str">
        <f aca="true">IF($F16=0,"NA",IF($A16=INDIRECT("'"&amp;$A16&amp;"'!$B$1"),IF(VLOOKUP(I$1,INDIRECT("'"&amp;$A16&amp;"'!$A$12:$Z$19"),MATCH("Points (Auto-generate)",INDIRECT("'"&amp;$A16&amp;"'!$A$12:$Z$12"),0),0)="","?",VLOOKUP(I$1,INDIRECT("'"&amp;$A16&amp;"'!$A$12:$Z$19"),MATCH("Points (Auto-generate)",INDIRECT("'"&amp;$A16&amp;"'!$A$12:$Z$12"),0),0)),"ER"))</f>
        <v>NA</v>
      </c>
      <c r="J16" s="8" t="str">
        <f aca="true">IF($F16=0,"NA",IF($A16=INDIRECT("'"&amp;$A16&amp;"'!$B$1"),IF(VLOOKUP(J$1,INDIRECT("'"&amp;$A16&amp;"'!$A$12:$Z$19"),MATCH("Points (Auto-generate)",INDIRECT("'"&amp;$A16&amp;"'!$A$12:$Z$12"),0),0)="","?",VLOOKUP(J$1,INDIRECT("'"&amp;$A16&amp;"'!$A$12:$Z$19"),MATCH("Points (Auto-generate)",INDIRECT("'"&amp;$A16&amp;"'!$A$12:$Z$12"),0),0)),"ER"))</f>
        <v>NA</v>
      </c>
      <c r="K16" s="8" t="str">
        <f aca="true">IF($F16=0,"NA",IF($A16=INDIRECT("'"&amp;$A16&amp;"'!$B$1"),IF(VLOOKUP(K$1,INDIRECT("'"&amp;$A16&amp;"'!$A$12:$Z$19"),MATCH("Points (Auto-generate)",INDIRECT("'"&amp;$A16&amp;"'!$A$12:$Z$12"),0),0)="","?",VLOOKUP(K$1,INDIRECT("'"&amp;$A16&amp;"'!$A$12:$Z$19"),MATCH("Points (Auto-generate)",INDIRECT("'"&amp;$A16&amp;"'!$A$12:$Z$12"),0),0)),"ER"))</f>
        <v>NA</v>
      </c>
      <c r="L16" s="8" t="str">
        <f aca="true">IF($F16=0,"NA",IF($A16=INDIRECT("'"&amp;$A16&amp;"'!$B$1"),IF(VLOOKUP(L$1,INDIRECT("'"&amp;$A16&amp;"'!$A$12:$Z$19"),MATCH("Points (Auto-generate)",INDIRECT("'"&amp;$A16&amp;"'!$A$12:$Z$12"),0),0)="","?",VLOOKUP(L$1,INDIRECT("'"&amp;$A16&amp;"'!$A$12:$Z$19"),MATCH("Points (Auto-generate)",INDIRECT("'"&amp;$A16&amp;"'!$A$12:$Z$12"),0),0)),"ER"))</f>
        <v>NA</v>
      </c>
      <c r="M16" s="8" t="str">
        <f aca="true">IF($F16=0,"NA",IF($A16=INDIRECT("'"&amp;$A16&amp;"'!$B$1"),IF(VLOOKUP(M$1,INDIRECT("'"&amp;$A16&amp;"'!$A$12:$Z$19"),MATCH("Points (Auto-generate)",INDIRECT("'"&amp;$A16&amp;"'!$A$12:$Z$12"),0),0)="","?",VLOOKUP(M$1,INDIRECT("'"&amp;$A16&amp;"'!$A$12:$Z$19"),MATCH("Points (Auto-generate)",INDIRECT("'"&amp;$A16&amp;"'!$A$12:$Z$12"),0),0)),"ER"))</f>
        <v>NA</v>
      </c>
    </row>
    <row r="17" customFormat="false" ht="15" hidden="false" customHeight="true" outlineLevel="0" collapsed="false">
      <c r="A17" s="10" t="s">
        <v>449</v>
      </c>
      <c r="B17" s="10" t="str">
        <f aca="false">VLOOKUP($A17,'PARASTATAL Questions'!$A:$J,3,0)&amp;""</f>
        <v>Urban Planning &amp; Design (UPD)</v>
      </c>
      <c r="C17" s="10" t="str">
        <f aca="false">VLOOKUP($A17,'PARASTATAL Questions'!$A:$J,4,0)&amp;""</f>
        <v>MQ</v>
      </c>
      <c r="D17" s="10" t="str">
        <f aca="false">VLOOKUP($A17,'PARASTATAL Questions'!$A:$J,5,0)&amp;""</f>
        <v>Are environmental considerations explicitly required to be integrated into the water supply board’s planning, service-delivery or major investment decisions?</v>
      </c>
      <c r="E17" s="10" t="str">
        <f aca="false">VLOOKUP($A17,'PARASTATAL Questions'!$A:$J,7,0)&amp;""</f>
        <v>Law/Policy</v>
      </c>
      <c r="F17" s="10" t="n">
        <f aca="false">VLOOKUP($A17,'PARASTATAL Questions'!$A:$J,6,0)</f>
        <v>10</v>
      </c>
      <c r="G17" s="10" t="n">
        <f aca="false">IF(OR(G18="ER",G19="ER"),"ER",IF(OR(G18="?",G19="?"),"?",IF(AND(G18="NA",G19="NA"),"NA",SUM(G18,G19)/((G18&lt;&gt;"NA")*$F$18+(G19&lt;&gt;"NA")*$F$19)*$F17)))</f>
        <v>7.5</v>
      </c>
      <c r="H17" s="10" t="str">
        <f aca="false">IF(OR(H18="ER",H19="ER"),"ER",IF(OR(H18="?",H19="?"),"?",IF(AND(H18="NA",H19="NA"),"NA",SUM(H18,H19)/((H18&lt;&gt;"NA")*$F$18+(H19&lt;&gt;"NA")*$F$19)*$F17)))</f>
        <v>NA</v>
      </c>
      <c r="I17" s="10" t="str">
        <f aca="false">IF(OR(I18="ER",I19="ER"),"ER",IF(OR(I18="?",I19="?"),"?",IF(AND(I18="NA",I19="NA"),"NA",SUM(I18,I19)/((I18&lt;&gt;"NA")*$F$18+(I19&lt;&gt;"NA")*$F$19)*$F17)))</f>
        <v>NA</v>
      </c>
      <c r="J17" s="10" t="str">
        <f aca="false">IF(OR(J18="ER",J19="ER"),"ER",IF(OR(J18="?",J19="?"),"?",IF(AND(J18="NA",J19="NA"),"NA",SUM(J18,J19)/((J18&lt;&gt;"NA")*$F$18+(J19&lt;&gt;"NA")*$F$19)*$F17)))</f>
        <v>NA</v>
      </c>
      <c r="K17" s="10" t="str">
        <f aca="false">IF(OR(K18="ER",K19="ER"),"ER",IF(OR(K18="?",K19="?"),"?",IF(AND(K18="NA",K19="NA"),"NA",SUM(K18,K19)/((K18&lt;&gt;"NA")*$F$18+(K19&lt;&gt;"NA")*$F$19)*$F17)))</f>
        <v>NA</v>
      </c>
      <c r="L17" s="10" t="str">
        <f aca="false">IF(OR(L18="ER",L19="ER"),"ER",IF(OR(L18="?",L19="?"),"?",IF(AND(L18="NA",L19="NA"),"NA",SUM(L18,L19)/((L18&lt;&gt;"NA")*$F$18+(L19&lt;&gt;"NA")*$F$19)*$F17)))</f>
        <v>NA</v>
      </c>
      <c r="M17" s="10" t="str">
        <f aca="false">IF(OR(M18="ER",M19="ER"),"ER",IF(OR(M18="?",M19="?"),"?",IF(AND(M18="NA",M19="NA"),"NA",SUM(M18,M19)/((M18&lt;&gt;"NA")*$F$18+(M19&lt;&gt;"NA")*$F$19)*$F17)))</f>
        <v>NA</v>
      </c>
    </row>
    <row r="18" customFormat="false" ht="15" hidden="false" customHeight="true" outlineLevel="0" collapsed="false">
      <c r="A18" s="8" t="s">
        <v>107</v>
      </c>
      <c r="B18" s="8" t="str">
        <f aca="false">VLOOKUP($A18,'PARASTATAL Questions'!$A:$J,3,0)&amp;""</f>
        <v>Urban Planning &amp; Design (UPD)</v>
      </c>
      <c r="C18" s="8" t="str">
        <f aca="false">VLOOKUP($A18,'PARASTATAL Questions'!$A:$J,4,0)&amp;""</f>
        <v>SQ</v>
      </c>
      <c r="D18" s="8" t="str">
        <f aca="false">VLOOKUP($A18,'PARASTATAL Questions'!$A:$J,5,0)&amp;""</f>
        <v>Is the water supply board mandated to consider environmental sustainability in planning and delivering water and sanitation services?</v>
      </c>
      <c r="E18" s="8" t="str">
        <f aca="false">VLOOKUP($A18,'PARASTATAL Questions'!$A:$J,7,0)&amp;""</f>
        <v>Law/Policy</v>
      </c>
      <c r="F18" s="8" t="n">
        <f aca="false">VLOOKUP($A18,'PARASTATAL Questions'!$A:$J,6,0)</f>
        <v>5</v>
      </c>
      <c r="G18" s="8" t="n">
        <f aca="true">IF($F18=0,"NA",IF($A18=INDIRECT("'"&amp;$A18&amp;"'!$B$1"),IF(VLOOKUP(G$1,INDIRECT("'"&amp;$A18&amp;"'!$A$12:$Z$19"),MATCH("Points (Auto-generate)",INDIRECT("'"&amp;$A18&amp;"'!$A$12:$Z$12"),0),0)="","?",VLOOKUP(G$1,INDIRECT("'"&amp;$A18&amp;"'!$A$12:$Z$19"),MATCH("Points (Auto-generate)",INDIRECT("'"&amp;$A18&amp;"'!$A$12:$Z$12"),0),0)),"ER"))</f>
        <v>2.5</v>
      </c>
      <c r="H18" s="8" t="str">
        <f aca="true">IF($F18=0,"NA",IF($A18=INDIRECT("'"&amp;$A18&amp;"'!$B$1"),IF(VLOOKUP(H$1,INDIRECT("'"&amp;$A18&amp;"'!$A$12:$Z$19"),MATCH("Points (Auto-generate)",INDIRECT("'"&amp;$A18&amp;"'!$A$12:$Z$12"),0),0)="","?",VLOOKUP(H$1,INDIRECT("'"&amp;$A18&amp;"'!$A$12:$Z$19"),MATCH("Points (Auto-generate)",INDIRECT("'"&amp;$A18&amp;"'!$A$12:$Z$12"),0),0)),"ER"))</f>
        <v>NA</v>
      </c>
      <c r="I18" s="8" t="str">
        <f aca="true">IF($F18=0,"NA",IF($A18=INDIRECT("'"&amp;$A18&amp;"'!$B$1"),IF(VLOOKUP(I$1,INDIRECT("'"&amp;$A18&amp;"'!$A$12:$Z$19"),MATCH("Points (Auto-generate)",INDIRECT("'"&amp;$A18&amp;"'!$A$12:$Z$12"),0),0)="","?",VLOOKUP(I$1,INDIRECT("'"&amp;$A18&amp;"'!$A$12:$Z$19"),MATCH("Points (Auto-generate)",INDIRECT("'"&amp;$A18&amp;"'!$A$12:$Z$12"),0),0)),"ER"))</f>
        <v>NA</v>
      </c>
      <c r="J18" s="8" t="str">
        <f aca="true">IF($F18=0,"NA",IF($A18=INDIRECT("'"&amp;$A18&amp;"'!$B$1"),IF(VLOOKUP(J$1,INDIRECT("'"&amp;$A18&amp;"'!$A$12:$Z$19"),MATCH("Points (Auto-generate)",INDIRECT("'"&amp;$A18&amp;"'!$A$12:$Z$12"),0),0)="","?",VLOOKUP(J$1,INDIRECT("'"&amp;$A18&amp;"'!$A$12:$Z$19"),MATCH("Points (Auto-generate)",INDIRECT("'"&amp;$A18&amp;"'!$A$12:$Z$12"),0),0)),"ER"))</f>
        <v>NA</v>
      </c>
      <c r="K18" s="8" t="str">
        <f aca="true">IF($F18=0,"NA",IF($A18=INDIRECT("'"&amp;$A18&amp;"'!$B$1"),IF(VLOOKUP(K$1,INDIRECT("'"&amp;$A18&amp;"'!$A$12:$Z$19"),MATCH("Points (Auto-generate)",INDIRECT("'"&amp;$A18&amp;"'!$A$12:$Z$12"),0),0)="","?",VLOOKUP(K$1,INDIRECT("'"&amp;$A18&amp;"'!$A$12:$Z$19"),MATCH("Points (Auto-generate)",INDIRECT("'"&amp;$A18&amp;"'!$A$12:$Z$12"),0),0)),"ER"))</f>
        <v>NA</v>
      </c>
      <c r="L18" s="8" t="str">
        <f aca="true">IF($F18=0,"NA",IF($A18=INDIRECT("'"&amp;$A18&amp;"'!$B$1"),IF(VLOOKUP(L$1,INDIRECT("'"&amp;$A18&amp;"'!$A$12:$Z$19"),MATCH("Points (Auto-generate)",INDIRECT("'"&amp;$A18&amp;"'!$A$12:$Z$12"),0),0)="","?",VLOOKUP(L$1,INDIRECT("'"&amp;$A18&amp;"'!$A$12:$Z$19"),MATCH("Points (Auto-generate)",INDIRECT("'"&amp;$A18&amp;"'!$A$12:$Z$12"),0),0)),"ER"))</f>
        <v>NA</v>
      </c>
      <c r="M18" s="8" t="str">
        <f aca="true">IF($F18=0,"NA",IF($A18=INDIRECT("'"&amp;$A18&amp;"'!$B$1"),IF(VLOOKUP(M$1,INDIRECT("'"&amp;$A18&amp;"'!$A$12:$Z$19"),MATCH("Points (Auto-generate)",INDIRECT("'"&amp;$A18&amp;"'!$A$12:$Z$12"),0),0)="","?",VLOOKUP(M$1,INDIRECT("'"&amp;$A18&amp;"'!$A$12:$Z$19"),MATCH("Points (Auto-generate)",INDIRECT("'"&amp;$A18&amp;"'!$A$12:$Z$12"),0),0)),"ER"))</f>
        <v>NA</v>
      </c>
    </row>
    <row r="19" customFormat="false" ht="15" hidden="false" customHeight="true" outlineLevel="0" collapsed="false">
      <c r="A19" s="8" t="s">
        <v>112</v>
      </c>
      <c r="B19" s="8" t="str">
        <f aca="false">VLOOKUP($A19,'PARASTATAL Questions'!$A:$J,3,0)&amp;""</f>
        <v>Urban Planning &amp; Design (UPD)</v>
      </c>
      <c r="C19" s="8" t="str">
        <f aca="false">VLOOKUP($A19,'PARASTATAL Questions'!$A:$J,4,0)&amp;""</f>
        <v>SQ</v>
      </c>
      <c r="D19" s="8" t="str">
        <f aca="false">VLOOKUP($A19,'PARASTATAL Questions'!$A:$J,5,0)&amp;""</f>
        <v>Does the water supply board actually consider environmental sustainability in planning and delivering water and sanitation services?</v>
      </c>
      <c r="E19" s="8" t="str">
        <f aca="false">VLOOKUP($A19,'PARASTATAL Questions'!$A:$J,7,0)&amp;""</f>
        <v>Implementation</v>
      </c>
      <c r="F19" s="8" t="n">
        <f aca="false">VLOOKUP($A19,'PARASTATAL Questions'!$A:$J,6,0)</f>
        <v>5</v>
      </c>
      <c r="G19" s="8" t="n">
        <f aca="true">IF($F19=0,"NA",IF($A19=INDIRECT("'"&amp;$A19&amp;"'!$B$1"),IF(VLOOKUP(G$1,INDIRECT("'"&amp;$A19&amp;"'!$A$12:$Z$19"),MATCH("Points (Auto-generate)",INDIRECT("'"&amp;$A19&amp;"'!$A$12:$Z$12"),0),0)="","?",VLOOKUP(G$1,INDIRECT("'"&amp;$A19&amp;"'!$A$12:$Z$19"),MATCH("Points (Auto-generate)",INDIRECT("'"&amp;$A19&amp;"'!$A$12:$Z$12"),0),0)),"ER"))</f>
        <v>5</v>
      </c>
      <c r="H19" s="8" t="str">
        <f aca="true">IF($F19=0,"NA",IF($A19=INDIRECT("'"&amp;$A19&amp;"'!$B$1"),IF(VLOOKUP(H$1,INDIRECT("'"&amp;$A19&amp;"'!$A$12:$Z$19"),MATCH("Points (Auto-generate)",INDIRECT("'"&amp;$A19&amp;"'!$A$12:$Z$12"),0),0)="","?",VLOOKUP(H$1,INDIRECT("'"&amp;$A19&amp;"'!$A$12:$Z$19"),MATCH("Points (Auto-generate)",INDIRECT("'"&amp;$A19&amp;"'!$A$12:$Z$12"),0),0)),"ER"))</f>
        <v>NA</v>
      </c>
      <c r="I19" s="8" t="str">
        <f aca="true">IF($F19=0,"NA",IF($A19=INDIRECT("'"&amp;$A19&amp;"'!$B$1"),IF(VLOOKUP(I$1,INDIRECT("'"&amp;$A19&amp;"'!$A$12:$Z$19"),MATCH("Points (Auto-generate)",INDIRECT("'"&amp;$A19&amp;"'!$A$12:$Z$12"),0),0)="","?",VLOOKUP(I$1,INDIRECT("'"&amp;$A19&amp;"'!$A$12:$Z$19"),MATCH("Points (Auto-generate)",INDIRECT("'"&amp;$A19&amp;"'!$A$12:$Z$12"),0),0)),"ER"))</f>
        <v>NA</v>
      </c>
      <c r="J19" s="8" t="str">
        <f aca="true">IF($F19=0,"NA",IF($A19=INDIRECT("'"&amp;$A19&amp;"'!$B$1"),IF(VLOOKUP(J$1,INDIRECT("'"&amp;$A19&amp;"'!$A$12:$Z$19"),MATCH("Points (Auto-generate)",INDIRECT("'"&amp;$A19&amp;"'!$A$12:$Z$12"),0),0)="","?",VLOOKUP(J$1,INDIRECT("'"&amp;$A19&amp;"'!$A$12:$Z$19"),MATCH("Points (Auto-generate)",INDIRECT("'"&amp;$A19&amp;"'!$A$12:$Z$12"),0),0)),"ER"))</f>
        <v>NA</v>
      </c>
      <c r="K19" s="8" t="str">
        <f aca="true">IF($F19=0,"NA",IF($A19=INDIRECT("'"&amp;$A19&amp;"'!$B$1"),IF(VLOOKUP(K$1,INDIRECT("'"&amp;$A19&amp;"'!$A$12:$Z$19"),MATCH("Points (Auto-generate)",INDIRECT("'"&amp;$A19&amp;"'!$A$12:$Z$12"),0),0)="","?",VLOOKUP(K$1,INDIRECT("'"&amp;$A19&amp;"'!$A$12:$Z$19"),MATCH("Points (Auto-generate)",INDIRECT("'"&amp;$A19&amp;"'!$A$12:$Z$12"),0),0)),"ER"))</f>
        <v>NA</v>
      </c>
      <c r="L19" s="8" t="str">
        <f aca="true">IF($F19=0,"NA",IF($A19=INDIRECT("'"&amp;$A19&amp;"'!$B$1"),IF(VLOOKUP(L$1,INDIRECT("'"&amp;$A19&amp;"'!$A$12:$Z$19"),MATCH("Points (Auto-generate)",INDIRECT("'"&amp;$A19&amp;"'!$A$12:$Z$12"),0),0)="","?",VLOOKUP(L$1,INDIRECT("'"&amp;$A19&amp;"'!$A$12:$Z$19"),MATCH("Points (Auto-generate)",INDIRECT("'"&amp;$A19&amp;"'!$A$12:$Z$12"),0),0)),"ER"))</f>
        <v>NA</v>
      </c>
      <c r="M19" s="8" t="str">
        <f aca="true">IF($F19=0,"NA",IF($A19=INDIRECT("'"&amp;$A19&amp;"'!$B$1"),IF(VLOOKUP(M$1,INDIRECT("'"&amp;$A19&amp;"'!$A$12:$Z$19"),MATCH("Points (Auto-generate)",INDIRECT("'"&amp;$A19&amp;"'!$A$12:$Z$12"),0),0)="","?",VLOOKUP(M$1,INDIRECT("'"&amp;$A19&amp;"'!$A$12:$Z$19"),MATCH("Points (Auto-generate)",INDIRECT("'"&amp;$A19&amp;"'!$A$12:$Z$12"),0),0)),"ER"))</f>
        <v>NA</v>
      </c>
    </row>
    <row r="20" customFormat="false" ht="15" hidden="false" customHeight="true" outlineLevel="0" collapsed="false">
      <c r="A20" s="10" t="s">
        <v>450</v>
      </c>
      <c r="B20" s="10" t="str">
        <f aca="false">VLOOKUP($A20,'PARASTATAL Questions'!$A:$J,3,0)&amp;""</f>
        <v>Urban Planning &amp; Design (UPD)</v>
      </c>
      <c r="C20" s="10" t="str">
        <f aca="false">VLOOKUP($A20,'PARASTATAL Questions'!$A:$J,4,0)&amp;""</f>
        <v>MQ</v>
      </c>
      <c r="D20" s="10" t="str">
        <f aca="false">VLOOKUP($A20,'PARASTATAL Questions'!$A:$J,5,0)&amp;""</f>
        <v>Are environmental considerations explicitly required to be integrated into the transport corporation’s planning, service-delivery or major investment decisions?</v>
      </c>
      <c r="E20" s="10" t="str">
        <f aca="false">VLOOKUP($A20,'PARASTATAL Questions'!$A:$J,7,0)&amp;""</f>
        <v/>
      </c>
      <c r="F20" s="10" t="n">
        <f aca="false">VLOOKUP($A20,'PARASTATAL Questions'!$A:$J,6,0)</f>
        <v>10</v>
      </c>
      <c r="G20" s="10" t="str">
        <f aca="false">IF(OR(G21="ER",G22="ER"),"ER",IF(OR(G21="?",G22="?"),"?",IF(AND(G21="NA",G22="NA"),"NA",SUM(G21,G22)/((G21&lt;&gt;"NA")*$F$21+(G22&lt;&gt;"NA")*$F$22)*$F20)))</f>
        <v>NA</v>
      </c>
      <c r="H20" s="10" t="n">
        <f aca="false">IF(OR(H21="ER",H22="ER"),"ER",IF(OR(H21="?",H22="?"),"?",IF(AND(H21="NA",H22="NA"),"NA",SUM(H21,H22)/((H21&lt;&gt;"NA")*$F$21+(H22&lt;&gt;"NA")*$F$22)*$F20)))</f>
        <v>3.75</v>
      </c>
      <c r="I20" s="10" t="str">
        <f aca="false">IF(OR(I21="ER",I22="ER"),"ER",IF(OR(I21="?",I22="?"),"?",IF(AND(I21="NA",I22="NA"),"NA",SUM(I21,I22)/((I21&lt;&gt;"NA")*$F$21+(I22&lt;&gt;"NA")*$F$22)*$F20)))</f>
        <v>NA</v>
      </c>
      <c r="J20" s="10" t="str">
        <f aca="false">IF(OR(J21="ER",J22="ER"),"ER",IF(OR(J21="?",J22="?"),"?",IF(AND(J21="NA",J22="NA"),"NA",SUM(J21,J22)/((J21&lt;&gt;"NA")*$F$21+(J22&lt;&gt;"NA")*$F$22)*$F20)))</f>
        <v>NA</v>
      </c>
      <c r="K20" s="10" t="str">
        <f aca="false">IF(OR(K21="ER",K22="ER"),"ER",IF(OR(K21="?",K22="?"),"?",IF(AND(K21="NA",K22="NA"),"NA",SUM(K21,K22)/((K21&lt;&gt;"NA")*$F$21+(K22&lt;&gt;"NA")*$F$22)*$F20)))</f>
        <v>NA</v>
      </c>
      <c r="L20" s="10" t="str">
        <f aca="false">IF(OR(L21="ER",L22="ER"),"ER",IF(OR(L21="?",L22="?"),"?",IF(AND(L21="NA",L22="NA"),"NA",SUM(L21,L22)/((L21&lt;&gt;"NA")*$F$21+(L22&lt;&gt;"NA")*$F$22)*$F20)))</f>
        <v>NA</v>
      </c>
      <c r="M20" s="10" t="str">
        <f aca="false">IF(OR(M21="ER",M22="ER"),"ER",IF(OR(M21="?",M22="?"),"?",IF(AND(M21="NA",M22="NA"),"NA",SUM(M21,M22)/((M21&lt;&gt;"NA")*$F$21+(M22&lt;&gt;"NA")*$F$22)*$F20)))</f>
        <v>NA</v>
      </c>
    </row>
    <row r="21" customFormat="false" ht="15" hidden="false" customHeight="true" outlineLevel="0" collapsed="false">
      <c r="A21" s="8" t="s">
        <v>119</v>
      </c>
      <c r="B21" s="8" t="str">
        <f aca="false">VLOOKUP($A21,'PARASTATAL Questions'!$A:$J,3,0)&amp;""</f>
        <v>Urban Planning &amp; Design (UPD)</v>
      </c>
      <c r="C21" s="8" t="str">
        <f aca="false">VLOOKUP($A21,'PARASTATAL Questions'!$A:$J,4,0)&amp;""</f>
        <v>SQ</v>
      </c>
      <c r="D21" s="8" t="str">
        <f aca="false">VLOOKUP($A21,'PARASTATAL Questions'!$A:$J,5,0)&amp;""</f>
        <v>Is the transport corporation mandated to consider environmental sustainability in planning and delivering urban transport services and investments?</v>
      </c>
      <c r="E21" s="8" t="str">
        <f aca="false">VLOOKUP($A21,'PARASTATAL Questions'!$A:$J,7,0)&amp;""</f>
        <v>Law/Policy</v>
      </c>
      <c r="F21" s="8" t="n">
        <f aca="false">VLOOKUP($A21,'PARASTATAL Questions'!$A:$J,6,0)</f>
        <v>5</v>
      </c>
      <c r="G21" s="8" t="str">
        <f aca="true">IF($F21=0,"NA",IF($A21=INDIRECT("'"&amp;$A21&amp;"'!$B$1"),IF(VLOOKUP(G$1,INDIRECT("'"&amp;$A21&amp;"'!$A$12:$Z$19"),MATCH("Points (Auto-generate)",INDIRECT("'"&amp;$A21&amp;"'!$A$12:$Z$12"),0),0)="","?",VLOOKUP(G$1,INDIRECT("'"&amp;$A21&amp;"'!$A$12:$Z$19"),MATCH("Points (Auto-generate)",INDIRECT("'"&amp;$A21&amp;"'!$A$12:$Z$12"),0),0)),"ER"))</f>
        <v>NA</v>
      </c>
      <c r="H21" s="8" t="n">
        <f aca="true">IF($F21=0,"NA",IF($A21=INDIRECT("'"&amp;$A21&amp;"'!$B$1"),IF(VLOOKUP(H$1,INDIRECT("'"&amp;$A21&amp;"'!$A$12:$Z$19"),MATCH("Points (Auto-generate)",INDIRECT("'"&amp;$A21&amp;"'!$A$12:$Z$12"),0),0)="","?",VLOOKUP(H$1,INDIRECT("'"&amp;$A21&amp;"'!$A$12:$Z$19"),MATCH("Points (Auto-generate)",INDIRECT("'"&amp;$A21&amp;"'!$A$12:$Z$12"),0),0)),"ER"))</f>
        <v>2.5</v>
      </c>
      <c r="I21" s="8" t="str">
        <f aca="true">IF($F21=0,"NA",IF($A21=INDIRECT("'"&amp;$A21&amp;"'!$B$1"),IF(VLOOKUP(I$1,INDIRECT("'"&amp;$A21&amp;"'!$A$12:$Z$19"),MATCH("Points (Auto-generate)",INDIRECT("'"&amp;$A21&amp;"'!$A$12:$Z$12"),0),0)="","?",VLOOKUP(I$1,INDIRECT("'"&amp;$A21&amp;"'!$A$12:$Z$19"),MATCH("Points (Auto-generate)",INDIRECT("'"&amp;$A21&amp;"'!$A$12:$Z$12"),0),0)),"ER"))</f>
        <v>NA</v>
      </c>
      <c r="J21" s="8" t="str">
        <f aca="true">IF($F21=0,"NA",IF($A21=INDIRECT("'"&amp;$A21&amp;"'!$B$1"),IF(VLOOKUP(J$1,INDIRECT("'"&amp;$A21&amp;"'!$A$12:$Z$19"),MATCH("Points (Auto-generate)",INDIRECT("'"&amp;$A21&amp;"'!$A$12:$Z$12"),0),0)="","?",VLOOKUP(J$1,INDIRECT("'"&amp;$A21&amp;"'!$A$12:$Z$19"),MATCH("Points (Auto-generate)",INDIRECT("'"&amp;$A21&amp;"'!$A$12:$Z$12"),0),0)),"ER"))</f>
        <v>NA</v>
      </c>
      <c r="K21" s="8" t="str">
        <f aca="true">IF($F21=0,"NA",IF($A21=INDIRECT("'"&amp;$A21&amp;"'!$B$1"),IF(VLOOKUP(K$1,INDIRECT("'"&amp;$A21&amp;"'!$A$12:$Z$19"),MATCH("Points (Auto-generate)",INDIRECT("'"&amp;$A21&amp;"'!$A$12:$Z$12"),0),0)="","?",VLOOKUP(K$1,INDIRECT("'"&amp;$A21&amp;"'!$A$12:$Z$19"),MATCH("Points (Auto-generate)",INDIRECT("'"&amp;$A21&amp;"'!$A$12:$Z$12"),0),0)),"ER"))</f>
        <v>NA</v>
      </c>
      <c r="L21" s="8" t="str">
        <f aca="true">IF($F21=0,"NA",IF($A21=INDIRECT("'"&amp;$A21&amp;"'!$B$1"),IF(VLOOKUP(L$1,INDIRECT("'"&amp;$A21&amp;"'!$A$12:$Z$19"),MATCH("Points (Auto-generate)",INDIRECT("'"&amp;$A21&amp;"'!$A$12:$Z$12"),0),0)="","?",VLOOKUP(L$1,INDIRECT("'"&amp;$A21&amp;"'!$A$12:$Z$19"),MATCH("Points (Auto-generate)",INDIRECT("'"&amp;$A21&amp;"'!$A$12:$Z$12"),0),0)),"ER"))</f>
        <v>NA</v>
      </c>
      <c r="M21" s="8" t="str">
        <f aca="true">IF($F21=0,"NA",IF($A21=INDIRECT("'"&amp;$A21&amp;"'!$B$1"),IF(VLOOKUP(M$1,INDIRECT("'"&amp;$A21&amp;"'!$A$12:$Z$19"),MATCH("Points (Auto-generate)",INDIRECT("'"&amp;$A21&amp;"'!$A$12:$Z$12"),0),0)="","?",VLOOKUP(M$1,INDIRECT("'"&amp;$A21&amp;"'!$A$12:$Z$19"),MATCH("Points (Auto-generate)",INDIRECT("'"&amp;$A21&amp;"'!$A$12:$Z$12"),0),0)),"ER"))</f>
        <v>NA</v>
      </c>
    </row>
    <row r="22" customFormat="false" ht="15" hidden="false" customHeight="true" outlineLevel="0" collapsed="false">
      <c r="A22" s="8" t="s">
        <v>124</v>
      </c>
      <c r="B22" s="8" t="str">
        <f aca="false">VLOOKUP($A22,'PARASTATAL Questions'!$A:$J,3,0)&amp;""</f>
        <v>Urban Planning &amp; Design (UPD)</v>
      </c>
      <c r="C22" s="8" t="str">
        <f aca="false">VLOOKUP($A22,'PARASTATAL Questions'!$A:$J,4,0)&amp;""</f>
        <v>SQ</v>
      </c>
      <c r="D22" s="8" t="str">
        <f aca="false">VLOOKUP($A22,'PARASTATAL Questions'!$A:$J,5,0)&amp;""</f>
        <v>Does the transport corporation actually considers environmental sustainability in planning and delivering urban transport services and investments?</v>
      </c>
      <c r="E22" s="8" t="str">
        <f aca="false">VLOOKUP($A22,'PARASTATAL Questions'!$A:$J,7,0)&amp;""</f>
        <v>Implementation</v>
      </c>
      <c r="F22" s="8" t="n">
        <f aca="false">VLOOKUP($A22,'PARASTATAL Questions'!$A:$J,6,0)</f>
        <v>5</v>
      </c>
      <c r="G22" s="8" t="str">
        <f aca="true">IF($F22=0,"NA",IF($A22=INDIRECT("'"&amp;$A22&amp;"'!$B$1"),IF(VLOOKUP(G$1,INDIRECT("'"&amp;$A22&amp;"'!$A$12:$Z$19"),MATCH("Points (Auto-generate)",INDIRECT("'"&amp;$A22&amp;"'!$A$12:$Z$12"),0),0)="","?",VLOOKUP(G$1,INDIRECT("'"&amp;$A22&amp;"'!$A$12:$Z$19"),MATCH("Points (Auto-generate)",INDIRECT("'"&amp;$A22&amp;"'!$A$12:$Z$12"),0),0)),"ER"))</f>
        <v>NA</v>
      </c>
      <c r="H22" s="8" t="n">
        <f aca="true">IF($F22=0,"NA",IF($A22=INDIRECT("'"&amp;$A22&amp;"'!$B$1"),IF(VLOOKUP(H$1,INDIRECT("'"&amp;$A22&amp;"'!$A$12:$Z$19"),MATCH("Points (Auto-generate)",INDIRECT("'"&amp;$A22&amp;"'!$A$12:$Z$12"),0),0)="","?",VLOOKUP(H$1,INDIRECT("'"&amp;$A22&amp;"'!$A$12:$Z$19"),MATCH("Points (Auto-generate)",INDIRECT("'"&amp;$A22&amp;"'!$A$12:$Z$12"),0),0)),"ER"))</f>
        <v>1.25</v>
      </c>
      <c r="I22" s="8" t="str">
        <f aca="true">IF($F22=0,"NA",IF($A22=INDIRECT("'"&amp;$A22&amp;"'!$B$1"),IF(VLOOKUP(I$1,INDIRECT("'"&amp;$A22&amp;"'!$A$12:$Z$19"),MATCH("Points (Auto-generate)",INDIRECT("'"&amp;$A22&amp;"'!$A$12:$Z$12"),0),0)="","?",VLOOKUP(I$1,INDIRECT("'"&amp;$A22&amp;"'!$A$12:$Z$19"),MATCH("Points (Auto-generate)",INDIRECT("'"&amp;$A22&amp;"'!$A$12:$Z$12"),0),0)),"ER"))</f>
        <v>NA</v>
      </c>
      <c r="J22" s="8" t="str">
        <f aca="true">IF($F22=0,"NA",IF($A22=INDIRECT("'"&amp;$A22&amp;"'!$B$1"),IF(VLOOKUP(J$1,INDIRECT("'"&amp;$A22&amp;"'!$A$12:$Z$19"),MATCH("Points (Auto-generate)",INDIRECT("'"&amp;$A22&amp;"'!$A$12:$Z$12"),0),0)="","?",VLOOKUP(J$1,INDIRECT("'"&amp;$A22&amp;"'!$A$12:$Z$19"),MATCH("Points (Auto-generate)",INDIRECT("'"&amp;$A22&amp;"'!$A$12:$Z$12"),0),0)),"ER"))</f>
        <v>NA</v>
      </c>
      <c r="K22" s="8" t="str">
        <f aca="true">IF($F22=0,"NA",IF($A22=INDIRECT("'"&amp;$A22&amp;"'!$B$1"),IF(VLOOKUP(K$1,INDIRECT("'"&amp;$A22&amp;"'!$A$12:$Z$19"),MATCH("Points (Auto-generate)",INDIRECT("'"&amp;$A22&amp;"'!$A$12:$Z$12"),0),0)="","?",VLOOKUP(K$1,INDIRECT("'"&amp;$A22&amp;"'!$A$12:$Z$19"),MATCH("Points (Auto-generate)",INDIRECT("'"&amp;$A22&amp;"'!$A$12:$Z$12"),0),0)),"ER"))</f>
        <v>NA</v>
      </c>
      <c r="L22" s="8" t="str">
        <f aca="true">IF($F22=0,"NA",IF($A22=INDIRECT("'"&amp;$A22&amp;"'!$B$1"),IF(VLOOKUP(L$1,INDIRECT("'"&amp;$A22&amp;"'!$A$12:$Z$19"),MATCH("Points (Auto-generate)",INDIRECT("'"&amp;$A22&amp;"'!$A$12:$Z$12"),0),0)="","?",VLOOKUP(L$1,INDIRECT("'"&amp;$A22&amp;"'!$A$12:$Z$19"),MATCH("Points (Auto-generate)",INDIRECT("'"&amp;$A22&amp;"'!$A$12:$Z$12"),0),0)),"ER"))</f>
        <v>NA</v>
      </c>
      <c r="M22" s="8" t="str">
        <f aca="true">IF($F22=0,"NA",IF($A22=INDIRECT("'"&amp;$A22&amp;"'!$B$1"),IF(VLOOKUP(M$1,INDIRECT("'"&amp;$A22&amp;"'!$A$12:$Z$19"),MATCH("Points (Auto-generate)",INDIRECT("'"&amp;$A22&amp;"'!$A$12:$Z$12"),0),0)="","?",VLOOKUP(M$1,INDIRECT("'"&amp;$A22&amp;"'!$A$12:$Z$19"),MATCH("Points (Auto-generate)",INDIRECT("'"&amp;$A22&amp;"'!$A$12:$Z$12"),0),0)),"ER"))</f>
        <v>NA</v>
      </c>
    </row>
    <row r="23" customFormat="false" ht="15" hidden="false" customHeight="true" outlineLevel="0" collapsed="false">
      <c r="A23" s="10" t="s">
        <v>451</v>
      </c>
      <c r="B23" s="10" t="str">
        <f aca="false">VLOOKUP($A23,'PARASTATAL Questions'!$A:$J,3,0)&amp;""</f>
        <v>Decentralised Participatory Governance</v>
      </c>
      <c r="C23" s="10" t="str">
        <f aca="false">VLOOKUP($A23,'PARASTATAL Questions'!$A:$J,4,0)&amp;""</f>
        <v>MQ</v>
      </c>
      <c r="D23" s="10" t="str">
        <f aca="false">VLOOKUP($A23,'PARASTATAL Questions'!$A:$J,5,0)&amp;""</f>
        <v>Are the functions and geographical jurisdiction of the parastatal clearly defined vis-à-vis the ULG and other relevant agencies?</v>
      </c>
      <c r="E23" s="10" t="str">
        <f aca="false">VLOOKUP($A23,'PARASTATAL Questions'!$A:$J,7,0)&amp;""</f>
        <v>Institutional Design</v>
      </c>
      <c r="F23" s="10" t="n">
        <f aca="false">VLOOKUP($A23,'PARASTATAL Questions'!$A:$J,6,0)</f>
        <v>10</v>
      </c>
      <c r="G23" s="10" t="n">
        <f aca="false">IF(OR(G24="ER",G25="ER"),"ER",IF(OR(G24="?",G25="?"),"?",IF(AND(G24="NA",G25="NA"),"NA",SUM(G24,G25)/((G24&lt;&gt;"NA")*$F$24+(G25&lt;&gt;"NA")*$F$25)*$F23)))</f>
        <v>2.5</v>
      </c>
      <c r="H23" s="10" t="str">
        <f aca="false">IF(OR(H24="ER",H25="ER"),"ER",IF(OR(H24="?",H25="?"),"?",IF(AND(H24="NA",H25="NA"),"NA",SUM(H24,H25)/((H24&lt;&gt;"NA")*$F$24+(H25&lt;&gt;"NA")*$F$25)*$F23)))</f>
        <v>?</v>
      </c>
      <c r="I23" s="10" t="n">
        <f aca="false">IF(OR(I24="ER",I25="ER"),"ER",IF(OR(I24="?",I25="?"),"?",IF(AND(I24="NA",I25="NA"),"NA",SUM(I24,I25)/((I24&lt;&gt;"NA")*$F$24+(I25&lt;&gt;"NA")*$F$25)*$F23)))</f>
        <v>2.5</v>
      </c>
      <c r="J23" s="10" t="n">
        <f aca="false">IF(OR(J24="ER",J25="ER"),"ER",IF(OR(J24="?",J25="?"),"?",IF(AND(J24="NA",J25="NA"),"NA",SUM(J24,J25)/((J24&lt;&gt;"NA")*$F$24+(J25&lt;&gt;"NA")*$F$25)*$F23)))</f>
        <v>7.5</v>
      </c>
      <c r="K23" s="10" t="str">
        <f aca="false">IF(OR(K24="ER",K25="ER"),"ER",IF(OR(K24="?",K25="?"),"?",IF(AND(K24="NA",K25="NA"),"NA",SUM(K24,K25)/((K24&lt;&gt;"NA")*$F$24+(K25&lt;&gt;"NA")*$F$25)*$F23)))</f>
        <v>?</v>
      </c>
      <c r="L23" s="10" t="str">
        <f aca="false">IF(OR(L24="ER",L25="ER"),"ER",IF(OR(L24="?",L25="?"),"?",IF(AND(L24="NA",L25="NA"),"NA",SUM(L24,L25)/((L24&lt;&gt;"NA")*$F$24+(L25&lt;&gt;"NA")*$F$25)*$F23)))</f>
        <v>?</v>
      </c>
      <c r="M23" s="10" t="str">
        <f aca="false">IF(OR(M24="ER",M25="ER"),"ER",IF(OR(M24="?",M25="?"),"?",IF(AND(M24="NA",M25="NA"),"NA",SUM(M24,M25)/((M24&lt;&gt;"NA")*$F$24+(M25&lt;&gt;"NA")*$F$25)*$F23)))</f>
        <v>?</v>
      </c>
    </row>
    <row r="24" customFormat="false" ht="15" hidden="false" customHeight="true" outlineLevel="0" collapsed="false">
      <c r="A24" s="8" t="s">
        <v>131</v>
      </c>
      <c r="B24" s="8" t="str">
        <f aca="false">VLOOKUP($A24,'PARASTATAL Questions'!$A:$J,3,0)&amp;""</f>
        <v>Decentralised Participatory Governance</v>
      </c>
      <c r="C24" s="8" t="str">
        <f aca="false">VLOOKUP($A24,'PARASTATAL Questions'!$A:$J,4,0)&amp;""</f>
        <v>SQ</v>
      </c>
      <c r="D24" s="8" t="str">
        <f aca="false">VLOOKUP($A24,'PARASTATAL Questions'!$A:$J,5,0)&amp;""</f>
        <v>Does the legal framework clearly demarcate the functions/responsibilities of the parastatal vis-à-vis the ULG?</v>
      </c>
      <c r="E24" s="8" t="str">
        <f aca="false">VLOOKUP($A24,'PARASTATAL Questions'!$A:$J,7,0)&amp;""</f>
        <v>Institutional Design</v>
      </c>
      <c r="F24" s="8" t="n">
        <f aca="false">VLOOKUP($A24,'PARASTATAL Questions'!$A:$J,6,0)</f>
        <v>5</v>
      </c>
      <c r="G24" s="8" t="n">
        <f aca="true">IF($F24=0,"NA",IF($A24=INDIRECT("'"&amp;$A24&amp;"'!$B$1"),IF(VLOOKUP(G$1,INDIRECT("'"&amp;$A24&amp;"'!$A$12:$Z$19"),MATCH("Points (Auto-generate)",INDIRECT("'"&amp;$A24&amp;"'!$A$12:$Z$12"),0),0)="","?",VLOOKUP(G$1,INDIRECT("'"&amp;$A24&amp;"'!$A$12:$Z$19"),MATCH("Points (Auto-generate)",INDIRECT("'"&amp;$A24&amp;"'!$A$12:$Z$12"),0),0)),"ER"))</f>
        <v>0</v>
      </c>
      <c r="H24" s="8" t="str">
        <f aca="true">IF($F24=0,"NA",IF($A24=INDIRECT("'"&amp;$A24&amp;"'!$B$1"),IF(VLOOKUP(H$1,INDIRECT("'"&amp;$A24&amp;"'!$A$12:$Z$19"),MATCH("Points (Auto-generate)",INDIRECT("'"&amp;$A24&amp;"'!$A$12:$Z$12"),0),0)="","?",VLOOKUP(H$1,INDIRECT("'"&amp;$A24&amp;"'!$A$12:$Z$19"),MATCH("Points (Auto-generate)",INDIRECT("'"&amp;$A24&amp;"'!$A$12:$Z$12"),0),0)),"ER"))</f>
        <v>?</v>
      </c>
      <c r="I24" s="8" t="n">
        <f aca="true">IF($F24=0,"NA",IF($A24=INDIRECT("'"&amp;$A24&amp;"'!$B$1"),IF(VLOOKUP(I$1,INDIRECT("'"&amp;$A24&amp;"'!$A$12:$Z$19"),MATCH("Points (Auto-generate)",INDIRECT("'"&amp;$A24&amp;"'!$A$12:$Z$12"),0),0)="","?",VLOOKUP(I$1,INDIRECT("'"&amp;$A24&amp;"'!$A$12:$Z$19"),MATCH("Points (Auto-generate)",INDIRECT("'"&amp;$A24&amp;"'!$A$12:$Z$12"),0),0)),"ER"))</f>
        <v>0</v>
      </c>
      <c r="J24" s="8" t="n">
        <f aca="true">IF($F24=0,"NA",IF($A24=INDIRECT("'"&amp;$A24&amp;"'!$B$1"),IF(VLOOKUP(J$1,INDIRECT("'"&amp;$A24&amp;"'!$A$12:$Z$19"),MATCH("Points (Auto-generate)",INDIRECT("'"&amp;$A24&amp;"'!$A$12:$Z$12"),0),0)="","?",VLOOKUP(J$1,INDIRECT("'"&amp;$A24&amp;"'!$A$12:$Z$19"),MATCH("Points (Auto-generate)",INDIRECT("'"&amp;$A24&amp;"'!$A$12:$Z$12"),0),0)),"ER"))</f>
        <v>5</v>
      </c>
      <c r="K24" s="8" t="str">
        <f aca="true">IF($F24=0,"NA",IF($A24=INDIRECT("'"&amp;$A24&amp;"'!$B$1"),IF(VLOOKUP(K$1,INDIRECT("'"&amp;$A24&amp;"'!$A$12:$Z$19"),MATCH("Points (Auto-generate)",INDIRECT("'"&amp;$A24&amp;"'!$A$12:$Z$12"),0),0)="","?",VLOOKUP(K$1,INDIRECT("'"&amp;$A24&amp;"'!$A$12:$Z$19"),MATCH("Points (Auto-generate)",INDIRECT("'"&amp;$A24&amp;"'!$A$12:$Z$12"),0),0)),"ER"))</f>
        <v>?</v>
      </c>
      <c r="L24" s="8" t="str">
        <f aca="true">IF($F24=0,"NA",IF($A24=INDIRECT("'"&amp;$A24&amp;"'!$B$1"),IF(VLOOKUP(L$1,INDIRECT("'"&amp;$A24&amp;"'!$A$12:$Z$19"),MATCH("Points (Auto-generate)",INDIRECT("'"&amp;$A24&amp;"'!$A$12:$Z$12"),0),0)="","?",VLOOKUP(L$1,INDIRECT("'"&amp;$A24&amp;"'!$A$12:$Z$19"),MATCH("Points (Auto-generate)",INDIRECT("'"&amp;$A24&amp;"'!$A$12:$Z$12"),0),0)),"ER"))</f>
        <v>?</v>
      </c>
      <c r="M24" s="8" t="str">
        <f aca="true">IF($F24=0,"NA",IF($A24=INDIRECT("'"&amp;$A24&amp;"'!$B$1"),IF(VLOOKUP(M$1,INDIRECT("'"&amp;$A24&amp;"'!$A$12:$Z$19"),MATCH("Points (Auto-generate)",INDIRECT("'"&amp;$A24&amp;"'!$A$12:$Z$12"),0),0)="","?",VLOOKUP(M$1,INDIRECT("'"&amp;$A24&amp;"'!$A$12:$Z$19"),MATCH("Points (Auto-generate)",INDIRECT("'"&amp;$A24&amp;"'!$A$12:$Z$12"),0),0)),"ER"))</f>
        <v>?</v>
      </c>
    </row>
    <row r="25" customFormat="false" ht="15" hidden="false" customHeight="true" outlineLevel="0" collapsed="false">
      <c r="A25" s="8" t="s">
        <v>148</v>
      </c>
      <c r="B25" s="8" t="str">
        <f aca="false">VLOOKUP($A25,'PARASTATAL Questions'!$A:$J,3,0)&amp;""</f>
        <v>Decentralised Participatory Governance</v>
      </c>
      <c r="C25" s="8" t="str">
        <f aca="false">VLOOKUP($A25,'PARASTATAL Questions'!$A:$J,4,0)&amp;""</f>
        <v>SQ</v>
      </c>
      <c r="D25" s="8" t="str">
        <f aca="false">VLOOKUP($A25,'PARASTATAL Questions'!$A:$J,5,0)&amp;""</f>
        <v>Is the parastatal's territorial/geographic jurisdiction clearly and specifically defined in its enabling legal framework?</v>
      </c>
      <c r="E25" s="8" t="str">
        <f aca="false">VLOOKUP($A25,'PARASTATAL Questions'!$A:$J,7,0)&amp;""</f>
        <v>Institutional Design</v>
      </c>
      <c r="F25" s="8" t="n">
        <f aca="false">VLOOKUP($A25,'PARASTATAL Questions'!$A:$J,6,0)</f>
        <v>5</v>
      </c>
      <c r="G25" s="8" t="n">
        <f aca="true">IF($F25=0,"NA",IF($A25=INDIRECT("'"&amp;$A25&amp;"'!$B$1"),IF(VLOOKUP(G$1,INDIRECT("'"&amp;$A25&amp;"'!$A$12:$Z$19"),MATCH("Points (Auto-generate)",INDIRECT("'"&amp;$A25&amp;"'!$A$12:$Z$12"),0),0)="","?",VLOOKUP(G$1,INDIRECT("'"&amp;$A25&amp;"'!$A$12:$Z$19"),MATCH("Points (Auto-generate)",INDIRECT("'"&amp;$A25&amp;"'!$A$12:$Z$12"),0),0)),"ER"))</f>
        <v>2.5</v>
      </c>
      <c r="H25" s="8" t="str">
        <f aca="true">IF($F25=0,"NA",IF($A25=INDIRECT("'"&amp;$A25&amp;"'!$B$1"),IF(VLOOKUP(H$1,INDIRECT("'"&amp;$A25&amp;"'!$A$12:$Z$19"),MATCH("Points (Auto-generate)",INDIRECT("'"&amp;$A25&amp;"'!$A$12:$Z$12"),0),0)="","?",VLOOKUP(H$1,INDIRECT("'"&amp;$A25&amp;"'!$A$12:$Z$19"),MATCH("Points (Auto-generate)",INDIRECT("'"&amp;$A25&amp;"'!$A$12:$Z$12"),0),0)),"ER"))</f>
        <v>?</v>
      </c>
      <c r="I25" s="8" t="n">
        <f aca="true">IF($F25=0,"NA",IF($A25=INDIRECT("'"&amp;$A25&amp;"'!$B$1"),IF(VLOOKUP(I$1,INDIRECT("'"&amp;$A25&amp;"'!$A$12:$Z$19"),MATCH("Points (Auto-generate)",INDIRECT("'"&amp;$A25&amp;"'!$A$12:$Z$12"),0),0)="","?",VLOOKUP(I$1,INDIRECT("'"&amp;$A25&amp;"'!$A$12:$Z$19"),MATCH("Points (Auto-generate)",INDIRECT("'"&amp;$A25&amp;"'!$A$12:$Z$12"),0),0)),"ER"))</f>
        <v>2.5</v>
      </c>
      <c r="J25" s="8" t="n">
        <f aca="true">IF($F25=0,"NA",IF($A25=INDIRECT("'"&amp;$A25&amp;"'!$B$1"),IF(VLOOKUP(J$1,INDIRECT("'"&amp;$A25&amp;"'!$A$12:$Z$19"),MATCH("Points (Auto-generate)",INDIRECT("'"&amp;$A25&amp;"'!$A$12:$Z$12"),0),0)="","?",VLOOKUP(J$1,INDIRECT("'"&amp;$A25&amp;"'!$A$12:$Z$19"),MATCH("Points (Auto-generate)",INDIRECT("'"&amp;$A25&amp;"'!$A$12:$Z$12"),0),0)),"ER"))</f>
        <v>2.5</v>
      </c>
      <c r="K25" s="8" t="n">
        <f aca="true">IF($F25=0,"NA",IF($A25=INDIRECT("'"&amp;$A25&amp;"'!$B$1"),IF(VLOOKUP(K$1,INDIRECT("'"&amp;$A25&amp;"'!$A$12:$Z$19"),MATCH("Points (Auto-generate)",INDIRECT("'"&amp;$A25&amp;"'!$A$12:$Z$12"),0),0)="","?",VLOOKUP(K$1,INDIRECT("'"&amp;$A25&amp;"'!$A$12:$Z$19"),MATCH("Points (Auto-generate)",INDIRECT("'"&amp;$A25&amp;"'!$A$12:$Z$12"),0),0)),"ER"))</f>
        <v>5</v>
      </c>
      <c r="L25" s="8" t="str">
        <f aca="true">IF($F25=0,"NA",IF($A25=INDIRECT("'"&amp;$A25&amp;"'!$B$1"),IF(VLOOKUP(L$1,INDIRECT("'"&amp;$A25&amp;"'!$A$12:$Z$19"),MATCH("Points (Auto-generate)",INDIRECT("'"&amp;$A25&amp;"'!$A$12:$Z$12"),0),0)="","?",VLOOKUP(L$1,INDIRECT("'"&amp;$A25&amp;"'!$A$12:$Z$19"),MATCH("Points (Auto-generate)",INDIRECT("'"&amp;$A25&amp;"'!$A$12:$Z$12"),0),0)),"ER"))</f>
        <v>?</v>
      </c>
      <c r="M25" s="8" t="str">
        <f aca="true">IF($F25=0,"NA",IF($A25=INDIRECT("'"&amp;$A25&amp;"'!$B$1"),IF(VLOOKUP(M$1,INDIRECT("'"&amp;$A25&amp;"'!$A$12:$Z$19"),MATCH("Points (Auto-generate)",INDIRECT("'"&amp;$A25&amp;"'!$A$12:$Z$12"),0),0)="","?",VLOOKUP(M$1,INDIRECT("'"&amp;$A25&amp;"'!$A$12:$Z$19"),MATCH("Points (Auto-generate)",INDIRECT("'"&amp;$A25&amp;"'!$A$12:$Z$12"),0),0)),"ER"))</f>
        <v>?</v>
      </c>
    </row>
    <row r="26" customFormat="false" ht="15" hidden="false" customHeight="true" outlineLevel="0" collapsed="false">
      <c r="A26" s="10" t="s">
        <v>452</v>
      </c>
      <c r="B26" s="10" t="str">
        <f aca="false">VLOOKUP($A26,'PARASTATAL Questions'!$A:$J,3,0)&amp;""</f>
        <v>Decentralised Participatory Governance</v>
      </c>
      <c r="C26" s="10" t="str">
        <f aca="false">VLOOKUP($A26,'PARASTATAL Questions'!$A:$J,4,0)&amp;""</f>
        <v>MQ</v>
      </c>
      <c r="D26" s="10" t="str">
        <f aca="false">VLOOKUP($A26,'PARASTATAL Questions'!$A:$J,5,0)&amp;""</f>
        <v>Is the parastatal accountable to the ULG?</v>
      </c>
      <c r="E26" s="10" t="str">
        <f aca="false">VLOOKUP($A26,'PARASTATAL Questions'!$A:$J,7,0)&amp;""</f>
        <v>Institutional Design</v>
      </c>
      <c r="F26" s="10" t="n">
        <f aca="false">VLOOKUP($A26,'PARASTATAL Questions'!$A:$J,6,0)</f>
        <v>10</v>
      </c>
      <c r="G26" s="10" t="n">
        <f aca="false">IF(OR(G27="ER",G28="ER"),"ER",IF(OR(G27="?",G28="?"),"?",IF(AND(G27="NA",G28="NA"),"NA",SUM(G27,G28)/((G27&lt;&gt;"NA")*$F$27+(G28&lt;&gt;"NA")*$F$28)*$F26)))</f>
        <v>0</v>
      </c>
      <c r="H26" s="10" t="str">
        <f aca="false">IF(OR(H27="ER",H28="ER"),"ER",IF(OR(H27="?",H28="?"),"?",IF(AND(H27="NA",H28="NA"),"NA",SUM(H27,H28)/((H27&lt;&gt;"NA")*$F$27+(H28&lt;&gt;"NA")*$F$28)*$F26)))</f>
        <v>?</v>
      </c>
      <c r="I26" s="10" t="n">
        <f aca="false">IF(OR(I27="ER",I28="ER"),"ER",IF(OR(I27="?",I28="?"),"?",IF(AND(I27="NA",I28="NA"),"NA",SUM(I27,I28)/((I27&lt;&gt;"NA")*$F$27+(I28&lt;&gt;"NA")*$F$28)*$F26)))</f>
        <v>5</v>
      </c>
      <c r="J26" s="10" t="n">
        <f aca="false">IF(OR(J27="ER",J28="ER"),"ER",IF(OR(J27="?",J28="?"),"?",IF(AND(J27="NA",J28="NA"),"NA",SUM(J27,J28)/((J27&lt;&gt;"NA")*$F$27+(J28&lt;&gt;"NA")*$F$28)*$F26)))</f>
        <v>0</v>
      </c>
      <c r="K26" s="10" t="n">
        <f aca="false">IF(OR(K27="ER",K28="ER"),"ER",IF(OR(K27="?",K28="?"),"?",IF(AND(K27="NA",K28="NA"),"NA",SUM(K27,K28)/((K27&lt;&gt;"NA")*$F$27+(K28&lt;&gt;"NA")*$F$28)*$F26)))</f>
        <v>5</v>
      </c>
      <c r="L26" s="10" t="str">
        <f aca="false">IF(OR(L27="ER",L28="ER"),"ER",IF(OR(L27="?",L28="?"),"?",IF(AND(L27="NA",L28="NA"),"NA",SUM(L27,L28)/((L27&lt;&gt;"NA")*$F$27+(L28&lt;&gt;"NA")*$F$28)*$F26)))</f>
        <v>?</v>
      </c>
      <c r="M26" s="10" t="str">
        <f aca="false">IF(OR(M27="ER",M28="ER"),"ER",IF(OR(M27="?",M28="?"),"?",IF(AND(M27="NA",M28="NA"),"NA",SUM(M27,M28)/((M27&lt;&gt;"NA")*$F$27+(M28&lt;&gt;"NA")*$F$28)*$F26)))</f>
        <v>?</v>
      </c>
    </row>
    <row r="27" customFormat="false" ht="15" hidden="false" customHeight="true" outlineLevel="0" collapsed="false">
      <c r="A27" s="8" t="s">
        <v>165</v>
      </c>
      <c r="B27" s="8" t="str">
        <f aca="false">VLOOKUP($A27,'PARASTATAL Questions'!$A:$J,3,0)&amp;""</f>
        <v>Decentralised Participatory Governance</v>
      </c>
      <c r="C27" s="8" t="str">
        <f aca="false">VLOOKUP($A27,'PARASTATAL Questions'!$A:$J,4,0)&amp;""</f>
        <v>SQ</v>
      </c>
      <c r="D27" s="8" t="str">
        <f aca="false">VLOOKUP($A27,'PARASTATAL Questions'!$A:$J,5,0)&amp;""</f>
        <v>Does the ULG have representation on the parastatal's governing board?</v>
      </c>
      <c r="E27" s="8" t="str">
        <f aca="false">VLOOKUP($A27,'PARASTATAL Questions'!$A:$J,7,0)&amp;""</f>
        <v>Institutional Design</v>
      </c>
      <c r="F27" s="8" t="n">
        <f aca="false">VLOOKUP($A27,'PARASTATAL Questions'!$A:$J,6,0)</f>
        <v>5</v>
      </c>
      <c r="G27" s="8" t="n">
        <f aca="true">IF($F27=0,"NA",IF($A27=INDIRECT("'"&amp;$A27&amp;"'!$B$1"),IF(VLOOKUP(G$1,INDIRECT("'"&amp;$A27&amp;"'!$A$12:$Z$19"),MATCH("Points (Auto-generate)",INDIRECT("'"&amp;$A27&amp;"'!$A$12:$Z$12"),0),0)="","?",VLOOKUP(G$1,INDIRECT("'"&amp;$A27&amp;"'!$A$12:$Z$19"),MATCH("Points (Auto-generate)",INDIRECT("'"&amp;$A27&amp;"'!$A$12:$Z$12"),0),0)),"ER"))</f>
        <v>0</v>
      </c>
      <c r="H27" s="8" t="str">
        <f aca="true">IF($F27=0,"NA",IF($A27=INDIRECT("'"&amp;$A27&amp;"'!$B$1"),IF(VLOOKUP(H$1,INDIRECT("'"&amp;$A27&amp;"'!$A$12:$Z$19"),MATCH("Points (Auto-generate)",INDIRECT("'"&amp;$A27&amp;"'!$A$12:$Z$12"),0),0)="","?",VLOOKUP(H$1,INDIRECT("'"&amp;$A27&amp;"'!$A$12:$Z$19"),MATCH("Points (Auto-generate)",INDIRECT("'"&amp;$A27&amp;"'!$A$12:$Z$12"),0),0)),"ER"))</f>
        <v>?</v>
      </c>
      <c r="I27" s="8" t="n">
        <f aca="true">IF($F27=0,"NA",IF($A27=INDIRECT("'"&amp;$A27&amp;"'!$B$1"),IF(VLOOKUP(I$1,INDIRECT("'"&amp;$A27&amp;"'!$A$12:$Z$19"),MATCH("Points (Auto-generate)",INDIRECT("'"&amp;$A27&amp;"'!$A$12:$Z$12"),0),0)="","?",VLOOKUP(I$1,INDIRECT("'"&amp;$A27&amp;"'!$A$12:$Z$19"),MATCH("Points (Auto-generate)",INDIRECT("'"&amp;$A27&amp;"'!$A$12:$Z$12"),0),0)),"ER"))</f>
        <v>5</v>
      </c>
      <c r="J27" s="8" t="n">
        <f aca="true">IF($F27=0,"NA",IF($A27=INDIRECT("'"&amp;$A27&amp;"'!$B$1"),IF(VLOOKUP(J$1,INDIRECT("'"&amp;$A27&amp;"'!$A$12:$Z$19"),MATCH("Points (Auto-generate)",INDIRECT("'"&amp;$A27&amp;"'!$A$12:$Z$12"),0),0)="","?",VLOOKUP(J$1,INDIRECT("'"&amp;$A27&amp;"'!$A$12:$Z$19"),MATCH("Points (Auto-generate)",INDIRECT("'"&amp;$A27&amp;"'!$A$12:$Z$12"),0),0)),"ER"))</f>
        <v>0</v>
      </c>
      <c r="K27" s="8" t="n">
        <f aca="true">IF($F27=0,"NA",IF($A27=INDIRECT("'"&amp;$A27&amp;"'!$B$1"),IF(VLOOKUP(K$1,INDIRECT("'"&amp;$A27&amp;"'!$A$12:$Z$19"),MATCH("Points (Auto-generate)",INDIRECT("'"&amp;$A27&amp;"'!$A$12:$Z$12"),0),0)="","?",VLOOKUP(K$1,INDIRECT("'"&amp;$A27&amp;"'!$A$12:$Z$19"),MATCH("Points (Auto-generate)",INDIRECT("'"&amp;$A27&amp;"'!$A$12:$Z$12"),0),0)),"ER"))</f>
        <v>5</v>
      </c>
      <c r="L27" s="8" t="str">
        <f aca="true">IF($F27=0,"NA",IF($A27=INDIRECT("'"&amp;$A27&amp;"'!$B$1"),IF(VLOOKUP(L$1,INDIRECT("'"&amp;$A27&amp;"'!$A$12:$Z$19"),MATCH("Points (Auto-generate)",INDIRECT("'"&amp;$A27&amp;"'!$A$12:$Z$12"),0),0)="","?",VLOOKUP(L$1,INDIRECT("'"&amp;$A27&amp;"'!$A$12:$Z$19"),MATCH("Points (Auto-generate)",INDIRECT("'"&amp;$A27&amp;"'!$A$12:$Z$12"),0),0)),"ER"))</f>
        <v>?</v>
      </c>
      <c r="M27" s="8" t="str">
        <f aca="true">IF($F27=0,"NA",IF($A27=INDIRECT("'"&amp;$A27&amp;"'!$B$1"),IF(VLOOKUP(M$1,INDIRECT("'"&amp;$A27&amp;"'!$A$12:$Z$19"),MATCH("Points (Auto-generate)",INDIRECT("'"&amp;$A27&amp;"'!$A$12:$Z$12"),0),0)="","?",VLOOKUP(M$1,INDIRECT("'"&amp;$A27&amp;"'!$A$12:$Z$19"),MATCH("Points (Auto-generate)",INDIRECT("'"&amp;$A27&amp;"'!$A$12:$Z$12"),0),0)),"ER"))</f>
        <v>?</v>
      </c>
    </row>
    <row r="28" customFormat="false" ht="15" hidden="false" customHeight="true" outlineLevel="0" collapsed="false">
      <c r="A28" s="8" t="s">
        <v>181</v>
      </c>
      <c r="B28" s="8" t="str">
        <f aca="false">VLOOKUP($A28,'PARASTATAL Questions'!$A:$J,3,0)&amp;""</f>
        <v>Decentralised Participatory Governance</v>
      </c>
      <c r="C28" s="8" t="str">
        <f aca="false">VLOOKUP($A28,'PARASTATAL Questions'!$A:$J,4,0)&amp;""</f>
        <v>SQ</v>
      </c>
      <c r="D28" s="8" t="str">
        <f aca="false">VLOOKUP($A28,'PARASTATAL Questions'!$A:$J,5,0)&amp;""</f>
        <v>Is the parastatal mandated to submit its plans, budgets or reports to the ULG/council?</v>
      </c>
      <c r="E28" s="8" t="str">
        <f aca="false">VLOOKUP($A28,'PARASTATAL Questions'!$A:$J,7,0)&amp;""</f>
        <v>Law/Policy</v>
      </c>
      <c r="F28" s="8" t="n">
        <f aca="false">VLOOKUP($A28,'PARASTATAL Questions'!$A:$J,6,0)</f>
        <v>5</v>
      </c>
      <c r="G28" s="8" t="n">
        <f aca="true">IF($F28=0,"NA",IF($A28=INDIRECT("'"&amp;$A28&amp;"'!$B$1"),IF(VLOOKUP(G$1,INDIRECT("'"&amp;$A28&amp;"'!$A$12:$Z$19"),MATCH("Points (Auto-generate)",INDIRECT("'"&amp;$A28&amp;"'!$A$12:$Z$12"),0),0)="","?",VLOOKUP(G$1,INDIRECT("'"&amp;$A28&amp;"'!$A$12:$Z$19"),MATCH("Points (Auto-generate)",INDIRECT("'"&amp;$A28&amp;"'!$A$12:$Z$12"),0),0)),"ER"))</f>
        <v>0</v>
      </c>
      <c r="H28" s="8" t="str">
        <f aca="true">IF($F28=0,"NA",IF($A28=INDIRECT("'"&amp;$A28&amp;"'!$B$1"),IF(VLOOKUP(H$1,INDIRECT("'"&amp;$A28&amp;"'!$A$12:$Z$19"),MATCH("Points (Auto-generate)",INDIRECT("'"&amp;$A28&amp;"'!$A$12:$Z$12"),0),0)="","?",VLOOKUP(H$1,INDIRECT("'"&amp;$A28&amp;"'!$A$12:$Z$19"),MATCH("Points (Auto-generate)",INDIRECT("'"&amp;$A28&amp;"'!$A$12:$Z$12"),0),0)),"ER"))</f>
        <v>?</v>
      </c>
      <c r="I28" s="8" t="n">
        <f aca="true">IF($F28=0,"NA",IF($A28=INDIRECT("'"&amp;$A28&amp;"'!$B$1"),IF(VLOOKUP(I$1,INDIRECT("'"&amp;$A28&amp;"'!$A$12:$Z$19"),MATCH("Points (Auto-generate)",INDIRECT("'"&amp;$A28&amp;"'!$A$12:$Z$12"),0),0)="","?",VLOOKUP(I$1,INDIRECT("'"&amp;$A28&amp;"'!$A$12:$Z$19"),MATCH("Points (Auto-generate)",INDIRECT("'"&amp;$A28&amp;"'!$A$12:$Z$12"),0),0)),"ER"))</f>
        <v>0</v>
      </c>
      <c r="J28" s="8" t="n">
        <f aca="true">IF($F28=0,"NA",IF($A28=INDIRECT("'"&amp;$A28&amp;"'!$B$1"),IF(VLOOKUP(J$1,INDIRECT("'"&amp;$A28&amp;"'!$A$12:$Z$19"),MATCH("Points (Auto-generate)",INDIRECT("'"&amp;$A28&amp;"'!$A$12:$Z$12"),0),0)="","?",VLOOKUP(J$1,INDIRECT("'"&amp;$A28&amp;"'!$A$12:$Z$19"),MATCH("Points (Auto-generate)",INDIRECT("'"&amp;$A28&amp;"'!$A$12:$Z$12"),0),0)),"ER"))</f>
        <v>0</v>
      </c>
      <c r="K28" s="8" t="n">
        <f aca="true">IF($F28=0,"NA",IF($A28=INDIRECT("'"&amp;$A28&amp;"'!$B$1"),IF(VLOOKUP(K$1,INDIRECT("'"&amp;$A28&amp;"'!$A$12:$Z$19"),MATCH("Points (Auto-generate)",INDIRECT("'"&amp;$A28&amp;"'!$A$12:$Z$12"),0),0)="","?",VLOOKUP(K$1,INDIRECT("'"&amp;$A28&amp;"'!$A$12:$Z$19"),MATCH("Points (Auto-generate)",INDIRECT("'"&amp;$A28&amp;"'!$A$12:$Z$12"),0),0)),"ER"))</f>
        <v>0</v>
      </c>
      <c r="L28" s="8" t="str">
        <f aca="true">IF($F28=0,"NA",IF($A28=INDIRECT("'"&amp;$A28&amp;"'!$B$1"),IF(VLOOKUP(L$1,INDIRECT("'"&amp;$A28&amp;"'!$A$12:$Z$19"),MATCH("Points (Auto-generate)",INDIRECT("'"&amp;$A28&amp;"'!$A$12:$Z$12"),0),0)="","?",VLOOKUP(L$1,INDIRECT("'"&amp;$A28&amp;"'!$A$12:$Z$19"),MATCH("Points (Auto-generate)",INDIRECT("'"&amp;$A28&amp;"'!$A$12:$Z$12"),0),0)),"ER"))</f>
        <v>?</v>
      </c>
      <c r="M28" s="8" t="str">
        <f aca="true">IF($F28=0,"NA",IF($A28=INDIRECT("'"&amp;$A28&amp;"'!$B$1"),IF(VLOOKUP(M$1,INDIRECT("'"&amp;$A28&amp;"'!$A$12:$Z$19"),MATCH("Points (Auto-generate)",INDIRECT("'"&amp;$A28&amp;"'!$A$12:$Z$12"),0),0)="","?",VLOOKUP(M$1,INDIRECT("'"&amp;$A28&amp;"'!$A$12:$Z$19"),MATCH("Points (Auto-generate)",INDIRECT("'"&amp;$A28&amp;"'!$A$12:$Z$12"),0),0)),"ER"))</f>
        <v>?</v>
      </c>
    </row>
    <row r="29" customFormat="false" ht="15" hidden="false" customHeight="true" outlineLevel="0" collapsed="false">
      <c r="A29" s="10" t="s">
        <v>196</v>
      </c>
      <c r="B29" s="10" t="str">
        <f aca="false">VLOOKUP($A29,'PARASTATAL Questions'!$A:$J,3,0)&amp;""</f>
        <v>Decentralised Participatory Governance</v>
      </c>
      <c r="C29" s="10" t="str">
        <f aca="false">VLOOKUP($A29,'PARASTATAL Questions'!$A:$J,4,0)&amp;""</f>
        <v>MQ</v>
      </c>
      <c r="D29" s="10" t="str">
        <f aca="false">VLOOKUP($A29,'PARASTATAL Questions'!$A:$J,5,0)&amp;""</f>
        <v>Does the parastatal maintain an active and functional website?</v>
      </c>
      <c r="E29" s="10" t="str">
        <f aca="false">VLOOKUP($A29,'PARASTATAL Questions'!$A:$J,7,0)&amp;""</f>
        <v>Implementation</v>
      </c>
      <c r="F29" s="10" t="n">
        <f aca="false">VLOOKUP($A29,'PARASTATAL Questions'!$A:$J,6,0)</f>
        <v>10</v>
      </c>
      <c r="G29" s="10" t="str">
        <f aca="true">IF($F29=0,"NA",IF($A29=INDIRECT("'"&amp;$A29&amp;"'!$B$1"),IF(VLOOKUP(G$1,INDIRECT("'"&amp;$A29&amp;"'!$A$12:$Z$19"),MATCH("Points (Auto-generate)",INDIRECT("'"&amp;$A29&amp;"'!$A$12:$Z$12"),0),0)="","?",VLOOKUP(G$1,INDIRECT("'"&amp;$A29&amp;"'!$A$12:$Z$19"),MATCH("Points (Auto-generate)",INDIRECT("'"&amp;$A29&amp;"'!$A$12:$Z$12"),0),0)),"ER"))</f>
        <v>?</v>
      </c>
      <c r="H29" s="10" t="str">
        <f aca="true">IF($F29=0,"NA",IF($A29=INDIRECT("'"&amp;$A29&amp;"'!$B$1"),IF(VLOOKUP(H$1,INDIRECT("'"&amp;$A29&amp;"'!$A$12:$Z$19"),MATCH("Points (Auto-generate)",INDIRECT("'"&amp;$A29&amp;"'!$A$12:$Z$12"),0),0)="","?",VLOOKUP(H$1,INDIRECT("'"&amp;$A29&amp;"'!$A$12:$Z$19"),MATCH("Points (Auto-generate)",INDIRECT("'"&amp;$A29&amp;"'!$A$12:$Z$12"),0),0)),"ER"))</f>
        <v>?</v>
      </c>
      <c r="I29" s="10" t="str">
        <f aca="true">IF($F29=0,"NA",IF($A29=INDIRECT("'"&amp;$A29&amp;"'!$B$1"),IF(VLOOKUP(I$1,INDIRECT("'"&amp;$A29&amp;"'!$A$12:$Z$19"),MATCH("Points (Auto-generate)",INDIRECT("'"&amp;$A29&amp;"'!$A$12:$Z$12"),0),0)="","?",VLOOKUP(I$1,INDIRECT("'"&amp;$A29&amp;"'!$A$12:$Z$19"),MATCH("Points (Auto-generate)",INDIRECT("'"&amp;$A29&amp;"'!$A$12:$Z$12"),0),0)),"ER"))</f>
        <v>?</v>
      </c>
      <c r="J29" s="10" t="str">
        <f aca="true">IF($F29=0,"NA",IF($A29=INDIRECT("'"&amp;$A29&amp;"'!$B$1"),IF(VLOOKUP(J$1,INDIRECT("'"&amp;$A29&amp;"'!$A$12:$Z$19"),MATCH("Points (Auto-generate)",INDIRECT("'"&amp;$A29&amp;"'!$A$12:$Z$12"),0),0)="","?",VLOOKUP(J$1,INDIRECT("'"&amp;$A29&amp;"'!$A$12:$Z$19"),MATCH("Points (Auto-generate)",INDIRECT("'"&amp;$A29&amp;"'!$A$12:$Z$12"),0),0)),"ER"))</f>
        <v>?</v>
      </c>
      <c r="K29" s="10" t="n">
        <f aca="true">IF($F29=0,"NA",IF($A29=INDIRECT("'"&amp;$A29&amp;"'!$B$1"),IF(VLOOKUP(K$1,INDIRECT("'"&amp;$A29&amp;"'!$A$12:$Z$19"),MATCH("Points (Auto-generate)",INDIRECT("'"&amp;$A29&amp;"'!$A$12:$Z$12"),0),0)="","?",VLOOKUP(K$1,INDIRECT("'"&amp;$A29&amp;"'!$A$12:$Z$19"),MATCH("Points (Auto-generate)",INDIRECT("'"&amp;$A29&amp;"'!$A$12:$Z$12"),0),0)),"ER"))</f>
        <v>10</v>
      </c>
      <c r="L29" s="10" t="str">
        <f aca="true">IF($F29=0,"NA",IF($A29=INDIRECT("'"&amp;$A29&amp;"'!$B$1"),IF(VLOOKUP(L$1,INDIRECT("'"&amp;$A29&amp;"'!$A$12:$Z$19"),MATCH("Points (Auto-generate)",INDIRECT("'"&amp;$A29&amp;"'!$A$12:$Z$12"),0),0)="","?",VLOOKUP(L$1,INDIRECT("'"&amp;$A29&amp;"'!$A$12:$Z$19"),MATCH("Points (Auto-generate)",INDIRECT("'"&amp;$A29&amp;"'!$A$12:$Z$12"),0),0)),"ER"))</f>
        <v>?</v>
      </c>
      <c r="M29" s="10" t="str">
        <f aca="true">IF($F29=0,"NA",IF($A29=INDIRECT("'"&amp;$A29&amp;"'!$B$1"),IF(VLOOKUP(M$1,INDIRECT("'"&amp;$A29&amp;"'!$A$12:$Z$19"),MATCH("Points (Auto-generate)",INDIRECT("'"&amp;$A29&amp;"'!$A$12:$Z$12"),0),0)="","?",VLOOKUP(M$1,INDIRECT("'"&amp;$A29&amp;"'!$A$12:$Z$19"),MATCH("Points (Auto-generate)",INDIRECT("'"&amp;$A29&amp;"'!$A$12:$Z$12"),0),0)),"ER"))</f>
        <v>?</v>
      </c>
    </row>
    <row r="30" customFormat="false" ht="15" hidden="false" customHeight="true" outlineLevel="0" collapsed="false">
      <c r="A30" s="10" t="s">
        <v>453</v>
      </c>
      <c r="B30" s="10" t="str">
        <f aca="false">VLOOKUP($A30,'PARASTATAL Questions'!$A:$J,3,0)&amp;""</f>
        <v>Decentralised Participatory Governance</v>
      </c>
      <c r="C30" s="10" t="str">
        <f aca="false">VLOOKUP($A30,'PARASTATAL Questions'!$A:$J,4,0)&amp;""</f>
        <v>MQ</v>
      </c>
      <c r="D30" s="10" t="str">
        <f aca="false">VLOOKUP($A30,'PARASTATAL Questions'!$A:$J,5,0)&amp;""</f>
        <v>Are the parastatal's key financial, governance, and operational documents available on the website and published in accessible, open-data formats?</v>
      </c>
      <c r="E30" s="10" t="str">
        <f aca="false">VLOOKUP($A30,'PARASTATAL Questions'!$A:$J,7,0)&amp;""</f>
        <v>Implementation</v>
      </c>
      <c r="F30" s="10" t="n">
        <f aca="false">VLOOKUP($A30,'PARASTATAL Questions'!$A:$J,6,0)</f>
        <v>10</v>
      </c>
      <c r="G30" s="10" t="str">
        <f aca="false">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v>
      </c>
      <c r="H30" s="10" t="str">
        <f aca="false">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v>
      </c>
      <c r="I30" s="10" t="str">
        <f aca="false">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v>
      </c>
      <c r="J30" s="10" t="str">
        <f aca="false">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v>
      </c>
      <c r="K30" s="10" t="str">
        <f aca="false">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v>
      </c>
      <c r="L30" s="10" t="str">
        <f aca="false">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v>
      </c>
      <c r="M30" s="10" t="str">
        <f aca="false">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v>
      </c>
    </row>
    <row r="31" customFormat="false" ht="15" hidden="false" customHeight="true" outlineLevel="0" collapsed="false">
      <c r="A31" s="8" t="s">
        <v>210</v>
      </c>
      <c r="B31" s="8" t="str">
        <f aca="false">VLOOKUP($A31,'PARASTATAL Questions'!$A:$J,3,0)&amp;""</f>
        <v>Decentralised Participatory Governance</v>
      </c>
      <c r="C31" s="8" t="str">
        <f aca="false">VLOOKUP($A31,'PARASTATAL Questions'!$A:$J,4,0)&amp;""</f>
        <v>SQ</v>
      </c>
      <c r="D31" s="8" t="str">
        <f aca="false">VLOOKUP($A31,'PARASTATAL Questions'!$A:$J,5,0)&amp;""</f>
        <v>Annual budget</v>
      </c>
      <c r="E31" s="8" t="str">
        <f aca="false">VLOOKUP($A31,'PARASTATAL Questions'!$A:$J,7,0)&amp;""</f>
        <v>Implementation</v>
      </c>
      <c r="F31" s="8" t="n">
        <f aca="false">VLOOKUP($A31,'PARASTATAL Questions'!$A:$J,6,0)</f>
        <v>1</v>
      </c>
      <c r="G31" s="8" t="str">
        <f aca="true">IF($F31=0,"NA",IF($A31=INDIRECT("'"&amp;$A31&amp;"'!$B$1"),IF(VLOOKUP(G$1,INDIRECT("'"&amp;$A31&amp;"'!$A$12:$Z$19"),MATCH("Points (Auto-generate)",INDIRECT("'"&amp;$A31&amp;"'!$A$12:$Z$12"),0),0)="","?",VLOOKUP(G$1,INDIRECT("'"&amp;$A31&amp;"'!$A$12:$Z$19"),MATCH("Points (Auto-generate)",INDIRECT("'"&amp;$A31&amp;"'!$A$12:$Z$12"),0),0)),"ER"))</f>
        <v>?</v>
      </c>
      <c r="H31" s="8" t="str">
        <f aca="true">IF($F31=0,"NA",IF($A31=INDIRECT("'"&amp;$A31&amp;"'!$B$1"),IF(VLOOKUP(H$1,INDIRECT("'"&amp;$A31&amp;"'!$A$12:$Z$19"),MATCH("Points (Auto-generate)",INDIRECT("'"&amp;$A31&amp;"'!$A$12:$Z$12"),0),0)="","?",VLOOKUP(H$1,INDIRECT("'"&amp;$A31&amp;"'!$A$12:$Z$19"),MATCH("Points (Auto-generate)",INDIRECT("'"&amp;$A31&amp;"'!$A$12:$Z$12"),0),0)),"ER"))</f>
        <v>?</v>
      </c>
      <c r="I31" s="8" t="str">
        <f aca="true">IF($F31=0,"NA",IF($A31=INDIRECT("'"&amp;$A31&amp;"'!$B$1"),IF(VLOOKUP(I$1,INDIRECT("'"&amp;$A31&amp;"'!$A$12:$Z$19"),MATCH("Points (Auto-generate)",INDIRECT("'"&amp;$A31&amp;"'!$A$12:$Z$12"),0),0)="","?",VLOOKUP(I$1,INDIRECT("'"&amp;$A31&amp;"'!$A$12:$Z$19"),MATCH("Points (Auto-generate)",INDIRECT("'"&amp;$A31&amp;"'!$A$12:$Z$12"),0),0)),"ER"))</f>
        <v>?</v>
      </c>
      <c r="J31" s="8" t="str">
        <f aca="true">IF($F31=0,"NA",IF($A31=INDIRECT("'"&amp;$A31&amp;"'!$B$1"),IF(VLOOKUP(J$1,INDIRECT("'"&amp;$A31&amp;"'!$A$12:$Z$19"),MATCH("Points (Auto-generate)",INDIRECT("'"&amp;$A31&amp;"'!$A$12:$Z$12"),0),0)="","?",VLOOKUP(J$1,INDIRECT("'"&amp;$A31&amp;"'!$A$12:$Z$19"),MATCH("Points (Auto-generate)",INDIRECT("'"&amp;$A31&amp;"'!$A$12:$Z$12"),0),0)),"ER"))</f>
        <v>?</v>
      </c>
      <c r="K31" s="8" t="str">
        <f aca="true">IF($F31=0,"NA",IF($A31=INDIRECT("'"&amp;$A31&amp;"'!$B$1"),IF(VLOOKUP(K$1,INDIRECT("'"&amp;$A31&amp;"'!$A$12:$Z$19"),MATCH("Points (Auto-generate)",INDIRECT("'"&amp;$A31&amp;"'!$A$12:$Z$12"),0),0)="","?",VLOOKUP(K$1,INDIRECT("'"&amp;$A31&amp;"'!$A$12:$Z$19"),MATCH("Points (Auto-generate)",INDIRECT("'"&amp;$A31&amp;"'!$A$12:$Z$12"),0),0)),"ER"))</f>
        <v>?</v>
      </c>
      <c r="L31" s="8" t="str">
        <f aca="true">IF($F31=0,"NA",IF($A31=INDIRECT("'"&amp;$A31&amp;"'!$B$1"),IF(VLOOKUP(L$1,INDIRECT("'"&amp;$A31&amp;"'!$A$12:$Z$19"),MATCH("Points (Auto-generate)",INDIRECT("'"&amp;$A31&amp;"'!$A$12:$Z$12"),0),0)="","?",VLOOKUP(L$1,INDIRECT("'"&amp;$A31&amp;"'!$A$12:$Z$19"),MATCH("Points (Auto-generate)",INDIRECT("'"&amp;$A31&amp;"'!$A$12:$Z$12"),0),0)),"ER"))</f>
        <v>?</v>
      </c>
      <c r="M31" s="8" t="str">
        <f aca="true">IF($F31=0,"NA",IF($A31=INDIRECT("'"&amp;$A31&amp;"'!$B$1"),IF(VLOOKUP(M$1,INDIRECT("'"&amp;$A31&amp;"'!$A$12:$Z$19"),MATCH("Points (Auto-generate)",INDIRECT("'"&amp;$A31&amp;"'!$A$12:$Z$12"),0),0)="","?",VLOOKUP(M$1,INDIRECT("'"&amp;$A31&amp;"'!$A$12:$Z$19"),MATCH("Points (Auto-generate)",INDIRECT("'"&amp;$A31&amp;"'!$A$12:$Z$12"),0),0)),"ER"))</f>
        <v>?</v>
      </c>
    </row>
    <row r="32" customFormat="false" ht="15" hidden="false" customHeight="true" outlineLevel="0" collapsed="false">
      <c r="A32" s="8" t="s">
        <v>218</v>
      </c>
      <c r="B32" s="8" t="str">
        <f aca="false">VLOOKUP($A32,'PARASTATAL Questions'!$A:$J,3,0)&amp;""</f>
        <v>Decentralised Participatory Governance</v>
      </c>
      <c r="C32" s="8" t="str">
        <f aca="false">VLOOKUP($A32,'PARASTATAL Questions'!$A:$J,4,0)&amp;""</f>
        <v>SQ</v>
      </c>
      <c r="D32" s="8" t="str">
        <f aca="false">VLOOKUP($A32,'PARASTATAL Questions'!$A:$J,5,0)&amp;""</f>
        <v>Audited annual accounts</v>
      </c>
      <c r="E32" s="8" t="str">
        <f aca="false">VLOOKUP($A32,'PARASTATAL Questions'!$A:$J,7,0)&amp;""</f>
        <v>Implementation</v>
      </c>
      <c r="F32" s="8" t="n">
        <f aca="false">VLOOKUP($A32,'PARASTATAL Questions'!$A:$J,6,0)</f>
        <v>1</v>
      </c>
      <c r="G32" s="8" t="str">
        <f aca="true">IF($F32=0,"NA",IF($A32=INDIRECT("'"&amp;$A32&amp;"'!$B$1"),IF(VLOOKUP(G$1,INDIRECT("'"&amp;$A32&amp;"'!$A$12:$Z$19"),MATCH("Points (Auto-generate)",INDIRECT("'"&amp;$A32&amp;"'!$A$12:$Z$12"),0),0)="","?",VLOOKUP(G$1,INDIRECT("'"&amp;$A32&amp;"'!$A$12:$Z$19"),MATCH("Points (Auto-generate)",INDIRECT("'"&amp;$A32&amp;"'!$A$12:$Z$12"),0),0)),"ER"))</f>
        <v>?</v>
      </c>
      <c r="H32" s="8" t="str">
        <f aca="true">IF($F32=0,"NA",IF($A32=INDIRECT("'"&amp;$A32&amp;"'!$B$1"),IF(VLOOKUP(H$1,INDIRECT("'"&amp;$A32&amp;"'!$A$12:$Z$19"),MATCH("Points (Auto-generate)",INDIRECT("'"&amp;$A32&amp;"'!$A$12:$Z$12"),0),0)="","?",VLOOKUP(H$1,INDIRECT("'"&amp;$A32&amp;"'!$A$12:$Z$19"),MATCH("Points (Auto-generate)",INDIRECT("'"&amp;$A32&amp;"'!$A$12:$Z$12"),0),0)),"ER"))</f>
        <v>?</v>
      </c>
      <c r="I32" s="8" t="str">
        <f aca="true">IF($F32=0,"NA",IF($A32=INDIRECT("'"&amp;$A32&amp;"'!$B$1"),IF(VLOOKUP(I$1,INDIRECT("'"&amp;$A32&amp;"'!$A$12:$Z$19"),MATCH("Points (Auto-generate)",INDIRECT("'"&amp;$A32&amp;"'!$A$12:$Z$12"),0),0)="","?",VLOOKUP(I$1,INDIRECT("'"&amp;$A32&amp;"'!$A$12:$Z$19"),MATCH("Points (Auto-generate)",INDIRECT("'"&amp;$A32&amp;"'!$A$12:$Z$12"),0),0)),"ER"))</f>
        <v>?</v>
      </c>
      <c r="J32" s="8" t="n">
        <f aca="true">IF($F32=0,"NA",IF($A32=INDIRECT("'"&amp;$A32&amp;"'!$B$1"),IF(VLOOKUP(J$1,INDIRECT("'"&amp;$A32&amp;"'!$A$12:$Z$19"),MATCH("Points (Auto-generate)",INDIRECT("'"&amp;$A32&amp;"'!$A$12:$Z$12"),0),0)="","?",VLOOKUP(J$1,INDIRECT("'"&amp;$A32&amp;"'!$A$12:$Z$19"),MATCH("Points (Auto-generate)",INDIRECT("'"&amp;$A32&amp;"'!$A$12:$Z$12"),0),0)),"ER"))</f>
        <v>0</v>
      </c>
      <c r="K32" s="8" t="str">
        <f aca="true">IF($F32=0,"NA",IF($A32=INDIRECT("'"&amp;$A32&amp;"'!$B$1"),IF(VLOOKUP(K$1,INDIRECT("'"&amp;$A32&amp;"'!$A$12:$Z$19"),MATCH("Points (Auto-generate)",INDIRECT("'"&amp;$A32&amp;"'!$A$12:$Z$12"),0),0)="","?",VLOOKUP(K$1,INDIRECT("'"&amp;$A32&amp;"'!$A$12:$Z$19"),MATCH("Points (Auto-generate)",INDIRECT("'"&amp;$A32&amp;"'!$A$12:$Z$12"),0),0)),"ER"))</f>
        <v>?</v>
      </c>
      <c r="L32" s="8" t="str">
        <f aca="true">IF($F32=0,"NA",IF($A32=INDIRECT("'"&amp;$A32&amp;"'!$B$1"),IF(VLOOKUP(L$1,INDIRECT("'"&amp;$A32&amp;"'!$A$12:$Z$19"),MATCH("Points (Auto-generate)",INDIRECT("'"&amp;$A32&amp;"'!$A$12:$Z$12"),0),0)="","?",VLOOKUP(L$1,INDIRECT("'"&amp;$A32&amp;"'!$A$12:$Z$19"),MATCH("Points (Auto-generate)",INDIRECT("'"&amp;$A32&amp;"'!$A$12:$Z$12"),0),0)),"ER"))</f>
        <v>?</v>
      </c>
      <c r="M32" s="8" t="str">
        <f aca="true">IF($F32=0,"NA",IF($A32=INDIRECT("'"&amp;$A32&amp;"'!$B$1"),IF(VLOOKUP(M$1,INDIRECT("'"&amp;$A32&amp;"'!$A$12:$Z$19"),MATCH("Points (Auto-generate)",INDIRECT("'"&amp;$A32&amp;"'!$A$12:$Z$12"),0),0)="","?",VLOOKUP(M$1,INDIRECT("'"&amp;$A32&amp;"'!$A$12:$Z$19"),MATCH("Points (Auto-generate)",INDIRECT("'"&amp;$A32&amp;"'!$A$12:$Z$12"),0),0)),"ER"))</f>
        <v>?</v>
      </c>
    </row>
    <row r="33" customFormat="false" ht="15" hidden="false" customHeight="true" outlineLevel="0" collapsed="false">
      <c r="A33" s="8" t="s">
        <v>227</v>
      </c>
      <c r="B33" s="8" t="str">
        <f aca="false">VLOOKUP($A33,'PARASTATAL Questions'!$A:$J,3,0)&amp;""</f>
        <v>Decentralised Participatory Governance</v>
      </c>
      <c r="C33" s="8" t="str">
        <f aca="false">VLOOKUP($A33,'PARASTATAL Questions'!$A:$J,4,0)&amp;""</f>
        <v>SQ</v>
      </c>
      <c r="D33" s="8" t="str">
        <f aca="false">VLOOKUP($A33,'PARASTATAL Questions'!$A:$J,5,0)&amp;""</f>
        <v>Annual report</v>
      </c>
      <c r="E33" s="8" t="str">
        <f aca="false">VLOOKUP($A33,'PARASTATAL Questions'!$A:$J,7,0)&amp;""</f>
        <v>Implementation</v>
      </c>
      <c r="F33" s="8" t="n">
        <f aca="false">VLOOKUP($A33,'PARASTATAL Questions'!$A:$J,6,0)</f>
        <v>1</v>
      </c>
      <c r="G33" s="8" t="str">
        <f aca="true">IF($F33=0,"NA",IF($A33=INDIRECT("'"&amp;$A33&amp;"'!$B$1"),IF(VLOOKUP(G$1,INDIRECT("'"&amp;$A33&amp;"'!$A$12:$Z$19"),MATCH("Points (Auto-generate)",INDIRECT("'"&amp;$A33&amp;"'!$A$12:$Z$12"),0),0)="","?",VLOOKUP(G$1,INDIRECT("'"&amp;$A33&amp;"'!$A$12:$Z$19"),MATCH("Points (Auto-generate)",INDIRECT("'"&amp;$A33&amp;"'!$A$12:$Z$12"),0),0)),"ER"))</f>
        <v>?</v>
      </c>
      <c r="H33" s="8" t="str">
        <f aca="true">IF($F33=0,"NA",IF($A33=INDIRECT("'"&amp;$A33&amp;"'!$B$1"),IF(VLOOKUP(H$1,INDIRECT("'"&amp;$A33&amp;"'!$A$12:$Z$19"),MATCH("Points (Auto-generate)",INDIRECT("'"&amp;$A33&amp;"'!$A$12:$Z$12"),0),0)="","?",VLOOKUP(H$1,INDIRECT("'"&amp;$A33&amp;"'!$A$12:$Z$19"),MATCH("Points (Auto-generate)",INDIRECT("'"&amp;$A33&amp;"'!$A$12:$Z$12"),0),0)),"ER"))</f>
        <v>?</v>
      </c>
      <c r="I33" s="8" t="str">
        <f aca="true">IF($F33=0,"NA",IF($A33=INDIRECT("'"&amp;$A33&amp;"'!$B$1"),IF(VLOOKUP(I$1,INDIRECT("'"&amp;$A33&amp;"'!$A$12:$Z$19"),MATCH("Points (Auto-generate)",INDIRECT("'"&amp;$A33&amp;"'!$A$12:$Z$12"),0),0)="","?",VLOOKUP(I$1,INDIRECT("'"&amp;$A33&amp;"'!$A$12:$Z$19"),MATCH("Points (Auto-generate)",INDIRECT("'"&amp;$A33&amp;"'!$A$12:$Z$12"),0),0)),"ER"))</f>
        <v>?</v>
      </c>
      <c r="J33" s="8" t="str">
        <f aca="true">IF($F33=0,"NA",IF($A33=INDIRECT("'"&amp;$A33&amp;"'!$B$1"),IF(VLOOKUP(J$1,INDIRECT("'"&amp;$A33&amp;"'!$A$12:$Z$19"),MATCH("Points (Auto-generate)",INDIRECT("'"&amp;$A33&amp;"'!$A$12:$Z$12"),0),0)="","?",VLOOKUP(J$1,INDIRECT("'"&amp;$A33&amp;"'!$A$12:$Z$19"),MATCH("Points (Auto-generate)",INDIRECT("'"&amp;$A33&amp;"'!$A$12:$Z$12"),0),0)),"ER"))</f>
        <v>?</v>
      </c>
      <c r="K33" s="8" t="str">
        <f aca="true">IF($F33=0,"NA",IF($A33=INDIRECT("'"&amp;$A33&amp;"'!$B$1"),IF(VLOOKUP(K$1,INDIRECT("'"&amp;$A33&amp;"'!$A$12:$Z$19"),MATCH("Points (Auto-generate)",INDIRECT("'"&amp;$A33&amp;"'!$A$12:$Z$12"),0),0)="","?",VLOOKUP(K$1,INDIRECT("'"&amp;$A33&amp;"'!$A$12:$Z$19"),MATCH("Points (Auto-generate)",INDIRECT("'"&amp;$A33&amp;"'!$A$12:$Z$12"),0),0)),"ER"))</f>
        <v>?</v>
      </c>
      <c r="L33" s="8" t="str">
        <f aca="true">IF($F33=0,"NA",IF($A33=INDIRECT("'"&amp;$A33&amp;"'!$B$1"),IF(VLOOKUP(L$1,INDIRECT("'"&amp;$A33&amp;"'!$A$12:$Z$19"),MATCH("Points (Auto-generate)",INDIRECT("'"&amp;$A33&amp;"'!$A$12:$Z$12"),0),0)="","?",VLOOKUP(L$1,INDIRECT("'"&amp;$A33&amp;"'!$A$12:$Z$19"),MATCH("Points (Auto-generate)",INDIRECT("'"&amp;$A33&amp;"'!$A$12:$Z$12"),0),0)),"ER"))</f>
        <v>?</v>
      </c>
      <c r="M33" s="8" t="str">
        <f aca="true">IF($F33=0,"NA",IF($A33=INDIRECT("'"&amp;$A33&amp;"'!$B$1"),IF(VLOOKUP(M$1,INDIRECT("'"&amp;$A33&amp;"'!$A$12:$Z$19"),MATCH("Points (Auto-generate)",INDIRECT("'"&amp;$A33&amp;"'!$A$12:$Z$12"),0),0)="","?",VLOOKUP(M$1,INDIRECT("'"&amp;$A33&amp;"'!$A$12:$Z$19"),MATCH("Points (Auto-generate)",INDIRECT("'"&amp;$A33&amp;"'!$A$12:$Z$12"),0),0)),"ER"))</f>
        <v>?</v>
      </c>
    </row>
    <row r="34" customFormat="false" ht="15" hidden="false" customHeight="true" outlineLevel="0" collapsed="false">
      <c r="A34" s="8" t="s">
        <v>237</v>
      </c>
      <c r="B34" s="8" t="str">
        <f aca="false">VLOOKUP($A34,'PARASTATAL Questions'!$A:$J,3,0)&amp;""</f>
        <v>Decentralised Participatory Governance</v>
      </c>
      <c r="C34" s="8" t="str">
        <f aca="false">VLOOKUP($A34,'PARASTATAL Questions'!$A:$J,4,0)&amp;""</f>
        <v>SQ</v>
      </c>
      <c r="D34" s="8" t="str">
        <f aca="false">VLOOKUP($A34,'PARASTATAL Questions'!$A:$J,5,0)&amp;""</f>
        <v>Meeting minutes of governing board</v>
      </c>
      <c r="E34" s="8" t="str">
        <f aca="false">VLOOKUP($A34,'PARASTATAL Questions'!$A:$J,7,0)&amp;""</f>
        <v>Implementation</v>
      </c>
      <c r="F34" s="8" t="n">
        <f aca="false">VLOOKUP($A34,'PARASTATAL Questions'!$A:$J,6,0)</f>
        <v>1</v>
      </c>
      <c r="G34" s="8" t="str">
        <f aca="true">IF($F34=0,"NA",IF($A34=INDIRECT("'"&amp;$A34&amp;"'!$B$1"),IF(VLOOKUP(G$1,INDIRECT("'"&amp;$A34&amp;"'!$A$12:$Z$19"),MATCH("Points (Auto-generate)",INDIRECT("'"&amp;$A34&amp;"'!$A$12:$Z$12"),0),0)="","?",VLOOKUP(G$1,INDIRECT("'"&amp;$A34&amp;"'!$A$12:$Z$19"),MATCH("Points (Auto-generate)",INDIRECT("'"&amp;$A34&amp;"'!$A$12:$Z$12"),0),0)),"ER"))</f>
        <v>?</v>
      </c>
      <c r="H34" s="8" t="str">
        <f aca="true">IF($F34=0,"NA",IF($A34=INDIRECT("'"&amp;$A34&amp;"'!$B$1"),IF(VLOOKUP(H$1,INDIRECT("'"&amp;$A34&amp;"'!$A$12:$Z$19"),MATCH("Points (Auto-generate)",INDIRECT("'"&amp;$A34&amp;"'!$A$12:$Z$12"),0),0)="","?",VLOOKUP(H$1,INDIRECT("'"&amp;$A34&amp;"'!$A$12:$Z$19"),MATCH("Points (Auto-generate)",INDIRECT("'"&amp;$A34&amp;"'!$A$12:$Z$12"),0),0)),"ER"))</f>
        <v>?</v>
      </c>
      <c r="I34" s="8" t="str">
        <f aca="true">IF($F34=0,"NA",IF($A34=INDIRECT("'"&amp;$A34&amp;"'!$B$1"),IF(VLOOKUP(I$1,INDIRECT("'"&amp;$A34&amp;"'!$A$12:$Z$19"),MATCH("Points (Auto-generate)",INDIRECT("'"&amp;$A34&amp;"'!$A$12:$Z$12"),0),0)="","?",VLOOKUP(I$1,INDIRECT("'"&amp;$A34&amp;"'!$A$12:$Z$19"),MATCH("Points (Auto-generate)",INDIRECT("'"&amp;$A34&amp;"'!$A$12:$Z$12"),0),0)),"ER"))</f>
        <v>?</v>
      </c>
      <c r="J34" s="8" t="str">
        <f aca="true">IF($F34=0,"NA",IF($A34=INDIRECT("'"&amp;$A34&amp;"'!$B$1"),IF(VLOOKUP(J$1,INDIRECT("'"&amp;$A34&amp;"'!$A$12:$Z$19"),MATCH("Points (Auto-generate)",INDIRECT("'"&amp;$A34&amp;"'!$A$12:$Z$12"),0),0)="","?",VLOOKUP(J$1,INDIRECT("'"&amp;$A34&amp;"'!$A$12:$Z$19"),MATCH("Points (Auto-generate)",INDIRECT("'"&amp;$A34&amp;"'!$A$12:$Z$12"),0),0)),"ER"))</f>
        <v>?</v>
      </c>
      <c r="K34" s="8" t="str">
        <f aca="true">IF($F34=0,"NA",IF($A34=INDIRECT("'"&amp;$A34&amp;"'!$B$1"),IF(VLOOKUP(K$1,INDIRECT("'"&amp;$A34&amp;"'!$A$12:$Z$19"),MATCH("Points (Auto-generate)",INDIRECT("'"&amp;$A34&amp;"'!$A$12:$Z$12"),0),0)="","?",VLOOKUP(K$1,INDIRECT("'"&amp;$A34&amp;"'!$A$12:$Z$19"),MATCH("Points (Auto-generate)",INDIRECT("'"&amp;$A34&amp;"'!$A$12:$Z$12"),0),0)),"ER"))</f>
        <v>?</v>
      </c>
      <c r="L34" s="8" t="str">
        <f aca="true">IF($F34=0,"NA",IF($A34=INDIRECT("'"&amp;$A34&amp;"'!$B$1"),IF(VLOOKUP(L$1,INDIRECT("'"&amp;$A34&amp;"'!$A$12:$Z$19"),MATCH("Points (Auto-generate)",INDIRECT("'"&amp;$A34&amp;"'!$A$12:$Z$12"),0),0)="","?",VLOOKUP(L$1,INDIRECT("'"&amp;$A34&amp;"'!$A$12:$Z$19"),MATCH("Points (Auto-generate)",INDIRECT("'"&amp;$A34&amp;"'!$A$12:$Z$12"),0),0)),"ER"))</f>
        <v>?</v>
      </c>
      <c r="M34" s="8" t="str">
        <f aca="true">IF($F34=0,"NA",IF($A34=INDIRECT("'"&amp;$A34&amp;"'!$B$1"),IF(VLOOKUP(M$1,INDIRECT("'"&amp;$A34&amp;"'!$A$12:$Z$19"),MATCH("Points (Auto-generate)",INDIRECT("'"&amp;$A34&amp;"'!$A$12:$Z$12"),0),0)="","?",VLOOKUP(M$1,INDIRECT("'"&amp;$A34&amp;"'!$A$12:$Z$19"),MATCH("Points (Auto-generate)",INDIRECT("'"&amp;$A34&amp;"'!$A$12:$Z$12"),0),0)),"ER"))</f>
        <v>?</v>
      </c>
    </row>
    <row r="35" customFormat="false" ht="15" hidden="false" customHeight="true" outlineLevel="0" collapsed="false">
      <c r="A35" s="8" t="s">
        <v>244</v>
      </c>
      <c r="B35" s="8" t="str">
        <f aca="false">VLOOKUP($A35,'PARASTATAL Questions'!$A:$J,3,0)&amp;""</f>
        <v>Decentralised Participatory Governance</v>
      </c>
      <c r="C35" s="8" t="str">
        <f aca="false">VLOOKUP($A35,'PARASTATAL Questions'!$A:$J,4,0)&amp;""</f>
        <v>SQ</v>
      </c>
      <c r="D35" s="8" t="str">
        <f aca="false">VLOOKUP($A35,'PARASTATAL Questions'!$A:$J,5,0)&amp;""</f>
        <v>Organisation and staffing information</v>
      </c>
      <c r="E35" s="8" t="str">
        <f aca="false">VLOOKUP($A35,'PARASTATAL Questions'!$A:$J,7,0)&amp;""</f>
        <v>Implementation</v>
      </c>
      <c r="F35" s="8" t="n">
        <f aca="false">VLOOKUP($A35,'PARASTATAL Questions'!$A:$J,6,0)</f>
        <v>1</v>
      </c>
      <c r="G35" s="8" t="str">
        <f aca="true">IF($F35=0,"NA",IF($A35=INDIRECT("'"&amp;$A35&amp;"'!$B$1"),IF(VLOOKUP(G$1,INDIRECT("'"&amp;$A35&amp;"'!$A$12:$Z$19"),MATCH("Points (Auto-generate)",INDIRECT("'"&amp;$A35&amp;"'!$A$12:$Z$12"),0),0)="","?",VLOOKUP(G$1,INDIRECT("'"&amp;$A35&amp;"'!$A$12:$Z$19"),MATCH("Points (Auto-generate)",INDIRECT("'"&amp;$A35&amp;"'!$A$12:$Z$12"),0),0)),"ER"))</f>
        <v>?</v>
      </c>
      <c r="H35" s="8" t="str">
        <f aca="true">IF($F35=0,"NA",IF($A35=INDIRECT("'"&amp;$A35&amp;"'!$B$1"),IF(VLOOKUP(H$1,INDIRECT("'"&amp;$A35&amp;"'!$A$12:$Z$19"),MATCH("Points (Auto-generate)",INDIRECT("'"&amp;$A35&amp;"'!$A$12:$Z$12"),0),0)="","?",VLOOKUP(H$1,INDIRECT("'"&amp;$A35&amp;"'!$A$12:$Z$19"),MATCH("Points (Auto-generate)",INDIRECT("'"&amp;$A35&amp;"'!$A$12:$Z$12"),0),0)),"ER"))</f>
        <v>?</v>
      </c>
      <c r="I35" s="8" t="str">
        <f aca="true">IF($F35=0,"NA",IF($A35=INDIRECT("'"&amp;$A35&amp;"'!$B$1"),IF(VLOOKUP(I$1,INDIRECT("'"&amp;$A35&amp;"'!$A$12:$Z$19"),MATCH("Points (Auto-generate)",INDIRECT("'"&amp;$A35&amp;"'!$A$12:$Z$12"),0),0)="","?",VLOOKUP(I$1,INDIRECT("'"&amp;$A35&amp;"'!$A$12:$Z$19"),MATCH("Points (Auto-generate)",INDIRECT("'"&amp;$A35&amp;"'!$A$12:$Z$12"),0),0)),"ER"))</f>
        <v>?</v>
      </c>
      <c r="J35" s="8" t="str">
        <f aca="true">IF($F35=0,"NA",IF($A35=INDIRECT("'"&amp;$A35&amp;"'!$B$1"),IF(VLOOKUP(J$1,INDIRECT("'"&amp;$A35&amp;"'!$A$12:$Z$19"),MATCH("Points (Auto-generate)",INDIRECT("'"&amp;$A35&amp;"'!$A$12:$Z$12"),0),0)="","?",VLOOKUP(J$1,INDIRECT("'"&amp;$A35&amp;"'!$A$12:$Z$19"),MATCH("Points (Auto-generate)",INDIRECT("'"&amp;$A35&amp;"'!$A$12:$Z$12"),0),0)),"ER"))</f>
        <v>?</v>
      </c>
      <c r="K35" s="8" t="n">
        <f aca="true">IF($F35=0,"NA",IF($A35=INDIRECT("'"&amp;$A35&amp;"'!$B$1"),IF(VLOOKUP(K$1,INDIRECT("'"&amp;$A35&amp;"'!$A$12:$Z$19"),MATCH("Points (Auto-generate)",INDIRECT("'"&amp;$A35&amp;"'!$A$12:$Z$12"),0),0)="","?",VLOOKUP(K$1,INDIRECT("'"&amp;$A35&amp;"'!$A$12:$Z$19"),MATCH("Points (Auto-generate)",INDIRECT("'"&amp;$A35&amp;"'!$A$12:$Z$12"),0),0)),"ER"))</f>
        <v>1</v>
      </c>
      <c r="L35" s="8" t="str">
        <f aca="true">IF($F35=0,"NA",IF($A35=INDIRECT("'"&amp;$A35&amp;"'!$B$1"),IF(VLOOKUP(L$1,INDIRECT("'"&amp;$A35&amp;"'!$A$12:$Z$19"),MATCH("Points (Auto-generate)",INDIRECT("'"&amp;$A35&amp;"'!$A$12:$Z$12"),0),0)="","?",VLOOKUP(L$1,INDIRECT("'"&amp;$A35&amp;"'!$A$12:$Z$19"),MATCH("Points (Auto-generate)",INDIRECT("'"&amp;$A35&amp;"'!$A$12:$Z$12"),0),0)),"ER"))</f>
        <v>?</v>
      </c>
      <c r="M35" s="8" t="str">
        <f aca="true">IF($F35=0,"NA",IF($A35=INDIRECT("'"&amp;$A35&amp;"'!$B$1"),IF(VLOOKUP(M$1,INDIRECT("'"&amp;$A35&amp;"'!$A$12:$Z$19"),MATCH("Points (Auto-generate)",INDIRECT("'"&amp;$A35&amp;"'!$A$12:$Z$12"),0),0)="","?",VLOOKUP(M$1,INDIRECT("'"&amp;$A35&amp;"'!$A$12:$Z$19"),MATCH("Points (Auto-generate)",INDIRECT("'"&amp;$A35&amp;"'!$A$12:$Z$12"),0),0)),"ER"))</f>
        <v>?</v>
      </c>
    </row>
    <row r="36" customFormat="false" ht="15" hidden="false" customHeight="true" outlineLevel="0" collapsed="false">
      <c r="A36" s="8" t="s">
        <v>255</v>
      </c>
      <c r="B36" s="8" t="str">
        <f aca="false">VLOOKUP($A36,'PARASTATAL Questions'!$A:$J,3,0)&amp;""</f>
        <v>Decentralised Participatory Governance</v>
      </c>
      <c r="C36" s="8" t="str">
        <f aca="false">VLOOKUP($A36,'PARASTATAL Questions'!$A:$J,4,0)&amp;""</f>
        <v>SQ</v>
      </c>
      <c r="D36" s="8" t="str">
        <f aca="false">VLOOKUP($A36,'PARASTATAL Questions'!$A:$J,5,0)&amp;""</f>
        <v>Major plans / projects</v>
      </c>
      <c r="E36" s="8" t="str">
        <f aca="false">VLOOKUP($A36,'PARASTATAL Questions'!$A:$J,7,0)&amp;""</f>
        <v>Implementation</v>
      </c>
      <c r="F36" s="8" t="n">
        <f aca="false">VLOOKUP($A36,'PARASTATAL Questions'!$A:$J,6,0)</f>
        <v>1</v>
      </c>
      <c r="G36" s="8" t="str">
        <f aca="true">IF($F36=0,"NA",IF($A36=INDIRECT("'"&amp;$A36&amp;"'!$B$1"),IF(VLOOKUP(G$1,INDIRECT("'"&amp;$A36&amp;"'!$A$12:$Z$19"),MATCH("Points (Auto-generate)",INDIRECT("'"&amp;$A36&amp;"'!$A$12:$Z$12"),0),0)="","?",VLOOKUP(G$1,INDIRECT("'"&amp;$A36&amp;"'!$A$12:$Z$19"),MATCH("Points (Auto-generate)",INDIRECT("'"&amp;$A36&amp;"'!$A$12:$Z$12"),0),0)),"ER"))</f>
        <v>?</v>
      </c>
      <c r="H36" s="8" t="str">
        <f aca="true">IF($F36=0,"NA",IF($A36=INDIRECT("'"&amp;$A36&amp;"'!$B$1"),IF(VLOOKUP(H$1,INDIRECT("'"&amp;$A36&amp;"'!$A$12:$Z$19"),MATCH("Points (Auto-generate)",INDIRECT("'"&amp;$A36&amp;"'!$A$12:$Z$12"),0),0)="","?",VLOOKUP(H$1,INDIRECT("'"&amp;$A36&amp;"'!$A$12:$Z$19"),MATCH("Points (Auto-generate)",INDIRECT("'"&amp;$A36&amp;"'!$A$12:$Z$12"),0),0)),"ER"))</f>
        <v>?</v>
      </c>
      <c r="I36" s="8" t="str">
        <f aca="true">IF($F36=0,"NA",IF($A36=INDIRECT("'"&amp;$A36&amp;"'!$B$1"),IF(VLOOKUP(I$1,INDIRECT("'"&amp;$A36&amp;"'!$A$12:$Z$19"),MATCH("Points (Auto-generate)",INDIRECT("'"&amp;$A36&amp;"'!$A$12:$Z$12"),0),0)="","?",VLOOKUP(I$1,INDIRECT("'"&amp;$A36&amp;"'!$A$12:$Z$19"),MATCH("Points (Auto-generate)",INDIRECT("'"&amp;$A36&amp;"'!$A$12:$Z$12"),0),0)),"ER"))</f>
        <v>?</v>
      </c>
      <c r="J36" s="8" t="str">
        <f aca="true">IF($F36=0,"NA",IF($A36=INDIRECT("'"&amp;$A36&amp;"'!$B$1"),IF(VLOOKUP(J$1,INDIRECT("'"&amp;$A36&amp;"'!$A$12:$Z$19"),MATCH("Points (Auto-generate)",INDIRECT("'"&amp;$A36&amp;"'!$A$12:$Z$12"),0),0)="","?",VLOOKUP(J$1,INDIRECT("'"&amp;$A36&amp;"'!$A$12:$Z$19"),MATCH("Points (Auto-generate)",INDIRECT("'"&amp;$A36&amp;"'!$A$12:$Z$12"),0),0)),"ER"))</f>
        <v>?</v>
      </c>
      <c r="K36" s="8" t="str">
        <f aca="true">IF($F36=0,"NA",IF($A36=INDIRECT("'"&amp;$A36&amp;"'!$B$1"),IF(VLOOKUP(K$1,INDIRECT("'"&amp;$A36&amp;"'!$A$12:$Z$19"),MATCH("Points (Auto-generate)",INDIRECT("'"&amp;$A36&amp;"'!$A$12:$Z$12"),0),0)="","?",VLOOKUP(K$1,INDIRECT("'"&amp;$A36&amp;"'!$A$12:$Z$19"),MATCH("Points (Auto-generate)",INDIRECT("'"&amp;$A36&amp;"'!$A$12:$Z$12"),0),0)),"ER"))</f>
        <v>?</v>
      </c>
      <c r="L36" s="8" t="str">
        <f aca="true">IF($F36=0,"NA",IF($A36=INDIRECT("'"&amp;$A36&amp;"'!$B$1"),IF(VLOOKUP(L$1,INDIRECT("'"&amp;$A36&amp;"'!$A$12:$Z$19"),MATCH("Points (Auto-generate)",INDIRECT("'"&amp;$A36&amp;"'!$A$12:$Z$12"),0),0)="","?",VLOOKUP(L$1,INDIRECT("'"&amp;$A36&amp;"'!$A$12:$Z$19"),MATCH("Points (Auto-generate)",INDIRECT("'"&amp;$A36&amp;"'!$A$12:$Z$12"),0),0)),"ER"))</f>
        <v>?</v>
      </c>
      <c r="M36" s="8" t="str">
        <f aca="true">IF($F36=0,"NA",IF($A36=INDIRECT("'"&amp;$A36&amp;"'!$B$1"),IF(VLOOKUP(M$1,INDIRECT("'"&amp;$A36&amp;"'!$A$12:$Z$19"),MATCH("Points (Auto-generate)",INDIRECT("'"&amp;$A36&amp;"'!$A$12:$Z$12"),0),0)="","?",VLOOKUP(M$1,INDIRECT("'"&amp;$A36&amp;"'!$A$12:$Z$19"),MATCH("Points (Auto-generate)",INDIRECT("'"&amp;$A36&amp;"'!$A$12:$Z$12"),0),0)),"ER"))</f>
        <v>?</v>
      </c>
    </row>
    <row r="37" customFormat="false" ht="15" hidden="false" customHeight="true" outlineLevel="0" collapsed="false">
      <c r="A37" s="8" t="s">
        <v>264</v>
      </c>
      <c r="B37" s="8" t="str">
        <f aca="false">VLOOKUP($A37,'PARASTATAL Questions'!$A:$J,3,0)&amp;""</f>
        <v>Decentralised Participatory Governance</v>
      </c>
      <c r="C37" s="8" t="str">
        <f aca="false">VLOOKUP($A37,'PARASTATAL Questions'!$A:$J,4,0)&amp;""</f>
        <v>SQ</v>
      </c>
      <c r="D37" s="8" t="str">
        <f aca="false">VLOOKUP($A37,'PARASTATAL Questions'!$A:$J,5,0)&amp;""</f>
        <v>Service-level benchmarks and performance reports</v>
      </c>
      <c r="E37" s="8" t="str">
        <f aca="false">VLOOKUP($A37,'PARASTATAL Questions'!$A:$J,7,0)&amp;""</f>
        <v>Implementation</v>
      </c>
      <c r="F37" s="8" t="n">
        <f aca="false">VLOOKUP($A37,'PARASTATAL Questions'!$A:$J,6,0)</f>
        <v>1</v>
      </c>
      <c r="G37" s="8" t="str">
        <f aca="true">IF($F37=0,"NA",IF($A37=INDIRECT("'"&amp;$A37&amp;"'!$B$1"),IF(VLOOKUP(G$1,INDIRECT("'"&amp;$A37&amp;"'!$A$12:$Z$19"),MATCH("Points (Auto-generate)",INDIRECT("'"&amp;$A37&amp;"'!$A$12:$Z$12"),0),0)="","?",VLOOKUP(G$1,INDIRECT("'"&amp;$A37&amp;"'!$A$12:$Z$19"),MATCH("Points (Auto-generate)",INDIRECT("'"&amp;$A37&amp;"'!$A$12:$Z$12"),0),0)),"ER"))</f>
        <v>?</v>
      </c>
      <c r="H37" s="8" t="str">
        <f aca="true">IF($F37=0,"NA",IF($A37=INDIRECT("'"&amp;$A37&amp;"'!$B$1"),IF(VLOOKUP(H$1,INDIRECT("'"&amp;$A37&amp;"'!$A$12:$Z$19"),MATCH("Points (Auto-generate)",INDIRECT("'"&amp;$A37&amp;"'!$A$12:$Z$12"),0),0)="","?",VLOOKUP(H$1,INDIRECT("'"&amp;$A37&amp;"'!$A$12:$Z$19"),MATCH("Points (Auto-generate)",INDIRECT("'"&amp;$A37&amp;"'!$A$12:$Z$12"),0),0)),"ER"))</f>
        <v>?</v>
      </c>
      <c r="I37" s="8" t="str">
        <f aca="true">IF($F37=0,"NA",IF($A37=INDIRECT("'"&amp;$A37&amp;"'!$B$1"),IF(VLOOKUP(I$1,INDIRECT("'"&amp;$A37&amp;"'!$A$12:$Z$19"),MATCH("Points (Auto-generate)",INDIRECT("'"&amp;$A37&amp;"'!$A$12:$Z$12"),0),0)="","?",VLOOKUP(I$1,INDIRECT("'"&amp;$A37&amp;"'!$A$12:$Z$19"),MATCH("Points (Auto-generate)",INDIRECT("'"&amp;$A37&amp;"'!$A$12:$Z$12"),0),0)),"ER"))</f>
        <v>?</v>
      </c>
      <c r="J37" s="8" t="str">
        <f aca="true">IF($F37=0,"NA",IF($A37=INDIRECT("'"&amp;$A37&amp;"'!$B$1"),IF(VLOOKUP(J$1,INDIRECT("'"&amp;$A37&amp;"'!$A$12:$Z$19"),MATCH("Points (Auto-generate)",INDIRECT("'"&amp;$A37&amp;"'!$A$12:$Z$12"),0),0)="","?",VLOOKUP(J$1,INDIRECT("'"&amp;$A37&amp;"'!$A$12:$Z$19"),MATCH("Points (Auto-generate)",INDIRECT("'"&amp;$A37&amp;"'!$A$12:$Z$12"),0),0)),"ER"))</f>
        <v>?</v>
      </c>
      <c r="K37" s="8" t="n">
        <f aca="true">IF($F37=0,"NA",IF($A37=INDIRECT("'"&amp;$A37&amp;"'!$B$1"),IF(VLOOKUP(K$1,INDIRECT("'"&amp;$A37&amp;"'!$A$12:$Z$19"),MATCH("Points (Auto-generate)",INDIRECT("'"&amp;$A37&amp;"'!$A$12:$Z$12"),0),0)="","?",VLOOKUP(K$1,INDIRECT("'"&amp;$A37&amp;"'!$A$12:$Z$19"),MATCH("Points (Auto-generate)",INDIRECT("'"&amp;$A37&amp;"'!$A$12:$Z$12"),0),0)),"ER"))</f>
        <v>0</v>
      </c>
      <c r="L37" s="8" t="str">
        <f aca="true">IF($F37=0,"NA",IF($A37=INDIRECT("'"&amp;$A37&amp;"'!$B$1"),IF(VLOOKUP(L$1,INDIRECT("'"&amp;$A37&amp;"'!$A$12:$Z$19"),MATCH("Points (Auto-generate)",INDIRECT("'"&amp;$A37&amp;"'!$A$12:$Z$12"),0),0)="","?",VLOOKUP(L$1,INDIRECT("'"&amp;$A37&amp;"'!$A$12:$Z$19"),MATCH("Points (Auto-generate)",INDIRECT("'"&amp;$A37&amp;"'!$A$12:$Z$12"),0),0)),"ER"))</f>
        <v>?</v>
      </c>
      <c r="M37" s="8" t="str">
        <f aca="true">IF($F37=0,"NA",IF($A37=INDIRECT("'"&amp;$A37&amp;"'!$B$1"),IF(VLOOKUP(M$1,INDIRECT("'"&amp;$A37&amp;"'!$A$12:$Z$19"),MATCH("Points (Auto-generate)",INDIRECT("'"&amp;$A37&amp;"'!$A$12:$Z$12"),0),0)="","?",VLOOKUP(M$1,INDIRECT("'"&amp;$A37&amp;"'!$A$12:$Z$19"),MATCH("Points (Auto-generate)",INDIRECT("'"&amp;$A37&amp;"'!$A$12:$Z$12"),0),0)),"ER"))</f>
        <v>?</v>
      </c>
    </row>
    <row r="38" customFormat="false" ht="15" hidden="false" customHeight="true" outlineLevel="0" collapsed="false">
      <c r="A38" s="8" t="s">
        <v>272</v>
      </c>
      <c r="B38" s="8" t="str">
        <f aca="false">VLOOKUP($A38,'PARASTATAL Questions'!$A:$J,3,0)&amp;""</f>
        <v>Decentralised Participatory Governance</v>
      </c>
      <c r="C38" s="8" t="str">
        <f aca="false">VLOOKUP($A38,'PARASTATAL Questions'!$A:$J,4,0)&amp;""</f>
        <v>SQ</v>
      </c>
      <c r="D38" s="8" t="str">
        <f aca="false">VLOOKUP($A38,'PARASTATAL Questions'!$A:$J,5,0)&amp;""</f>
        <v>Citizen / Service Charter</v>
      </c>
      <c r="E38" s="8" t="str">
        <f aca="false">VLOOKUP($A38,'PARASTATAL Questions'!$A:$J,7,0)&amp;""</f>
        <v>Implementation</v>
      </c>
      <c r="F38" s="8" t="n">
        <f aca="false">VLOOKUP($A38,'PARASTATAL Questions'!$A:$J,6,0)</f>
        <v>1</v>
      </c>
      <c r="G38" s="8" t="str">
        <f aca="true">IF($F38=0,"NA",IF($A38=INDIRECT("'"&amp;$A38&amp;"'!$B$1"),IF(VLOOKUP(G$1,INDIRECT("'"&amp;$A38&amp;"'!$A$12:$Z$19"),MATCH("Points (Auto-generate)",INDIRECT("'"&amp;$A38&amp;"'!$A$12:$Z$12"),0),0)="","?",VLOOKUP(G$1,INDIRECT("'"&amp;$A38&amp;"'!$A$12:$Z$19"),MATCH("Points (Auto-generate)",INDIRECT("'"&amp;$A38&amp;"'!$A$12:$Z$12"),0),0)),"ER"))</f>
        <v>?</v>
      </c>
      <c r="H38" s="8" t="str">
        <f aca="true">IF($F38=0,"NA",IF($A38=INDIRECT("'"&amp;$A38&amp;"'!$B$1"),IF(VLOOKUP(H$1,INDIRECT("'"&amp;$A38&amp;"'!$A$12:$Z$19"),MATCH("Points (Auto-generate)",INDIRECT("'"&amp;$A38&amp;"'!$A$12:$Z$12"),0),0)="","?",VLOOKUP(H$1,INDIRECT("'"&amp;$A38&amp;"'!$A$12:$Z$19"),MATCH("Points (Auto-generate)",INDIRECT("'"&amp;$A38&amp;"'!$A$12:$Z$12"),0),0)),"ER"))</f>
        <v>?</v>
      </c>
      <c r="I38" s="8" t="str">
        <f aca="true">IF($F38=0,"NA",IF($A38=INDIRECT("'"&amp;$A38&amp;"'!$B$1"),IF(VLOOKUP(I$1,INDIRECT("'"&amp;$A38&amp;"'!$A$12:$Z$19"),MATCH("Points (Auto-generate)",INDIRECT("'"&amp;$A38&amp;"'!$A$12:$Z$12"),0),0)="","?",VLOOKUP(I$1,INDIRECT("'"&amp;$A38&amp;"'!$A$12:$Z$19"),MATCH("Points (Auto-generate)",INDIRECT("'"&amp;$A38&amp;"'!$A$12:$Z$12"),0),0)),"ER"))</f>
        <v>?</v>
      </c>
      <c r="J38" s="8" t="str">
        <f aca="true">IF($F38=0,"NA",IF($A38=INDIRECT("'"&amp;$A38&amp;"'!$B$1"),IF(VLOOKUP(J$1,INDIRECT("'"&amp;$A38&amp;"'!$A$12:$Z$19"),MATCH("Points (Auto-generate)",INDIRECT("'"&amp;$A38&amp;"'!$A$12:$Z$12"),0),0)="","?",VLOOKUP(J$1,INDIRECT("'"&amp;$A38&amp;"'!$A$12:$Z$19"),MATCH("Points (Auto-generate)",INDIRECT("'"&amp;$A38&amp;"'!$A$12:$Z$12"),0),0)),"ER"))</f>
        <v>?</v>
      </c>
      <c r="K38" s="8" t="str">
        <f aca="true">IF($F38=0,"NA",IF($A38=INDIRECT("'"&amp;$A38&amp;"'!$B$1"),IF(VLOOKUP(K$1,INDIRECT("'"&amp;$A38&amp;"'!$A$12:$Z$19"),MATCH("Points (Auto-generate)",INDIRECT("'"&amp;$A38&amp;"'!$A$12:$Z$12"),0),0)="","?",VLOOKUP(K$1,INDIRECT("'"&amp;$A38&amp;"'!$A$12:$Z$19"),MATCH("Points (Auto-generate)",INDIRECT("'"&amp;$A38&amp;"'!$A$12:$Z$12"),0),0)),"ER"))</f>
        <v>?</v>
      </c>
      <c r="L38" s="8" t="str">
        <f aca="true">IF($F38=0,"NA",IF($A38=INDIRECT("'"&amp;$A38&amp;"'!$B$1"),IF(VLOOKUP(L$1,INDIRECT("'"&amp;$A38&amp;"'!$A$12:$Z$19"),MATCH("Points (Auto-generate)",INDIRECT("'"&amp;$A38&amp;"'!$A$12:$Z$12"),0),0)="","?",VLOOKUP(L$1,INDIRECT("'"&amp;$A38&amp;"'!$A$12:$Z$19"),MATCH("Points (Auto-generate)",INDIRECT("'"&amp;$A38&amp;"'!$A$12:$Z$12"),0),0)),"ER"))</f>
        <v>?</v>
      </c>
      <c r="M38" s="8" t="str">
        <f aca="true">IF($F38=0,"NA",IF($A38=INDIRECT("'"&amp;$A38&amp;"'!$B$1"),IF(VLOOKUP(M$1,INDIRECT("'"&amp;$A38&amp;"'!$A$12:$Z$19"),MATCH("Points (Auto-generate)",INDIRECT("'"&amp;$A38&amp;"'!$A$12:$Z$12"),0),0)="","?",VLOOKUP(M$1,INDIRECT("'"&amp;$A38&amp;"'!$A$12:$Z$19"),MATCH("Points (Auto-generate)",INDIRECT("'"&amp;$A38&amp;"'!$A$12:$Z$12"),0),0)),"ER"))</f>
        <v>?</v>
      </c>
    </row>
    <row r="39" customFormat="false" ht="15" hidden="false" customHeight="true" outlineLevel="0" collapsed="false">
      <c r="A39" s="8" t="s">
        <v>281</v>
      </c>
      <c r="B39" s="8" t="str">
        <f aca="false">VLOOKUP($A39,'PARASTATAL Questions'!$A:$J,3,0)&amp;""</f>
        <v>Decentralised Participatory Governance</v>
      </c>
      <c r="C39" s="8" t="str">
        <f aca="false">VLOOKUP($A39,'PARASTATAL Questions'!$A:$J,4,0)&amp;""</f>
        <v>SQ</v>
      </c>
      <c r="D39" s="8" t="str">
        <f aca="false">VLOOKUP($A39,'PARASTATAL Questions'!$A:$J,5,0)&amp;""</f>
        <v>RTI details and designated Public Information Officer contact/procedure</v>
      </c>
      <c r="E39" s="8" t="str">
        <f aca="false">VLOOKUP($A39,'PARASTATAL Questions'!$A:$J,7,0)&amp;""</f>
        <v>Implementation</v>
      </c>
      <c r="F39" s="8" t="n">
        <f aca="false">VLOOKUP($A39,'PARASTATAL Questions'!$A:$J,6,0)</f>
        <v>1</v>
      </c>
      <c r="G39" s="8" t="str">
        <f aca="true">IF($F39=0,"NA",IF($A39=INDIRECT("'"&amp;$A39&amp;"'!$B$1"),IF(VLOOKUP(G$1,INDIRECT("'"&amp;$A39&amp;"'!$A$12:$Z$19"),MATCH("Points (Auto-generate)",INDIRECT("'"&amp;$A39&amp;"'!$A$12:$Z$12"),0),0)="","?",VLOOKUP(G$1,INDIRECT("'"&amp;$A39&amp;"'!$A$12:$Z$19"),MATCH("Points (Auto-generate)",INDIRECT("'"&amp;$A39&amp;"'!$A$12:$Z$12"),0),0)),"ER"))</f>
        <v>?</v>
      </c>
      <c r="H39" s="8" t="str">
        <f aca="true">IF($F39=0,"NA",IF($A39=INDIRECT("'"&amp;$A39&amp;"'!$B$1"),IF(VLOOKUP(H$1,INDIRECT("'"&amp;$A39&amp;"'!$A$12:$Z$19"),MATCH("Points (Auto-generate)",INDIRECT("'"&amp;$A39&amp;"'!$A$12:$Z$12"),0),0)="","?",VLOOKUP(H$1,INDIRECT("'"&amp;$A39&amp;"'!$A$12:$Z$19"),MATCH("Points (Auto-generate)",INDIRECT("'"&amp;$A39&amp;"'!$A$12:$Z$12"),0),0)),"ER"))</f>
        <v>?</v>
      </c>
      <c r="I39" s="8" t="str">
        <f aca="true">IF($F39=0,"NA",IF($A39=INDIRECT("'"&amp;$A39&amp;"'!$B$1"),IF(VLOOKUP(I$1,INDIRECT("'"&amp;$A39&amp;"'!$A$12:$Z$19"),MATCH("Points (Auto-generate)",INDIRECT("'"&amp;$A39&amp;"'!$A$12:$Z$12"),0),0)="","?",VLOOKUP(I$1,INDIRECT("'"&amp;$A39&amp;"'!$A$12:$Z$19"),MATCH("Points (Auto-generate)",INDIRECT("'"&amp;$A39&amp;"'!$A$12:$Z$12"),0),0)),"ER"))</f>
        <v>?</v>
      </c>
      <c r="J39" s="8" t="str">
        <f aca="true">IF($F39=0,"NA",IF($A39=INDIRECT("'"&amp;$A39&amp;"'!$B$1"),IF(VLOOKUP(J$1,INDIRECT("'"&amp;$A39&amp;"'!$A$12:$Z$19"),MATCH("Points (Auto-generate)",INDIRECT("'"&amp;$A39&amp;"'!$A$12:$Z$12"),0),0)="","?",VLOOKUP(J$1,INDIRECT("'"&amp;$A39&amp;"'!$A$12:$Z$19"),MATCH("Points (Auto-generate)",INDIRECT("'"&amp;$A39&amp;"'!$A$12:$Z$12"),0),0)),"ER"))</f>
        <v>?</v>
      </c>
      <c r="K39" s="8" t="str">
        <f aca="true">IF($F39=0,"NA",IF($A39=INDIRECT("'"&amp;$A39&amp;"'!$B$1"),IF(VLOOKUP(K$1,INDIRECT("'"&amp;$A39&amp;"'!$A$12:$Z$19"),MATCH("Points (Auto-generate)",INDIRECT("'"&amp;$A39&amp;"'!$A$12:$Z$12"),0),0)="","?",VLOOKUP(K$1,INDIRECT("'"&amp;$A39&amp;"'!$A$12:$Z$19"),MATCH("Points (Auto-generate)",INDIRECT("'"&amp;$A39&amp;"'!$A$12:$Z$12"),0),0)),"ER"))</f>
        <v>?</v>
      </c>
      <c r="L39" s="8" t="str">
        <f aca="true">IF($F39=0,"NA",IF($A39=INDIRECT("'"&amp;$A39&amp;"'!$B$1"),IF(VLOOKUP(L$1,INDIRECT("'"&amp;$A39&amp;"'!$A$12:$Z$19"),MATCH("Points (Auto-generate)",INDIRECT("'"&amp;$A39&amp;"'!$A$12:$Z$12"),0),0)="","?",VLOOKUP(L$1,INDIRECT("'"&amp;$A39&amp;"'!$A$12:$Z$19"),MATCH("Points (Auto-generate)",INDIRECT("'"&amp;$A39&amp;"'!$A$12:$Z$12"),0),0)),"ER"))</f>
        <v>?</v>
      </c>
      <c r="M39" s="8" t="str">
        <f aca="true">IF($F39=0,"NA",IF($A39=INDIRECT("'"&amp;$A39&amp;"'!$B$1"),IF(VLOOKUP(M$1,INDIRECT("'"&amp;$A39&amp;"'!$A$12:$Z$19"),MATCH("Points (Auto-generate)",INDIRECT("'"&amp;$A39&amp;"'!$A$12:$Z$12"),0),0)="","?",VLOOKUP(M$1,INDIRECT("'"&amp;$A39&amp;"'!$A$12:$Z$19"),MATCH("Points (Auto-generate)",INDIRECT("'"&amp;$A39&amp;"'!$A$12:$Z$12"),0),0)),"ER"))</f>
        <v>?</v>
      </c>
    </row>
    <row r="40" customFormat="false" ht="15" hidden="false" customHeight="true" outlineLevel="0" collapsed="false">
      <c r="A40" s="8" t="s">
        <v>288</v>
      </c>
      <c r="B40" s="8" t="str">
        <f aca="false">VLOOKUP($A40,'PARASTATAL Questions'!$A:$J,3,0)&amp;""</f>
        <v>Decentralised Participatory Governance</v>
      </c>
      <c r="C40" s="8" t="str">
        <f aca="false">VLOOKUP($A40,'PARASTATAL Questions'!$A:$J,4,0)&amp;""</f>
        <v>SQ</v>
      </c>
      <c r="D40" s="8" t="str">
        <f aca="false">VLOOKUP($A40,'PARASTATAL Questions'!$A:$J,5,0)&amp;""</f>
        <v>Procurement / tender notices and awarded-contract details</v>
      </c>
      <c r="E40" s="8" t="str">
        <f aca="false">VLOOKUP($A40,'PARASTATAL Questions'!$A:$J,7,0)&amp;""</f>
        <v>Implementation</v>
      </c>
      <c r="F40" s="8" t="n">
        <f aca="false">VLOOKUP($A40,'PARASTATAL Questions'!$A:$J,6,0)</f>
        <v>1</v>
      </c>
      <c r="G40" s="8" t="str">
        <f aca="true">IF($F40=0,"NA",IF($A40=INDIRECT("'"&amp;$A40&amp;"'!$B$1"),IF(VLOOKUP(G$1,INDIRECT("'"&amp;$A40&amp;"'!$A$12:$Z$19"),MATCH("Points (Auto-generate)",INDIRECT("'"&amp;$A40&amp;"'!$A$12:$Z$12"),0),0)="","?",VLOOKUP(G$1,INDIRECT("'"&amp;$A40&amp;"'!$A$12:$Z$19"),MATCH("Points (Auto-generate)",INDIRECT("'"&amp;$A40&amp;"'!$A$12:$Z$12"),0),0)),"ER"))</f>
        <v>?</v>
      </c>
      <c r="H40" s="8" t="str">
        <f aca="true">IF($F40=0,"NA",IF($A40=INDIRECT("'"&amp;$A40&amp;"'!$B$1"),IF(VLOOKUP(H$1,INDIRECT("'"&amp;$A40&amp;"'!$A$12:$Z$19"),MATCH("Points (Auto-generate)",INDIRECT("'"&amp;$A40&amp;"'!$A$12:$Z$12"),0),0)="","?",VLOOKUP(H$1,INDIRECT("'"&amp;$A40&amp;"'!$A$12:$Z$19"),MATCH("Points (Auto-generate)",INDIRECT("'"&amp;$A40&amp;"'!$A$12:$Z$12"),0),0)),"ER"))</f>
        <v>?</v>
      </c>
      <c r="I40" s="8" t="str">
        <f aca="true">IF($F40=0,"NA",IF($A40=INDIRECT("'"&amp;$A40&amp;"'!$B$1"),IF(VLOOKUP(I$1,INDIRECT("'"&amp;$A40&amp;"'!$A$12:$Z$19"),MATCH("Points (Auto-generate)",INDIRECT("'"&amp;$A40&amp;"'!$A$12:$Z$12"),0),0)="","?",VLOOKUP(I$1,INDIRECT("'"&amp;$A40&amp;"'!$A$12:$Z$19"),MATCH("Points (Auto-generate)",INDIRECT("'"&amp;$A40&amp;"'!$A$12:$Z$12"),0),0)),"ER"))</f>
        <v>?</v>
      </c>
      <c r="J40" s="8" t="str">
        <f aca="true">IF($F40=0,"NA",IF($A40=INDIRECT("'"&amp;$A40&amp;"'!$B$1"),IF(VLOOKUP(J$1,INDIRECT("'"&amp;$A40&amp;"'!$A$12:$Z$19"),MATCH("Points (Auto-generate)",INDIRECT("'"&amp;$A40&amp;"'!$A$12:$Z$12"),0),0)="","?",VLOOKUP(J$1,INDIRECT("'"&amp;$A40&amp;"'!$A$12:$Z$19"),MATCH("Points (Auto-generate)",INDIRECT("'"&amp;$A40&amp;"'!$A$12:$Z$12"),0),0)),"ER"))</f>
        <v>?</v>
      </c>
      <c r="K40" s="8" t="str">
        <f aca="true">IF($F40=0,"NA",IF($A40=INDIRECT("'"&amp;$A40&amp;"'!$B$1"),IF(VLOOKUP(K$1,INDIRECT("'"&amp;$A40&amp;"'!$A$12:$Z$19"),MATCH("Points (Auto-generate)",INDIRECT("'"&amp;$A40&amp;"'!$A$12:$Z$12"),0),0)="","?",VLOOKUP(K$1,INDIRECT("'"&amp;$A40&amp;"'!$A$12:$Z$19"),MATCH("Points (Auto-generate)",INDIRECT("'"&amp;$A40&amp;"'!$A$12:$Z$12"),0),0)),"ER"))</f>
        <v>?</v>
      </c>
      <c r="L40" s="8" t="str">
        <f aca="true">IF($F40=0,"NA",IF($A40=INDIRECT("'"&amp;$A40&amp;"'!$B$1"),IF(VLOOKUP(L$1,INDIRECT("'"&amp;$A40&amp;"'!$A$12:$Z$19"),MATCH("Points (Auto-generate)",INDIRECT("'"&amp;$A40&amp;"'!$A$12:$Z$12"),0),0)="","?",VLOOKUP(L$1,INDIRECT("'"&amp;$A40&amp;"'!$A$12:$Z$19"),MATCH("Points (Auto-generate)",INDIRECT("'"&amp;$A40&amp;"'!$A$12:$Z$12"),0),0)),"ER"))</f>
        <v>?</v>
      </c>
      <c r="M40" s="8" t="str">
        <f aca="true">IF($F40=0,"NA",IF($A40=INDIRECT("'"&amp;$A40&amp;"'!$B$1"),IF(VLOOKUP(M$1,INDIRECT("'"&amp;$A40&amp;"'!$A$12:$Z$19"),MATCH("Points (Auto-generate)",INDIRECT("'"&amp;$A40&amp;"'!$A$12:$Z$12"),0),0)="","?",VLOOKUP(M$1,INDIRECT("'"&amp;$A40&amp;"'!$A$12:$Z$19"),MATCH("Points (Auto-generate)",INDIRECT("'"&amp;$A40&amp;"'!$A$12:$Z$12"),0),0)),"ER"))</f>
        <v>?</v>
      </c>
    </row>
    <row r="41" customFormat="false" ht="15" hidden="false" customHeight="true" outlineLevel="0" collapsed="false">
      <c r="A41" s="10" t="s">
        <v>454</v>
      </c>
      <c r="B41" s="10" t="str">
        <f aca="false">VLOOKUP($A41,'PARASTATAL Questions'!$A:$J,3,0)&amp;""</f>
        <v>Decentralised Participatory Governance</v>
      </c>
      <c r="C41" s="10" t="str">
        <f aca="false">VLOOKUP($A41,'PARASTATAL Questions'!$A:$J,4,0)&amp;""</f>
        <v>MQ</v>
      </c>
      <c r="D41" s="10" t="str">
        <f aca="false">VLOOKUP($A41,'PARASTATAL Questions'!$A:$J,5,0)&amp;""</f>
        <v>Does the parastatal provide for and maintain an accessible grievance-redressal mechanism?</v>
      </c>
      <c r="E41" s="10" t="str">
        <f aca="false">VLOOKUP($A41,'PARASTATAL Questions'!$A:$J,7,0)&amp;""</f>
        <v>Institutional Design</v>
      </c>
      <c r="F41" s="10" t="n">
        <f aca="false">VLOOKUP($A41,'PARASTATAL Questions'!$A:$J,6,0)</f>
        <v>10</v>
      </c>
      <c r="G41" s="10" t="str">
        <f aca="false">IF(OR(G42="ER",G43="ER"),"ER",IF(OR(G42="?",G43="?"),"?",IF(AND(G42="NA",G43="NA"),"NA",SUM(G42,G43)/((G42&lt;&gt;"NA")*$F$42+(G43&lt;&gt;"NA")*$F$43)*$F41)))</f>
        <v>?</v>
      </c>
      <c r="H41" s="10" t="str">
        <f aca="false">IF(OR(H42="ER",H43="ER"),"ER",IF(OR(H42="?",H43="?"),"?",IF(AND(H42="NA",H43="NA"),"NA",SUM(H42,H43)/((H42&lt;&gt;"NA")*$F$42+(H43&lt;&gt;"NA")*$F$43)*$F41)))</f>
        <v>?</v>
      </c>
      <c r="I41" s="10" t="str">
        <f aca="false">IF(OR(I42="ER",I43="ER"),"ER",IF(OR(I42="?",I43="?"),"?",IF(AND(I42="NA",I43="NA"),"NA",SUM(I42,I43)/((I42&lt;&gt;"NA")*$F$42+(I43&lt;&gt;"NA")*$F$43)*$F41)))</f>
        <v>?</v>
      </c>
      <c r="J41" s="10" t="str">
        <f aca="false">IF(OR(J42="ER",J43="ER"),"ER",IF(OR(J42="?",J43="?"),"?",IF(AND(J42="NA",J43="NA"),"NA",SUM(J42,J43)/((J42&lt;&gt;"NA")*$F$42+(J43&lt;&gt;"NA")*$F$43)*$F41)))</f>
        <v>?</v>
      </c>
      <c r="K41" s="10" t="str">
        <f aca="false">IF(OR(K42="ER",K43="ER"),"ER",IF(OR(K42="?",K43="?"),"?",IF(AND(K42="NA",K43="NA"),"NA",SUM(K42,K43)/((K42&lt;&gt;"NA")*$F$42+(K43&lt;&gt;"NA")*$F$43)*$F41)))</f>
        <v>?</v>
      </c>
      <c r="L41" s="10" t="str">
        <f aca="false">IF(OR(L42="ER",L43="ER"),"ER",IF(OR(L42="?",L43="?"),"?",IF(AND(L42="NA",L43="NA"),"NA",SUM(L42,L43)/((L42&lt;&gt;"NA")*$F$42+(L43&lt;&gt;"NA")*$F$43)*$F41)))</f>
        <v>?</v>
      </c>
      <c r="M41" s="10" t="str">
        <f aca="false">IF(OR(M42="ER",M43="ER"),"ER",IF(OR(M42="?",M43="?"),"?",IF(AND(M42="NA",M43="NA"),"NA",SUM(M42,M43)/((M42&lt;&gt;"NA")*$F$42+(M43&lt;&gt;"NA")*$F$43)*$F41)))</f>
        <v>?</v>
      </c>
    </row>
    <row r="42" customFormat="false" ht="15" hidden="false" customHeight="true" outlineLevel="0" collapsed="false">
      <c r="A42" s="8" t="s">
        <v>295</v>
      </c>
      <c r="B42" s="8" t="str">
        <f aca="false">VLOOKUP($A42,'PARASTATAL Questions'!$A:$J,3,0)&amp;""</f>
        <v>Decentralised Participatory Governance</v>
      </c>
      <c r="C42" s="8" t="str">
        <f aca="false">VLOOKUP($A42,'PARASTATAL Questions'!$A:$J,4,0)&amp;""</f>
        <v>SQ</v>
      </c>
      <c r="D42" s="8" t="str">
        <f aca="false">VLOOKUP($A42,'PARASTATAL Questions'!$A:$J,5,0)&amp;""</f>
        <v>Is the parastatal mandated to provide a grievance-redressal mechanism?</v>
      </c>
      <c r="E42" s="8" t="str">
        <f aca="false">VLOOKUP($A42,'PARASTATAL Questions'!$A:$J,7,0)&amp;""</f>
        <v>Law/Policy</v>
      </c>
      <c r="F42" s="8" t="n">
        <f aca="false">VLOOKUP($A42,'PARASTATAL Questions'!$A:$J,6,0)</f>
        <v>5</v>
      </c>
      <c r="G42" s="8" t="n">
        <f aca="true">IF($F42=0,"NA",IF($A42=INDIRECT("'"&amp;$A42&amp;"'!$B$1"),IF(VLOOKUP(G$1,INDIRECT("'"&amp;$A42&amp;"'!$A$12:$Z$19"),MATCH("Points (Auto-generate)",INDIRECT("'"&amp;$A42&amp;"'!$A$12:$Z$12"),0),0)="","?",VLOOKUP(G$1,INDIRECT("'"&amp;$A42&amp;"'!$A$12:$Z$19"),MATCH("Points (Auto-generate)",INDIRECT("'"&amp;$A42&amp;"'!$A$12:$Z$12"),0),0)),"ER"))</f>
        <v>5</v>
      </c>
      <c r="H42" s="8" t="str">
        <f aca="true">IF($F42=0,"NA",IF($A42=INDIRECT("'"&amp;$A42&amp;"'!$B$1"),IF(VLOOKUP(H$1,INDIRECT("'"&amp;$A42&amp;"'!$A$12:$Z$19"),MATCH("Points (Auto-generate)",INDIRECT("'"&amp;$A42&amp;"'!$A$12:$Z$12"),0),0)="","?",VLOOKUP(H$1,INDIRECT("'"&amp;$A42&amp;"'!$A$12:$Z$19"),MATCH("Points (Auto-generate)",INDIRECT("'"&amp;$A42&amp;"'!$A$12:$Z$12"),0),0)),"ER"))</f>
        <v>?</v>
      </c>
      <c r="I42" s="8" t="n">
        <f aca="true">IF($F42=0,"NA",IF($A42=INDIRECT("'"&amp;$A42&amp;"'!$B$1"),IF(VLOOKUP(I$1,INDIRECT("'"&amp;$A42&amp;"'!$A$12:$Z$19"),MATCH("Points (Auto-generate)",INDIRECT("'"&amp;$A42&amp;"'!$A$12:$Z$12"),0),0)="","?",VLOOKUP(I$1,INDIRECT("'"&amp;$A42&amp;"'!$A$12:$Z$19"),MATCH("Points (Auto-generate)",INDIRECT("'"&amp;$A42&amp;"'!$A$12:$Z$12"),0),0)),"ER"))</f>
        <v>0</v>
      </c>
      <c r="J42" s="8" t="str">
        <f aca="true">IF($F42=0,"NA",IF($A42=INDIRECT("'"&amp;$A42&amp;"'!$B$1"),IF(VLOOKUP(J$1,INDIRECT("'"&amp;$A42&amp;"'!$A$12:$Z$19"),MATCH("Points (Auto-generate)",INDIRECT("'"&amp;$A42&amp;"'!$A$12:$Z$12"),0),0)="","?",VLOOKUP(J$1,INDIRECT("'"&amp;$A42&amp;"'!$A$12:$Z$19"),MATCH("Points (Auto-generate)",INDIRECT("'"&amp;$A42&amp;"'!$A$12:$Z$12"),0),0)),"ER"))</f>
        <v>?</v>
      </c>
      <c r="K42" s="8" t="str">
        <f aca="true">IF($F42=0,"NA",IF($A42=INDIRECT("'"&amp;$A42&amp;"'!$B$1"),IF(VLOOKUP(K$1,INDIRECT("'"&amp;$A42&amp;"'!$A$12:$Z$19"),MATCH("Points (Auto-generate)",INDIRECT("'"&amp;$A42&amp;"'!$A$12:$Z$12"),0),0)="","?",VLOOKUP(K$1,INDIRECT("'"&amp;$A42&amp;"'!$A$12:$Z$19"),MATCH("Points (Auto-generate)",INDIRECT("'"&amp;$A42&amp;"'!$A$12:$Z$12"),0),0)),"ER"))</f>
        <v>?</v>
      </c>
      <c r="L42" s="8" t="str">
        <f aca="true">IF($F42=0,"NA",IF($A42=INDIRECT("'"&amp;$A42&amp;"'!$B$1"),IF(VLOOKUP(L$1,INDIRECT("'"&amp;$A42&amp;"'!$A$12:$Z$19"),MATCH("Points (Auto-generate)",INDIRECT("'"&amp;$A42&amp;"'!$A$12:$Z$12"),0),0)="","?",VLOOKUP(L$1,INDIRECT("'"&amp;$A42&amp;"'!$A$12:$Z$19"),MATCH("Points (Auto-generate)",INDIRECT("'"&amp;$A42&amp;"'!$A$12:$Z$12"),0),0)),"ER"))</f>
        <v>?</v>
      </c>
      <c r="M42" s="8" t="str">
        <f aca="true">IF($F42=0,"NA",IF($A42=INDIRECT("'"&amp;$A42&amp;"'!$B$1"),IF(VLOOKUP(M$1,INDIRECT("'"&amp;$A42&amp;"'!$A$12:$Z$19"),MATCH("Points (Auto-generate)",INDIRECT("'"&amp;$A42&amp;"'!$A$12:$Z$12"),0),0)="","?",VLOOKUP(M$1,INDIRECT("'"&amp;$A42&amp;"'!$A$12:$Z$19"),MATCH("Points (Auto-generate)",INDIRECT("'"&amp;$A42&amp;"'!$A$12:$Z$12"),0),0)),"ER"))</f>
        <v>?</v>
      </c>
    </row>
    <row r="43" customFormat="false" ht="15" hidden="false" customHeight="true" outlineLevel="0" collapsed="false">
      <c r="A43" s="8" t="s">
        <v>308</v>
      </c>
      <c r="B43" s="8" t="str">
        <f aca="false">VLOOKUP($A43,'PARASTATAL Questions'!$A:$J,3,0)&amp;""</f>
        <v>Decentralised Participatory Governance</v>
      </c>
      <c r="C43" s="8" t="str">
        <f aca="false">VLOOKUP($A43,'PARASTATAL Questions'!$A:$J,4,0)&amp;""</f>
        <v>SQ</v>
      </c>
      <c r="D43" s="8" t="str">
        <f aca="false">VLOOKUP($A43,'PARASTATAL Questions'!$A:$J,5,0)&amp;""</f>
        <v>Are accessible grievance-redressal channels available and functional in practice?</v>
      </c>
      <c r="E43" s="8" t="str">
        <f aca="false">VLOOKUP($A43,'PARASTATAL Questions'!$A:$J,7,0)&amp;""</f>
        <v>Implementation</v>
      </c>
      <c r="F43" s="8" t="n">
        <f aca="false">VLOOKUP($A43,'PARASTATAL Questions'!$A:$J,6,0)</f>
        <v>5</v>
      </c>
      <c r="G43" s="8" t="str">
        <f aca="true">IF($F43=0,"NA",IF($A43=INDIRECT("'"&amp;$A43&amp;"'!$B$1"),IF(VLOOKUP(G$1,INDIRECT("'"&amp;$A43&amp;"'!$A$12:$Z$19"),MATCH("Points (Auto-generate)",INDIRECT("'"&amp;$A43&amp;"'!$A$12:$Z$12"),0),0)="","?",VLOOKUP(G$1,INDIRECT("'"&amp;$A43&amp;"'!$A$12:$Z$19"),MATCH("Points (Auto-generate)",INDIRECT("'"&amp;$A43&amp;"'!$A$12:$Z$12"),0),0)),"ER"))</f>
        <v>?</v>
      </c>
      <c r="H43" s="8" t="str">
        <f aca="true">IF($F43=0,"NA",IF($A43=INDIRECT("'"&amp;$A43&amp;"'!$B$1"),IF(VLOOKUP(H$1,INDIRECT("'"&amp;$A43&amp;"'!$A$12:$Z$19"),MATCH("Points (Auto-generate)",INDIRECT("'"&amp;$A43&amp;"'!$A$12:$Z$12"),0),0)="","?",VLOOKUP(H$1,INDIRECT("'"&amp;$A43&amp;"'!$A$12:$Z$19"),MATCH("Points (Auto-generate)",INDIRECT("'"&amp;$A43&amp;"'!$A$12:$Z$12"),0),0)),"ER"))</f>
        <v>?</v>
      </c>
      <c r="I43" s="8" t="str">
        <f aca="true">IF($F43=0,"NA",IF($A43=INDIRECT("'"&amp;$A43&amp;"'!$B$1"),IF(VLOOKUP(I$1,INDIRECT("'"&amp;$A43&amp;"'!$A$12:$Z$19"),MATCH("Points (Auto-generate)",INDIRECT("'"&amp;$A43&amp;"'!$A$12:$Z$12"),0),0)="","?",VLOOKUP(I$1,INDIRECT("'"&amp;$A43&amp;"'!$A$12:$Z$19"),MATCH("Points (Auto-generate)",INDIRECT("'"&amp;$A43&amp;"'!$A$12:$Z$12"),0),0)),"ER"))</f>
        <v>?</v>
      </c>
      <c r="J43" s="8" t="str">
        <f aca="true">IF($F43=0,"NA",IF($A43=INDIRECT("'"&amp;$A43&amp;"'!$B$1"),IF(VLOOKUP(J$1,INDIRECT("'"&amp;$A43&amp;"'!$A$12:$Z$19"),MATCH("Points (Auto-generate)",INDIRECT("'"&amp;$A43&amp;"'!$A$12:$Z$12"),0),0)="","?",VLOOKUP(J$1,INDIRECT("'"&amp;$A43&amp;"'!$A$12:$Z$19"),MATCH("Points (Auto-generate)",INDIRECT("'"&amp;$A43&amp;"'!$A$12:$Z$12"),0),0)),"ER"))</f>
        <v>?</v>
      </c>
      <c r="K43" s="8" t="str">
        <f aca="true">IF($F43=0,"NA",IF($A43=INDIRECT("'"&amp;$A43&amp;"'!$B$1"),IF(VLOOKUP(K$1,INDIRECT("'"&amp;$A43&amp;"'!$A$12:$Z$19"),MATCH("Points (Auto-generate)",INDIRECT("'"&amp;$A43&amp;"'!$A$12:$Z$12"),0),0)="","?",VLOOKUP(K$1,INDIRECT("'"&amp;$A43&amp;"'!$A$12:$Z$19"),MATCH("Points (Auto-generate)",INDIRECT("'"&amp;$A43&amp;"'!$A$12:$Z$12"),0),0)),"ER"))</f>
        <v>?</v>
      </c>
      <c r="L43" s="8" t="str">
        <f aca="true">IF($F43=0,"NA",IF($A43=INDIRECT("'"&amp;$A43&amp;"'!$B$1"),IF(VLOOKUP(L$1,INDIRECT("'"&amp;$A43&amp;"'!$A$12:$Z$19"),MATCH("Points (Auto-generate)",INDIRECT("'"&amp;$A43&amp;"'!$A$12:$Z$12"),0),0)="","?",VLOOKUP(L$1,INDIRECT("'"&amp;$A43&amp;"'!$A$12:$Z$19"),MATCH("Points (Auto-generate)",INDIRECT("'"&amp;$A43&amp;"'!$A$12:$Z$12"),0),0)),"ER"))</f>
        <v>?</v>
      </c>
      <c r="M43" s="8" t="str">
        <f aca="true">IF($F43=0,"NA",IF($A43=INDIRECT("'"&amp;$A43&amp;"'!$B$1"),IF(VLOOKUP(M$1,INDIRECT("'"&amp;$A43&amp;"'!$A$12:$Z$19"),MATCH("Points (Auto-generate)",INDIRECT("'"&amp;$A43&amp;"'!$A$12:$Z$12"),0),0)="","?",VLOOKUP(M$1,INDIRECT("'"&amp;$A43&amp;"'!$A$12:$Z$19"),MATCH("Points (Auto-generate)",INDIRECT("'"&amp;$A43&amp;"'!$A$12:$Z$12"),0),0)),"ER"))</f>
        <v>?</v>
      </c>
    </row>
    <row r="44" customFormat="false" ht="15" hidden="false" customHeight="true" outlineLevel="0" collapsed="false">
      <c r="A44" s="10" t="s">
        <v>455</v>
      </c>
      <c r="B44" s="10" t="str">
        <f aca="false">VLOOKUP($A44,'PARASTATAL Questions'!$A:$J,3,0)&amp;""</f>
        <v>Decentralised Participatory Governance</v>
      </c>
      <c r="C44" s="10" t="str">
        <f aca="false">VLOOKUP($A44,'PARASTATAL Questions'!$A:$J,4,0)&amp;""</f>
        <v>MQ</v>
      </c>
      <c r="D44" s="10" t="str">
        <f aca="false">VLOOKUP($A44,'PARASTATAL Questions'!$A:$J,5,0)&amp;""</f>
        <v>Does the law mandate citizen participation in the preparation of plans for which the parastatal is responsible, and does the parastatal provide for such participation in practice?</v>
      </c>
      <c r="E44" s="10" t="str">
        <f aca="false">VLOOKUP($A44,'PARASTATAL Questions'!$A:$J,7,0)&amp;""</f>
        <v>Law/Policy</v>
      </c>
      <c r="F44" s="10" t="n">
        <f aca="false">VLOOKUP($A44,'PARASTATAL Questions'!$A:$J,6,0)</f>
        <v>10</v>
      </c>
      <c r="G44" s="10" t="n">
        <f aca="false">IF(OR(G45="ER",G46="ER"),"ER",IF(OR(G45="?",G46="?"),"?",IF(AND(G45="NA",G46="NA"),"NA",SUM(G45,G46)/((G45&lt;&gt;"NA")*$F$45+(G46&lt;&gt;"NA")*$F$46)*$F44)))</f>
        <v>2.5</v>
      </c>
      <c r="H44" s="10" t="str">
        <f aca="false">IF(OR(H45="ER",H46="ER"),"ER",IF(OR(H45="?",H46="?"),"?",IF(AND(H45="NA",H46="NA"),"NA",SUM(H45,H46)/((H45&lt;&gt;"NA")*$F$45+(H46&lt;&gt;"NA")*$F$46)*$F44)))</f>
        <v>?</v>
      </c>
      <c r="I44" s="10" t="str">
        <f aca="false">IF(OR(I45="ER",I46="ER"),"ER",IF(OR(I45="?",I46="?"),"?",IF(AND(I45="NA",I46="NA"),"NA",SUM(I45,I46)/((I45&lt;&gt;"NA")*$F$45+(I46&lt;&gt;"NA")*$F$46)*$F44)))</f>
        <v>NA</v>
      </c>
      <c r="J44" s="10" t="n">
        <f aca="false">IF(OR(J45="ER",J46="ER"),"ER",IF(OR(J45="?",J46="?"),"?",IF(AND(J45="NA",J46="NA"),"NA",SUM(J45,J46)/((J45&lt;&gt;"NA")*$F$45+(J46&lt;&gt;"NA")*$F$46)*$F44)))</f>
        <v>5</v>
      </c>
      <c r="K44" s="10" t="str">
        <f aca="false">IF(OR(K45="ER",K46="ER"),"ER",IF(OR(K45="?",K46="?"),"?",IF(AND(K45="NA",K46="NA"),"NA",SUM(K45,K46)/((K45&lt;&gt;"NA")*$F$45+(K46&lt;&gt;"NA")*$F$46)*$F44)))</f>
        <v>NA</v>
      </c>
      <c r="L44" s="10" t="str">
        <f aca="false">IF(OR(L45="ER",L46="ER"),"ER",IF(OR(L45="?",L46="?"),"?",IF(AND(L45="NA",L46="NA"),"NA",SUM(L45,L46)/((L45&lt;&gt;"NA")*$F$45+(L46&lt;&gt;"NA")*$F$46)*$F44)))</f>
        <v>NA</v>
      </c>
      <c r="M44" s="10" t="str">
        <f aca="false">IF(OR(M45="ER",M46="ER"),"ER",IF(OR(M45="?",M46="?"),"?",IF(AND(M45="NA",M46="NA"),"NA",SUM(M45,M46)/((M45&lt;&gt;"NA")*$F$45+(M46&lt;&gt;"NA")*$F$46)*$F44)))</f>
        <v>?</v>
      </c>
    </row>
    <row r="45" customFormat="false" ht="15" hidden="false" customHeight="true" outlineLevel="0" collapsed="false">
      <c r="A45" s="8" t="s">
        <v>315</v>
      </c>
      <c r="B45" s="8" t="str">
        <f aca="false">VLOOKUP($A45,'PARASTATAL Questions'!$A:$J,3,0)&amp;""</f>
        <v>Decentralised Participatory Governance</v>
      </c>
      <c r="C45" s="8" t="str">
        <f aca="false">VLOOKUP($A45,'PARASTATAL Questions'!$A:$J,4,0)&amp;""</f>
        <v>SQ</v>
      </c>
      <c r="D45" s="8" t="str">
        <f aca="false">VLOOKUP($A45,'PARASTATAL Questions'!$A:$J,5,0)&amp;""</f>
        <v>Is citizen participation in the preparation of the parastatal's plans mandated?</v>
      </c>
      <c r="E45" s="8" t="str">
        <f aca="false">VLOOKUP($A45,'PARASTATAL Questions'!$A:$J,7,0)&amp;""</f>
        <v>Law/Policy</v>
      </c>
      <c r="F45" s="8" t="n">
        <f aca="false">VLOOKUP($A45,'PARASTATAL Questions'!$A:$J,6,0)</f>
        <v>5</v>
      </c>
      <c r="G45" s="8" t="n">
        <f aca="true">IF($F45=0,"NA",IF($A45=INDIRECT("'"&amp;$A45&amp;"'!$B$1"),IF(VLOOKUP(G$1,INDIRECT("'"&amp;$A45&amp;"'!$A$12:$Z$19"),MATCH("Points (Auto-generate)",INDIRECT("'"&amp;$A45&amp;"'!$A$12:$Z$12"),0),0)="","?",VLOOKUP(G$1,INDIRECT("'"&amp;$A45&amp;"'!$A$12:$Z$19"),MATCH("Points (Auto-generate)",INDIRECT("'"&amp;$A45&amp;"'!$A$12:$Z$12"),0),0)),"ER"))</f>
        <v>0</v>
      </c>
      <c r="H45" s="8" t="n">
        <f aca="true">IF($F45=0,"NA",IF($A45=INDIRECT("'"&amp;$A45&amp;"'!$B$1"),IF(VLOOKUP(H$1,INDIRECT("'"&amp;$A45&amp;"'!$A$12:$Z$19"),MATCH("Points (Auto-generate)",INDIRECT("'"&amp;$A45&amp;"'!$A$12:$Z$12"),0),0)="","?",VLOOKUP(H$1,INDIRECT("'"&amp;$A45&amp;"'!$A$12:$Z$19"),MATCH("Points (Auto-generate)",INDIRECT("'"&amp;$A45&amp;"'!$A$12:$Z$12"),0),0)),"ER"))</f>
        <v>2.5</v>
      </c>
      <c r="I45" s="8" t="str">
        <f aca="true">IF($F45=0,"NA",IF($A45=INDIRECT("'"&amp;$A45&amp;"'!$B$1"),IF(VLOOKUP(I$1,INDIRECT("'"&amp;$A45&amp;"'!$A$12:$Z$19"),MATCH("Points (Auto-generate)",INDIRECT("'"&amp;$A45&amp;"'!$A$12:$Z$12"),0),0)="","?",VLOOKUP(I$1,INDIRECT("'"&amp;$A45&amp;"'!$A$12:$Z$19"),MATCH("Points (Auto-generate)",INDIRECT("'"&amp;$A45&amp;"'!$A$12:$Z$12"),0),0)),"ER"))</f>
        <v>NA</v>
      </c>
      <c r="J45" s="8" t="n">
        <f aca="true">IF($F45=0,"NA",IF($A45=INDIRECT("'"&amp;$A45&amp;"'!$B$1"),IF(VLOOKUP(J$1,INDIRECT("'"&amp;$A45&amp;"'!$A$12:$Z$19"),MATCH("Points (Auto-generate)",INDIRECT("'"&amp;$A45&amp;"'!$A$12:$Z$12"),0),0)="","?",VLOOKUP(J$1,INDIRECT("'"&amp;$A45&amp;"'!$A$12:$Z$19"),MATCH("Points (Auto-generate)",INDIRECT("'"&amp;$A45&amp;"'!$A$12:$Z$12"),0),0)),"ER"))</f>
        <v>2.5</v>
      </c>
      <c r="K45" s="8" t="str">
        <f aca="true">IF($F45=0,"NA",IF($A45=INDIRECT("'"&amp;$A45&amp;"'!$B$1"),IF(VLOOKUP(K$1,INDIRECT("'"&amp;$A45&amp;"'!$A$12:$Z$19"),MATCH("Points (Auto-generate)",INDIRECT("'"&amp;$A45&amp;"'!$A$12:$Z$12"),0),0)="","?",VLOOKUP(K$1,INDIRECT("'"&amp;$A45&amp;"'!$A$12:$Z$19"),MATCH("Points (Auto-generate)",INDIRECT("'"&amp;$A45&amp;"'!$A$12:$Z$12"),0),0)),"ER"))</f>
        <v>NA</v>
      </c>
      <c r="L45" s="8" t="str">
        <f aca="true">IF($F45=0,"NA",IF($A45=INDIRECT("'"&amp;$A45&amp;"'!$B$1"),IF(VLOOKUP(L$1,INDIRECT("'"&amp;$A45&amp;"'!$A$12:$Z$19"),MATCH("Points (Auto-generate)",INDIRECT("'"&amp;$A45&amp;"'!$A$12:$Z$12"),0),0)="","?",VLOOKUP(L$1,INDIRECT("'"&amp;$A45&amp;"'!$A$12:$Z$19"),MATCH("Points (Auto-generate)",INDIRECT("'"&amp;$A45&amp;"'!$A$12:$Z$12"),0),0)),"ER"))</f>
        <v>NA</v>
      </c>
      <c r="M45" s="8" t="str">
        <f aca="true">IF($F45=0,"NA",IF($A45=INDIRECT("'"&amp;$A45&amp;"'!$B$1"),IF(VLOOKUP(M$1,INDIRECT("'"&amp;$A45&amp;"'!$A$12:$Z$19"),MATCH("Points (Auto-generate)",INDIRECT("'"&amp;$A45&amp;"'!$A$12:$Z$12"),0),0)="","?",VLOOKUP(M$1,INDIRECT("'"&amp;$A45&amp;"'!$A$12:$Z$19"),MATCH("Points (Auto-generate)",INDIRECT("'"&amp;$A45&amp;"'!$A$12:$Z$12"),0),0)),"ER"))</f>
        <v>?</v>
      </c>
    </row>
    <row r="46" customFormat="false" ht="15" hidden="false" customHeight="true" outlineLevel="0" collapsed="false">
      <c r="A46" s="8" t="s">
        <v>326</v>
      </c>
      <c r="B46" s="8" t="str">
        <f aca="false">VLOOKUP($A46,'PARASTATAL Questions'!$A:$J,3,0)&amp;""</f>
        <v>Decentralised Participatory Governance</v>
      </c>
      <c r="C46" s="8" t="str">
        <f aca="false">VLOOKUP($A46,'PARASTATAL Questions'!$A:$J,4,0)&amp;""</f>
        <v>SQ</v>
      </c>
      <c r="D46" s="8" t="str">
        <f aca="false">VLOOKUP($A46,'PARASTATAL Questions'!$A:$J,5,0)&amp;""</f>
        <v>Are citizens consulted in practice in the preparation of plans by the parastatal?</v>
      </c>
      <c r="E46" s="8" t="str">
        <f aca="false">VLOOKUP($A46,'PARASTATAL Questions'!$A:$J,7,0)&amp;""</f>
        <v>Law/Policy</v>
      </c>
      <c r="F46" s="8" t="n">
        <f aca="false">VLOOKUP($A46,'PARASTATAL Questions'!$A:$J,6,0)</f>
        <v>5</v>
      </c>
      <c r="G46" s="8" t="n">
        <f aca="true">IF($F46=0,"NA",IF($A46=INDIRECT("'"&amp;$A46&amp;"'!$B$1"),IF(VLOOKUP(G$1,INDIRECT("'"&amp;$A46&amp;"'!$A$12:$Z$19"),MATCH("Points (Auto-generate)",INDIRECT("'"&amp;$A46&amp;"'!$A$12:$Z$12"),0),0)="","?",VLOOKUP(G$1,INDIRECT("'"&amp;$A46&amp;"'!$A$12:$Z$19"),MATCH("Points (Auto-generate)",INDIRECT("'"&amp;$A46&amp;"'!$A$12:$Z$12"),0),0)),"ER"))</f>
        <v>2.5</v>
      </c>
      <c r="H46" s="8" t="str">
        <f aca="true">IF($F46=0,"NA",IF($A46=INDIRECT("'"&amp;$A46&amp;"'!$B$1"),IF(VLOOKUP(H$1,INDIRECT("'"&amp;$A46&amp;"'!$A$12:$Z$19"),MATCH("Points (Auto-generate)",INDIRECT("'"&amp;$A46&amp;"'!$A$12:$Z$12"),0),0)="","?",VLOOKUP(H$1,INDIRECT("'"&amp;$A46&amp;"'!$A$12:$Z$19"),MATCH("Points (Auto-generate)",INDIRECT("'"&amp;$A46&amp;"'!$A$12:$Z$12"),0),0)),"ER"))</f>
        <v>?</v>
      </c>
      <c r="I46" s="8" t="str">
        <f aca="true">IF($F46=0,"NA",IF($A46=INDIRECT("'"&amp;$A46&amp;"'!$B$1"),IF(VLOOKUP(I$1,INDIRECT("'"&amp;$A46&amp;"'!$A$12:$Z$19"),MATCH("Points (Auto-generate)",INDIRECT("'"&amp;$A46&amp;"'!$A$12:$Z$12"),0),0)="","?",VLOOKUP(I$1,INDIRECT("'"&amp;$A46&amp;"'!$A$12:$Z$19"),MATCH("Points (Auto-generate)",INDIRECT("'"&amp;$A46&amp;"'!$A$12:$Z$12"),0),0)),"ER"))</f>
        <v>NA</v>
      </c>
      <c r="J46" s="8" t="n">
        <f aca="true">IF($F46=0,"NA",IF($A46=INDIRECT("'"&amp;$A46&amp;"'!$B$1"),IF(VLOOKUP(J$1,INDIRECT("'"&amp;$A46&amp;"'!$A$12:$Z$19"),MATCH("Points (Auto-generate)",INDIRECT("'"&amp;$A46&amp;"'!$A$12:$Z$12"),0),0)="","?",VLOOKUP(J$1,INDIRECT("'"&amp;$A46&amp;"'!$A$12:$Z$19"),MATCH("Points (Auto-generate)",INDIRECT("'"&amp;$A46&amp;"'!$A$12:$Z$12"),0),0)),"ER"))</f>
        <v>2.5</v>
      </c>
      <c r="K46" s="8" t="str">
        <f aca="true">IF($F46=0,"NA",IF($A46=INDIRECT("'"&amp;$A46&amp;"'!$B$1"),IF(VLOOKUP(K$1,INDIRECT("'"&amp;$A46&amp;"'!$A$12:$Z$19"),MATCH("Points (Auto-generate)",INDIRECT("'"&amp;$A46&amp;"'!$A$12:$Z$12"),0),0)="","?",VLOOKUP(K$1,INDIRECT("'"&amp;$A46&amp;"'!$A$12:$Z$19"),MATCH("Points (Auto-generate)",INDIRECT("'"&amp;$A46&amp;"'!$A$12:$Z$12"),0),0)),"ER"))</f>
        <v>NA</v>
      </c>
      <c r="L46" s="8" t="str">
        <f aca="true">IF($F46=0,"NA",IF($A46=INDIRECT("'"&amp;$A46&amp;"'!$B$1"),IF(VLOOKUP(L$1,INDIRECT("'"&amp;$A46&amp;"'!$A$12:$Z$19"),MATCH("Points (Auto-generate)",INDIRECT("'"&amp;$A46&amp;"'!$A$12:$Z$12"),0),0)="","?",VLOOKUP(L$1,INDIRECT("'"&amp;$A46&amp;"'!$A$12:$Z$19"),MATCH("Points (Auto-generate)",INDIRECT("'"&amp;$A46&amp;"'!$A$12:$Z$12"),0),0)),"ER"))</f>
        <v>NA</v>
      </c>
      <c r="M46" s="8" t="str">
        <f aca="true">IF($F46=0,"NA",IF($A46=INDIRECT("'"&amp;$A46&amp;"'!$B$1"),IF(VLOOKUP(M$1,INDIRECT("'"&amp;$A46&amp;"'!$A$12:$Z$19"),MATCH("Points (Auto-generate)",INDIRECT("'"&amp;$A46&amp;"'!$A$12:$Z$12"),0),0)="","?",VLOOKUP(M$1,INDIRECT("'"&amp;$A46&amp;"'!$A$12:$Z$19"),MATCH("Points (Auto-generate)",INDIRECT("'"&amp;$A46&amp;"'!$A$12:$Z$12"),0),0)),"ER"))</f>
        <v>?</v>
      </c>
    </row>
    <row r="47" customFormat="false" ht="15" hidden="false" customHeight="true" outlineLevel="0" collapsed="false">
      <c r="A47" s="10" t="s">
        <v>339</v>
      </c>
      <c r="B47" s="10" t="str">
        <f aca="false">VLOOKUP($A47,'PARASTATAL Questions'!$A:$J,3,0)&amp;""</f>
        <v>State Capacities</v>
      </c>
      <c r="C47" s="10" t="str">
        <f aca="false">VLOOKUP($A47,'PARASTATAL Questions'!$A:$J,4,0)&amp;""</f>
        <v>MQ</v>
      </c>
      <c r="D47" s="10" t="str">
        <f aca="false">VLOOKUP($A47,'PARASTATAL Questions'!$A:$J,5,0)&amp;""</f>
        <v>What proportion of the parastatal's total expenditure is financed through its own revenues?</v>
      </c>
      <c r="E47" s="10" t="str">
        <f aca="false">VLOOKUP($A47,'PARASTATAL Questions'!$A:$J,7,0)&amp;""</f>
        <v>Implementation (Numeric)</v>
      </c>
      <c r="F47" s="10" t="n">
        <f aca="false">VLOOKUP($A47,'PARASTATAL Questions'!$A:$J,6,0)</f>
        <v>10</v>
      </c>
      <c r="G47" s="10" t="str">
        <f aca="true">IF($F47=0,"NA",IF($A47=INDIRECT("'"&amp;$A47&amp;"'!$B$1"),IF(VLOOKUP(G$1,INDIRECT("'"&amp;$A47&amp;"'!$A$12:$Z$19"),MATCH("Points (Auto-generate)",INDIRECT("'"&amp;$A47&amp;"'!$A$12:$Z$12"),0),0)="","?",VLOOKUP(G$1,INDIRECT("'"&amp;$A47&amp;"'!$A$12:$Z$19"),MATCH("Points (Auto-generate)",INDIRECT("'"&amp;$A47&amp;"'!$A$12:$Z$12"),0),0)),"ER"))</f>
        <v>?</v>
      </c>
      <c r="H47" s="10" t="str">
        <f aca="true">IF($F47=0,"NA",IF($A47=INDIRECT("'"&amp;$A47&amp;"'!$B$1"),IF(VLOOKUP(H$1,INDIRECT("'"&amp;$A47&amp;"'!$A$12:$Z$19"),MATCH("Points (Auto-generate)",INDIRECT("'"&amp;$A47&amp;"'!$A$12:$Z$12"),0),0)="","?",VLOOKUP(H$1,INDIRECT("'"&amp;$A47&amp;"'!$A$12:$Z$19"),MATCH("Points (Auto-generate)",INDIRECT("'"&amp;$A47&amp;"'!$A$12:$Z$12"),0),0)),"ER"))</f>
        <v>?</v>
      </c>
      <c r="I47" s="10" t="str">
        <f aca="true">IF($F47=0,"NA",IF($A47=INDIRECT("'"&amp;$A47&amp;"'!$B$1"),IF(VLOOKUP(I$1,INDIRECT("'"&amp;$A47&amp;"'!$A$12:$Z$19"),MATCH("Points (Auto-generate)",INDIRECT("'"&amp;$A47&amp;"'!$A$12:$Z$12"),0),0)="","?",VLOOKUP(I$1,INDIRECT("'"&amp;$A47&amp;"'!$A$12:$Z$19"),MATCH("Points (Auto-generate)",INDIRECT("'"&amp;$A47&amp;"'!$A$12:$Z$12"),0),0)),"ER"))</f>
        <v>?</v>
      </c>
      <c r="J47" s="10" t="str">
        <f aca="true">IF($F47=0,"NA",IF($A47=INDIRECT("'"&amp;$A47&amp;"'!$B$1"),IF(VLOOKUP(J$1,INDIRECT("'"&amp;$A47&amp;"'!$A$12:$Z$19"),MATCH("Points (Auto-generate)",INDIRECT("'"&amp;$A47&amp;"'!$A$12:$Z$12"),0),0)="","?",VLOOKUP(J$1,INDIRECT("'"&amp;$A47&amp;"'!$A$12:$Z$19"),MATCH("Points (Auto-generate)",INDIRECT("'"&amp;$A47&amp;"'!$A$12:$Z$12"),0),0)),"ER"))</f>
        <v>NA</v>
      </c>
      <c r="K47" s="10" t="str">
        <f aca="true">IF($F47=0,"NA",IF($A47=INDIRECT("'"&amp;$A47&amp;"'!$B$1"),IF(VLOOKUP(K$1,INDIRECT("'"&amp;$A47&amp;"'!$A$12:$Z$19"),MATCH("Points (Auto-generate)",INDIRECT("'"&amp;$A47&amp;"'!$A$12:$Z$12"),0),0)="","?",VLOOKUP(K$1,INDIRECT("'"&amp;$A47&amp;"'!$A$12:$Z$19"),MATCH("Points (Auto-generate)",INDIRECT("'"&amp;$A47&amp;"'!$A$12:$Z$12"),0),0)),"ER"))</f>
        <v>NA</v>
      </c>
      <c r="L47" s="10" t="str">
        <f aca="true">IF($F47=0,"NA",IF($A47=INDIRECT("'"&amp;$A47&amp;"'!$B$1"),IF(VLOOKUP(L$1,INDIRECT("'"&amp;$A47&amp;"'!$A$12:$Z$19"),MATCH("Points (Auto-generate)",INDIRECT("'"&amp;$A47&amp;"'!$A$12:$Z$12"),0),0)="","?",VLOOKUP(L$1,INDIRECT("'"&amp;$A47&amp;"'!$A$12:$Z$19"),MATCH("Points (Auto-generate)",INDIRECT("'"&amp;$A47&amp;"'!$A$12:$Z$12"),0),0)),"ER"))</f>
        <v>NA</v>
      </c>
      <c r="M47" s="10" t="str">
        <f aca="true">IF($F47=0,"NA",IF($A47=INDIRECT("'"&amp;$A47&amp;"'!$B$1"),IF(VLOOKUP(M$1,INDIRECT("'"&amp;$A47&amp;"'!$A$12:$Z$19"),MATCH("Points (Auto-generate)",INDIRECT("'"&amp;$A47&amp;"'!$A$12:$Z$12"),0),0)="","?",VLOOKUP(M$1,INDIRECT("'"&amp;$A47&amp;"'!$A$12:$Z$19"),MATCH("Points (Auto-generate)",INDIRECT("'"&amp;$A47&amp;"'!$A$12:$Z$12"),0),0)),"ER"))</f>
        <v>NA</v>
      </c>
    </row>
    <row r="48" customFormat="false" ht="15" hidden="false" customHeight="true" outlineLevel="0" collapsed="false">
      <c r="A48" s="10" t="s">
        <v>344</v>
      </c>
      <c r="B48" s="10" t="str">
        <f aca="false">VLOOKUP($A48,'PARASTATAL Questions'!$A:$J,3,0)&amp;""</f>
        <v>State Capacities</v>
      </c>
      <c r="C48" s="10" t="str">
        <f aca="false">VLOOKUP($A48,'PARASTATAL Questions'!$A:$J,4,0)&amp;""</f>
        <v>MQ</v>
      </c>
      <c r="D48" s="10" t="str">
        <f aca="false">VLOOKUP($A48,'PARASTATAL Questions'!$A:$J,5,0)&amp;""</f>
        <v>What is the parastatal's per-capita capital expenditure?</v>
      </c>
      <c r="E48" s="10" t="str">
        <f aca="false">VLOOKUP($A48,'PARASTATAL Questions'!$A:$J,7,0)&amp;""</f>
        <v>Implementation (Numeric)</v>
      </c>
      <c r="F48" s="10" t="n">
        <f aca="false">VLOOKUP($A48,'PARASTATAL Questions'!$A:$J,6,0)</f>
        <v>10</v>
      </c>
      <c r="G48" s="10" t="str">
        <f aca="true">IF($F48=0,"NA",IF($A48=INDIRECT("'"&amp;$A48&amp;"'!$B$1"),IF(VLOOKUP(G$1,INDIRECT("'"&amp;$A48&amp;"'!$A$12:$Z$19"),MATCH("Points (Auto-generate)",INDIRECT("'"&amp;$A48&amp;"'!$A$12:$Z$12"),0),0)="","?",VLOOKUP(G$1,INDIRECT("'"&amp;$A48&amp;"'!$A$12:$Z$19"),MATCH("Points (Auto-generate)",INDIRECT("'"&amp;$A48&amp;"'!$A$12:$Z$12"),0),0)),"ER"))</f>
        <v>?</v>
      </c>
      <c r="H48" s="10" t="str">
        <f aca="true">IF($F48=0,"NA",IF($A48=INDIRECT("'"&amp;$A48&amp;"'!$B$1"),IF(VLOOKUP(H$1,INDIRECT("'"&amp;$A48&amp;"'!$A$12:$Z$19"),MATCH("Points (Auto-generate)",INDIRECT("'"&amp;$A48&amp;"'!$A$12:$Z$12"),0),0)="","?",VLOOKUP(H$1,INDIRECT("'"&amp;$A48&amp;"'!$A$12:$Z$19"),MATCH("Points (Auto-generate)",INDIRECT("'"&amp;$A48&amp;"'!$A$12:$Z$12"),0),0)),"ER"))</f>
        <v>?</v>
      </c>
      <c r="I48" s="10" t="str">
        <f aca="true">IF($F48=0,"NA",IF($A48=INDIRECT("'"&amp;$A48&amp;"'!$B$1"),IF(VLOOKUP(I$1,INDIRECT("'"&amp;$A48&amp;"'!$A$12:$Z$19"),MATCH("Points (Auto-generate)",INDIRECT("'"&amp;$A48&amp;"'!$A$12:$Z$12"),0),0)="","?",VLOOKUP(I$1,INDIRECT("'"&amp;$A48&amp;"'!$A$12:$Z$19"),MATCH("Points (Auto-generate)",INDIRECT("'"&amp;$A48&amp;"'!$A$12:$Z$12"),0),0)),"ER"))</f>
        <v>?</v>
      </c>
      <c r="J48" s="10" t="str">
        <f aca="true">IF($F48=0,"NA",IF($A48=INDIRECT("'"&amp;$A48&amp;"'!$B$1"),IF(VLOOKUP(J$1,INDIRECT("'"&amp;$A48&amp;"'!$A$12:$Z$19"),MATCH("Points (Auto-generate)",INDIRECT("'"&amp;$A48&amp;"'!$A$12:$Z$12"),0),0)="","?",VLOOKUP(J$1,INDIRECT("'"&amp;$A48&amp;"'!$A$12:$Z$19"),MATCH("Points (Auto-generate)",INDIRECT("'"&amp;$A48&amp;"'!$A$12:$Z$12"),0),0)),"ER"))</f>
        <v>?</v>
      </c>
      <c r="K48" s="10" t="str">
        <f aca="true">IF($F48=0,"NA",IF($A48=INDIRECT("'"&amp;$A48&amp;"'!$B$1"),IF(VLOOKUP(K$1,INDIRECT("'"&amp;$A48&amp;"'!$A$12:$Z$19"),MATCH("Points (Auto-generate)",INDIRECT("'"&amp;$A48&amp;"'!$A$12:$Z$12"),0),0)="","?",VLOOKUP(K$1,INDIRECT("'"&amp;$A48&amp;"'!$A$12:$Z$19"),MATCH("Points (Auto-generate)",INDIRECT("'"&amp;$A48&amp;"'!$A$12:$Z$12"),0),0)),"ER"))</f>
        <v>NA</v>
      </c>
      <c r="L48" s="10" t="str">
        <f aca="true">IF($F48=0,"NA",IF($A48=INDIRECT("'"&amp;$A48&amp;"'!$B$1"),IF(VLOOKUP(L$1,INDIRECT("'"&amp;$A48&amp;"'!$A$12:$Z$19"),MATCH("Points (Auto-generate)",INDIRECT("'"&amp;$A48&amp;"'!$A$12:$Z$12"),0),0)="","?",VLOOKUP(L$1,INDIRECT("'"&amp;$A48&amp;"'!$A$12:$Z$19"),MATCH("Points (Auto-generate)",INDIRECT("'"&amp;$A48&amp;"'!$A$12:$Z$12"),0),0)),"ER"))</f>
        <v>NA</v>
      </c>
      <c r="M48" s="10" t="str">
        <f aca="true">IF($F48=0,"NA",IF($A48=INDIRECT("'"&amp;$A48&amp;"'!$B$1"),IF(VLOOKUP(M$1,INDIRECT("'"&amp;$A48&amp;"'!$A$12:$Z$19"),MATCH("Points (Auto-generate)",INDIRECT("'"&amp;$A48&amp;"'!$A$12:$Z$12"),0),0)="","?",VLOOKUP(M$1,INDIRECT("'"&amp;$A48&amp;"'!$A$12:$Z$19"),MATCH("Points (Auto-generate)",INDIRECT("'"&amp;$A48&amp;"'!$A$12:$Z$12"),0),0)),"ER"))</f>
        <v>?</v>
      </c>
    </row>
    <row r="49" customFormat="false" ht="15" hidden="false" customHeight="true" outlineLevel="0" collapsed="false">
      <c r="A49" s="10" t="s">
        <v>352</v>
      </c>
      <c r="B49" s="10" t="str">
        <f aca="false">VLOOKUP($A49,'PARASTATAL Questions'!$A:$J,3,0)&amp;""</f>
        <v>State Capacities</v>
      </c>
      <c r="C49" s="10" t="str">
        <f aca="false">VLOOKUP($A49,'PARASTATAL Questions'!$A:$J,4,0)&amp;""</f>
        <v>MQ</v>
      </c>
      <c r="D49" s="10" t="str">
        <f aca="false">VLOOKUP($A49,'PARASTATAL Questions'!$A:$J,5,0)&amp;""</f>
        <v>How realistic is the parastatal's annual budget?</v>
      </c>
      <c r="E49" s="10" t="str">
        <f aca="false">VLOOKUP($A49,'PARASTATAL Questions'!$A:$J,7,0)&amp;""</f>
        <v>Implementation (Numeric)</v>
      </c>
      <c r="F49" s="10" t="n">
        <f aca="false">VLOOKUP($A49,'PARASTATAL Questions'!$A:$J,6,0)</f>
        <v>10</v>
      </c>
      <c r="G49" s="10" t="str">
        <f aca="true">IF($F49=0,"NA",IF($A49=INDIRECT("'"&amp;$A49&amp;"'!$B$1"),IF(VLOOKUP(G$1,INDIRECT("'"&amp;$A49&amp;"'!$A$12:$Z$19"),MATCH("Points (Auto-generate)",INDIRECT("'"&amp;$A49&amp;"'!$A$12:$Z$12"),0),0)="","?",VLOOKUP(G$1,INDIRECT("'"&amp;$A49&amp;"'!$A$12:$Z$19"),MATCH("Points (Auto-generate)",INDIRECT("'"&amp;$A49&amp;"'!$A$12:$Z$12"),0),0)),"ER"))</f>
        <v>?</v>
      </c>
      <c r="H49" s="10" t="str">
        <f aca="true">IF($F49=0,"NA",IF($A49=INDIRECT("'"&amp;$A49&amp;"'!$B$1"),IF(VLOOKUP(H$1,INDIRECT("'"&amp;$A49&amp;"'!$A$12:$Z$19"),MATCH("Points (Auto-generate)",INDIRECT("'"&amp;$A49&amp;"'!$A$12:$Z$12"),0),0)="","?",VLOOKUP(H$1,INDIRECT("'"&amp;$A49&amp;"'!$A$12:$Z$19"),MATCH("Points (Auto-generate)",INDIRECT("'"&amp;$A49&amp;"'!$A$12:$Z$12"),0),0)),"ER"))</f>
        <v>?</v>
      </c>
      <c r="I49" s="10" t="str">
        <f aca="true">IF($F49=0,"NA",IF($A49=INDIRECT("'"&amp;$A49&amp;"'!$B$1"),IF(VLOOKUP(I$1,INDIRECT("'"&amp;$A49&amp;"'!$A$12:$Z$19"),MATCH("Points (Auto-generate)",INDIRECT("'"&amp;$A49&amp;"'!$A$12:$Z$12"),0),0)="","?",VLOOKUP(I$1,INDIRECT("'"&amp;$A49&amp;"'!$A$12:$Z$19"),MATCH("Points (Auto-generate)",INDIRECT("'"&amp;$A49&amp;"'!$A$12:$Z$12"),0),0)),"ER"))</f>
        <v>?</v>
      </c>
      <c r="J49" s="10" t="str">
        <f aca="true">IF($F49=0,"NA",IF($A49=INDIRECT("'"&amp;$A49&amp;"'!$B$1"),IF(VLOOKUP(J$1,INDIRECT("'"&amp;$A49&amp;"'!$A$12:$Z$19"),MATCH("Points (Auto-generate)",INDIRECT("'"&amp;$A49&amp;"'!$A$12:$Z$12"),0),0)="","?",VLOOKUP(J$1,INDIRECT("'"&amp;$A49&amp;"'!$A$12:$Z$19"),MATCH("Points (Auto-generate)",INDIRECT("'"&amp;$A49&amp;"'!$A$12:$Z$12"),0),0)),"ER"))</f>
        <v>?</v>
      </c>
      <c r="K49" s="10" t="str">
        <f aca="true">IF($F49=0,"NA",IF($A49=INDIRECT("'"&amp;$A49&amp;"'!$B$1"),IF(VLOOKUP(K$1,INDIRECT("'"&amp;$A49&amp;"'!$A$12:$Z$19"),MATCH("Points (Auto-generate)",INDIRECT("'"&amp;$A49&amp;"'!$A$12:$Z$12"),0),0)="","?",VLOOKUP(K$1,INDIRECT("'"&amp;$A49&amp;"'!$A$12:$Z$19"),MATCH("Points (Auto-generate)",INDIRECT("'"&amp;$A49&amp;"'!$A$12:$Z$12"),0),0)),"ER"))</f>
        <v>?</v>
      </c>
      <c r="L49" s="10" t="str">
        <f aca="true">IF($F49=0,"NA",IF($A49=INDIRECT("'"&amp;$A49&amp;"'!$B$1"),IF(VLOOKUP(L$1,INDIRECT("'"&amp;$A49&amp;"'!$A$12:$Z$19"),MATCH("Points (Auto-generate)",INDIRECT("'"&amp;$A49&amp;"'!$A$12:$Z$12"),0),0)="","?",VLOOKUP(L$1,INDIRECT("'"&amp;$A49&amp;"'!$A$12:$Z$19"),MATCH("Points (Auto-generate)",INDIRECT("'"&amp;$A49&amp;"'!$A$12:$Z$12"),0),0)),"ER"))</f>
        <v>?</v>
      </c>
      <c r="M49" s="10" t="str">
        <f aca="true">IF($F49=0,"NA",IF($A49=INDIRECT("'"&amp;$A49&amp;"'!$B$1"),IF(VLOOKUP(M$1,INDIRECT("'"&amp;$A49&amp;"'!$A$12:$Z$19"),MATCH("Points (Auto-generate)",INDIRECT("'"&amp;$A49&amp;"'!$A$12:$Z$12"),0),0)="","?",VLOOKUP(M$1,INDIRECT("'"&amp;$A49&amp;"'!$A$12:$Z$19"),MATCH("Points (Auto-generate)",INDIRECT("'"&amp;$A49&amp;"'!$A$12:$Z$12"),0),0)),"ER"))</f>
        <v>?</v>
      </c>
    </row>
    <row r="50" customFormat="false" ht="15" hidden="false" customHeight="true" outlineLevel="0" collapsed="false">
      <c r="A50" s="10" t="s">
        <v>456</v>
      </c>
      <c r="B50" s="10" t="str">
        <f aca="false">VLOOKUP($A50,'PARASTATAL Questions'!$A:$J,3,0)&amp;""</f>
        <v>State Capacities</v>
      </c>
      <c r="C50" s="10" t="str">
        <f aca="false">VLOOKUP($A50,'PARASTATAL Questions'!$A:$J,4,0)&amp;""</f>
        <v>MQ</v>
      </c>
      <c r="D50" s="10" t="str">
        <f aca="false">VLOOKUP($A50,'PARASTATAL Questions'!$A:$J,5,0)&amp;""</f>
        <v>Is the parastatal mandated to prepare a medium-term and/or long-term fiscal plan, and has it prepared a current plan in accordance with that mandate?</v>
      </c>
      <c r="E50" s="10" t="str">
        <f aca="false">VLOOKUP($A50,'PARASTATAL Questions'!$A:$J,7,0)&amp;""</f>
        <v>Law/Policy</v>
      </c>
      <c r="F50" s="10" t="n">
        <f aca="false">VLOOKUP($A50,'PARASTATAL Questions'!$A:$J,6,0)</f>
        <v>10</v>
      </c>
      <c r="G50" s="10" t="str">
        <f aca="false">IF(OR(G51="ER",G52="ER"),"ER",IF(OR(G51="?",G52="?"),"?",IF(AND(G51="NA",G52="NA"),"NA",SUM(G51,G52)/((G51&lt;&gt;"NA")*$F$51+(G52&lt;&gt;"NA")*$F$52)*$F50)))</f>
        <v>?</v>
      </c>
      <c r="H50" s="10" t="str">
        <f aca="false">IF(OR(H51="ER",H52="ER"),"ER",IF(OR(H51="?",H52="?"),"?",IF(AND(H51="NA",H52="NA"),"NA",SUM(H51,H52)/((H51&lt;&gt;"NA")*$F$51+(H52&lt;&gt;"NA")*$F$52)*$F50)))</f>
        <v>?</v>
      </c>
      <c r="I50" s="10" t="str">
        <f aca="false">IF(OR(I51="ER",I52="ER"),"ER",IF(OR(I51="?",I52="?"),"?",IF(AND(I51="NA",I52="NA"),"NA",SUM(I51,I52)/((I51&lt;&gt;"NA")*$F$51+(I52&lt;&gt;"NA")*$F$52)*$F50)))</f>
        <v>?</v>
      </c>
      <c r="J50" s="10" t="str">
        <f aca="false">IF(OR(J51="ER",J52="ER"),"ER",IF(OR(J51="?",J52="?"),"?",IF(AND(J51="NA",J52="NA"),"NA",SUM(J51,J52)/((J51&lt;&gt;"NA")*$F$51+(J52&lt;&gt;"NA")*$F$52)*$F50)))</f>
        <v>?</v>
      </c>
      <c r="K50" s="10" t="str">
        <f aca="false">IF(OR(K51="ER",K52="ER"),"ER",IF(OR(K51="?",K52="?"),"?",IF(AND(K51="NA",K52="NA"),"NA",SUM(K51,K52)/((K51&lt;&gt;"NA")*$F$51+(K52&lt;&gt;"NA")*$F$52)*$F50)))</f>
        <v>?</v>
      </c>
      <c r="L50" s="10" t="str">
        <f aca="false">IF(OR(L51="ER",L52="ER"),"ER",IF(OR(L51="?",L52="?"),"?",IF(AND(L51="NA",L52="NA"),"NA",SUM(L51,L52)/((L51&lt;&gt;"NA")*$F$51+(L52&lt;&gt;"NA")*$F$52)*$F50)))</f>
        <v>?</v>
      </c>
      <c r="M50" s="10" t="str">
        <f aca="false">IF(OR(M51="ER",M52="ER"),"ER",IF(OR(M51="?",M52="?"),"?",IF(AND(M51="NA",M52="NA"),"NA",SUM(M51,M52)/((M51&lt;&gt;"NA")*$F$51+(M52&lt;&gt;"NA")*$F$52)*$F50)))</f>
        <v>?</v>
      </c>
    </row>
    <row r="51" customFormat="false" ht="15" hidden="false" customHeight="true" outlineLevel="0" collapsed="false">
      <c r="A51" s="8" t="s">
        <v>359</v>
      </c>
      <c r="B51" s="8" t="str">
        <f aca="false">VLOOKUP($A51,'PARASTATAL Questions'!$A:$J,3,0)&amp;""</f>
        <v>State Capacities</v>
      </c>
      <c r="C51" s="8" t="str">
        <f aca="false">VLOOKUP($A51,'PARASTATAL Questions'!$A:$J,4,0)&amp;""</f>
        <v>SQ</v>
      </c>
      <c r="D51" s="8" t="str">
        <f aca="false">VLOOKUP($A51,'PARASTATAL Questions'!$A:$J,5,0)&amp;""</f>
        <v>Is a medium-term (3-5 year) and/or long-term (&gt;5 year) fiscal plan legally mandated?</v>
      </c>
      <c r="E51" s="8" t="str">
        <f aca="false">VLOOKUP($A51,'PARASTATAL Questions'!$A:$J,7,0)&amp;""</f>
        <v>Law/Policy</v>
      </c>
      <c r="F51" s="8" t="n">
        <f aca="false">VLOOKUP($A51,'PARASTATAL Questions'!$A:$J,6,0)</f>
        <v>5</v>
      </c>
      <c r="G51" s="8" t="n">
        <f aca="true">IF($F51=0,"NA",IF($A51=INDIRECT("'"&amp;$A51&amp;"'!$B$1"),IF(VLOOKUP(G$1,INDIRECT("'"&amp;$A51&amp;"'!$A$12:$Z$19"),MATCH("Points (Auto-generate)",INDIRECT("'"&amp;$A51&amp;"'!$A$12:$Z$12"),0),0)="","?",VLOOKUP(G$1,INDIRECT("'"&amp;$A51&amp;"'!$A$12:$Z$19"),MATCH("Points (Auto-generate)",INDIRECT("'"&amp;$A51&amp;"'!$A$12:$Z$12"),0),0)),"ER"))</f>
        <v>0</v>
      </c>
      <c r="H51" s="8" t="n">
        <f aca="true">IF($F51=0,"NA",IF($A51=INDIRECT("'"&amp;$A51&amp;"'!$B$1"),IF(VLOOKUP(H$1,INDIRECT("'"&amp;$A51&amp;"'!$A$12:$Z$19"),MATCH("Points (Auto-generate)",INDIRECT("'"&amp;$A51&amp;"'!$A$12:$Z$12"),0),0)="","?",VLOOKUP(H$1,INDIRECT("'"&amp;$A51&amp;"'!$A$12:$Z$19"),MATCH("Points (Auto-generate)",INDIRECT("'"&amp;$A51&amp;"'!$A$12:$Z$12"),0),0)),"ER"))</f>
        <v>0</v>
      </c>
      <c r="I51" s="8" t="n">
        <f aca="true">IF($F51=0,"NA",IF($A51=INDIRECT("'"&amp;$A51&amp;"'!$B$1"),IF(VLOOKUP(I$1,INDIRECT("'"&amp;$A51&amp;"'!$A$12:$Z$19"),MATCH("Points (Auto-generate)",INDIRECT("'"&amp;$A51&amp;"'!$A$12:$Z$12"),0),0)="","?",VLOOKUP(I$1,INDIRECT("'"&amp;$A51&amp;"'!$A$12:$Z$19"),MATCH("Points (Auto-generate)",INDIRECT("'"&amp;$A51&amp;"'!$A$12:$Z$12"),0),0)),"ER"))</f>
        <v>0</v>
      </c>
      <c r="J51" s="8" t="n">
        <f aca="true">IF($F51=0,"NA",IF($A51=INDIRECT("'"&amp;$A51&amp;"'!$B$1"),IF(VLOOKUP(J$1,INDIRECT("'"&amp;$A51&amp;"'!$A$12:$Z$19"),MATCH("Points (Auto-generate)",INDIRECT("'"&amp;$A51&amp;"'!$A$12:$Z$12"),0),0)="","?",VLOOKUP(J$1,INDIRECT("'"&amp;$A51&amp;"'!$A$12:$Z$19"),MATCH("Points (Auto-generate)",INDIRECT("'"&amp;$A51&amp;"'!$A$12:$Z$12"),0),0)),"ER"))</f>
        <v>0</v>
      </c>
      <c r="K51" s="8" t="n">
        <f aca="true">IF($F51=0,"NA",IF($A51=INDIRECT("'"&amp;$A51&amp;"'!$B$1"),IF(VLOOKUP(K$1,INDIRECT("'"&amp;$A51&amp;"'!$A$12:$Z$19"),MATCH("Points (Auto-generate)",INDIRECT("'"&amp;$A51&amp;"'!$A$12:$Z$12"),0),0)="","?",VLOOKUP(K$1,INDIRECT("'"&amp;$A51&amp;"'!$A$12:$Z$19"),MATCH("Points (Auto-generate)",INDIRECT("'"&amp;$A51&amp;"'!$A$12:$Z$12"),0),0)),"ER"))</f>
        <v>0</v>
      </c>
      <c r="L51" s="8" t="str">
        <f aca="true">IF($F51=0,"NA",IF($A51=INDIRECT("'"&amp;$A51&amp;"'!$B$1"),IF(VLOOKUP(L$1,INDIRECT("'"&amp;$A51&amp;"'!$A$12:$Z$19"),MATCH("Points (Auto-generate)",INDIRECT("'"&amp;$A51&amp;"'!$A$12:$Z$12"),0),0)="","?",VLOOKUP(L$1,INDIRECT("'"&amp;$A51&amp;"'!$A$12:$Z$19"),MATCH("Points (Auto-generate)",INDIRECT("'"&amp;$A51&amp;"'!$A$12:$Z$12"),0),0)),"ER"))</f>
        <v>?</v>
      </c>
      <c r="M51" s="8" t="str">
        <f aca="true">IF($F51=0,"NA",IF($A51=INDIRECT("'"&amp;$A51&amp;"'!$B$1"),IF(VLOOKUP(M$1,INDIRECT("'"&amp;$A51&amp;"'!$A$12:$Z$19"),MATCH("Points (Auto-generate)",INDIRECT("'"&amp;$A51&amp;"'!$A$12:$Z$12"),0),0)="","?",VLOOKUP(M$1,INDIRECT("'"&amp;$A51&amp;"'!$A$12:$Z$19"),MATCH("Points (Auto-generate)",INDIRECT("'"&amp;$A51&amp;"'!$A$12:$Z$12"),0),0)),"ER"))</f>
        <v>?</v>
      </c>
    </row>
    <row r="52" customFormat="false" ht="15" hidden="false" customHeight="true" outlineLevel="0" collapsed="false">
      <c r="A52" s="8" t="s">
        <v>377</v>
      </c>
      <c r="B52" s="8" t="str">
        <f aca="false">VLOOKUP($A52,'PARASTATAL Questions'!$A:$J,3,0)&amp;""</f>
        <v>State Capacities</v>
      </c>
      <c r="C52" s="8" t="str">
        <f aca="false">VLOOKUP($A52,'PARASTATAL Questions'!$A:$J,4,0)&amp;""</f>
        <v>SQ</v>
      </c>
      <c r="D52" s="8" t="str">
        <f aca="false">VLOOKUP($A52,'PARASTATAL Questions'!$A:$J,5,0)&amp;""</f>
        <v>Is the medium/long-term fiscal plan publicly available?</v>
      </c>
      <c r="E52" s="8" t="str">
        <f aca="false">VLOOKUP($A52,'PARASTATAL Questions'!$A:$J,7,0)&amp;""</f>
        <v>Implementation</v>
      </c>
      <c r="F52" s="8" t="n">
        <f aca="false">VLOOKUP($A52,'PARASTATAL Questions'!$A:$J,6,0)</f>
        <v>5</v>
      </c>
      <c r="G52" s="8" t="str">
        <f aca="true">IF($F52=0,"NA",IF($A52=INDIRECT("'"&amp;$A52&amp;"'!$B$1"),IF(VLOOKUP(G$1,INDIRECT("'"&amp;$A52&amp;"'!$A$12:$Z$19"),MATCH("Points (Auto-generate)",INDIRECT("'"&amp;$A52&amp;"'!$A$12:$Z$12"),0),0)="","?",VLOOKUP(G$1,INDIRECT("'"&amp;$A52&amp;"'!$A$12:$Z$19"),MATCH("Points (Auto-generate)",INDIRECT("'"&amp;$A52&amp;"'!$A$12:$Z$12"),0),0)),"ER"))</f>
        <v>?</v>
      </c>
      <c r="H52" s="8" t="str">
        <f aca="true">IF($F52=0,"NA",IF($A52=INDIRECT("'"&amp;$A52&amp;"'!$B$1"),IF(VLOOKUP(H$1,INDIRECT("'"&amp;$A52&amp;"'!$A$12:$Z$19"),MATCH("Points (Auto-generate)",INDIRECT("'"&amp;$A52&amp;"'!$A$12:$Z$12"),0),0)="","?",VLOOKUP(H$1,INDIRECT("'"&amp;$A52&amp;"'!$A$12:$Z$19"),MATCH("Points (Auto-generate)",INDIRECT("'"&amp;$A52&amp;"'!$A$12:$Z$12"),0),0)),"ER"))</f>
        <v>?</v>
      </c>
      <c r="I52" s="8" t="str">
        <f aca="true">IF($F52=0,"NA",IF($A52=INDIRECT("'"&amp;$A52&amp;"'!$B$1"),IF(VLOOKUP(I$1,INDIRECT("'"&amp;$A52&amp;"'!$A$12:$Z$19"),MATCH("Points (Auto-generate)",INDIRECT("'"&amp;$A52&amp;"'!$A$12:$Z$12"),0),0)="","?",VLOOKUP(I$1,INDIRECT("'"&amp;$A52&amp;"'!$A$12:$Z$19"),MATCH("Points (Auto-generate)",INDIRECT("'"&amp;$A52&amp;"'!$A$12:$Z$12"),0),0)),"ER"))</f>
        <v>?</v>
      </c>
      <c r="J52" s="8" t="str">
        <f aca="true">IF($F52=0,"NA",IF($A52=INDIRECT("'"&amp;$A52&amp;"'!$B$1"),IF(VLOOKUP(J$1,INDIRECT("'"&amp;$A52&amp;"'!$A$12:$Z$19"),MATCH("Points (Auto-generate)",INDIRECT("'"&amp;$A52&amp;"'!$A$12:$Z$12"),0),0)="","?",VLOOKUP(J$1,INDIRECT("'"&amp;$A52&amp;"'!$A$12:$Z$19"),MATCH("Points (Auto-generate)",INDIRECT("'"&amp;$A52&amp;"'!$A$12:$Z$12"),0),0)),"ER"))</f>
        <v>?</v>
      </c>
      <c r="K52" s="8" t="str">
        <f aca="true">IF($F52=0,"NA",IF($A52=INDIRECT("'"&amp;$A52&amp;"'!$B$1"),IF(VLOOKUP(K$1,INDIRECT("'"&amp;$A52&amp;"'!$A$12:$Z$19"),MATCH("Points (Auto-generate)",INDIRECT("'"&amp;$A52&amp;"'!$A$12:$Z$12"),0),0)="","?",VLOOKUP(K$1,INDIRECT("'"&amp;$A52&amp;"'!$A$12:$Z$19"),MATCH("Points (Auto-generate)",INDIRECT("'"&amp;$A52&amp;"'!$A$12:$Z$12"),0),0)),"ER"))</f>
        <v>?</v>
      </c>
      <c r="L52" s="8" t="str">
        <f aca="true">IF($F52=0,"NA",IF($A52=INDIRECT("'"&amp;$A52&amp;"'!$B$1"),IF(VLOOKUP(L$1,INDIRECT("'"&amp;$A52&amp;"'!$A$12:$Z$19"),MATCH("Points (Auto-generate)",INDIRECT("'"&amp;$A52&amp;"'!$A$12:$Z$12"),0),0)="","?",VLOOKUP(L$1,INDIRECT("'"&amp;$A52&amp;"'!$A$12:$Z$19"),MATCH("Points (Auto-generate)",INDIRECT("'"&amp;$A52&amp;"'!$A$12:$Z$12"),0),0)),"ER"))</f>
        <v>?</v>
      </c>
      <c r="M52" s="8" t="str">
        <f aca="true">IF($F52=0,"NA",IF($A52=INDIRECT("'"&amp;$A52&amp;"'!$B$1"),IF(VLOOKUP(M$1,INDIRECT("'"&amp;$A52&amp;"'!$A$12:$Z$19"),MATCH("Points (Auto-generate)",INDIRECT("'"&amp;$A52&amp;"'!$A$12:$Z$12"),0),0)="","?",VLOOKUP(M$1,INDIRECT("'"&amp;$A52&amp;"'!$A$12:$Z$19"),MATCH("Points (Auto-generate)",INDIRECT("'"&amp;$A52&amp;"'!$A$12:$Z$12"),0),0)),"ER"))</f>
        <v>?</v>
      </c>
    </row>
    <row r="53" customFormat="false" ht="15" hidden="false" customHeight="true" outlineLevel="0" collapsed="false">
      <c r="A53" s="10" t="s">
        <v>385</v>
      </c>
      <c r="B53" s="10" t="str">
        <f aca="false">VLOOKUP($A53,'PARASTATAL Questions'!$A:$J,3,0)&amp;""</f>
        <v>State Capacities</v>
      </c>
      <c r="C53" s="10" t="str">
        <f aca="false">VLOOKUP($A53,'PARASTATAL Questions'!$A:$J,4,0)&amp;""</f>
        <v>MQ</v>
      </c>
      <c r="D53" s="10" t="str">
        <f aca="false">VLOOKUP($A53,'PARASTATAL Questions'!$A:$J,5,0)&amp;""</f>
        <v>Does the law mandate a minimum tenure for the executive authority of the parastatal?</v>
      </c>
      <c r="E53" s="10" t="str">
        <f aca="false">VLOOKUP($A53,'PARASTATAL Questions'!$A:$J,7,0)&amp;""</f>
        <v>Law/Policy</v>
      </c>
      <c r="F53" s="10" t="n">
        <f aca="false">VLOOKUP($A53,'PARASTATAL Questions'!$A:$J,6,0)</f>
        <v>10</v>
      </c>
      <c r="G53" s="10" t="n">
        <f aca="true">IF($F53=0,"NA",IF($A53=INDIRECT("'"&amp;$A53&amp;"'!$B$1"),IF(VLOOKUP(G$1,INDIRECT("'"&amp;$A53&amp;"'!$A$12:$Z$19"),MATCH("Points (Auto-generate)",INDIRECT("'"&amp;$A53&amp;"'!$A$12:$Z$12"),0),0)="","?",VLOOKUP(G$1,INDIRECT("'"&amp;$A53&amp;"'!$A$12:$Z$19"),MATCH("Points (Auto-generate)",INDIRECT("'"&amp;$A53&amp;"'!$A$12:$Z$12"),0),0)),"ER"))</f>
        <v>0</v>
      </c>
      <c r="H53" s="10" t="str">
        <f aca="true">IF($F53=0,"NA",IF($A53=INDIRECT("'"&amp;$A53&amp;"'!$B$1"),IF(VLOOKUP(H$1,INDIRECT("'"&amp;$A53&amp;"'!$A$12:$Z$19"),MATCH("Points (Auto-generate)",INDIRECT("'"&amp;$A53&amp;"'!$A$12:$Z$12"),0),0)="","?",VLOOKUP(H$1,INDIRECT("'"&amp;$A53&amp;"'!$A$12:$Z$19"),MATCH("Points (Auto-generate)",INDIRECT("'"&amp;$A53&amp;"'!$A$12:$Z$12"),0),0)),"ER"))</f>
        <v>?</v>
      </c>
      <c r="I53" s="10" t="n">
        <f aca="true">IF($F53=0,"NA",IF($A53=INDIRECT("'"&amp;$A53&amp;"'!$B$1"),IF(VLOOKUP(I$1,INDIRECT("'"&amp;$A53&amp;"'!$A$12:$Z$19"),MATCH("Points (Auto-generate)",INDIRECT("'"&amp;$A53&amp;"'!$A$12:$Z$12"),0),0)="","?",VLOOKUP(I$1,INDIRECT("'"&amp;$A53&amp;"'!$A$12:$Z$19"),MATCH("Points (Auto-generate)",INDIRECT("'"&amp;$A53&amp;"'!$A$12:$Z$12"),0),0)),"ER"))</f>
        <v>0</v>
      </c>
      <c r="J53" s="10" t="n">
        <f aca="true">IF($F53=0,"NA",IF($A53=INDIRECT("'"&amp;$A53&amp;"'!$B$1"),IF(VLOOKUP(J$1,INDIRECT("'"&amp;$A53&amp;"'!$A$12:$Z$19"),MATCH("Points (Auto-generate)",INDIRECT("'"&amp;$A53&amp;"'!$A$12:$Z$12"),0),0)="","?",VLOOKUP(J$1,INDIRECT("'"&amp;$A53&amp;"'!$A$12:$Z$19"),MATCH("Points (Auto-generate)",INDIRECT("'"&amp;$A53&amp;"'!$A$12:$Z$12"),0),0)),"ER"))</f>
        <v>0</v>
      </c>
      <c r="K53" s="10" t="str">
        <f aca="true">IF($F53=0,"NA",IF($A53=INDIRECT("'"&amp;$A53&amp;"'!$B$1"),IF(VLOOKUP(K$1,INDIRECT("'"&amp;$A53&amp;"'!$A$12:$Z$19"),MATCH("Points (Auto-generate)",INDIRECT("'"&amp;$A53&amp;"'!$A$12:$Z$12"),0),0)="","?",VLOOKUP(K$1,INDIRECT("'"&amp;$A53&amp;"'!$A$12:$Z$19"),MATCH("Points (Auto-generate)",INDIRECT("'"&amp;$A53&amp;"'!$A$12:$Z$12"),0),0)),"ER"))</f>
        <v>?</v>
      </c>
      <c r="L53" s="10" t="str">
        <f aca="true">IF($F53=0,"NA",IF($A53=INDIRECT("'"&amp;$A53&amp;"'!$B$1"),IF(VLOOKUP(L$1,INDIRECT("'"&amp;$A53&amp;"'!$A$12:$Z$19"),MATCH("Points (Auto-generate)",INDIRECT("'"&amp;$A53&amp;"'!$A$12:$Z$12"),0),0)="","?",VLOOKUP(L$1,INDIRECT("'"&amp;$A53&amp;"'!$A$12:$Z$19"),MATCH("Points (Auto-generate)",INDIRECT("'"&amp;$A53&amp;"'!$A$12:$Z$12"),0),0)),"ER"))</f>
        <v>?</v>
      </c>
      <c r="M53" s="10" t="str">
        <f aca="true">IF($F53=0,"NA",IF($A53=INDIRECT("'"&amp;$A53&amp;"'!$B$1"),IF(VLOOKUP(M$1,INDIRECT("'"&amp;$A53&amp;"'!$A$12:$Z$19"),MATCH("Points (Auto-generate)",INDIRECT("'"&amp;$A53&amp;"'!$A$12:$Z$12"),0),0)="","?",VLOOKUP(M$1,INDIRECT("'"&amp;$A53&amp;"'!$A$12:$Z$19"),MATCH("Points (Auto-generate)",INDIRECT("'"&amp;$A53&amp;"'!$A$12:$Z$12"),0),0)),"ER"))</f>
        <v>?</v>
      </c>
    </row>
    <row r="54" customFormat="false" ht="15" hidden="false" customHeight="true" outlineLevel="0" collapsed="false">
      <c r="A54" s="10" t="s">
        <v>397</v>
      </c>
      <c r="B54" s="10" t="str">
        <f aca="false">VLOOKUP($A54,'PARASTATAL Questions'!$A:$J,3,0)&amp;""</f>
        <v>State Capacities</v>
      </c>
      <c r="C54" s="10" t="str">
        <f aca="false">VLOOKUP($A54,'PARASTATAL Questions'!$A:$J,4,0)&amp;""</f>
        <v>MQ</v>
      </c>
      <c r="D54" s="10" t="str">
        <f aca="false">VLOOKUP($A54,'PARASTATAL Questions'!$A:$J,5,0)&amp;""</f>
        <v>What is the average tenure of the chief executive/executive authority of the parastatal?</v>
      </c>
      <c r="E54" s="10" t="str">
        <f aca="false">VLOOKUP($A54,'PARASTATAL Questions'!$A:$J,7,0)&amp;""</f>
        <v>Implementation (Numeric)</v>
      </c>
      <c r="F54" s="10" t="n">
        <f aca="false">VLOOKUP($A54,'PARASTATAL Questions'!$A:$J,6,0)</f>
        <v>10</v>
      </c>
      <c r="G54" s="10" t="str">
        <f aca="true">IF($F54=0,"NA",IF($A54=INDIRECT("'"&amp;$A54&amp;"'!$B$1"),IF(VLOOKUP(G$1,INDIRECT("'"&amp;$A54&amp;"'!$A$12:$Z$19"),MATCH("Points (Auto-generate)",INDIRECT("'"&amp;$A54&amp;"'!$A$12:$Z$12"),0),0)="","?",VLOOKUP(G$1,INDIRECT("'"&amp;$A54&amp;"'!$A$12:$Z$19"),MATCH("Points (Auto-generate)",INDIRECT("'"&amp;$A54&amp;"'!$A$12:$Z$12"),0),0)),"ER"))</f>
        <v>?</v>
      </c>
      <c r="H54" s="10" t="str">
        <f aca="true">IF($F54=0,"NA",IF($A54=INDIRECT("'"&amp;$A54&amp;"'!$B$1"),IF(VLOOKUP(H$1,INDIRECT("'"&amp;$A54&amp;"'!$A$12:$Z$19"),MATCH("Points (Auto-generate)",INDIRECT("'"&amp;$A54&amp;"'!$A$12:$Z$12"),0),0)="","?",VLOOKUP(H$1,INDIRECT("'"&amp;$A54&amp;"'!$A$12:$Z$19"),MATCH("Points (Auto-generate)",INDIRECT("'"&amp;$A54&amp;"'!$A$12:$Z$12"),0),0)),"ER"))</f>
        <v>?</v>
      </c>
      <c r="I54" s="10" t="str">
        <f aca="true">IF($F54=0,"NA",IF($A54=INDIRECT("'"&amp;$A54&amp;"'!$B$1"),IF(VLOOKUP(I$1,INDIRECT("'"&amp;$A54&amp;"'!$A$12:$Z$19"),MATCH("Points (Auto-generate)",INDIRECT("'"&amp;$A54&amp;"'!$A$12:$Z$12"),0),0)="","?",VLOOKUP(I$1,INDIRECT("'"&amp;$A54&amp;"'!$A$12:$Z$19"),MATCH("Points (Auto-generate)",INDIRECT("'"&amp;$A54&amp;"'!$A$12:$Z$12"),0),0)),"ER"))</f>
        <v>?</v>
      </c>
      <c r="J54" s="10" t="str">
        <f aca="true">IF($F54=0,"NA",IF($A54=INDIRECT("'"&amp;$A54&amp;"'!$B$1"),IF(VLOOKUP(J$1,INDIRECT("'"&amp;$A54&amp;"'!$A$12:$Z$19"),MATCH("Points (Auto-generate)",INDIRECT("'"&amp;$A54&amp;"'!$A$12:$Z$12"),0),0)="","?",VLOOKUP(J$1,INDIRECT("'"&amp;$A54&amp;"'!$A$12:$Z$19"),MATCH("Points (Auto-generate)",INDIRECT("'"&amp;$A54&amp;"'!$A$12:$Z$12"),0),0)),"ER"))</f>
        <v>?</v>
      </c>
      <c r="K54" s="10" t="str">
        <f aca="true">IF($F54=0,"NA",IF($A54=INDIRECT("'"&amp;$A54&amp;"'!$B$1"),IF(VLOOKUP(K$1,INDIRECT("'"&amp;$A54&amp;"'!$A$12:$Z$19"),MATCH("Points (Auto-generate)",INDIRECT("'"&amp;$A54&amp;"'!$A$12:$Z$12"),0),0)="","?",VLOOKUP(K$1,INDIRECT("'"&amp;$A54&amp;"'!$A$12:$Z$19"),MATCH("Points (Auto-generate)",INDIRECT("'"&amp;$A54&amp;"'!$A$12:$Z$12"),0),0)),"ER"))</f>
        <v>?</v>
      </c>
      <c r="L54" s="10" t="str">
        <f aca="true">IF($F54=0,"NA",IF($A54=INDIRECT("'"&amp;$A54&amp;"'!$B$1"),IF(VLOOKUP(L$1,INDIRECT("'"&amp;$A54&amp;"'!$A$12:$Z$19"),MATCH("Points (Auto-generate)",INDIRECT("'"&amp;$A54&amp;"'!$A$12:$Z$12"),0),0)="","?",VLOOKUP(L$1,INDIRECT("'"&amp;$A54&amp;"'!$A$12:$Z$19"),MATCH("Points (Auto-generate)",INDIRECT("'"&amp;$A54&amp;"'!$A$12:$Z$12"),0),0)),"ER"))</f>
        <v>?</v>
      </c>
      <c r="M54" s="10" t="str">
        <f aca="true">IF($F54=0,"NA",IF($A54=INDIRECT("'"&amp;$A54&amp;"'!$B$1"),IF(VLOOKUP(M$1,INDIRECT("'"&amp;$A54&amp;"'!$A$12:$Z$19"),MATCH("Points (Auto-generate)",INDIRECT("'"&amp;$A54&amp;"'!$A$12:$Z$12"),0),0)="","?",VLOOKUP(M$1,INDIRECT("'"&amp;$A54&amp;"'!$A$12:$Z$19"),MATCH("Points (Auto-generate)",INDIRECT("'"&amp;$A54&amp;"'!$A$12:$Z$12"),0),0)),"ER"))</f>
        <v>?</v>
      </c>
    </row>
    <row r="55" customFormat="false" ht="15" hidden="false" customHeight="true" outlineLevel="0" collapsed="false">
      <c r="A55" s="10" t="s">
        <v>457</v>
      </c>
      <c r="B55" s="10" t="str">
        <f aca="false">VLOOKUP($A55,'PARASTATAL Questions'!$A:$J,3,0)&amp;""</f>
        <v>State Capacities</v>
      </c>
      <c r="C55" s="10" t="str">
        <f aca="false">VLOOKUP($A55,'PARASTATAL Questions'!$A:$J,4,0)&amp;""</f>
        <v>MQ</v>
      </c>
      <c r="D55" s="10" t="str">
        <f aca="false">VLOOKUP($A55,'PARASTATAL Questions'!$A:$J,5,0)&amp;""</f>
        <v>Does the parastatal have adequate and representative staffing capacity to discharge its mandate?</v>
      </c>
      <c r="E55" s="10" t="str">
        <f aca="false">VLOOKUP($A55,'PARASTATAL Questions'!$A:$J,7,0)&amp;""</f>
        <v>Implementation (Numeric)</v>
      </c>
      <c r="F55" s="10" t="n">
        <f aca="false">VLOOKUP($A55,'PARASTATAL Questions'!$A:$J,6,0)</f>
        <v>10</v>
      </c>
      <c r="G55" s="10" t="str">
        <f aca="false">IF(OR(G56="ER",G57="ER"),"ER",IF(OR(G56="?",G57="?"),"?",IF(AND(G56="NA",G57="NA"),"NA",SUM(G56,G57)/((G56&lt;&gt;"NA")*$F$56+(G57&lt;&gt;"NA")*$F$57)*$F55)))</f>
        <v>?</v>
      </c>
      <c r="H55" s="10" t="str">
        <f aca="false">IF(OR(H56="ER",H57="ER"),"ER",IF(OR(H56="?",H57="?"),"?",IF(AND(H56="NA",H57="NA"),"NA",SUM(H56,H57)/((H56&lt;&gt;"NA")*$F$56+(H57&lt;&gt;"NA")*$F$57)*$F55)))</f>
        <v>?</v>
      </c>
      <c r="I55" s="10" t="str">
        <f aca="false">IF(OR(I56="ER",I57="ER"),"ER",IF(OR(I56="?",I57="?"),"?",IF(AND(I56="NA",I57="NA"),"NA",SUM(I56,I57)/((I56&lt;&gt;"NA")*$F$56+(I57&lt;&gt;"NA")*$F$57)*$F55)))</f>
        <v>?</v>
      </c>
      <c r="J55" s="10" t="str">
        <f aca="false">IF(OR(J56="ER",J57="ER"),"ER",IF(OR(J56="?",J57="?"),"?",IF(AND(J56="NA",J57="NA"),"NA",SUM(J56,J57)/((J56&lt;&gt;"NA")*$F$56+(J57&lt;&gt;"NA")*$F$57)*$F55)))</f>
        <v>?</v>
      </c>
      <c r="K55" s="10" t="str">
        <f aca="false">IF(OR(K56="ER",K57="ER"),"ER",IF(OR(K56="?",K57="?"),"?",IF(AND(K56="NA",K57="NA"),"NA",SUM(K56,K57)/((K56&lt;&gt;"NA")*$F$56+(K57&lt;&gt;"NA")*$F$57)*$F55)))</f>
        <v>?</v>
      </c>
      <c r="L55" s="10" t="str">
        <f aca="false">IF(OR(L56="ER",L57="ER"),"ER",IF(OR(L56="?",L57="?"),"?",IF(AND(L56="NA",L57="NA"),"NA",SUM(L56,L57)/((L56&lt;&gt;"NA")*$F$56+(L57&lt;&gt;"NA")*$F$57)*$F55)))</f>
        <v>?</v>
      </c>
      <c r="M55" s="10" t="str">
        <f aca="false">IF(OR(M56="ER",M57="ER"),"ER",IF(OR(M56="?",M57="?"),"?",IF(AND(M56="NA",M57="NA"),"NA",SUM(M56,M57)/((M56&lt;&gt;"NA")*$F$56+(M57&lt;&gt;"NA")*$F$57)*$F55)))</f>
        <v>?</v>
      </c>
    </row>
    <row r="56" customFormat="false" ht="15" hidden="false" customHeight="true" outlineLevel="0" collapsed="false">
      <c r="A56" s="8" t="s">
        <v>406</v>
      </c>
      <c r="B56" s="8" t="str">
        <f aca="false">VLOOKUP($A56,'PARASTATAL Questions'!$A:$J,3,0)&amp;""</f>
        <v>State Capacities</v>
      </c>
      <c r="C56" s="8" t="str">
        <f aca="false">VLOOKUP($A56,'PARASTATAL Questions'!$A:$J,4,0)&amp;""</f>
        <v>SQ</v>
      </c>
      <c r="D56" s="8" t="str">
        <f aca="false">VLOOKUP($A56,'PARASTATAL Questions'!$A:$J,5,0)&amp;""</f>
        <v>Does the parastatal have adequate staffing capacity to discharge its mandate?</v>
      </c>
      <c r="E56" s="8" t="str">
        <f aca="false">VLOOKUP($A56,'PARASTATAL Questions'!$A:$J,7,0)&amp;""</f>
        <v>Implementation (Numeric)</v>
      </c>
      <c r="F56" s="8" t="n">
        <f aca="false">VLOOKUP($A56,'PARASTATAL Questions'!$A:$J,6,0)</f>
        <v>5</v>
      </c>
      <c r="G56" s="8" t="n">
        <f aca="true">IF($F56=0,"NA",IF($A56=INDIRECT("'"&amp;$A56&amp;"'!$B$1"),IF(VLOOKUP(G$1,INDIRECT("'"&amp;$A56&amp;"'!$A$12:$Z$19"),MATCH("Points (Auto-generate)",INDIRECT("'"&amp;$A56&amp;"'!$A$12:$Z$12"),0),0)="","?",VLOOKUP(G$1,INDIRECT("'"&amp;$A56&amp;"'!$A$12:$Z$19"),MATCH("Points (Auto-generate)",INDIRECT("'"&amp;$A56&amp;"'!$A$12:$Z$12"),0),0)),"ER"))</f>
        <v>3</v>
      </c>
      <c r="H56" s="8" t="str">
        <f aca="true">IF($F56=0,"NA",IF($A56=INDIRECT("'"&amp;$A56&amp;"'!$B$1"),IF(VLOOKUP(H$1,INDIRECT("'"&amp;$A56&amp;"'!$A$12:$Z$19"),MATCH("Points (Auto-generate)",INDIRECT("'"&amp;$A56&amp;"'!$A$12:$Z$12"),0),0)="","?",VLOOKUP(H$1,INDIRECT("'"&amp;$A56&amp;"'!$A$12:$Z$19"),MATCH("Points (Auto-generate)",INDIRECT("'"&amp;$A56&amp;"'!$A$12:$Z$12"),0),0)),"ER"))</f>
        <v>?</v>
      </c>
      <c r="I56" s="8" t="str">
        <f aca="true">IF($F56=0,"NA",IF($A56=INDIRECT("'"&amp;$A56&amp;"'!$B$1"),IF(VLOOKUP(I$1,INDIRECT("'"&amp;$A56&amp;"'!$A$12:$Z$19"),MATCH("Points (Auto-generate)",INDIRECT("'"&amp;$A56&amp;"'!$A$12:$Z$12"),0),0)="","?",VLOOKUP(I$1,INDIRECT("'"&amp;$A56&amp;"'!$A$12:$Z$19"),MATCH("Points (Auto-generate)",INDIRECT("'"&amp;$A56&amp;"'!$A$12:$Z$12"),0),0)),"ER"))</f>
        <v>?</v>
      </c>
      <c r="J56" s="8" t="str">
        <f aca="true">IF($F56=0,"NA",IF($A56=INDIRECT("'"&amp;$A56&amp;"'!$B$1"),IF(VLOOKUP(J$1,INDIRECT("'"&amp;$A56&amp;"'!$A$12:$Z$19"),MATCH("Points (Auto-generate)",INDIRECT("'"&amp;$A56&amp;"'!$A$12:$Z$12"),0),0)="","?",VLOOKUP(J$1,INDIRECT("'"&amp;$A56&amp;"'!$A$12:$Z$19"),MATCH("Points (Auto-generate)",INDIRECT("'"&amp;$A56&amp;"'!$A$12:$Z$12"),0),0)),"ER"))</f>
        <v>?</v>
      </c>
      <c r="K56" s="8" t="str">
        <f aca="true">IF($F56=0,"NA",IF($A56=INDIRECT("'"&amp;$A56&amp;"'!$B$1"),IF(VLOOKUP(K$1,INDIRECT("'"&amp;$A56&amp;"'!$A$12:$Z$19"),MATCH("Points (Auto-generate)",INDIRECT("'"&amp;$A56&amp;"'!$A$12:$Z$12"),0),0)="","?",VLOOKUP(K$1,INDIRECT("'"&amp;$A56&amp;"'!$A$12:$Z$19"),MATCH("Points (Auto-generate)",INDIRECT("'"&amp;$A56&amp;"'!$A$12:$Z$12"),0),0)),"ER"))</f>
        <v>?</v>
      </c>
      <c r="L56" s="8" t="str">
        <f aca="true">IF($F56=0,"NA",IF($A56=INDIRECT("'"&amp;$A56&amp;"'!$B$1"),IF(VLOOKUP(L$1,INDIRECT("'"&amp;$A56&amp;"'!$A$12:$Z$19"),MATCH("Points (Auto-generate)",INDIRECT("'"&amp;$A56&amp;"'!$A$12:$Z$12"),0),0)="","?",VLOOKUP(L$1,INDIRECT("'"&amp;$A56&amp;"'!$A$12:$Z$19"),MATCH("Points (Auto-generate)",INDIRECT("'"&amp;$A56&amp;"'!$A$12:$Z$12"),0),0)),"ER"))</f>
        <v>?</v>
      </c>
      <c r="M56" s="8" t="str">
        <f aca="true">IF($F56=0,"NA",IF($A56=INDIRECT("'"&amp;$A56&amp;"'!$B$1"),IF(VLOOKUP(M$1,INDIRECT("'"&amp;$A56&amp;"'!$A$12:$Z$19"),MATCH("Points (Auto-generate)",INDIRECT("'"&amp;$A56&amp;"'!$A$12:$Z$12"),0),0)="","?",VLOOKUP(M$1,INDIRECT("'"&amp;$A56&amp;"'!$A$12:$Z$19"),MATCH("Points (Auto-generate)",INDIRECT("'"&amp;$A56&amp;"'!$A$12:$Z$12"),0),0)),"ER"))</f>
        <v>?</v>
      </c>
    </row>
    <row r="57" customFormat="false" ht="15" hidden="false" customHeight="true" outlineLevel="0" collapsed="false">
      <c r="A57" s="8" t="s">
        <v>417</v>
      </c>
      <c r="B57" s="8" t="str">
        <f aca="false">VLOOKUP($A57,'PARASTATAL Questions'!$A:$J,3,0)&amp;""</f>
        <v>State Capacities</v>
      </c>
      <c r="C57" s="8" t="str">
        <f aca="false">VLOOKUP($A57,'PARASTATAL Questions'!$A:$J,4,0)&amp;""</f>
        <v>SQ</v>
      </c>
      <c r="D57" s="8" t="str">
        <f aca="false">VLOOKUP($A57,'PARASTATAL Questions'!$A:$J,5,0)&amp;""</f>
        <v>What proportion of the parastatal's workforce is women?</v>
      </c>
      <c r="E57" s="8" t="str">
        <f aca="false">VLOOKUP($A57,'PARASTATAL Questions'!$A:$J,7,0)&amp;""</f>
        <v>Implementation (Numeric)</v>
      </c>
      <c r="F57" s="8" t="n">
        <f aca="false">VLOOKUP($A57,'PARASTATAL Questions'!$A:$J,6,0)</f>
        <v>5</v>
      </c>
      <c r="G57" s="8" t="str">
        <f aca="true">IF($F57=0,"NA",IF($A57=INDIRECT("'"&amp;$A57&amp;"'!$B$1"),IF(VLOOKUP(G$1,INDIRECT("'"&amp;$A57&amp;"'!$A$12:$Z$19"),MATCH("Points (Auto-generate)",INDIRECT("'"&amp;$A57&amp;"'!$A$12:$Z$12"),0),0)="","?",VLOOKUP(G$1,INDIRECT("'"&amp;$A57&amp;"'!$A$12:$Z$19"),MATCH("Points (Auto-generate)",INDIRECT("'"&amp;$A57&amp;"'!$A$12:$Z$12"),0),0)),"ER"))</f>
        <v>?</v>
      </c>
      <c r="H57" s="8" t="str">
        <f aca="true">IF($F57=0,"NA",IF($A57=INDIRECT("'"&amp;$A57&amp;"'!$B$1"),IF(VLOOKUP(H$1,INDIRECT("'"&amp;$A57&amp;"'!$A$12:$Z$19"),MATCH("Points (Auto-generate)",INDIRECT("'"&amp;$A57&amp;"'!$A$12:$Z$12"),0),0)="","?",VLOOKUP(H$1,INDIRECT("'"&amp;$A57&amp;"'!$A$12:$Z$19"),MATCH("Points (Auto-generate)",INDIRECT("'"&amp;$A57&amp;"'!$A$12:$Z$12"),0),0)),"ER"))</f>
        <v>?</v>
      </c>
      <c r="I57" s="8" t="str">
        <f aca="true">IF($F57=0,"NA",IF($A57=INDIRECT("'"&amp;$A57&amp;"'!$B$1"),IF(VLOOKUP(I$1,INDIRECT("'"&amp;$A57&amp;"'!$A$12:$Z$19"),MATCH("Points (Auto-generate)",INDIRECT("'"&amp;$A57&amp;"'!$A$12:$Z$12"),0),0)="","?",VLOOKUP(I$1,INDIRECT("'"&amp;$A57&amp;"'!$A$12:$Z$19"),MATCH("Points (Auto-generate)",INDIRECT("'"&amp;$A57&amp;"'!$A$12:$Z$12"),0),0)),"ER"))</f>
        <v>?</v>
      </c>
      <c r="J57" s="8" t="str">
        <f aca="true">IF($F57=0,"NA",IF($A57=INDIRECT("'"&amp;$A57&amp;"'!$B$1"),IF(VLOOKUP(J$1,INDIRECT("'"&amp;$A57&amp;"'!$A$12:$Z$19"),MATCH("Points (Auto-generate)",INDIRECT("'"&amp;$A57&amp;"'!$A$12:$Z$12"),0),0)="","?",VLOOKUP(J$1,INDIRECT("'"&amp;$A57&amp;"'!$A$12:$Z$19"),MATCH("Points (Auto-generate)",INDIRECT("'"&amp;$A57&amp;"'!$A$12:$Z$12"),0),0)),"ER"))</f>
        <v>?</v>
      </c>
      <c r="K57" s="8" t="str">
        <f aca="true">IF($F57=0,"NA",IF($A57=INDIRECT("'"&amp;$A57&amp;"'!$B$1"),IF(VLOOKUP(K$1,INDIRECT("'"&amp;$A57&amp;"'!$A$12:$Z$19"),MATCH("Points (Auto-generate)",INDIRECT("'"&amp;$A57&amp;"'!$A$12:$Z$12"),0),0)="","?",VLOOKUP(K$1,INDIRECT("'"&amp;$A57&amp;"'!$A$12:$Z$19"),MATCH("Points (Auto-generate)",INDIRECT("'"&amp;$A57&amp;"'!$A$12:$Z$12"),0),0)),"ER"))</f>
        <v>?</v>
      </c>
      <c r="L57" s="8" t="str">
        <f aca="true">IF($F57=0,"NA",IF($A57=INDIRECT("'"&amp;$A57&amp;"'!$B$1"),IF(VLOOKUP(L$1,INDIRECT("'"&amp;$A57&amp;"'!$A$12:$Z$19"),MATCH("Points (Auto-generate)",INDIRECT("'"&amp;$A57&amp;"'!$A$12:$Z$12"),0),0)="","?",VLOOKUP(L$1,INDIRECT("'"&amp;$A57&amp;"'!$A$12:$Z$19"),MATCH("Points (Auto-generate)",INDIRECT("'"&amp;$A57&amp;"'!$A$12:$Z$12"),0),0)),"ER"))</f>
        <v>?</v>
      </c>
      <c r="M57" s="8" t="str">
        <f aca="true">IF($F57=0,"NA",IF($A57=INDIRECT("'"&amp;$A57&amp;"'!$B$1"),IF(VLOOKUP(M$1,INDIRECT("'"&amp;$A57&amp;"'!$A$12:$Z$19"),MATCH("Points (Auto-generate)",INDIRECT("'"&amp;$A57&amp;"'!$A$12:$Z$12"),0),0)="","?",VLOOKUP(M$1,INDIRECT("'"&amp;$A57&amp;"'!$A$12:$Z$19"),MATCH("Points (Auto-generate)",INDIRECT("'"&amp;$A57&amp;"'!$A$12:$Z$12"),0),0)),"ER"))</f>
        <v>?</v>
      </c>
    </row>
    <row r="59" customFormat="false" ht="15" hidden="false" customHeight="true" outlineLevel="0" collapsed="false">
      <c r="D59" s="10" t="s">
        <v>458</v>
      </c>
      <c r="G59" s="10" t="s">
        <v>19</v>
      </c>
      <c r="H59" s="10" t="s">
        <v>29</v>
      </c>
      <c r="I59" s="10" t="s">
        <v>34</v>
      </c>
      <c r="J59" s="10" t="s">
        <v>40</v>
      </c>
      <c r="K59" s="10" t="s">
        <v>46</v>
      </c>
      <c r="L59" s="10" t="s">
        <v>441</v>
      </c>
      <c r="M59" s="10" t="s">
        <v>442</v>
      </c>
    </row>
    <row r="60" customFormat="false" ht="15" hidden="false" customHeight="true" outlineLevel="0" collapsed="false">
      <c r="D60" s="10" t="s">
        <v>459</v>
      </c>
      <c r="G60" s="8" t="n">
        <f aca="false">IFERROR(SUMIFS(G$3:G$57,$C$3:$C$57,"MQ")/(COUNTIFS($C$3:$C$57,"MQ")-COUNTIFS($C$3:$C$57,"MQ",G$3:G$57,"NA")),"NA")</f>
        <v>1.39705882352941</v>
      </c>
      <c r="H60" s="8" t="n">
        <f aca="false">IFERROR(SUMIFS(H$3:H$57,$C$3:$C$57,"MQ")/(COUNTIFS($C$3:$C$57,"MQ")-COUNTIFS($C$3:$C$57,"MQ",H$3:H$57,"NA")),"NA")</f>
        <v>0.220588235294118</v>
      </c>
      <c r="I60" s="8" t="n">
        <f aca="false">IFERROR(SUMIFS(I$3:I$57,$C$3:$C$57,"MQ")/(COUNTIFS($C$3:$C$57,"MQ")-COUNTIFS($C$3:$C$57,"MQ",I$3:I$57,"NA")),"NA")</f>
        <v>0.576923076923077</v>
      </c>
      <c r="J60" s="8" t="n">
        <f aca="false">IFERROR(SUMIFS(J$3:J$57,$C$3:$C$57,"MQ")/(COUNTIFS($C$3:$C$57,"MQ")-COUNTIFS($C$3:$C$57,"MQ",J$3:J$57,"NA")),"NA")</f>
        <v>0.961538461538462</v>
      </c>
      <c r="K60" s="8" t="n">
        <f aca="false">IFERROR(SUMIFS(K$3:K$57,$C$3:$C$57,"MQ")/(COUNTIFS($C$3:$C$57,"MQ")-COUNTIFS($C$3:$C$57,"MQ",K$3:K$57,"NA")),"NA")</f>
        <v>1.36363636363636</v>
      </c>
      <c r="L60" s="8" t="n">
        <f aca="false">IFERROR(SUMIFS(L$3:L$57,$C$3:$C$57,"MQ")/(COUNTIFS($C$3:$C$57,"MQ")-COUNTIFS($C$3:$C$57,"MQ",L$3:L$57,"NA")),"NA")</f>
        <v>0</v>
      </c>
      <c r="M60" s="8" t="n">
        <f aca="false">IFERROR(SUMIFS(M$3:M$57,$C$3:$C$57,"MQ")/(COUNTIFS($C$3:$C$57,"MQ")-COUNTIFS($C$3:$C$57,"MQ",M$3:M$57,"NA")),"NA")</f>
        <v>0</v>
      </c>
    </row>
    <row r="61" customFormat="false" ht="15" hidden="false" customHeight="true" outlineLevel="0" collapsed="false">
      <c r="D61" s="10" t="s">
        <v>460</v>
      </c>
      <c r="G61" s="8" t="n">
        <f aca="false">COUNTIFS($C$3:$C$57,"MQ",G$3:G$57,"?")</f>
        <v>13</v>
      </c>
      <c r="H61" s="8" t="n">
        <f aca="false">COUNTIFS($C$3:$C$57,"MQ",H$3:H$57,"?")</f>
        <v>16</v>
      </c>
      <c r="I61" s="8" t="n">
        <f aca="false">COUNTIFS($C$3:$C$57,"MQ",I$3:I$57,"?")</f>
        <v>12</v>
      </c>
      <c r="J61" s="8" t="n">
        <f aca="false">COUNTIFS($C$3:$C$57,"MQ",J$3:J$57,"?")</f>
        <v>12</v>
      </c>
      <c r="K61" s="8" t="n">
        <f aca="false">COUNTIFS($C$3:$C$57,"MQ",K$3:K$57,"?")</f>
        <v>10</v>
      </c>
      <c r="L61" s="8" t="n">
        <f aca="false">COUNTIFS($C$3:$C$57,"MQ",L$3:L$57,"?")</f>
        <v>11</v>
      </c>
      <c r="M61" s="8" t="n">
        <f aca="false">COUNTIFS($C$3:$C$57,"MQ",M$3:M$57,"?")</f>
        <v>13</v>
      </c>
    </row>
    <row r="62" customFormat="false" ht="15" hidden="false" customHeight="true" outlineLevel="0" collapsed="false">
      <c r="D62" s="10" t="s">
        <v>461</v>
      </c>
      <c r="G62" s="8" t="n">
        <f aca="false">COUNTIFS($C$3:$C$57,"MQ",G$3:G$57,"NA")</f>
        <v>2</v>
      </c>
      <c r="H62" s="8" t="n">
        <f aca="false">COUNTIFS($C$3:$C$57,"MQ",H$3:H$57,"NA")</f>
        <v>2</v>
      </c>
      <c r="I62" s="8" t="n">
        <f aca="false">COUNTIFS($C$3:$C$57,"MQ",I$3:I$57,"NA")</f>
        <v>6</v>
      </c>
      <c r="J62" s="8" t="n">
        <f aca="false">COUNTIFS($C$3:$C$57,"MQ",J$3:J$57,"NA")</f>
        <v>6</v>
      </c>
      <c r="K62" s="8" t="n">
        <f aca="false">COUNTIFS($C$3:$C$57,"MQ",K$3:K$57,"NA")</f>
        <v>8</v>
      </c>
      <c r="L62" s="8" t="n">
        <f aca="false">COUNTIFS($C$3:$C$57,"MQ",L$3:L$57,"NA")</f>
        <v>8</v>
      </c>
      <c r="M62" s="8" t="n">
        <f aca="false">COUNTIFS($C$3:$C$57,"MQ",M$3:M$57,"NA")</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8" width="22"/>
    <col collapsed="false" customWidth="true" hidden="false" outlineLevel="0" max="2" min="2" style="8" width="50"/>
    <col collapsed="false" customWidth="true" hidden="false" outlineLevel="0" max="3" min="3" style="8" width="16"/>
    <col collapsed="false" customWidth="true" hidden="false" outlineLevel="0" max="4" min="4" style="8" width="20"/>
  </cols>
  <sheetData>
    <row r="1" customFormat="false" ht="26.25" hidden="false" customHeight="true" outlineLevel="0" collapsed="false">
      <c r="A1" s="1" t="s">
        <v>462</v>
      </c>
      <c r="B1" s="1" t="s">
        <v>463</v>
      </c>
      <c r="C1" s="1" t="s">
        <v>464</v>
      </c>
      <c r="D1" s="1" t="s">
        <v>465</v>
      </c>
    </row>
    <row r="2" customFormat="false" ht="15" hidden="false" customHeight="true" outlineLevel="0" collapsed="false">
      <c r="A2" s="8" t="s">
        <v>466</v>
      </c>
      <c r="B2" s="8" t="s">
        <v>467</v>
      </c>
      <c r="C2" s="8" t="n">
        <f aca="false">IFERROR(AVERAGEIFS(PARASTATAL_SUMMARY_RAW!$G$60:$M$60,PARASTATAL_SUMMARY_RAW!$G$59:$M$59,$A2&amp;" – *"),"NA")</f>
        <v>0.903948992184286</v>
      </c>
      <c r="D2" s="8" t="n">
        <f aca="false">COUNTIFS(PARASTATAL_SUMMARY_RAW!$G$59:$M$59,$A2&amp;" – *",PARASTATAL_SUMMARY_RAW!$G$60:$M$60,"&gt;=0")</f>
        <v>5</v>
      </c>
    </row>
    <row r="3" customFormat="false" ht="15" hidden="false" customHeight="true" outlineLevel="0" collapsed="false">
      <c r="A3" s="8" t="s">
        <v>468</v>
      </c>
      <c r="B3" s="8" t="s">
        <v>469</v>
      </c>
      <c r="C3" s="8" t="n">
        <f aca="false">IFERROR(AVERAGEIFS(PARASTATAL_SUMMARY_RAW!$G$60:$M$60,PARASTATAL_SUMMARY_RAW!$G$59:$M$59,$A3&amp;" – *"),"NA")</f>
        <v>0</v>
      </c>
      <c r="D3" s="8" t="n">
        <f aca="false">COUNTIFS(PARASTATAL_SUMMARY_RAW!$G$59:$M$59,$A3&amp;" – *",PARASTATAL_SUMMARY_RAW!$G$60:$M$60,"&gt;=0")</f>
        <v>2</v>
      </c>
    </row>
    <row r="5" customFormat="false" ht="15" hidden="false" customHeight="true" outlineLevel="0" collapsed="false">
      <c r="A5" s="11" t="s">
        <v>470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8" width="10"/>
    <col collapsed="false" customWidth="true" hidden="false" outlineLevel="0" max="3" min="3" style="8" width="30"/>
    <col collapsed="false" customWidth="true" hidden="false" outlineLevel="0" max="5" min="5" style="8" width="60"/>
    <col collapsed="false" customWidth="true" hidden="false" outlineLevel="0" max="8" min="8" style="8" width="30"/>
    <col collapsed="false" customWidth="true" hidden="false" outlineLevel="0" max="9" min="9" style="8" width="80"/>
    <col collapsed="false" customWidth="true" hidden="false" outlineLevel="0" max="10" min="10" style="8" width="50"/>
  </cols>
  <sheetData>
    <row r="1" customFormat="false" ht="26.25" hidden="false" customHeight="true" outlineLevel="0" collapsed="false">
      <c r="A1" s="1" t="s">
        <v>471</v>
      </c>
      <c r="B1" s="1" t="s">
        <v>472</v>
      </c>
      <c r="C1" s="1" t="s">
        <v>437</v>
      </c>
      <c r="D1" s="1" t="s">
        <v>438</v>
      </c>
      <c r="E1" s="1" t="s">
        <v>0</v>
      </c>
      <c r="F1" s="1" t="s">
        <v>440</v>
      </c>
      <c r="G1" s="1" t="s">
        <v>439</v>
      </c>
      <c r="H1" s="1" t="s">
        <v>473</v>
      </c>
      <c r="I1" s="1" t="s">
        <v>474</v>
      </c>
      <c r="J1" s="1" t="s">
        <v>475</v>
      </c>
    </row>
    <row r="2" customFormat="false" ht="15" hidden="false" customHeight="true" outlineLevel="0" collapsed="false">
      <c r="A2" s="8" t="s">
        <v>445</v>
      </c>
      <c r="B2" s="8" t="s">
        <v>476</v>
      </c>
      <c r="C2" s="8" t="s">
        <v>477</v>
      </c>
      <c r="D2" s="8" t="s">
        <v>478</v>
      </c>
      <c r="E2" s="8" t="s">
        <v>479</v>
      </c>
      <c r="F2" s="8" t="n">
        <v>10</v>
      </c>
      <c r="H2" s="8" t="s">
        <v>480</v>
      </c>
      <c r="I2" s="8" t="s">
        <v>481</v>
      </c>
      <c r="J2" s="8" t="s">
        <v>482</v>
      </c>
    </row>
    <row r="3" customFormat="false" ht="79.5" hidden="false" customHeight="true" outlineLevel="0" collapsed="false">
      <c r="A3" s="8" t="s">
        <v>18</v>
      </c>
      <c r="B3" s="8" t="s">
        <v>483</v>
      </c>
      <c r="C3" s="8" t="s">
        <v>477</v>
      </c>
      <c r="D3" s="8" t="s">
        <v>484</v>
      </c>
      <c r="E3" s="8" t="s">
        <v>20</v>
      </c>
      <c r="F3" s="8" t="n">
        <v>5</v>
      </c>
      <c r="G3" s="8" t="s">
        <v>485</v>
      </c>
      <c r="H3" s="8" t="s">
        <v>480</v>
      </c>
      <c r="I3" s="12" t="s">
        <v>486</v>
      </c>
      <c r="J3" s="8" t="s">
        <v>487</v>
      </c>
    </row>
    <row r="4" customFormat="false" ht="90.75" hidden="false" customHeight="true" outlineLevel="0" collapsed="false">
      <c r="A4" s="8" t="s">
        <v>52</v>
      </c>
      <c r="B4" s="8" t="s">
        <v>488</v>
      </c>
      <c r="C4" s="8" t="s">
        <v>477</v>
      </c>
      <c r="D4" s="8" t="s">
        <v>484</v>
      </c>
      <c r="E4" s="8" t="s">
        <v>53</v>
      </c>
      <c r="F4" s="8" t="n">
        <v>5</v>
      </c>
      <c r="G4" s="8" t="s">
        <v>489</v>
      </c>
      <c r="H4" s="8" t="s">
        <v>480</v>
      </c>
      <c r="I4" s="12" t="s">
        <v>490</v>
      </c>
      <c r="J4" s="8" t="s">
        <v>491</v>
      </c>
    </row>
    <row r="5" customFormat="false" ht="15" hidden="false" customHeight="true" outlineLevel="0" collapsed="false">
      <c r="A5" s="8" t="s">
        <v>446</v>
      </c>
      <c r="B5" s="8" t="s">
        <v>492</v>
      </c>
      <c r="C5" s="8" t="s">
        <v>477</v>
      </c>
      <c r="D5" s="8" t="s">
        <v>478</v>
      </c>
      <c r="E5" s="8" t="s">
        <v>493</v>
      </c>
      <c r="F5" s="8" t="n">
        <v>10</v>
      </c>
      <c r="H5" s="8" t="s">
        <v>494</v>
      </c>
      <c r="I5" s="8" t="s">
        <v>495</v>
      </c>
      <c r="J5" s="8" t="s">
        <v>482</v>
      </c>
    </row>
    <row r="6" customFormat="false" ht="102" hidden="false" customHeight="true" outlineLevel="0" collapsed="false">
      <c r="A6" s="8" t="s">
        <v>64</v>
      </c>
      <c r="B6" s="8" t="s">
        <v>496</v>
      </c>
      <c r="C6" s="8" t="s">
        <v>477</v>
      </c>
      <c r="D6" s="8" t="s">
        <v>484</v>
      </c>
      <c r="E6" s="8" t="s">
        <v>65</v>
      </c>
      <c r="F6" s="8" t="n">
        <v>2.5</v>
      </c>
      <c r="G6" s="8" t="s">
        <v>485</v>
      </c>
      <c r="H6" s="8" t="s">
        <v>497</v>
      </c>
      <c r="I6" s="12" t="s">
        <v>498</v>
      </c>
      <c r="J6" s="8" t="s">
        <v>487</v>
      </c>
    </row>
    <row r="7" customFormat="false" ht="113.25" hidden="false" customHeight="true" outlineLevel="0" collapsed="false">
      <c r="A7" s="8" t="s">
        <v>70</v>
      </c>
      <c r="B7" s="8" t="s">
        <v>499</v>
      </c>
      <c r="C7" s="8" t="s">
        <v>477</v>
      </c>
      <c r="D7" s="8" t="s">
        <v>484</v>
      </c>
      <c r="E7" s="8" t="s">
        <v>71</v>
      </c>
      <c r="F7" s="8" t="n">
        <v>2.5</v>
      </c>
      <c r="G7" s="8" t="s">
        <v>489</v>
      </c>
      <c r="H7" s="8" t="s">
        <v>497</v>
      </c>
      <c r="I7" s="12" t="s">
        <v>500</v>
      </c>
      <c r="J7" s="8" t="s">
        <v>501</v>
      </c>
    </row>
    <row r="8" customFormat="false" ht="102" hidden="false" customHeight="true" outlineLevel="0" collapsed="false">
      <c r="A8" s="8" t="s">
        <v>75</v>
      </c>
      <c r="B8" s="8" t="s">
        <v>502</v>
      </c>
      <c r="C8" s="8" t="s">
        <v>477</v>
      </c>
      <c r="D8" s="8" t="s">
        <v>484</v>
      </c>
      <c r="E8" s="8" t="s">
        <v>76</v>
      </c>
      <c r="F8" s="8" t="n">
        <v>2.5</v>
      </c>
      <c r="G8" s="8" t="s">
        <v>485</v>
      </c>
      <c r="H8" s="8" t="s">
        <v>503</v>
      </c>
      <c r="I8" s="12" t="s">
        <v>504</v>
      </c>
      <c r="J8" s="8" t="s">
        <v>487</v>
      </c>
    </row>
    <row r="9" customFormat="false" ht="102" hidden="false" customHeight="true" outlineLevel="0" collapsed="false">
      <c r="A9" s="8" t="s">
        <v>82</v>
      </c>
      <c r="B9" s="8" t="s">
        <v>505</v>
      </c>
      <c r="C9" s="8" t="s">
        <v>477</v>
      </c>
      <c r="D9" s="8" t="s">
        <v>484</v>
      </c>
      <c r="E9" s="8" t="s">
        <v>83</v>
      </c>
      <c r="F9" s="8" t="n">
        <v>2.5</v>
      </c>
      <c r="G9" s="8" t="s">
        <v>489</v>
      </c>
      <c r="H9" s="8" t="s">
        <v>503</v>
      </c>
      <c r="I9" s="12" t="s">
        <v>506</v>
      </c>
      <c r="J9" s="8" t="s">
        <v>507</v>
      </c>
    </row>
    <row r="10" customFormat="false" ht="15" hidden="false" customHeight="true" outlineLevel="0" collapsed="false">
      <c r="A10" s="8" t="s">
        <v>447</v>
      </c>
      <c r="B10" s="8" t="s">
        <v>508</v>
      </c>
      <c r="C10" s="8" t="s">
        <v>477</v>
      </c>
      <c r="D10" s="8" t="s">
        <v>478</v>
      </c>
      <c r="E10" s="8" t="s">
        <v>509</v>
      </c>
      <c r="F10" s="8" t="n">
        <v>10</v>
      </c>
      <c r="G10" s="8" t="s">
        <v>485</v>
      </c>
      <c r="H10" s="8" t="s">
        <v>497</v>
      </c>
      <c r="I10" s="8" t="s">
        <v>510</v>
      </c>
      <c r="J10" s="8" t="s">
        <v>511</v>
      </c>
    </row>
    <row r="11" customFormat="false" ht="57" hidden="false" customHeight="true" outlineLevel="0" collapsed="false">
      <c r="A11" s="8" t="s">
        <v>85</v>
      </c>
      <c r="B11" s="8" t="s">
        <v>512</v>
      </c>
      <c r="C11" s="8" t="s">
        <v>477</v>
      </c>
      <c r="D11" s="8" t="s">
        <v>484</v>
      </c>
      <c r="E11" s="8" t="s">
        <v>86</v>
      </c>
      <c r="F11" s="8" t="n">
        <v>5</v>
      </c>
      <c r="G11" s="8" t="s">
        <v>485</v>
      </c>
      <c r="H11" s="8" t="s">
        <v>497</v>
      </c>
      <c r="I11" s="12" t="s">
        <v>513</v>
      </c>
      <c r="J11" s="8" t="s">
        <v>514</v>
      </c>
    </row>
    <row r="12" customFormat="false" ht="314.25" hidden="false" customHeight="true" outlineLevel="0" collapsed="false">
      <c r="A12" s="8" t="s">
        <v>92</v>
      </c>
      <c r="B12" s="8" t="s">
        <v>515</v>
      </c>
      <c r="C12" s="8" t="s">
        <v>477</v>
      </c>
      <c r="D12" s="8" t="s">
        <v>484</v>
      </c>
      <c r="E12" s="8" t="s">
        <v>93</v>
      </c>
      <c r="F12" s="8" t="n">
        <v>5</v>
      </c>
      <c r="G12" s="8" t="s">
        <v>489</v>
      </c>
      <c r="H12" s="8" t="s">
        <v>497</v>
      </c>
      <c r="I12" s="12" t="s">
        <v>516</v>
      </c>
      <c r="J12" s="8" t="s">
        <v>517</v>
      </c>
    </row>
    <row r="13" customFormat="false" ht="15" hidden="false" customHeight="true" outlineLevel="0" collapsed="false">
      <c r="A13" s="8" t="s">
        <v>448</v>
      </c>
      <c r="B13" s="8" t="s">
        <v>518</v>
      </c>
      <c r="C13" s="8" t="s">
        <v>477</v>
      </c>
      <c r="D13" s="8" t="s">
        <v>478</v>
      </c>
      <c r="E13" s="8" t="s">
        <v>519</v>
      </c>
      <c r="F13" s="8" t="n">
        <v>10</v>
      </c>
      <c r="H13" s="8" t="s">
        <v>503</v>
      </c>
      <c r="I13" s="8" t="s">
        <v>495</v>
      </c>
      <c r="J13" s="8" t="s">
        <v>482</v>
      </c>
    </row>
    <row r="14" customFormat="false" ht="57" hidden="false" customHeight="true" outlineLevel="0" collapsed="false">
      <c r="A14" s="8" t="s">
        <v>96</v>
      </c>
      <c r="B14" s="8" t="s">
        <v>520</v>
      </c>
      <c r="C14" s="8" t="s">
        <v>477</v>
      </c>
      <c r="D14" s="8" t="s">
        <v>484</v>
      </c>
      <c r="E14" s="8" t="s">
        <v>97</v>
      </c>
      <c r="F14" s="8" t="n">
        <v>5</v>
      </c>
      <c r="G14" s="8" t="s">
        <v>485</v>
      </c>
      <c r="H14" s="8" t="s">
        <v>503</v>
      </c>
      <c r="I14" s="12" t="s">
        <v>521</v>
      </c>
      <c r="J14" s="8" t="s">
        <v>522</v>
      </c>
    </row>
    <row r="15" customFormat="false" ht="102" hidden="false" customHeight="true" outlineLevel="0" collapsed="false">
      <c r="A15" s="8" t="s">
        <v>100</v>
      </c>
      <c r="B15" s="8" t="s">
        <v>523</v>
      </c>
      <c r="C15" s="8" t="s">
        <v>477</v>
      </c>
      <c r="D15" s="8" t="s">
        <v>484</v>
      </c>
      <c r="E15" s="8" t="s">
        <v>101</v>
      </c>
      <c r="F15" s="8" t="n">
        <v>5</v>
      </c>
      <c r="G15" s="8" t="s">
        <v>489</v>
      </c>
      <c r="H15" s="8" t="s">
        <v>503</v>
      </c>
      <c r="I15" s="12" t="s">
        <v>524</v>
      </c>
      <c r="J15" s="8" t="s">
        <v>525</v>
      </c>
    </row>
    <row r="16" customFormat="false" ht="15" hidden="false" customHeight="true" outlineLevel="0" collapsed="false">
      <c r="A16" s="8" t="s">
        <v>449</v>
      </c>
      <c r="B16" s="8" t="s">
        <v>526</v>
      </c>
      <c r="C16" s="8" t="s">
        <v>477</v>
      </c>
      <c r="D16" s="8" t="s">
        <v>478</v>
      </c>
      <c r="E16" s="8" t="s">
        <v>527</v>
      </c>
      <c r="F16" s="8" t="n">
        <v>10</v>
      </c>
      <c r="G16" s="8" t="s">
        <v>485</v>
      </c>
      <c r="H16" s="8" t="s">
        <v>497</v>
      </c>
      <c r="I16" s="8" t="s">
        <v>528</v>
      </c>
      <c r="J16" s="8" t="s">
        <v>529</v>
      </c>
    </row>
    <row r="17" customFormat="false" ht="79.5" hidden="false" customHeight="true" outlineLevel="0" collapsed="false">
      <c r="A17" s="8" t="s">
        <v>107</v>
      </c>
      <c r="B17" s="8" t="s">
        <v>530</v>
      </c>
      <c r="C17" s="8" t="s">
        <v>477</v>
      </c>
      <c r="D17" s="8" t="s">
        <v>484</v>
      </c>
      <c r="E17" s="8" t="s">
        <v>108</v>
      </c>
      <c r="F17" s="8" t="n">
        <v>5</v>
      </c>
      <c r="G17" s="8" t="s">
        <v>485</v>
      </c>
      <c r="H17" s="8" t="s">
        <v>497</v>
      </c>
      <c r="I17" s="12" t="s">
        <v>531</v>
      </c>
      <c r="J17" s="8" t="s">
        <v>532</v>
      </c>
    </row>
    <row r="18" customFormat="false" ht="325.5" hidden="false" customHeight="true" outlineLevel="0" collapsed="false">
      <c r="A18" s="8" t="s">
        <v>112</v>
      </c>
      <c r="B18" s="8" t="s">
        <v>533</v>
      </c>
      <c r="C18" s="8" t="s">
        <v>477</v>
      </c>
      <c r="D18" s="8" t="s">
        <v>484</v>
      </c>
      <c r="E18" s="8" t="s">
        <v>113</v>
      </c>
      <c r="F18" s="8" t="n">
        <v>5</v>
      </c>
      <c r="G18" s="8" t="s">
        <v>489</v>
      </c>
      <c r="H18" s="8" t="s">
        <v>497</v>
      </c>
      <c r="I18" s="12" t="s">
        <v>534</v>
      </c>
      <c r="J18" s="8" t="s">
        <v>535</v>
      </c>
    </row>
    <row r="19" customFormat="false" ht="15" hidden="false" customHeight="true" outlineLevel="0" collapsed="false">
      <c r="A19" s="8" t="s">
        <v>450</v>
      </c>
      <c r="B19" s="8" t="s">
        <v>536</v>
      </c>
      <c r="C19" s="8" t="s">
        <v>477</v>
      </c>
      <c r="D19" s="8" t="s">
        <v>478</v>
      </c>
      <c r="E19" s="8" t="s">
        <v>537</v>
      </c>
      <c r="F19" s="8" t="n">
        <v>10</v>
      </c>
      <c r="H19" s="8" t="s">
        <v>503</v>
      </c>
      <c r="I19" s="8" t="s">
        <v>495</v>
      </c>
      <c r="J19" s="8" t="s">
        <v>482</v>
      </c>
    </row>
    <row r="20" customFormat="false" ht="57" hidden="false" customHeight="true" outlineLevel="0" collapsed="false">
      <c r="A20" s="8" t="s">
        <v>119</v>
      </c>
      <c r="B20" s="8" t="s">
        <v>538</v>
      </c>
      <c r="C20" s="8" t="s">
        <v>477</v>
      </c>
      <c r="D20" s="8" t="s">
        <v>484</v>
      </c>
      <c r="E20" s="8" t="s">
        <v>120</v>
      </c>
      <c r="F20" s="8" t="n">
        <v>5</v>
      </c>
      <c r="G20" s="8" t="s">
        <v>485</v>
      </c>
      <c r="H20" s="8" t="s">
        <v>503</v>
      </c>
      <c r="I20" s="12" t="s">
        <v>539</v>
      </c>
      <c r="J20" s="8" t="s">
        <v>540</v>
      </c>
    </row>
    <row r="21" customFormat="false" ht="102" hidden="false" customHeight="true" outlineLevel="0" collapsed="false">
      <c r="A21" s="8" t="s">
        <v>124</v>
      </c>
      <c r="B21" s="8" t="s">
        <v>541</v>
      </c>
      <c r="C21" s="8" t="s">
        <v>477</v>
      </c>
      <c r="D21" s="8" t="s">
        <v>484</v>
      </c>
      <c r="E21" s="8" t="s">
        <v>125</v>
      </c>
      <c r="F21" s="8" t="n">
        <v>5</v>
      </c>
      <c r="G21" s="8" t="s">
        <v>489</v>
      </c>
      <c r="H21" s="8" t="s">
        <v>503</v>
      </c>
      <c r="I21" s="12" t="s">
        <v>542</v>
      </c>
      <c r="J21" s="8" t="s">
        <v>543</v>
      </c>
    </row>
    <row r="22" customFormat="false" ht="15" hidden="false" customHeight="true" outlineLevel="0" collapsed="false">
      <c r="A22" s="8" t="s">
        <v>451</v>
      </c>
      <c r="B22" s="8" t="s">
        <v>544</v>
      </c>
      <c r="C22" s="8" t="s">
        <v>545</v>
      </c>
      <c r="D22" s="8" t="s">
        <v>478</v>
      </c>
      <c r="E22" s="8" t="s">
        <v>546</v>
      </c>
      <c r="F22" s="8" t="n">
        <v>10</v>
      </c>
      <c r="G22" s="8" t="s">
        <v>547</v>
      </c>
      <c r="H22" s="8" t="s">
        <v>480</v>
      </c>
      <c r="I22" s="8" t="s">
        <v>495</v>
      </c>
      <c r="J22" s="8" t="s">
        <v>548</v>
      </c>
    </row>
    <row r="23" customFormat="false" ht="247.5" hidden="false" customHeight="true" outlineLevel="0" collapsed="false">
      <c r="A23" s="8" t="s">
        <v>131</v>
      </c>
      <c r="B23" s="8" t="s">
        <v>549</v>
      </c>
      <c r="C23" s="8" t="s">
        <v>545</v>
      </c>
      <c r="D23" s="8" t="s">
        <v>484</v>
      </c>
      <c r="E23" s="8" t="s">
        <v>132</v>
      </c>
      <c r="F23" s="8" t="n">
        <v>5</v>
      </c>
      <c r="G23" s="8" t="s">
        <v>547</v>
      </c>
      <c r="H23" s="8" t="s">
        <v>480</v>
      </c>
      <c r="I23" s="12" t="s">
        <v>550</v>
      </c>
      <c r="J23" s="8" t="s">
        <v>551</v>
      </c>
    </row>
    <row r="24" customFormat="false" ht="57" hidden="false" customHeight="true" outlineLevel="0" collapsed="false">
      <c r="A24" s="8" t="s">
        <v>148</v>
      </c>
      <c r="B24" s="8" t="s">
        <v>552</v>
      </c>
      <c r="C24" s="8" t="s">
        <v>545</v>
      </c>
      <c r="D24" s="8" t="s">
        <v>484</v>
      </c>
      <c r="E24" s="8" t="s">
        <v>149</v>
      </c>
      <c r="F24" s="8" t="n">
        <v>5</v>
      </c>
      <c r="G24" s="8" t="s">
        <v>547</v>
      </c>
      <c r="H24" s="8" t="s">
        <v>480</v>
      </c>
      <c r="I24" s="12" t="s">
        <v>553</v>
      </c>
      <c r="J24" s="8" t="s">
        <v>554</v>
      </c>
    </row>
    <row r="25" customFormat="false" ht="15" hidden="false" customHeight="true" outlineLevel="0" collapsed="false">
      <c r="A25" s="8" t="s">
        <v>452</v>
      </c>
      <c r="B25" s="8" t="s">
        <v>555</v>
      </c>
      <c r="C25" s="8" t="s">
        <v>545</v>
      </c>
      <c r="D25" s="8" t="s">
        <v>478</v>
      </c>
      <c r="E25" s="8" t="s">
        <v>556</v>
      </c>
      <c r="F25" s="8" t="n">
        <v>10</v>
      </c>
      <c r="G25" s="8" t="s">
        <v>547</v>
      </c>
      <c r="H25" s="8" t="s">
        <v>480</v>
      </c>
      <c r="I25" s="8" t="s">
        <v>495</v>
      </c>
      <c r="J25" s="8" t="s">
        <v>482</v>
      </c>
    </row>
    <row r="26" customFormat="false" ht="57" hidden="false" customHeight="true" outlineLevel="0" collapsed="false">
      <c r="A26" s="8" t="s">
        <v>165</v>
      </c>
      <c r="B26" s="8" t="s">
        <v>557</v>
      </c>
      <c r="C26" s="8" t="s">
        <v>545</v>
      </c>
      <c r="D26" s="8" t="s">
        <v>484</v>
      </c>
      <c r="E26" s="8" t="s">
        <v>166</v>
      </c>
      <c r="F26" s="8" t="n">
        <v>5</v>
      </c>
      <c r="G26" s="8" t="s">
        <v>547</v>
      </c>
      <c r="H26" s="8" t="s">
        <v>480</v>
      </c>
      <c r="I26" s="12" t="s">
        <v>558</v>
      </c>
      <c r="J26" s="8" t="s">
        <v>559</v>
      </c>
    </row>
    <row r="27" customFormat="false" ht="124.5" hidden="false" customHeight="true" outlineLevel="0" collapsed="false">
      <c r="A27" s="8" t="s">
        <v>181</v>
      </c>
      <c r="B27" s="8" t="s">
        <v>560</v>
      </c>
      <c r="C27" s="8" t="s">
        <v>545</v>
      </c>
      <c r="D27" s="8" t="s">
        <v>484</v>
      </c>
      <c r="E27" s="8" t="s">
        <v>182</v>
      </c>
      <c r="F27" s="8" t="n">
        <v>5</v>
      </c>
      <c r="G27" s="8" t="s">
        <v>485</v>
      </c>
      <c r="H27" s="8" t="s">
        <v>480</v>
      </c>
      <c r="I27" s="12" t="s">
        <v>561</v>
      </c>
      <c r="J27" s="8" t="s">
        <v>562</v>
      </c>
    </row>
    <row r="28" customFormat="false" ht="57" hidden="false" customHeight="true" outlineLevel="0" collapsed="false">
      <c r="A28" s="8" t="s">
        <v>196</v>
      </c>
      <c r="B28" s="8" t="s">
        <v>563</v>
      </c>
      <c r="C28" s="8" t="s">
        <v>545</v>
      </c>
      <c r="D28" s="8" t="s">
        <v>478</v>
      </c>
      <c r="E28" s="8" t="s">
        <v>197</v>
      </c>
      <c r="F28" s="8" t="n">
        <v>10</v>
      </c>
      <c r="G28" s="8" t="s">
        <v>489</v>
      </c>
      <c r="H28" s="8" t="s">
        <v>564</v>
      </c>
      <c r="I28" s="12" t="s">
        <v>565</v>
      </c>
      <c r="J28" s="8" t="s">
        <v>566</v>
      </c>
    </row>
    <row r="29" customFormat="false" ht="90.75" hidden="false" customHeight="true" outlineLevel="0" collapsed="false">
      <c r="A29" s="8" t="s">
        <v>453</v>
      </c>
      <c r="B29" s="8" t="s">
        <v>567</v>
      </c>
      <c r="C29" s="8" t="s">
        <v>545</v>
      </c>
      <c r="D29" s="8" t="s">
        <v>478</v>
      </c>
      <c r="E29" s="8" t="s">
        <v>568</v>
      </c>
      <c r="F29" s="8" t="n">
        <v>10</v>
      </c>
      <c r="G29" s="8" t="s">
        <v>489</v>
      </c>
      <c r="H29" s="8" t="s">
        <v>564</v>
      </c>
      <c r="I29" s="12" t="s">
        <v>569</v>
      </c>
      <c r="J29" s="8" t="s">
        <v>570</v>
      </c>
    </row>
    <row r="30" customFormat="false" ht="90.75" hidden="false" customHeight="true" outlineLevel="0" collapsed="false">
      <c r="A30" s="8" t="s">
        <v>210</v>
      </c>
      <c r="B30" s="8" t="s">
        <v>210</v>
      </c>
      <c r="C30" s="8" t="s">
        <v>545</v>
      </c>
      <c r="D30" s="8" t="s">
        <v>484</v>
      </c>
      <c r="E30" s="8" t="s">
        <v>211</v>
      </c>
      <c r="F30" s="8" t="n">
        <v>1</v>
      </c>
      <c r="G30" s="8" t="s">
        <v>489</v>
      </c>
      <c r="H30" s="8" t="s">
        <v>564</v>
      </c>
      <c r="I30" s="12" t="s">
        <v>571</v>
      </c>
      <c r="J30" s="8" t="s">
        <v>570</v>
      </c>
    </row>
    <row r="31" customFormat="false" ht="90.75" hidden="false" customHeight="true" outlineLevel="0" collapsed="false">
      <c r="A31" s="8" t="s">
        <v>218</v>
      </c>
      <c r="B31" s="8" t="s">
        <v>572</v>
      </c>
      <c r="C31" s="8" t="s">
        <v>545</v>
      </c>
      <c r="D31" s="8" t="s">
        <v>484</v>
      </c>
      <c r="E31" s="8" t="s">
        <v>219</v>
      </c>
      <c r="F31" s="8" t="n">
        <v>1</v>
      </c>
      <c r="G31" s="8" t="s">
        <v>489</v>
      </c>
      <c r="H31" s="8" t="s">
        <v>564</v>
      </c>
      <c r="I31" s="12" t="s">
        <v>573</v>
      </c>
      <c r="J31" s="8" t="s">
        <v>570</v>
      </c>
    </row>
    <row r="32" customFormat="false" ht="90.75" hidden="false" customHeight="true" outlineLevel="0" collapsed="false">
      <c r="A32" s="8" t="s">
        <v>227</v>
      </c>
      <c r="B32" s="8" t="s">
        <v>574</v>
      </c>
      <c r="C32" s="8" t="s">
        <v>545</v>
      </c>
      <c r="D32" s="8" t="s">
        <v>484</v>
      </c>
      <c r="E32" s="8" t="s">
        <v>228</v>
      </c>
      <c r="F32" s="8" t="n">
        <v>1</v>
      </c>
      <c r="G32" s="8" t="s">
        <v>489</v>
      </c>
      <c r="H32" s="8" t="s">
        <v>564</v>
      </c>
      <c r="I32" s="12" t="s">
        <v>575</v>
      </c>
      <c r="J32" s="8" t="s">
        <v>570</v>
      </c>
    </row>
    <row r="33" customFormat="false" ht="90.75" hidden="false" customHeight="true" outlineLevel="0" collapsed="false">
      <c r="A33" s="8" t="s">
        <v>237</v>
      </c>
      <c r="B33" s="8" t="s">
        <v>576</v>
      </c>
      <c r="C33" s="8" t="s">
        <v>545</v>
      </c>
      <c r="D33" s="8" t="s">
        <v>484</v>
      </c>
      <c r="E33" s="8" t="s">
        <v>238</v>
      </c>
      <c r="F33" s="8" t="n">
        <v>1</v>
      </c>
      <c r="G33" s="8" t="s">
        <v>489</v>
      </c>
      <c r="H33" s="8" t="s">
        <v>564</v>
      </c>
      <c r="I33" s="12" t="s">
        <v>577</v>
      </c>
      <c r="J33" s="8" t="s">
        <v>570</v>
      </c>
    </row>
    <row r="34" customFormat="false" ht="90.75" hidden="false" customHeight="true" outlineLevel="0" collapsed="false">
      <c r="A34" s="8" t="s">
        <v>244</v>
      </c>
      <c r="B34" s="8" t="s">
        <v>578</v>
      </c>
      <c r="C34" s="8" t="s">
        <v>545</v>
      </c>
      <c r="D34" s="8" t="s">
        <v>484</v>
      </c>
      <c r="E34" s="8" t="s">
        <v>245</v>
      </c>
      <c r="F34" s="8" t="n">
        <v>1</v>
      </c>
      <c r="G34" s="8" t="s">
        <v>489</v>
      </c>
      <c r="H34" s="8" t="s">
        <v>564</v>
      </c>
      <c r="I34" s="12" t="s">
        <v>579</v>
      </c>
      <c r="J34" s="8" t="s">
        <v>570</v>
      </c>
    </row>
    <row r="35" customFormat="false" ht="113.25" hidden="false" customHeight="true" outlineLevel="0" collapsed="false">
      <c r="A35" s="8" t="s">
        <v>255</v>
      </c>
      <c r="B35" s="8" t="s">
        <v>255</v>
      </c>
      <c r="C35" s="8" t="s">
        <v>545</v>
      </c>
      <c r="D35" s="8" t="s">
        <v>484</v>
      </c>
      <c r="E35" s="8" t="s">
        <v>256</v>
      </c>
      <c r="F35" s="8" t="n">
        <v>1</v>
      </c>
      <c r="G35" s="8" t="s">
        <v>489</v>
      </c>
      <c r="H35" s="8" t="s">
        <v>564</v>
      </c>
      <c r="I35" s="12" t="s">
        <v>580</v>
      </c>
      <c r="J35" s="8" t="s">
        <v>570</v>
      </c>
    </row>
    <row r="36" customFormat="false" ht="102" hidden="false" customHeight="true" outlineLevel="0" collapsed="false">
      <c r="A36" s="8" t="s">
        <v>264</v>
      </c>
      <c r="B36" s="8" t="s">
        <v>581</v>
      </c>
      <c r="C36" s="8" t="s">
        <v>545</v>
      </c>
      <c r="D36" s="8" t="s">
        <v>484</v>
      </c>
      <c r="E36" s="8" t="s">
        <v>265</v>
      </c>
      <c r="F36" s="8" t="n">
        <v>1</v>
      </c>
      <c r="G36" s="8" t="s">
        <v>489</v>
      </c>
      <c r="H36" s="8" t="s">
        <v>564</v>
      </c>
      <c r="I36" s="12" t="s">
        <v>582</v>
      </c>
      <c r="J36" s="8" t="s">
        <v>570</v>
      </c>
    </row>
    <row r="37" customFormat="false" ht="102" hidden="false" customHeight="true" outlineLevel="0" collapsed="false">
      <c r="A37" s="8" t="s">
        <v>272</v>
      </c>
      <c r="B37" s="8" t="s">
        <v>272</v>
      </c>
      <c r="C37" s="8" t="s">
        <v>545</v>
      </c>
      <c r="D37" s="8" t="s">
        <v>484</v>
      </c>
      <c r="E37" s="8" t="s">
        <v>273</v>
      </c>
      <c r="F37" s="8" t="n">
        <v>1</v>
      </c>
      <c r="G37" s="8" t="s">
        <v>489</v>
      </c>
      <c r="H37" s="8" t="s">
        <v>564</v>
      </c>
      <c r="I37" s="12" t="s">
        <v>583</v>
      </c>
      <c r="J37" s="8" t="s">
        <v>570</v>
      </c>
    </row>
    <row r="38" customFormat="false" ht="102" hidden="false" customHeight="true" outlineLevel="0" collapsed="false">
      <c r="A38" s="8" t="s">
        <v>281</v>
      </c>
      <c r="B38" s="8" t="s">
        <v>281</v>
      </c>
      <c r="C38" s="8" t="s">
        <v>545</v>
      </c>
      <c r="D38" s="8" t="s">
        <v>484</v>
      </c>
      <c r="E38" s="8" t="s">
        <v>282</v>
      </c>
      <c r="F38" s="8" t="n">
        <v>1</v>
      </c>
      <c r="G38" s="8" t="s">
        <v>489</v>
      </c>
      <c r="H38" s="8" t="s">
        <v>564</v>
      </c>
      <c r="I38" s="12" t="s">
        <v>584</v>
      </c>
      <c r="J38" s="8" t="s">
        <v>570</v>
      </c>
    </row>
    <row r="39" customFormat="false" ht="102" hidden="false" customHeight="true" outlineLevel="0" collapsed="false">
      <c r="A39" s="8" t="s">
        <v>288</v>
      </c>
      <c r="B39" s="8" t="s">
        <v>288</v>
      </c>
      <c r="C39" s="8" t="s">
        <v>545</v>
      </c>
      <c r="D39" s="8" t="s">
        <v>484</v>
      </c>
      <c r="E39" s="8" t="s">
        <v>289</v>
      </c>
      <c r="F39" s="8" t="n">
        <v>1</v>
      </c>
      <c r="G39" s="8" t="s">
        <v>489</v>
      </c>
      <c r="H39" s="8" t="s">
        <v>564</v>
      </c>
      <c r="I39" s="12" t="s">
        <v>585</v>
      </c>
      <c r="J39" s="8" t="s">
        <v>570</v>
      </c>
    </row>
    <row r="40" customFormat="false" ht="15" hidden="false" customHeight="true" outlineLevel="0" collapsed="false">
      <c r="A40" s="8" t="s">
        <v>454</v>
      </c>
      <c r="B40" s="8" t="s">
        <v>586</v>
      </c>
      <c r="C40" s="8" t="s">
        <v>545</v>
      </c>
      <c r="D40" s="8" t="s">
        <v>478</v>
      </c>
      <c r="E40" s="8" t="s">
        <v>587</v>
      </c>
      <c r="F40" s="8" t="n">
        <v>10</v>
      </c>
      <c r="G40" s="8" t="s">
        <v>547</v>
      </c>
      <c r="H40" s="8" t="s">
        <v>564</v>
      </c>
      <c r="I40" s="8" t="s">
        <v>588</v>
      </c>
      <c r="J40" s="8" t="s">
        <v>482</v>
      </c>
    </row>
    <row r="41" customFormat="false" ht="15" hidden="false" customHeight="true" outlineLevel="0" collapsed="false">
      <c r="A41" s="8" t="s">
        <v>295</v>
      </c>
      <c r="B41" s="8" t="s">
        <v>589</v>
      </c>
      <c r="C41" s="8" t="s">
        <v>545</v>
      </c>
      <c r="D41" s="8" t="s">
        <v>484</v>
      </c>
      <c r="E41" s="8" t="s">
        <v>296</v>
      </c>
      <c r="F41" s="8" t="n">
        <v>5</v>
      </c>
      <c r="G41" s="8" t="s">
        <v>485</v>
      </c>
      <c r="H41" s="8" t="s">
        <v>564</v>
      </c>
      <c r="I41" s="8" t="s">
        <v>590</v>
      </c>
      <c r="J41" s="8" t="s">
        <v>591</v>
      </c>
    </row>
    <row r="42" customFormat="false" ht="258.75" hidden="false" customHeight="true" outlineLevel="0" collapsed="false">
      <c r="A42" s="8" t="s">
        <v>308</v>
      </c>
      <c r="B42" s="8" t="s">
        <v>592</v>
      </c>
      <c r="C42" s="8" t="s">
        <v>545</v>
      </c>
      <c r="D42" s="8" t="s">
        <v>484</v>
      </c>
      <c r="E42" s="8" t="s">
        <v>309</v>
      </c>
      <c r="F42" s="8" t="n">
        <v>5</v>
      </c>
      <c r="G42" s="8" t="s">
        <v>489</v>
      </c>
      <c r="H42" s="8" t="s">
        <v>564</v>
      </c>
      <c r="I42" s="12" t="s">
        <v>593</v>
      </c>
      <c r="J42" s="12" t="s">
        <v>594</v>
      </c>
    </row>
    <row r="43" customFormat="false" ht="15" hidden="false" customHeight="true" outlineLevel="0" collapsed="false">
      <c r="A43" s="8" t="s">
        <v>455</v>
      </c>
      <c r="B43" s="8" t="s">
        <v>595</v>
      </c>
      <c r="C43" s="8" t="s">
        <v>545</v>
      </c>
      <c r="D43" s="8" t="s">
        <v>478</v>
      </c>
      <c r="E43" s="8" t="s">
        <v>596</v>
      </c>
      <c r="F43" s="8" t="n">
        <v>10</v>
      </c>
      <c r="G43" s="8" t="s">
        <v>485</v>
      </c>
      <c r="H43" s="8" t="s">
        <v>494</v>
      </c>
      <c r="I43" s="8" t="s">
        <v>597</v>
      </c>
      <c r="J43" s="8" t="s">
        <v>598</v>
      </c>
    </row>
    <row r="44" customFormat="false" ht="79.5" hidden="false" customHeight="true" outlineLevel="0" collapsed="false">
      <c r="A44" s="8" t="s">
        <v>315</v>
      </c>
      <c r="B44" s="8" t="s">
        <v>599</v>
      </c>
      <c r="C44" s="8" t="s">
        <v>545</v>
      </c>
      <c r="D44" s="8" t="s">
        <v>484</v>
      </c>
      <c r="E44" s="8" t="s">
        <v>316</v>
      </c>
      <c r="F44" s="8" t="n">
        <v>5</v>
      </c>
      <c r="G44" s="8" t="s">
        <v>485</v>
      </c>
      <c r="H44" s="8" t="s">
        <v>494</v>
      </c>
      <c r="I44" s="12" t="s">
        <v>600</v>
      </c>
      <c r="J44" s="8" t="s">
        <v>601</v>
      </c>
    </row>
    <row r="45" customFormat="false" ht="57" hidden="false" customHeight="true" outlineLevel="0" collapsed="false">
      <c r="A45" s="8" t="s">
        <v>326</v>
      </c>
      <c r="B45" s="8" t="s">
        <v>602</v>
      </c>
      <c r="C45" s="8" t="s">
        <v>545</v>
      </c>
      <c r="D45" s="8" t="s">
        <v>484</v>
      </c>
      <c r="E45" s="8" t="s">
        <v>327</v>
      </c>
      <c r="F45" s="8" t="n">
        <v>5</v>
      </c>
      <c r="G45" s="8" t="s">
        <v>485</v>
      </c>
      <c r="H45" s="8" t="s">
        <v>494</v>
      </c>
      <c r="I45" s="12" t="s">
        <v>603</v>
      </c>
      <c r="J45" s="8" t="s">
        <v>604</v>
      </c>
    </row>
    <row r="46" customFormat="false" ht="15" hidden="false" customHeight="true" outlineLevel="0" collapsed="false">
      <c r="A46" s="8" t="s">
        <v>339</v>
      </c>
      <c r="B46" s="8" t="s">
        <v>605</v>
      </c>
      <c r="C46" s="8" t="s">
        <v>606</v>
      </c>
      <c r="D46" s="8" t="s">
        <v>478</v>
      </c>
      <c r="E46" s="8" t="s">
        <v>340</v>
      </c>
      <c r="F46" s="8" t="n">
        <v>10</v>
      </c>
      <c r="G46" s="8" t="s">
        <v>607</v>
      </c>
      <c r="H46" s="8" t="s">
        <v>608</v>
      </c>
      <c r="I46" s="8" t="s">
        <v>609</v>
      </c>
      <c r="J46" s="8" t="s">
        <v>610</v>
      </c>
    </row>
    <row r="47" customFormat="false" ht="15" hidden="false" customHeight="true" outlineLevel="0" collapsed="false">
      <c r="A47" s="8" t="s">
        <v>344</v>
      </c>
      <c r="B47" s="8" t="s">
        <v>611</v>
      </c>
      <c r="C47" s="8" t="s">
        <v>606</v>
      </c>
      <c r="D47" s="8" t="s">
        <v>478</v>
      </c>
      <c r="E47" s="8" t="s">
        <v>345</v>
      </c>
      <c r="F47" s="8" t="n">
        <v>10</v>
      </c>
      <c r="G47" s="8" t="s">
        <v>607</v>
      </c>
      <c r="H47" s="8" t="s">
        <v>612</v>
      </c>
      <c r="I47" s="8" t="s">
        <v>613</v>
      </c>
      <c r="J47" s="8" t="s">
        <v>614</v>
      </c>
    </row>
    <row r="48" customFormat="false" ht="15" hidden="false" customHeight="true" outlineLevel="0" collapsed="false">
      <c r="A48" s="8" t="s">
        <v>352</v>
      </c>
      <c r="B48" s="8" t="s">
        <v>615</v>
      </c>
      <c r="C48" s="8" t="s">
        <v>606</v>
      </c>
      <c r="D48" s="8" t="s">
        <v>478</v>
      </c>
      <c r="E48" s="8" t="s">
        <v>353</v>
      </c>
      <c r="F48" s="8" t="n">
        <v>10</v>
      </c>
      <c r="G48" s="8" t="s">
        <v>607</v>
      </c>
      <c r="H48" s="8" t="s">
        <v>616</v>
      </c>
      <c r="I48" s="8" t="s">
        <v>617</v>
      </c>
      <c r="J48" s="8" t="s">
        <v>618</v>
      </c>
    </row>
    <row r="49" customFormat="false" ht="15" hidden="false" customHeight="true" outlineLevel="0" collapsed="false">
      <c r="A49" s="8" t="s">
        <v>456</v>
      </c>
      <c r="B49" s="8" t="s">
        <v>619</v>
      </c>
      <c r="C49" s="8" t="s">
        <v>606</v>
      </c>
      <c r="D49" s="8" t="s">
        <v>478</v>
      </c>
      <c r="E49" s="8" t="s">
        <v>620</v>
      </c>
      <c r="F49" s="8" t="n">
        <v>10</v>
      </c>
      <c r="G49" s="8" t="s">
        <v>485</v>
      </c>
      <c r="H49" s="8" t="s">
        <v>564</v>
      </c>
      <c r="I49" s="8" t="s">
        <v>621</v>
      </c>
      <c r="J49" s="8" t="s">
        <v>482</v>
      </c>
    </row>
    <row r="50" customFormat="false" ht="15" hidden="false" customHeight="true" outlineLevel="0" collapsed="false">
      <c r="A50" s="8" t="s">
        <v>359</v>
      </c>
      <c r="B50" s="8" t="s">
        <v>622</v>
      </c>
      <c r="C50" s="8" t="s">
        <v>606</v>
      </c>
      <c r="D50" s="8" t="s">
        <v>484</v>
      </c>
      <c r="E50" s="8" t="s">
        <v>360</v>
      </c>
      <c r="F50" s="8" t="n">
        <v>5</v>
      </c>
      <c r="G50" s="8" t="s">
        <v>485</v>
      </c>
      <c r="H50" s="8" t="s">
        <v>564</v>
      </c>
      <c r="I50" s="8" t="s">
        <v>623</v>
      </c>
      <c r="J50" s="8" t="s">
        <v>624</v>
      </c>
    </row>
    <row r="51" customFormat="false" ht="15" hidden="false" customHeight="true" outlineLevel="0" collapsed="false">
      <c r="A51" s="8" t="s">
        <v>377</v>
      </c>
      <c r="B51" s="8" t="s">
        <v>625</v>
      </c>
      <c r="C51" s="8" t="s">
        <v>606</v>
      </c>
      <c r="D51" s="8" t="s">
        <v>484</v>
      </c>
      <c r="E51" s="8" t="s">
        <v>378</v>
      </c>
      <c r="F51" s="8" t="n">
        <v>5</v>
      </c>
      <c r="G51" s="8" t="s">
        <v>489</v>
      </c>
      <c r="H51" s="8" t="s">
        <v>564</v>
      </c>
      <c r="I51" s="8" t="s">
        <v>626</v>
      </c>
      <c r="J51" s="8" t="s">
        <v>627</v>
      </c>
    </row>
    <row r="52" customFormat="false" ht="79.5" hidden="false" customHeight="true" outlineLevel="0" collapsed="false">
      <c r="A52" s="8" t="s">
        <v>385</v>
      </c>
      <c r="B52" s="8" t="s">
        <v>628</v>
      </c>
      <c r="C52" s="8" t="s">
        <v>606</v>
      </c>
      <c r="D52" s="8" t="s">
        <v>478</v>
      </c>
      <c r="E52" s="8" t="s">
        <v>386</v>
      </c>
      <c r="F52" s="8" t="n">
        <v>10</v>
      </c>
      <c r="G52" s="8" t="s">
        <v>485</v>
      </c>
      <c r="H52" s="8" t="s">
        <v>564</v>
      </c>
      <c r="I52" s="12" t="s">
        <v>629</v>
      </c>
      <c r="J52" s="8" t="s">
        <v>630</v>
      </c>
    </row>
    <row r="53" customFormat="false" ht="57" hidden="false" customHeight="true" outlineLevel="0" collapsed="false">
      <c r="A53" s="8" t="s">
        <v>397</v>
      </c>
      <c r="B53" s="8" t="s">
        <v>631</v>
      </c>
      <c r="C53" s="8" t="s">
        <v>606</v>
      </c>
      <c r="D53" s="8" t="s">
        <v>478</v>
      </c>
      <c r="E53" s="8" t="s">
        <v>398</v>
      </c>
      <c r="F53" s="8" t="n">
        <v>10</v>
      </c>
      <c r="G53" s="8" t="s">
        <v>607</v>
      </c>
      <c r="H53" s="8" t="s">
        <v>632</v>
      </c>
      <c r="I53" s="12" t="s">
        <v>633</v>
      </c>
      <c r="J53" s="8" t="s">
        <v>634</v>
      </c>
    </row>
    <row r="54" customFormat="false" ht="15" hidden="false" customHeight="true" outlineLevel="0" collapsed="false">
      <c r="A54" s="8" t="s">
        <v>457</v>
      </c>
      <c r="B54" s="8" t="s">
        <v>635</v>
      </c>
      <c r="C54" s="8" t="s">
        <v>606</v>
      </c>
      <c r="D54" s="8" t="s">
        <v>478</v>
      </c>
      <c r="E54" s="8" t="s">
        <v>636</v>
      </c>
      <c r="F54" s="8" t="n">
        <v>10</v>
      </c>
      <c r="G54" s="8" t="s">
        <v>607</v>
      </c>
      <c r="H54" s="8" t="s">
        <v>480</v>
      </c>
      <c r="I54" s="8" t="s">
        <v>637</v>
      </c>
      <c r="J54" s="8" t="s">
        <v>638</v>
      </c>
    </row>
    <row r="55" customFormat="false" ht="90.75" hidden="false" customHeight="true" outlineLevel="0" collapsed="false">
      <c r="A55" s="8" t="s">
        <v>406</v>
      </c>
      <c r="B55" s="8" t="s">
        <v>639</v>
      </c>
      <c r="C55" s="8" t="s">
        <v>606</v>
      </c>
      <c r="D55" s="8" t="s">
        <v>484</v>
      </c>
      <c r="E55" s="8" t="s">
        <v>407</v>
      </c>
      <c r="F55" s="8" t="n">
        <v>5</v>
      </c>
      <c r="G55" s="8" t="s">
        <v>607</v>
      </c>
      <c r="H55" s="8" t="s">
        <v>480</v>
      </c>
      <c r="I55" s="12" t="s">
        <v>640</v>
      </c>
      <c r="J55" s="8" t="s">
        <v>641</v>
      </c>
    </row>
    <row r="56" customFormat="false" ht="102" hidden="false" customHeight="true" outlineLevel="0" collapsed="false">
      <c r="A56" s="8" t="s">
        <v>417</v>
      </c>
      <c r="B56" s="8" t="s">
        <v>642</v>
      </c>
      <c r="C56" s="8" t="s">
        <v>606</v>
      </c>
      <c r="D56" s="8" t="s">
        <v>484</v>
      </c>
      <c r="E56" s="8" t="s">
        <v>418</v>
      </c>
      <c r="F56" s="8" t="n">
        <v>5</v>
      </c>
      <c r="G56" s="8" t="s">
        <v>607</v>
      </c>
      <c r="H56" s="8" t="s">
        <v>480</v>
      </c>
      <c r="I56" s="12" t="s">
        <v>643</v>
      </c>
      <c r="J56" s="8" t="s">
        <v>641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18</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1a</v>
      </c>
    </row>
    <row r="4" customFormat="false" ht="15" hidden="false" customHeight="true" outlineLevel="0" collapsed="false">
      <c r="A4" s="10" t="s">
        <v>438</v>
      </c>
      <c r="B4" s="4" t="str">
        <f aca="false">VLOOKUP($B$1,'PARASTATAL Questions'!$A:$J,4,0)&amp;""</f>
        <v>SQ</v>
      </c>
    </row>
    <row r="5" customFormat="false" ht="157.5" hidden="false" customHeight="true" outlineLevel="0" collapsed="false">
      <c r="A5" s="10" t="s">
        <v>0</v>
      </c>
      <c r="B5" s="4" t="str">
        <f aca="false">VLOOKUP($B$1,'PARASTATAL Questions'!$A:$J,5,0)&amp;""</f>
        <v>Is the parastatal mandated to prepare its spatial and/or sectoral plans in coordination with the ULG(s) within its jurisdiction?</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45.75" hidden="false" customHeight="true" outlineLevel="0" collapsed="false">
      <c r="A8" s="10" t="s">
        <v>473</v>
      </c>
      <c r="B8" s="4" t="str">
        <f aca="false">VLOOKUP($B$1,'PARASTATAL Questions'!$A:$J,8,0)&amp;""</f>
        <v>Common — all parastatal types.</v>
      </c>
    </row>
    <row r="9" customFormat="false" ht="504.75" hidden="false" customHeight="true" outlineLevel="0" collapsed="false">
      <c r="A9" s="10" t="s">
        <v>474</v>
      </c>
      <c r="B9" s="4" t="str">
        <f aca="false">VLOOKUP($B$1,'PARASTATAL Questions'!$A:$J,9,0)&amp;""</f>
        <v>Review the relevant Parastatal Act and the State Town and Country Planning (T&amp;CP) Act.10 — ULG approval/concurrence or joint preparation is required. 7.5 — formal consultation is mandatory, and ULG response must be considered/responded to. 5 — consultation is mandatory, but there is no obligation to incorporate/respond. 2.5 — consultation is discretionary (“may”). 0 — no formal role.</v>
      </c>
    </row>
    <row r="10" customFormat="false" ht="102" hidden="false" customHeight="true" outlineLevel="0" collapsed="false">
      <c r="A10" s="10" t="s">
        <v>475</v>
      </c>
      <c r="B10" s="4" t="str">
        <f aca="false">VLOOKUP($B$1,'PARASTATAL Questions'!$A:$J,10,0)&amp;""</f>
        <v>Relevant Parastatal Act; applicable Town and Country Planning (T&amp;CP) Act.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270" hidden="false" customHeight="true" outlineLevel="0" collapsed="false">
      <c r="A13" s="8" t="s">
        <v>19</v>
      </c>
      <c r="B13" s="8" t="s">
        <v>661</v>
      </c>
      <c r="C13" s="8" t="s">
        <v>25</v>
      </c>
      <c r="D13" s="8" t="s">
        <v>662</v>
      </c>
      <c r="E13" s="8" t="s">
        <v>663</v>
      </c>
      <c r="F13" s="8" t="s">
        <v>664</v>
      </c>
      <c r="G13" s="8" t="s">
        <v>665</v>
      </c>
      <c r="H13" s="8" t="s">
        <v>26</v>
      </c>
      <c r="I13" s="15" t="n">
        <v>1.25</v>
      </c>
      <c r="J13" s="8" t="n">
        <f aca="false">IF(COUNTIFS('Scores (start here)'!$A:$A,$B$1,'Scores (start here)'!$B:$B,$A13,'Scores (start here)'!$F:$F,"&gt;=0")&gt;0,SUMIFS('Scores (start here)'!$F:$F,'Scores (start here)'!$A:$A,$B$1,'Scores (start here)'!$B:$B,$A13),L13)</f>
        <v>1.25</v>
      </c>
      <c r="K13" s="12" t="s">
        <v>666</v>
      </c>
      <c r="L13" s="8" t="n">
        <f aca="false">IF($B13="NO","NA",IF(I13="","",MIN(I13,$B$6)))</f>
        <v>1.25</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667</v>
      </c>
      <c r="L14" s="8" t="str">
        <f aca="false">IF($B14="NO","NA",IF(I14="","",MIN(I14,$B$6)))</f>
        <v/>
      </c>
    </row>
    <row r="15" customFormat="false" ht="258.75" hidden="false" customHeight="true" outlineLevel="0" collapsed="false">
      <c r="A15" s="8" t="s">
        <v>34</v>
      </c>
      <c r="B15" s="8" t="s">
        <v>661</v>
      </c>
      <c r="C15" s="8" t="s">
        <v>36</v>
      </c>
      <c r="D15" s="8" t="s">
        <v>668</v>
      </c>
      <c r="E15" s="8" t="s">
        <v>669</v>
      </c>
      <c r="F15" s="8" t="s">
        <v>670</v>
      </c>
      <c r="G15" s="8" t="s">
        <v>671</v>
      </c>
      <c r="H15" s="8" t="s">
        <v>37</v>
      </c>
      <c r="I15" s="15" t="n">
        <v>3.75</v>
      </c>
      <c r="J15" s="8" t="n">
        <f aca="false">IF(COUNTIFS('Scores (start here)'!$A:$A,$B$1,'Scores (start here)'!$B:$B,$A15,'Scores (start here)'!$F:$F,"&gt;=0")&gt;0,SUMIFS('Scores (start here)'!$F:$F,'Scores (start here)'!$A:$A,$B$1,'Scores (start here)'!$B:$B,$A15),L15)</f>
        <v>3.75</v>
      </c>
      <c r="K15" s="12" t="s">
        <v>672</v>
      </c>
      <c r="L15" s="8" t="n">
        <f aca="false">IF($B15="NO","NA",IF(I15="","",MIN(I15,$B$6)))</f>
        <v>3.75</v>
      </c>
    </row>
    <row r="16" customFormat="false" ht="124.5" hidden="false" customHeight="true" outlineLevel="0" collapsed="false">
      <c r="A16" s="8" t="s">
        <v>40</v>
      </c>
      <c r="B16" s="8" t="s">
        <v>661</v>
      </c>
      <c r="C16" s="8" t="s">
        <v>42</v>
      </c>
      <c r="D16" s="8" t="s">
        <v>673</v>
      </c>
      <c r="E16" s="8" t="s">
        <v>674</v>
      </c>
      <c r="F16" s="8" t="s">
        <v>675</v>
      </c>
      <c r="G16" s="8" t="s">
        <v>676</v>
      </c>
      <c r="H16" s="8" t="s">
        <v>43</v>
      </c>
      <c r="I16" s="15" t="n">
        <v>0</v>
      </c>
      <c r="J16" s="8" t="n">
        <f aca="false">IF(COUNTIFS('Scores (start here)'!$A:$A,$B$1,'Scores (start here)'!$B:$B,$A16,'Scores (start here)'!$F:$F,"&gt;=0")&gt;0,SUMIFS('Scores (start here)'!$F:$F,'Scores (start here)'!$A:$A,$B$1,'Scores (start here)'!$B:$B,$A16),L16)</f>
        <v>0</v>
      </c>
      <c r="K16" s="12" t="s">
        <v>677</v>
      </c>
      <c r="L16" s="8" t="n">
        <f aca="false">IF($B16="NO","NA",IF(I16="","",MIN(I16,$B$6)))</f>
        <v>0</v>
      </c>
    </row>
    <row r="17" customFormat="false" ht="45.75" hidden="false" customHeight="true" outlineLevel="0" collapsed="false">
      <c r="A17" s="8" t="s">
        <v>46</v>
      </c>
      <c r="B17" s="8" t="s">
        <v>661</v>
      </c>
      <c r="C17" s="8" t="s">
        <v>48</v>
      </c>
      <c r="D17" s="8" t="s">
        <v>678</v>
      </c>
      <c r="E17" s="8" t="s">
        <v>679</v>
      </c>
      <c r="F17" s="8" t="s">
        <v>680</v>
      </c>
      <c r="G17" s="8" t="s">
        <v>198</v>
      </c>
      <c r="H17" s="8" t="s">
        <v>49</v>
      </c>
      <c r="I17" s="15" t="n">
        <v>0</v>
      </c>
      <c r="J17" s="8" t="n">
        <f aca="false">IF(COUNTIFS('Scores (start here)'!$A:$A,$B$1,'Scores (start here)'!$B:$B,$A17,'Scores (start here)'!$F:$F,"&gt;=0")&gt;0,SUMIFS('Scores (start here)'!$F:$F,'Scores (start here)'!$A:$A,$B$1,'Scores (start here)'!$B:$B,$A17),L17)</f>
        <v>0</v>
      </c>
      <c r="K17" s="12" t="s">
        <v>681</v>
      </c>
      <c r="L17" s="8" t="n">
        <f aca="false">IF($B17="NO","NA",IF(I17="","",MIN(I17,$B$6)))</f>
        <v>0</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52</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1b</v>
      </c>
    </row>
    <row r="4" customFormat="false" ht="15" hidden="false" customHeight="true" outlineLevel="0" collapsed="false">
      <c r="A4" s="10" t="s">
        <v>438</v>
      </c>
      <c r="B4" s="4" t="str">
        <f aca="false">VLOOKUP($B$1,'PARASTATAL Questions'!$A:$J,4,0)&amp;""</f>
        <v>SQ</v>
      </c>
    </row>
    <row r="5" customFormat="false" ht="90.75" hidden="false" customHeight="true" outlineLevel="0" collapsed="false">
      <c r="A5" s="10" t="s">
        <v>0</v>
      </c>
      <c r="B5" s="4" t="str">
        <f aca="false">VLOOKUP($B$1,'PARASTATAL Questions'!$A:$J,5,0)&amp;""</f>
        <v>Has the ULG participated in the parastatal’s plan-making process?</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Implementation</v>
      </c>
    </row>
    <row r="8" customFormat="false" ht="45.75" hidden="false" customHeight="true" outlineLevel="0" collapsed="false">
      <c r="A8" s="10" t="s">
        <v>473</v>
      </c>
      <c r="B8" s="4" t="str">
        <f aca="false">VLOOKUP($B$1,'PARASTATAL Questions'!$A:$J,8,0)&amp;""</f>
        <v>Common — all parastatal types.</v>
      </c>
    </row>
    <row r="9" customFormat="false" ht="1098" hidden="false" customHeight="true" outlineLevel="0" collapsed="false">
      <c r="A9" s="10" t="s">
        <v>474</v>
      </c>
      <c r="B9" s="4" t="str">
        <f aca="false">VLOOKUP($B$1,'PARASTATAL Questions'!$A:$J,9,0)&amp;""</f>
        <v>Review the latest available plan-making cycle for evidence of ULG participation in the parastatal’s plan-making process, irrespective of whether such participation is legally mandated.Score 10 where there is evidence of substantive ULG participation, such as joint preparation, concurrence/approval, or documented consideration of and response to ULG inputs.Score 5 where the ULG was formally consulted or invited to provide inputs, but there is no evidence of how these inputs were considered.Score 2.5 where there is evidence of limited or informal engagement with the ULG.Score 0 where there is no evidence of ULG participation.Evidence may include plan documents, consultation records, meeting minutes, ULG resolutions/comments, responses to ULG inputs, or information published on the parastatal/ULG website.</v>
      </c>
    </row>
    <row r="10" customFormat="false" ht="258.75" hidden="false" customHeight="true" outlineLevel="0" collapsed="false">
      <c r="A10" s="10" t="s">
        <v>475</v>
      </c>
      <c r="B10" s="4" t="str">
        <f aca="false">VLOOKUP($B$1,'PARASTATAL Questions'!$A:$J,10,0)&amp;""</f>
        <v>Evidence may include plan documents, consultation records, meeting minutes, ULG resolutions/comments, responses to ULG inputs, or information published on the parastatal website.</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68.75" hidden="false" customHeight="true" outlineLevel="0" collapsed="false">
      <c r="A13" s="8" t="s">
        <v>19</v>
      </c>
      <c r="B13" s="8" t="s">
        <v>661</v>
      </c>
      <c r="C13" s="8" t="s">
        <v>55</v>
      </c>
      <c r="D13" s="8" t="s">
        <v>682</v>
      </c>
      <c r="E13" s="8" t="s">
        <v>683</v>
      </c>
      <c r="F13" s="8" t="s">
        <v>684</v>
      </c>
      <c r="G13" s="8" t="s">
        <v>685</v>
      </c>
      <c r="H13" s="8" t="s">
        <v>56</v>
      </c>
      <c r="I13" s="15" t="n">
        <v>5</v>
      </c>
      <c r="J13" s="8" t="n">
        <f aca="false">IF(COUNTIFS('Scores (start here)'!$A:$A,$B$1,'Scores (start here)'!$B:$B,$A13,'Scores (start here)'!$F:$F,"&gt;=0")&gt;0,SUMIFS('Scores (start here)'!$F:$F,'Scores (start here)'!$A:$A,$B$1,'Scores (start here)'!$B:$B,$A13),L13)</f>
        <v>5</v>
      </c>
      <c r="K13" s="12" t="s">
        <v>686</v>
      </c>
      <c r="L13" s="8" t="n">
        <f aca="false">IF($B13="NO","NA",IF(I13="","",MIN(I13,$B$6)))</f>
        <v>5</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687</v>
      </c>
      <c r="L14" s="8" t="str">
        <f aca="false">IF($B14="NO","NA",IF(I14="","",MIN(I14,$B$6)))</f>
        <v/>
      </c>
    </row>
    <row r="15" customFormat="false" ht="68.2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12" t="s">
        <v>688</v>
      </c>
      <c r="L15" s="8" t="str">
        <f aca="false">IF($B15="NO","NA",IF(I15="","",MIN(I15,$B$6)))</f>
        <v/>
      </c>
    </row>
    <row r="16" customFormat="false" ht="68.2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12" t="s">
        <v>689</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690</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64</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2a</v>
      </c>
    </row>
    <row r="4" customFormat="false" ht="15" hidden="false" customHeight="true" outlineLevel="0" collapsed="false">
      <c r="A4" s="10" t="s">
        <v>438</v>
      </c>
      <c r="B4" s="4" t="str">
        <f aca="false">VLOOKUP($B$1,'PARASTATAL Questions'!$A:$J,4,0)&amp;""</f>
        <v>SQ</v>
      </c>
    </row>
    <row r="5" customFormat="false" ht="247.5" hidden="false" customHeight="true" outlineLevel="0" collapsed="false">
      <c r="A5" s="10" t="s">
        <v>0</v>
      </c>
      <c r="B5" s="4" t="str">
        <f aca="false">VLOOKUP($B$1,'PARASTATAL Questions'!$A:$J,5,0)&amp;""</f>
        <v>Where multiple statutory or sectoral plans apply to the same territory, is the water board mandated to ensure consistency with the applicable metropolitan/regional or city master plan/strategic plan for the city?</v>
      </c>
    </row>
    <row r="6" customFormat="false" ht="15" hidden="false" customHeight="true" outlineLevel="0" collapsed="false">
      <c r="A6" s="10" t="s">
        <v>440</v>
      </c>
      <c r="B6" s="4" t="n">
        <f aca="false">VLOOKUP($B$1,'PARASTATAL Questions'!$A:$J,6,0)</f>
        <v>2.5</v>
      </c>
    </row>
    <row r="7" customFormat="false" ht="15" hidden="false" customHeight="true" outlineLevel="0" collapsed="false">
      <c r="A7" s="10" t="s">
        <v>439</v>
      </c>
      <c r="B7" s="4" t="str">
        <f aca="false">VLOOKUP($B$1,'PARASTATAL Questions'!$A:$J,7,0)&amp;""</f>
        <v>Law/Policy</v>
      </c>
    </row>
    <row r="8" customFormat="false" ht="34.5" hidden="false" customHeight="true" outlineLevel="0" collapsed="false">
      <c r="A8" s="10" t="s">
        <v>473</v>
      </c>
      <c r="B8" s="4" t="str">
        <f aca="false">VLOOKUP($B$1,'PARASTATAL Questions'!$A:$J,8,0)&amp;""</f>
        <v>Water supply board</v>
      </c>
    </row>
    <row r="9" customFormat="false" ht="784.5" hidden="false" customHeight="true" outlineLevel="0" collapsed="false">
      <c r="A9" s="10" t="s">
        <v>474</v>
      </c>
      <c r="B9" s="4" t="str">
        <f aca="false">VLOOKUP($B$1,'PARASTATAL Questions'!$A:$J,9,0)&amp;""</f>
        <v>Review the relevant Parastatal Act and Town and Country Planning Act.Score 2.50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water supply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0" t="s">
        <v>475</v>
      </c>
      <c r="B10" s="4" t="str">
        <f aca="false">VLOOKUP($B$1,'PARASTATAL Questions'!$A:$J,10,0)&amp;""</f>
        <v>Relevant Parastatal Act; applicable Town and Country Planning (T&amp;CP) Act.</v>
      </c>
    </row>
    <row r="11" customFormat="false" ht="15" hidden="false" customHeight="true" outlineLevel="0" collapsed="false">
      <c r="B11" s="14" t="s">
        <v>647</v>
      </c>
      <c r="I11" s="14" t="s">
        <v>691</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C13" s="8" t="s">
        <v>25</v>
      </c>
      <c r="D13" s="8" t="s">
        <v>692</v>
      </c>
      <c r="E13" s="8" t="s">
        <v>693</v>
      </c>
      <c r="F13" s="8" t="s">
        <v>694</v>
      </c>
      <c r="G13" s="8" t="s">
        <v>695</v>
      </c>
      <c r="H13" s="8" t="s">
        <v>26</v>
      </c>
      <c r="I13" s="15" t="n">
        <v>0</v>
      </c>
      <c r="J13" s="8" t="n">
        <f aca="false">IF(COUNTIFS('Scores (start here)'!$A:$A,$B$1,'Scores (start here)'!$B:$B,$A13,'Scores (start here)'!$F:$F,"&gt;=0")&gt;0,SUMIFS('Scores (start here)'!$F:$F,'Scores (start here)'!$A:$A,$B$1,'Scores (start here)'!$B:$B,$A13),L13)</f>
        <v>0</v>
      </c>
      <c r="K13" s="12" t="s">
        <v>696</v>
      </c>
      <c r="L13" s="8" t="n">
        <f aca="false">IF($B13="NO","NA",IF(I13="","",MIN(I13,$B$6)))</f>
        <v>0</v>
      </c>
    </row>
    <row r="14" customFormat="false" ht="15" hidden="false" customHeight="true" outlineLevel="0" collapsed="false">
      <c r="A14" s="16" t="s">
        <v>29</v>
      </c>
      <c r="B14" s="16" t="s">
        <v>697</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70</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2b</v>
      </c>
    </row>
    <row r="4" customFormat="false" ht="15" hidden="false" customHeight="true" outlineLevel="0" collapsed="false">
      <c r="A4" s="10" t="s">
        <v>438</v>
      </c>
      <c r="B4" s="4" t="str">
        <f aca="false">VLOOKUP($B$1,'PARASTATAL Questions'!$A:$J,4,0)&amp;""</f>
        <v>SQ</v>
      </c>
    </row>
    <row r="5" customFormat="false" ht="258.75" hidden="false" customHeight="true" outlineLevel="0" collapsed="false">
      <c r="A5" s="10" t="s">
        <v>0</v>
      </c>
      <c r="B5" s="4" t="str">
        <f aca="false">VLOOKUP($B$1,'PARASTATAL Questions'!$A:$J,5,0)&amp;""</f>
        <v>Where multiple statutory or sectoral plans apply to the same territory, does the water supply board ensure consistency with the applicable metropolitan/regional or city master plan/strategic plan for the city?</v>
      </c>
    </row>
    <row r="6" customFormat="false" ht="15" hidden="false" customHeight="true" outlineLevel="0" collapsed="false">
      <c r="A6" s="10" t="s">
        <v>440</v>
      </c>
      <c r="B6" s="4" t="n">
        <f aca="false">VLOOKUP($B$1,'PARASTATAL Questions'!$A:$J,6,0)</f>
        <v>2.5</v>
      </c>
    </row>
    <row r="7" customFormat="false" ht="23.25" hidden="false" customHeight="true" outlineLevel="0" collapsed="false">
      <c r="A7" s="10" t="s">
        <v>439</v>
      </c>
      <c r="B7" s="4" t="str">
        <f aca="false">VLOOKUP($B$1,'PARASTATAL Questions'!$A:$J,7,0)&amp;""</f>
        <v>Implementation</v>
      </c>
    </row>
    <row r="8" customFormat="false" ht="34.5" hidden="false" customHeight="true" outlineLevel="0" collapsed="false">
      <c r="A8" s="10" t="s">
        <v>473</v>
      </c>
      <c r="B8" s="4" t="str">
        <f aca="false">VLOOKUP($B$1,'PARASTATAL Questions'!$A:$J,8,0)&amp;""</f>
        <v>Water supply board</v>
      </c>
    </row>
    <row r="9" customFormat="false" ht="1960.5" hidden="false" customHeight="true" outlineLevel="0" collapsed="false">
      <c r="A9" s="10" t="s">
        <v>474</v>
      </c>
      <c r="B9" s="4" t="str">
        <f aca="false">VLOOKUP($B$1,'PARASTATAL Questions'!$A:$J,9,0)&amp;""</f>
        <v>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input.Score 1.25 if there is partial alignment: the water plan refers to the master plan and/or uses its population, density or land-use projections, but does not clearly demonstrate that these inputs determine the spatial location of network expansion, service areas or major infrastructure.Score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v>
      </c>
    </row>
    <row r="10" customFormat="false" ht="370.5" hidden="false" customHeight="true" outlineLevel="0" collapsed="false">
      <c r="A10" s="10" t="s">
        <v>475</v>
      </c>
      <c r="B10" s="4" t="str">
        <f aca="false">VLOOKUP($B$1,'PARASTATAL Questions'!$A:$J,10,0)&amp;""</f>
        <v>Water Supply Board's current water supply/sewerage master plan or equivalent sectoral planning document; applicable Master Plan/Development Plan/Metropolitan or Regional Plan; land-use conversion/regularisation records for major treatment plants or trunk infrastructure, where available.</v>
      </c>
    </row>
    <row r="11" customFormat="false" ht="15" hidden="false" customHeight="true" outlineLevel="0" collapsed="false">
      <c r="B11" s="14" t="s">
        <v>647</v>
      </c>
      <c r="I11" s="14" t="s">
        <v>691</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698</v>
      </c>
      <c r="L13" s="8" t="str">
        <f aca="false">IF($B13="NO","NA",IF(I13="","",MIN(I13,$B$6)))</f>
        <v/>
      </c>
    </row>
    <row r="14" customFormat="false" ht="15" hidden="false" customHeight="true" outlineLevel="0" collapsed="false">
      <c r="A14" s="16" t="s">
        <v>29</v>
      </c>
      <c r="B14" s="16" t="s">
        <v>697</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75</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2c</v>
      </c>
    </row>
    <row r="4" customFormat="false" ht="15" hidden="false" customHeight="true" outlineLevel="0" collapsed="false">
      <c r="A4" s="10" t="s">
        <v>438</v>
      </c>
      <c r="B4" s="4" t="str">
        <f aca="false">VLOOKUP($B$1,'PARASTATAL Questions'!$A:$J,4,0)&amp;""</f>
        <v>SQ</v>
      </c>
    </row>
    <row r="5" customFormat="false" ht="270" hidden="false" customHeight="true" outlineLevel="0" collapsed="false">
      <c r="A5" s="10" t="s">
        <v>0</v>
      </c>
      <c r="B5" s="4" t="str">
        <f aca="false">VLOOKUP($B$1,'PARASTATAL Questions'!$A:$J,5,0)&amp;""</f>
        <v>Where multiple statutory or sectoral plans apply to the same territory, is the transport corporation mandated to ensure consistency with the applicable metropolitan/regional or city master plan/strategic plan for the city?</v>
      </c>
    </row>
    <row r="6" customFormat="false" ht="15" hidden="false" customHeight="true" outlineLevel="0" collapsed="false">
      <c r="A6" s="10" t="s">
        <v>440</v>
      </c>
      <c r="B6" s="4" t="n">
        <f aca="false">VLOOKUP($B$1,'PARASTATAL Questions'!$A:$J,6,0)</f>
        <v>2.5</v>
      </c>
    </row>
    <row r="7" customFormat="false" ht="15" hidden="false" customHeight="true" outlineLevel="0" collapsed="false">
      <c r="A7" s="10" t="s">
        <v>439</v>
      </c>
      <c r="B7" s="4" t="str">
        <f aca="false">VLOOKUP($B$1,'PARASTATAL Questions'!$A:$J,7,0)&amp;""</f>
        <v>Law/Policy</v>
      </c>
    </row>
    <row r="8" customFormat="false" ht="34.5" hidden="false" customHeight="true" outlineLevel="0" collapsed="false">
      <c r="A8" s="10" t="s">
        <v>473</v>
      </c>
      <c r="B8" s="4" t="str">
        <f aca="false">VLOOKUP($B$1,'PARASTATAL Questions'!$A:$J,8,0)&amp;""</f>
        <v>Transport Corporation</v>
      </c>
    </row>
    <row r="9" customFormat="false" ht="773.25" hidden="false" customHeight="true" outlineLevel="0" collapsed="false">
      <c r="A9" s="10" t="s">
        <v>474</v>
      </c>
      <c r="B9" s="4" t="str">
        <f aca="false">VLOOKUP($B$1,'PARASTATAL Questions'!$A:$J,9,0)&amp;""</f>
        <v>Review the relevant Parastatal Act and Town and Country Planning Act.Score 2.5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transport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0" t="s">
        <v>475</v>
      </c>
      <c r="B10" s="4" t="str">
        <f aca="false">VLOOKUP($B$1,'PARASTATAL Questions'!$A:$J,10,0)&amp;""</f>
        <v>Relevant Parastatal Act; applicable Town and Country Planning (T&amp;CP) Act.</v>
      </c>
    </row>
    <row r="11" customFormat="false" ht="15" hidden="false" customHeight="true" outlineLevel="0" collapsed="false">
      <c r="B11" s="14" t="s">
        <v>647</v>
      </c>
      <c r="I11" s="14" t="s">
        <v>691</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16" t="s">
        <v>19</v>
      </c>
      <c r="B13" s="16" t="s">
        <v>697</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303" hidden="false" customHeight="true" outlineLevel="0" collapsed="false">
      <c r="A14" s="8" t="s">
        <v>29</v>
      </c>
      <c r="B14" s="8" t="s">
        <v>661</v>
      </c>
      <c r="C14" s="8" t="s">
        <v>78</v>
      </c>
      <c r="D14" s="8" t="s">
        <v>699</v>
      </c>
      <c r="E14" s="8" t="s">
        <v>700</v>
      </c>
      <c r="F14" s="8" t="s">
        <v>701</v>
      </c>
      <c r="G14" s="8" t="s">
        <v>702</v>
      </c>
      <c r="H14" s="8" t="s">
        <v>79</v>
      </c>
      <c r="I14" s="15" t="n">
        <v>2.5</v>
      </c>
      <c r="J14" s="8" t="n">
        <f aca="false">IF(COUNTIFS('Scores (start here)'!$A:$A,$B$1,'Scores (start here)'!$B:$B,$A14,'Scores (start here)'!$F:$F,"&gt;=0")&gt;0,SUMIFS('Scores (start here)'!$F:$F,'Scores (start here)'!$A:$A,$B$1,'Scores (start here)'!$B:$B,$A14),L14)</f>
        <v>2.5</v>
      </c>
      <c r="K14" s="12" t="s">
        <v>703</v>
      </c>
      <c r="L14" s="8" t="n">
        <f aca="false">IF($B14="NO","NA",IF(I14="","",MIN(I14,$B$6)))</f>
        <v>2.5</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82</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2d</v>
      </c>
    </row>
    <row r="4" customFormat="false" ht="15" hidden="false" customHeight="true" outlineLevel="0" collapsed="false">
      <c r="A4" s="10" t="s">
        <v>438</v>
      </c>
      <c r="B4" s="4" t="str">
        <f aca="false">VLOOKUP($B$1,'PARASTATAL Questions'!$A:$J,4,0)&amp;""</f>
        <v>SQ</v>
      </c>
    </row>
    <row r="5" customFormat="false" ht="247.5" hidden="false" customHeight="true" outlineLevel="0" collapsed="false">
      <c r="A5" s="10" t="s">
        <v>0</v>
      </c>
      <c r="B5" s="4" t="str">
        <f aca="false">VLOOKUP($B$1,'PARASTATAL Questions'!$A:$J,5,0)&amp;""</f>
        <v>Where multiple statutory or sectoral plans apply to the same territory, does the transport corporation ensure consistency with the applicable metropolitan/regional or city master plan/strategic plan for the city?</v>
      </c>
    </row>
    <row r="6" customFormat="false" ht="15" hidden="false" customHeight="true" outlineLevel="0" collapsed="false">
      <c r="A6" s="10" t="s">
        <v>440</v>
      </c>
      <c r="B6" s="4" t="n">
        <f aca="false">VLOOKUP($B$1,'PARASTATAL Questions'!$A:$J,6,0)</f>
        <v>2.5</v>
      </c>
    </row>
    <row r="7" customFormat="false" ht="23.25" hidden="false" customHeight="true" outlineLevel="0" collapsed="false">
      <c r="A7" s="10" t="s">
        <v>439</v>
      </c>
      <c r="B7" s="4" t="str">
        <f aca="false">VLOOKUP($B$1,'PARASTATAL Questions'!$A:$J,7,0)&amp;""</f>
        <v>Implementation</v>
      </c>
    </row>
    <row r="8" customFormat="false" ht="34.5" hidden="false" customHeight="true" outlineLevel="0" collapsed="false">
      <c r="A8" s="10" t="s">
        <v>473</v>
      </c>
      <c r="B8" s="4" t="str">
        <f aca="false">VLOOKUP($B$1,'PARASTATAL Questions'!$A:$J,8,0)&amp;""</f>
        <v>Transport Corporation</v>
      </c>
    </row>
    <row r="9" customFormat="false" ht="1983" hidden="false" customHeight="true" outlineLevel="0" collapsed="false">
      <c r="A9" s="10" t="s">
        <v>474</v>
      </c>
      <c r="B9" s="4" t="str">
        <f aca="false">VLOOKUP($B$1,'PARASTATAL Questions'!$A:$J,9,0)&amp;""</f>
        <v>Review the transport corporation's current transport/mobility master plan, network expansion plan, or equivalent sectoral planning document, together with the applicable Master Plan/Development Plan/Metropolitan or Regional Plan.Score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input.Score 1.25 if there is partial alignment: the transport plan refers to the master plan and/or uses its population, density or land-use projections, but does not clearly demonstrate that these inputs determine the spatial location of routes, stations or major infrastructure.Score 0 if there is no identifiable evidence that the Master Plan or its spatial/population framework informs transport planning.The score sheet should record components for scores, the plan/document relied upon, year, applicable statutory master plan, and the specific reference demonstrating alignment.Additional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v>
      </c>
    </row>
    <row r="10" customFormat="false" ht="270" hidden="false" customHeight="true" outlineLevel="0" collapsed="false">
      <c r="A10" s="10" t="s">
        <v>475</v>
      </c>
      <c r="B10" s="4" t="str">
        <f aca="false">VLOOKUP($B$1,'PARASTATAL Questions'!$A:$J,10,0)&amp;""</f>
        <v>Transport corporation's current mobility/network plan; applicable Master Plan/Development Plan/Metropolitan or Regional Plan; land-use conversion/regularisation records for major transport infrastructure, where available.</v>
      </c>
    </row>
    <row r="11" customFormat="false" ht="15" hidden="false" customHeight="true" outlineLevel="0" collapsed="false">
      <c r="B11" s="14" t="s">
        <v>647</v>
      </c>
      <c r="I11" s="14" t="s">
        <v>691</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16" t="s">
        <v>19</v>
      </c>
      <c r="B13" s="16" t="s">
        <v>697</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68.2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704</v>
      </c>
      <c r="L14" s="8" t="str">
        <f aca="false">IF($B14="NO","NA",IF(I14="","",MIN(I14,$B$6)))</f>
        <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85</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3a</v>
      </c>
    </row>
    <row r="4" customFormat="false" ht="15" hidden="false" customHeight="true" outlineLevel="0" collapsed="false">
      <c r="A4" s="10" t="s">
        <v>438</v>
      </c>
      <c r="B4" s="4" t="str">
        <f aca="false">VLOOKUP($B$1,'PARASTATAL Questions'!$A:$J,4,0)&amp;""</f>
        <v>SQ</v>
      </c>
    </row>
    <row r="5" customFormat="false" ht="258.75" hidden="false" customHeight="true" outlineLevel="0" collapsed="false">
      <c r="A5" s="10" t="s">
        <v>0</v>
      </c>
      <c r="B5" s="4" t="str">
        <f aca="false">VLOOKUP($B$1,'PARASTATAL Questions'!$A:$J,5,0)&amp;""</f>
        <v>Is the water supply board mandated to consider the needs of women, the urban poor and other vulnerable groups in decisions relating to access, affordability and delivery of water and sanitation services?</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34.5" hidden="false" customHeight="true" outlineLevel="0" collapsed="false">
      <c r="A8" s="10" t="s">
        <v>473</v>
      </c>
      <c r="B8" s="4" t="str">
        <f aca="false">VLOOKUP($B$1,'PARASTATAL Questions'!$A:$J,8,0)&amp;""</f>
        <v>Water supply board</v>
      </c>
    </row>
    <row r="9" customFormat="false" ht="840.75" hidden="false" customHeight="true" outlineLevel="0" collapsed="false">
      <c r="A9" s="10" t="s">
        <v>474</v>
      </c>
      <c r="B9" s="4" t="str">
        <f aca="false">VLOOKUP($B$1,'PARASTATAL Questions'!$A:$J,9,0)&amp;""</f>
        <v>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groups.Score 5 if equity requirements apply across core service-access and delivery decisionsScore 2.5 if limited to particular groups, services or schemesScore 0 if no explicit requirement is found.</v>
      </c>
    </row>
    <row r="10" customFormat="false" ht="202.5" hidden="false" customHeight="true" outlineLevel="0" collapsed="false">
      <c r="A10" s="10" t="s">
        <v>475</v>
      </c>
      <c r="B10" s="4" t="str">
        <f aca="false">VLOOKUP($B$1,'PARASTATAL Questions'!$A:$J,10,0)&amp;""</f>
        <v>Water Supply Board/utility Act, water and sanitation legislation, tariff regulations, service rules, State policies and other applicable binding instruments</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57" hidden="false" customHeight="true" outlineLevel="0" collapsed="false">
      <c r="A13" s="8" t="s">
        <v>19</v>
      </c>
      <c r="B13" s="8" t="s">
        <v>661</v>
      </c>
      <c r="C13" s="8" t="s">
        <v>88</v>
      </c>
      <c r="D13" s="8" t="s">
        <v>705</v>
      </c>
      <c r="E13" s="8" t="s">
        <v>706</v>
      </c>
      <c r="F13" s="8" t="s">
        <v>707</v>
      </c>
      <c r="G13" s="8" t="s">
        <v>708</v>
      </c>
      <c r="H13" s="8" t="s">
        <v>89</v>
      </c>
      <c r="I13" s="15" t="n">
        <v>2.5</v>
      </c>
      <c r="J13" s="8" t="n">
        <f aca="false">IF(COUNTIFS('Scores (start here)'!$A:$A,$B$1,'Scores (start here)'!$B:$B,$A13,'Scores (start here)'!$F:$F,"&gt;=0")&gt;0,SUMIFS('Scores (start here)'!$F:$F,'Scores (start here)'!$A:$A,$B$1,'Scores (start here)'!$B:$B,$A13),L13)</f>
        <v>2.5</v>
      </c>
      <c r="K13" s="12" t="s">
        <v>709</v>
      </c>
      <c r="L13" s="8" t="n">
        <f aca="false">IF($B13="NO","NA",IF(I13="","",MIN(I13,$B$6)))</f>
        <v>2.5</v>
      </c>
    </row>
    <row r="14" customFormat="false" ht="15" hidden="false" customHeight="true" outlineLevel="0" collapsed="false">
      <c r="A14" s="16" t="s">
        <v>29</v>
      </c>
      <c r="B14" s="16" t="s">
        <v>697</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92</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3b</v>
      </c>
    </row>
    <row r="4" customFormat="false" ht="15" hidden="false" customHeight="true" outlineLevel="0" collapsed="false">
      <c r="A4" s="10" t="s">
        <v>438</v>
      </c>
      <c r="B4" s="4" t="str">
        <f aca="false">VLOOKUP($B$1,'PARASTATAL Questions'!$A:$J,4,0)&amp;""</f>
        <v>SQ</v>
      </c>
    </row>
    <row r="5" customFormat="false" ht="247.5" hidden="false" customHeight="true" outlineLevel="0" collapsed="false">
      <c r="A5" s="10" t="s">
        <v>0</v>
      </c>
      <c r="B5" s="4" t="str">
        <f aca="false">VLOOKUP($B$1,'PARASTATAL Questions'!$A:$J,5,0)&amp;""</f>
        <v>Does the water supply board actually consider the needs of women, the urban poor and other vulnerable groups in decisions relating to access, affordability and delivery of water and sanitation services?</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Implementation</v>
      </c>
    </row>
    <row r="8" customFormat="false" ht="34.5" hidden="false" customHeight="true" outlineLevel="0" collapsed="false">
      <c r="A8" s="10" t="s">
        <v>473</v>
      </c>
      <c r="B8" s="4" t="str">
        <f aca="false">VLOOKUP($B$1,'PARASTATAL Questions'!$A:$J,8,0)&amp;""</f>
        <v>Water supply board</v>
      </c>
    </row>
    <row r="9" customFormat="false" ht="3276.75" hidden="false" customHeight="true" outlineLevel="0" collapsed="false">
      <c r="A9" s="10" t="s">
        <v>474</v>
      </c>
      <c r="B9" s="4" t="str">
        <f aca="false">VLOOKUP($B$1,'PARASTATAL Questions'!$A:$J,9,0)&amp;""</f>
        <v>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marksLook for identifiable provisions such as:concessional/lifeline tariff, connection fee concession, deposit concession or other affordability measure for EWS/BPL/slum/low-income householdsa named scheme or coverage commitment for slums/informal settlementsinclusion of slums/informal settlements within the water-supply master plan’s demand assessment, network design or service area, including where relevant irrespective of land tenure or notified statuspriority/admissible category for network extension to low-income or underserved settlementsdecentralised/service alternatives such as community stand posts, water ATMs or mini-networks where individual household connections are not feasible.ScoringScore 2.5 if there is evidence of both (i) an affordability/access measure and (ii) an explicit service-planning/coverage measure for an identified vulnerable group.Score 1.25 if only one of the above is present.Score 0 if neither is present. Component 2 – Gender, and accessible design: 2.5 marksLook for identifiable planning or design measures such as:GESI/gender/social inclusion screening or analysis within water-supply planning or DPR preparationexplicit design consideration for women, PwDs, elderly persons, children or other identified vulnerable userssiting of shared water infrastructure to reduce time, distance or physical burdensafe and accessible approaches to community water pointsbarrier-free/universal-access design standards for public-facing water infrastructure, including ramps, step-free access, appropriate tap heights or other accessible design featuresother specific design or service measures intended to address identified access barriers.ScoringScore 2.5 if the Board’s current planning/design framework contains specific operational or design measures addressing the needs of identified vulnerable groups.Score 1.25 if vulnerable groups are specifically identified and considered, but the provision does not translate into a clear operational/design requirement.Score 0 if there is no identifiable equity/accessibility consideration.</v>
      </c>
    </row>
    <row r="10" customFormat="false" ht="213.75" hidden="false" customHeight="true" outlineLevel="0" collapsed="false">
      <c r="A10" s="10" t="s">
        <v>475</v>
      </c>
      <c r="B10" s="4" t="str">
        <f aca="false">VLOOKUP($B$1,'PARASTATAL Questions'!$A:$J,10,0)&amp;""</f>
        <v>Water Supply Board's current water supply/sanitation plan; scheme/coverage documents; tariff or connection-concession orders; design/service standards.</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236.25" hidden="false" customHeight="true" outlineLevel="0" collapsed="false">
      <c r="A13" s="8" t="s">
        <v>19</v>
      </c>
      <c r="B13" s="8" t="s">
        <v>661</v>
      </c>
      <c r="C13" s="8" t="s">
        <v>329</v>
      </c>
      <c r="D13" s="8" t="s">
        <v>710</v>
      </c>
      <c r="E13" s="8" t="s">
        <v>711</v>
      </c>
      <c r="F13" s="8" t="s">
        <v>712</v>
      </c>
      <c r="G13" s="8" t="s">
        <v>713</v>
      </c>
      <c r="H13" s="8" t="s">
        <v>330</v>
      </c>
      <c r="I13" s="15" t="n">
        <v>2.5</v>
      </c>
      <c r="J13" s="8" t="n">
        <f aca="false">IF(COUNTIFS('Scores (start here)'!$A:$A,$B$1,'Scores (start here)'!$B:$B,$A13,'Scores (start here)'!$F:$F,"&gt;=0")&gt;0,SUMIFS('Scores (start here)'!$F:$F,'Scores (start here)'!$A:$A,$B$1,'Scores (start here)'!$B:$B,$A13),L13)</f>
        <v>2.5</v>
      </c>
      <c r="K13" s="12" t="s">
        <v>714</v>
      </c>
      <c r="L13" s="8" t="n">
        <f aca="false">IF($B13="NO","NA",IF(I13="","",MIN(I13,$B$6)))</f>
        <v>2.5</v>
      </c>
    </row>
    <row r="14" customFormat="false" ht="15" hidden="false" customHeight="true" outlineLevel="0" collapsed="false">
      <c r="A14" s="16" t="s">
        <v>29</v>
      </c>
      <c r="B14" s="16" t="s">
        <v>697</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96</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4a</v>
      </c>
    </row>
    <row r="4" customFormat="false" ht="15" hidden="false" customHeight="true" outlineLevel="0" collapsed="false">
      <c r="A4" s="10" t="s">
        <v>438</v>
      </c>
      <c r="B4" s="4" t="str">
        <f aca="false">VLOOKUP($B$1,'PARASTATAL Questions'!$A:$J,4,0)&amp;""</f>
        <v>SQ</v>
      </c>
    </row>
    <row r="5" customFormat="false" ht="247.5" hidden="false" customHeight="true" outlineLevel="0" collapsed="false">
      <c r="A5" s="10" t="s">
        <v>0</v>
      </c>
      <c r="B5" s="4" t="str">
        <f aca="false">VLOOKUP($B$1,'PARASTATAL Questions'!$A:$J,5,0)&amp;""</f>
        <v>Is the transport corporation mandated to consider the mobility needs of women, the urban poor and other vulnerable groups in planning and delivering public transport services?</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34.5" hidden="false" customHeight="true" outlineLevel="0" collapsed="false">
      <c r="A8" s="10" t="s">
        <v>473</v>
      </c>
      <c r="B8" s="4" t="str">
        <f aca="false">VLOOKUP($B$1,'PARASTATAL Questions'!$A:$J,8,0)&amp;""</f>
        <v>Transport Corporation</v>
      </c>
    </row>
    <row r="9" customFormat="false" ht="750.75" hidden="false" customHeight="true" outlineLevel="0" collapsed="false">
      <c r="A9" s="10" t="s">
        <v>474</v>
      </c>
      <c r="B9" s="4" t="str">
        <f aca="false">VLOOKUP($B$1,'PARASTATAL Questions'!$A:$J,9,0)&amp;""</f>
        <v>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users.Score 5 if such considerations are explicitly embedded across core service-planning and delivery functionsScore 2.5 if limited to specific groups, services or schemesScore 0 if no explicit requirement is found.</v>
      </c>
    </row>
    <row r="10" customFormat="false" ht="191.25" hidden="false" customHeight="true" outlineLevel="0" collapsed="false">
      <c r="A10" s="10" t="s">
        <v>475</v>
      </c>
      <c r="B10" s="4" t="str">
        <f aca="false">VLOOKUP($B$1,'PARASTATAL Questions'!$A:$J,10,0)&amp;""</f>
        <v>Transport authority/corporation Act, applicable transport legislation, rules, service regulations, fare policies and other binding policy instruments</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16" t="s">
        <v>19</v>
      </c>
      <c r="B13" s="16" t="s">
        <v>697</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36.25" hidden="false" customHeight="true" outlineLevel="0" collapsed="false">
      <c r="A14" s="8" t="s">
        <v>29</v>
      </c>
      <c r="B14" s="8" t="s">
        <v>661</v>
      </c>
      <c r="C14" s="8" t="s">
        <v>103</v>
      </c>
      <c r="D14" s="8" t="s">
        <v>715</v>
      </c>
      <c r="E14" s="8" t="s">
        <v>716</v>
      </c>
      <c r="H14" s="8" t="s">
        <v>104</v>
      </c>
      <c r="I14" s="15"/>
      <c r="J14" s="8" t="str">
        <f aca="false">IF(COUNTIFS('Scores (start here)'!$A:$A,$B$1,'Scores (start here)'!$B:$B,$A14,'Scores (start here)'!$F:$F,"&gt;=0")&gt;0,SUMIFS('Scores (start here)'!$F:$F,'Scores (start here)'!$A:$A,$B$1,'Scores (start here)'!$B:$B,$A14),L14)</f>
        <v/>
      </c>
      <c r="K14" s="12" t="s">
        <v>717</v>
      </c>
      <c r="L14" s="8" t="str">
        <f aca="false">IF($B14="NO","NA",IF(I14="","",MIN(I14,$B$6)))</f>
        <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100</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4b</v>
      </c>
    </row>
    <row r="4" customFormat="false" ht="15" hidden="false" customHeight="true" outlineLevel="0" collapsed="false">
      <c r="A4" s="10" t="s">
        <v>438</v>
      </c>
      <c r="B4" s="4" t="str">
        <f aca="false">VLOOKUP($B$1,'PARASTATAL Questions'!$A:$J,4,0)&amp;""</f>
        <v>SQ</v>
      </c>
    </row>
    <row r="5" customFormat="false" ht="236.25" hidden="false" customHeight="true" outlineLevel="0" collapsed="false">
      <c r="A5" s="10" t="s">
        <v>0</v>
      </c>
      <c r="B5" s="4" t="str">
        <f aca="false">VLOOKUP($B$1,'PARASTATAL Questions'!$A:$J,5,0)&amp;""</f>
        <v>Does the Transport Corporation actually consider the needs of women, the urban poor and other vulnerable groups in decisions relating to access, affordability and delivery of public transport services?</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Implementation</v>
      </c>
    </row>
    <row r="8" customFormat="false" ht="34.5" hidden="false" customHeight="true" outlineLevel="0" collapsed="false">
      <c r="A8" s="10" t="s">
        <v>473</v>
      </c>
      <c r="B8" s="4" t="str">
        <f aca="false">VLOOKUP($B$1,'PARASTATAL Questions'!$A:$J,8,0)&amp;""</f>
        <v>Transport Corporation</v>
      </c>
    </row>
    <row r="9" customFormat="false" ht="2184.75" hidden="false" customHeight="true" outlineLevel="0" collapsed="false">
      <c r="A9" s="10" t="s">
        <v>474</v>
      </c>
      <c r="B9" s="4" t="str">
        <f aca="false">VLOOKUP($B$1,'PARASTATAL Questions'!$A:$J,9,0)&amp;""</f>
        <v>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groups.Do not award credit for generic language such as "public interest," "all commuters," "universal service" or "inclusive development" unless this is translated into a specific route, fare, service or design provision.Component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settlements.Score 2.5 if there is evidence of both (i) an affordability/fare-concession measure and (ii) an explicit route/coverage measure for an identified vulnerable group. Score 1.25 if only one is present. Score 0 if neither is present.Component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access).Score 2.5 if the Corporation's current planning/design framework contains specific operational or design measures. Score 1.25 if vulnerable groups are identified but this doesn't translate into an operational/design requirement. Score 0 if no identifiable consideration.</v>
      </c>
    </row>
    <row r="10" customFormat="false" ht="191.25" hidden="false" customHeight="true" outlineLevel="0" collapsed="false">
      <c r="A10" s="10" t="s">
        <v>475</v>
      </c>
      <c r="B10" s="4" t="str">
        <f aca="false">VLOOKUP($B$1,'PARASTATAL Questions'!$A:$J,10,0)&amp;""</f>
        <v>Transport Corporation's current transport/mobility plan; fare policy/concession orders; service design standards or specifications; annual report.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16" t="s">
        <v>19</v>
      </c>
      <c r="B13" s="16" t="s">
        <v>697</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113.25" hidden="false" customHeight="true" outlineLevel="0" collapsed="false">
      <c r="A14" s="8" t="s">
        <v>29</v>
      </c>
      <c r="B14" s="8" t="s">
        <v>661</v>
      </c>
      <c r="C14" s="8" t="s">
        <v>103</v>
      </c>
      <c r="D14" s="8" t="s">
        <v>718</v>
      </c>
      <c r="E14" s="8" t="s">
        <v>719</v>
      </c>
      <c r="F14" s="8" t="s">
        <v>720</v>
      </c>
      <c r="H14" s="8" t="s">
        <v>104</v>
      </c>
      <c r="I14" s="15" t="n">
        <v>1.25</v>
      </c>
      <c r="J14" s="8" t="n">
        <f aca="false">IF(COUNTIFS('Scores (start here)'!$A:$A,$B$1,'Scores (start here)'!$B:$B,$A14,'Scores (start here)'!$F:$F,"&gt;=0")&gt;0,SUMIFS('Scores (start here)'!$F:$F,'Scores (start here)'!$A:$A,$B$1,'Scores (start here)'!$B:$B,$A14),L14)</f>
        <v>1.25</v>
      </c>
      <c r="K14" s="12" t="s">
        <v>721</v>
      </c>
      <c r="L14" s="8" t="n">
        <f aca="false">IF($B14="NO","NA",IF(I14="","",MIN(I14,$B$6)))</f>
        <v>1.25</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107</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5a</v>
      </c>
    </row>
    <row r="4" customFormat="false" ht="15" hidden="false" customHeight="true" outlineLevel="0" collapsed="false">
      <c r="A4" s="10" t="s">
        <v>438</v>
      </c>
      <c r="B4" s="4" t="str">
        <f aca="false">VLOOKUP($B$1,'PARASTATAL Questions'!$A:$J,4,0)&amp;""</f>
        <v>SQ</v>
      </c>
    </row>
    <row r="5" customFormat="false" ht="191.25" hidden="false" customHeight="true" outlineLevel="0" collapsed="false">
      <c r="A5" s="10" t="s">
        <v>0</v>
      </c>
      <c r="B5" s="4" t="str">
        <f aca="false">VLOOKUP($B$1,'PARASTATAL Questions'!$A:$J,5,0)&amp;""</f>
        <v>Is the water supply board mandated to consider environmental sustainability in planning and delivering water and sanitation services?</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34.5" hidden="false" customHeight="true" outlineLevel="0" collapsed="false">
      <c r="A8" s="10" t="s">
        <v>473</v>
      </c>
      <c r="B8" s="4" t="str">
        <f aca="false">VLOOKUP($B$1,'PARASTATAL Questions'!$A:$J,8,0)&amp;""</f>
        <v>Water supply board</v>
      </c>
    </row>
    <row r="9" customFormat="false" ht="975" hidden="false" customHeight="true" outlineLevel="0" collapsed="false">
      <c r="A9" s="10" t="s">
        <v>474</v>
      </c>
      <c r="B9" s="4" t="str">
        <f aca="false">VLOOKUP($B$1,'PARASTATAL Questions'!$A:$J,9,0)&amp;""</f>
        <v>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v>
      </c>
    </row>
    <row r="10" customFormat="false" ht="225" hidden="false" customHeight="true" outlineLevel="0" collapsed="false">
      <c r="A10" s="10" t="s">
        <v>475</v>
      </c>
      <c r="B10" s="4" t="str">
        <f aca="false">VLOOKUP($B$1,'PARASTATAL Questions'!$A:$J,10,0)&amp;""</f>
        <v>Water Supply Board/utility Act, water and sanitation legislation, service rules, State water policies, groundwater/source-protection provisions and other binding instruments</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236.25" hidden="false" customHeight="true" outlineLevel="0" collapsed="false">
      <c r="A13" s="8" t="s">
        <v>19</v>
      </c>
      <c r="B13" s="8" t="s">
        <v>661</v>
      </c>
      <c r="C13" s="8" t="s">
        <v>25</v>
      </c>
      <c r="D13" s="8" t="s">
        <v>722</v>
      </c>
      <c r="E13" s="8" t="s">
        <v>723</v>
      </c>
      <c r="F13" s="8" t="s">
        <v>724</v>
      </c>
      <c r="G13" s="8" t="s">
        <v>725</v>
      </c>
      <c r="H13" s="8" t="s">
        <v>26</v>
      </c>
      <c r="I13" s="15" t="n">
        <v>2.5</v>
      </c>
      <c r="J13" s="8" t="n">
        <f aca="false">IF(COUNTIFS('Scores (start here)'!$A:$A,$B$1,'Scores (start here)'!$B:$B,$A13,'Scores (start here)'!$F:$F,"&gt;=0")&gt;0,SUMIFS('Scores (start here)'!$F:$F,'Scores (start here)'!$A:$A,$B$1,'Scores (start here)'!$B:$B,$A13),L13)</f>
        <v>2.5</v>
      </c>
      <c r="K13" s="12" t="s">
        <v>726</v>
      </c>
      <c r="L13" s="8" t="n">
        <f aca="false">IF($B13="NO","NA",IF(I13="","",MIN(I13,$B$6)))</f>
        <v>2.5</v>
      </c>
    </row>
    <row r="14" customFormat="false" ht="15" hidden="false" customHeight="true" outlineLevel="0" collapsed="false">
      <c r="A14" s="16" t="s">
        <v>29</v>
      </c>
      <c r="B14" s="16" t="s">
        <v>697</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112</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5b</v>
      </c>
    </row>
    <row r="4" customFormat="false" ht="15" hidden="false" customHeight="true" outlineLevel="0" collapsed="false">
      <c r="A4" s="10" t="s">
        <v>438</v>
      </c>
      <c r="B4" s="4" t="str">
        <f aca="false">VLOOKUP($B$1,'PARASTATAL Questions'!$A:$J,4,0)&amp;""</f>
        <v>SQ</v>
      </c>
    </row>
    <row r="5" customFormat="false" ht="180" hidden="false" customHeight="true" outlineLevel="0" collapsed="false">
      <c r="A5" s="10" t="s">
        <v>0</v>
      </c>
      <c r="B5" s="4" t="str">
        <f aca="false">VLOOKUP($B$1,'PARASTATAL Questions'!$A:$J,5,0)&amp;""</f>
        <v>Does the water supply board actually consider environmental sustainability in planning and delivering water and sanitation services?</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Implementation</v>
      </c>
    </row>
    <row r="8" customFormat="false" ht="34.5" hidden="false" customHeight="true" outlineLevel="0" collapsed="false">
      <c r="A8" s="10" t="s">
        <v>473</v>
      </c>
      <c r="B8" s="4" t="str">
        <f aca="false">VLOOKUP($B$1,'PARASTATAL Questions'!$A:$J,8,0)&amp;""</f>
        <v>Water supply board</v>
      </c>
    </row>
    <row r="9" customFormat="false" ht="3276.75" hidden="false" customHeight="true" outlineLevel="0" collapsed="false">
      <c r="A9" s="10" t="s">
        <v>474</v>
      </c>
      <c r="B9" s="4" t="str">
        <f aca="false">VLOOKUP($B$1,'PARASTATAL Questions'!$A:$J,9,0)&amp;""</f>
        <v>Review the Board's latest water supply plan. Assess whether it contains identifiable environmental sustainability measures relating to source management, conservation, wastewater management, or climate resilience.Do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marksLook for identifiable provisions such as:sustainable or diversified water source development, or measures to reduce over-extraction/dependence on a stressed sourcegroundwater recharge, rainwater harvesting, or source-protection measures within the Board's own infrastructure planninga non-revenue water (NRW)/water-loss reduction target or programmedemand management or water conservation measures (e.g., universal metering, leak detection and repair programme, conservation-oriented design standards)measures to protect water sources from pollution or encroachment (buffer/catchment protection, control of upstream effluent discharge)any other specific measure on sustainable source management, and/or conservation and loss reduction Scoring:Score 2.5 if there is evidence of both (i) a sustainable source/protection measure and (ii) an explicit loss-reduction or demand-management target/programme.Score 1.25 if only one of the above is present. Score 0 if neither is present. Component 2 – Wastewater management, reuse and climate resilience: 2.5 marksLook for identifiable planning or operational measures such as:wastewater treatment capacity or quality targets aligned with service expansiona treated-wastewater reuse/recycling target or scheme (industrial, horticultural, non-potable reuse, etc.)climate resilience or adaptation measures for water sources or infrastructure (drought contingency planning, flood-proofing of treatment/pumping assets)energy efficiency measures in water/wastewater operations (energy audits, renewable energy use in pumping/treatment)environmental flow or ecological considerations where surface water sources are usedother specific measures addressing the environmental impact of water or wastewater operations Scoring:Score 2.5 if the Board's current planning framework contains specific operational measures addressing wastewater management, climate resilience or energy use.Score 1.25 if such considerations are mentioned or identified but do not translate into a clear operational or target-based requirement.Score 0 if there is no identifiable environmental sustainability consideration.</v>
      </c>
    </row>
    <row r="10" customFormat="false" ht="281.25" hidden="false" customHeight="true" outlineLevel="0" collapsed="false">
      <c r="A10" s="10" t="s">
        <v>475</v>
      </c>
      <c r="B10" s="4" t="str">
        <f aca="false">VLOOKUP($B$1,'PARASTATAL Questions'!$A:$J,10,0)&amp;""</f>
        <v>Water Supply Board's current water supply/sanitation plan; source-protection or conservation programme documents; wastewater treatment/reuse scheme documents; annual report.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213.75" hidden="false" customHeight="true" outlineLevel="0" collapsed="false">
      <c r="A13" s="8" t="s">
        <v>19</v>
      </c>
      <c r="B13" s="8" t="s">
        <v>661</v>
      </c>
      <c r="C13" s="8" t="s">
        <v>115</v>
      </c>
      <c r="D13" s="8" t="s">
        <v>727</v>
      </c>
      <c r="E13" s="8" t="s">
        <v>728</v>
      </c>
      <c r="F13" s="8" t="s">
        <v>729</v>
      </c>
      <c r="G13" s="8" t="s">
        <v>676</v>
      </c>
      <c r="H13" s="8" t="s">
        <v>116</v>
      </c>
      <c r="I13" s="15" t="n">
        <v>5</v>
      </c>
      <c r="J13" s="8" t="n">
        <f aca="false">IF(COUNTIFS('Scores (start here)'!$A:$A,$B$1,'Scores (start here)'!$B:$B,$A13,'Scores (start here)'!$F:$F,"&gt;=0")&gt;0,SUMIFS('Scores (start here)'!$F:$F,'Scores (start here)'!$A:$A,$B$1,'Scores (start here)'!$B:$B,$A13),L13)</f>
        <v>5</v>
      </c>
      <c r="K13" s="12" t="s">
        <v>730</v>
      </c>
      <c r="L13" s="8" t="n">
        <f aca="false">IF($B13="NO","NA",IF(I13="","",MIN(I13,$B$6)))</f>
        <v>5</v>
      </c>
    </row>
    <row r="14" customFormat="false" ht="15" hidden="false" customHeight="true" outlineLevel="0" collapsed="false">
      <c r="A14" s="16" t="s">
        <v>29</v>
      </c>
      <c r="B14" s="16" t="s">
        <v>697</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119</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6a</v>
      </c>
    </row>
    <row r="4" customFormat="false" ht="15" hidden="false" customHeight="true" outlineLevel="0" collapsed="false">
      <c r="A4" s="10" t="s">
        <v>438</v>
      </c>
      <c r="B4" s="4" t="str">
        <f aca="false">VLOOKUP($B$1,'PARASTATAL Questions'!$A:$J,4,0)&amp;""</f>
        <v>SQ</v>
      </c>
    </row>
    <row r="5" customFormat="false" ht="225" hidden="false" customHeight="true" outlineLevel="0" collapsed="false">
      <c r="A5" s="10" t="s">
        <v>0</v>
      </c>
      <c r="B5" s="4" t="str">
        <f aca="false">VLOOKUP($B$1,'PARASTATAL Questions'!$A:$J,5,0)&amp;""</f>
        <v>Is the transport corporation mandated to consider environmental sustainability in planning and delivering urban transport services and investments?</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34.5" hidden="false" customHeight="true" outlineLevel="0" collapsed="false">
      <c r="A8" s="10" t="s">
        <v>473</v>
      </c>
      <c r="B8" s="4" t="str">
        <f aca="false">VLOOKUP($B$1,'PARASTATAL Questions'!$A:$J,8,0)&amp;""</f>
        <v>Transport Corporation</v>
      </c>
    </row>
    <row r="9" customFormat="false" ht="907.5" hidden="false" customHeight="true" outlineLevel="0" collapsed="false">
      <c r="A9" s="10" t="s">
        <v>474</v>
      </c>
      <c r="B9" s="4" t="str">
        <f aca="false">VLOOKUP($B$1,'PARASTATAL Questions'!$A:$J,9,0)&amp;""</f>
        <v>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investments.Score 5 if environmental considerations are explicitly embedded across core transport planning/investment/service-delivery functionsScore 2.5 if limited to specific modes, projects or environmental objectivesScore 0 if no explicit requirement is found.</v>
      </c>
    </row>
    <row r="10" customFormat="false" ht="168.75" hidden="false" customHeight="true" outlineLevel="0" collapsed="false">
      <c r="A10" s="10" t="s">
        <v>475</v>
      </c>
      <c r="B10" s="4" t="str">
        <f aca="false">VLOOKUP($B$1,'PARASTATAL Questions'!$A:$J,10,0)&amp;""</f>
        <v>Transport authority/corporation Act, applicable transport legislation, rules, mobility/transport policies and other binding instruments</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16" t="s">
        <v>19</v>
      </c>
      <c r="B13" s="16" t="s">
        <v>697</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58.75" hidden="false" customHeight="true" outlineLevel="0" collapsed="false">
      <c r="A14" s="8" t="s">
        <v>29</v>
      </c>
      <c r="B14" s="8" t="s">
        <v>661</v>
      </c>
      <c r="C14" s="8" t="s">
        <v>78</v>
      </c>
      <c r="D14" s="8" t="s">
        <v>731</v>
      </c>
      <c r="E14" s="8" t="s">
        <v>732</v>
      </c>
      <c r="F14" s="8" t="s">
        <v>733</v>
      </c>
      <c r="G14" s="8" t="s">
        <v>702</v>
      </c>
      <c r="H14" s="8" t="s">
        <v>79</v>
      </c>
      <c r="I14" s="15" t="n">
        <v>2.5</v>
      </c>
      <c r="J14" s="8" t="n">
        <f aca="false">IF(COUNTIFS('Scores (start here)'!$A:$A,$B$1,'Scores (start here)'!$B:$B,$A14,'Scores (start here)'!$F:$F,"&gt;=0")&gt;0,SUMIFS('Scores (start here)'!$F:$F,'Scores (start here)'!$A:$A,$B$1,'Scores (start here)'!$B:$B,$A14),L14)</f>
        <v>2.5</v>
      </c>
      <c r="K14" s="12" t="s">
        <v>734</v>
      </c>
      <c r="L14" s="8" t="n">
        <f aca="false">IF($B14="NO","NA",IF(I14="","",MIN(I14,$B$6)))</f>
        <v>2.5</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124</v>
      </c>
      <c r="C1" s="8" t="s">
        <v>645</v>
      </c>
      <c r="J1" s="13" t="s">
        <v>646</v>
      </c>
    </row>
    <row r="2" customFormat="false" ht="45.75" hidden="false" customHeight="true" outlineLevel="0" collapsed="false">
      <c r="A2" s="10" t="s">
        <v>437</v>
      </c>
      <c r="B2" s="4" t="str">
        <f aca="false">VLOOKUP($B$1,'PARASTATAL Questions'!$A:$J,3,0)&amp;""</f>
        <v>Urban Planning &amp; Design (UPD)</v>
      </c>
    </row>
    <row r="3" customFormat="false" ht="15" hidden="false" customHeight="true" outlineLevel="0" collapsed="false">
      <c r="A3" s="10" t="s">
        <v>472</v>
      </c>
      <c r="B3" s="4" t="str">
        <f aca="false">VLOOKUP($B$1,'PARASTATAL Questions'!$A:$J,2,0)&amp;""</f>
        <v>UPD 6b</v>
      </c>
    </row>
    <row r="4" customFormat="false" ht="15" hidden="false" customHeight="true" outlineLevel="0" collapsed="false">
      <c r="A4" s="10" t="s">
        <v>438</v>
      </c>
      <c r="B4" s="4" t="str">
        <f aca="false">VLOOKUP($B$1,'PARASTATAL Questions'!$A:$J,4,0)&amp;""</f>
        <v>SQ</v>
      </c>
    </row>
    <row r="5" customFormat="false" ht="202.5" hidden="false" customHeight="true" outlineLevel="0" collapsed="false">
      <c r="A5" s="10" t="s">
        <v>0</v>
      </c>
      <c r="B5" s="4" t="str">
        <f aca="false">VLOOKUP($B$1,'PARASTATAL Questions'!$A:$J,5,0)&amp;""</f>
        <v>Does the transport corporation actually considers environmental sustainability in planning and delivering urban transport services and investments?</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Implementation</v>
      </c>
    </row>
    <row r="8" customFormat="false" ht="34.5" hidden="false" customHeight="true" outlineLevel="0" collapsed="false">
      <c r="A8" s="10" t="s">
        <v>473</v>
      </c>
      <c r="B8" s="4" t="str">
        <f aca="false">VLOOKUP($B$1,'PARASTATAL Questions'!$A:$J,8,0)&amp;""</f>
        <v>Transport Corporation</v>
      </c>
    </row>
    <row r="9" customFormat="false" ht="1714.5" hidden="false" customHeight="true" outlineLevel="0" collapsed="false">
      <c r="A9" s="10" t="s">
        <v>474</v>
      </c>
      <c r="B9" s="4" t="str">
        <f aca="false">VLOOKUP($B$1,'PARASTATAL Questions'!$A:$J,9,0)&amp;""</f>
        <v>Review the Corporation's current fleet plan, network/route plan or environmental/sustainability policy. Assess whether it contains identifiable environmental sustainability measures relating to fleet composition, emissions, energy use or modal integration.Do not award credit for generic language such as "sustainable development," "green transport" or "environment friendly" unless translated into a specific fleet, operational or design provision.Component 1 – Cleaner fleet and emissions reduction: 2.5 marks. Look for: an electric/CNG/hybrid fleet-transition target; an emissions or fuel-efficiency target; a retirement/phase-out schedule for high-emission vehicles.Score 2.5 if evidence of both (i) a cleaner-fuel/fleet-transition measure and (ii) an explicit emissions/efficiency target. Score 1.25 if only one is present. Score 0 if neither.Component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depots/operations.Score 2.5 if the Corporation's planning framework contains specific operational measures. Score 1.25 if mentioned but not operationalised/targeted. Score 0 if no identifiable consideration.</v>
      </c>
    </row>
    <row r="10" customFormat="false" ht="135.75" hidden="false" customHeight="true" outlineLevel="0" collapsed="false">
      <c r="A10" s="10" t="s">
        <v>475</v>
      </c>
      <c r="B10" s="4" t="str">
        <f aca="false">VLOOKUP($B$1,'PARASTATAL Questions'!$A:$J,10,0)&amp;""</f>
        <v>Transport Corporation's fleet plan; route/network plan; environmental/sustainability policy; annual report.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16" t="s">
        <v>19</v>
      </c>
      <c r="B13" s="16" t="s">
        <v>697</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57" hidden="false" customHeight="true" outlineLevel="0" collapsed="false">
      <c r="A14" s="8" t="s">
        <v>29</v>
      </c>
      <c r="B14" s="8" t="s">
        <v>661</v>
      </c>
      <c r="C14" s="8" t="s">
        <v>127</v>
      </c>
      <c r="D14" s="8" t="s">
        <v>735</v>
      </c>
      <c r="E14" s="8" t="s">
        <v>736</v>
      </c>
      <c r="F14" s="8" t="s">
        <v>737</v>
      </c>
      <c r="G14" s="8" t="s">
        <v>738</v>
      </c>
      <c r="H14" s="8" t="s">
        <v>128</v>
      </c>
      <c r="I14" s="15" t="n">
        <v>1.25</v>
      </c>
      <c r="J14" s="8" t="n">
        <f aca="false">IF(COUNTIFS('Scores (start here)'!$A:$A,$B$1,'Scores (start here)'!$B:$B,$A14,'Scores (start here)'!$F:$F,"&gt;=0")&gt;0,SUMIFS('Scores (start here)'!$F:$F,'Scores (start here)'!$A:$A,$B$1,'Scores (start here)'!$B:$B,$A14),L14)</f>
        <v>1.25</v>
      </c>
      <c r="K14" s="12" t="s">
        <v>739</v>
      </c>
      <c r="L14" s="8" t="n">
        <f aca="false">IF($B14="NO","NA",IF(I14="","",MIN(I14,$B$6)))</f>
        <v>1.25</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131</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1a</v>
      </c>
    </row>
    <row r="4" customFormat="false" ht="15" hidden="false" customHeight="true" outlineLevel="0" collapsed="false">
      <c r="A4" s="10" t="s">
        <v>438</v>
      </c>
      <c r="B4" s="4" t="str">
        <f aca="false">VLOOKUP($B$1,'PARASTATAL Questions'!$A:$J,4,0)&amp;""</f>
        <v>SQ</v>
      </c>
    </row>
    <row r="5" customFormat="false" ht="135.75" hidden="false" customHeight="true" outlineLevel="0" collapsed="false">
      <c r="A5" s="10" t="s">
        <v>0</v>
      </c>
      <c r="B5" s="4" t="str">
        <f aca="false">VLOOKUP($B$1,'PARASTATAL Questions'!$A:$J,5,0)&amp;""</f>
        <v>Does the legal framework clearly demarcate the functions/responsibilities of the parastatal vis-à-vis the ULG?</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Institutional Design</v>
      </c>
    </row>
    <row r="8" customFormat="false" ht="45.75" hidden="false" customHeight="true" outlineLevel="0" collapsed="false">
      <c r="A8" s="10" t="s">
        <v>473</v>
      </c>
      <c r="B8" s="4" t="str">
        <f aca="false">VLOOKUP($B$1,'PARASTATAL Questions'!$A:$J,8,0)&amp;""</f>
        <v>Common — all parastatal types.</v>
      </c>
    </row>
    <row r="9" customFormat="false" ht="2173.5" hidden="false" customHeight="true" outlineLevel="0" collapsed="false">
      <c r="A9" s="10" t="s">
        <v>474</v>
      </c>
      <c r="B9" s="4" t="str">
        <f aca="false">VLOOKUP($B$1,'PARASTATAL Questions'!$A:$J,9,0)&amp;""</f>
        <v>Step 1 — Check devolution status under the Municipal Act.Review the Municipal Act to determine whether the specific function/service is:A — Not devolved: the function is not assigned to the ULG at all.B — Fully devolved: the function is assigned to the ULG in full, and the parastatal also delivers it (i.e. a potential overlap exists).C — Partially devolved: only specific sub-functions are assigned to the ULG (e.g. domestic water supply to the ULG, bulk supply/production to the parastatal).Step 2 — Score based on which scenario applies.If A (not devolved): Score 5. There is no ULG claim to the function, so there is nothing to demarcate against — the parastatal Act's assignment stands on its own.If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assignment).Score 5 if such a distinction is explicit in the Parastatal Act.Score 0 if both Acts assign the same function with no distinction between them.If C (partially devolved): Check whether the aspect assigned to the parastatal is explicit and does not overlap with the aspect assigned to the ULG (e.g. Municipal Act assigns domestic water supply to the ULG; Parastatal Act assigns bulk supply/production to the parastatal — no overlap).Score 5 if the two Acts' assignments are explicit and non-overlapping.Score 0 if the assigned aspects overlap, or if the parastatal's aspect is not clearly specified in its Act.Record the devolution scenario (A/B/C) and the specific provisions relied upon in the evidence column.</v>
      </c>
    </row>
    <row r="10" customFormat="false" ht="191.25" hidden="false" customHeight="true" outlineLevel="0" collapsed="false">
      <c r="A10" s="10" t="s">
        <v>475</v>
      </c>
      <c r="B10" s="4" t="str">
        <f aca="false">VLOOKUP($B$1,'PARASTATAL Questions'!$A:$J,10,0)&amp;""</f>
        <v>Relevant Parastatal Act; State Municipal Act — record the specific provisions establishing devolution status and (where applicable) the functional carve-out.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91.25" hidden="false" customHeight="true" outlineLevel="0" collapsed="false">
      <c r="A13" s="8" t="s">
        <v>19</v>
      </c>
      <c r="B13" s="8" t="s">
        <v>661</v>
      </c>
      <c r="C13" s="8" t="s">
        <v>134</v>
      </c>
      <c r="D13" s="8" t="s">
        <v>740</v>
      </c>
      <c r="E13" s="8" t="s">
        <v>741</v>
      </c>
      <c r="F13" s="8" t="s">
        <v>742</v>
      </c>
      <c r="G13" s="8" t="s">
        <v>743</v>
      </c>
      <c r="H13" s="8" t="s">
        <v>43</v>
      </c>
      <c r="I13" s="15" t="n">
        <v>0</v>
      </c>
      <c r="J13" s="8" t="n">
        <f aca="false">IF(COUNTIFS('Scores (start here)'!$A:$A,$B$1,'Scores (start here)'!$B:$B,$A13,'Scores (start here)'!$F:$F,"&gt;=0")&gt;0,SUMIFS('Scores (start here)'!$F:$F,'Scores (start here)'!$A:$A,$B$1,'Scores (start here)'!$B:$B,$A13),L13)</f>
        <v>0</v>
      </c>
      <c r="K13" s="12" t="s">
        <v>744</v>
      </c>
      <c r="L13" s="8" t="n">
        <f aca="false">IF($B13="NO","NA",IF(I13="","",MIN(I13,$B$6)))</f>
        <v>0</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745</v>
      </c>
      <c r="L14" s="8" t="str">
        <f aca="false">IF($B14="NO","NA",IF(I14="","",MIN(I14,$B$6)))</f>
        <v/>
      </c>
    </row>
    <row r="15" customFormat="false" ht="258.75" hidden="false" customHeight="true" outlineLevel="0" collapsed="false">
      <c r="A15" s="8" t="s">
        <v>34</v>
      </c>
      <c r="B15" s="8" t="s">
        <v>661</v>
      </c>
      <c r="C15" s="8" t="s">
        <v>36</v>
      </c>
      <c r="D15" s="8" t="s">
        <v>746</v>
      </c>
      <c r="E15" s="8" t="s">
        <v>747</v>
      </c>
      <c r="F15" s="8" t="s">
        <v>748</v>
      </c>
      <c r="G15" s="8" t="s">
        <v>749</v>
      </c>
      <c r="H15" s="8" t="s">
        <v>37</v>
      </c>
      <c r="I15" s="15" t="n">
        <v>0</v>
      </c>
      <c r="J15" s="8" t="n">
        <f aca="false">IF(COUNTIFS('Scores (start here)'!$A:$A,$B$1,'Scores (start here)'!$B:$B,$A15,'Scores (start here)'!$F:$F,"&gt;=0")&gt;0,SUMIFS('Scores (start here)'!$F:$F,'Scores (start here)'!$A:$A,$B$1,'Scores (start here)'!$B:$B,$A15),L15)</f>
        <v>0</v>
      </c>
      <c r="K15" s="12" t="s">
        <v>750</v>
      </c>
      <c r="L15" s="8" t="n">
        <f aca="false">IF($B15="NO","NA",IF(I15="","",MIN(I15,$B$6)))</f>
        <v>0</v>
      </c>
    </row>
    <row r="16" customFormat="false" ht="45.75" hidden="false" customHeight="true" outlineLevel="0" collapsed="false">
      <c r="A16" s="8" t="s">
        <v>40</v>
      </c>
      <c r="B16" s="8" t="s">
        <v>661</v>
      </c>
      <c r="C16" s="8" t="s">
        <v>42</v>
      </c>
      <c r="D16" s="8" t="s">
        <v>751</v>
      </c>
      <c r="E16" s="8" t="s">
        <v>752</v>
      </c>
      <c r="F16" s="8" t="s">
        <v>753</v>
      </c>
      <c r="G16" s="8" t="s">
        <v>754</v>
      </c>
      <c r="H16" s="8" t="s">
        <v>43</v>
      </c>
      <c r="I16" s="15" t="n">
        <v>5</v>
      </c>
      <c r="J16" s="8" t="n">
        <f aca="false">IF(COUNTIFS('Scores (start here)'!$A:$A,$B$1,'Scores (start here)'!$B:$B,$A16,'Scores (start here)'!$F:$F,"&gt;=0")&gt;0,SUMIFS('Scores (start here)'!$F:$F,'Scores (start here)'!$A:$A,$B$1,'Scores (start here)'!$B:$B,$A16),L16)</f>
        <v>5</v>
      </c>
      <c r="K16" s="12" t="s">
        <v>755</v>
      </c>
      <c r="L16" s="8" t="n">
        <f aca="false">IF($B16="NO","NA",IF(I16="","",MIN(I16,$B$6)))</f>
        <v>5</v>
      </c>
    </row>
    <row r="17" customFormat="false" ht="45.75" hidden="false" customHeight="true" outlineLevel="0" collapsed="false">
      <c r="A17" s="8" t="s">
        <v>46</v>
      </c>
      <c r="B17" s="8" t="s">
        <v>661</v>
      </c>
      <c r="C17" s="8" t="s">
        <v>48</v>
      </c>
      <c r="D17" s="8" t="s">
        <v>678</v>
      </c>
      <c r="E17" s="8" t="s">
        <v>756</v>
      </c>
      <c r="F17" s="8" t="s">
        <v>757</v>
      </c>
      <c r="G17" s="8" t="s">
        <v>198</v>
      </c>
      <c r="H17" s="8" t="s">
        <v>49</v>
      </c>
      <c r="I17" s="15"/>
      <c r="J17" s="8" t="str">
        <f aca="false">IF(COUNTIFS('Scores (start here)'!$A:$A,$B$1,'Scores (start here)'!$B:$B,$A17,'Scores (start here)'!$F:$F,"&gt;=0")&gt;0,SUMIFS('Scores (start here)'!$F:$F,'Scores (start here)'!$A:$A,$B$1,'Scores (start here)'!$B:$B,$A17),L17)</f>
        <v/>
      </c>
      <c r="K17" s="12" t="s">
        <v>758</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148</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1b</v>
      </c>
    </row>
    <row r="4" customFormat="false" ht="15" hidden="false" customHeight="true" outlineLevel="0" collapsed="false">
      <c r="A4" s="10" t="s">
        <v>438</v>
      </c>
      <c r="B4" s="4" t="str">
        <f aca="false">VLOOKUP($B$1,'PARASTATAL Questions'!$A:$J,4,0)&amp;""</f>
        <v>SQ</v>
      </c>
    </row>
    <row r="5" customFormat="false" ht="157.5" hidden="false" customHeight="true" outlineLevel="0" collapsed="false">
      <c r="A5" s="10" t="s">
        <v>0</v>
      </c>
      <c r="B5" s="4" t="str">
        <f aca="false">VLOOKUP($B$1,'PARASTATAL Questions'!$A:$J,5,0)&amp;""</f>
        <v>Is the parastatal's territorial/geographic jurisdiction clearly and specifically defined in its enabling legal framework?</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Institutional Design</v>
      </c>
    </row>
    <row r="8" customFormat="false" ht="45.75" hidden="false" customHeight="true" outlineLevel="0" collapsed="false">
      <c r="A8" s="10" t="s">
        <v>473</v>
      </c>
      <c r="B8" s="4" t="str">
        <f aca="false">VLOOKUP($B$1,'PARASTATAL Questions'!$A:$J,8,0)&amp;""</f>
        <v>Common — all parastatal types.</v>
      </c>
    </row>
    <row r="9" customFormat="false" ht="863.25" hidden="false" customHeight="true" outlineLevel="0" collapsed="false">
      <c r="A9" s="10" t="s">
        <v>474</v>
      </c>
      <c r="B9" s="4" t="str">
        <f aca="false">VLOOKUP($B$1,'PARASTATAL Questions'!$A:$J,9,0)&amp;""</f>
        <v>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v>
      </c>
    </row>
    <row r="10" customFormat="false" ht="57" hidden="false" customHeight="true" outlineLevel="0" collapsed="false">
      <c r="A10" s="10" t="s">
        <v>475</v>
      </c>
      <c r="B10" s="4" t="str">
        <f aca="false">VLOOKUP($B$1,'PARASTATAL Questions'!$A:$J,10,0)&amp;""</f>
        <v>Enabling Act, 12th Schedule mapping exercise</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91.25" hidden="false" customHeight="true" outlineLevel="0" collapsed="false">
      <c r="A13" s="8" t="s">
        <v>19</v>
      </c>
      <c r="B13" s="8" t="s">
        <v>661</v>
      </c>
      <c r="C13" s="8" t="s">
        <v>25</v>
      </c>
      <c r="D13" s="8" t="s">
        <v>759</v>
      </c>
      <c r="E13" s="8" t="s">
        <v>760</v>
      </c>
      <c r="F13" s="8" t="s">
        <v>761</v>
      </c>
      <c r="G13" s="8" t="s">
        <v>762</v>
      </c>
      <c r="H13" s="8" t="s">
        <v>26</v>
      </c>
      <c r="I13" s="15" t="n">
        <v>2.5</v>
      </c>
      <c r="J13" s="8" t="n">
        <f aca="false">IF(COUNTIFS('Scores (start here)'!$A:$A,$B$1,'Scores (start here)'!$B:$B,$A13,'Scores (start here)'!$F:$F,"&gt;=0")&gt;0,SUMIFS('Scores (start here)'!$F:$F,'Scores (start here)'!$A:$A,$B$1,'Scores (start here)'!$B:$B,$A13),L13)</f>
        <v>2.5</v>
      </c>
      <c r="K13" s="12" t="s">
        <v>763</v>
      </c>
      <c r="L13" s="8" t="n">
        <f aca="false">IF($B13="NO","NA",IF(I13="","",MIN(I13,$B$6)))</f>
        <v>2.5</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764</v>
      </c>
      <c r="L14" s="8" t="str">
        <f aca="false">IF($B14="NO","NA",IF(I14="","",MIN(I14,$B$6)))</f>
        <v/>
      </c>
    </row>
    <row r="15" customFormat="false" ht="213.75" hidden="false" customHeight="true" outlineLevel="0" collapsed="false">
      <c r="A15" s="8" t="s">
        <v>34</v>
      </c>
      <c r="B15" s="8" t="s">
        <v>661</v>
      </c>
      <c r="C15" s="8" t="s">
        <v>36</v>
      </c>
      <c r="D15" s="8" t="s">
        <v>759</v>
      </c>
      <c r="E15" s="8" t="s">
        <v>760</v>
      </c>
      <c r="F15" s="8" t="s">
        <v>765</v>
      </c>
      <c r="G15" s="8" t="s">
        <v>766</v>
      </c>
      <c r="H15" s="8" t="s">
        <v>37</v>
      </c>
      <c r="I15" s="15" t="n">
        <v>2.5</v>
      </c>
      <c r="J15" s="8" t="n">
        <f aca="false">IF(COUNTIFS('Scores (start here)'!$A:$A,$B$1,'Scores (start here)'!$B:$B,$A15,'Scores (start here)'!$F:$F,"&gt;=0")&gt;0,SUMIFS('Scores (start here)'!$F:$F,'Scores (start here)'!$A:$A,$B$1,'Scores (start here)'!$B:$B,$A15),L15)</f>
        <v>2.5</v>
      </c>
      <c r="K15" s="12" t="s">
        <v>767</v>
      </c>
      <c r="L15" s="8" t="n">
        <f aca="false">IF($B15="NO","NA",IF(I15="","",MIN(I15,$B$6)))</f>
        <v>2.5</v>
      </c>
    </row>
    <row r="16" customFormat="false" ht="15" hidden="false" customHeight="true" outlineLevel="0" collapsed="false">
      <c r="A16" s="8" t="s">
        <v>40</v>
      </c>
      <c r="B16" s="8" t="s">
        <v>661</v>
      </c>
      <c r="C16" s="8" t="s">
        <v>158</v>
      </c>
      <c r="D16" s="8" t="s">
        <v>759</v>
      </c>
      <c r="E16" s="8" t="s">
        <v>768</v>
      </c>
      <c r="F16" s="8" t="s">
        <v>769</v>
      </c>
      <c r="G16" s="8" t="s">
        <v>21</v>
      </c>
      <c r="H16" s="8" t="s">
        <v>159</v>
      </c>
      <c r="I16" s="15" t="n">
        <v>2.5</v>
      </c>
      <c r="J16" s="8" t="n">
        <f aca="false">IF(COUNTIFS('Scores (start here)'!$A:$A,$B$1,'Scores (start here)'!$B:$B,$A16,'Scores (start here)'!$F:$F,"&gt;=0")&gt;0,SUMIFS('Scores (start here)'!$F:$F,'Scores (start here)'!$A:$A,$B$1,'Scores (start here)'!$B:$B,$A16),L16)</f>
        <v>2.5</v>
      </c>
      <c r="K16" s="12" t="s">
        <v>770</v>
      </c>
      <c r="L16" s="8" t="n">
        <f aca="false">IF($B16="NO","NA",IF(I16="","",MIN(I16,$B$6)))</f>
        <v>2.5</v>
      </c>
    </row>
    <row r="17" customFormat="false" ht="45.75" hidden="false" customHeight="true" outlineLevel="0" collapsed="false">
      <c r="A17" s="8" t="s">
        <v>46</v>
      </c>
      <c r="B17" s="8" t="s">
        <v>661</v>
      </c>
      <c r="C17" s="8" t="s">
        <v>48</v>
      </c>
      <c r="D17" s="8" t="s">
        <v>759</v>
      </c>
      <c r="E17" s="8" t="s">
        <v>771</v>
      </c>
      <c r="F17" s="8" t="s">
        <v>772</v>
      </c>
      <c r="G17" s="8" t="s">
        <v>21</v>
      </c>
      <c r="H17" s="8" t="s">
        <v>49</v>
      </c>
      <c r="I17" s="15" t="n">
        <v>5</v>
      </c>
      <c r="J17" s="8" t="n">
        <f aca="false">IF(COUNTIFS('Scores (start here)'!$A:$A,$B$1,'Scores (start here)'!$B:$B,$A17,'Scores (start here)'!$F:$F,"&gt;=0")&gt;0,SUMIFS('Scores (start here)'!$F:$F,'Scores (start here)'!$A:$A,$B$1,'Scores (start here)'!$B:$B,$A17),L17)</f>
        <v>5</v>
      </c>
      <c r="K17" s="12" t="s">
        <v>773</v>
      </c>
      <c r="L17" s="8" t="n">
        <f aca="false">IF($B17="NO","NA",IF(I17="","",MIN(I17,$B$6)))</f>
        <v>5</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165</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2a</v>
      </c>
    </row>
    <row r="4" customFormat="false" ht="15" hidden="false" customHeight="true" outlineLevel="0" collapsed="false">
      <c r="A4" s="10" t="s">
        <v>438</v>
      </c>
      <c r="B4" s="4" t="str">
        <f aca="false">VLOOKUP($B$1,'PARASTATAL Questions'!$A:$J,4,0)&amp;""</f>
        <v>SQ</v>
      </c>
    </row>
    <row r="5" customFormat="false" ht="90.75" hidden="false" customHeight="true" outlineLevel="0" collapsed="false">
      <c r="A5" s="10" t="s">
        <v>0</v>
      </c>
      <c r="B5" s="4" t="str">
        <f aca="false">VLOOKUP($B$1,'PARASTATAL Questions'!$A:$J,5,0)&amp;""</f>
        <v>Does the ULG have representation on the parastatal's governing board?</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Institutional Design</v>
      </c>
    </row>
    <row r="8" customFormat="false" ht="45.75" hidden="false" customHeight="true" outlineLevel="0" collapsed="false">
      <c r="A8" s="10" t="s">
        <v>473</v>
      </c>
      <c r="B8" s="4" t="str">
        <f aca="false">VLOOKUP($B$1,'PARASTATAL Questions'!$A:$J,8,0)&amp;""</f>
        <v>Common — all parastatal types.</v>
      </c>
    </row>
    <row r="9" customFormat="false" ht="303" hidden="false" customHeight="true" outlineLevel="0" collapsed="false">
      <c r="A9" s="10" t="s">
        <v>474</v>
      </c>
      <c r="B9" s="4" t="str">
        <f aca="false">VLOOKUP($B$1,'PARASTATAL Questions'!$A:$J,9,0)&amp;""</f>
        <v>Review the relevant Parastatal Act and Municipal Act for composition.Score 5 if ULG-elected representatives sit on the board with voting rights. Score 2.5 if represented without voting rights or only as invitees. Score 0 if no representation.</v>
      </c>
    </row>
    <row r="10" customFormat="false" ht="102" hidden="false" customHeight="true" outlineLevel="0" collapsed="false">
      <c r="A10" s="10" t="s">
        <v>475</v>
      </c>
      <c r="B10" s="4" t="str">
        <f aca="false">VLOOKUP($B$1,'PARASTATAL Questions'!$A:$J,10,0)&amp;""</f>
        <v>Composition clause of enabling Act; current board member list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236.25" hidden="false" customHeight="true" outlineLevel="0" collapsed="false">
      <c r="A13" s="8" t="s">
        <v>19</v>
      </c>
      <c r="B13" s="8" t="s">
        <v>661</v>
      </c>
      <c r="C13" s="8" t="s">
        <v>25</v>
      </c>
      <c r="D13" s="8" t="s">
        <v>774</v>
      </c>
      <c r="E13" s="8" t="s">
        <v>775</v>
      </c>
      <c r="F13" s="8" t="s">
        <v>776</v>
      </c>
      <c r="G13" s="8" t="s">
        <v>198</v>
      </c>
      <c r="H13" s="8" t="s">
        <v>26</v>
      </c>
      <c r="I13" s="15" t="n">
        <v>0</v>
      </c>
      <c r="J13" s="8" t="n">
        <f aca="false">IF(COUNTIFS('Scores (start here)'!$A:$A,$B$1,'Scores (start here)'!$B:$B,$A13,'Scores (start here)'!$F:$F,"&gt;=0")&gt;0,SUMIFS('Scores (start here)'!$F:$F,'Scores (start here)'!$A:$A,$B$1,'Scores (start here)'!$B:$B,$A13),L13)</f>
        <v>0</v>
      </c>
      <c r="K13" s="12" t="s">
        <v>777</v>
      </c>
      <c r="L13" s="8" t="n">
        <f aca="false">IF($B13="NO","NA",IF(I13="","",MIN(I13,$B$6)))</f>
        <v>0</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778</v>
      </c>
      <c r="L14" s="8" t="str">
        <f aca="false">IF($B14="NO","NA",IF(I14="","",MIN(I14,$B$6)))</f>
        <v/>
      </c>
    </row>
    <row r="15" customFormat="false" ht="202.5" hidden="false" customHeight="true" outlineLevel="0" collapsed="false">
      <c r="A15" s="8" t="s">
        <v>34</v>
      </c>
      <c r="B15" s="8" t="s">
        <v>661</v>
      </c>
      <c r="C15" s="8" t="s">
        <v>36</v>
      </c>
      <c r="D15" s="8" t="s">
        <v>779</v>
      </c>
      <c r="E15" s="8" t="s">
        <v>780</v>
      </c>
      <c r="F15" s="8" t="s">
        <v>781</v>
      </c>
      <c r="G15" s="8" t="s">
        <v>702</v>
      </c>
      <c r="H15" s="8" t="s">
        <v>37</v>
      </c>
      <c r="I15" s="15" t="n">
        <v>5</v>
      </c>
      <c r="J15" s="8" t="n">
        <f aca="false">IF(COUNTIFS('Scores (start here)'!$A:$A,$B$1,'Scores (start here)'!$B:$B,$A15,'Scores (start here)'!$F:$F,"&gt;=0")&gt;0,SUMIFS('Scores (start here)'!$F:$F,'Scores (start here)'!$A:$A,$B$1,'Scores (start here)'!$B:$B,$A15),L15)</f>
        <v>5</v>
      </c>
      <c r="K15" s="12" t="s">
        <v>782</v>
      </c>
      <c r="L15" s="8" t="n">
        <f aca="false">IF($B15="NO","NA",IF(I15="","",MIN(I15,$B$6)))</f>
        <v>5</v>
      </c>
    </row>
    <row r="16" customFormat="false" ht="57" hidden="false" customHeight="true" outlineLevel="0" collapsed="false">
      <c r="A16" s="8" t="s">
        <v>40</v>
      </c>
      <c r="B16" s="8" t="s">
        <v>661</v>
      </c>
      <c r="C16" s="8" t="s">
        <v>174</v>
      </c>
      <c r="D16" s="8" t="s">
        <v>783</v>
      </c>
      <c r="E16" s="8" t="s">
        <v>784</v>
      </c>
      <c r="F16" s="8" t="s">
        <v>785</v>
      </c>
      <c r="G16" s="8" t="s">
        <v>786</v>
      </c>
      <c r="H16" s="8" t="s">
        <v>175</v>
      </c>
      <c r="I16" s="15" t="n">
        <v>0</v>
      </c>
      <c r="J16" s="8" t="n">
        <f aca="false">IF(COUNTIFS('Scores (start here)'!$A:$A,$B$1,'Scores (start here)'!$B:$B,$A16,'Scores (start here)'!$F:$F,"&gt;=0")&gt;0,SUMIFS('Scores (start here)'!$F:$F,'Scores (start here)'!$A:$A,$B$1,'Scores (start here)'!$B:$B,$A16),L16)</f>
        <v>0</v>
      </c>
      <c r="K16" s="12" t="s">
        <v>787</v>
      </c>
      <c r="L16" s="8" t="n">
        <f aca="false">IF($B16="NO","NA",IF(I16="","",MIN(I16,$B$6)))</f>
        <v>0</v>
      </c>
    </row>
    <row r="17" customFormat="false" ht="45.75" hidden="false" customHeight="true" outlineLevel="0" collapsed="false">
      <c r="A17" s="8" t="s">
        <v>46</v>
      </c>
      <c r="B17" s="8" t="s">
        <v>661</v>
      </c>
      <c r="C17" s="8" t="s">
        <v>48</v>
      </c>
      <c r="D17" s="8" t="s">
        <v>788</v>
      </c>
      <c r="E17" s="8" t="s">
        <v>789</v>
      </c>
      <c r="F17" s="8" t="s">
        <v>790</v>
      </c>
      <c r="G17" s="8" t="s">
        <v>791</v>
      </c>
      <c r="H17" s="8" t="s">
        <v>49</v>
      </c>
      <c r="I17" s="15" t="n">
        <v>5</v>
      </c>
      <c r="J17" s="8" t="n">
        <f aca="false">IF(COUNTIFS('Scores (start here)'!$A:$A,$B$1,'Scores (start here)'!$B:$B,$A17,'Scores (start here)'!$F:$F,"&gt;=0")&gt;0,SUMIFS('Scores (start here)'!$F:$F,'Scores (start here)'!$A:$A,$B$1,'Scores (start here)'!$B:$B,$A17),L17)</f>
        <v>5</v>
      </c>
      <c r="K17" s="12" t="s">
        <v>792</v>
      </c>
      <c r="L17" s="8" t="n">
        <f aca="false">IF($B17="NO","NA",IF(I17="","",MIN(I17,$B$6)))</f>
        <v>5</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181</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DPG-2b</v>
      </c>
    </row>
    <row r="4" customFormat="false" ht="15" hidden="false" customHeight="true" outlineLevel="0" collapsed="false">
      <c r="A4" s="10" t="s">
        <v>438</v>
      </c>
      <c r="B4" s="4" t="str">
        <f aca="false">VLOOKUP($B$1,'PARASTATAL Questions'!$A:$J,4,0)&amp;""</f>
        <v>SQ</v>
      </c>
    </row>
    <row r="5" customFormat="false" ht="113.25" hidden="false" customHeight="true" outlineLevel="0" collapsed="false">
      <c r="A5" s="10" t="s">
        <v>0</v>
      </c>
      <c r="B5" s="4" t="str">
        <f aca="false">VLOOKUP($B$1,'PARASTATAL Questions'!$A:$J,5,0)&amp;""</f>
        <v>Is the parastatal mandated to submit its plans, budgets or reports to the ULG/council?</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45.75" hidden="false" customHeight="true" outlineLevel="0" collapsed="false">
      <c r="A8" s="10" t="s">
        <v>473</v>
      </c>
      <c r="B8" s="4" t="str">
        <f aca="false">VLOOKUP($B$1,'PARASTATAL Questions'!$A:$J,8,0)&amp;""</f>
        <v>Common — all parastatal types.</v>
      </c>
    </row>
    <row r="9" customFormat="false" ht="1053" hidden="false" customHeight="true" outlineLevel="0" collapsed="false">
      <c r="A9" s="10" t="s">
        <v>474</v>
      </c>
      <c r="B9" s="4" t="str">
        <f aca="false">VLOOKUP($B$1,'PARASTATAL Questions'!$A:$J,9,0)&amp;""</f>
        <v>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each.Award 1.67 points each where:1. plans are required to be submitted/tabled;2. budgets are required to be submitted/tabled; and3. annual/performance reports are required to be submitted/tabled.Score 0 for each component where no such requirement exists. Where all three are provided for, award the full score of 5.Record the relevant provision and the documents covered in the evidence column. Submission only to the State Government or another authority should not be counted as submission to the ULG/council.</v>
      </c>
    </row>
    <row r="10" customFormat="false" ht="135.75" hidden="false" customHeight="true" outlineLevel="0" collapsed="false">
      <c r="A10" s="10" t="s">
        <v>475</v>
      </c>
      <c r="B10" s="4" t="str">
        <f aca="false">VLOOKUP($B$1,'PARASTATAL Questions'!$A:$J,10,0)&amp;""</f>
        <v>Plan/Budget preparation/Annual report preparation clause of the enabling Act of the relevant parastatal</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68.75" hidden="false" customHeight="true" outlineLevel="0" collapsed="false">
      <c r="A13" s="8" t="s">
        <v>19</v>
      </c>
      <c r="B13" s="8" t="s">
        <v>661</v>
      </c>
      <c r="C13" s="8" t="s">
        <v>25</v>
      </c>
      <c r="D13" s="8" t="s">
        <v>793</v>
      </c>
      <c r="E13" s="8" t="s">
        <v>794</v>
      </c>
      <c r="F13" s="8" t="s">
        <v>795</v>
      </c>
      <c r="G13" s="8" t="s">
        <v>796</v>
      </c>
      <c r="H13" s="8" t="s">
        <v>26</v>
      </c>
      <c r="I13" s="15" t="n">
        <v>0</v>
      </c>
      <c r="J13" s="8" t="n">
        <f aca="false">IF(COUNTIFS('Scores (start here)'!$A:$A,$B$1,'Scores (start here)'!$B:$B,$A13,'Scores (start here)'!$F:$F,"&gt;=0")&gt;0,SUMIFS('Scores (start here)'!$F:$F,'Scores (start here)'!$A:$A,$B$1,'Scores (start here)'!$B:$B,$A13),L13)</f>
        <v>0</v>
      </c>
      <c r="K13" s="12" t="s">
        <v>797</v>
      </c>
      <c r="L13" s="8" t="n">
        <f aca="false">IF($B13="NO","NA",IF(I13="","",MIN(I13,$B$6)))</f>
        <v>0</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798</v>
      </c>
      <c r="L14" s="8" t="str">
        <f aca="false">IF($B14="NO","NA",IF(I14="","",MIN(I14,$B$6)))</f>
        <v/>
      </c>
    </row>
    <row r="15" customFormat="false" ht="15" hidden="false" customHeight="true" outlineLevel="0" collapsed="false">
      <c r="A15" s="8" t="s">
        <v>34</v>
      </c>
      <c r="B15" s="8" t="s">
        <v>661</v>
      </c>
      <c r="C15" s="8" t="s">
        <v>36</v>
      </c>
      <c r="D15" s="8" t="s">
        <v>799</v>
      </c>
      <c r="E15" s="8" t="s">
        <v>800</v>
      </c>
      <c r="F15" s="8" t="s">
        <v>801</v>
      </c>
      <c r="G15" s="8" t="s">
        <v>802</v>
      </c>
      <c r="H15" s="8" t="s">
        <v>37</v>
      </c>
      <c r="I15" s="15" t="n">
        <v>0</v>
      </c>
      <c r="J15" s="8" t="n">
        <f aca="false">IF(COUNTIFS('Scores (start here)'!$A:$A,$B$1,'Scores (start here)'!$B:$B,$A15,'Scores (start here)'!$F:$F,"&gt;=0")&gt;0,SUMIFS('Scores (start here)'!$F:$F,'Scores (start here)'!$A:$A,$B$1,'Scores (start here)'!$B:$B,$A15),L15)</f>
        <v>0</v>
      </c>
      <c r="K15" s="12" t="s">
        <v>803</v>
      </c>
      <c r="L15" s="8" t="n">
        <f aca="false">IF($B15="NO","NA",IF(I15="","",MIN(I15,$B$6)))</f>
        <v>0</v>
      </c>
    </row>
    <row r="16" customFormat="false" ht="157.5" hidden="false" customHeight="true" outlineLevel="0" collapsed="false">
      <c r="A16" s="8" t="s">
        <v>40</v>
      </c>
      <c r="B16" s="8" t="s">
        <v>661</v>
      </c>
      <c r="C16" s="8" t="s">
        <v>42</v>
      </c>
      <c r="D16" s="8" t="s">
        <v>673</v>
      </c>
      <c r="E16" s="8" t="s">
        <v>804</v>
      </c>
      <c r="F16" s="8" t="s">
        <v>805</v>
      </c>
      <c r="G16" s="8" t="s">
        <v>806</v>
      </c>
      <c r="H16" s="8" t="s">
        <v>43</v>
      </c>
      <c r="I16" s="15" t="n">
        <v>0</v>
      </c>
      <c r="J16" s="8" t="n">
        <f aca="false">IF(COUNTIFS('Scores (start here)'!$A:$A,$B$1,'Scores (start here)'!$B:$B,$A16,'Scores (start here)'!$F:$F,"&gt;=0")&gt;0,SUMIFS('Scores (start here)'!$F:$F,'Scores (start here)'!$A:$A,$B$1,'Scores (start here)'!$B:$B,$A16),L16)</f>
        <v>0</v>
      </c>
      <c r="K16" s="12" t="s">
        <v>807</v>
      </c>
      <c r="L16" s="8" t="n">
        <f aca="false">IF($B16="NO","NA",IF(I16="","",MIN(I16,$B$6)))</f>
        <v>0</v>
      </c>
    </row>
    <row r="17" customFormat="false" ht="15" hidden="false" customHeight="true" outlineLevel="0" collapsed="false">
      <c r="A17" s="8" t="s">
        <v>46</v>
      </c>
      <c r="B17" s="8" t="s">
        <v>661</v>
      </c>
      <c r="C17" s="8" t="s">
        <v>48</v>
      </c>
      <c r="D17" s="8" t="s">
        <v>808</v>
      </c>
      <c r="E17" s="8" t="s">
        <v>809</v>
      </c>
      <c r="F17" s="8" t="s">
        <v>810</v>
      </c>
      <c r="G17" s="8" t="s">
        <v>665</v>
      </c>
      <c r="H17" s="8" t="s">
        <v>49</v>
      </c>
      <c r="I17" s="15" t="n">
        <v>0</v>
      </c>
      <c r="J17" s="8" t="n">
        <f aca="false">IF(COUNTIFS('Scores (start here)'!$A:$A,$B$1,'Scores (start here)'!$B:$B,$A17,'Scores (start here)'!$F:$F,"&gt;=0")&gt;0,SUMIFS('Scores (start here)'!$F:$F,'Scores (start here)'!$A:$A,$B$1,'Scores (start here)'!$B:$B,$A17),L17)</f>
        <v>0</v>
      </c>
      <c r="K17" s="12" t="s">
        <v>811</v>
      </c>
      <c r="L17" s="8" t="n">
        <f aca="false">IF($B17="NO","NA",IF(I17="","",MIN(I17,$B$6)))</f>
        <v>0</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196</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4</v>
      </c>
    </row>
    <row r="4" customFormat="false" ht="15" hidden="false" customHeight="true" outlineLevel="0" collapsed="false">
      <c r="A4" s="10" t="s">
        <v>438</v>
      </c>
      <c r="B4" s="4" t="str">
        <f aca="false">VLOOKUP($B$1,'PARASTATAL Questions'!$A:$J,4,0)&amp;""</f>
        <v>MQ</v>
      </c>
    </row>
    <row r="5" customFormat="false" ht="79.5" hidden="false" customHeight="true" outlineLevel="0" collapsed="false">
      <c r="A5" s="10" t="s">
        <v>0</v>
      </c>
      <c r="B5" s="4" t="str">
        <f aca="false">VLOOKUP($B$1,'PARASTATAL Questions'!$A:$J,5,0)&amp;""</f>
        <v>Does the parastatal maintain an active and functional website?</v>
      </c>
    </row>
    <row r="6" customFormat="false" ht="15" hidden="false" customHeight="true" outlineLevel="0" collapsed="false">
      <c r="A6" s="10" t="s">
        <v>440</v>
      </c>
      <c r="B6" s="4" t="n">
        <f aca="false">VLOOKUP($B$1,'PARASTATAL Questions'!$A:$J,6,0)</f>
        <v>10</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572.25" hidden="false" customHeight="true" outlineLevel="0" collapsed="false">
      <c r="A9" s="10" t="s">
        <v>474</v>
      </c>
      <c r="B9" s="4" t="str">
        <f aca="false">VLOOKUP($B$1,'PARASTATAL Questions'!$A:$J,9,0)&amp;""</f>
        <v>Check the official website of the relevant parastatal.Score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v>
      </c>
    </row>
    <row r="10" customFormat="false" ht="135.75" hidden="false" customHeight="true" outlineLevel="0" collapsed="false">
      <c r="A10" s="10" t="s">
        <v>475</v>
      </c>
      <c r="B10" s="4" t="str">
        <f aca="false">VLOOKUP($B$1,'PARASTATAL Questions'!$A:$J,10,0)&amp;""</f>
        <v>Live URL, screenshot/web-archive capture, date of check of the website of the relevant parastatal</v>
      </c>
    </row>
    <row r="11" customFormat="false" ht="15" hidden="false" customHeight="true" outlineLevel="0" collapsed="false">
      <c r="B11" s="14" t="s">
        <v>647</v>
      </c>
      <c r="I11" s="14" t="s">
        <v>812</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813</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814</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815</v>
      </c>
      <c r="L15" s="8" t="str">
        <f aca="false">IF($B15="NO","NA",IF(I15="","",MIN(I15,$B$6)))</f>
        <v/>
      </c>
    </row>
    <row r="16" customFormat="false" ht="15" hidden="false" customHeight="true" outlineLevel="0" collapsed="false">
      <c r="A16" s="8" t="s">
        <v>40</v>
      </c>
      <c r="B16" s="8" t="s">
        <v>661</v>
      </c>
      <c r="C16" s="8" t="s">
        <v>174</v>
      </c>
      <c r="D16" s="8" t="s">
        <v>816</v>
      </c>
      <c r="E16" s="8" t="s">
        <v>817</v>
      </c>
      <c r="F16" s="8" t="s">
        <v>818</v>
      </c>
      <c r="G16" s="8" t="s">
        <v>819</v>
      </c>
      <c r="H16" s="8" t="s">
        <v>175</v>
      </c>
      <c r="I16" s="15"/>
      <c r="J16" s="8" t="str">
        <f aca="false">IF(COUNTIFS('Scores (start here)'!$A:$A,$B$1,'Scores (start here)'!$B:$B,$A16,'Scores (start here)'!$F:$F,"&gt;=0")&gt;0,SUMIFS('Scores (start here)'!$F:$F,'Scores (start here)'!$A:$A,$B$1,'Scores (start here)'!$B:$B,$A16),L16)</f>
        <v/>
      </c>
      <c r="K16" s="12" t="s">
        <v>820</v>
      </c>
      <c r="L16" s="8" t="str">
        <f aca="false">IF($B16="NO","NA",IF(I16="","",MIN(I16,$B$6)))</f>
        <v/>
      </c>
    </row>
    <row r="17" customFormat="false" ht="232.5" hidden="false" customHeight="true" outlineLevel="0" collapsed="false">
      <c r="A17" s="8" t="s">
        <v>46</v>
      </c>
      <c r="B17" s="8" t="s">
        <v>661</v>
      </c>
      <c r="C17" s="18" t="s">
        <v>206</v>
      </c>
      <c r="D17" s="8" t="s">
        <v>821</v>
      </c>
      <c r="E17" s="8" t="s">
        <v>822</v>
      </c>
      <c r="H17" s="8" t="s">
        <v>207</v>
      </c>
      <c r="I17" s="15" t="n">
        <v>10</v>
      </c>
      <c r="J17" s="8" t="n">
        <f aca="false">IF(COUNTIFS('Scores (start here)'!$A:$A,$B$1,'Scores (start here)'!$B:$B,$A17,'Scores (start here)'!$F:$F,"&gt;=0")&gt;0,SUMIFS('Scores (start here)'!$F:$F,'Scores (start here)'!$A:$A,$B$1,'Scores (start here)'!$B:$B,$A17),L17)</f>
        <v>10</v>
      </c>
      <c r="K17" s="12" t="s">
        <v>823</v>
      </c>
      <c r="L17" s="8" t="n">
        <f aca="false">IF($B17="NO","NA",IF(I17="","",MIN(I17,$B$6)))</f>
        <v>10</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210</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DPG5a</v>
      </c>
    </row>
    <row r="4" customFormat="false" ht="15" hidden="false" customHeight="true" outlineLevel="0" collapsed="false">
      <c r="A4" s="10" t="s">
        <v>438</v>
      </c>
      <c r="B4" s="4" t="str">
        <f aca="false">VLOOKUP($B$1,'PARASTATAL Questions'!$A:$J,4,0)&amp;""</f>
        <v>SQ</v>
      </c>
    </row>
    <row r="5" customFormat="false" ht="23.25" hidden="false" customHeight="true" outlineLevel="0" collapsed="false">
      <c r="A5" s="10" t="s">
        <v>0</v>
      </c>
      <c r="B5" s="4" t="str">
        <f aca="false">VLOOKUP($B$1,'PARASTATAL Questions'!$A:$J,5,0)&amp;""</f>
        <v>Annual budget</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829.5" hidden="false" customHeight="true" outlineLevel="0" collapsed="false">
      <c r="A9" s="10" t="s">
        <v>474</v>
      </c>
      <c r="B9" s="4" t="str">
        <f aca="false">VLOOKUP($B$1,'PARASTATAL Questions'!$A:$J,9,0)&amp;""</f>
        <v>Availability and currency — 0.50.5: Budget for the current FY or immediately preceding FY is publicly available online0: Budget cannot be found/accessed online or is older than the permitted period.Record the FY/year/date of the latest information found in a separate evidence field even where the score is 0. Minimum format/accessibility — 0.50.5: Budget data available in a structured, machine-readable/reusable format (XLS/XLSX, CSV, ODS, structured HTML table, downloadable structured dataset)0: Budget data is available but does not meet that standard (Scanned PDF/image; PDF containing only tables that cannot be readily extracted/reused)</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825</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826</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827</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828</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829</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218</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5b</v>
      </c>
    </row>
    <row r="4" customFormat="false" ht="15" hidden="false" customHeight="true" outlineLevel="0" collapsed="false">
      <c r="A4" s="10" t="s">
        <v>438</v>
      </c>
      <c r="B4" s="4" t="str">
        <f aca="false">VLOOKUP($B$1,'PARASTATAL Questions'!$A:$J,4,0)&amp;""</f>
        <v>SQ</v>
      </c>
    </row>
    <row r="5" customFormat="false" ht="34.5" hidden="false" customHeight="true" outlineLevel="0" collapsed="false">
      <c r="A5" s="10" t="s">
        <v>0</v>
      </c>
      <c r="B5" s="4" t="str">
        <f aca="false">VLOOKUP($B$1,'PARASTATAL Questions'!$A:$J,5,0)&amp;""</f>
        <v>Audited annual accounts</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1086.75" hidden="false" customHeight="true" outlineLevel="0" collapsed="false">
      <c r="A9" s="10" t="s">
        <v>474</v>
      </c>
      <c r="B9" s="4" t="str">
        <f aca="false">VLOOKUP($B$1,'PARASTATAL Questions'!$A:$J,9,0)&amp;""</f>
        <v>Availability and currency — 0.5Score 0.5: Audited accounts for the immediately preceding FY, or the latest FY for which audited accounts are due, are publicly available online. Allow a one-FY lag where audit timelines make preceding-year accounts not yet due.Score 0: Audited accounts cannot be found/accessed online or is older than the permitted period.Record the FY/year/date of the latest information found in a separate evidence field even where the score is 0. Minimum format/accessibility — 0.5Score 0.5: Financial statements available in a structured, machine-readable/reusable format (XLS/XLSX, CSV, ODS, structured HTML table, downloadable structured dataset)Score 0: Financial statements is available but does not meet that standard (Scanned PDF/image; PDF containing only tables that cannot be readily extracted/reused)</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830</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831</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832</v>
      </c>
      <c r="L15" s="8" t="str">
        <f aca="false">IF($B15="NO","NA",IF(I15="","",MIN(I15,$B$6)))</f>
        <v/>
      </c>
    </row>
    <row r="16" customFormat="false" ht="15" hidden="false" customHeight="true" outlineLevel="0" collapsed="false">
      <c r="A16" s="8" t="s">
        <v>40</v>
      </c>
      <c r="B16" s="8" t="s">
        <v>661</v>
      </c>
      <c r="C16" s="8" t="s">
        <v>174</v>
      </c>
      <c r="D16" s="8" t="s">
        <v>833</v>
      </c>
      <c r="E16" s="8" t="s">
        <v>834</v>
      </c>
      <c r="G16" s="8" t="s">
        <v>791</v>
      </c>
      <c r="H16" s="8" t="s">
        <v>175</v>
      </c>
      <c r="I16" s="15" t="n">
        <v>0</v>
      </c>
      <c r="J16" s="8" t="n">
        <f aca="false">IF(COUNTIFS('Scores (start here)'!$A:$A,$B$1,'Scores (start here)'!$B:$B,$A16,'Scores (start here)'!$F:$F,"&gt;=0")&gt;0,SUMIFS('Scores (start here)'!$F:$F,'Scores (start here)'!$A:$A,$B$1,'Scores (start here)'!$B:$B,$A16),L16)</f>
        <v>0</v>
      </c>
      <c r="K16" s="12" t="s">
        <v>835</v>
      </c>
      <c r="L16" s="8" t="n">
        <f aca="false">IF($B16="NO","NA",IF(I16="","",MIN(I16,$B$6)))</f>
        <v>0</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836</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227</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5c</v>
      </c>
    </row>
    <row r="4" customFormat="false" ht="15" hidden="false" customHeight="true" outlineLevel="0" collapsed="false">
      <c r="A4" s="10" t="s">
        <v>438</v>
      </c>
      <c r="B4" s="4" t="str">
        <f aca="false">VLOOKUP($B$1,'PARASTATAL Questions'!$A:$J,4,0)&amp;""</f>
        <v>SQ</v>
      </c>
    </row>
    <row r="5" customFormat="false" ht="23.25" hidden="false" customHeight="true" outlineLevel="0" collapsed="false">
      <c r="A5" s="10" t="s">
        <v>0</v>
      </c>
      <c r="B5" s="4" t="str">
        <f aca="false">VLOOKUP($B$1,'PARASTATAL Questions'!$A:$J,5,0)&amp;""</f>
        <v>Annual report</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907.5" hidden="false" customHeight="true" outlineLevel="0" collapsed="false">
      <c r="A9" s="10" t="s">
        <v>474</v>
      </c>
      <c r="B9" s="4" t="str">
        <f aca="false">VLOOKUP($B$1,'PARASTATAL Questions'!$A:$J,9,0)&amp;""</f>
        <v>Availability and currency — 0.5Score 0.5: Annual report for the immediately preceding FY, or latest report due, is publicly available online.Score 0: Annual report cannot be found/accessed online or is older than the permitted period.Record the FY/year/date of the latest information found in a separate evidence field even where the score is 0. Minimum format/accessibility — 0.5Score 0.5: Annual report available in a searchable/text-readable and downloadable document (Searchable PDF/PDF-A, HTML, DOC/DOCX, accessible e-publication)Score 0: Annual report is available but does not meet that standard (Scanned/image-only PDF; images of report pages)</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45.7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12" t="s">
        <v>837</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838</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839</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840</v>
      </c>
      <c r="L16" s="8" t="str">
        <f aca="false">IF($B16="NO","NA",IF(I16="","",MIN(I16,$B$6)))</f>
        <v/>
      </c>
    </row>
    <row r="17" customFormat="false" ht="34.5" hidden="false" customHeight="true" outlineLevel="0" collapsed="false">
      <c r="A17" s="8" t="s">
        <v>46</v>
      </c>
      <c r="B17" s="8" t="s">
        <v>661</v>
      </c>
      <c r="C17" s="8" t="s">
        <v>206</v>
      </c>
      <c r="D17" s="8" t="s">
        <v>841</v>
      </c>
      <c r="E17" s="8" t="s">
        <v>842</v>
      </c>
      <c r="F17" s="8" t="s">
        <v>843</v>
      </c>
      <c r="H17" s="8" t="s">
        <v>207</v>
      </c>
      <c r="I17" s="15"/>
      <c r="J17" s="8" t="str">
        <f aca="false">IF(COUNTIFS('Scores (start here)'!$A:$A,$B$1,'Scores (start here)'!$B:$B,$A17,'Scores (start here)'!$F:$F,"&gt;=0")&gt;0,SUMIFS('Scores (start here)'!$F:$F,'Scores (start here)'!$A:$A,$B$1,'Scores (start here)'!$B:$B,$A17),L17)</f>
        <v/>
      </c>
      <c r="K17" s="12" t="s">
        <v>844</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237</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d</v>
      </c>
    </row>
    <row r="4" customFormat="false" ht="15" hidden="false" customHeight="true" outlineLevel="0" collapsed="false">
      <c r="A4" s="10" t="s">
        <v>438</v>
      </c>
      <c r="B4" s="4" t="str">
        <f aca="false">VLOOKUP($B$1,'PARASTATAL Questions'!$A:$J,4,0)&amp;""</f>
        <v>SQ</v>
      </c>
    </row>
    <row r="5" customFormat="false" ht="45.75" hidden="false" customHeight="true" outlineLevel="0" collapsed="false">
      <c r="A5" s="10" t="s">
        <v>0</v>
      </c>
      <c r="B5" s="4" t="str">
        <f aca="false">VLOOKUP($B$1,'PARASTATAL Questions'!$A:$J,5,0)&amp;""</f>
        <v>Meeting minutes of governing board</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840.75" hidden="false" customHeight="true" outlineLevel="0" collapsed="false">
      <c r="A9" s="10" t="s">
        <v>474</v>
      </c>
      <c r="B9" s="4" t="str">
        <f aca="false">VLOOKUP($B$1,'PARASTATAL Questions'!$A:$J,9,0)&amp;""</f>
        <v>Availability and currency — 0.5Score 0.5: At least one set of minutes from the current FY or immediately preceding FY is publicly available onlineScore 0: Meeting Minutes cannot be found/accessed online or is older than the permitted period.Record the FY/year/date of the latest information found in a separate evidence field even where the score is 0. Minimum format/accessibility — 0.5Score 0.5: Meeting Minutes available in a searchable/text-readable and downloadable document (Searchable PDF, HTML, DOC/DOCX)Score 0: Meeting Minutes is available but does not meet that standard (Scanned/image-only minutes; image gallery)</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845</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846</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847</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848</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849</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244</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f</v>
      </c>
    </row>
    <row r="4" customFormat="false" ht="15" hidden="false" customHeight="true" outlineLevel="0" collapsed="false">
      <c r="A4" s="10" t="s">
        <v>438</v>
      </c>
      <c r="B4" s="4" t="str">
        <f aca="false">VLOOKUP($B$1,'PARASTATAL Questions'!$A:$J,4,0)&amp;""</f>
        <v>SQ</v>
      </c>
    </row>
    <row r="5" customFormat="false" ht="57" hidden="false" customHeight="true" outlineLevel="0" collapsed="false">
      <c r="A5" s="10" t="s">
        <v>0</v>
      </c>
      <c r="B5" s="4" t="str">
        <f aca="false">VLOOKUP($B$1,'PARASTATAL Questions'!$A:$J,5,0)&amp;""</f>
        <v>Organisation and staffing information</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1098" hidden="false" customHeight="true" outlineLevel="0" collapsed="false">
      <c r="A9" s="10" t="s">
        <v>474</v>
      </c>
      <c r="B9" s="4" t="str">
        <f aca="false">VLOOKUP($B$1,'PARASTATAL Questions'!$A:$J,9,0)&amp;""</f>
        <v>Availability and currency — 0.5Score 0.5: Information reflects the current organisational structure, or has evidence of being updated in the current or immediately preceding FYScore 0: Current organisational structure cannot be found/accessed online or is older than the permitted period.Record the FY/year/date of the latest information found in a separate evidence field even where the score is 0. Minimum format/accessibility — 0.5Score 0.5: Current organisational structure available in as searchable webpage or searchable/downloadable document with identifiable posts/officials/structure (HTML organisation/staff directory; searchable PDF organisation chart; XLS/CSV staff-position information)Score 0: Current organisational structure is available but does not meet that standard (Image-only organisation chart; scanned list)</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850</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851</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852</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853</v>
      </c>
      <c r="L16" s="8" t="str">
        <f aca="false">IF($B16="NO","NA",IF(I16="","",MIN(I16,$B$6)))</f>
        <v/>
      </c>
    </row>
    <row r="17" customFormat="false" ht="191.25" hidden="false" customHeight="true" outlineLevel="0" collapsed="false">
      <c r="A17" s="8" t="s">
        <v>46</v>
      </c>
      <c r="B17" s="8" t="s">
        <v>661</v>
      </c>
      <c r="C17" s="8" t="s">
        <v>251</v>
      </c>
      <c r="D17" s="8" t="s">
        <v>854</v>
      </c>
      <c r="E17" s="8" t="s">
        <v>855</v>
      </c>
      <c r="H17" s="8" t="s">
        <v>252</v>
      </c>
      <c r="I17" s="15" t="n">
        <v>1</v>
      </c>
      <c r="J17" s="8" t="n">
        <f aca="false">IF(COUNTIFS('Scores (start here)'!$A:$A,$B$1,'Scores (start here)'!$B:$B,$A17,'Scores (start here)'!$F:$F,"&gt;=0")&gt;0,SUMIFS('Scores (start here)'!$F:$F,'Scores (start here)'!$A:$A,$B$1,'Scores (start here)'!$B:$B,$A17),L17)</f>
        <v>1</v>
      </c>
      <c r="K17" s="12" t="s">
        <v>856</v>
      </c>
      <c r="L17" s="8" t="n">
        <f aca="false">IF($B17="NO","NA",IF(I17="","",MIN(I17,$B$6)))</f>
        <v>1</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255</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DPG5g</v>
      </c>
    </row>
    <row r="4" customFormat="false" ht="15" hidden="false" customHeight="true" outlineLevel="0" collapsed="false">
      <c r="A4" s="10" t="s">
        <v>438</v>
      </c>
      <c r="B4" s="4" t="str">
        <f aca="false">VLOOKUP($B$1,'PARASTATAL Questions'!$A:$J,4,0)&amp;""</f>
        <v>SQ</v>
      </c>
    </row>
    <row r="5" customFormat="false" ht="34.5" hidden="false" customHeight="true" outlineLevel="0" collapsed="false">
      <c r="A5" s="10" t="s">
        <v>0</v>
      </c>
      <c r="B5" s="4" t="str">
        <f aca="false">VLOOKUP($B$1,'PARASTATAL Questions'!$A:$J,5,0)&amp;""</f>
        <v>Major plans / projects</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1233" hidden="false" customHeight="true" outlineLevel="0" collapsed="false">
      <c r="A9" s="10" t="s">
        <v>474</v>
      </c>
      <c r="B9" s="4" t="str">
        <f aca="false">VLOOKUP($B$1,'PARASTATAL Questions'!$A:$J,9,0)&amp;""</f>
        <v>Availability and currency — 0.5Score 0.5: Major plans and/or information on ongoing projects is available and relates to the current FY or immediately preceding FY, as applicableScore 0: Major plans and/or information on ongoing projects cannot be found/accessed online or is older than the permitted period.Record the FY/year/date of the latest information found in a separate evidence field even where the score is 0. Minimum format/accessibility — 0.5Score 0.5: Major plans and/or information on ongoing projects available in the following manner- Plans: searchable/text-readable downloadable document. - Project information: searchable webpage/table or structured downloadable data (Searchable plan PDF; HTML project dashboard; XLS/CSV project list)Score 0: Major plans and/or information on ongoing projects is available but does not meet that standard (Scanned plan only; project information presented only as images)</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45.7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12" t="s">
        <v>857</v>
      </c>
      <c r="L13" s="8" t="str">
        <f aca="false">IF($B13="NO","NA",IF(I13="","",MIN(I13,$B$6)))</f>
        <v/>
      </c>
    </row>
    <row r="14" customFormat="false" ht="45.7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858</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859</v>
      </c>
      <c r="L15" s="8" t="str">
        <f aca="false">IF($B15="NO","NA",IF(I15="","",MIN(I15,$B$6)))</f>
        <v/>
      </c>
    </row>
    <row r="16" customFormat="false" ht="57"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12" t="s">
        <v>860</v>
      </c>
      <c r="L16" s="8" t="str">
        <f aca="false">IF($B16="NO","NA",IF(I16="","",MIN(I16,$B$6)))</f>
        <v/>
      </c>
    </row>
    <row r="17" customFormat="false" ht="157.5" hidden="false" customHeight="true" outlineLevel="0" collapsed="false">
      <c r="A17" s="8" t="s">
        <v>46</v>
      </c>
      <c r="B17" s="8" t="s">
        <v>661</v>
      </c>
      <c r="C17" s="8" t="s">
        <v>206</v>
      </c>
      <c r="D17" s="8" t="s">
        <v>861</v>
      </c>
      <c r="E17" s="8" t="s">
        <v>862</v>
      </c>
      <c r="H17" s="8" t="s">
        <v>207</v>
      </c>
      <c r="I17" s="15"/>
      <c r="J17" s="8" t="str">
        <f aca="false">IF(COUNTIFS('Scores (start here)'!$A:$A,$B$1,'Scores (start here)'!$B:$B,$A17,'Scores (start here)'!$F:$F,"&gt;=0")&gt;0,SUMIFS('Scores (start here)'!$F:$F,'Scores (start here)'!$A:$A,$B$1,'Scores (start here)'!$B:$B,$A17),L17)</f>
        <v/>
      </c>
      <c r="K17" s="12" t="s">
        <v>863</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264</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h</v>
      </c>
    </row>
    <row r="4" customFormat="false" ht="15" hidden="false" customHeight="true" outlineLevel="0" collapsed="false">
      <c r="A4" s="10" t="s">
        <v>438</v>
      </c>
      <c r="B4" s="4" t="str">
        <f aca="false">VLOOKUP($B$1,'PARASTATAL Questions'!$A:$J,4,0)&amp;""</f>
        <v>SQ</v>
      </c>
    </row>
    <row r="5" customFormat="false" ht="68.25" hidden="false" customHeight="true" outlineLevel="0" collapsed="false">
      <c r="A5" s="10" t="s">
        <v>0</v>
      </c>
      <c r="B5" s="4" t="str">
        <f aca="false">VLOOKUP($B$1,'PARASTATAL Questions'!$A:$J,5,0)&amp;""</f>
        <v>Service-level benchmarks and performance reports</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986.25" hidden="false" customHeight="true" outlineLevel="0" collapsed="false">
      <c r="A9" s="10" t="s">
        <v>474</v>
      </c>
      <c r="B9" s="4" t="str">
        <f aca="false">VLOOKUP($B$1,'PARASTATAL Questions'!$A:$J,9,0)&amp;""</f>
        <v>Availability and currency — 0.5Score 0.5: Performance information for the current FY or immediately preceding FY is publicly available onlineScore 0: Performance information cannot be found/accessed online or is older than the permitted period.Record the FY/year/date of the latest information found in a separate evidence field even where the score is 0. Minimum format/accessibility — 0.5Score 0.5: Performance information available in a structured, machine-readable/reusable format (CSV, XLS/XLSX, ODS, structured HTML table/dashboard with downloadable data)Score 0: Performance information is available but does not meet that standard (Scanned performance report; image/chart with no underlying readable/reusable values)</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864</v>
      </c>
      <c r="L13" s="8" t="str">
        <f aca="false">IF($B13="NO","NA",IF(I13="","",MIN(I13,$B$6)))</f>
        <v/>
      </c>
    </row>
    <row r="14" customFormat="false" ht="34.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865</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866</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867</v>
      </c>
      <c r="L16" s="8" t="str">
        <f aca="false">IF($B16="NO","NA",IF(I16="","",MIN(I16,$B$6)))</f>
        <v/>
      </c>
    </row>
    <row r="17" customFormat="false" ht="128.25" hidden="false" customHeight="true" outlineLevel="0" collapsed="false">
      <c r="A17" s="8" t="s">
        <v>46</v>
      </c>
      <c r="B17" s="8" t="s">
        <v>661</v>
      </c>
      <c r="C17" s="18" t="s">
        <v>206</v>
      </c>
      <c r="D17" s="8" t="s">
        <v>868</v>
      </c>
      <c r="E17" s="8" t="s">
        <v>869</v>
      </c>
      <c r="F17" s="8" t="s">
        <v>870</v>
      </c>
      <c r="H17" s="8" t="s">
        <v>207</v>
      </c>
      <c r="I17" s="15" t="n">
        <v>0</v>
      </c>
      <c r="J17" s="8" t="n">
        <f aca="false">IF(COUNTIFS('Scores (start here)'!$A:$A,$B$1,'Scores (start here)'!$B:$B,$A17,'Scores (start here)'!$F:$F,"&gt;=0")&gt;0,SUMIFS('Scores (start here)'!$F:$F,'Scores (start here)'!$A:$A,$B$1,'Scores (start here)'!$B:$B,$A17),L17)</f>
        <v>0</v>
      </c>
      <c r="K17" s="12" t="s">
        <v>871</v>
      </c>
      <c r="L17" s="8" t="n">
        <f aca="false">IF($B17="NO","NA",IF(I17="","",MIN(I17,$B$6)))</f>
        <v>0</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272</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DPG5i</v>
      </c>
    </row>
    <row r="4" customFormat="false" ht="15" hidden="false" customHeight="true" outlineLevel="0" collapsed="false">
      <c r="A4" s="10" t="s">
        <v>438</v>
      </c>
      <c r="B4" s="4" t="str">
        <f aca="false">VLOOKUP($B$1,'PARASTATAL Questions'!$A:$J,4,0)&amp;""</f>
        <v>SQ</v>
      </c>
    </row>
    <row r="5" customFormat="false" ht="34.5" hidden="false" customHeight="true" outlineLevel="0" collapsed="false">
      <c r="A5" s="10" t="s">
        <v>0</v>
      </c>
      <c r="B5" s="4" t="str">
        <f aca="false">VLOOKUP($B$1,'PARASTATAL Questions'!$A:$J,5,0)&amp;""</f>
        <v>Citizen / Service Charter</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885.75" hidden="false" customHeight="true" outlineLevel="0" collapsed="false">
      <c r="A9" s="10" t="s">
        <v>474</v>
      </c>
      <c r="B9" s="4" t="str">
        <f aca="false">VLOOKUP($B$1,'PARASTATAL Questions'!$A:$J,9,0)&amp;""</f>
        <v>Availability and currency — 0.5Score 0.5: A currently applicable Charter is publicly available. No annual publication requirement; do not treat it as outdated solely because it predates the preceding FY if it remains in force.Score 0: Charter cannot be found/accessed online or is older than the permitted period.Record the FY/year/date of the latest information found in a separate evidence field even where the score is 0. Minimum format/accessibility — 0.5Score 0.5: Charter available in a searchable/text-readable webpage or downloadable document (HTML, searchable PDF/PDF-A, DOC/DOCX)Score 0: Charter is available but does not meet that standard (Scanned/image-only Charter)</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34.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12" t="s">
        <v>872</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873</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874</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875</v>
      </c>
      <c r="L16" s="8" t="str">
        <f aca="false">IF($B16="NO","NA",IF(I16="","",MIN(I16,$B$6)))</f>
        <v/>
      </c>
    </row>
    <row r="17" customFormat="false" ht="236.25" hidden="false" customHeight="true" outlineLevel="0" collapsed="false">
      <c r="A17" s="8" t="s">
        <v>46</v>
      </c>
      <c r="B17" s="8" t="s">
        <v>661</v>
      </c>
      <c r="C17" s="8" t="s">
        <v>206</v>
      </c>
      <c r="D17" s="8" t="s">
        <v>876</v>
      </c>
      <c r="E17" s="8" t="s">
        <v>877</v>
      </c>
      <c r="H17" s="8" t="s">
        <v>207</v>
      </c>
      <c r="I17" s="15"/>
      <c r="J17" s="8" t="str">
        <f aca="false">IF(COUNTIFS('Scores (start here)'!$A:$A,$B$1,'Scores (start here)'!$B:$B,$A17,'Scores (start here)'!$F:$F,"&gt;=0")&gt;0,SUMIFS('Scores (start here)'!$F:$F,'Scores (start here)'!$A:$A,$B$1,'Scores (start here)'!$B:$B,$A17),L17)</f>
        <v/>
      </c>
      <c r="K17" s="12" t="s">
        <v>878</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281</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DPG5j</v>
      </c>
    </row>
    <row r="4" customFormat="false" ht="15" hidden="false" customHeight="true" outlineLevel="0" collapsed="false">
      <c r="A4" s="10" t="s">
        <v>438</v>
      </c>
      <c r="B4" s="4" t="str">
        <f aca="false">VLOOKUP($B$1,'PARASTATAL Questions'!$A:$J,4,0)&amp;""</f>
        <v>SQ</v>
      </c>
    </row>
    <row r="5" customFormat="false" ht="90.75" hidden="false" customHeight="true" outlineLevel="0" collapsed="false">
      <c r="A5" s="10" t="s">
        <v>0</v>
      </c>
      <c r="B5" s="4" t="str">
        <f aca="false">VLOOKUP($B$1,'PARASTATAL Questions'!$A:$J,5,0)&amp;""</f>
        <v>RTI details and designated Public Information Officer contact/procedure</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975" hidden="false" customHeight="true" outlineLevel="0" collapsed="false">
      <c r="A9" s="10" t="s">
        <v>474</v>
      </c>
      <c r="B9" s="4" t="str">
        <f aca="false">VLOOKUP($B$1,'PARASTATAL Questions'!$A:$J,9,0)&amp;""</f>
        <v>Availability and currency — 0.5Score 0.5: Current PIO/APIO details and RTI procedure are publicly available; information should be treated as current where the named office-holder/contact details remain validScore 0: Information cannot be found/accessed online or ithe named office-holder/contact details are invalid.Record the FY/year/date of the latest information found in a separate evidence field even where the score is 0. Minimum format/accessibility — 0.5Score 0.5: Information available in a searchable webpage or searchable/downloadable document (HTML RTI page; searchable PDF/DOC containing PIO/contact details)Score 0: Information is available but does not meet that standard (Image-only notice; scanned PDF)</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879</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880</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881</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882</v>
      </c>
      <c r="L16" s="8" t="str">
        <f aca="false">IF($B16="NO","NA",IF(I16="","",MIN(I16,$B$6)))</f>
        <v/>
      </c>
    </row>
    <row r="17" customFormat="false" ht="213.75" hidden="false" customHeight="true" outlineLevel="0" collapsed="false">
      <c r="A17" s="8" t="s">
        <v>46</v>
      </c>
      <c r="B17" s="8" t="s">
        <v>661</v>
      </c>
      <c r="C17" s="8" t="s">
        <v>206</v>
      </c>
      <c r="D17" s="8" t="s">
        <v>883</v>
      </c>
      <c r="E17" s="8" t="s">
        <v>884</v>
      </c>
      <c r="H17" s="8" t="s">
        <v>207</v>
      </c>
      <c r="I17" s="15"/>
      <c r="J17" s="8" t="str">
        <f aca="false">IF(COUNTIFS('Scores (start here)'!$A:$A,$B$1,'Scores (start here)'!$B:$B,$A17,'Scores (start here)'!$F:$F,"&gt;=0")&gt;0,SUMIFS('Scores (start here)'!$F:$F,'Scores (start here)'!$A:$A,$B$1,'Scores (start here)'!$B:$B,$A17),L17)</f>
        <v/>
      </c>
      <c r="K17" s="12" t="s">
        <v>885</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288</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DPG5k</v>
      </c>
    </row>
    <row r="4" customFormat="false" ht="15" hidden="false" customHeight="true" outlineLevel="0" collapsed="false">
      <c r="A4" s="10" t="s">
        <v>438</v>
      </c>
      <c r="B4" s="4" t="str">
        <f aca="false">VLOOKUP($B$1,'PARASTATAL Questions'!$A:$J,4,0)&amp;""</f>
        <v>SQ</v>
      </c>
    </row>
    <row r="5" customFormat="false" ht="79.5" hidden="false" customHeight="true" outlineLevel="0" collapsed="false">
      <c r="A5" s="10" t="s">
        <v>0</v>
      </c>
      <c r="B5" s="4" t="str">
        <f aca="false">VLOOKUP($B$1,'PARASTATAL Questions'!$A:$J,5,0)&amp;""</f>
        <v>Procurement / tender notices and awarded-contract details</v>
      </c>
    </row>
    <row r="6" customFormat="false" ht="15" hidden="false" customHeight="true" outlineLevel="0" collapsed="false">
      <c r="A6" s="10" t="s">
        <v>440</v>
      </c>
      <c r="B6" s="4" t="n">
        <f aca="false">VLOOKUP($B$1,'PARASTATAL Questions'!$A:$J,6,0)</f>
        <v>1</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1008.75" hidden="false" customHeight="true" outlineLevel="0" collapsed="false">
      <c r="A9" s="10" t="s">
        <v>474</v>
      </c>
      <c r="B9" s="4" t="str">
        <f aca="false">VLOOKUP($B$1,'PARASTATAL Questions'!$A:$J,9,0)&amp;""</f>
        <v>Availability and currency — 0.5Score 0.5: Procurement information includes tenders/awards from the current FY or immediately preceding FYScore 0: Information cannot be found/accessed online or is older than the permitted period.Record the FY/year/date of the latest information found in a separate evidence field even where the score is 0. Minimum format/accessibility — 0.5Score 0.5: Tender/award information available as a searchable structured webpage/table or machine-readable/reusable dataset (Searchable e-procurement table, HTML contract register, CSV/XLS/XLSX/ODS download)Score 0: Information is available but does not meet that standard (Scanned tender lists; image-only notices; individual PDFs with no searchable/indexed tender/award register)</v>
      </c>
    </row>
    <row r="10" customFormat="false" ht="102" hidden="false" customHeight="true" outlineLevel="0" collapsed="false">
      <c r="A10" s="10" t="s">
        <v>475</v>
      </c>
      <c r="B10" s="4" t="str">
        <f aca="false">VLOOKUP($B$1,'PARASTATAL Questions'!$A:$J,10,0)&amp;""</f>
        <v>Website screenshots/archived URLs with date of access, for each document type</v>
      </c>
    </row>
    <row r="11" customFormat="false" ht="15" hidden="false" customHeight="true" outlineLevel="0" collapsed="false">
      <c r="B11" s="14" t="s">
        <v>647</v>
      </c>
      <c r="I11" s="14" t="s">
        <v>824</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886</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887</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888</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889</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890</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295</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6a</v>
      </c>
    </row>
    <row r="4" customFormat="false" ht="15" hidden="false" customHeight="true" outlineLevel="0" collapsed="false">
      <c r="A4" s="10" t="s">
        <v>438</v>
      </c>
      <c r="B4" s="4" t="str">
        <f aca="false">VLOOKUP($B$1,'PARASTATAL Questions'!$A:$J,4,0)&amp;""</f>
        <v>SQ</v>
      </c>
    </row>
    <row r="5" customFormat="false" ht="102" hidden="false" customHeight="true" outlineLevel="0" collapsed="false">
      <c r="A5" s="10" t="s">
        <v>0</v>
      </c>
      <c r="B5" s="4" t="str">
        <f aca="false">VLOOKUP($B$1,'PARASTATAL Questions'!$A:$J,5,0)&amp;""</f>
        <v>Is the parastatal mandated to provide a grievance-redressal mechanism?</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15" hidden="false" customHeight="true" outlineLevel="0" collapsed="false">
      <c r="A8" s="10" t="s">
        <v>473</v>
      </c>
      <c r="B8" s="4" t="str">
        <f aca="false">VLOOKUP($B$1,'PARASTATAL Questions'!$A:$J,8,0)&amp;""</f>
        <v>Common.</v>
      </c>
    </row>
    <row r="9" customFormat="false" ht="213.75" hidden="false" customHeight="true" outlineLevel="0" collapsed="false">
      <c r="A9" s="10" t="s">
        <v>474</v>
      </c>
      <c r="B9" s="4" t="str">
        <f aca="false">VLOOKUP($B$1,'PARASTATAL Questions'!$A:$J,9,0)&amp;""</f>
        <v>Score 5 if  the Parastatal Act/ corresponding subordinate legislation/ citizen or service charter requires a grievance-redressal mechanism (any channel); 0 if not.</v>
      </c>
    </row>
    <row r="10" customFormat="false" ht="113.25" hidden="false" customHeight="true" outlineLevel="0" collapsed="false">
      <c r="A10" s="10" t="s">
        <v>475</v>
      </c>
      <c r="B10" s="4" t="str">
        <f aca="false">VLOOKUP($B$1,'PARASTATAL Questions'!$A:$J,10,0)&amp;""</f>
        <v>Parastatal Act/ corresponding subordinate legislation/ citizen or service charter</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45.75" hidden="false" customHeight="true" outlineLevel="0" collapsed="false">
      <c r="A13" s="8" t="s">
        <v>19</v>
      </c>
      <c r="B13" s="8" t="s">
        <v>661</v>
      </c>
      <c r="C13" s="8" t="s">
        <v>25</v>
      </c>
      <c r="D13" s="8" t="s">
        <v>891</v>
      </c>
      <c r="E13" s="8" t="s">
        <v>892</v>
      </c>
      <c r="F13" s="8" t="s">
        <v>893</v>
      </c>
      <c r="G13" s="8" t="s">
        <v>671</v>
      </c>
      <c r="H13" s="8" t="s">
        <v>26</v>
      </c>
      <c r="I13" s="15" t="n">
        <v>5</v>
      </c>
      <c r="J13" s="8" t="n">
        <f aca="false">IF(COUNTIFS('Scores (start here)'!$A:$A,$B$1,'Scores (start here)'!$B:$B,$A13,'Scores (start here)'!$F:$F,"&gt;=0")&gt;0,SUMIFS('Scores (start here)'!$F:$F,'Scores (start here)'!$A:$A,$B$1,'Scores (start here)'!$B:$B,$A13),L13)</f>
        <v>5</v>
      </c>
      <c r="K13" s="12" t="s">
        <v>894</v>
      </c>
      <c r="L13" s="8" t="n">
        <f aca="false">IF($B13="NO","NA",IF(I13="","",MIN(I13,$B$6)))</f>
        <v>5</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895</v>
      </c>
      <c r="L14" s="8" t="str">
        <f aca="false">IF($B14="NO","NA",IF(I14="","",MIN(I14,$B$6)))</f>
        <v/>
      </c>
    </row>
    <row r="15" customFormat="false" ht="57" hidden="false" customHeight="true" outlineLevel="0" collapsed="false">
      <c r="A15" s="8" t="s">
        <v>34</v>
      </c>
      <c r="B15" s="8" t="s">
        <v>661</v>
      </c>
      <c r="C15" s="8" t="s">
        <v>36</v>
      </c>
      <c r="D15" s="8" t="s">
        <v>896</v>
      </c>
      <c r="E15" s="8" t="s">
        <v>897</v>
      </c>
      <c r="F15" s="8" t="s">
        <v>898</v>
      </c>
      <c r="G15" s="8" t="s">
        <v>899</v>
      </c>
      <c r="H15" s="8" t="s">
        <v>37</v>
      </c>
      <c r="I15" s="15" t="n">
        <v>0</v>
      </c>
      <c r="J15" s="8" t="n">
        <f aca="false">IF(COUNTIFS('Scores (start here)'!$A:$A,$B$1,'Scores (start here)'!$B:$B,$A15,'Scores (start here)'!$F:$F,"&gt;=0")&gt;0,SUMIFS('Scores (start here)'!$F:$F,'Scores (start here)'!$A:$A,$B$1,'Scores (start here)'!$B:$B,$A15),L15)</f>
        <v>0</v>
      </c>
      <c r="K15" s="12" t="s">
        <v>900</v>
      </c>
      <c r="L15" s="8" t="n">
        <f aca="false">IF($B15="NO","NA",IF(I15="","",MIN(I15,$B$6)))</f>
        <v>0</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901</v>
      </c>
      <c r="L16" s="8" t="str">
        <f aca="false">IF($B16="NO","NA",IF(I16="","",MIN(I16,$B$6)))</f>
        <v/>
      </c>
    </row>
    <row r="17" customFormat="false" ht="45.75" hidden="false" customHeight="true" outlineLevel="0" collapsed="false">
      <c r="A17" s="8" t="s">
        <v>46</v>
      </c>
      <c r="B17" s="8" t="s">
        <v>661</v>
      </c>
      <c r="C17" s="8" t="s">
        <v>48</v>
      </c>
      <c r="D17" s="8" t="s">
        <v>902</v>
      </c>
      <c r="E17" s="8" t="s">
        <v>903</v>
      </c>
      <c r="F17" s="8" t="s">
        <v>904</v>
      </c>
      <c r="G17" s="8" t="s">
        <v>905</v>
      </c>
      <c r="H17" s="8" t="s">
        <v>49</v>
      </c>
      <c r="I17" s="15"/>
      <c r="J17" s="8" t="str">
        <f aca="false">IF(COUNTIFS('Scores (start here)'!$A:$A,$B$1,'Scores (start here)'!$B:$B,$A17,'Scores (start here)'!$F:$F,"&gt;=0")&gt;0,SUMIFS('Scores (start here)'!$F:$F,'Scores (start here)'!$A:$A,$B$1,'Scores (start here)'!$B:$B,$A17),L17)</f>
        <v/>
      </c>
      <c r="K17" s="12" t="s">
        <v>906</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308</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6b</v>
      </c>
    </row>
    <row r="4" customFormat="false" ht="15" hidden="false" customHeight="true" outlineLevel="0" collapsed="false">
      <c r="A4" s="10" t="s">
        <v>438</v>
      </c>
      <c r="B4" s="4" t="str">
        <f aca="false">VLOOKUP($B$1,'PARASTATAL Questions'!$A:$J,4,0)&amp;""</f>
        <v>SQ</v>
      </c>
    </row>
    <row r="5" customFormat="false" ht="113.25" hidden="false" customHeight="true" outlineLevel="0" collapsed="false">
      <c r="A5" s="10" t="s">
        <v>0</v>
      </c>
      <c r="B5" s="4" t="str">
        <f aca="false">VLOOKUP($B$1,'PARASTATAL Questions'!$A:$J,5,0)&amp;""</f>
        <v>Are accessible grievance-redressal channels available and functional in practice?</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2397.75" hidden="false" customHeight="true" outlineLevel="0" collapsed="false">
      <c r="A9" s="10" t="s">
        <v>474</v>
      </c>
      <c r="B9" s="4" t="str">
        <f aca="false">VLOOKUP($B$1,'PARASTATAL Questions'!$A:$J,9,0)&amp;""</f>
        <v>Score out of 5 based on the following components - Score 1.00 if a Web-based grievance channel existsQualification - An official website/portal provides a functioning mechanism through which a grievance can be lodged online. A dedicated grievance form, integrated government grievance portal or equivalent qualifies.Evidence - Live URL + dated screenshot showing grievance-submission functionality. Where the parastatal redirects users to a State/common grievance portal, capture both the parastatal link/reference and the relevant portal page.Score 1.00 if a Mobile / electronic grievance channel existsQualification - A currently operational mobile app, designated grievance email, WhatsApp or other officially notified electronic channel is provided for lodging grievancesEvidence - Official website listing the channel; official app listing or screenshot Score 1.00  if a telephone grievance channel existsQualification - A dedicated or clearly designated helpline/call centre/telephone number is provided for complaints or grievances. A generic office switchboard does not qualify unless it is explicitly identified as accepting grievances.Evidence - Official website showing the grievance/helpline number.Score 1.00 if an in-person grievance channel existsQualification - Citizens can lodge grievances through an identified helpdesk, grievance counter, designated office/officer or other physical mechanism.Evidence - Citizen/Service Charter, official website, office notice/order or other official document identifying where/how an in-person grievance can be lodged.Score 1.00 if an in-person grievance channelQualification - The mechanism provides evidence that a registered grievance can be acknowledged and subsequently tracked, through a complaint/reference number, status-tracking facility or equivalent process.Evidence - Portal screenshot showing acknowledgement/tracking functionality; Where all five are provided for, award the full score of 5.</v>
      </c>
    </row>
    <row r="10" customFormat="false" ht="135.75" hidden="false" customHeight="true" outlineLevel="0" collapsed="false">
      <c r="A10" s="10" t="s">
        <v>475</v>
      </c>
      <c r="B10" s="4" t="str">
        <f aca="false">VLOOKUP($B$1,'PARASTATAL Questions'!$A:$J,10,0)&amp;""</f>
        <v>Relevant parastatal's official website Detailed evidence information provided in the methodology column (I 33)</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79.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12" t="s">
        <v>907</v>
      </c>
      <c r="L13" s="8" t="str">
        <f aca="false">IF($B13="NO","NA",IF(I13="","",MIN(I13,$B$6)))</f>
        <v/>
      </c>
    </row>
    <row r="14" customFormat="false" ht="68.2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908</v>
      </c>
      <c r="L14" s="8" t="str">
        <f aca="false">IF($B14="NO","NA",IF(I14="","",MIN(I14,$B$6)))</f>
        <v/>
      </c>
    </row>
    <row r="15" customFormat="false" ht="79.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12" t="s">
        <v>909</v>
      </c>
      <c r="L15" s="8" t="str">
        <f aca="false">IF($B15="NO","NA",IF(I15="","",MIN(I15,$B$6)))</f>
        <v/>
      </c>
    </row>
    <row r="16" customFormat="false" ht="79.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12" t="s">
        <v>910</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911</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315</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7a</v>
      </c>
    </row>
    <row r="4" customFormat="false" ht="15" hidden="false" customHeight="true" outlineLevel="0" collapsed="false">
      <c r="A4" s="10" t="s">
        <v>438</v>
      </c>
      <c r="B4" s="4" t="str">
        <f aca="false">VLOOKUP($B$1,'PARASTATAL Questions'!$A:$J,4,0)&amp;""</f>
        <v>SQ</v>
      </c>
    </row>
    <row r="5" customFormat="false" ht="102" hidden="false" customHeight="true" outlineLevel="0" collapsed="false">
      <c r="A5" s="10" t="s">
        <v>0</v>
      </c>
      <c r="B5" s="4" t="str">
        <f aca="false">VLOOKUP($B$1,'PARASTATAL Questions'!$A:$J,5,0)&amp;""</f>
        <v>Is citizen participation in the preparation of the parastatal's plans mandated?</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68.25" hidden="false" customHeight="true" outlineLevel="0" collapsed="false">
      <c r="A8" s="10" t="s">
        <v>473</v>
      </c>
      <c r="B8" s="4" t="str">
        <f aca="false">VLOOKUP($B$1,'PARASTATAL Questions'!$A:$J,8,0)&amp;""</f>
        <v>All parastatals excluding Development Authorities</v>
      </c>
    </row>
    <row r="9" customFormat="false" ht="1031.25" hidden="false" customHeight="true" outlineLevel="0" collapsed="false">
      <c r="A9" s="10" t="s">
        <v>474</v>
      </c>
      <c r="B9" s="4" t="str">
        <f aca="false">VLOOKUP($B$1,'PARASTATAL Questions'!$A:$J,9,0)&amp;""</f>
        <v>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v>
      </c>
    </row>
    <row r="10" customFormat="false" ht="90.75" hidden="false" customHeight="true" outlineLevel="0" collapsed="false">
      <c r="A10" s="10" t="s">
        <v>475</v>
      </c>
      <c r="B10" s="4" t="str">
        <f aca="false">VLOOKUP($B$1,'PARASTATAL Questions'!$A:$J,10,0)&amp;""</f>
        <v>Parastatal Act and rules; applicable T&amp;CP Act; State Municipal Act.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45.75" hidden="false" customHeight="true" outlineLevel="0" collapsed="false">
      <c r="A13" s="8" t="s">
        <v>19</v>
      </c>
      <c r="B13" s="8" t="s">
        <v>661</v>
      </c>
      <c r="C13" s="8" t="s">
        <v>25</v>
      </c>
      <c r="D13" s="8" t="s">
        <v>912</v>
      </c>
      <c r="E13" s="8" t="s">
        <v>913</v>
      </c>
      <c r="F13" s="8" t="s">
        <v>914</v>
      </c>
      <c r="G13" s="8" t="s">
        <v>695</v>
      </c>
      <c r="H13" s="8" t="s">
        <v>26</v>
      </c>
      <c r="I13" s="15" t="n">
        <v>0</v>
      </c>
      <c r="J13" s="8" t="n">
        <f aca="false">IF(COUNTIFS('Scores (start here)'!$A:$A,$B$1,'Scores (start here)'!$B:$B,$A13,'Scores (start here)'!$F:$F,"&gt;=0")&gt;0,SUMIFS('Scores (start here)'!$F:$F,'Scores (start here)'!$A:$A,$B$1,'Scores (start here)'!$B:$B,$A13),L13)</f>
        <v>0</v>
      </c>
      <c r="K13" s="12" t="s">
        <v>915</v>
      </c>
      <c r="L13" s="8" t="n">
        <f aca="false">IF($B13="NO","NA",IF(I13="","",MIN(I13,$B$6)))</f>
        <v>0</v>
      </c>
    </row>
    <row r="14" customFormat="false" ht="236.25" hidden="false" customHeight="true" outlineLevel="0" collapsed="false">
      <c r="A14" s="8" t="s">
        <v>29</v>
      </c>
      <c r="B14" s="8" t="s">
        <v>661</v>
      </c>
      <c r="C14" s="8" t="s">
        <v>78</v>
      </c>
      <c r="D14" s="8" t="s">
        <v>916</v>
      </c>
      <c r="E14" s="8" t="s">
        <v>917</v>
      </c>
      <c r="F14" s="8" t="s">
        <v>918</v>
      </c>
      <c r="G14" s="8" t="s">
        <v>806</v>
      </c>
      <c r="H14" s="8" t="s">
        <v>79</v>
      </c>
      <c r="I14" s="15" t="n">
        <v>2.5</v>
      </c>
      <c r="J14" s="8" t="n">
        <f aca="false">IF(COUNTIFS('Scores (start here)'!$A:$A,$B$1,'Scores (start here)'!$B:$B,$A14,'Scores (start here)'!$F:$F,"&gt;=0")&gt;0,SUMIFS('Scores (start here)'!$F:$F,'Scores (start here)'!$A:$A,$B$1,'Scores (start here)'!$B:$B,$A14),L14)</f>
        <v>2.5</v>
      </c>
      <c r="K14" s="12" t="s">
        <v>919</v>
      </c>
      <c r="L14" s="8" t="n">
        <f aca="false">IF($B14="NO","NA",IF(I14="","",MIN(I14,$B$6)))</f>
        <v>2.5</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68.75" hidden="false" customHeight="true" outlineLevel="0" collapsed="false">
      <c r="A16" s="8" t="s">
        <v>40</v>
      </c>
      <c r="B16" s="8" t="s">
        <v>661</v>
      </c>
      <c r="C16" s="8" t="s">
        <v>323</v>
      </c>
      <c r="D16" s="8" t="s">
        <v>920</v>
      </c>
      <c r="E16" s="8" t="s">
        <v>921</v>
      </c>
      <c r="F16" s="8" t="s">
        <v>922</v>
      </c>
      <c r="G16" s="8" t="s">
        <v>806</v>
      </c>
      <c r="H16" s="8" t="s">
        <v>79</v>
      </c>
      <c r="I16" s="15" t="n">
        <v>2.5</v>
      </c>
      <c r="J16" s="8" t="n">
        <f aca="false">IF(COUNTIFS('Scores (start here)'!$A:$A,$B$1,'Scores (start here)'!$B:$B,$A16,'Scores (start here)'!$F:$F,"&gt;=0")&gt;0,SUMIFS('Scores (start here)'!$F:$F,'Scores (start here)'!$A:$A,$B$1,'Scores (start here)'!$B:$B,$A16),L16)</f>
        <v>2.5</v>
      </c>
      <c r="K16" s="12" t="s">
        <v>923</v>
      </c>
      <c r="L16" s="8" t="n">
        <f aca="false">IF($B16="NO","NA",IF(I16="","",MIN(I16,$B$6)))</f>
        <v>2.5</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326</v>
      </c>
      <c r="C1" s="8" t="s">
        <v>645</v>
      </c>
      <c r="J1" s="13" t="s">
        <v>646</v>
      </c>
    </row>
    <row r="2" customFormat="false" ht="68.25" hidden="false" customHeight="true" outlineLevel="0" collapsed="false">
      <c r="A2" s="10" t="s">
        <v>437</v>
      </c>
      <c r="B2" s="4" t="str">
        <f aca="false">VLOOKUP($B$1,'PARASTATAL Questions'!$A:$J,3,0)&amp;""</f>
        <v>Decentralised Participatory Governance</v>
      </c>
    </row>
    <row r="3" customFormat="false" ht="15" hidden="false" customHeight="true" outlineLevel="0" collapsed="false">
      <c r="A3" s="10" t="s">
        <v>472</v>
      </c>
      <c r="B3" s="4" t="str">
        <f aca="false">VLOOKUP($B$1,'PARASTATAL Questions'!$A:$J,2,0)&amp;""</f>
        <v>DPG 7b</v>
      </c>
    </row>
    <row r="4" customFormat="false" ht="15" hidden="false" customHeight="true" outlineLevel="0" collapsed="false">
      <c r="A4" s="10" t="s">
        <v>438</v>
      </c>
      <c r="B4" s="4" t="str">
        <f aca="false">VLOOKUP($B$1,'PARASTATAL Questions'!$A:$J,4,0)&amp;""</f>
        <v>SQ</v>
      </c>
    </row>
    <row r="5" customFormat="false" ht="113.25" hidden="false" customHeight="true" outlineLevel="0" collapsed="false">
      <c r="A5" s="10" t="s">
        <v>0</v>
      </c>
      <c r="B5" s="4" t="str">
        <f aca="false">VLOOKUP($B$1,'PARASTATAL Questions'!$A:$J,5,0)&amp;""</f>
        <v>Are citizens consulted in practice in the preparation of plans by the parastatal?</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68.25" hidden="false" customHeight="true" outlineLevel="0" collapsed="false">
      <c r="A8" s="10" t="s">
        <v>473</v>
      </c>
      <c r="B8" s="4" t="str">
        <f aca="false">VLOOKUP($B$1,'PARASTATAL Questions'!$A:$J,8,0)&amp;""</f>
        <v>All parastatals excluding Development Authorities</v>
      </c>
    </row>
    <row r="9" customFormat="false" ht="1008.75" hidden="false" customHeight="true" outlineLevel="0" collapsed="false">
      <c r="A9" s="10" t="s">
        <v>474</v>
      </c>
      <c r="B9" s="4" t="str">
        <f aca="false">VLOOKUP($B$1,'PARASTATAL Questions'!$A:$J,9,0)&amp;""</f>
        <v>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v>
      </c>
    </row>
    <row r="10" customFormat="false" ht="202.5" hidden="false" customHeight="true" outlineLevel="0" collapsed="false">
      <c r="A10" s="10" t="s">
        <v>475</v>
      </c>
      <c r="B10" s="4" t="str">
        <f aca="false">VLOOKUP($B$1,'PARASTATAL Questions'!$A:$J,10,0)&amp;""</f>
        <v>Plan document; consultation reports; public notices; minutes/proceedings of consultations or hearings on the parastatal's official website; media reports.</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45.75" hidden="false" customHeight="true" outlineLevel="0" collapsed="false">
      <c r="A13" s="8" t="s">
        <v>19</v>
      </c>
      <c r="B13" s="8" t="s">
        <v>661</v>
      </c>
      <c r="C13" s="8" t="s">
        <v>329</v>
      </c>
      <c r="D13" s="8" t="s">
        <v>924</v>
      </c>
      <c r="E13" s="8" t="s">
        <v>925</v>
      </c>
      <c r="F13" s="8" t="s">
        <v>926</v>
      </c>
      <c r="G13" s="8" t="s">
        <v>927</v>
      </c>
      <c r="H13" s="8" t="s">
        <v>330</v>
      </c>
      <c r="I13" s="15" t="n">
        <v>2.5</v>
      </c>
      <c r="J13" s="8" t="n">
        <f aca="false">IF(COUNTIFS('Scores (start here)'!$A:$A,$B$1,'Scores (start here)'!$B:$B,$A13,'Scores (start here)'!$F:$F,"&gt;=0")&gt;0,SUMIFS('Scores (start here)'!$F:$F,'Scores (start here)'!$A:$A,$B$1,'Scores (start here)'!$B:$B,$A13),L13)</f>
        <v>2.5</v>
      </c>
      <c r="K13" s="12" t="s">
        <v>928</v>
      </c>
      <c r="L13" s="8" t="n">
        <f aca="false">IF($B13="NO","NA",IF(I13="","",MIN(I13,$B$6)))</f>
        <v>2.5</v>
      </c>
    </row>
    <row r="14" customFormat="false" ht="68.2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929</v>
      </c>
      <c r="L14" s="8" t="str">
        <f aca="false">IF($B14="NO","NA",IF(I14="","",MIN(I14,$B$6)))</f>
        <v/>
      </c>
    </row>
    <row r="15" customFormat="false" ht="15" hidden="false" customHeight="true" outlineLevel="0" collapsed="false">
      <c r="A15" s="16" t="s">
        <v>34</v>
      </c>
      <c r="B15" s="16" t="s">
        <v>697</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91.25" hidden="false" customHeight="true" outlineLevel="0" collapsed="false">
      <c r="A16" s="8" t="s">
        <v>40</v>
      </c>
      <c r="B16" s="8" t="s">
        <v>661</v>
      </c>
      <c r="C16" s="8" t="s">
        <v>335</v>
      </c>
      <c r="D16" s="8" t="s">
        <v>930</v>
      </c>
      <c r="E16" s="8" t="s">
        <v>931</v>
      </c>
      <c r="F16" s="8" t="s">
        <v>932</v>
      </c>
      <c r="G16" s="8" t="s">
        <v>933</v>
      </c>
      <c r="H16" s="8" t="s">
        <v>336</v>
      </c>
      <c r="I16" s="15" t="n">
        <v>2.5</v>
      </c>
      <c r="J16" s="8" t="n">
        <f aca="false">IF(COUNTIFS('Scores (start here)'!$A:$A,$B$1,'Scores (start here)'!$B:$B,$A16,'Scores (start here)'!$F:$F,"&gt;=0")&gt;0,SUMIFS('Scores (start here)'!$F:$F,'Scores (start here)'!$A:$A,$B$1,'Scores (start here)'!$B:$B,$A16),L16)</f>
        <v>2.5</v>
      </c>
      <c r="K16" s="12" t="s">
        <v>934</v>
      </c>
      <c r="L16" s="8" t="n">
        <f aca="false">IF($B16="NO","NA",IF(I16="","",MIN(I16,$B$6)))</f>
        <v>2.5</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339</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SC-1</v>
      </c>
    </row>
    <row r="4" customFormat="false" ht="15" hidden="false" customHeight="true" outlineLevel="0" collapsed="false">
      <c r="A4" s="10" t="s">
        <v>438</v>
      </c>
      <c r="B4" s="4" t="str">
        <f aca="false">VLOOKUP($B$1,'PARASTATAL Questions'!$A:$J,4,0)&amp;""</f>
        <v>MQ</v>
      </c>
    </row>
    <row r="5" customFormat="false" ht="124.5" hidden="false" customHeight="true" outlineLevel="0" collapsed="false">
      <c r="A5" s="10" t="s">
        <v>0</v>
      </c>
      <c r="B5" s="4" t="str">
        <f aca="false">VLOOKUP($B$1,'PARASTATAL Questions'!$A:$J,5,0)&amp;""</f>
        <v>What proportion of the parastatal's total expenditure is financed through its own revenues?</v>
      </c>
    </row>
    <row r="6" customFormat="false" ht="15" hidden="false" customHeight="true" outlineLevel="0" collapsed="false">
      <c r="A6" s="10" t="s">
        <v>440</v>
      </c>
      <c r="B6" s="4" t="n">
        <f aca="false">VLOOKUP($B$1,'PARASTATAL Questions'!$A:$J,6,0)</f>
        <v>10</v>
      </c>
    </row>
    <row r="7" customFormat="false" ht="34.5" hidden="false" customHeight="true" outlineLevel="0" collapsed="false">
      <c r="A7" s="10" t="s">
        <v>439</v>
      </c>
      <c r="B7" s="4" t="str">
        <f aca="false">VLOOKUP($B$1,'PARASTATAL Questions'!$A:$J,7,0)&amp;""</f>
        <v>Implementation (Numeric)</v>
      </c>
    </row>
    <row r="8" customFormat="false" ht="45.75" hidden="false" customHeight="true" outlineLevel="0" collapsed="false">
      <c r="A8" s="10" t="s">
        <v>473</v>
      </c>
      <c r="B8" s="4" t="str">
        <f aca="false">VLOOKUP($B$1,'PARASTATAL Questions'!$A:$J,8,0)&amp;""</f>
        <v>Revenue-raising parastatals only</v>
      </c>
    </row>
    <row r="9" customFormat="false" ht="336.75" hidden="false" customHeight="true" outlineLevel="0" collapsed="false">
      <c r="A9" s="10" t="s">
        <v>474</v>
      </c>
      <c r="B9" s="4" t="str">
        <f aca="false">VLOOKUP($B$1,'PARASTATAL Questions'!$A:$J,9,0)&amp;""</f>
        <v>Compute Own Revenue (Tax and Non-Tax revenue excluding any government grants) and use 3 years average wherever available (at least 2 years but not more than 5 years). Score is own revenue percentage as a proportion of 10 marks i.e. 50% gets 5 out of 10.</v>
      </c>
    </row>
    <row r="10" customFormat="false" ht="102" hidden="false" customHeight="true" outlineLevel="0" collapsed="false">
      <c r="A10" s="10" t="s">
        <v>475</v>
      </c>
      <c r="B10" s="4" t="str">
        <f aca="false">VLOOKUP($B$1,'PARASTATAL Questions'!$A:$J,10,0)&amp;""</f>
        <v>Annual budget of the last three financial years of the relevant parastatal.</v>
      </c>
    </row>
    <row r="11" customFormat="false" ht="15" hidden="false" customHeight="true" outlineLevel="0" collapsed="false">
      <c r="B11" s="14" t="s">
        <v>647</v>
      </c>
      <c r="I11" s="14" t="s">
        <v>812</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45.7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12" t="s">
        <v>935</v>
      </c>
      <c r="L13" s="8" t="str">
        <f aca="false">IF($B13="NO","NA",IF(I13="","",MIN(I13,$B$6)))</f>
        <v/>
      </c>
    </row>
    <row r="14" customFormat="false" ht="57"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936</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937</v>
      </c>
      <c r="L15" s="8" t="str">
        <f aca="false">IF($B15="NO","NA",IF(I15="","",MIN(I15,$B$6)))</f>
        <v/>
      </c>
    </row>
    <row r="16" customFormat="false" ht="15" hidden="false" customHeight="true" outlineLevel="0" collapsed="false">
      <c r="A16" s="16" t="s">
        <v>40</v>
      </c>
      <c r="B16" s="16" t="s">
        <v>697</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442</v>
      </c>
      <c r="B19" s="16" t="s">
        <v>697</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344</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SC-2</v>
      </c>
    </row>
    <row r="4" customFormat="false" ht="15" hidden="false" customHeight="true" outlineLevel="0" collapsed="false">
      <c r="A4" s="10" t="s">
        <v>438</v>
      </c>
      <c r="B4" s="4" t="str">
        <f aca="false">VLOOKUP($B$1,'PARASTATAL Questions'!$A:$J,4,0)&amp;""</f>
        <v>MQ</v>
      </c>
    </row>
    <row r="5" customFormat="false" ht="90.75" hidden="false" customHeight="true" outlineLevel="0" collapsed="false">
      <c r="A5" s="10" t="s">
        <v>0</v>
      </c>
      <c r="B5" s="4" t="str">
        <f aca="false">VLOOKUP($B$1,'PARASTATAL Questions'!$A:$J,5,0)&amp;""</f>
        <v>What is the parastatal's per-capita capital expenditure?</v>
      </c>
    </row>
    <row r="6" customFormat="false" ht="15" hidden="false" customHeight="true" outlineLevel="0" collapsed="false">
      <c r="A6" s="10" t="s">
        <v>440</v>
      </c>
      <c r="B6" s="4" t="n">
        <f aca="false">VLOOKUP($B$1,'PARASTATAL Questions'!$A:$J,6,0)</f>
        <v>10</v>
      </c>
    </row>
    <row r="7" customFormat="false" ht="34.5" hidden="false" customHeight="true" outlineLevel="0" collapsed="false">
      <c r="A7" s="10" t="s">
        <v>439</v>
      </c>
      <c r="B7" s="4" t="str">
        <f aca="false">VLOOKUP($B$1,'PARASTATAL Questions'!$A:$J,7,0)&amp;""</f>
        <v>Implementation (Numeric)</v>
      </c>
    </row>
    <row r="8" customFormat="false" ht="102" hidden="false" customHeight="true" outlineLevel="0" collapsed="false">
      <c r="A8" s="10" t="s">
        <v>473</v>
      </c>
      <c r="B8" s="4" t="str">
        <f aca="false">VLOOKUP($B$1,'PARASTATAL Questions'!$A:$J,8,0)&amp;""</f>
        <v>Parastatals with an infrastructure-delivery/capital-expenditure mandate.</v>
      </c>
    </row>
    <row r="9" customFormat="false" ht="605.25" hidden="false" customHeight="true" outlineLevel="0" collapsed="false">
      <c r="A9" s="10" t="s">
        <v>474</v>
      </c>
      <c r="B9" s="4" t="str">
        <f aca="false">VLOOKUP($B$1,'PARASTATAL Questions'!$A:$J,9,0)&amp;""</f>
        <v>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v>
      </c>
    </row>
    <row r="10" customFormat="false" ht="147" hidden="false" customHeight="true" outlineLevel="0" collapsed="false">
      <c r="A10" s="10" t="s">
        <v>475</v>
      </c>
      <c r="B10" s="4" t="str">
        <f aca="false">VLOOKUP($B$1,'PARASTATAL Questions'!$A:$J,10,0)&amp;""</f>
        <v>Latest annual budget and capital-expenditure accounts of the relevant parastatal; population figure with source.</v>
      </c>
    </row>
    <row r="11" customFormat="false" ht="15" hidden="false" customHeight="true" outlineLevel="0" collapsed="false">
      <c r="B11" s="14" t="s">
        <v>647</v>
      </c>
      <c r="I11" s="14" t="s">
        <v>812</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938</v>
      </c>
      <c r="L13" s="8" t="str">
        <f aca="false">IF($B13="NO","NA",IF(I13="","",MIN(I13,$B$6)))</f>
        <v/>
      </c>
    </row>
    <row r="14" customFormat="false" ht="68.2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939</v>
      </c>
      <c r="L14" s="8" t="str">
        <f aca="false">IF($B14="NO","NA",IF(I14="","",MIN(I14,$B$6)))</f>
        <v/>
      </c>
    </row>
    <row r="15" customFormat="false" ht="45.7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12" t="s">
        <v>940</v>
      </c>
      <c r="L15" s="8" t="str">
        <f aca="false">IF($B15="NO","NA",IF(I15="","",MIN(I15,$B$6)))</f>
        <v/>
      </c>
    </row>
    <row r="16" customFormat="false" ht="15" hidden="false" customHeight="true" outlineLevel="0" collapsed="false">
      <c r="A16" s="8" t="s">
        <v>40</v>
      </c>
      <c r="B16" s="8" t="s">
        <v>661</v>
      </c>
      <c r="C16" s="8" t="s">
        <v>174</v>
      </c>
      <c r="D16" s="8" t="s">
        <v>941</v>
      </c>
      <c r="E16" s="8" t="s">
        <v>942</v>
      </c>
      <c r="F16" s="8" t="s">
        <v>943</v>
      </c>
      <c r="G16" s="8" t="s">
        <v>944</v>
      </c>
      <c r="H16" s="8" t="s">
        <v>175</v>
      </c>
      <c r="I16" s="15"/>
      <c r="J16" s="8" t="str">
        <f aca="false">IF(COUNTIFS('Scores (start here)'!$A:$A,$B$1,'Scores (start here)'!$B:$B,$A16,'Scores (start here)'!$F:$F,"&gt;=0")&gt;0,SUMIFS('Scores (start here)'!$F:$F,'Scores (start here)'!$A:$A,$B$1,'Scores (start here)'!$B:$B,$A16),L16)</f>
        <v/>
      </c>
      <c r="K16" s="12" t="s">
        <v>945</v>
      </c>
      <c r="L16" s="8" t="str">
        <f aca="false">IF($B16="NO","NA",IF(I16="","",MIN(I16,$B$6)))</f>
        <v/>
      </c>
    </row>
    <row r="17" customFormat="false" ht="15" hidden="false" customHeight="true" outlineLevel="0" collapsed="false">
      <c r="A17" s="16" t="s">
        <v>46</v>
      </c>
      <c r="B17" s="16" t="s">
        <v>697</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441</v>
      </c>
      <c r="B18" s="16" t="s">
        <v>697</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352</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SC-3</v>
      </c>
    </row>
    <row r="4" customFormat="false" ht="15" hidden="false" customHeight="true" outlineLevel="0" collapsed="false">
      <c r="A4" s="10" t="s">
        <v>438</v>
      </c>
      <c r="B4" s="4" t="str">
        <f aca="false">VLOOKUP($B$1,'PARASTATAL Questions'!$A:$J,4,0)&amp;""</f>
        <v>MQ</v>
      </c>
    </row>
    <row r="5" customFormat="false" ht="68.25" hidden="false" customHeight="true" outlineLevel="0" collapsed="false">
      <c r="A5" s="10" t="s">
        <v>0</v>
      </c>
      <c r="B5" s="4" t="str">
        <f aca="false">VLOOKUP($B$1,'PARASTATAL Questions'!$A:$J,5,0)&amp;""</f>
        <v>How realistic is the parastatal's annual budget?</v>
      </c>
    </row>
    <row r="6" customFormat="false" ht="15" hidden="false" customHeight="true" outlineLevel="0" collapsed="false">
      <c r="A6" s="10" t="s">
        <v>440</v>
      </c>
      <c r="B6" s="4" t="n">
        <f aca="false">VLOOKUP($B$1,'PARASTATAL Questions'!$A:$J,6,0)</f>
        <v>10</v>
      </c>
    </row>
    <row r="7" customFormat="false" ht="34.5" hidden="false" customHeight="true" outlineLevel="0" collapsed="false">
      <c r="A7" s="10" t="s">
        <v>439</v>
      </c>
      <c r="B7" s="4" t="str">
        <f aca="false">VLOOKUP($B$1,'PARASTATAL Questions'!$A:$J,7,0)&amp;""</f>
        <v>Implementation (Numeric)</v>
      </c>
    </row>
    <row r="8" customFormat="false" ht="68.25" hidden="false" customHeight="true" outlineLevel="0" collapsed="false">
      <c r="A8" s="10" t="s">
        <v>473</v>
      </c>
      <c r="B8" s="4" t="str">
        <f aca="false">VLOOKUP($B$1,'PARASTATAL Questions'!$A:$J,8,0)&amp;""</f>
        <v>Common — all parastatal types with an annual budget.</v>
      </c>
    </row>
    <row r="9" customFormat="false" ht="225" hidden="false" customHeight="true" outlineLevel="0" collapsed="false">
      <c r="A9" s="10" t="s">
        <v>474</v>
      </c>
      <c r="B9" s="4" t="str">
        <f aca="false">VLOOKUP($B$1,'PARASTATAL Questions'!$A:$J,9,0)&amp;""</f>
        <v>3 year average of budget variance wherever available (at least 2 years but not more than 5 years); If variance is within 15%, the score will be 10 but anything over 15% will score 0 out of 10</v>
      </c>
    </row>
    <row r="10" customFormat="false" ht="135.75" hidden="false" customHeight="true" outlineLevel="0" collapsed="false">
      <c r="A10" s="10" t="s">
        <v>475</v>
      </c>
      <c r="B10" s="4" t="str">
        <f aca="false">VLOOKUP($B$1,'PARASTATAL Questions'!$A:$J,10,0)&amp;""</f>
        <v>Budget documents and audited accounts for the same financial year, compared side by side</v>
      </c>
    </row>
    <row r="11" customFormat="false" ht="15" hidden="false" customHeight="true" outlineLevel="0" collapsed="false">
      <c r="B11" s="14" t="s">
        <v>647</v>
      </c>
      <c r="I11" s="14" t="s">
        <v>812</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946</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947</v>
      </c>
      <c r="L14" s="8" t="str">
        <f aca="false">IF($B14="NO","NA",IF(I14="","",MIN(I14,$B$6)))</f>
        <v/>
      </c>
    </row>
    <row r="15" customFormat="false" ht="45.7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12" t="s">
        <v>948</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949</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950</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359</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SC-4a</v>
      </c>
    </row>
    <row r="4" customFormat="false" ht="15" hidden="false" customHeight="true" outlineLevel="0" collapsed="false">
      <c r="A4" s="10" t="s">
        <v>438</v>
      </c>
      <c r="B4" s="4" t="str">
        <f aca="false">VLOOKUP($B$1,'PARASTATAL Questions'!$A:$J,4,0)&amp;""</f>
        <v>SQ</v>
      </c>
    </row>
    <row r="5" customFormat="false" ht="124.5" hidden="false" customHeight="true" outlineLevel="0" collapsed="false">
      <c r="A5" s="10" t="s">
        <v>0</v>
      </c>
      <c r="B5" s="4" t="str">
        <f aca="false">VLOOKUP($B$1,'PARASTATAL Questions'!$A:$J,5,0)&amp;""</f>
        <v>Is a medium-term (3-5 year) and/or long-term (&gt;5 year) fiscal plan legally mandated?</v>
      </c>
    </row>
    <row r="6" customFormat="false" ht="15" hidden="false" customHeight="true" outlineLevel="0" collapsed="false">
      <c r="A6" s="10" t="s">
        <v>440</v>
      </c>
      <c r="B6" s="4" t="n">
        <f aca="false">VLOOKUP($B$1,'PARASTATAL Questions'!$A:$J,6,0)</f>
        <v>5</v>
      </c>
    </row>
    <row r="7" customFormat="false" ht="15" hidden="false" customHeight="true" outlineLevel="0" collapsed="false">
      <c r="A7" s="10" t="s">
        <v>439</v>
      </c>
      <c r="B7" s="4" t="str">
        <f aca="false">VLOOKUP($B$1,'PARASTATAL Questions'!$A:$J,7,0)&amp;""</f>
        <v>Law/Policy</v>
      </c>
    </row>
    <row r="8" customFormat="false" ht="15" hidden="false" customHeight="true" outlineLevel="0" collapsed="false">
      <c r="A8" s="10" t="s">
        <v>473</v>
      </c>
      <c r="B8" s="4" t="str">
        <f aca="false">VLOOKUP($B$1,'PARASTATAL Questions'!$A:$J,8,0)&amp;""</f>
        <v>Common.</v>
      </c>
    </row>
    <row r="9" customFormat="false" ht="213.75" hidden="false" customHeight="true" outlineLevel="0" collapsed="false">
      <c r="A9" s="10" t="s">
        <v>474</v>
      </c>
      <c r="B9" s="4" t="str">
        <f aca="false">VLOOKUP($B$1,'PARASTATAL Questions'!$A:$J,9,0)&amp;""</f>
        <v>Score 5 if enabling act of the relevant parastatal require a fiscal plan of defined horizon (Medium term at 3-5 years and long term at &gt;5 years). Score 0 if no such requirement.</v>
      </c>
    </row>
    <row r="10" customFormat="false" ht="45.75" hidden="false" customHeight="true" outlineLevel="0" collapsed="false">
      <c r="A10" s="10" t="s">
        <v>475</v>
      </c>
      <c r="B10" s="4" t="str">
        <f aca="false">VLOOKUP($B$1,'PARASTATAL Questions'!$A:$J,10,0)&amp;""</f>
        <v>Enabling act of the relevant parastatal</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79.5" hidden="false" customHeight="true" outlineLevel="0" collapsed="false">
      <c r="A13" s="8" t="s">
        <v>19</v>
      </c>
      <c r="B13" s="8" t="s">
        <v>661</v>
      </c>
      <c r="C13" s="8" t="s">
        <v>25</v>
      </c>
      <c r="D13" s="8" t="s">
        <v>951</v>
      </c>
      <c r="E13" s="8" t="s">
        <v>952</v>
      </c>
      <c r="F13" s="8" t="s">
        <v>953</v>
      </c>
      <c r="G13" s="8" t="s">
        <v>796</v>
      </c>
      <c r="H13" s="8" t="s">
        <v>26</v>
      </c>
      <c r="I13" s="15" t="n">
        <v>0</v>
      </c>
      <c r="J13" s="8" t="n">
        <f aca="false">IF(COUNTIFS('Scores (start here)'!$A:$A,$B$1,'Scores (start here)'!$B:$B,$A13,'Scores (start here)'!$F:$F,"&gt;=0")&gt;0,SUMIFS('Scores (start here)'!$F:$F,'Scores (start here)'!$A:$A,$B$1,'Scores (start here)'!$B:$B,$A13),L13)</f>
        <v>0</v>
      </c>
      <c r="K13" s="12" t="s">
        <v>954</v>
      </c>
      <c r="L13" s="8" t="n">
        <f aca="false">IF($B13="NO","NA",IF(I13="","",MIN(I13,$B$6)))</f>
        <v>0</v>
      </c>
    </row>
    <row r="14" customFormat="false" ht="23.25" hidden="false" customHeight="true" outlineLevel="0" collapsed="false">
      <c r="A14" s="8" t="s">
        <v>29</v>
      </c>
      <c r="B14" s="8" t="s">
        <v>661</v>
      </c>
      <c r="C14" s="8" t="s">
        <v>364</v>
      </c>
      <c r="D14" s="8" t="s">
        <v>955</v>
      </c>
      <c r="E14" s="8" t="s">
        <v>956</v>
      </c>
      <c r="G14" s="8" t="s">
        <v>738</v>
      </c>
      <c r="H14" s="8" t="s">
        <v>365</v>
      </c>
      <c r="I14" s="15" t="n">
        <v>0</v>
      </c>
      <c r="J14" s="8" t="n">
        <f aca="false">IF(COUNTIFS('Scores (start here)'!$A:$A,$B$1,'Scores (start here)'!$B:$B,$A14,'Scores (start here)'!$F:$F,"&gt;=0")&gt;0,SUMIFS('Scores (start here)'!$F:$F,'Scores (start here)'!$A:$A,$B$1,'Scores (start here)'!$B:$B,$A14),L14)</f>
        <v>0</v>
      </c>
      <c r="K14" s="12" t="s">
        <v>957</v>
      </c>
      <c r="L14" s="8" t="n">
        <f aca="false">IF($B14="NO","NA",IF(I14="","",MIN(I14,$B$6)))</f>
        <v>0</v>
      </c>
    </row>
    <row r="15" customFormat="false" ht="23.25" hidden="false" customHeight="true" outlineLevel="0" collapsed="false">
      <c r="A15" s="8" t="s">
        <v>34</v>
      </c>
      <c r="B15" s="8" t="s">
        <v>661</v>
      </c>
      <c r="C15" s="8" t="s">
        <v>36</v>
      </c>
      <c r="D15" s="8" t="s">
        <v>958</v>
      </c>
      <c r="E15" s="8" t="s">
        <v>959</v>
      </c>
      <c r="F15" s="8" t="s">
        <v>960</v>
      </c>
      <c r="G15" s="8" t="s">
        <v>802</v>
      </c>
      <c r="H15" s="8" t="s">
        <v>37</v>
      </c>
      <c r="I15" s="15" t="n">
        <v>0</v>
      </c>
      <c r="J15" s="8" t="n">
        <f aca="false">IF(COUNTIFS('Scores (start here)'!$A:$A,$B$1,'Scores (start here)'!$B:$B,$A15,'Scores (start here)'!$F:$F,"&gt;=0")&gt;0,SUMIFS('Scores (start here)'!$F:$F,'Scores (start here)'!$A:$A,$B$1,'Scores (start here)'!$B:$B,$A15),L15)</f>
        <v>0</v>
      </c>
      <c r="K15" s="12" t="s">
        <v>961</v>
      </c>
      <c r="L15" s="8" t="n">
        <f aca="false">IF($B15="NO","NA",IF(I15="","",MIN(I15,$B$6)))</f>
        <v>0</v>
      </c>
    </row>
    <row r="16" customFormat="false" ht="236.25" hidden="false" customHeight="true" outlineLevel="0" collapsed="false">
      <c r="A16" s="8" t="s">
        <v>40</v>
      </c>
      <c r="B16" s="8" t="s">
        <v>661</v>
      </c>
      <c r="C16" s="8" t="s">
        <v>174</v>
      </c>
      <c r="D16" s="8" t="s">
        <v>783</v>
      </c>
      <c r="E16" s="8" t="s">
        <v>962</v>
      </c>
      <c r="F16" s="8" t="s">
        <v>963</v>
      </c>
      <c r="G16" s="8" t="s">
        <v>786</v>
      </c>
      <c r="H16" s="8" t="s">
        <v>175</v>
      </c>
      <c r="I16" s="15" t="n">
        <v>0</v>
      </c>
      <c r="J16" s="8" t="n">
        <f aca="false">IF(COUNTIFS('Scores (start here)'!$A:$A,$B$1,'Scores (start here)'!$B:$B,$A16,'Scores (start here)'!$F:$F,"&gt;=0")&gt;0,SUMIFS('Scores (start here)'!$F:$F,'Scores (start here)'!$A:$A,$B$1,'Scores (start here)'!$B:$B,$A16),L16)</f>
        <v>0</v>
      </c>
      <c r="K16" s="12" t="s">
        <v>964</v>
      </c>
      <c r="L16" s="8" t="n">
        <f aca="false">IF($B16="NO","NA",IF(I16="","",MIN(I16,$B$6)))</f>
        <v>0</v>
      </c>
    </row>
    <row r="17" customFormat="false" ht="15" hidden="false" customHeight="true" outlineLevel="0" collapsed="false">
      <c r="A17" s="8" t="s">
        <v>46</v>
      </c>
      <c r="B17" s="8" t="s">
        <v>661</v>
      </c>
      <c r="C17" s="8" t="s">
        <v>48</v>
      </c>
      <c r="D17" s="8" t="s">
        <v>965</v>
      </c>
      <c r="E17" s="8" t="s">
        <v>966</v>
      </c>
      <c r="G17" s="8" t="s">
        <v>665</v>
      </c>
      <c r="H17" s="8" t="s">
        <v>49</v>
      </c>
      <c r="I17" s="15" t="n">
        <v>0</v>
      </c>
      <c r="J17" s="8" t="n">
        <f aca="false">IF(COUNTIFS('Scores (start here)'!$A:$A,$B$1,'Scores (start here)'!$B:$B,$A17,'Scores (start here)'!$F:$F,"&gt;=0")&gt;0,SUMIFS('Scores (start here)'!$F:$F,'Scores (start here)'!$A:$A,$B$1,'Scores (start here)'!$B:$B,$A17),L17)</f>
        <v>0</v>
      </c>
      <c r="K17" s="12" t="s">
        <v>967</v>
      </c>
      <c r="L17" s="8" t="n">
        <f aca="false">IF($B17="NO","NA",IF(I17="","",MIN(I17,$B$6)))</f>
        <v>0</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377</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SC-4b</v>
      </c>
    </row>
    <row r="4" customFormat="false" ht="15" hidden="false" customHeight="true" outlineLevel="0" collapsed="false">
      <c r="A4" s="10" t="s">
        <v>438</v>
      </c>
      <c r="B4" s="4" t="str">
        <f aca="false">VLOOKUP($B$1,'PARASTATAL Questions'!$A:$J,4,0)&amp;""</f>
        <v>SQ</v>
      </c>
    </row>
    <row r="5" customFormat="false" ht="68.25" hidden="false" customHeight="true" outlineLevel="0" collapsed="false">
      <c r="A5" s="10" t="s">
        <v>0</v>
      </c>
      <c r="B5" s="4" t="str">
        <f aca="false">VLOOKUP($B$1,'PARASTATAL Questions'!$A:$J,5,0)&amp;""</f>
        <v>Is the medium/long-term fiscal plan publicly available?</v>
      </c>
    </row>
    <row r="6" customFormat="false" ht="15" hidden="false" customHeight="true" outlineLevel="0" collapsed="false">
      <c r="A6" s="10" t="s">
        <v>440</v>
      </c>
      <c r="B6" s="4" t="n">
        <f aca="false">VLOOKUP($B$1,'PARASTATAL Questions'!$A:$J,6,0)</f>
        <v>5</v>
      </c>
    </row>
    <row r="7" customFormat="false" ht="23.25" hidden="false" customHeight="true" outlineLevel="0" collapsed="false">
      <c r="A7" s="10" t="s">
        <v>439</v>
      </c>
      <c r="B7" s="4" t="str">
        <f aca="false">VLOOKUP($B$1,'PARASTATAL Questions'!$A:$J,7,0)&amp;""</f>
        <v>Implementation</v>
      </c>
    </row>
    <row r="8" customFormat="false" ht="15" hidden="false" customHeight="true" outlineLevel="0" collapsed="false">
      <c r="A8" s="10" t="s">
        <v>473</v>
      </c>
      <c r="B8" s="4" t="str">
        <f aca="false">VLOOKUP($B$1,'PARASTATAL Questions'!$A:$J,8,0)&amp;""</f>
        <v>Common.</v>
      </c>
    </row>
    <row r="9" customFormat="false" ht="135.75" hidden="false" customHeight="true" outlineLevel="0" collapsed="false">
      <c r="A9" s="10" t="s">
        <v>474</v>
      </c>
      <c r="B9" s="4" t="str">
        <f aca="false">VLOOKUP($B$1,'PARASTATAL Questions'!$A:$J,9,0)&amp;""</f>
        <v>Score 5 if the fiscal plan is published online on the relevant parastatal's website. Score 0 if not available.</v>
      </c>
    </row>
    <row r="10" customFormat="false" ht="45.75" hidden="false" customHeight="true" outlineLevel="0" collapsed="false">
      <c r="A10" s="10" t="s">
        <v>475</v>
      </c>
      <c r="B10" s="4" t="str">
        <f aca="false">VLOOKUP($B$1,'PARASTATAL Questions'!$A:$J,10,0)&amp;""</f>
        <v>Website of the relevant parastatal</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968</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969</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970</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971</v>
      </c>
      <c r="L16" s="8" t="str">
        <f aca="false">IF($B16="NO","NA",IF(I16="","",MIN(I16,$B$6)))</f>
        <v/>
      </c>
    </row>
    <row r="17" customFormat="false" ht="15" hidden="false" customHeight="true" outlineLevel="0" collapsed="false">
      <c r="A17" s="8" t="s">
        <v>46</v>
      </c>
      <c r="B17" s="8" t="s">
        <v>661</v>
      </c>
      <c r="C17" s="8" t="s">
        <v>206</v>
      </c>
      <c r="D17" s="8" t="s">
        <v>972</v>
      </c>
      <c r="E17" s="8" t="s">
        <v>973</v>
      </c>
      <c r="H17" s="8" t="s">
        <v>207</v>
      </c>
      <c r="I17" s="15"/>
      <c r="J17" s="8" t="str">
        <f aca="false">IF(COUNTIFS('Scores (start here)'!$A:$A,$B$1,'Scores (start here)'!$B:$B,$A17,'Scores (start here)'!$F:$F,"&gt;=0")&gt;0,SUMIFS('Scores (start here)'!$F:$F,'Scores (start here)'!$A:$A,$B$1,'Scores (start here)'!$B:$B,$A17),L17)</f>
        <v/>
      </c>
      <c r="K17" s="12" t="s">
        <v>974</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385</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SC-5</v>
      </c>
    </row>
    <row r="4" customFormat="false" ht="15" hidden="false" customHeight="true" outlineLevel="0" collapsed="false">
      <c r="A4" s="10" t="s">
        <v>438</v>
      </c>
      <c r="B4" s="4" t="str">
        <f aca="false">VLOOKUP($B$1,'PARASTATAL Questions'!$A:$J,4,0)&amp;""</f>
        <v>MQ</v>
      </c>
    </row>
    <row r="5" customFormat="false" ht="124.5" hidden="false" customHeight="true" outlineLevel="0" collapsed="false">
      <c r="A5" s="10" t="s">
        <v>0</v>
      </c>
      <c r="B5" s="4" t="str">
        <f aca="false">VLOOKUP($B$1,'PARASTATAL Questions'!$A:$J,5,0)&amp;""</f>
        <v>Does the law mandate a minimum tenure for the executive authority of the parastatal?</v>
      </c>
    </row>
    <row r="6" customFormat="false" ht="15" hidden="false" customHeight="true" outlineLevel="0" collapsed="false">
      <c r="A6" s="10" t="s">
        <v>440</v>
      </c>
      <c r="B6" s="4" t="n">
        <f aca="false">VLOOKUP($B$1,'PARASTATAL Questions'!$A:$J,6,0)</f>
        <v>10</v>
      </c>
    </row>
    <row r="7" customFormat="false" ht="15" hidden="false" customHeight="true" outlineLevel="0" collapsed="false">
      <c r="A7" s="10" t="s">
        <v>439</v>
      </c>
      <c r="B7" s="4" t="str">
        <f aca="false">VLOOKUP($B$1,'PARASTATAL Questions'!$A:$J,7,0)&amp;""</f>
        <v>Law/Policy</v>
      </c>
    </row>
    <row r="8" customFormat="false" ht="15" hidden="false" customHeight="true" outlineLevel="0" collapsed="false">
      <c r="A8" s="10" t="s">
        <v>473</v>
      </c>
      <c r="B8" s="4" t="str">
        <f aca="false">VLOOKUP($B$1,'PARASTATAL Questions'!$A:$J,8,0)&amp;""</f>
        <v>Common.</v>
      </c>
    </row>
    <row r="9" customFormat="false" ht="885.75" hidden="false" customHeight="true" outlineLevel="0" collapsed="false">
      <c r="A9" s="10" t="s">
        <v>474</v>
      </c>
      <c r="B9" s="4" t="str">
        <f aca="false">VLOOKUP($B$1,'PARASTATAL Questions'!$A:$J,9,0)&amp;""</f>
        <v>Review the relevant Parastatal Act and rules governing the appointment of the chief executive/executive authority.Score 10 — the law mandates a minimum tenure of two years (or more) for the executive authority, with removal permitted only on defined grounds (e.g. misconduct, incapacity) rather than at unrestricted discretion.Score 5 — the law mandates a minimum tenure of less than two years.Score 0 — no minimum tenure is prescribed in law.This refers to the bureaucratic/administrative head of the parastatal — for example, the Managing Director, Commissioner, Chief Executive Officer or equivalent executive authority — and not to the Chairperson or political head.</v>
      </c>
    </row>
    <row r="10" customFormat="false" ht="147" hidden="false" customHeight="true" outlineLevel="0" collapsed="false">
      <c r="A10" s="10" t="s">
        <v>475</v>
      </c>
      <c r="B10" s="4" t="str">
        <f aca="false">VLOOKUP($B$1,'PARASTATAL Questions'!$A:$J,10,0)&amp;""</f>
        <v>Relevant Parastatal Act; rules governing appointment, tenure and removal of the executive authority/chief executive.</v>
      </c>
    </row>
    <row r="11" customFormat="false" ht="15" hidden="false" customHeight="true" outlineLevel="0" collapsed="false">
      <c r="B11" s="14" t="s">
        <v>647</v>
      </c>
      <c r="I11" s="14" t="s">
        <v>812</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C13" s="8" t="s">
        <v>25</v>
      </c>
      <c r="D13" s="8" t="s">
        <v>975</v>
      </c>
      <c r="E13" s="8" t="s">
        <v>976</v>
      </c>
      <c r="F13" s="8" t="s">
        <v>977</v>
      </c>
      <c r="G13" s="8" t="s">
        <v>198</v>
      </c>
      <c r="H13" s="8" t="s">
        <v>26</v>
      </c>
      <c r="I13" s="15" t="n">
        <v>0</v>
      </c>
      <c r="J13" s="8" t="n">
        <f aca="false">IF(COUNTIFS('Scores (start here)'!$A:$A,$B$1,'Scores (start here)'!$B:$B,$A13,'Scores (start here)'!$F:$F,"&gt;=0")&gt;0,SUMIFS('Scores (start here)'!$F:$F,'Scores (start here)'!$A:$A,$B$1,'Scores (start here)'!$B:$B,$A13),L13)</f>
        <v>0</v>
      </c>
      <c r="K13" s="12" t="s">
        <v>978</v>
      </c>
      <c r="L13" s="8" t="n">
        <f aca="false">IF($B13="NO","NA",IF(I13="","",MIN(I13,$B$6)))</f>
        <v>0</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979</v>
      </c>
      <c r="L14" s="8" t="str">
        <f aca="false">IF($B14="NO","NA",IF(I14="","",MIN(I14,$B$6)))</f>
        <v/>
      </c>
    </row>
    <row r="15" customFormat="false" ht="303" hidden="false" customHeight="true" outlineLevel="0" collapsed="false">
      <c r="A15" s="8" t="s">
        <v>34</v>
      </c>
      <c r="B15" s="8" t="s">
        <v>661</v>
      </c>
      <c r="C15" s="8" t="s">
        <v>36</v>
      </c>
      <c r="D15" s="8" t="s">
        <v>980</v>
      </c>
      <c r="E15" s="8" t="s">
        <v>981</v>
      </c>
      <c r="F15" s="8" t="s">
        <v>982</v>
      </c>
      <c r="G15" s="8" t="s">
        <v>983</v>
      </c>
      <c r="H15" s="8" t="s">
        <v>37</v>
      </c>
      <c r="I15" s="15" t="n">
        <v>0</v>
      </c>
      <c r="J15" s="8" t="n">
        <f aca="false">IF(COUNTIFS('Scores (start here)'!$A:$A,$B$1,'Scores (start here)'!$B:$B,$A15,'Scores (start here)'!$F:$F,"&gt;=0")&gt;0,SUMIFS('Scores (start here)'!$F:$F,'Scores (start here)'!$A:$A,$B$1,'Scores (start here)'!$B:$B,$A15),L15)</f>
        <v>0</v>
      </c>
      <c r="K15" s="12" t="s">
        <v>984</v>
      </c>
      <c r="L15" s="8" t="n">
        <f aca="false">IF($B15="NO","NA",IF(I15="","",MIN(I15,$B$6)))</f>
        <v>0</v>
      </c>
    </row>
    <row r="16" customFormat="false" ht="202.5" hidden="false" customHeight="true" outlineLevel="0" collapsed="false">
      <c r="A16" s="8" t="s">
        <v>40</v>
      </c>
      <c r="B16" s="8" t="s">
        <v>661</v>
      </c>
      <c r="C16" s="8" t="s">
        <v>174</v>
      </c>
      <c r="D16" s="8" t="s">
        <v>985</v>
      </c>
      <c r="E16" s="8" t="s">
        <v>962</v>
      </c>
      <c r="F16" s="8" t="s">
        <v>986</v>
      </c>
      <c r="G16" s="8" t="s">
        <v>786</v>
      </c>
      <c r="H16" s="8" t="s">
        <v>175</v>
      </c>
      <c r="I16" s="15" t="n">
        <v>0</v>
      </c>
      <c r="J16" s="8" t="n">
        <f aca="false">IF(COUNTIFS('Scores (start here)'!$A:$A,$B$1,'Scores (start here)'!$B:$B,$A16,'Scores (start here)'!$F:$F,"&gt;=0")&gt;0,SUMIFS('Scores (start here)'!$F:$F,'Scores (start here)'!$A:$A,$B$1,'Scores (start here)'!$B:$B,$A16),L16)</f>
        <v>0</v>
      </c>
      <c r="K16" s="12" t="s">
        <v>987</v>
      </c>
      <c r="L16" s="8" t="n">
        <f aca="false">IF($B16="NO","NA",IF(I16="","",MIN(I16,$B$6)))</f>
        <v>0</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667</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397</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SC-6</v>
      </c>
    </row>
    <row r="4" customFormat="false" ht="15" hidden="false" customHeight="true" outlineLevel="0" collapsed="false">
      <c r="A4" s="10" t="s">
        <v>438</v>
      </c>
      <c r="B4" s="4" t="str">
        <f aca="false">VLOOKUP($B$1,'PARASTATAL Questions'!$A:$J,4,0)&amp;""</f>
        <v>MQ</v>
      </c>
    </row>
    <row r="5" customFormat="false" ht="124.5" hidden="false" customHeight="true" outlineLevel="0" collapsed="false">
      <c r="A5" s="10" t="s">
        <v>0</v>
      </c>
      <c r="B5" s="4" t="str">
        <f aca="false">VLOOKUP($B$1,'PARASTATAL Questions'!$A:$J,5,0)&amp;""</f>
        <v>What is the average tenure of the chief executive/executive authority of the parastatal?</v>
      </c>
    </row>
    <row r="6" customFormat="false" ht="15" hidden="false" customHeight="true" outlineLevel="0" collapsed="false">
      <c r="A6" s="10" t="s">
        <v>440</v>
      </c>
      <c r="B6" s="4" t="n">
        <f aca="false">VLOOKUP($B$1,'PARASTATAL Questions'!$A:$J,6,0)</f>
        <v>10</v>
      </c>
    </row>
    <row r="7" customFormat="false" ht="34.5" hidden="false" customHeight="true" outlineLevel="0" collapsed="false">
      <c r="A7" s="10" t="s">
        <v>439</v>
      </c>
      <c r="B7" s="4" t="str">
        <f aca="false">VLOOKUP($B$1,'PARASTATAL Questions'!$A:$J,7,0)&amp;""</f>
        <v>Implementation (Numeric)</v>
      </c>
    </row>
    <row r="8" customFormat="false" ht="124.5" hidden="false" customHeight="true" outlineLevel="0" collapsed="false">
      <c r="A8" s="10" t="s">
        <v>473</v>
      </c>
      <c r="B8" s="4" t="str">
        <f aca="false">VLOOKUP($B$1,'PARASTATAL Questions'!$A:$J,8,0)&amp;""</f>
        <v>Common — all parastatal types with a designated chief executive/executive authority post.</v>
      </c>
    </row>
    <row r="9" customFormat="false" ht="415.5" hidden="false" customHeight="true" outlineLevel="0" collapsed="false">
      <c r="A9" s="10" t="s">
        <v>474</v>
      </c>
      <c r="B9" s="4" t="str">
        <f aca="false">VLOOKUP($B$1,'PARASTATAL Questions'!$A:$J,9,0)&amp;""</f>
        <v>Review appointments/transfers of the chief executive or executive authority over the last five years. Score 10 if one chief executive has served during the periodScore 5 if 2–3 chief executives have servedScore 0 if more than 3 chief executives have served. Where an officer has held only additional/acting charge, record this separately.</v>
      </c>
    </row>
    <row r="10" customFormat="false" ht="124.5" hidden="false" customHeight="true" outlineLevel="0" collapsed="false">
      <c r="A10" s="10" t="s">
        <v>475</v>
      </c>
      <c r="B10" s="4" t="str">
        <f aca="false">VLOOKUP($B$1,'PARASTATAL Questions'!$A:$J,10,0)&amp;""</f>
        <v>Newspaper reports, Gazette notifications of appointment/transfer and website of relevant parastatal</v>
      </c>
    </row>
    <row r="11" customFormat="false" ht="15" hidden="false" customHeight="true" outlineLevel="0" collapsed="false">
      <c r="B11" s="14" t="s">
        <v>647</v>
      </c>
      <c r="I11" s="14" t="s">
        <v>812</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988</v>
      </c>
      <c r="L13" s="8" t="str">
        <f aca="false">IF($B13="NO","NA",IF(I13="","",MIN(I13,$B$6)))</f>
        <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989</v>
      </c>
      <c r="L14" s="8" t="str">
        <f aca="false">IF($B14="NO","NA",IF(I14="","",MIN(I14,$B$6)))</f>
        <v/>
      </c>
    </row>
    <row r="15" customFormat="false" ht="57"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12" t="s">
        <v>990</v>
      </c>
      <c r="L15" s="8" t="str">
        <f aca="false">IF($B15="NO","NA",IF(I15="","",MIN(I15,$B$6)))</f>
        <v/>
      </c>
    </row>
    <row r="16" customFormat="false" ht="15" hidden="false" customHeight="true" outlineLevel="0" collapsed="false">
      <c r="A16" s="8" t="s">
        <v>40</v>
      </c>
      <c r="B16" s="8" t="s">
        <v>661</v>
      </c>
      <c r="C16" s="8" t="s">
        <v>174</v>
      </c>
      <c r="D16" s="8" t="s">
        <v>991</v>
      </c>
      <c r="E16" s="8" t="s">
        <v>992</v>
      </c>
      <c r="F16" s="8" t="s">
        <v>993</v>
      </c>
      <c r="G16" s="8" t="s">
        <v>994</v>
      </c>
      <c r="H16" s="8" t="s">
        <v>175</v>
      </c>
      <c r="I16" s="15"/>
      <c r="J16" s="8" t="str">
        <f aca="false">IF(COUNTIFS('Scores (start here)'!$A:$A,$B$1,'Scores (start here)'!$B:$B,$A16,'Scores (start here)'!$F:$F,"&gt;=0")&gt;0,SUMIFS('Scores (start here)'!$F:$F,'Scores (start here)'!$A:$A,$B$1,'Scores (start here)'!$B:$B,$A16),L16)</f>
        <v/>
      </c>
      <c r="K16" s="12" t="s">
        <v>995</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996</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406</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SC-7a</v>
      </c>
    </row>
    <row r="4" customFormat="false" ht="15" hidden="false" customHeight="true" outlineLevel="0" collapsed="false">
      <c r="A4" s="10" t="s">
        <v>438</v>
      </c>
      <c r="B4" s="4" t="str">
        <f aca="false">VLOOKUP($B$1,'PARASTATAL Questions'!$A:$J,4,0)&amp;""</f>
        <v>SQ</v>
      </c>
    </row>
    <row r="5" customFormat="false" ht="102" hidden="false" customHeight="true" outlineLevel="0" collapsed="false">
      <c r="A5" s="10" t="s">
        <v>0</v>
      </c>
      <c r="B5" s="4" t="str">
        <f aca="false">VLOOKUP($B$1,'PARASTATAL Questions'!$A:$J,5,0)&amp;""</f>
        <v>Does the parastatal have adequate staffing capacity to discharge its mandate?</v>
      </c>
    </row>
    <row r="6" customFormat="false" ht="15" hidden="false" customHeight="true" outlineLevel="0" collapsed="false">
      <c r="A6" s="10" t="s">
        <v>440</v>
      </c>
      <c r="B6" s="4" t="n">
        <f aca="false">VLOOKUP($B$1,'PARASTATAL Questions'!$A:$J,6,0)</f>
        <v>5</v>
      </c>
    </row>
    <row r="7" customFormat="false" ht="34.5" hidden="false" customHeight="true" outlineLevel="0" collapsed="false">
      <c r="A7" s="10" t="s">
        <v>439</v>
      </c>
      <c r="B7" s="4" t="str">
        <f aca="false">VLOOKUP($B$1,'PARASTATAL Questions'!$A:$J,7,0)&amp;""</f>
        <v>Implementation (Numeric)</v>
      </c>
    </row>
    <row r="8" customFormat="false" ht="45.75" hidden="false" customHeight="true" outlineLevel="0" collapsed="false">
      <c r="A8" s="10" t="s">
        <v>473</v>
      </c>
      <c r="B8" s="4" t="str">
        <f aca="false">VLOOKUP($B$1,'PARASTATAL Questions'!$A:$J,8,0)&amp;""</f>
        <v>Common — all parastatal types.</v>
      </c>
    </row>
    <row r="9" customFormat="false" ht="538.5" hidden="false" customHeight="true" outlineLevel="0" collapsed="false">
      <c r="A9" s="10" t="s">
        <v>474</v>
      </c>
      <c r="B9" s="4" t="str">
        <f aca="false">VLOOKUP($B$1,'PARASTATAL Questions'!$A:$J,9,0)&amp;""</f>
        <v>Collect the parastatal’s sanctioned and filled positions, including permanent and contractual staff where they form part of the approved staffing structure. Calculate the proportion of sanctioned positions that are filled.Score 5 – 90% or more of sanctioned positions filledScore 4 – 75%–89%Score 3 – 60%–74%Score 2 – 40%–59%Score 1 – below 40%Score 0 – no staffing data available / no evidence of sanctioned staffing structure</v>
      </c>
    </row>
    <row r="10" customFormat="false" ht="135.75" hidden="false" customHeight="true" outlineLevel="0" collapsed="false">
      <c r="A10" s="10" t="s">
        <v>475</v>
      </c>
      <c r="B10" s="4" t="str">
        <f aca="false">VLOOKUP($B$1,'PARASTATAL Questions'!$A:$J,10,0)&amp;""</f>
        <v>Staffing records on the website/ RTI  and/or formal data request with the parastatal/ annual report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79.5" hidden="false" customHeight="true" outlineLevel="0" collapsed="false">
      <c r="A13" s="8" t="s">
        <v>19</v>
      </c>
      <c r="B13" s="8" t="s">
        <v>661</v>
      </c>
      <c r="C13" s="8" t="s">
        <v>55</v>
      </c>
      <c r="D13" s="8" t="s">
        <v>997</v>
      </c>
      <c r="E13" s="8" t="s">
        <v>998</v>
      </c>
      <c r="F13" s="8" t="s">
        <v>999</v>
      </c>
      <c r="G13" s="8" t="s">
        <v>1000</v>
      </c>
      <c r="H13" s="8" t="s">
        <v>56</v>
      </c>
      <c r="I13" s="15" t="n">
        <v>3</v>
      </c>
      <c r="J13" s="8" t="n">
        <f aca="false">IF(COUNTIFS('Scores (start here)'!$A:$A,$B$1,'Scores (start here)'!$B:$B,$A13,'Scores (start here)'!$F:$F,"&gt;=0")&gt;0,SUMIFS('Scores (start here)'!$F:$F,'Scores (start here)'!$A:$A,$B$1,'Scores (start here)'!$B:$B,$A13),L13)</f>
        <v>3</v>
      </c>
      <c r="K13" s="12" t="s">
        <v>1001</v>
      </c>
      <c r="L13" s="8" t="n">
        <f aca="false">IF($B13="NO","NA",IF(I13="","",MIN(I13,$B$6)))</f>
        <v>3</v>
      </c>
    </row>
    <row r="14" customFormat="false" ht="1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8" t="s">
        <v>1002</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1003</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1004</v>
      </c>
      <c r="L16" s="8" t="str">
        <f aca="false">IF($B16="NO","NA",IF(I16="","",MIN(I16,$B$6)))</f>
        <v/>
      </c>
    </row>
    <row r="17" customFormat="false" ht="258.75" hidden="false" customHeight="true" outlineLevel="0" collapsed="false">
      <c r="A17" s="8" t="s">
        <v>46</v>
      </c>
      <c r="B17" s="8" t="s">
        <v>661</v>
      </c>
      <c r="C17" s="8" t="s">
        <v>251</v>
      </c>
      <c r="D17" s="8" t="s">
        <v>1005</v>
      </c>
      <c r="E17" s="8" t="s">
        <v>1006</v>
      </c>
      <c r="H17" s="8" t="s">
        <v>252</v>
      </c>
      <c r="I17" s="15"/>
      <c r="J17" s="8" t="str">
        <f aca="false">IF(COUNTIFS('Scores (start here)'!$A:$A,$B$1,'Scores (start here)'!$B:$B,$A17,'Scores (start here)'!$F:$F,"&gt;=0")&gt;0,SUMIFS('Scores (start here)'!$F:$F,'Scores (start here)'!$A:$A,$B$1,'Scores (start here)'!$B:$B,$A17),L17)</f>
        <v/>
      </c>
      <c r="K17" s="12" t="s">
        <v>1007</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644</v>
      </c>
      <c r="B1" s="8" t="s">
        <v>417</v>
      </c>
      <c r="C1" s="8" t="s">
        <v>645</v>
      </c>
      <c r="J1" s="13" t="s">
        <v>646</v>
      </c>
    </row>
    <row r="2" customFormat="false" ht="23.25" hidden="false" customHeight="true" outlineLevel="0" collapsed="false">
      <c r="A2" s="10" t="s">
        <v>437</v>
      </c>
      <c r="B2" s="4" t="str">
        <f aca="false">VLOOKUP($B$1,'PARASTATAL Questions'!$A:$J,3,0)&amp;""</f>
        <v>State Capacities</v>
      </c>
    </row>
    <row r="3" customFormat="false" ht="15" hidden="false" customHeight="true" outlineLevel="0" collapsed="false">
      <c r="A3" s="10" t="s">
        <v>472</v>
      </c>
      <c r="B3" s="4" t="str">
        <f aca="false">VLOOKUP($B$1,'PARASTATAL Questions'!$A:$J,2,0)&amp;""</f>
        <v>SC-7b</v>
      </c>
    </row>
    <row r="4" customFormat="false" ht="15" hidden="false" customHeight="true" outlineLevel="0" collapsed="false">
      <c r="A4" s="10" t="s">
        <v>438</v>
      </c>
      <c r="B4" s="4" t="str">
        <f aca="false">VLOOKUP($B$1,'PARASTATAL Questions'!$A:$J,4,0)&amp;""</f>
        <v>SQ</v>
      </c>
    </row>
    <row r="5" customFormat="false" ht="79.5" hidden="false" customHeight="true" outlineLevel="0" collapsed="false">
      <c r="A5" s="10" t="s">
        <v>0</v>
      </c>
      <c r="B5" s="4" t="str">
        <f aca="false">VLOOKUP($B$1,'PARASTATAL Questions'!$A:$J,5,0)&amp;""</f>
        <v>What proportion of the parastatal's workforce is women?</v>
      </c>
    </row>
    <row r="6" customFormat="false" ht="15" hidden="false" customHeight="true" outlineLevel="0" collapsed="false">
      <c r="A6" s="10" t="s">
        <v>440</v>
      </c>
      <c r="B6" s="4" t="n">
        <f aca="false">VLOOKUP($B$1,'PARASTATAL Questions'!$A:$J,6,0)</f>
        <v>5</v>
      </c>
    </row>
    <row r="7" customFormat="false" ht="34.5" hidden="false" customHeight="true" outlineLevel="0" collapsed="false">
      <c r="A7" s="10" t="s">
        <v>439</v>
      </c>
      <c r="B7" s="4" t="str">
        <f aca="false">VLOOKUP($B$1,'PARASTATAL Questions'!$A:$J,7,0)&amp;""</f>
        <v>Implementation (Numeric)</v>
      </c>
    </row>
    <row r="8" customFormat="false" ht="45.75" hidden="false" customHeight="true" outlineLevel="0" collapsed="false">
      <c r="A8" s="10" t="s">
        <v>473</v>
      </c>
      <c r="B8" s="4" t="str">
        <f aca="false">VLOOKUP($B$1,'PARASTATAL Questions'!$A:$J,8,0)&amp;""</f>
        <v>Common — all parastatal types.</v>
      </c>
    </row>
    <row r="9" customFormat="false" ht="684" hidden="false" customHeight="true" outlineLevel="0" collapsed="false">
      <c r="A9" s="10" t="s">
        <v>474</v>
      </c>
      <c r="B9" s="4" t="str">
        <f aca="false">VLOOKUP($B$1,'PARASTATAL Questions'!$A:$J,9,0)&amp;""</f>
        <v>Compute women employees as a proportion of total filled posts using the latest available staffing data. % women in workforce = (Number of women employees ÷ Total filled posts) × 100, using the latest available staffing data.Scoring bands:Score 5 — women constitute ≥33% of the workforceScore 2.5 — women constitute 15–32% of the workforceScore 0 — women constitute &lt;15% of the workforceAlso record, wherever available, the proportion of women in senior/decision-making positions and technical/professional cadres.</v>
      </c>
    </row>
    <row r="10" customFormat="false" ht="135.75" hidden="false" customHeight="true" outlineLevel="0" collapsed="false">
      <c r="A10" s="10" t="s">
        <v>475</v>
      </c>
      <c r="B10" s="4" t="str">
        <f aca="false">VLOOKUP($B$1,'PARASTATAL Questions'!$A:$J,10,0)&amp;""</f>
        <v>Staffing records on the website/ RTI  and/or formal data request with the parastatal/ annual report</v>
      </c>
    </row>
    <row r="11" customFormat="false" ht="15" hidden="false" customHeight="true" outlineLevel="0" collapsed="false">
      <c r="B11" s="14" t="s">
        <v>647</v>
      </c>
      <c r="I11" s="14" t="s">
        <v>648</v>
      </c>
      <c r="J11" s="14" t="s">
        <v>649</v>
      </c>
      <c r="L11" s="8" t="s">
        <v>650</v>
      </c>
    </row>
    <row r="12" customFormat="false" ht="51.75" hidden="false" customHeight="true" outlineLevel="0" collapsed="false">
      <c r="A12" s="1" t="s">
        <v>462</v>
      </c>
      <c r="B12" s="1" t="s">
        <v>651</v>
      </c>
      <c r="C12" s="1" t="s">
        <v>652</v>
      </c>
      <c r="D12" s="1" t="s">
        <v>653</v>
      </c>
      <c r="E12" s="1" t="s">
        <v>654</v>
      </c>
      <c r="F12" s="1" t="s">
        <v>655</v>
      </c>
      <c r="G12" s="1" t="s">
        <v>656</v>
      </c>
      <c r="H12" s="1" t="s">
        <v>14</v>
      </c>
      <c r="I12" s="1" t="s">
        <v>657</v>
      </c>
      <c r="J12" s="1" t="s">
        <v>658</v>
      </c>
      <c r="K12" s="1" t="s">
        <v>659</v>
      </c>
      <c r="L12" s="8" t="s">
        <v>660</v>
      </c>
    </row>
    <row r="13" customFormat="false" ht="15" hidden="false" customHeight="true" outlineLevel="0" collapsed="false">
      <c r="A13" s="8" t="s">
        <v>19</v>
      </c>
      <c r="B13" s="8" t="s">
        <v>661</v>
      </c>
      <c r="I13" s="15"/>
      <c r="J13" s="8" t="str">
        <f aca="false">IF(COUNTIFS('Scores (start here)'!$A:$A,$B$1,'Scores (start here)'!$B:$B,$A13,'Scores (start here)'!$F:$F,"&gt;=0")&gt;0,SUMIFS('Scores (start here)'!$F:$F,'Scores (start here)'!$A:$A,$B$1,'Scores (start here)'!$B:$B,$A13),L13)</f>
        <v/>
      </c>
      <c r="K13" s="8" t="s">
        <v>1008</v>
      </c>
      <c r="L13" s="8" t="str">
        <f aca="false">IF($B13="NO","NA",IF(I13="","",MIN(I13,$B$6)))</f>
        <v/>
      </c>
    </row>
    <row r="14" customFormat="false" ht="68.25" hidden="false" customHeight="true" outlineLevel="0" collapsed="false">
      <c r="A14" s="8" t="s">
        <v>29</v>
      </c>
      <c r="B14" s="8" t="s">
        <v>661</v>
      </c>
      <c r="I14" s="15"/>
      <c r="J14" s="8" t="str">
        <f aca="false">IF(COUNTIFS('Scores (start here)'!$A:$A,$B$1,'Scores (start here)'!$B:$B,$A14,'Scores (start here)'!$F:$F,"&gt;=0")&gt;0,SUMIFS('Scores (start here)'!$F:$F,'Scores (start here)'!$A:$A,$B$1,'Scores (start here)'!$B:$B,$A14),L14)</f>
        <v/>
      </c>
      <c r="K14" s="12" t="s">
        <v>1009</v>
      </c>
      <c r="L14" s="8" t="str">
        <f aca="false">IF($B14="NO","NA",IF(I14="","",MIN(I14,$B$6)))</f>
        <v/>
      </c>
    </row>
    <row r="15" customFormat="false" ht="15" hidden="false" customHeight="true" outlineLevel="0" collapsed="false">
      <c r="A15" s="8" t="s">
        <v>34</v>
      </c>
      <c r="B15" s="8" t="s">
        <v>661</v>
      </c>
      <c r="I15" s="15"/>
      <c r="J15" s="8" t="str">
        <f aca="false">IF(COUNTIFS('Scores (start here)'!$A:$A,$B$1,'Scores (start here)'!$B:$B,$A15,'Scores (start here)'!$F:$F,"&gt;=0")&gt;0,SUMIFS('Scores (start here)'!$F:$F,'Scores (start here)'!$A:$A,$B$1,'Scores (start here)'!$B:$B,$A15),L15)</f>
        <v/>
      </c>
      <c r="K15" s="8" t="s">
        <v>1010</v>
      </c>
      <c r="L15" s="8" t="str">
        <f aca="false">IF($B15="NO","NA",IF(I15="","",MIN(I15,$B$6)))</f>
        <v/>
      </c>
    </row>
    <row r="16" customFormat="false" ht="15" hidden="false" customHeight="true" outlineLevel="0" collapsed="false">
      <c r="A16" s="8" t="s">
        <v>40</v>
      </c>
      <c r="B16" s="8" t="s">
        <v>661</v>
      </c>
      <c r="I16" s="15"/>
      <c r="J16" s="8" t="str">
        <f aca="false">IF(COUNTIFS('Scores (start here)'!$A:$A,$B$1,'Scores (start here)'!$B:$B,$A16,'Scores (start here)'!$F:$F,"&gt;=0")&gt;0,SUMIFS('Scores (start here)'!$F:$F,'Scores (start here)'!$A:$A,$B$1,'Scores (start here)'!$B:$B,$A16),L16)</f>
        <v/>
      </c>
      <c r="K16" s="8" t="s">
        <v>1011</v>
      </c>
      <c r="L16" s="8" t="str">
        <f aca="false">IF($B16="NO","NA",IF(I16="","",MIN(I16,$B$6)))</f>
        <v/>
      </c>
    </row>
    <row r="17" customFormat="false" ht="15" hidden="false" customHeight="true" outlineLevel="0" collapsed="false">
      <c r="A17" s="8" t="s">
        <v>46</v>
      </c>
      <c r="B17" s="8" t="s">
        <v>661</v>
      </c>
      <c r="I17" s="15"/>
      <c r="J17" s="8" t="str">
        <f aca="false">IF(COUNTIFS('Scores (start here)'!$A:$A,$B$1,'Scores (start here)'!$B:$B,$A17,'Scores (start here)'!$F:$F,"&gt;=0")&gt;0,SUMIFS('Scores (start here)'!$F:$F,'Scores (start here)'!$A:$A,$B$1,'Scores (start here)'!$B:$B,$A17),L17)</f>
        <v/>
      </c>
      <c r="K17" s="8" t="s">
        <v>1012</v>
      </c>
      <c r="L17" s="8" t="str">
        <f aca="false">IF($B17="NO","NA",IF(I17="","",MIN(I17,$B$6)))</f>
        <v/>
      </c>
    </row>
    <row r="18" customFormat="false" ht="15" hidden="false" customHeight="true" outlineLevel="0" collapsed="false">
      <c r="A18" s="8" t="s">
        <v>441</v>
      </c>
      <c r="B18" s="8" t="s">
        <v>661</v>
      </c>
      <c r="I18" s="15"/>
      <c r="J18" s="8" t="str">
        <f aca="false">IF(COUNTIFS('Scores (start here)'!$A:$A,$B$1,'Scores (start here)'!$B:$B,$A18,'Scores (start here)'!$F:$F,"&gt;=0")&gt;0,SUMIFS('Scores (start here)'!$F:$F,'Scores (start here)'!$A:$A,$B$1,'Scores (start here)'!$B:$B,$A18),L18)</f>
        <v/>
      </c>
      <c r="L18" s="8" t="str">
        <f aca="false">IF($B18="NO","NA",IF(I18="","",MIN(I18,$B$6)))</f>
        <v/>
      </c>
    </row>
    <row r="19" customFormat="false" ht="15" hidden="false" customHeight="true" outlineLevel="0" collapsed="false">
      <c r="A19" s="8" t="s">
        <v>442</v>
      </c>
      <c r="B19" s="8" t="s">
        <v>661</v>
      </c>
      <c r="I19" s="15"/>
      <c r="J19" s="8" t="str">
        <f aca="false">IF(COUNTIFS('Scores (start here)'!$A:$A,$B$1,'Scores (start here)'!$B:$B,$A19,'Scores (start here)'!$F:$F,"&gt;=0")&gt;0,SUMIFS('Scores (start here)'!$F:$F,'Scores (start here)'!$A:$A,$B$1,'Scores (start here)'!$B:$B,$A19),L19)</f>
        <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2026-10-08T11:34:51Z</dcterms:created>
  <dc:creator>openpyxl</dc:creator>
  <dc:description/>
  <dc:language>en-IN</dc:language>
  <cp:lastModifiedBy/>
  <dcterms:modified xsi:type="dcterms:W3CDTF">2026-10-13T05:24:50Z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