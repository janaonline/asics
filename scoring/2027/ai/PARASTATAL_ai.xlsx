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here)'!$A$1:$R$156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<sst xmlns="http://schemas.openxmlformats.org/spreadsheetml/2006/main" count="4358" uniqueCount="1062">
  <si>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</si>
  <si>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</si>
  <si>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</si>
  <si>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</si>
  <si>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</si>
  <si>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</si>
  <si>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</si>
  <si>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</si>
  <si>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</si>
  <si>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</si>
  <si>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</si>
  <si>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</si>
  <si>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</si>
  <si>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</si>
  <si>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</si>
  <si>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</si>
  <si>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</si>
  <si>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</si>
  <si>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</si>
  <si>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</si>
  <si>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Is the parastatal mandated to prepare its spatial and/or sectoral plans in coordination with the ULG(s) within its jurisdiction?</t>
  </si>
  <si>
    <t xml:space="preserve">5</t>
  </si>
  <si>
    <t xml:space="preserve">Left for a person</t>
  </si>
  <si>
    <t xml:space="preserve">Partially Answered</t>
  </si>
  <si>
    <t xml:space="preserve">ANSWER: Not determined. No provision in the Citation Sheet requires BWSSB to prepare its spatial or sectoral plans in coordination with, or with approval from, the GBA or the City Corporations. The only nearby mechanisms are advisory or run in the opposite direction. | EVIDENCE: (1) BWSSB Act 1964 s.14 (FAOLEX copy, as amended). The State Government 'shall constitute a Consultative Committee'. Its members are Board members plus 3-9 others appointed 'after consultation with' bodies representing the Municipal Corporation of the City of Bangalore, the Bangalore City Improvement Trust Board and water consumers. Its function is 'to advise the Board on major questions of policy and major schemes'. This is an advisory body, and ULG input only shapes who is appointed. It is not mandatory ULG consultation on plan preparation. The Act names the old Corporation, and no official source in the sheet shows the GBA substituted. (2) BWSSB Act s.36 and s.38 cover water supply to the Corporation and public hydrants. They do not deal with plan preparation. (3) Greater Bengaluru Governance Act 2024 (Gazette text as published 24.04.2025), s.14(2)(a): the GBA 'shall be the Planning Authority' under the Karnataka T&amp;CP Act 1961 for the Greater Bengaluru Area. Section 15(5) says the GBA 'may assign the task of planning the major infrastructural projects' to public authorities and that 'The agencies shall be bound to assist the Greater Bengaluru Authority when called up on to do so.' This is a GBA-to-</t>
  </si>
  <si>
    <t xml:space="preserve">THE BANGALORE WATER SUPPLY AND SEWERAGE ACT, 1964 (FAOLEX PDF) [BWSSB-04]</t>
  </si>
  <si>
    <t xml:space="preserve">https://faolex.fao.org/docs/pdf/ind201320.pdf</t>
  </si>
  <si>
    <t xml:space="preserve">to advise the Board on major questions of policy and major schemes;</t>
  </si>
  <si>
    <t xml:space="preserve">Score left blank. SCALE: the bands run to 10 and Max Score is 5, so the band would be converted as band x 5/10. Evidence read: BWSSB Act s.14 (Consultative Committee) and s.15 (general duties). Section 14 is advisory. The State Government forms the committee, and the Municipal Corporation of the City of Bangalore and the BCITB are only consulted on who is appointed. Section 15(2)(b)-(c) says the Board prepares schemes, and schemes costing over Rs 1 crore need State Government approval. No ULG coordination, consultation or approval is required for plan preparation. The Step 2 answer also found no such duty in the Greater Bengaluru Governance Act 2024 s.14-15, where 'may assign' is discretionary and runs from the GBA to the agency. It found none in the T&amp;CP Act 1961 either. The 0 band is not entered for three reasons. First, the BWSSB Act copy is a FAOLEX mirror, which is blocked and serves only as a lead. Second, no BWSSB Rules or Regulations are in the sheet. Third, the full text of the Governance Act was not read in full. This is not affirmative absence. A person should check an official copy of the BWSSB Act, the BWSSB Rules and Regulations, and the whole of the Governance Act, including any substitution of the GBA for the Corporation named in s.14. The likely outcome is 0, or at most 2.5 if the advisory committee is read as discretionary consultation. Confidence is low.</t>
  </si>
  <si>
    <t xml:space="preserve">The citation didn't settle every input. "Score" left blank: the Citation Sheet doesn't decide it.</t>
  </si>
  <si>
    <t xml:space="preserve">Bengaluru – BMTC</t>
  </si>
  <si>
    <t xml:space="preserve">Insufficient Evidence</t>
  </si>
  <si>
    <t xml:space="preserve">Step 2 found no evidence: a source needs to be found and added. Step 2 found no evidence (Insufficient Evidence). Source needed: The Road Transport Corporations Act 1950 (as applied to BMTC), BMTC's constitution documents, and the Greater Bengaluru Governance Act 2024 functions and coordination provisions. These would show whether BMTC must prepare plans in coordination with the ULG.</t>
  </si>
  <si>
    <t xml:space="preserve">Bengaluru – BDA</t>
  </si>
  <si>
    <t xml:space="preserve">ANSWER: Not determined. In the excerpts read, no provision requires BDA to prepare its master plan or other plans in coordination with the GBA or the City Corporations. The only ULG-specific mechanism found (concurrence of the Corporation, with disputes referred to Government) covers sanction of layouts proposed by other persons, not BDA's own plans. The nearest band is 0 (no formal role), but a 0 needs affirmative absence, which I could not establish. The GBA Act also appears to make the GBA the 'Planning Authority' for the Greater Bengaluru Area, so BDA's planning role needs team clarification. | EVIDENCE: (1) BDA Act 1976, s.32(1) provisos: no extension or layout within the local limits of the Corporation may be sanctioned by BDA 'without the concurrence of the Corporation'; disagreement goes to Government, whose decision is final. This governs sanction of layouts formed by 'any person', so it is a partial-scope concurrence mechanism for layouts, not for BDA's own master plan. BDA Act s.30(3) refers Authority-Corporation disputes on street and open-space transfer to Government. BDA Act s.67 inserted s.81-B in the T&amp;CP Act, making BDA the local Planning Authority for the Bangalore local planning area. (2) T&amp;CP Act 1961, s.9 (as substituted 2005): the Planning Authority prepares the master plan and submits it to the State Government through the Director. s.10(1)-(2): the Planning Authority declares its intention by Gazette and newspaper notice, calls public suggestions withi</t>
  </si>
  <si>
    <t xml:space="preserve">The Bangalore Development Authority Act, 1976 (Karnataka Act 12 of 1976) – consolidated text with amendments, PRS Legislative Research [BDA-02]</t>
  </si>
  <si>
    <t xml:space="preserve">https://prsindia.org/files/bills_acts/acts_states/karnataka/1976/1976Karnataka12.pdf</t>
  </si>
  <si>
    <t xml:space="preserve">Provided that where any such extension or layout lies within the local  limits of the Corporation, the Authority shall not sanction the formation of such extension or layout without the concurrence of the Corporation</t>
  </si>
  <si>
    <t xml:space="preserve">I left the score blank. The evidence doesn't settle a band, and a 0 would need affirmative absence, which I can't establish.
What the BDA Act shows:
- s.32(1) requires the Corporation's concurrence, but only for layouts that other persons propose within Corporation limits. It does not cover BDA's own master plan or sectoral plans. Disagreements go to Government, whose decision is final.
- s.25(1) proviso says 'the Corporation shall be consulted' when BDA takes up works for further development of an area within the City of Bangalore. This is a mandatory 'shall' consultation. It covers works, not plans, and it sits under a Government-sanction power. Step 2 missed this provision. If works count as sectoral plans, it would fit the 5-band of the methodology (5 of 10, i.e. 2.5 of 5): consultation is mandatory with no duty to respond. That is a judgement for a person to make.
- s.15(2)(ii) lets BDA take up development schemes on the Corporation's recommendation, but only if the local authority provides the funds. It is not a coordination mandate.
- ss.16-19 on the procedure for development schemes were not read in full.
What the T&amp;CP Act shows: ss.9-10 provide public notice and consideration of suggestions, which is not ULG consultation. I found no provision requiring consultation with the ULG. s.13 was only partly seen.
What is unresolved:
- BDA Act s.67 inserted s.81-B into the T&amp;CP Act, making BDA the Planning Authority. The GBA Act 2024 (Act 36 of 2025) also names the GBA as 'Planning Authority' for the Greater Bengaluru Area. Neither source shows how the two interact. They also don't show whether the GBA or City Corporations are substituted for 'Corporation'.
- Rules and regulations under both Acts are not in the Citation Sheet.
SCALE: bands run to 10 and Max Score is 5, so the entered score would be band x 0.5.
ERA: the BDA Act text still names the predecessor 'Corporation', and its amendments run to an unstated date. The GBA Act belongs to the GBA era.</t>
  </si>
  <si>
    <t xml:space="preserve">Bengaluru – BMRCL</t>
  </si>
  <si>
    <t xml:space="preserve">Step 2 found no evidence: a source needs to be found and added. Step 2 found no evidence (Insufficient Evidence). Source needed: BMRCL's enabling instruments: the Metro Railways Acts of 1978 and 2002, the Memorandum and Articles of Association, and any GoK order or agreement. Also the full T&amp;CP Act and GBA Act provisions that name BMRCL or metro corridors.</t>
  </si>
  <si>
    <t xml:space="preserve">Bengaluru – BMRDA</t>
  </si>
  <si>
    <t xml:space="preserve">ANSWER: No provision in the Citation Sheet requires BMRDA to prepare its structure plan or other plans in coordination with the ULG (the Greater Bengaluru Authority (GBA) and its City Corporations). I found no ULG approval, concurrence, joint preparation or mandatory consultation. Absence is not affirmed, because the full T&amp;CP Act text and the Rules were not read. The bands are on a 0-10 scale but Max Score is 5 (SCALE-MISMATCH), so no score is proposed. | EVIDENCE: BMRDA Act 1985 s.9(1)(ii): the Authority's function is 'to prepare a structure plan for the development of the Bangalore Metropolitan Region'. The section has no consultation or ULG-approval requirement. s.9(1)(ix) is a function 'to co-ordinate the activities of the Bangalore Development Authority, the Corporation of the City of Bangalore, ...'. That is BMRDA coordinating other bodies' activities, not a duty to plan with the ULG. s.10 requires other authorities to get BMRDA permission for specified developments, which runs from the ULG to BMRDA. The Act's text is on an unofficial host (India Water Portal). T&amp;CP Act s.81-C (inserted by the BMRDA Act s.31): Planning Authorities in the region submit their plans to the State Government 'through' BMRDA for approval, and BMRDA exercises the Director of Town Planning's powers. That is BMRDA reviewing others' plans, not a ULG role in BMRDA's plans. The GBA Act 2024 s.(2)(a) makes GBA the 'Planning Authority' under the T&amp;CP Act for the Greater Bengaluru Area. It also provi</t>
  </si>
  <si>
    <t xml:space="preserve">The Bangalore Metropolitan Region Development Authority Act, 1985 (Karnataka Act 39 of 1985), full text with amendments (PDF hosted by India Water Portal) [BMRDA-08]</t>
  </si>
  <si>
    <t xml:space="preserve">https://prod-qt-images.s3.amazonaws.com/indiawaterportal/import/sites/default/files/iwp2/Bangalore_Metropolitan_Region_Development_Authority_Act_Bangalore_Metropolitan_Region_Development_Authority_1985.pdf</t>
  </si>
  <si>
    <t xml:space="preserve">(ii) to prepare a structure plan for the development of the Bangalore Metropolitan Region;</t>
  </si>
  <si>
    <t xml:space="preserve">I left the score blank. In BMRDA Act s.9(1)(ii), the structure plan duty has no consultation, ULG approval, concurrence or joint-preparation requirement. s.9(1)(ix) only makes BMRDA a coordinator of other bodies' activities. It is not a duty to prepare plans with the ULG. T&amp;CP Act s.81-C, inserted by BMRDA Act s.31, has Planning Authorities send their plans to the State Government through BMRDA. That is BMRDA reviewing ULG plans, not a ULG role in BMRDA's plans. This points to a low band, possibly 0, but a 0 needs affirmative absence. I did not read the full T&amp;CP Act (BMRDA-11), the full GBA Act 2024 (BMRDA-10), the Bill (BMRDA-12) or any BMRDA Rules or Regulations. The Bengaluru Metropolitan Planning Committee (BMPC) under the GBA Act and the GBA's substitution for the Corporation of the City of Bangalore in the BMRDA Act are unconfirmed. The BMRDA Act text is a copy on an unofficial host, India Water Portal, and says 'As amended by Act 8 of 2005'. The question has a SCALE (bands 0-10, Max Score 5). If absence is confirmed, band 0 gives a score of 0. Please confirm after reading the T&amp;CP Act provisions on structure plan preparation, the BMRDA Rules and the GBA Act.</t>
  </si>
  <si>
    <t xml:space="preserve">UPD1b</t>
  </si>
  <si>
    <t xml:space="preserve">Has the ULG participated in the parastatal’s plan-making process?</t>
  </si>
  <si>
    <t xml:space="preserve">Step 2 found no evidence: a source needs to be found and added. Step 2 found no evidence (Insufficient Evidence). Source needed: BWSSB's latest master plan, DPR or business plan with consultation records. Minutes of Consultative Committee or coordination meetings with GBA or the City Corporations. ULG letters or comments and BWSSB responses.</t>
  </si>
  <si>
    <t xml:space="preserve">Step 2 found no evidence: a source needs to be found and added. Step 2 found no evidence (Insufficient Evidence). Source needed: BMTC's latest plan document (e.g. a fleet, service or operational plan), together with consultation records, meeting minutes, or GBA/city corporation comments or resolutions on it. A GBA/BBMP-BMTC coordination meeting record would also help.</t>
  </si>
  <si>
    <t xml:space="preserve">Step 2 found no evidence: a source needs to be found and added. Step 2 found no evidence (Insufficient Evidence). Source needed: The latest BDA Master Plan / Revised Master Plan documents and consultation records, BDA Authority meeting minutes, and GBA/City Corporation resolutions or comments on the draft plan. These would show the ULG's inputs and BDA's response.</t>
  </si>
  <si>
    <t xml:space="preserve">Step 2 found no evidence: a source needs to be found and added. Step 2 found no evidence (Insufficient Evidence). Source needed: BMRCL's latest DPR or plan documents, consultation records or minutes showing GBA/BBMP or city corporation inputs and BMRCL's response, ULG resolutions or comments on BMRCL plans, or Board minutes recording ULG participation.</t>
  </si>
  <si>
    <t xml:space="preserve">Step 2 found no evidence: a source needs to be found and added. Step 2 found no evidence (Insufficient Evidence). Source needed: Consultation records, minutes, or ULG (GBA/City Corporation) comments and BMRDA responses for the latest BMRDA structure/master plan cycle. Also the final plan's list of consulted bodies.</t>
  </si>
  <si>
    <t xml:space="preserve">UPD2a</t>
  </si>
  <si>
    <t xml:space="preserve">Where multiple statutory or sectoral plans apply to the same territory, is the water board mandated to ensure consistency with the applicable metropolitan/regional or city master plan/strategic plan for the city?</t>
  </si>
  <si>
    <t xml:space="preserve">2.5</t>
  </si>
  <si>
    <t xml:space="preserve">ANSWER: Not determined. The Citation Sheet has no provision that requires BWSSB to make its water or sewerage schemes consistent with a master plan or metropolitan plan. I also could not confirm that no such provision exists, so this is not a rubric 0. | EVIDENCE: (1) BWSSB Act 1964, s.15 (BWSSB-04, FAOLEX mirror, which is a blocked source type). s.15(2) says 'it shall be the duty of the Board to take steps from time to time... for preparing and carrying out schemes' for water supply and sewerage. The excerpts I read show no requirement to conform to a master plan. The proviso requires State Government approval for schemes costing more than Rs 1 crore. That is State approval, not plan consistency. (2) Karnataka T&amp;CP Act 1961 (BWSSB-28). s.12 says a Master Plan includes 'reservation of land for the purposes of ... public utility undertaking or any other authority established by Law'. The excerpts show no duty on a water board to align its plans with the Master Plan. (3) Greater Bengaluru Governance Act 2024 (BWSSB-29). Section 14(2)(a) makes the Greater Bengaluru Authority the 'Planning Authority' under the T&amp;CP Act. The conformity-with-master-plan wording I found covers layout approval and KIADB layouts, and s.230 covers building plans. None of it covers BWSSB's own plans. The BWSSB Act and T&amp;CP Act sections cited are quoted from excerpts, not read in full. | CAVEATS: The BWSSB Act copy is a FAOLEX mirror and cannot be cited. The Rules and Regulations made under the BWSSB Act</t>
  </si>
  <si>
    <t xml:space="preserve">it shall be the duty of the Board to take steps from time to time,— (a) for ascertaining the sufficiency and wholesomeness of water supplies within the Bangalore Metropolitan Area;</t>
  </si>
  <si>
    <t xml:space="preserve">I left the score blank because this is not found, not an affirmative absence. BWSSB-04 s.15 requires the Board to prepare and carry out water supply and sewerage schemes. The only control it adds is State Government approval for schemes costing more than Rs 1 crore. In the excerpts I read, nothing requires or permits the schemes to be consistent with a city, metropolitan or regional master plan. That does not support 2.5 or 1.25. I can't score 0 because: (1) BWSSB-04 is a FAOLEX mirror, which is a blocked source type, and I read only excerpts of it. (2) The Rules and Regulations under the BWSSB Act are not in the sheet. (3) I did not read the Karnataka T&amp;CP Act (BWSSB-28) or the Greater Bengaluru Governance Act 2024 (BWSSB-29) in full. The BMPC and master-plan provisions in BWSSB-29, from s.14(2)(c) onwards, are unchecked. The next step is to get the official State-hosted BWSSB Act, Rules and Regulations, and then check the T&amp;CP Act and GBG Act for any duty on utilities to conform to the master plan.</t>
  </si>
  <si>
    <t xml:space="preserve">UPD2b</t>
  </si>
  <si>
    <t xml:space="preserve">Where multiple statutory or sectoral plans apply to the same territory, does the water supply board ensure consistency with the applicable metropolitan/regional or city master plan/strategic plan for the city?</t>
  </si>
  <si>
    <t xml:space="preserve">ANSWER: Partial evidence only. The one plan-type document in the sheet, the JICA Phase 3 Final Report (Nov 2017), refers to the BDA Master Plan 2015 and uses its population growth rate. It does not show that the master plan's growth areas, service areas or land-use map determine where BWSSB expands its network or sites major infrastructure. It is also not BWSSB's own current water or sewerage master plan. | EVIDENCE: (1) BWSSB-22 (JICA Final Report, Nov 2017, prepared for BWSSB), sec. 2.4.2 'Future Land Use': 'The Draft Master Plan - 2015, prepared under the KTCP Act, covers a Local Planning Area of 1,306 km2'. It reproduces BDA's proposed land-use map (Fig. 2.4.2) as a land-use description. (2) BWSSB-22, sec. 5.1.1: 'The Master Plan for Water Supply and Sewerage Development for the BBMP was commenced from 2015 including projection of frame values. However, even draft projection of population was delayed.' So BWSSB's own master plan was not available to the study. (3) BWSSB-22, secs. 5.1.4-5.1.5: BDA 'Master Plan 2015' is one of 10 population-projection sources. The Core-area growth rate of 0.78% is taken from it ('assumed at 0.78 by BDA Master Plan 2015'). ULB and 110-village growth rates are the JICA team's own assumptions. The study also notes BWSSB's draft projection uses catalysts such as Metro, the BDA housing scheme and the ring road, and cites 'Draft Master Planning Criteria, issued on May 27, 2016'. (4) BWSSB-29 (GBA Act 2024, sec. 14(4)) makes BWSSB subject to GBA c</t>
  </si>
  <si>
    <t xml:space="preserve">JICA – Bengaluru Water Supply and Sewerage Project (Phase 3), Final Report (Main Report), November 2017 [BWSSB-22]</t>
  </si>
  <si>
    <t xml:space="preserve">https://openjicareport.jica.go.jp/pdf/12300356_01.pdf</t>
  </si>
  <si>
    <t xml:space="preserve">The Master Plan for Water Supply and Sewerage Development for the BBMP was commenced from 2015 including projection of frame values. However, even draft projection of population was delayed.</t>
  </si>
  <si>
    <t xml:space="preserve">Score left blank for the team to decide. The evidence points to the 1.25 band but does not settle it. What it shows: the JICA Final Report (Nov 2017) describes the BDA Draft Master Plan 2015 under the KTCP Act in sec. 2.4.2 and reproduces its proposed land-use map. It uses the BDA Master Plan 2015 as one of 10 population-projection sources. The Core-area growth rate of 0.78% is attributed to it, according to the Step 2 summary, and I did not re-read secs. 5.1.4-5.1.5 to confirm. That fits the 1.25 band wording (refers to the master plan and/or uses its population projections). What is missing: (1) Nothing shows the master plan's growth areas, service areas or land-use framework determining network expansion or the siting of major infrastructure, so 2.5 is not supported. (2) The report is a 2017 donor study by a JICA survey team, not BWSSB's own current water or sewerage master plan. BWSSB's own plan was not available to the study; the draft was delayed. (3) The master plan it cites is the 2015 draft, not the current Revised Master Plan 2041. (4) The GBA-era arrangement is not reflected. (5) No land-use conversion or regularisation records for treatment plants or trunk infrastructure were found. The team must decide whether a 2017 donor-prepared report counts as an 'equivalent sectoral planning document'. If it does, 1.25 (low confidence) fits. A 0 is not warranted because the master plan is referenced. Further evidence that could change the band: BWSSB's current master plan, or post-2017 documents showing siting or service areas driven by the master plan.</t>
  </si>
  <si>
    <t xml:space="preserve">UPD2c</t>
  </si>
  <si>
    <t xml:space="preserve">Where multiple statutory or sectoral plans apply to the same territory, is the transport corporation mandated to ensure consistency with the applicable metropolitan/regional or city master plan/strategic plan for the city?</t>
  </si>
  <si>
    <t xml:space="preserve">ANSWER: No provision in the Citation Sheet requires BMTC to ensure its own plan is consistent with the city or metropolitan Master Plan. Absence cannot be affirmed because BMTC's parent Act is not in the sheet. | EVIDENCE: (1) BMLTA Act 2022, s.21(2): the Authority prepares the Comprehensive Mobility Plan 'in conjunction with various Urban Mobility policies ... and the land use plan applicable to the Urban Mobility Region'. That duty falls on the BMLTA, not on BMTC. (2) BMLTA Act 2022, proviso to s.21(2): 'The plans so developed by any other authority and/or committee shall be in compliance with the Urban Mobility policies of the Authority'. This binds other authorities to BMLTA's mobility policies, not to the statutory Master Plan. It may reach BMTC, but BMTC is not named in the excerpt. (3) BMLTA Act s.22: the Planning Authority must take the Comprehensive Mobility Plan into account when preparing the Master Plan. This runs from the Master Plan to the mobility plan, and BMTC is not involved. (4) Karnataka Town and Country Planning Act 1961, s.12: the Master Plan includes the street pattern and reservation of land for 'public utility undertaking or any other authority established by Law'. I found no duty on a transport corporation to conform to it. (5) Revised Master Plan 2015, Vol. III, s.5.1(ii): transport and utilities schemes 'shall be in consultation with the Authority'. This is a plan regulation about consultation, not a conformity mandate on BMTC. | CAVEATS: The BMLTA</t>
  </si>
  <si>
    <t xml:space="preserve">The Bengaluru Metropolitan Land Transport Authority Act, 2022 (Karnataka Act No. 6 of 2023), full text (PRS Legislative Research copy of the official Act) [BMTC-23]</t>
  </si>
  <si>
    <t xml:space="preserve">https://prsindia.org/files/bills_acts/acts_states/karnataka/2023/Act6of2023Karnataka.pdf</t>
  </si>
  <si>
    <t xml:space="preserve">The plans so developed  by any other authority and/or committee shall be in compliance with the Urban Mobility policies of the Authority:</t>
  </si>
  <si>
    <t xml:space="preserve">I left the score blank. No provision in the sheet requires BMTC to make its own plan consistent with the city, metropolitan or regional Master Plan. A 0 needs affirmative absence, and that can't be shown. BMTC's parent Act (the Road Transport Corporations Act 1950), any rules, and BMTC's regulations are not in the sheet. BMTC-46 (Rules and Regulations) was not read. The Karnataka Town and Country Planning Act (BMTC-25) and the Revised Master Plan 2015 (BMTC-37) were checked, but I found no conformity duty on BMTC in them. What exists is indirect. Under BMLTA s.21(2), the Comprehensive Mobility Plan is prepared in conjunction with the applicable land use plan. Other authorities' plans must comply with the Authority's mobility policies, not with the statutory Master Plan. BMTC is not named in that proviso. Under s.24(a), the Sectoral Mobility Investment Program must be aligned with the Comprehensive Mobility Plan. That is a mandatory 'shall', but it points to the mobility plan, not the Master Plan. A reviewer should decide whether this indirect chain counts. If it does, the result could be 2.5 on a 'shall' reading, or 1.25 on a weaker reading. This rests on the PRS copy of the Act, which is secondary.</t>
  </si>
  <si>
    <t xml:space="preserve">UPD2d</t>
  </si>
  <si>
    <t xml:space="preserve">Where multiple statutory or sectoral plans apply to the same territory, does the transport corporation ensure consistency with the applicable metropolitan/regional or city master plan/strategic plan for the city?</t>
  </si>
  <si>
    <t xml:space="preserve">Step 2 found no evidence: a source needs to be found and added. Step 2 found no evidence (Insufficient Evidence). Source needed: BMTC's own current network, depot or mobility plan, or a BMTC/BMLTA/DULT document showing it draws on the Master Plan's corridors, land use or density projections. Also the applicable current Master Plan, and records of any land-use conversion for BMTC depots or terminals.</t>
  </si>
  <si>
    <t xml:space="preserve">UPD3a</t>
  </si>
  <si>
    <t xml:space="preserve">Is the water supply board mandated to consider the needs of women, the urban poor and other vulnerable groups in decisions relating to access, affordability and delivery of water and sanitation services?</t>
  </si>
  <si>
    <t xml:space="preserve">ANSWER: Not determined. The only equity language found is in the 2002 State policy, and it is partial in scope. The BWSSB Act text in the sheet shows no mandatory equity duty. | EVIDENCE: (1) Karnataka Urban Drinking Water and Sanitation Policy, 2002 (BWSSB-33), Objective: the State and its partners, expressly including BWSSB, will 'Ensure a minimum level of service to all citizens' and 'universal coverage'. Tariff section: 'subsidies will continue to be needed and will be focused in areas such as pockets and communities of extreme poverty', and tariff will ensure 'at least a minimum "life line" supply to the poor'. This covers the poor, tariff and minimum supply. It does not mention women, persons with disabilities or slum or tenure-neutral access. (2) BWSSB Act 1964 (BWSSB-04), the excerpts read: s.38 says the Board 'may' provide gratuitous public water supply, which is discretionary. s.14 sets up a Consultative Committee that includes consumers of water, which is advisory. No equity or affordability mandate appeared in the excerpts. (3) The Greater Bengaluru Governance Act 2024 (BWSSB-29), Schedule I, lists slum improvement, urban poverty alleviation and safeguarding persons with disabilities as functions of the city government. They are not duties on BWSSB. (4) The JICA reports (BWSSB-22, BWSSB-23) and the PAC report (BWSSB-32) are not binding instruments. | CAVEATS: The 2002 policy is a statement of intent ('will'), and its binding force on BWSSB is unclear. It also says</t>
  </si>
  <si>
    <t xml:space="preserve">Karnataka Urban Drinking Water and Sanitation Policy, 2002 (Government of Karnataka), text reproduced by IELRC [BWSSB-33]</t>
  </si>
  <si>
    <t xml:space="preserve">https://www.ielrc.org/content/e0213.pdf</t>
  </si>
  <si>
    <t xml:space="preserve">Tariff will be structured in a manner such as to disincentives excessive consumption and wastage of water, whilst ensuring at least a minimum “life line” supply to the poor.</t>
  </si>
  <si>
    <t xml:space="preserve">Score left blank. The only equity language in the sheet is in the 2002 State policy. It covers a minimum level of service to all citizens, subsidies focused on extreme poverty, and a lifeline supply to the poor. It does not mention women, persons with disabilities or slums. If the policy is accepted as a binding instrument, the likely band is 2.5 (limited to the poor, tariff and minimum supply). Four things stop me scoring it. (1) The policy is a statement of intent ('will'), and its binding force on BWSSB is unverified. BWSSB's role is also 'to be defined'. (2) The text comes from an IELRC mirror, which is a blocked source type, so an official Government of Karnataka copy is needed. (3) The BWSSB Act 1964 excerpts show only a discretionary s.38 ('may' provide gratuitous supply) and an advisory Consultative Committee. (4) BWSSB Regulations, tariff orders and service rules, and the full Act, were not fully read, so a 0 is not supportable because absence is not affirmatively established. The team should confirm whether the policy counts as binding and find an official copy. VERIFICATION-LIMIT.</t>
  </si>
  <si>
    <t xml:space="preserve">UPD3b</t>
  </si>
  <si>
    <t xml:space="preserve">Does the water supply board actually consider the needs of women, the urban poor and other vulnerable groups in decisions relating to access, affordability and delivery of water and sanitation services?</t>
  </si>
  <si>
    <t xml:space="preserve">Step 2 found no evidence: a source needs to be found and added. Step 2 found no evidence (Insufficient Evidence). Source needed: BWSSB's current water supply or sanitation master plan or DPRs, its current tariff and connection-fee concession orders (EWS/BPL/slum), slum water supply scheme documents, and design or service standards that address women, persons with disabilities and the elderly.</t>
  </si>
  <si>
    <t xml:space="preserve">UPD4a</t>
  </si>
  <si>
    <t xml:space="preserve">Is the transport corporation mandated to consider the mobility needs of women, the urban poor and other vulnerable groups in planning and delivering public transport services?</t>
  </si>
  <si>
    <t xml:space="preserve">Scored by AI</t>
  </si>
  <si>
    <t xml:space="preserve">ANSWER: Not determined. The only binding text in the Citation Sheet is the BMLTA Act, 2022. It has one explicit vulnerable-group provision, for persons with disabilities. It sits in the Authority's Comprehensive Mobility Plan, not in a duty placed directly on BMTC. BMTC's own constituting law, its service rules and its fare or concession orders are not in the sheet. | EVIDENCE: BMLTA Act, 2022 (Karnataka Act 6 of 2023), s.21(2)(h) (the section is numbered by inference from the arrangement of sections, because the page excerpt starts mid-section). The Comprehensive Mobility Plan 'shall include but not be limited to' '(h) accessible mobility and transport for persons who are persons with benchmark disability and person with disability as defined under the Rights of persons with Disabilities Act, 2016'. It also includes '(d) existing and proposed route plans of public transport' and '(i) various public transport systems and services'. The same section says plans of other authorities 'shall be in compliance with the Urban Mobility policies of the Authority'. s.18 lets the Authority give directions to urban transport agencies. The BMLTA Act text I read has no explicit provision on women's safety, concessional fares for the urban poor, or coverage of low-income or peripheral areas. I found none, but I did not read the whole Act. The other sources are non-binding or non-official: the BDA RMP 2015 zoning regulations (a land-use plan), the RMI, WRI and UITP reports (third-party), and </t>
  </si>
  <si>
    <t xml:space="preserve">(h) accessible mobility and transport for persons who are persons with benchmark disability and p erson with disability as defined under the Rights of persons with Disabilities Act, 2016 (Central Act 49 of 2016);</t>
  </si>
  <si>
    <t xml:space="preserve">I scored this as the 2.5 band, 'limited to specific groups'. This is a provisional score with low confidence, and a person should confirm it. The only binding text I could read is the BMLTA Act. It requires the Comprehensive Mobility Plan to include accessible mobility for persons with disabilities. It also says plans of other authorities 'shall be in compliance with the Urban Mobility policies of the Authority'. That covers one group only. I found no text on women's safety, concessional fares for the urban poor, or coverage of low-income or peripheral areas. Two things weaken the score. First, the duty falls on the Authority's plan, not directly on BMTC, so it reaches BMTC only indirectly. Second, I did not read the whole Act. A score of 0 is not allowed, because these were not read: the Road Transport Corporations Act 1950, BMTC rules and regulations (BMTC-46), the concession pass orders (BMTC-13), and the Rights of Persons with Disabilities Act 2016. Reading BMTC-13 and BMTC-46 could raise the score, for example if concessional passes for women, students or seniors are mandated by binding orders. A 5 would need the considerations embedded across the core planning and delivery functions, and the evidence does not show that. The PRS copy is secondary and notes an amendment, 10 of 2026.</t>
  </si>
  <si>
    <t xml:space="preserve">UPD4b</t>
  </si>
  <si>
    <t xml:space="preserve">Does the Transport Corporation actually consider the needs of women, the urban poor and other vulnerable groups in decisions relating to access, affordability and delivery of public transport services?</t>
  </si>
  <si>
    <t xml:space="preserve">ANSWER: Not scored. The Citation Sheet shows one fare-concession measure, which is a discounted senior-citizen pass. It shows no explicit route or coverage measure for an identified vulnerable group, and no women's safety or accessible-design measure from BMTC's own current planning or design framework. | EVIDENCE: BMTC-13 (KarnatakaOne portal, page last reviewed 14 July 2026) lists 'Black Board Pass Rs 725/-', 'Sr. Citizen Black Board Pass Rs 650/-', 'Pushpak Pass Rs 925/-' and 'Sr. Citizen Pushpak Pass Rs 830/-'. It also mentions student passes, but gives no price or eligibility terms for them. This is an affordability measure for Component 1(i). BMTC-39 (UITP, 2023) and BMTC-40 (WRI India, non-official studies) describe general network coverage, such as 90% of residential areas within 250 m and 86% of the population within 500 m of a stop. These are not a named coverage commitment for a vulnerable group. BMTC-23 (BMLTA Act 2022) requires the Comprehensive Mobility Plan to include 'accessible mobility and transport for persons ... with disability'. That is a mandate on the Authority, not BMTC practice. My keyword search of the sheet for women's safety, CCTV, panic buttons, low-floor buses, ramps and disability concessions found no BMTC-specific provision. | CAVEATS: The coverage figures in BMTC-39 and BMTC-40 are system-wide statistics, not equity measures. BMTC-13 is a pass-rate listing, not a fare policy or concession order, and it says rates are subject to change. | PERI</t>
  </si>
  <si>
    <t xml:space="preserve">BMTC Services (monthly and concessional passes) – KarnatakaOne portal, Government of Karnataka [BMTC-13]</t>
  </si>
  <si>
    <t xml:space="preserve">https://www.karnatakaone.gov.in/Info/Public/BMTC</t>
  </si>
  <si>
    <t xml:space="preserve">Sr. Citizen Black Board Pass Rs 650/-</t>
  </si>
  <si>
    <t xml:space="preserve">I left the score blank. BMTC-13 supports only part of Component 1. It lists a discounted senior-citizen pass (Rs 650 against Rs 725 for the Black Board pass, and Rs 830 against Rs 925 for the Pushpak pass). That is an affordability measure, which is 1.25 marks if it is the only Component 1 element. The sheet has no explicit route or coverage measure for an identified vulnerable group, so that element is not found. I did not read the other sources beyond the Step 2 summary. BMTC-39 and BMTC-40 give system-wide coverage statistics, which are not equity measures. BMTC-23 is a mandate on the Authority, not BMTC practice. Component 2 (women's safety, accessible design) has no BMTC-specific evidence. The sheet has no BMTC fare or concession orders, no bus specifications (low-floor, CCTV, panic buttons), no service design standards and no annual report. The sheet does not show that these are absent, so a 0 is not justified. A reviewer needs to find the BMTC concession orders (students, persons with disabilities, women, including any Shakti scheme), the bus specifications and the annual report. Provisional range: Component 1 is about 1.25 and Component 2 is undetermined. VERIFICATION-LIMIT applies to the mybmtc.com pages, which are not in the sheet.</t>
  </si>
  <si>
    <t xml:space="preserve">UPD5a</t>
  </si>
  <si>
    <t xml:space="preserve">Is the water supply board mandated to consider environmental sustainability in planning and delivering water and sanitation services?</t>
  </si>
  <si>
    <t xml:space="preserve">Human Verification Required</t>
  </si>
  <si>
    <t xml:space="preserve">ANSWER: Not determinable from the Citation Sheet. No binding provision was found that expressly requires BWSSB to consider environmental sustainability, and absence is not affirmatively established. | EVIDENCE: (1) BWSSB Act 1964 (BWSSB-04, FAOLEX PDF copy, only partly read). The sections seen deal with trade effluent and harmful discharges into sewers (s.65, s.66, s.84, s.84A) and the Consultative Committee (s.14). These protect the sewerage system and regulate discharges. No excerpt imposes a duty of source protection, conservation, loss reduction or wastewater reuse. (2) Greater Bengaluru Governance Act 2024 (BWSSB-29). The section on co-ordination and supervision of public authorities names BWSSB and says GBA directions 'shall be binding'. Schedule I lists 'protection of the environment, promotion of ecological aspects' as a City Corporation core function. Neither text sets an environmental-sustainability requirement for BWSSB. (3) Karnataka Urban Drinking Water and Sanitation Policy 2002 (BWSSB-33) states an objective to provide services 'in a manner that preserves the sustainability of the precious water resources of the State'. It is a policy statement, not a binding instrument. It is also reproduced on a mirror site, and the allow-list blocks such mirrors. (4) The JICA reports (BWSSB-22, BWSSB-23) and the PAC assessment (BWSSB-32) are project or assessment reports, not binding law. | CAVEATS: The 2002 policy and the Act's discharge provisions would at most support a '</t>
  </si>
  <si>
    <t xml:space="preserve">Step 2 found no evidence: a source needs to be found and added. Step 2 found no evidence (Human Verification Required). Source needed: Full authoritative text of the BWSSB Act 1964 as amended, with BWSSB Rules and Regulations. Karnataka State Water Policy. Any binding instrument on groundwater, source protection or wastewater reuse that applies to BWSSB. An official .gov.in copy of the 2002 policy.</t>
  </si>
  <si>
    <t xml:space="preserve">UPD5b</t>
  </si>
  <si>
    <t xml:space="preserve">Does the water supply board actually consider environmental sustainability in planning and delivering water and sanitation services?</t>
  </si>
  <si>
    <t xml:space="preserve">ANSWER: Partly shown, but not scoreable. The sheet has BWSSB-authored material (presentation) with specific environmental measures. It has no current Board water supply or sanitation plan or annual report, so the Implementation test is not fully met. | EVIDENCE: BWSSB-12 (BWSSB Chief Engineer's presentation, undated; it uses 2024 projections). Component 1 type measures: p.24 says rainwater harvesting (RWH) was made mandatory for prescribed buildings in the BBMP area by 31 July 2023, with 1.88 lakh buildings installed. p.31 says the Jakkur advanced water treatment plant (AWTP) is proposed to blend treated lake water with Cauvery water, 'thus reducing the dependency on fresh water'. p.26 covers rejuvenation of the TG Halli reservoir. Component 2 type measures: p.36 gives a wastewater treatment gap analysis for the 110 villages (474 MLD generated, 326 MLD under construction, 148 MLD gap). p.37 lists the objectives of the Karnataka Multi-Sectoral Resilience Development Project (KMDCRP): tertiary treatment to NGT norms, reuse for non-potable purposes, drought management with lake filling, and flash-flood avoidance. p.22 mentions a 60 MLD STP with power generation. BWSSB-22 and BWSSB-23 (JICA Phase 3 Final Report, Nov 2017, prepared for BWSSB): the report assumes 35-40% reuse of treated sewage. Its risk table lists mitigation for Cauvery flow (promotion of water saving, saving of water and UFW improvement). Its institutional assessment lists the 'Absence of policy on Reduction of P</t>
  </si>
  <si>
    <t xml:space="preserve">Presentation by Chief Engineer, BWSSB – Water Sensitivity (AMDA) [BWSSB-12]</t>
  </si>
  <si>
    <t xml:space="preserve">https://amdaindia.org/wp-content/uploads/Presentation-by-Chief-Engineer-Bangalore-Water-Supply-and-Sewerage-Board-WATER-SENSITIVITY-MS-3rd-PPT-Part-II.pdf</t>
  </si>
  <si>
    <t xml:space="preserve">850 MLD out of 1300 MLD treated waste water is being reused.</t>
  </si>
  <si>
    <t xml:space="preserve">Score 3.75 = Component 1 at 1.25 + Component 2 at 2.5.
Component 2 (2.5): BWSSB's own presentation gives specific operational measures. It reports 850 MLD of 1300 MLD treated wastewater reused and tertiary treatment plants supplying non-potable users. A 60 MLD STP at K&amp;C Valley has power generation (p.22). KMDCRP objectives include tertiary treatment to NGT norms, reuse, drought management with lake filling, and flash-flood avoidance. p.36 gives a wastewater treatment gap analysis for the 110 villages.
Component 1 (1.25): There are source and conservation measures, namely mandatory rainwater harvesting (1.88 lakh buildings), the Jakkur AWTP to reduce dependence on fresh water, and Arkavathi/TG Halli rejuvenation. Loss reduction appears only as a listed action, 'NRW REDUCTION IN DISTRIBUTION' (p.14), with NRW at 28% (p.11). No explicit NRW target or programme detail was seen. I gave one half of the component, treating the evidence as the source measure only. If the NRW line is accepted as a programme, Component 1 would be 2.5 and the total 5.
Limits: No formal current water supply plan or annual report is in the Citation Sheet. The presentation is undated (it uses 2024 projections). The JICA 2017 report reflects consultant proposals, not an adopted plan. A person should confirm whether the presentation counts as the Board's latest plan and confirm its date.</t>
  </si>
  <si>
    <t xml:space="preserve">UPD6a</t>
  </si>
  <si>
    <t xml:space="preserve">Is the transport corporation mandated to consider environmental sustainability in planning and delivering urban transport services and investments?</t>
  </si>
  <si>
    <t xml:space="preserve">ANSWER: Not determinable from the Citation Sheet. The only binding instrument in the sheet that addresses environmental sustainability in urban transport is the Bengaluru Metropolitan Land Transport Authority (BMLTA) Act, 2022. That Act is mainly addressed to the BMLTA, not to BMTC. The law that constitutes and governs BMTC is not in the sheet. | EVIDENCE: (1) BMLTA Act 2022 (Karnataka Act 6 of 2023), s.2(aa), defines 'Sustainable Urban Transport' as 'projects conceived to reduce the use of private vehicles and increase the use of public transport and non-motorised modes like walking and cycling'. (2) The Comprehensive Mobility Plan section says the Authority 'shall' prepare a CMP within two years of its intent to do so. The plan 'shall include' '(a) Integration of social, economic, and spatial development policies and plans to advance sustainable urban transport', plus pedestrian and cycle infrastructure, public transport systems and the City Mobility Investment Program. (3) s.2(v) says the Sectoral Mobility Investment Program is 'prepared by the respective Urban Transport Agency as specified in section 24 in accordance with the Comprehensive Mobility Plan'. This is a possible link to BMTC, but the definition of 'Urban Transport Agency' and the s.24 text were not read in this session, and no provision names BMTC. (4) s.56(3) lets the State Government direct an urban transport agency on regulatory measures. (5) The Schedule lists bus systems under public transport and NMT as </t>
  </si>
  <si>
    <t xml:space="preserve">I left the score blank. The only binding instrument in the sheet that mentions environmental sustainability in urban transport is the BMLTA Act 2022. It places its duties on the Authority, which must promote sustainable urban transport through the Comprehensive Mobility Plan (s.14(1)(a)). Any duty on BMTC is indirect. It would arise only if BMTC counts as an 'Urban Transport Agency'. That agency is bound by the Authority's standards (s.14(1)(e)) and prepares sectoral investment programmes in line with the CMP (s.2(v)). I did not read the definition of 'Urban Transport Agency', s.24, or any provision that names BMTC as one. I also could not confirm that the Act is in force or that regulations have been made under it. BMTC's own governing law is not in the sheet: the Road Transport Corporations Act 1950, the Karnataka rules and notifications that constitute BMTC, and any government order on its environmental or electric-bus mandate. Because of this, a score of 0 cannot be supported, as absence is not affirmatively shown. A score of 5 or 2.5 would need a provision that binds BMTC directly. A person should check whether BMTC is an Urban Transport Agency under the BMLTA Act, and should check BMTC's governing instruments. BMTC-39 and BMTC-34 are non-official studies and are not binding instruments.</t>
  </si>
  <si>
    <t xml:space="preserve">The AI's citation or quote failed the check. The AI's quote couldn't be found word for word in BMTC-23, so its answer was discarded. AI comments: I left the score blank. The only binding instrument in the sheet that mentions environmental sustainability in urban transport is the BMLTA Act 2022. It places its duties on the Authority, which must promote sustainable urban transport through the Comprehensive Mobility Plan (s.14(1)(a)). Any duty on BMTC is indirect. It would arise only if BMTC counts as an 'Urban Transport Agency'. That agency is bound by the Authority's standards (s.14(1)(e)) and prepares sectoral investment programmes in line with the CMP (s.2(v)). I did not read the definition of 'Urban Transport Agency', s.24, or any provision that names BMTC as one. I also could not confirm that the Act is in force or that regulations have been made under it. BMTC's own governing law is not in the sheet: the Road Transport Corporations Act 1950, the Karnataka rules and notifications that constitute BMTC, and any government order on its environmental or electric-bus mandate. Because of this, a score of 0 cannot be supported, as absence is not affirmatively shown. A score of 5 or 2.5 would need a provision that binds BMTC directly. A person should check whether BMTC is an Urban Transport Agency under the BMLTA Act, and should check BMTC's governing instruments. BMTC-39 and BMTC-34 are non-official studies and are not binding instruments.</t>
  </si>
  <si>
    <t xml:space="preserve">UPD6b</t>
  </si>
  <si>
    <t xml:space="preserve">Does the transport corporation actually considers environmental sustainability in planning and delivering urban transport services and investments?</t>
  </si>
  <si>
    <t xml:space="preserve">Step 2 found no evidence: a source needs to be found and added. Step 2 found no evidence (Insufficient Evidence). Source needed: BMTC's own current fleet plan, route/network plan, sustainability policy or latest annual report, or an official order adopting an e-bus transition target. It would also need evidence of modal-integration measures such as common ticketing, metro interchange or depot energy efficiency.</t>
  </si>
  <si>
    <t xml:space="preserve">DPG1a</t>
  </si>
  <si>
    <t xml:space="preserve">Does the legal framework clearly demarcate the functions/responsibilities of the parastatal vis-à-vis the ULG?</t>
  </si>
  <si>
    <t xml:space="preserve">ANSWER: Provisionally Scenario B (function assigned to the ULG in full, and BWSSB also delivers it). No explicit ULG-vs-BWSSB carve-out was found in the provisions read, which would point towards 0. I did not score, because the BWSSB Act text in the sheet is only a FAOLEX mirror (blocked source) and no official Karnataka copy of the Act or its Rules is in the sheet. The predecessor wording is also unresolved. | EVIDENCE: (1) ULG law, Greater Bengaluru Governance Act 2024 (Karnataka Act 36 of 2025), Schedule I (see s.111), Core Functions (1)(v): 'Water supply for domestic, industrial and commercial purposes'. Section 111(1) refers to 'the matters enumerated as core functions in the First Schedule', and s.113(1) makes core functions the first charge on the City Corporation fund. Sector-wise (3)(vii)(f) also gives the Corporation 'provision for unfiltered water supply for non-domestic uses'. Ward Committee functions include 'ensure water supply maintenance in the ward' and 'ensure sewerage system maintenance in the ward' (s.103(1)(h)-(i), as numbered in the extract). Schedule I(1)(vi) covers 'sanitation including storm water drains... liquid waste management'. (2) Parastatal Act, BWSSB Act 1964, s.15(1): the Board 'shall be charged with the general duty of providing a supply and improving the existing supply of water in the Bangalore Metropolitan Area and of making adequate provision for the sewerage and the disposal of the sewage'. Section 15(2)-(3) covers domestic-purpose supp</t>
  </si>
  <si>
    <t xml:space="preserve">The Greater Bengaluru Governance Act, 2024 (Karnataka Act No. 36 of 2025), Gazette text as published 24.04.2025 (PRS Legislative Research copy) [BWSSB-29]</t>
  </si>
  <si>
    <t xml:space="preserve">https://prsindia.org/files/bills_acts/acts_states/karnataka/2025/Act36of2025KA.pdf</t>
  </si>
  <si>
    <t xml:space="preserve">(v) Water supply for domestic, industrial and commercial purposes;</t>
  </si>
  <si>
    <t xml:space="preserve">Score left blank. The scenario looks like B. Schedule I of the Greater Bengaluru Governance Act (the ULG law) assigns water supply to the City Corporations in full. BWSSB Act s.15(1) gives the Board a general duty of water supply and sewerage, and I found no explicit aspect, area or scale carve-out. That would point to 0 under B. But 0 needs affirmative absence, and that is not met. (1) The BWSSB Act text in the sheet is only a FAOLEX mirror (blocked), with no official Karnataka copy. (2) No BWSSB Rules, regulations or bye-laws are in the sheet. (3) It is unresolved whether the City Corporations or GBA have been substituted for the Act's 'Corporation'. (4) Scenario B versus C is ambiguous, because the Corporation's 'unfiltered water supply for non-domestic uses' and the surface-drain versus sewerage split could be read as a partial devolution. GBA Act s.14(4) also gives the GBA binding supervision of BWSSB. A person should check an official copy of the BWSSB Act and Rules and decide B or C. VERIFICATION-LIMIT. The GBA Act text is a PRS copy (secondary), covering the Gazette text of 24.04.2025 (GBA era).</t>
  </si>
  <si>
    <t xml:space="preserve">Step 2 found no evidence: a source needs to be found and added. Step 2 found no evidence (Insufficient Evidence). Source needed: The Road Transport Corporations Act, 1950, as applied in Karnataka, and any BMTC rules or notifications. The Greater Bengaluru Governance Act, 2024, with its functions schedule showing whether public transport or bus services are assigned to the GBA or City Corporations. The Karnataka Municipal Corporations Act, 1976, for the same function.</t>
  </si>
  <si>
    <t xml:space="preserve">ANSWER: Provisionally Scenario B (planning and development function assigned to the ULG and also exercised by BDA). No explicit carve-out of BDA's role from the ULG's was found in the excerpts read. The score is left blank because the whole GBA Act and the BDA Act were not fully checked, so affirmative absence is not established. | EVIDENCE: ULG side, Greater Bengaluru Governance Act 2024 (Act 36 of 2025), s.14(2) Planning Functions: 'Notwithstanding anything contained in any other law for the time being in force,- (a) the Greater Bengaluru Authority shall be the "Planning Authority" as defined under the Karnataka Town and Country Planning Act, 1961, for the areas comprising of the Greater Bengaluru Area'. Under s.14(2)(b), GBA approves layouts and City Corporations sanction building plans. Section 15 gives GBA coordination and binding directions over public authorities, and says 'all the public authorities shall cooperate with the Greater Bengaluru Authority ... and obey its directions'. Under s.19, the Government may call for reports and issue binding directions to public authorities discharging municipal functions. Under s.15(5), GBA may assign planning of major infrastructure projects to public authorities. Parastatal side, BDA Act 1976, s.14 as quoted in BDA-38: 'to promote and secure the development of the Bangalore Metropolitan Area ... to carry out building, engineering and other operations'. KTCP Act 1961 (BDA-03), s.81B(ii): BDA 'shall exercise the powers, perform t</t>
  </si>
  <si>
    <t xml:space="preserve">The Greater Bengaluru Governance Act, 2024 (Karnataka Act No. 36 of 2025) – PRS Legislative Research copy of the Act text [BDA-11]</t>
  </si>
  <si>
    <t xml:space="preserve">the Greater Bengaluru Authority shall be the “Planning Authority” as defined under the Karnataka Town and Country Planning Act, 1961, for the areas comprising of the Greater Bengaluru Area;</t>
  </si>
  <si>
    <t xml:space="preserve">I left the score blank. The provisional scenario is B, because planning and development is assigned to the ULG side (GBA and the City Corporations) and also to BDA. This rests on the Step 2 answer and the GBA Act excerpt. I did not read the BDA Act, the KTCP Act or the rest of the GBA Act in this review. A score of 0 would need affirmative absence of any carve-out, and I did not establish that. Items still unchecked: the GBA Act's repeal, savings and schedule provisions; whether BDA's planning-authority status survives the 'notwithstanding any other law' wording in s.14(2); and whether s.15(5) lets GBA assign infrastructure planning to public authorities, which may distinguish the roles. The Karnataka Municipal Corporations Act was not checked. The sources are PRS copies, not official gazette copies. RUBRIC: Scenario B scores 0 only if no explicit distinction exists; that is not yet confirmed, so a human should decide.</t>
  </si>
  <si>
    <t xml:space="preserve">ANSWER: Not determinable from the Citation Sheet. The evidence does not support a clean demarcation scenario (A/B/C) or a score. Metro rail is not clearly assigned to the City Corporations, but the GBA Act gives the Greater Bengaluru Authority a binding coordination and supervision role over BMRCL. The sheet holds no BMRCL-specific instrument that defines BMRCL's functions against the ULG's. | EVIDENCE: (1) Greater Bengaluru Governance Act, 2024 (Act 36 of 2025; PRS copy, a secondary source), s.112(1): the City Corporation 'may', subject to underwriting of costs and approval of the Central or State Government, undertake functions in the Centre's or State's domain, 'and such functions may include primary education, curative health, urban transport, supply of energy...'. This is discretionary and conditional. The First Schedule (core, general and sector-wise functions) was not in the excerpts, so I could not confirm whether metro or urban transport is a core function. (2) GBA Act s.14(4), 'Co-ordination and Supervision of Public Authorities': the GBA is to integrate and supervise 'Bengaluru Metro Rail Corporation Limited' among other bodies, 'issuing directions for the same which shall be binding; and all the public authorities shall cooperate with the Greater Bengaluru Authority ... and obey its directions'. (3) GBA Act s.14(3): the GBA coordinates and administers major infrastructure projects. s.15(5): agencies 'shall be bound to assist' the GBA. s.19: the Government may issu</t>
  </si>
  <si>
    <t xml:space="preserve">The Greater Bengaluru Governance Act, 2024, Act No. 36 of 2025 (PRS India copy) [BMRCL-34]</t>
  </si>
  <si>
    <t xml:space="preserve">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t>
  </si>
  <si>
    <t xml:space="preserve">Score left blank because the methodology can't be applied from the Citation Sheet. (1) Devolution scenario (A/B/C) is undetermined. The GBA Act's First Schedule, which lists the City Corporations' core functions, was not in the excerpts I read. So I can't tell whether metro rail or urban transport is devolved to the City Corporations. s.112(1) is discretionary: the Corporation 'may' undertake State-domain functions, which 'may include' urban transport. (2) BMRCL has no state parastatal Act in the sheet. It is a 50:50 central/state Government company, governed by the central Metro Railways Acts and its Memorandum and Articles of Association. The Step 3 carve-out test needs a parastatal instrument that assigns BMRCL's functions, and none is in the sheet. The BMRCL Memorandum and Articles are not in the sheet. (3) s.14(4) gives the Greater Bengaluru Authority a binding supervision and coordination role over BMRCL, so Scenario A (no ULG claim) is not clearly supported either. s.8(1) says civic authorities act in their specific domains, but that does not carve out BMRCL's role. (4) I haven't verified the BMLTA Act 2022 (BMRCL-35) in full or the 2025 Amendment Bill (BMRCL-46). The GBA Act copy is from PRS, a secondary source, and its version date isn't stated. It is not affirmative absence of a demarcation, so I don't score 0. A person should check the First Schedule and whether the rubric fits a central-Act joint-venture company. Era: GBA-era.</t>
  </si>
  <si>
    <t xml:space="preserve">ANSWER: The legal framework does not clearly demarcate BMRDA's functions from those of the ULG (the GBA and its City Corporations). I am not scoring. The scenario looks like B or C, but the question names no specific function, so I cannot settle it from this sheet. The overlap is in coordination and planning. | EVIDENCE: (1) BMRDA Act 1985 (BMRDA-08), s.9(1): the Authority is to 'prepare a structure plan for the development of the Bangalore Metropolitan Region'. Under s.9(1)(ix) it is also 'to co-ordinate the activities of the Bangalore Development Authority, the Corporation of the City of Bangalore, the Bangalore Water Supply and Sewerage Board … and such other bodies'. Under s.18 it may direct BDA, BWSSB and others, and its directions prevail. Under s.19 the Metropolitan Commissioner may attend meetings of the Corporation of the City of Bangalore. (2) GBA Act (Act 36 of 2025) (BMRDA-10), s.14(2): GBA is the 'Planning Authority' under the KTCP Act for the Greater Bengaluru Area. Under s.14(2)(c) the Bengaluru Metropolitan Planning Committee covers an area 'including but not limited to the Greater Bengaluru Area'. Under s.14(4) GBA is to integrate and supervise public authorities such as BDA, BWSSB, BMTC, BMRCL and BESCOM, 'and such other bodies connected with municipal activities in the Greater Bengaluru Area', and its directions are 'binding'. Section 15(1) makes GBA responsible for master and mobility plans, and s.19 gives the Government a power of supervision and directio</t>
  </si>
  <si>
    <t xml:space="preserve">(ix) to co-ordinate the activities of the Bangalore Development Authority, the Corporation of the City of Bangalore, the Bangalore Water Supply and Sewerage Board, the Karnatka Slum Clearance Board, the Karnataka Electricity Board</t>
  </si>
  <si>
    <t xml:space="preserve">Score left blank. The question names no specific function. The devolution scenario (A/B/C) cannot be set from the sheet. BMRDA's role is regional planning and coordination, not a service. The BMRDA Act s.9(1)(ix) and s.18 give BMRDA coordination and directive powers over the Corporation, BDA and BWSSB. GBA Act s.14(4) gives GBA integration and supervision powers over similar bodies, with binding directions. This may be an overlap, which would score 0. It could also be read as a regional versus local split, which would score 5. No provision found expressly separates the two roles or says which prevails. BMRDA Act s.28 overrides inconsistent laws, but it predates the GBA Act. The BMRDA Act still names the 'Corporation of the City of Bangalore'. The sheet does not show GBA substituted for it. The Municipal Act (KMC Act) function schedule was not read in full. BMRDA Rules and Regulations are not in the sheet. The KTCP Amendment Bill 2025 is a bill only. The BMRDA Act copy is an unofficial host (India Water Portal), amended up to Act 8 of 2005. The GBA Act copy is from PRS, which is secondary. Affirmative absence is not established, so a human should confirm. Era: GBA-era. RUBRIC-GAP on the function tested.</t>
  </si>
  <si>
    <t xml:space="preserve">DPG1b</t>
  </si>
  <si>
    <t xml:space="preserve">Is the parastatal's territorial/geographic jurisdiction clearly and specifically defined in its enabling legal framework?</t>
  </si>
  <si>
    <t xml:space="preserve">ANSWER: Provisionally, the BWSSB Act defines the jurisdiction only in general terms, as a notified area with no schedule, boundary description or map. That points to the 2.5 band, but I have not scored it because the only copy of the Act in the sheet is a blocked mirror. | EVIDENCE: Act s.2(1) (BWSSB-04, FAOLEX copy, so a lead only): 'Bangalore Metropolitan Area' means the area of the Bangalore District urban and includes such other areas adjacent thereto as the State Government may by notification from time to time specify. The only Schedule (to s.24) is a table of asset lives, not a boundary schedule. s.2(5) defines 'City of Bangalore' by reference to the City of Bangalore Municipal Corporation Act, 1949. Operative provisions of the Act were not read for any further territorial clause. The BWSSB presentation (BWSSB-12, hosted by AMDA and undated) says 'Jurisdiction: BBMP Area', meaning 245 sq km core, 8 ULBs of 330 sq km and 110 villages of 225 sq km, 800 sq km in total. This is practice-level information, not the enabling Act. The Greater Bengaluru Governance Act 2024 (BWSSB-29) is the ULG law of the current era. I did not find a provision in the excerpts that amends BWSSB's area or its definitions. | CAVEATS: The Act still names the 'Municipal Corporation of the City of Bangalore'. No official source in the sheet shows GBA or the City Corporations substituted. No notification extending the area beyond the Bangalore District urban area is in the sheet. | PERIOD: Act as sho</t>
  </si>
  <si>
    <t xml:space="preserve">‘Bangalore Metropolitan Area’ means the area of the Bangalore District urban and includes such other areas adjacent thereto as the State Government may by notification from time to time specify;</t>
  </si>
  <si>
    <t xml:space="preserve">I left the score blank. The sheet's only copy of the BWSSB Act is the FAOLEX PDF, which is a blocked mirror and so a lead only. I found no official allowed-domain copy of the Act. Read as it stands, s.2(1) defines the area as 'the area of the Bangalore District urban' plus adjacent areas the State Government notifies. That is general wording, and the Act has no boundary schedule or map. Its only Schedule is a table of asset lives for s.24. On that reading the case would sit in the 2.5 band. Three checks are still missing. First, an official copy of the Act. Second, any gazette notification of added areas under s.2(1). Third, the BWSSB website or a GBA-era notification showing the current boundary. A person should also decide whether 'Bangalore District urban' counts as specific enough, because a district-urban-area definition might be argued to fit the 5 band. The Act still refers to the 'Municipal Corporation of the City of Bangalore', and no official source in the sheet shows the Greater Bengaluru Authority or the City Corporations substituted for it. BWSSB-12 is an undated presentation and is practice-level evidence, not law. A 0 is not supported because the Act does define an area.</t>
  </si>
  <si>
    <t xml:space="preserve">Step 2 found no evidence: a source needs to be found and added. Step 2 found no evidence (Insufficient Evidence). Source needed: The Road Transport Corporations Act, 1950 (as applied in Karnataka) and the State notification establishing BMTC and defining its area or jurisdiction. Any later gazette notifications on its area would also help, as would BMTC's official website, if the team can confirm it is official.</t>
  </si>
  <si>
    <t xml:space="preserve">ANSWER: The BDA Act defines the Authority's territory only by reference and in general terms. It has no boundary description, schedule or map of its own. That fits the 2.5 band (general terms), but the cross-referenced Acts that might hold a boundary description are not in the Citation Sheet. | EVIDENCE: BDA Act 1976, s.2(c) (PRS consolidated text, amendments appended up to 42 of 2026):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 Section 14 sets the objects as development of the Bangalore Metropolitan Area. Sections 25 and 35-36 refer to the Metropolitan Area. In the BDA Act text I read, I found no Schedule, boundary description or map reference. The ULG side, the Greater Bengaluru Governance Act 2024 (Act 36 of 2025), s.2(30): 'Greater Bengaluru Area' means 'the larger urban area of the City of Bengaluru and such other areas as the State Government may, by notification specify in that behalf'. That definition is also general. The KTCP Act 1961 s.4A/4C provides for declared local planning areas by notification, but I found nothing in it that fixes the BDA's boundary. | CAVEATS: The BDA Act points t</t>
  </si>
  <si>
    <t xml:space="preserve">‘Bangalore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</si>
  <si>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I left the score blank because the Citation Sheet can't separate 2.5 from 5. The BDA Act, s.2(c), defines the territory only by cross-reference. It points to the City of Bangalore under the 1949 Corporation Act, to the area of the 1945 Improvement Act, and to adjacent areas the Government may notify. In the text I read, the BDA Act has no Schedule, boundary description or map of its own. That points to 2.5 (general terms). But the 1949 and 1945 Acts are not in the Sheet. They might contain a boundary description or schedule, and a definition by incorporation could arguably count as specific. The gazette notifications that extend the area, and the BDA website, are also missing. The methodology asks for these cross-checks. The PRS copy is secondary, and its amendments run only up to 2005 in the header I saw. It may not be current. The 1949 Act may also have been superseded by the Greater Bengaluru Governance Act 2024, and no official source in the Sheet shows how the two relate. This is not a case of affirmative absence, so I can't score 0. I would provisionally say 2.5 with low confidence. A person should check the 1949 Act's boundary schedule and the notifications. If they supply a specific boundary, the score would rise to 5.</t>
  </si>
  <si>
    <t xml:space="preserve">Step 2 found no evidence: a source needs to be found and added. Step 2 found no evidence (Insufficient Evidence). Source needed: BMRCL Memorandum of Association and certificate of incorporation, Metro Railways (Construction of Works) Act 1978 and the Karnataka/GoI notifications applying them to Bengaluru, and any gazette or official BMRCL website description of the project area.</t>
  </si>
  <si>
    <t xml:space="preserve">ANSWER: Not determined. The BMRDA Act defines the region by named administrative districts plus any further areas the State notifies. It has no boundary description, schedule or map in the text read, so the rubric band is unclear and no score is proposed. | EVIDENCE: BMRDA Act 1985 (Karnataka Act 39 of 1985, as amended by Act 8 of 2005), s.2(c): "'Bangalore Metropolitan Region' means the area comprising the Bangalore District and Bangalore Rural District and such other areas as the State Government may, from time to time, by notification, specify". Section 3(1) constitutes the Authority "for the Bangalore Metropolitan Region". The Statement of Objects and Reasons for Act 8 of 2005 says the amendment confines the jurisdiction to Bangalore urban and rural districts by deleting Malur taluk. The Act's arrangement of sections lists no Schedule. The BMRDA website (BMRDA-02) links a 'Jurisdiction Notification' PDF and a 'Jurisdiction Map', but their contents are not in the Citation Sheet. ULG side: the GBA Act (BMRDA-10) excerpts did not show any provision defining the BMRDA's jurisdiction. | CAVEATS: Naming districts is more specific than a bare 'notified area'. It is still not a boundary description, schedule or map reference. The 'other areas as notified' limb is open-ended. Whether this is 2.5 or 5 is a judgement call for the team. The district names are also dated: Bangalore Urban and Bangalore Rural districts may have changed since 2005, for example the Ramanagara and Bengalur</t>
  </si>
  <si>
    <t xml:space="preserve">"Bangalore Metropolitan Region" means the area comprising the Bangalore District and 1[Bangalore Rural District] 1 and such other areas as the State Government may, from time to time, by notification, specify;</t>
  </si>
  <si>
    <t xml:space="preserve">I left the score blank. The Act defines the region by naming two districts plus "such other areas as the State Government may, from time to time, by notification, specify". That is more than a bare "notified area", because it names districts. It is not a boundary description, schedule or map reference in the Act, which are the 5-point features. The text read shows no Schedule. The evidence therefore sits between the 2.5 band and the 5 band, and I did not interpolate. The rubric does not say whether named districts count as a specific definition, so a person must decide. Other limits: (1) the Act text comes from an unofficial host (India Water Portal), so it is not on the allow-list. (2) The current jurisdiction notification and map linked on the BMRDA website were not read. They are the cross-check the methodology requires. (3) Both district names date from the 2005 amendment, and the current district arrangement was not checked. (4) I did not read the full GBA Act or the TCP Act for jurisdiction provisions. Because of these gaps, absence is not established, so 0 is not supportable. Next step: a person should open the notification and map on the BMRDA site and decide between 2.5 and 5.</t>
  </si>
  <si>
    <t xml:space="preserve">DPG2a</t>
  </si>
  <si>
    <t xml:space="preserve">Does the ULG have representation on the parastatal's governing board?</t>
  </si>
  <si>
    <t xml:space="preserve">ANSWER: Not determined. The only copy of the BWSSB Act in the sheet gives ULG-elected representatives no seat on the board. That copy is a blocked mirror and may be out of date. A 2017 project report says BBMP representatives sat on the board, which conflicts with the Act text. | EVIDENCE: (1) BWSSB Act 1964, s.3(2) (FAOLEX copy): 'The Board shall consist of not less than three and not more than seven members appointed by the State Government.' Section 3(3) lists three qualification-based members: commercial, civil/public-health engineering, and accounts/finance. Section 3(4): the Chairman is one of these members. Section 3(5): 'A person shall be disqualified from being appointed or being a member of the Board if he is, or within the twelve months last preceding was, a member of Parliament or of any State Legislature or any local authority.' This bars sitting councillors from the board. Section 14: the Consultative Committee is advisory only. It includes members of the Board plus 3 to 9 others appointed after the State Government consults the 'Municipal Corporation of the City of Bangalore', the Improvement Trust Board and water consumers. It is not the governing board. (2) JICA Phase 3 Final Report (BWSSB-23 and BWSSB-22), s.17.1.3: 'BWSSB is governed by a Board of Directors, which at present constitutes of 7 members including representatives from BBMP and Chairman of BWSSB as an ex-officio member.' This is dated practice, from about 2017. It does not say whether the BBMP re</t>
  </si>
  <si>
    <t xml:space="preserve">A person shall be disqualified from being appointed or being a member of the Board if he is, or within the twelve months last preceding was, a member of Parliament or of any State Legislature or any local authority.</t>
  </si>
  <si>
    <t xml:space="preserve">Score left blank. The Act text (FAOLEX copy, a blocked mirror, with amendments visible only up to 1966) says the board has 3-7 members appointed by the State Government. Three are qualification-based members and one of them is the Chairman. Section 3(5) disqualifies anyone who is, or within the last 12 months was, a member of a local authority. This points to no seat for ULG-elected representatives, which would be 0. A 0 needs affirmative absence, and that is not established. The sheet has no official consolidated Act, no Rules or amendment notifications and no current board list. The 2017 JICA report says the board included BBMP representatives, which conflicts with the Act. It does not say whether they were elected or had voting rights. The GBA Act 2024 was only partly read. Section 14's Consultative Committee is advisory and is not the governing board. To resolve this, a person should check an official current Act text and the current board notification, including how BBMP is read after the GBA Act. Until then the inputs are not settled. Confidence is low.</t>
  </si>
  <si>
    <t xml:space="preserve">Step 2 found no evidence: a source needs to be found and added. Step 2 found no evidence (Insufficient Evidence). Source needed: The Road Transport Corporations Act, 1950 (section on Corporation management and board composition), the notification or rules constituting the BMTC board, BMTC's Articles or bye-laws, and the current board member list (for example from the BMTC annual report or website). These would show whether GBA or City Corporation elected representatives are directors, and whether they vote.</t>
  </si>
  <si>
    <t xml:space="preserve">ANSWER: On the BDA Act text in the Citation Sheet, the ULG is represented on the BDA board by elected councillors, and board members vote. The 1976 Act names the 'Bangalore City Corporation', and the Sheet does not show the Greater Bengaluru Authority or the City Corporations substituted for it. There is also no current board member list, so I am not scoring. | EVIDENCE: BDA Act 1976 s.3(3)(l) lists '(l) two persons elected by the councillors of the Bangalore City Corporation from among themselves in the prescribed manner'. The proviso says that during supersession of the Corporation, or where an Administrator has been appointed, 'the two persons shall be nominated by the Administrator from among the officers of the Corporations'. s.3(3)(f) also makes 'the Commissioner, Corporation of the City of Bangalore, ex-officio' a member. That is an officer, not an elected representative. s.3(5) makes only the Chairman, engineer, finance and town planner members whole-time, so the other members, including the councillor members, are part-time members of the Authority. s.5(1) proviso ends the representative's term when he ceases to be a councillor or when the Corporation is superseded. s.4(1)(f) disqualifies an elected member who ceases to be a councillor. s.8(4) says questions are 'decided by a majority of the votes of the members present and voting', and s.8(5) bars voting only where a member has an interest. s.69(2)(b) lets Rules prescribe the manner of election by Councillors. The R</t>
  </si>
  <si>
    <t xml:space="preserve">(l) two persons elected by the councillors of the Bangalore City Corporation from among themselves in the prescribed manner</t>
  </si>
  <si>
    <t xml:space="preserve">The BDA Act text in BDA-02 supports a legal design that would score 5. Two seats go to persons elected by the councillors of the 'Bangalore City Corporation'. Members vote under s.8(4) by 'a majority of the votes of the members present and voting'. I left the score blank for three reasons. (1) The Act names the pre-GBA 'Bangalore City Corporation'. The Sheet has no official source showing the GBA or the City Corporations substituted for it, under the Greater Bengaluru Governance Act 2024 or any later amendment. (2) The proviso to s.3(3)(l) gives the seats to officers nominated by an Administrator when the Corporation is superseded or an Administrator is in place. That would not be elected representation, and the Sheet does not show which situation applies now. (3) The notes for scorers require the current board member list, and there is none in the Sheet. The s.3(6) notification and the Rules on the manner of election are also missing. Both Act copies are PRS secondary copies. The methodology gives no band for this uncertainty, so a person should confirm the substitution and the current board list before scoring. If the elected-councillor seats are confirmed as operative, the score would be 5.</t>
  </si>
  <si>
    <t xml:space="preserve">ANSWER: Not determined. The sources show no ULG (GBA or City Corporation) seat on the BMRCL board. They do not prove absence, because the current board list and the Articles of Association are not in the Citation Sheet. | EVIDENCE: BMRCL Annual Report 2020-21 (Corporate Governance Report): "Both the Governments have the right to nominate five (5) Directors each on the Board of Directors." BMRCL is a Government Company held 50:50 by GoI and GoK. The board as on 31.03.2021 had 12 directors: a GoI-appointed Chairman, the MD, 5 nominee directors each of GoI and GoK, and 2 functional directors. The directors identified by office are GoI or GoK officials: Joint Secretary MoHUA, Railway Board ED, and Additional Chief Secretaries of the Urban Development, Finance and Development Commissioner offices. No Mayor, Councillor or BBMP/GBA nominee is listed by designation. Three directors (Shri K. K. Saberwal, Shri M. Nagaraj, Dr. E. V. Ramana Reddy) have no designation shown in the extracts I read. The Greater Bengaluru Governance Act 2024 extracts (ss.95-102: constituency committees, standing committees, ward committees) contain no provision for ULG seats on the BMRCL board. The Metro Rail Policy 2017 only says it is "worthwhile considering a stake of the local body" in the metro agency. That is a recommendation, not a requirement. | CAVEATS: The Metro Rail Policy suggestion is advisory only. The designations of the three directors listed above are unknown from the extracts. No GBA-era bo</t>
  </si>
  <si>
    <t xml:space="preserve">BMRCL Annual Report 2020-21 (Board's Report, Independent Auditor's Report, CAG comments, audited Balance Sheet, P&amp;L and Cash Flow for FY 2020-21), laid before the Karnataka Legislative Council [BMRCL-01]</t>
  </si>
  <si>
    <t xml:space="preserve">https://kla.kar.nic.in/council/house/Paperlaid/146/33.pdf</t>
  </si>
  <si>
    <t xml:space="preserve">Both the Governments have the right to nominate five (5) Directors each on the Board of Directors.</t>
  </si>
  <si>
    <t xml:space="preserve">I left the score blank. BMRCL is a Government Company held 50:50 by GoI and GoK. Its Board of Directors has the two Governments each nominating five directors. The FY 2020-21 report shows a 12-member board. The directors named by office are GoI or GoK officials (MoHUA Joint Secretary, Additional Chief Secretaries of the Urban Development and Finance departments, and the Development Commissioner). No Mayor, Councillor or BBMP/GBA nominee appears by designation. That fits band 0, but a 0 needs affirmative absence, and the sheet does not give it. The sheet has no current board list and no Articles of Association. Three directors (Saberwal, Nagaraj, Ramana Reddy) have no designation in the extracts I read. The sheet also has no GBA-era board list. I did not read the Greater Bengaluru Governance Act 2024 in full. The Metro Rail Policy 2017 only recommends considering a local-body stake, which is advisory. A person should check the current board list and the Articles. If neither shows an elected ULG representative, the score would be 0. Confidence is low because the evidence is dated (FY 2020-21) and incomplete.</t>
  </si>
  <si>
    <t xml:space="preserve">ANSWER: Not determinable for the current arrangement. The BMRDA Act text in the sheet gives the municipal corporation's Mayor a voting seat, but that text is the BBMP-era wording and comes from an unofficial host. I could not confirm that the Greater Bengaluru Authority or its city corporations now hold that seat. | EVIDENCE: (1) BMRDA Act 1985, s.3(3)(d), in the copy hosted by India Water Portal (BMRDA-08), lists as a member 'the Mayor, Corporation of the City of Bangalore'. Under s.3(3)(w) there are also 'four members from amongst the persons representing the local authorities in the Bangalore Metropolitan Region, appointed by the Government'. Under s.3(3)(v) there are 'four members of the Karnataka State Legislature representing the Bangalore Metropolitan Region, appointed by the Government'. Section 5(4) says questions are 'decided by majority of the votes of the members present and voting', so all members appear to vote. Section 6(1)(e)-(f) puts the Mayor and the Commissioner of the Corporation on the Executive Committee. (2) The Greater Bengaluru Governance Act 2024 (BMRDA-10) was searched for BMRDA board provisions. The excerpts show a Mayor and Councillors for City Corporations and a Greater Bengaluru Authority, but no provision that substitutes the GBA or a City Corporation Mayor for the 'Corporation of the City of Bangalore' in the BMRDA Act. I did not read the full Act, so this is not a confirmed absence. (3) No BMRDA rules or amendment notifications on board compo</t>
  </si>
  <si>
    <t xml:space="preserve">(d) the Mayor, Corporation of the City of Bangalore</t>
  </si>
  <si>
    <t xml:space="preserve">Score left blank. The Act text in the sheet comes from India Water Portal, which is not an allow-listed source, so it can only be a lead. It gives the Mayor of the Corporation of the City of Bangalore a seat on the Authority. Section 5(4) says questions are decided by 'the votes of the members present and voting'. On its face this fits the 5 band (ULG-elected representative with vote). It also lists four members from local authorities under s.3(3)(w). However, 'Corporation of the City of Bangalore' is BBMP-era wording. The Greater Bengaluru Governance Act 2024 created the GBA and City Corporations, and the sheet shows no official substitution for the Mayor seat. There is also no official copy of the BMRDA Act, no BMRDA rules or amendment notifications on board composition, and no current board list. Needed before scoring: (1) the official BMRDA Act PDF linked from the BMRDA site; (2) the GBA Act provisions on substitution, or an amendment to s.3; (3) the current board composition. If the Mayor seat is confirmed to survive, or to be substituted by a City Corporation or GBA elected head with a vote, the score would be 5. VERIFICATION-LIMIT applies to the official copy.</t>
  </si>
  <si>
    <t xml:space="preserve">DPG2b</t>
  </si>
  <si>
    <t xml:space="preserve">Is the parastatal mandated to submit its plans, budgets or reports to the ULG/council?</t>
  </si>
  <si>
    <t xml:space="preserve">ANSWER: No provision was found that requires BWSSB to submit or table its plans, budgets or reports to the ULG/council (the GBA or the City Corporations). The only submission routes seen go to the State Government or the State Legislature. A score of 0 cannot be given because the whole instrument stack was not read. | EVIDENCE: BWSSB Act 1964 s.17(1) says 'In February of each year the Board shall submit to the State Government a statement ... of the estimated capital and revenue receipts and expenditure for the ensuing year.' Under s.17(3) the State Government lays it before both Houses of the State Legislature. Under s.14(5) the Board places the annual financial statement before the Consultative Committee. That Committee is appointed by the State Government after consultation with, among others, the Municipal Corporation of the City of Bangalore (s.14(1)). It is not the ULG or its council. I saw no BWSSB Act provision on tabling plans or an annual report before the ULG. On the ULG side, Greater Bengaluru Governance Act 2024 s.19(1) lets the Government 'call for periodic reports' from public authorities discharging municipal functions. That reporting runs to the Government, not the ULG. The reporting duties in ss.21-22 are the GBA's own: it submits its budget and annual report to the Government and a copy to the City Corporations. They do not bind BWSSB. | CAVEATS: The 1964 Act text is an older FAOLEX copy, so its amendment status is unverified. It names the 'Municipal Corpor</t>
  </si>
  <si>
    <t xml:space="preserve">In February of each year the Board shall submit to the State Government a statement in the form prescribed by 1[regulations]1 of the estimated capital and revenue receipts and expenditure for the ensuing year.</t>
  </si>
  <si>
    <t xml:space="preserve">Score left blank. In the BWSSB Act 1964 (FAOLEX copy, amended to at least 1966), I found no provision requiring BWSSB to submit or table plans, budgets or reports before the ULG/council. Budget: s.17(1) sends the annual financial statement to the State Government, and s.17(3) has the State Government lay it before the State Legislature. Annual report: s.86(1)-(2) sends it to the State Government, and the report is laid before the State Legislature. Plans: no provision seen. s.14(5) places the annual financial statement before the Consultative Committee. The State Government appoints that Committee after consulting the Municipal Corporation of the City of Bangalore, among others, so it is not the ULG or council. The Methodology says submission only to the State Government does not count. A score of 0 needs affirmative absence, and that is not established. I did not read the BWSSB Rules or Regulations. I did not read the full text of the Act and its later amendments. I did not read the Karnataka municipal Acts or other state laws that apply to BWSSB. Check three things. First, whether the GBA or City Corporations are substituted for the Municipal Corporation of the City of Bangalore. Second, whether the Greater Bengaluru Governance Act 2024 (BWSSB-29) contains any BWSSB reporting duty to the ULG. The Step 2 answer says its ss.19, 21 and 22 do not. Third, the BWSSB Rules and Regulations. If all of these show nothing, the likely score is 0.</t>
  </si>
  <si>
    <t xml:space="preserve">Step 2 found no evidence: a source needs to be found and added. Step 2 found no evidence (Insufficient Evidence). Source needed: Text of the Road Transport Corporations Act, 1950, and rules made under it, covering budget, annual report and plan clauses. Also the GBA Act 2024 provisions on public authorities reporting to the GBA or city corporations. Also any BMTC notification.</t>
  </si>
  <si>
    <t xml:space="preserve">ANSWER: No provision was found in the sheet that requires BDA to submit or table its plans, budgets or reports before the ULG (GBA or the City Corporations) or its council. Every submission duty found runs to the State Government or the State Legislature. The score is left blank because the absence is not fully affirmed. | EVIDENCE: BDA Act 1976 (PRS consolidated text). Plans: s.18(1)-(3) has the Authority submit development scheme plans and estimates to the Government for sanction. Budget: s.42-44 have the Commissioner lay the estimate before the Authority, which approves it, and the approved estimate is 'submitted to the Government' for sanction (s.44). Reports and accounts: s.47(5) has audited accounts sent to the State Government and laid before each House of the State Legislature. s.47A has the Authority submit prescribed reports 'to the State Government', which are then laid before the State Legislature. No BDA Act provision names the Corporation, GBA or council as a recipient. GBA Act 2024 (Act 36 of 2025). s.19(1) lets the Government call for periodic reports from public authorities discharging municipal functions, and the reports go to the Government, not to the ULG. s.21 and s.22 (the GBA's budget and annual report, with s.22(2) sending a copy to the City Corporations) bind the GBA itself, not BDA. KTCP Act 1961: s.68B and s.68D require Planning Authorities to send the budget and report to the State Government and the Board. These sections are not shown to apply to </t>
  </si>
  <si>
    <t xml:space="preserve">The estimate, as approved by the Authority, shall be  submitted to the Government which may, either sanction or disallow such estimate or any portion thereof  and return the same for amendment.</t>
  </si>
  <si>
    <t xml:space="preserve">I left the score blank. In the BDA Act, every submission duty I found runs to the State Government or the State Legislature, not to the ULG or its council. Plans go to the Government for sanction under s.18. Budget estimates go to the Government under s.44. Audited accounts go to the State Government and the Legislature under s.47(5). Reports go to the State Government under s.47A. This follows the Step 2 reading of BDA-02, which I checked against the text. A 0 needs affirmative absence, and the sheet does not give it. The BDA Rules and Regulations are not in the sheet. The GBA Act is only partly reviewed, and I did not check whether it covers BDA or substitutes the GBA or City Corporations for the old Corporation. The PRS consolidated BDA Act is undated and may predate later amendments. If the team confirms that no other instrument requires submission to the ULG or council, the score would be 0 (all three components absent). Confidence is low because the absence is not fully established.</t>
  </si>
  <si>
    <t xml:space="preserve">ANSWER: Not established. No provision in the Citation Sheet requires BMRCL to submit or table its plans, budgets or annual/performance reports before the ULG (the Greater Bengaluru Authority or the City Corporations) or a council. I could not confirm affirmative absence, so I am not scoring 0. | EVIDENCE: (1) Metro Railways (Operation and Maintenance) Act, 2002 (BMRCL-15): s.12 requires the Chief Commissioner of Railway Safety to prepare an annual report and forward it to the Central Government. s.13 requires the Central Government to lay it before Parliament. s.46 requires returns of accidents to be sent to the Central Government. These concern the Railway Safety Commissioner's report and accident returns. They are not BMRCL's plans, budgets or reports, and they go to the Centre, not the ULG. (2) Greater Bengaluru Governance Act, 2024, PRS copy (BMRCL-34): s.19(1) says 'The Government shall be entitled to call for periodic reports from such Public Authorities, agencies and departments of the Government discharging municipal functions in the Greater Bengaluru Area'. This runs to the State Government, not the ULG, and is a 'may call for' entitlement, not a duty to submit. ss.21-22 require the GBA to submit its own budget and annual report to the Government, and s.22(2) requires it to send them to the City Corporations. They bind the GBA, not BMRCL. (3) Karnataka Town and Country Planning Act (BMRCL-31): ss.68B-68D require Planning Authorities to forward budgets and reports to </t>
  </si>
  <si>
    <t xml:space="preserve">The Government shall be entitled to call for periodic reports from such Public Authorities, agencies and departments of the Government discharging municipal functions in the Greater Bengaluru Area</t>
  </si>
  <si>
    <t xml:space="preserve">I left the score blank. I found no provision requiring BMRCL to submit or table plans, budgets or annual/performance reports before the ULG or a council. The provisions I did find run elsewhere. GBG Act s.19(1) lets the State Government call for reports. It is a 'may call for' entitlement, and it runs to the State, not the ULG. ss.21-22 bind the Greater Bengaluru Authority (GBA), not BMRCL. The Metro Railways Act 2002 reports go to the Central Government and Parliament. The BMRCL Annual Report is laid before the State Legislative Council, which is the legislature and not the ULG. BMRCL is a Government Company with no dedicated enabling Act in the sheet. Its Articles of Association, the Companies Act provisions, the full GBG Act and its Rules were not fully read. A 0 therefore needs affirmative absence, which I cannot show, so the result is 'not found' and not 0. If the team confirms the full instrument stack has no such provision, the score would be 0. Please also confirm whether BMRCL counts as a parastatal for this question.</t>
  </si>
  <si>
    <t xml:space="preserve">ANSWER: Not determined. No provision in the Citation Sheet requires BMRDA to submit or table plans, budgets or annual reports before the ULG (GBA or the City Corporations). The Rules layer is missing, so I cannot confirm absence. | EVIDENCE: BMRDA Act 1985 s.12 (Budget): 'shall submit a copy thereof to the State Government'. s.13 (Annual report): 'submit to the State Government and the State Government shall cause a copy of such report to be laid before both Houses of the State Legislature'. Plans: s.31 of the BMRDA Act inserts s.81-C into the KTCP Act. It requires Planning Authorities to submit outline and comprehensive development plans 'to the State Government through the Bangalore Metropolitan Region Development Authority for approval'. That route goes to the State, not the ULG. KTCP Act ss.68B and 68D: Planning Authorities forward budgets and reports to the State Government and the Board. Greater Bengaluru Governance Act 2024 s.19: the 'Government shall be entitled to call for periodic reports' from public authorities. That is a reporting line to the State Government, not to the ULG. GBA Act ss.21-22: the GBA submits its own budget and annual report to the Government and the City Corporations. That is the GBA's duty, not BMRDA's. | CAVEATS: Submission only to the State Government or the Legislature does not count as submission to the ULG. On the evidence read, no ULG submission duty appears for BMRDA. | PERIOD: BMRDA Act as amended (host copy, date not stated); GBA Act 2</t>
  </si>
  <si>
    <t xml:space="preserve">The Authority shall prepare, every year, in such form and at such time as may be prescribed, an annual budget estimate in respect of the next financial year showing the estimated receipts and disbursements of the Authority and shall submit a copy thereof to the State Government.</t>
  </si>
  <si>
    <t xml:space="preserve">I left the score blank. The BMRDA Act text in the Sheet gives no duty to submit or table plans, budgets or reports before the ULG or council. Section 12 sends the budget to the State Government. Section 13 sends the annual report to the State Government, which lays it before the State Legislature. Section 16(3) sends the audited accounts to the State Government. Section 31 inserts s.81-C into the KTCP Act. It routes Planning Authorities' development plans to the State Government through BMRDA, which is not a submission to the ULG. Submission only to the State Government or the Legislature does not count. A score of 0 needs affirmative absence, and the Sheet does not support that. It has no BMRDA Rules or Regulations, even though ss.12 and 13 leave the form and timing to be prescribed. The host copy is the unofficial India Water Portal PDF, and its amendment date is not stated. I did not fully check the GBA Act for provisions naming BMRDA. A person should check the Rules and the GBA Act. If they show no ULG duty, the score is 0 (all three components absent). Confidence is low because the score is blank.</t>
  </si>
  <si>
    <t xml:space="preserve">DPG4</t>
  </si>
  <si>
    <t xml:space="preserve">Does the parastatal maintain an active and functional website?</t>
  </si>
  <si>
    <t xml:space="preserve">10</t>
  </si>
  <si>
    <t xml:space="preserve">ANSWER: Not determinable from the Citation Sheet. The sources show that BWSSB has a website, but none is a saved copy of the site. Whether it opens without error, and whether it shows content dated within the last 12 months, cannot be checked. | EVIDENCE: (1) BWSSB-25, a KarnatakaOne page on a gov.in domain run by DPAR (EDCS), says 'Visit [http://www.bwssb.org/] www.bwssb.org for more details.' This points to bwssb.org as BWSSB's site. It is a government-domain link to that domain, but it was not opened, so it does not show the site is live or current. (2) BWSSB-12, a presentation by a BWSSB Chief Engineer, lists 'WEBSITE' among its IT initiatives and is undated on this point. (3) BWSSB-32 is a 2016 Public Affairs Centre assessment. It says 'Although BWSSB has a website, it was seen only by 3% of the customers'. This is old, non-official evidence of existence only, not of current activity. (4) BWSSB-04, BWSSB-22, BWSSB-23, BWSSB-28 and BWSSB-29 are legal and project documents. They say nothing about the website. | CAVEATS: Components: Existence = indicated but not verified by a fetched copy. Accessibility = undetermined. Currency = undetermined, because there is no dated content from the BWSSB site. Functionality = undetermined. The 'Last reviewed and updated on 14 July, 2026' line in BWSSB-25 refers to the KarnatakaOne portal, not to the BWSSB website, so it cannot be used for currency. The rubric's score 0 needs affirmative absence of a website. That is not the case here, s</t>
  </si>
  <si>
    <t xml:space="preserve">KarnatakaOne – BWSSB Service (Government of Karnataka citizen-services portal) [BWSSB-25]</t>
  </si>
  <si>
    <t xml:space="preserve">https://www.karnatakaone.gov.in/Info/Public/BWSSB</t>
  </si>
  <si>
    <t xml:space="preserve">Visit [http://www.bwssb.org/] www.bwssb.org for more details.</t>
  </si>
  <si>
    <t xml:space="preserve">The score is left blank. VERIFICATION-LIMIT. The KarnatakaOne page, which sits on a gov.in domain, points to www.bwssb.org as BWSSB's website. That shows the site exists. The Citation Sheet has no fetched copy of bwssb.org itself. So I cannot tell whether it opens without error, or whether it has content dated within the last 12 months. The 'Last reviewed and updated on 14 July, 2026' line refers to the KarnatakaOne portal, not to BWSSB's site. A score of 0 would need affirmative absence of a website, and that is not the case. A score of 10 needs the live check. A reviewer should open bwssb.org, look for a dated notice, circular or tender from the last 12 months, record the date of the check, and capture a screenshot or web-archive link.</t>
  </si>
  <si>
    <t xml:space="preserve">Answered — Verified Source</t>
  </si>
  <si>
    <t xml:space="preserve">ANSWER: Yes. BMTC has an official website on a Karnataka government domain. The saved pages loaded, and each shows a 'Last Updated' date of 30-09-2026. | EVIDENCE: BMTC-44 (Contact Us page) and BMTC-46 (Rules and Regulations page) both come from the mybmtc.karnataka.gov.in site. Existence: the footer says 'Content Owned and maintained by: Bengaluru Metropolitan Transport Corporation, Government of Karnataka'. The site is built and hosted by the Centre for e-Governance, Karnataka, and the sitemap link is https://mybmtc.karnataka.gov.in/sitemap/en. The domain is .gov.in. Accessibility: the saved copies hold the full human-readable page body, so the pages opened. Currency: the footer reads 'Last Updated: 30-09-2026', which is within 12 months of the September 2026 rules version. Functionality: both the Contact Us and Rules and Regulations pages loaded with content. | CAVEATS: The 'Last Updated' date is a site-wide footer. It may be generated by the template, so it does not prove that any specific notice or circular is recent. No dated notice or circular appears in the excerpts. I did not test other features such as search or forms. | PERIOD: Site footer date 30-09-2026; the capture date of the saved copy is not stated in the excerpts. | LIMITS: There is no archived screenshot or web-archive link, and the date of the check is not recorded in the sheet. A reviewer should record both.</t>
  </si>
  <si>
    <t xml:space="preserve">Contact Us - Bengaluru Metropolitan Transport Corporation [BMTC-44]</t>
  </si>
  <si>
    <t xml:space="preserve">https://mybmtc.karnataka.gov.in/page/Contact+Us/en</t>
  </si>
  <si>
    <t xml:space="preserve">Last Updated: 30-09-2026</t>
  </si>
  <si>
    <t xml:space="preserve">The saved Contact Us page (BMTC-44) is from mybmtc.karnataka.gov.in, a .gov.in domain. The footer says 'Content Owned and maintained by: Bengaluru Metropolitan Transport Corporation, Government of Karnataka'. It also says 'Designed, Developed &amp; Hosted by: Centre for e-governance'. The sitemap link is https://mybmtc.karnataka.gov.in/sitemap/en. The saved body is human-readable, so I treat the page as opening without error. The footer shows 'Last Updated: 30-09-2026', which is within 12 months of the September 2026 rules version. I score 10 on that basis. Caveats: the footer date may be generated by the template. The excerpt has no dated notice or circular. The capture date is not recorded. No archived screenshot or web-archive link is in the sheet. A reviewer should open the live site, record the date of the check, and capture a screenshot or archive link. They should also look for a dated notice or circular to confirm the content is current.</t>
  </si>
  <si>
    <t xml:space="preserve">Step 2 found no evidence: a source needs to be found and added. Step 2 found no evidence (Insufficient Evidence). Source needed: A fetched, human-readable copy of the BDA's official website homepage, showing recent dated notices or circulars. It would need a date of check and an archive capture or screenshot. The site's official status would need proof, such as a link from a .gov.in page or its naming in a Government Order.</t>
  </si>
  <si>
    <t xml:space="preserve">ANSWER: Not determined. The Citation Sheet has no fetched, dated capture of a BMRCL website, so the three tests (exists, opens without error, content updated within 12 months) cannot be scored. | EVIDENCE: (1) BMRCL-47, the Directorate of Urban Land Transport index page, links to a BMRCL site: '[https://kannada.bmrc.co.in/] ## BMRCL'. This points to a BMRCL web presence on a government-department page, but it is a link only and not a capture of that site. (2) BMRCL-01, the Annual Report 2020-21 (page 56), says the RTI Officer and Appellate Authority details 'are available on the Official website of the Company' and that 'the Company hosts all its tenders on the Website'. This shows a website existed in FY2020-21 and says nothing about the current date. (3) The other sources (BMRCL-34, 31, 35, 15, 18 and 21) are Acts, a policy and a safeguard document. They have no bearing on website status. | CAVEATS: The only link found points to a Kannada-language subdomain. Whether it is the main official site is unverified. An older mention of a website is not evidence of current activity. | PERIOD: Annual report covers FY2020-21. The DULT page is undated. No date of verification exists. | LIMITS: No live capture, no screenshot or web-archive copy, and no dated notice or circular from the BMRCL site is in the sheet. The site could not be checked for errors or currency. This is a verification limit and not a negative finding, so the score is not 0.</t>
  </si>
  <si>
    <t xml:space="preserve">Directorate of Urban Land Transport - Index [BMRCL-47]</t>
  </si>
  <si>
    <t xml:space="preserve">https://dult.karnataka.gov.in/en</t>
  </si>
  <si>
    <t xml:space="preserve">[https://kannada.bmrc.co.in/] ## BMRCL ## BMRCL</t>
  </si>
  <si>
    <t xml:space="preserve">VERIFICATION-LIMIT / not scored. DPG4 is a point-in-time check of the BMRCL site. It needs the site to exist, open without error, and show content updated within 12 months. It also needs a verification date and an archived capture. The Citation Sheet has no capture of any BMRCL website. BMRCL-47 is the DULT index page, which only links to https://kannada.bmrc.co.in/. The 'Last Updated: 2026-10-09' on that page belongs to the DULT site, not to BMRCL. BMRCL-01 (FY2020-21) mentions an official website and tenders hosted on it, but that is old and shows nothing about the current state. I did not check whether the main domain is the kannada.* subdomain or another one. This is not affirmative absence, so the score is not 0. A reviewer should open the official BMRCL site and confirm the domain. They should also confirm that dated notices or tenders fall within the last 12 months, and record the check date and an archive link.</t>
  </si>
  <si>
    <t xml:space="preserve">ANSWER: Yes. BMRDA has an official website that opened when saved, and the saved home page shows content dated within the last 12 months. | EVIDENCE: Existence and accessibility: BMRDA-02 is the saved English home page of the BMRDA site. It has the BMRDA introduction, services, RTI links and a News and Events panel. The page footer (seen in BMRDA-13) reads 'Content Owned and maintained by: Bengaluru Metropolitan Region Development Authority(BMRDA), Government of Karnataka Designed , Developed &amp; Hosted by: Centre for e-governance - Webportal karnataka government © 2026'. That ties the site to BMRDA and to a Karnataka government host. Currency: the News and Events panel lists 'CA Site Paper Notification' as '2 months ago'. The Notifications section links newspaper-notice PDFs whose file names carry dates: 'DH_Bengaluru _20260729', 'EPaper-Bangalore_30-07-2026' and 'NIE Bengaluru 29-07-2026'. The Acts and Rules list includes 'The Karnataka Planning Authorities (Allotment of Civic Amenity Sites within the Bengaluru Metropolitan Region) Rules, 2026.' Functionality: the English home page, the Kannada home page (BMRDA-04) and the Local Planning Areas page (BMRDA-13) were all saved with their body text. | CAVEATS: The 'Last Updated' field in the footer was blank in the saved copy. Currency rests on dated content (the 'CA Site Paper Notification' item, the '2 months ago' label and the 2026 file names), not on a footer date. Some items are older: 'One year ago' for the GBIT brochure an</t>
  </si>
  <si>
    <t xml:space="preserve">Home - Bangalore Metropolitan Region Development Authority (BMRDA) (English home page) [BMRDA-02]</t>
  </si>
  <si>
    <t xml:space="preserve">https://bmrda.karnataka.gov.in/english</t>
  </si>
  <si>
    <t xml:space="preserve">The Karnataka Planning Authorities (Allotment of Civic Amenity Sites within the Bengaluru Metropolitan Region) Rules, 2026.</t>
  </si>
  <si>
    <t xml:space="preserve">I scored 10. The BMRDA website (bmrda.karnataka.gov.in) is official. The footer reads 'Content Owned and maintained by: Bengaluru Metropolitan Region Development Authority(BMRDA), Government of Karnataka', and the site is hosted on a gov.in domain by the Centre for e-governance. The saved English home page, the Kannada home page and the Local Planning Areas page all loaded with body text. Dated content within the last 12 months is on the page: newspaper-notice PDFs named 'DH_Bengaluru _20260729', 'EPaper-Bangalore_30-07-2026' and 'NIE Bengaluru 29-07-2026'. There is also a 'CA Site Paper Notification' labelled '2 months ago', the 2026 civic-amenity-site Rules, and mobility-plan PDFs. The footer 'Last Updated' field is blank, so currency rests on this dated content. Other items are older: 'One year ago' for the GBIT brochure and the RTI item, a 2020-21 citizen charter, a 2023-24 annual report, and 2025 gallery entries. The methodology also asks for a verification date and an archived screenshot or link, and neither is in the Citation Sheet. A reviewer should record both. The 'GBIT BROCHURE' link and the 'CA Site Paper Notification' link share the same PDF URL, which is an oddity in the saved page. Link-level functionality was not tested. Confidence is medium because the site was assessed from a saved copy, not a live check.</t>
  </si>
  <si>
    <t xml:space="preserve">DPG5a</t>
  </si>
  <si>
    <t xml:space="preserve">Annual budget</t>
  </si>
  <si>
    <t xml:space="preserve">1</t>
  </si>
  <si>
    <t xml:space="preserve">Step 2 found no evidence: a source needs to be found and added. Step 2 found no evidence (Insufficient Evidence). Source needed: A dated copy or screenshot of BWSSB's published annual budget (current or preceding FY) from the BWSSB website or a state legislature papers-laid page, showing the file format.</t>
  </si>
  <si>
    <t xml:space="preserve">Step 2 found no evidence: a source needs to be found and added. Step 2 found no evidence (Insufficient Evidence). Source needed: A saved copy of the BMTC website's budget or finance page, or a BMTC budget document for FY2025-26 or FY2024-26, showing its date and file format. The BMTC Board's approved budget or annual administration report would also help.</t>
  </si>
  <si>
    <t xml:space="preserve">Step 2 found no evidence: a source needs to be found and added. Step 2 found no evidence (Insufficient Evidence). Source needed: A capture of the BDA official website budget or finance page showing the latest FY budget (current or immediately preceding FY) and its file type (XLSX/CSV/HTML table vs scanned PDF), with access date.</t>
  </si>
  <si>
    <t xml:space="preserve">Step 2 found no evidence: a source needs to be found and added. Step 2 found no evidence (Insufficient Evidence). Source needed: A dated capture of BMRCL's official website (or an A-domain page linking to it) showing the current or immediately preceding FY annual budget, with its file type (XLSX/CSV/structured HTML or PDF).</t>
  </si>
  <si>
    <t xml:space="preserve">Step 2 found no evidence: a source needs to be found and added. Step 2 found no evidence (Insufficient Evidence). Source needed: The fetched body of the BMRDA Budget page (the /44/budget page) and the budget files linked from it. These would show the FY covered and the file type (XLSX/CSV/structured HTML or text PDF versus scanned PDF). A dated screenshot or archived copy is also needed.</t>
  </si>
  <si>
    <t xml:space="preserve">DPG5b</t>
  </si>
  <si>
    <t xml:space="preserve">Audited annual accounts</t>
  </si>
  <si>
    <t xml:space="preserve">Step 2 found no evidence: a source needs to be found and added. Step 2 found no evidence (Insufficient Evidence). Source needed: A dated capture of the BWSSB official website or an official .gov.in page listing audited annual accounts or financial statements for the latest FY, with the file type shown (XLSX/CSV/structured HTML vs scanned or text PDF).</t>
  </si>
  <si>
    <t xml:space="preserve">Step 2 found no evidence: a source needs to be found and added. Step 2 found no evidence (Insufficient Evidence). Source needed: A dated capture of BMTC's official website or Karnataka government portal pages showing the latest audited annual accounts. It should show the FY and the file format. Alternatively, BMTC's latest annual report or accounts tabled in the Legislature.</t>
  </si>
  <si>
    <t xml:space="preserve">ANSWER: Not determinable. The Citation Sheet has no evidence of BDA's current online audited accounts, their FY or their file format, so neither component (availability/currency, format) can be scored. | EVIDENCE: BDA-38 is BDA's Annual Accounts for 2016-17. It includes the CAG Separate Audit Report for the year ended 31 March 2017. The extracted text is partly garbled, which suggests a scanned or legacy-font PDF. It is too old to show current practice. No BDA website page or URL is shown for it. BDA-37 is a Legislative Council papers-laid list for the 139th session. The excerpts show no BDA accounts entry. BDA-02 (BDA Act 1976) s.47(5) says the audited accounts and the auditor's report shall be published by the Authority in the prescribed manner. That is a legal mandate to publish and does not prove practice. BDA-11 (GBA Act) and BDA-03 (KTCP Act) concern other bodies and do not show BDA's published accounts. | CAVEATS: The Act mandate is not evidence of implementation. The 2016-17 accounts are far outside the permitted one-FY lag. | PERIOD: Latest FY found is 2016-17. BDA Act as consolidated by PRS. | LIMITS: No BDA website page or portal listing is in the Citation Sheet. No evidence of the latest audited accounts online. No evidence of a structured format such as XLS or CSV. The website was not checked, which is a verification limit and not a negative finding.</t>
  </si>
  <si>
    <t xml:space="preserve">The audited accounts and the report of the auditor shall be published by the Authority in the prescribed  manner.</t>
  </si>
  <si>
    <t xml:space="preserve">I left the score blank. The Citation Sheet has no evidence of BDA's current audited accounts online, so neither component can be scored. The only BDA accounts in the sheet are the 2016-17 accounts (BDA-38), which are too old for the permitted one-FY lag and are not shown to be on a BDA website page. Section 47(5) of the BDA Act only mandates publication. It does not show that BDA publishes in practice, and this is an Implementation question. A score of 0 needs affirmative absence, meaning the BDA website was checked and nothing was found. That check was not done, so this is a VERIFICATION-LIMIT and not a negative finding. A reviewer should check the BDA website for the latest audited accounts, their FY and their file format (XLS/CSV versus scanned PDF). They should also capture dated screenshots. Latest FY found so far is 2016-17.</t>
  </si>
  <si>
    <t xml:space="preserve">Step 2 found no evidence: a source needs to be found and added. Step 2 found no evidence (Insufficient Evidence). Source needed: A dated capture of the BMRCL website financial-statements or annual-report page, showing the latest audited accounts (FY 2023-24 or FY 2024-25) and the file format. The format could be an XLSX, a structured HTML table, a text PDF or a scanned PDF.</t>
  </si>
  <si>
    <t xml:space="preserve">Step 2 found no evidence: a source needs to be found and added. Step 2 found no evidence (Insufficient Evidence). Source needed: The saved BMRDA 'Budget and Annual Reports' page and any audited accounts or financial statements document (with FY and file format). Alternatively, the Karnataka legislature papers-laid record for BMRDA's audited accounts.</t>
  </si>
  <si>
    <t xml:space="preserve">DPG5c</t>
  </si>
  <si>
    <t xml:space="preserve">Annual report</t>
  </si>
  <si>
    <t xml:space="preserve">Step 2 found no evidence: a source needs to be found and added. Step 2 found no evidence (Insufficient Evidence). Source needed: A dated capture of the BWSSB official website page that lists annual reports, or the annual report itself (the latest FY or latest report due). It would need to show whether the file is a searchable PDF or a scanned one. The Karnataka Legislature papers-laid page is another possible source.</t>
  </si>
  <si>
    <t xml:space="preserve">Step 2 found no evidence: a source needs to be found and added. Step 2 found no evidence (Insufficient Evidence). Source needed: A dated saved copy of the BMTC official website page (reports, publications or RTI/disclosure section) listing the annual report for the latest FY. It would also need the report file itself, so that the FY and whether the PDF is text-searchable or scanned can be checked.</t>
  </si>
  <si>
    <t xml:space="preserve">Step 2 found no evidence: a source needs to be found and added. Step 2 found no evidence (Insufficient Evidence). Source needed: The BDA's official website page listing annual reports, or a dated archived copy of it. This should show the latest annual report (FY 2024-25 or the latest due) as a downloadable file. The file needs to be checked for a text-readable (searchable) versus scanned format.</t>
  </si>
  <si>
    <t xml:space="preserve">Step 2 found no evidence: a source needs to be found and added. Step 2 found no evidence (Insufficient Evidence). Source needed: A dated capture of the BMRCL website's annual report page, or the latest annual reports (FY 2023-24 and FY 2024-25) laid before the legislature, showing the format and download status.</t>
  </si>
  <si>
    <t xml:space="preserve">ANSWER: Not determinable. The BMRDA website links an annual report labelled 2023-24, but the report file is not in the Citation Sheet. Currency against the required period and the text-searchability of the file therefore cannot be judged. | EVIDENCE: BMRDA-02 (English home page, 'Department Documents') lists '[https://bmrda.karnataka.gov.in/40/budget-and-annual-reports/en] Budget and Annual Reports [https://bmrda.karnataka.gov.in/storage/pdf-files/2023-24 Anual Report.pdf] Annual Report'. The same page carries 2026-dated uploads (for example the Civic Amenity Sites Rules, 2026, and CA-site notifications dated July 2026), so the site was being updated in mid-2026. The only annual report linked from the page is labelled 2023-24. Availability: a link labelled 2023-24 exists, which is probably older than the immediately preceding FY (2025-26) or the latest report due. Format: nothing in the sheet shows whether the PDF is searchable text or a scanned image. BMRDA-13 notes that preparing an annual report is a Planning Authority duty under the Karnataka Town and Country Planning Act (see BMRDA-11, s.68D). That is a mandate, not proof of publication. | CAVEATS: The 'Budget and Annual Reports' page and the PDF itself were not saved. There may be later reports on that page. The site's own accessibility statements do not show that this PDF is text-readable. | PERIOD: Website snapshot around mid-2026; latest annual report seen is labelled FY 2023-24. | LIMITS: Neither the annual report P</t>
  </si>
  <si>
    <t xml:space="preserve">Budget and Annual Reports [https://bmrda.karnataka.gov.in/storage/pdf-files/2023-24 Anual Report.pdf] Annual Report</t>
  </si>
  <si>
    <t xml:space="preserve">I left the score blank. The BMRDA English home page links one annual report, labelled 2023-24 (storage/pdf-files/2023-24 Anual Report.pdf). The PDF itself and the 'Budget and Annual Reports' listing page are not in the Citation Sheet. I could not confirm which FY the report covers or whether the file is text-searchable or a scanned image. Both halves of the rubric are therefore undetermined. Component 1 (currency) may well be 0, because 2023-24 is older than the immediately preceding FY (2025-26). The site shows 2026-dated uploads, so the 2023-24 label is probably not the latest report due. A 0 needs affirmative absence, and the listing page was not read, so a later report may exist. Component 2 (format) cannot be judged at all. This is a VERIFICATION-LIMIT, not a negative finding. A reviewer should open the listing page and the PDF, record the FY of the latest report and test whether the text is searchable. They should also capture a dated screenshot. Latest information found: a report labelled FY 2023-24, with the site updated in mid-2026.</t>
  </si>
  <si>
    <t xml:space="preserve">DPG5d</t>
  </si>
  <si>
    <t xml:space="preserve">Meeting minutes of governing board</t>
  </si>
  <si>
    <t xml:space="preserve">Step 2 found no evidence: a source needs to be found and added. Step 2 found no evidence (Insufficient Evidence). Source needed: A dated capture of the BWSSB official website's Board meeting minutes page (or the minutes document itself) for the current or previous FY. It would be used to check the year and whether the file is searchable and downloadable, rather than scanned.</t>
  </si>
  <si>
    <t xml:space="preserve">Step 2 found no evidence: a source needs to be found and added. Step 2 found no evidence (Insufficient Evidence). Source needed: The BMTC official website's board/Board of Directors/minutes page, with dated minutes documents and their file format (searchable or scanned PDF), captured with access date. Alternatively, BMTC's response to an RTI request for the board minutes.</t>
  </si>
  <si>
    <t xml:space="preserve">Step 2 found no evidence: a source needs to be found and added. Step 2 found no evidence (Insufficient Evidence). Source needed: Capture of the BDA official website's board or Authority meeting-minutes page, with a dated screenshot and the document files, to check the FY of the latest minutes and whether they are text-searchable or scanned.</t>
  </si>
  <si>
    <t xml:space="preserve">Step 2 found no evidence: a source needs to be found and added. Step 2 found no evidence (Insufficient Evidence). Source needed: A dated capture of the BMRCL official website's Board meeting minutes or agenda page, or an archived URL. It should show the latest minutes' FY or date, and whether the file is a searchable PDF or a scanned image.</t>
  </si>
  <si>
    <t xml:space="preserve">Step 2 found no evidence: a source needs to be found and added. Step 2 found no evidence (Insufficient Evidence). Source needed: A BMRDA website page or PDF of Authority meeting minutes for the current or previous FY, opened and checked for text-searchability. The Authority's minutes or agenda page would show this.</t>
  </si>
  <si>
    <t xml:space="preserve">DPG5f</t>
  </si>
  <si>
    <t xml:space="preserve">Organisation and staffing information</t>
  </si>
  <si>
    <t xml:space="preserve">Step 2 found no evidence: a source needs to be found and added. Step 2 found no evidence (Insufficient Evidence). Source needed: A saved copy of the official BWSSB website's organisation chart or officials/staff directory page. It would need a visible date or update stamp, and its file format (HTML, searchable PDF or image) would need to be recorded, with a dated screenshot.</t>
  </si>
  <si>
    <t xml:space="preserve">Step 2 found no evidence: a source needs to be found and added. Step 2 found no evidence (Insufficient Evidence). Source needed: A dated, saved copy of the BMTC website's organisation chart, officers or staff directory page. It would show the update date and the file format (HTML, searchable PDF or image-only).</t>
  </si>
  <si>
    <t xml:space="preserve">Step 2 found no evidence: a source needs to be found and added. Step 2 found no evidence (Insufficient Evidence). Source needed: A dated, saved copy of the BDA official website's organisation chart or officials/staff directory page, showing the latest update date and the file format (HTML or searchable PDF vs image or scanned).</t>
  </si>
  <si>
    <t xml:space="preserve">Step 2 found no evidence: a source needs to be found and added. Step 2 found no evidence (Insufficient Evidence). Source needed: A dated capture of the BMRCL official website pages for organisation structure, officials or staff directory. It must show the format (HTML or searchable PDF versus image-only) and the date of the latest update.</t>
  </si>
  <si>
    <t xml:space="preserve">ANSWER: Not determinable. BMRDA's home page links an "Organisation chart" PDF, but the Citation Sheet has no copy of the chart's content. So its date, its currency and whether it is searchable cannot be assessed. | EVIDENCE: BMRDA-02 (official home page, bmrda.karnataka.gov.in) lists the link "Organisation chart" with the file name ORGNenglish.pdf. The page shows the Metropolitan Commissioner as Sri Rajendra Cholan P, IAS, and the Additional Chief Secretary, UDD, as Sri Tushar Giri Nath, IAS. The page has dated news items ("CA Site Paper Notification", 2 months ago). The footer on a related BMRDA page reads "© 2026". No page shows an update date for the organisation chart. BMRDA-08 (BMRDA Act s.8) describes the posts of Metropolitan Commissioner, Deputy/Assistant Commissioners, Town Planner, Law Officer and Accounts Officer. That is legal provision, not evidence of the current staffing page. | CAVEATS: The chart file's content was not read. It could be an image-only or a text PDF. No staff directory or XLS/CSV staffing page was found in the excerpts. The existence of a link is not proof of currency or searchability. | PERIOD: Home page snapshot, undated; website footer shows 2026. | LIMITS: The chart PDF is not in the Citation Sheet. This is a verification limit, not a negative finding, so a score of 0 is not justified.</t>
  </si>
  <si>
    <t xml:space="preserve">[https://bmrda.karnataka.gov.in/storage/pdf-files/ORGNenglish.pdf] Organisation chart</t>
  </si>
  <si>
    <t xml:space="preserve">I left the score blank. The BMRDA home page links an 'Organisation chart' PDF (ORGNenglish.pdf). The Citation Sheet holds only the link, not the chart's content. So I can't tell its date or currency (0.5 for availability and currency). I also can't tell whether it is a searchable text PDF or an image-only file (0.5 for format). The page shows the current Metropolitan Commissioner and the Additional Chief Secretary, UDD. That is not evidence that the chart itself is current. The footer reads © 2026, which does not date the chart. A 0 would need affirmative absence, and the chart exists but was not read. VERIFICATION-LIMIT. A reviewer should open the PDF, record its date or FY, and check whether the text is selectable. A dated screenshot is needed for the evidence field. The latest date found so far is unknown.</t>
  </si>
  <si>
    <t xml:space="preserve">DPG5g</t>
  </si>
  <si>
    <t xml:space="preserve">Major plans / projects</t>
  </si>
  <si>
    <t xml:space="preserve">Step 2 found no evidence: a source needs to be found and added. Step 2 found no evidence (Insufficient Evidence). Source needed: A saved, dated capture of BWSSB's official website pages for projects and plans (such as a project list or dashboard, or a current-FY action plan or annual report), showing the date and file format.</t>
  </si>
  <si>
    <t xml:space="preserve">Step 2 found no evidence: a source needs to be found and added. Step 2 found no evidence (Insufficient Evidence). Source needed: Dated capture of the BMTC official website pages for plans and ongoing projects (current or preceding FY), showing document type and file format (text PDF, HTML table, XLS/CSV or scanned/image).</t>
  </si>
  <si>
    <t xml:space="preserve">Step 2 found no evidence: a source needs to be found and added. Step 2 found no evidence (Insufficient Evidence). Source needed: Dated capture of the BDA official website pages for major plans (e.g. Master Plan / RMP document) and ongoing projects (project list or dashboard), showing the FY or date and file format (text PDF, HTML or XLS).</t>
  </si>
  <si>
    <t xml:space="preserve">Step 2 found no evidence: a source needs to be found and added. Step 2 found no evidence (Insufficient Evidence). Source needed: A dated capture or archived copy of BMRCL's official website pages for projects and plans (Phase 2/2A/2B/3 project status pages, downloadable plan documents), showing the FY or date and the file format.</t>
  </si>
  <si>
    <t xml:space="preserve">Step 2 found no evidence: a source needs to be found and added. Step 2 found no evidence (Insufficient Evidence). Source needed: A dated, opened copy of BMRDA's structure-plan and project/plan pages (e.g. the Revised Structure Plan 2031 page and any ongoing-projects listing), showing the FY/date and whether the file is a text-readable PDF or searchable HTML.</t>
  </si>
  <si>
    <t xml:space="preserve">DPG5h</t>
  </si>
  <si>
    <t xml:space="preserve">Service-level benchmarks and performance reports</t>
  </si>
  <si>
    <t xml:space="preserve">Step 2 found no evidence: a source needs to be found and added. Step 2 found no evidence (Insufficient Evidence). Source needed: A dated, saved copy of the BWSSB website or a Karnataka urban water or SLB dashboard page showing performance indicators for the current or preceding FY. It must show the file format (XLSX/CSV/HTML table or scanned PDF). A BWSSB annual performance report would also serve.</t>
  </si>
  <si>
    <t xml:space="preserve">Step 2 found no evidence: a source needs to be found and added. Step 2 found no evidence (Insufficient Evidence). Source needed: A saved copy of a BMTC performance page, such as operational statistics, an annual or performance report, a service-level benchmark report or a dashboard. It would show the latest FY or date and the file format (XLSX/CSV/structured HTML versus scanned PDF). BMTC's RTI 4(1)(b) disclosure or an annual report tabled in the legislature could also serve.</t>
  </si>
  <si>
    <t xml:space="preserve">Step 2 found no evidence: a source needs to be found and added. Step 2 found no evidence (Insufficient Evidence). Source needed: Capture of the BDA official website performance, citizen charter or dashboard pages (FY 2024-25 or 2025-26) with their file formats, and the BDA annual report for the latest FY, with dated screenshots.</t>
  </si>
  <si>
    <t xml:space="preserve">Step 2 found no evidence: a source needs to be found and added. Step 2 found no evidence (Insufficient Evidence). Source needed: Dated pages from BMRCL's official website (performance, ridership or punctuality dashboards, KPI or citizen-charter reports) for the current and previous FY. Also needed: the file formats of the downloadable data, and a dated screenshot.</t>
  </si>
  <si>
    <t xml:space="preserve">ANSWER: Not determined. The BMRDA homepage links to an annual report and to "APA" and planning-authority pages. None of these was read, so I cannot show current-period performance information or its format. | EVIDENCE: BMRDA-02, the homepage, was captured in 2026. Its "Budget and Annual Reports" entry links a PDF titled "2023-24 Anual Report.pdf", which is the latest annual report listed there. The homepage also links an "APA" page and "RUDA CPA 2020 to 2023", "KPA MPA -2020-23", "NPA 2020 to 2023" and "HPA 2020 to 2023" pages. The Citation Sheet holds only the homepage text, so the contents of these pages and the PDF, and the nature of the documents, are unknown. The homepage shows no service-level benchmark, performance report or dashboard. Statute: BMRDA Act s.13 requires an annual report, laid before the Legislature (BMRDA-08), and KTCP Act s.68D requires one from each Planning Authority (BMRDA-11). These are mandates, not practice evidence. | CAVEATS: An annual report is not necessarily a service-level benchmark or performance report. The latest annual report listed is FY 2023-24, which is probably older than the current or immediately preceding FY, but I could not confirm that. The 2023-24 report is a PDF, and I could not tell whether it is text-based or scanned. The 2020-23 pages are three-year pages dated 2020-23. | PERIOD: Homepage captured in 2026. Latest dated performance-type item found: Annual Report FY 2023-24. | LIMITS: The linked pages and PDFs (Budget and Ann</t>
  </si>
  <si>
    <t xml:space="preserve">[https://bmrda.karnataka.gov.in/40/budget-and-annual-reports/en] Budget and Annual Reports [https://bmrda.karnataka.gov.in/storage/pdf-files/2023-24 Anual Report.pdf] Annual Report</t>
  </si>
  <si>
    <t xml:space="preserve">Score left blank. The homepage (captured 2026) lists only the 2023-24 Annual Report PDF as the latest annual report. It shows no service-level benchmark, performance report or dashboard. The linked pages (Budget and Annual Reports, APA, the planning-authority pages) and the PDF are not in the Citation Sheet and were not read. A 0 needs affirmative absence, and that has not been established. Currency: FY 2023-24 is likely older than the current or immediately preceding FY, but this is unconfirmed. Format: the PDF type (text or scanned) is unknown, and a PDF is probably not machine-readable or reusable in any case. VERIFICATION-LIMIT. A reviewer should open the APA page and the Budget and Annual Reports page. They should also confirm whether an annual report counts as performance information, and take a dated screenshot. If nothing newer than FY 2023-24 exists, Availability would be 0, and a PDF would give 0 for Format, for a total of 0.</t>
  </si>
  <si>
    <t xml:space="preserve">DPG5i</t>
  </si>
  <si>
    <t xml:space="preserve">Citizen / Service Charter</t>
  </si>
  <si>
    <t xml:space="preserve">Step 2 found no evidence: a source needs to be found and added. Step 2 found no evidence (Insufficient Evidence). Source needed: The BWSSB official website page or PDF of the current Citizen/Customer Charter, with a date of access. The reviewer should check whether the PDF is text-searchable or a scan, and the year of the version.</t>
  </si>
  <si>
    <t xml:space="preserve">Step 2 found no evidence: a source needs to be found and added. Step 2 found no evidence (Insufficient Evidence). Source needed: The BMTC website page or document titled Citizen Charter / Service Charter, captured with its access date. It must show the charter's date or year and whether the file is a text-readable HTML or PDF page or a scanned image.</t>
  </si>
  <si>
    <t xml:space="preserve">Step 2 found no evidence: a source needs to be found and added. Step 2 found no evidence (Insufficient Evidence). Source needed: A dated capture of the BDA official website page that hosts the Citizen/Service Charter, or the Charter document itself (HTML or PDF). The capture must show its date or FY and whether the PDF is searchable or scanned. A state Sakala service-guarantee listing for BDA services would be supporting evidence.</t>
  </si>
  <si>
    <t xml:space="preserve">Step 2 found no evidence: a source needs to be found and added. Step 2 found no evidence (Insufficient Evidence). Source needed: The BMRCL website's Citizen/Passenger Charter page or PDF, captured with an access date. It would show availability, the date of the latest version, and whether the file is text-searchable or scanned.</t>
  </si>
  <si>
    <t xml:space="preserve">ANSWER: Not determined. A Citizen Charter link exists on the BMRDA website, but the Charter itself is not in the Citation Sheet. Its currency and its text-searchability therefore cannot be verified, and no score is proposed. | EVIDENCE: The BMRDA English home page (BMRDA-02), in the Introduction menu, lists '[https://bmrda.karnataka.gov.in/storage/pdf-files/CITIZEN CHARTER-2020-21 eng.pdf] Citizen Charter'. The Kannada home page (BMRDA-04) lists a matching Kannada Charter, 'CITIZEN CHARTER-2020-21 ka.pdf'. The file name suggests FY 2020-21. This is the latest Charter found; no later Charter appears in the sheet. The Charter body was not fetched, so I cannot say whether it is text-readable or a scanned image. The Charter's own date and its in-force status are also unconfirmed. The home page does not say whether the Charter is current. Availability is indicated by the link only: the PDF was not opened, so the link is not shown to resolve. | CAVEATS: The methodology says an old Charter is not outdated if it remains in force, but nothing in the sheet shows that the 2020-21 Charter is still in force. A scanned PDF would score 0 on the format half. | PERIOD: Charter file named 2020-21; website snapshot undated, with news items shown as '2 months ago' and 'One year ago'. | LIMITS: The Charter PDF text is not in the Citation Sheet. The BMRDA-02 home page text does not itself state the Charter is current. No dated screenshot is available.</t>
  </si>
  <si>
    <t xml:space="preserve">https://bmrda.karnataka.gov.in/storage/pdf-files/CITIZEN CHARTER-2020-21 eng.pdf] Citizen Charter</t>
  </si>
  <si>
    <t xml:space="preserve">VERIFICATION-LIMIT. The BMRDA home page links a Citizen Charter PDF named 'CITIZEN CHARTER-2020-21 eng.pdf'. The Kannada home page (BMRDA-04) lists a matching Kannada file. The Charter PDF itself is not in the Citation Sheet. So I cannot tell whether it is text-searchable or a scanned image. I also cannot tell whether the 2020-21 Charter is still in force. The methodology does not treat a Charter as outdated just because it is old, if it remains in force. I did not read the PDF, so the score is left blank. A person should open the PDF and check three things: whether the text is searchable, whether a newer Charter exists, and whether the 2020-21 Charter is still in force. They should also capture a dated screenshot. The latest year found is 2020-21, taken from the file name only. This is not a negative finding.</t>
  </si>
  <si>
    <t xml:space="preserve">DPG5j</t>
  </si>
  <si>
    <t xml:space="preserve">RTI details and designated Public Information Officer contact/procedure</t>
  </si>
  <si>
    <t xml:space="preserve">Step 2 found no evidence: a source needs to be found and added. Step 2 found no evidence (Insufficient Evidence). Source needed: The BWSSB official website's RTI page, or a PIO/APIO list (a searchable HTML or PDF page), saved with its access date. A Karnataka RTI portal entry listing BWSSB's PIOs would also help.</t>
  </si>
  <si>
    <t xml:space="preserve">ANSWER: Not determinable from the Citation Sheet. BMTC's official website has an RTI menu, but the pages and the PIO list it links to are not in the sheet, so the PIO/APIO details, their currency and the file format cannot be confirmed. | EVIDENCE: BMTC-46 (the BMTC site, a Karnataka government domain, page saved 2025 per the departDate=26-07-2025 links) has a menu with the links 'RTI', 'Online RTI', 'RTI 4(1)A', 'RTI 4(1) B' and 'List of PIO-APIO-AA'. The last link points to RTIPIOENGupdated04-6-24.pdf, which suggests an update dated 4 June 2024. BMTC-44 (Contact Us) shows the same menu. BMTC-41 is the state RTI Online portal. It says online filing works only for public authorities listed in its menu, and it has a 'Public information officers and First appellate authority details' link and a 'Nodal officers' link. No source shows that BMTC is listed there. | CAVEATS: The filename date is not evidence of the content. The named PIO, APIO and appellate authority contact details have not been read or checked for validity. Whether the PDF is searchable text or a scan is unknown. | PERIOD: Site menu captured about July 2025; the PIO list filename suggests June 2024. | LIMITS: The BMTC RTI page and the PIO-APIO-AA PDF are not in the sheet. A person must open them (VERIFICATION-LIMIT), not treated as a negative finding.</t>
  </si>
  <si>
    <t xml:space="preserve">Rules And Regulations - Bengaluru Metropolitan Transport Corporation [BMTC-46]</t>
  </si>
  <si>
    <t xml:space="preserve">https://mybmtc.karnataka.gov.in/info-1/Rules+And+Regulations/en</t>
  </si>
  <si>
    <t xml:space="preserve">[https://mybmtc.karnataka.gov.in/storage/pdf-files/RTIPIOENGupdated04-6-24.pdf] List of PIO-APIO-AA</t>
  </si>
  <si>
    <t xml:space="preserve">The score is left blank. BMTC-46 shows that the official BMTC site (mybmtc.karnataka.gov.in) has RTI menu links and a 'List of PIO-APIO-AA' PDF. The filename suggests an update on 4-6-24, but a filename is not evidence of the content. The site footer says 'Last Updated: 30-09-2026'. The RTI page and the PIO PDF are not in the sheet, so I could not check three things: (1) whether the named PIO/APIO details are current and valid, (2) whether the PDF is searchable text or a scan, and (3) whether the RTI procedure is described. Because of this, neither the 0.5 band for availability and currency nor the 0.5 band for format is decided. Absence cannot be claimed, because the pages simply were not read. VERIFICATION-LIMIT: a person should open the RTI page and the PDF, check whether the PDF text is selectable, check that the named officers are still valid, and capture a dated screenshot. Likely outcome if the PDF is searchable and current: 1. The score range is 0 to 1, split into two 0.5 components.</t>
  </si>
  <si>
    <t xml:space="preserve">Step 2 found no evidence: a source needs to be found and added. Step 2 found no evidence (Insufficient Evidence). Source needed: The BDA official website's RTI or 'Public Information Officers' page, showing the current PIO and APIO names and contacts and the RTI procedure. Reviewer should capture it with an access date and note whether it is HTML or a searchable or scanned PDF. A Karnataka government RTI portal listing for BDA would also help.</t>
  </si>
  <si>
    <t xml:space="preserve">Step 2 found no evidence: a source needs to be found and added. Step 2 found no evidence (Insufficient Evidence). Source needed: A saved, dated copy of the BMRCL website RTI page (HTML or searchable PDF) naming the current PIO/APIO with contact details and the RTI procedure. A current BMRCL RTI disclosure document would also work.</t>
  </si>
  <si>
    <t xml:space="preserve">ANSWER: Not determinable. The Citation Sheet shows that BMRDA's website has RTI navigation links. It does not contain the body of any RTI page or PDF naming the PIO/APIO or setting out the procedure. | EVIDENCE: BMRDA-01 (English site menu, saved copy): lists 'Right To Information', 'Online R T I', 'RTI 4(1) A', '4 (1)(A) PART-I' to 'PART-IV', 'APA' and 'RTI 4(1) B'. Its Contact Us table lists the Metropolitan Commissioner and other officers with office numbers, and the e-mail mc.bmrda@ka.gov.in. None of these entries is labelled as a PIO or APIO. BMRDA-04 (Kannada home page) shows the same RTI menu and an RTI online services news item dated 'One year ago'. The linked RTI pages and PDFs were not saved in the sheet, so I could not check the named PIO, whether the contact details are valid, or whether the files are searchable or scanned. | CAVEATS: A menu link is not evidence of PIO details. The Contact Us table lists officers, but no source in the sheet designates any of them as PIO. | PERIOD: Saved copies of the website. The sheet gives no specific date for the RTI content. The Kannada page says 2 months ago and one year ago, relative to an unknown capture date. | LIMITS: The bodies of the RTI page and the 4(1)(A) PDFs are not in the Citation Sheet. This is a verification limit, not a negative finding.</t>
  </si>
  <si>
    <t xml:space="preserve">Bangalore Metropolitan Region Development Authority — official website [BMRDA-01]</t>
  </si>
  <si>
    <t xml:space="preserve">https://bmrda.karnataka.gov.in/page/Contact+Us/en</t>
  </si>
  <si>
    <t xml:space="preserve">Right To Information [http://www.kic.gov.in/welcome.do] Karnataka Information Commission</t>
  </si>
  <si>
    <t xml:space="preserve">I left the score blank. This is a VERIFICATION-LIMIT, not a negative finding. BMRDA-01 and BMRDA-02 only show RTI menu links: Right To Information, Online RTI, RTI 4(1)(A) Parts I-IV, APA and RTI 4(1)(B). The Contact Us table lists officers, office numbers and the email mc.bmrda@ka.gov.in. None of these entries is labelled PIO or APIO. The RTI pages and PDFs are not in the Citation Sheet. So I cannot check three things: whether current PIO/APIO details and the RTI procedure are published, whether the contact details are valid, and whether the files are searchable or scanned. The saved copy shows a footer of '© 2026', but it gives no date for the RTI content. A reviewer should open https://bmrda.karnataka.gov.in/12/right-to-information/en and the 4(1)(A) PDFs. They should record the date of the latest information and capture a dated screenshot. The 0.5 for HTML or searchable-PDF format may be reachable once the pages are opened.</t>
  </si>
  <si>
    <t xml:space="preserve">DPG5k</t>
  </si>
  <si>
    <t xml:space="preserve">Procurement / tender notices and awarded-contract details</t>
  </si>
  <si>
    <t xml:space="preserve">Step 2 found no evidence: a source needs to be found and added. Step 2 found no evidence (Insufficient Evidence). Source needed: A dated, opened capture of BWSSB's official tender/award page or the Karnataka e-procurement portal listing for BWSSB. It must show the latest tender/award dates (current or previous FY) and whether the data is a searchable table or individual PDFs.</t>
  </si>
  <si>
    <t xml:space="preserve">Step 2 found no evidence: a source needs to be found and added. Step 2 found no evidence (Insufficient Evidence). Source needed: A dated capture of BMTC's tenders and awards page, or of the Karnataka e-procurement portal listing BMTC tenders and awards. It must show the latest tender or award date and whether the information is a searchable table or only individual PDFs.</t>
  </si>
  <si>
    <t xml:space="preserve">Step 2 found no evidence: a source needs to be found and added. Step 2 found no evidence (Insufficient Evidence). Source needed: Dated captures or archived URLs of BDA's tender/award pages, or of the state e-procurement portal's BDA listings, showing the latest FY and the format (HTML table, XLS, or scanned PDF).</t>
  </si>
  <si>
    <t xml:space="preserve">Step 2 found no evidence: a source needs to be found and added. Step 2 found no evidence (Insufficient Evidence). Source needed: A dated capture of the BMRCL official website tenders and awards pages, or of the state e-procurement portal listing BMRCL tenders. It should show the latest tender or award date, the FY, and whether the data is a searchable table or only individual PDFs.</t>
  </si>
  <si>
    <t xml:space="preserve">Step 2 found no evidence: a source needs to be found and added. Step 2 found no evidence (Insufficient Evidence). Source needed: A dated saved copy of the BMRDA tenders or procurement page, or of the Karnataka e-procurement portal listing for BMRDA. It would need to show the latest tender or award dates and the format, such as a searchable table versus PDFs.</t>
  </si>
  <si>
    <t xml:space="preserve">DPG6a</t>
  </si>
  <si>
    <t xml:space="preserve">Is the parastatal mandated to provide a grievance-redressal mechanism?</t>
  </si>
  <si>
    <t xml:space="preserve">ANSWER: Not determined. The Citation Sheet holds no allowed, official instrument that clearly requires BWSSB to run a grievance-redressal mechanism. The nearest provision is an appeal clause in the BWSSB Act, but its source is a blocked mirror, so it can only serve as a lead. | EVIDENCE: (1) BWSSB Act, 1964 (BWSSB-04, a FAOLEX PDF copy, which is a blocked legal mirror). Section 120 'Appeals' reads: 'Any person aggrieved by any decision or order of the Water Supply Engineer or the Sanitary Engineer or other officer under this Act or any rule or regulation made thereunder may within a period of sixty days from the date of such decision or order appeal to the authority prescribed by the regulations'. Section 121 lets the Board call for records on its own motion (revision). Section 14 sets up a Consultative Committee, which is advisory on policy and schemes and is not a consumer grievance channel. This is a statutory appeal against orders, not a general complaint-handling mechanism, and it is not clearly a 'grievance-redressal mechanism'. (2) BWSSB Rules and Regulations: not in the Citation Sheet. Section 120 says the appellate authority is prescribed 'by the regulations'. (3) Citizen or consumer charter: BWSSB-32 (the 2016 Public Affairs Centre assessment, non-official) mentions an information booklet, 'Our Consumer Charter', but does not reproduce its text or any grievance provision. (4) Sakala or other service-guarantee law: no schedule entry for BWSSB is in the Sheet. (5) GBA</t>
  </si>
  <si>
    <t xml:space="preserve">Any person aggrieved by any decision or order of the Water Supply Engineer or the Sanitary Engineer or other offi cer under this Act or any rule or regulation made thereunder may within a period of sixty days from the date of such decision or order appeal to the authority prescribed by the regulations</t>
  </si>
  <si>
    <t xml:space="preserve">I left the score blank. Section 120 of the BWSSB Act gives an appeal right against officer decisions. The appellate authority is prescribed by regulations, and those regulations are not in the Sheet. Section 120 is arguably a grievance-redressal channel, because the question accepts any channel. But the only text of it is a FAOLEX PDF, which is a blocked mirror, so it can only be a lead. The Sheet has no official .gov.in copy of the Act. It also has no BWSSB Regulations, no Consumer Charter text and no Sakala schedule. Affirmative absence cannot be claimed, so a 0 is not supported. A person should do three things. (1) Find the official copy of the Act. (2) Read the regulation naming the appellate authority. (3) Find the Citizen or Consumer Charter text. If the official Act text confirms Section 120, and the team accepts an appeal as a grievance mechanism, the score would be 5. The GBA Act s.96(c) is ULG law and does not mandate BWSSB itself. The JICA reports and presentation describe practice, not a mandate. Era: the Act names the 'Corporation of the City of Bangalore', and no verified successor is in the Sheet.</t>
  </si>
  <si>
    <t xml:space="preserve">Step 2 found no evidence: a source needs to be found and added. Step 2 found no evidence (Insufficient Evidence). Source needed: The text of the Road Transport Corporations Act 1950 (as applicable in Karnataka) and rules or regulations made under it. The Karnataka Sakala (Guarantee of Services) Act schedule, if it lists BMTC services. A BMTC citizen or service charter that states a grievance mechanism.</t>
  </si>
  <si>
    <t xml:space="preserve">ANSWER: Not determined. The BDA Act text in the Citation Sheet has no general grievance-redressal mechanism mandated for the BDA's services. It has only a narrow tax appeal and a Government revision power. No BDA rules, citizen/service charter or service-guarantee schedule is in the Sheet to check. | EVIDENCE: (1) BDA Act 1976 s.62A (inserted by Act 6 of 1993): 'Any person aggrieved by the assessment, levy or imposition of any tax under section 28B may, within a period of one month next after service of notice of demand, appeal to such authority as the Government may, by notification, specify'. This is a statutory appeal limited to s.28B tax assessment. (2) s.63: the Government 'may call for the records of any proceedings of the Authority... for the purpose of satisfying itself as to the legality or propriety of any order'. This is a discretionary 'may' supervisory power and is not a citizen grievance channel. (3) s.64 covers notice of suits only. (4) Greater Bengaluru Governance Act ss.95-96 (the ULG side): the Assembly Constituency Consultative and Co-ordination Committee must 'Receive any grievances from the general public relating to the functioning of any authority empowered under this Act'. That body is a ULG committee, not a BDA mechanism. Whether the BDA is an 'authority empowered under this Act' is not shown. (5) The accounts (BDA-38) and the papers-laid list (BDA-37) have nothing on grievance redressal. | CAVEATS: Whether s.62A counts as a 'grievance-redressal mecha</t>
  </si>
  <si>
    <t xml:space="preserve">Any person aggrieved by the assessment, levy or imposition of any tax under section 28B may, within a period of one month next after service of notice of demand, appeal to such authority as the Government may, by notification, specify</t>
  </si>
  <si>
    <t xml:space="preserve">I left the score blank, so a person needs to score it. The BDA Act text in the Sheet has no general grievance-redressal mechanism. The only grievance-type channel is the s.62A appeal, which is limited to tax assessed under s.28B. It also depends on the Government notifying an Appellate Authority, and the Sheet does not show that this was done. Section 63 is a discretionary 'may' revision power and is not a citizen channel. The Greater Bengaluru Governance Act s.96 grievance function belongs to a city-government committee, and it is not shown that the BDA falls under it. The BDA Rules, any BDA citizen or service charter, and the Karnataka Sakala (service guarantee) Act schedule are not in the Sheet. That means a score of 0 cannot be justified, because absence is not established. A score of 5 would depend on reading the 'any channel' wording as covering the narrow s.62A tax appeal, which is an interpretive call for the team. If the team accepts s.62A as a statutory grievance channel, the score is 5. If a charter or the Sakala schedule is found that covers the BDA, the score is also 5. Confidence is low.</t>
  </si>
  <si>
    <t xml:space="preserve">Step 2 found no evidence: a source needs to be found and added. Step 2 found no evidence (Insufficient Evidence). Source needed: BMRCL citizen/passenger charter or service charter, the Metro Railways Rules or BMRCL regulations made under the Metro Act, or the BMRCL Memorandum and Articles of Association or a Sakala schedule entry that requires a grievance mechanism.</t>
  </si>
  <si>
    <t xml:space="preserve">Step 2 found no evidence: a source needs to be found and added. Step 2 found no evidence (Insufficient Evidence). Source needed: The text of the BMRDA Citizen Charter 2020-21 or a later charter. The BMRDA Rules and Regulations under ss.29-30 of the Act. The official consolidated BMRDA Act text. Any state service-guarantee or grievance law that names BMRDA.</t>
  </si>
  <si>
    <t xml:space="preserve">DPG6b</t>
  </si>
  <si>
    <t xml:space="preserve">Are accessible grievance-redressal channels available and functional in practice?</t>
  </si>
  <si>
    <t xml:space="preserve">Step 2 found no evidence: a source needs to be found and added. Step 2 found no evidence (Insufficient Evidence). Source needed: Captures of the official BWSSB website (grievance form, helpline number, mobile app or email, office or help desk details, complaint-number tracking) with dates, or the BWSSB citizen charter.</t>
  </si>
  <si>
    <t xml:space="preserve">ANSWER: Only part of the rubric can be determined. The official BMTC site lists a web complaint link and a helpline number. The electronic (non-web), in-person and tracking components, and whether the web form actually works, are not shown in the Citation Sheet. | EVIDENCE: BMTC-44 (Contact Us page, site footer 'Last Updated: 30-09-2026'). Web: the menu lists 'Complaints', 'New Complaint' (crm.mybmtc.com) and 'Public Grievance Dashboard' (crm.mybmtc.com/All_module). The links are listed, but the CRM portal was not opened, so form functionality is unverified. Telephone: the page states 'Helpline Number: 080 22483777' under the BMTC head office address. The page does not say what the helpline accepts, so whether it counts as a grievance line is unconfirmed. Electronic: a 'Feedback' link (mybmtc.karnataka.gov.in/feedback/en) is listed, but no grievance email, app or WhatsApp channel is shown. In-person: only the head office address (K H Road, Shanthinagar, Bangalore 560027) is shown. No grievance counter, helpdesk or designated officer is identified. Acknowledgement/tracking: not evidenced. The 'Public Grievance Dashboard' link hints at it but was not opened. | CAVEATS: The page content is a text capture of menu links. It is not a functional test or a dated screenshot. | PERIOD: Page footer 'Last Updated: 30-09-2026'. | LIMITS: The crm.mybmtc.com portal, the feedback page, any citizen charter and any grievance officer notice are not in the Citation Sheet.</t>
  </si>
  <si>
    <t xml:space="preserve">Helpline Number: 080 22483777</t>
  </si>
  <si>
    <t xml:space="preserve">I left the score blank. The Citation Sheet does not support all five components. BMTC-44 is a text capture of the official site, with the footer 'Last Updated: 30-09-2026'. It lists 'Complaints', 'New Complaint' (crm.mybmtc.com) and 'Public Grievance Dashboard' (crm.mybmtc.com/All_module). It also lists a helpline number, 080 22483777. Per component: (1) Web channel: the link is listed, but the CRM portal was not opened, so I cannot confirm it works. (2) Electronic channel: the page lists a Feedback link only. I saw no grievance email, app or WhatsApp channel. (3) Telephone: a helpline number is listed, but the page does not say it accepts grievances. (4) In-person: only the head office address is shown, with no grievance counter or officer. (5) Acknowledgement and tracking: not evidenced. The dashboard link is a hint only. Because these components cannot be confirmed, I cannot assign a band or a partial score. The check is a VERIFICATION-LIMIT, not a negative finding. A reviewer should open crm.mybmtc.com, capture dated screenshots of the form and any reference number or tracking page, and check whether the helpline is for grievances. The reviewer should also look for a citizen charter or a grievance officer notice.</t>
  </si>
  <si>
    <t xml:space="preserve">Step 2 found no evidence: a source needs to be found and added. Step 2 found no evidence (Insufficient Evidence). Source needed: BDA's official website (grievance or complaint form, helpline number, email or app, and tracking page), its citizen charter or office notice naming the in-person grievance counter or officer, and dated screenshots showing acknowledgement and tracking. A State grievance portal page (for example Sakala or a CM grievance portal) that is linked from the BDA site would also help.</t>
  </si>
  <si>
    <t xml:space="preserve">Step 2 found no evidence: a source needs to be found and added. Step 2 found no evidence (Insufficient Evidence). Source needed: Dated captures of the BMRCL official website's grievance or feedback page, helpline number and any app or email channel. Also the Citizen Charter or a complaint status-tracking page.</t>
  </si>
  <si>
    <t xml:space="preserve">Step 2 found no evidence: a source needs to be found and added. Step 2 found no evidence (Insufficient Evidence). Source needed: Captured text and dated screenshots of the BMRDA Contact Us page and of any grievance, complaint or public-services page. These should show a web form or portal link, grievance email or app, helpline number, a notified office or officer for in-person lodging, and complaint number or status tracking. A state grievance portal reference (e.g. Sakala or Janaspandana), if BMRDA redirects there, would also help.</t>
  </si>
  <si>
    <t xml:space="preserve">DPG7a</t>
  </si>
  <si>
    <t xml:space="preserve">Is citizen participation in the preparation of the parastatal's plans mandated?</t>
  </si>
  <si>
    <t xml:space="preserve">ANSWER: Not determined. The only BWSSB-specific mechanism found is an advisory Consultative Committee, which is not a defined citizen-participation process on plans. The T&amp;CP Act's public-suggestion requirement binds the Planning Authority, not BWSSB. | EVIDENCE: (1) BWSSB Act 1964 s.14 (FAOLEX copy, BWSSB-04): the State Government 'shall constitute' a Consultative Committee. It has 3 to 9 outside members appointed after consulting bodies representing the Municipal Corporation of the City of Bangalore, the Bangalore City Improvement Trust Board and 'consumers of water'. It meets at least once every three months. Its function is 'to advise the Board on major questions of policy and major schemes'. This is an advisory body with consumer-representative members. It is not a draft-plan publication, objections/suggestions or public-hearing process. (2) BWSSB Act s.87 (rule-making) and s.88 (regulations): the excerpts show no citizen-participation provision, but the Rules and Regulations themselves are not in the sheet. (3) Karnataka T&amp;CP Act 1961 s.10 (BWSSB-28): the Planning Authority 'shall publish a notice of such declaration in the Official Gazette and also in one or more local newspaper... calling suggestions from the public within a period of sixty days', and must consider suggestions received. This applies to Master Plans prepared by a Planning Authority. It does not cover BWSSB's water or sewerage schemes. (4) Greater Bengaluru Governance Act 2024 (BWSSB-29): the Greater Be</t>
  </si>
  <si>
    <t xml:space="preserve">(i) to advise the Board on major questions of policy and major schemes;</t>
  </si>
  <si>
    <t xml:space="preserve">The score is left blank because the evidence fits no band cleanly and affirmative absence is not established. (1) The s.14 Consultative Committee is constituted by the State Government, which 'shall' constitute it. It includes persons appointed after consulting bodies for 'consumers of water'. It advises on 'major schemes'. That is an advisory, nominated body. It is not a defined process of draft-plan publication, objections or suggestions, or public hearing. It might arguably count as 2.5 (participation provided for in a limited form), but I do not credit that on this evidence alone. (2) The T&amp;CP Act s.10 public-suggestion requirement binds the Planning Authority for Master Plans. It does not bind BWSSB's water or sewerage schemes. (3) The BWSSB Rules and Regulations, and any state rule on consultation for water or sewerage schemes, are not in the Citation Sheet. A rubric 0 therefore cannot be given. (4) The BWSSB Act copy is from FAOLEX, a blocked mirror, so it is a lead only. An official copy is needed. (5) s.14 names the Municipal Corporation of the City of Bangalore and the Bangalore City Improvement Trust Board. No official source in the sheet shows a successor body (GBA/BDA) substituted, so flag this for the team. A person should decide between 0 and 2.5 after reading the BWSSB Rules and an official Act copy.</t>
  </si>
  <si>
    <t xml:space="preserve">ANSWER: Not determined for BMTC's own plans. The sheet has no BMTC-specific citizen-participation mandate. The only mandatory draft-plan, objections and suggestions process found applies to plans of two other bodies: the Comprehensive Mobility Plan prepared by the Bengaluru Metropolitan Land Transport Authority (BMLTA), and Master Plans prepared by Planning Authorities under the KTCP Act. | EVIDENCE: (1) BMLTA Act 2022 (Act 6 of 2023), s.21(3): 'Before finalizing any plan as under this Act, the Authority shall cause to publish a draft plan ... inviting objections and suggestions from any person with respect to the draft plan ... subject to a maximum period of two months'. This is mandatory ('shall') and applies to the Authority's plans, such as the Comprehensive Mobility Plan. It is revised under s.23 with s.21 applying mutatis mutandis. BMTC is not named as the plan-maker. The only link to BMTC is s.21(2)(l), under which the City Mobility Investment Program comprises Sectoral Mobility Investment Programs 'submitted by the relevant Urban Transport Agencies'. The Act's own text does not say whether BMTC counts as one of these agencies. The proviso to s.21(2) requires any other authority making an urban-mobility plan to consult the BMLTA and comply with its policies. That is consultation with the Authority, not with citizens. (2) KTCP Act 1961, s.10: a Planning Authority must publish notice of its intention to prepare a Master Plan and call for public suggestions within 60 days</t>
  </si>
  <si>
    <t xml:space="preserve">Before finalizing any plan as under this Act, the Authority shall cause</t>
  </si>
  <si>
    <t xml:space="preserve">Score left blank. BMLTA Act s.21(3) is mandatory (shall publish draft plan and invite objections and suggestions) but binds the Authority's own plans (Comprehensive Mobility Plan), not BMTC's. KTCP s.10 covers Planning Authorities' Master Plans. BMTC is an Urban Transport Agency under s.2(ff) only in a contributory role (s.21(2)(l)). The RTC Act 1950 and the BMTC rules and regulations were not read, so affirmative absence is not shown and 0 is unsupported. 2.5 or 5 can't be awarded without confirming that the provisions apply to BMTC's own plans. The PRS copies are secondary. Needs human review.</t>
  </si>
  <si>
    <t xml:space="preserve">ANSWER: Not determined. No provision in the Citation Sheet requires citizen participation in the preparation of BMRCL's own plans, but the Sheet does not support a rubric 0 either. The only mandatory participation process found applies to plans of other bodies. | EVIDENCE: (1) Parastatal layer: BMRCL is a Government Company under the Companies Act, 2013, owned 50:50 by GoI and GoK (BMRCL-01, Corporate Governance Report). The Metro Railways (Operation and Maintenance) Act, 2002 (BMRCL-15) was read only in part. The passages seen cover administrative provisions (ss. 95-105) and no plan-preparation or public-participation provision. Metro Rail Policy 2017 (BMRCL-18) makes a Comprehensive Mobility Plan (CMP) a prerequisite for metro planning but gives no BMRCL participation duty. (2) Transport planning law: the BMLTA Act, 2022, s.21(3), says 'Before finalizing any plan as under this Act, the Authority shall cause to publish a draft plan ... inviting objections and suggestions from any person with respect to the draft plan'. This is mandatory ('shall') with a maximum 2-month window. It binds the BMLTA for its CMP and s.23 revisions, not BMRCL. The s.21(2) proviso only requires other authorities to consult the BMLTA and follow its policies; it does not require BMRCL to run public participation. (3) T&amp;CP Act, 1961 (BMRCL-31): s.10 requires the Planning Authority to publish a declaration of intent and invite public suggestions within 60 days before preparing a Master Plan. s.10(2) sa</t>
  </si>
  <si>
    <t xml:space="preserve">The Bengaluru Metropolitan Land Transport Authority Act, 2022 (Karnataka Act 6 of 2023) [BMRCL-35]</t>
  </si>
  <si>
    <t xml:space="preserve">Before finalizing any plan as under this Act, the Authority shall cause to pu blish a draft plan by making a copy thereof available for inspection</t>
  </si>
  <si>
    <t xml:space="preserve">I left the score blank. The BMLTA Act s.21(3) is mandatory ('shall'). It requires a published draft plan, with objections and suggestions invited for up to two months, before the Comprehensive Mobility Plan is finalised. Section 20(1) requires policies to be placed in the public domain for feedback. Section 23 applies s.21 to CMP revisions. All of these duties bind the BMLTA, not BMRCL. The s.21(2) proviso only requires other authorities to consult the BMLTA and comply with its policies. It does not require them to run public participation. The T&amp;CP Act s.10 and the GBA Act bind the Planning Authority/GBA, not BMRCL. I found no provision that applies to a BMRCL plan, so band 5 and band 2.5 are not supported. I also cannot give 0. The Metro Railways (Operation and Maintenance) Act was read only in part. The Construction of Works Act 1978, BMRCL's MoA/AoA, Karnataka rules and the BMRCL-specific GO are not in the Sheet, so absence is not affirmative. The question also leaves open which BMRCL documents count as 'plans'. A person should confirm two points. First, whether the BMLTA CMP process, which BMRCL projects must follow under s.19, can be credited as the applicable sector-wide requirement. If it can, the score would be 2.5 or 5. Second, whether a 0 is appropriate once the full metro Acts have been checked. Period: BMLTA Act as enacted 2023. Era: n/a.</t>
  </si>
  <si>
    <t xml:space="preserve">DPG7b</t>
  </si>
  <si>
    <t xml:space="preserve">Are citizens consulted in practice in the preparation of plans by the parastatal?</t>
  </si>
  <si>
    <t xml:space="preserve">Step 2 found no evidence: a source needs to be found and added. Step 2 found no evidence (Insufficient Evidence). Source needed: BWSSB's official website pages, or a dated BWSSB or Government of Karnataka record, showing public notices, objections or suggestions invited, hearing minutes or a consultation report for the latest BWSSB plan. Examples are a master plan, a DPR or the Stage VI scheme.</t>
  </si>
  <si>
    <t xml:space="preserve">Step 2 found no evidence: a source needs to be found and added. Step 2 found no evidence (Insufficient Evidence). Source needed: BMTC's latest plan document from its official website, with consultation notices, minutes, public hearing records or objections/suggestions reports showing citizen participation before the plan was finalised.</t>
  </si>
  <si>
    <t xml:space="preserve">ANSWER: Not determinable for a score. The only practice evidence is a 2017 public consultation held for one project's EIA (Line 6). It is not shown to be consultation on a BMRCL plan, and it is not on BMRCL's own website. | EVIDENCE: BMRCL-21 (EIA, Gottigere–Nagavara Corridor, Line 6, hosted on the EIB register) says: 'A formal public consultation session was held on 18 May 2017 at BMRCL Byappanahalli Training Institute, Bangalore to inform the people about project and discuss the resettlement policy framework.' It also says the public notice, list of participants, photographs and queries and answers are in Appendix 4. Table 28 gives the date as 15 May 2017 with 70 PAPs (project-affected persons). The EIA records public suggestions and says BMRCL addressed them. BMRCL-01 (Annual Report 2020-21) only says BMRCL's website carries RTI and tender information and project events. It records no plan consultation. BMRCL-34 (GBA Act: Ward Committee and Ward Sabha provisions), BMRCL-35 (BMLTA Act: public notice, s.50) and BMRCL-31 (Karnataka T&amp;CP Act s.13: public comments on Master Plans) set consultation duties for the city corporation, the BMLTA and planning authorities. They do not cover BMRCL's own plans. BMRCL-15 (Metro Railways Act) and BMRCL-18 (Metro Rail Policy 2017) were checked and give no BMRCL plan-consultation record. BMRCL-47 is a DULT index page with no content on this. | CAVEATS: The Line 6 EIA is a project safeguard document, not clearly a 'plan' prepared by BMRCL. Th</t>
  </si>
  <si>
    <t xml:space="preserve">Environmental Impact Assessment – Gottigere–Nagavara Corridor (Line 6), Bangalore Metro Rail Project Phase II (EIB register) [BMRCL-21]</t>
  </si>
  <si>
    <t xml:space="preserve">https://www.eib.org/attachments/registers/143756287.pdf</t>
  </si>
  <si>
    <t xml:space="preserve">A formal public consultation session was held on 18 May 2017 at BMRCL Byappanahalli Training Institute, Bangalore to inform the people about project and discuss the resettlement policy framework.</t>
  </si>
  <si>
    <t xml:space="preserve">I left the score blank. The only practice evidence is a May 2017 consultation on the Line 6 EIA. That consultation was mainly with project-affected persons (70 PAPs). The EIA is a lender-required project safeguard document. It is not clearly a BMRCL 'plan'. The document sits on the EIB register, which is not BMRCL's own website or a .gov.in site. The text gives two dates, 18 May and 15 May 2017. Appendix 4 holds the notice, participant list and Q&amp;A, and I did not see it. Para 22 says the draft EIA would be disclosed on BMRCL, EIB and AIIB websites. No BMRCL-site plan, consultation report, notice or minutes were in the Citation Sheet. No 'latest applicable plan' was identified. The 2.5 band is possible only if a reviewer accepts the EIA consultation as plan consultation and verifies Appendix 4. A score of 0 is not justified, because absence is not affirmatively shown and BMRCL's website was not checked (VERIFICATION-LIMIT). Reviewer should confirm whether an EIA/SIA counts as a plan. The question is labelled Law/Policy but asks about practice.</t>
  </si>
  <si>
    <t xml:space="preserve">SC1</t>
  </si>
  <si>
    <t xml:space="preserve">What proportion of the parastatal's total expenditure is financed through its own revenues?</t>
  </si>
  <si>
    <t xml:space="preserve">ANSWER: SC-1 cannot be scored from this Citation Sheet. The only BWSSB income and expenditure figures are for FY2013-FY2015. They come from a 2017 JICA report that reproduces BWSSB annual accounts. The question needs the latest three completed years of budget or audited accounts. | EVIDENCE: BWSSB-23, Table 16.1.1 (page 181), 'Income and Expenditure Statement in FY2013-2015', unit 10 million INR, source 'BWSSB Annual Accounts'. Total Income was 583, 741 and 1,141 for FY2013, FY2014 and FY2015. Total Expenditure was 781, 1,155 and 1,490. Income is split into water revenue (512, 592, 979) and other income (71, 149, 162). A rough indicative ratio (total income / total expenditure) is 74.6%, 64.2% and 76.6%, which averages about 71.8%. This is not a valid SC-1 figure, for three reasons. The years are old. The table does not show whether 'Other income' contains grants or subventions, so own revenue cannot be isolated. The table is a secondary reproduction, not the annual budget. BWSSB-04 (1964 Act), s.16, requires the Board to levy rates and charges to cover operating expenses and loan repayments. Section 17 requires an annual financial statement to be submitted to the State Government. These show the budget document exists, but no budget document is in the sheet. BWSSB-23 also says loans are 28% of liabilities and 95% of those loans are from the Government of Karnataka (GoK), and that grants and contributions are 40% of liabilities. | CAVEATS: Table 16.1.1 has an ambiguous column</t>
  </si>
  <si>
    <t xml:space="preserve">JICA – Bengaluru Water Supply and Sewerage Project (Phase 3) Final Report (sewerage / O&amp;M volume) [BWSSB-23]</t>
  </si>
  <si>
    <t xml:space="preserve">https://openjicareport.jica.go.jp/pdf/12300364_04.pdf</t>
  </si>
  <si>
    <t xml:space="preserve">Table 16.1.1 shows a summary of the Income and Expenditure Statement for last three years.</t>
  </si>
  <si>
    <t xml:space="preserve">Score left blank. The only own-revenue and expenditure figures in the sheet are FY2013-FY2015 (unit 10 million INR). Total Income was 583, 741 and 1,141. Total Expenditure was 781, 1,155 and 1,490. The ratios are about 74.6%, 64.2% and 76.6%, which average about 71.8%. This is an indicative figure only. It is not a valid SC-1 score, for four reasons. (1) The data is from the 2017 JICA report and is at least 10 years old. SC-1 needs the latest three completed years of budget or accounts. (2) 'Other Income' is described on page 182 as interest income and rental income. It does not appear to include grants. Total Income may therefore be close to own revenue, but this is not confirmed in the source. Capital grants sit outside the statement. (3) The table is a secondary reproduction of BWSSB Annual Accounts, not the budget. (4) The expenditure total includes depreciation and interest, so the basis may not match the methodology's expenditure measure. The page 187 text also says BWSSB 'is not financially independent' and receives loans and grants from the state government. If no newer data can be found, a person should decide whether the FY2013-15 average (about 7.2 of 10) can be used. The sheet has no recent BWSSB budget or audited accounts. Confidence is low.</t>
  </si>
  <si>
    <t xml:space="preserve">Step 2 found no evidence: a source needs to be found and added. Step 2 found no evidence (Insufficient Evidence). Source needed: BMTC annual budgets or audited annual accounts for the latest 3 FYs, with revenue split into own and grant/subsidy, and total expenditure. These would come from BMTC's budget documents, the Annual Administration Report, or Karnataka Legislature papers laid.</t>
  </si>
  <si>
    <t xml:space="preserve">ANSWER: Not determinable for the current period. The only BDA financial statements in the Citation Sheet are the audited accounts for FY 2016-17, which also show FY 2015-16 as the comparative year. On those figures, income was about 99.4% of expenditure in FY 2016-17 and about 110.5% in FY 2015-16. Both years are far too old to answer a question about the last three financial years. | EVIDENCE: BDA-38, page 118, Income and Expenditure Account for the year ended 31.03.2017 (Rs lakh). FY 2016-17: total income (A) 93,389.56, made up of site/flat allotment 78,220.23, taxes 3,427.29 and other income 11,742.04. Total expenditure (B) 93,926.58. FY 2015-16: total income 52,282.97 and total expenditure 47,325.29. Illustrative ratios: 93,389.56 / 93,926.58 = 99.43%, and 52,282.97 / 47,325.29 = 110.48% (above 100%, which the cap of 10 would limit). The CAG audit report in the same document states, in the grants section: "The Authority did not receive any grant during the year." That supports treating the income as own revenue for FY 2016-17. The other Citation Sheet items (BDA-02, BDA-03, BDA-11, BDA-37) are legal texts or a list of papers laid, and contain no BDA budget or accounts figures. | CAVEATS: (1) The income lines include sale of sites and flats and "other income", which may include interest. The own-revenue definition (tax and non-tax) needs team confirmation on whether all of this counts. (2) The expenditure total includes cost of development of sites and flats, so the ratio </t>
  </si>
  <si>
    <r>
      <rPr>
        <sz val="11"/>
        <color theme="1"/>
        <rFont val="Noto Sans"/>
        <family val="2"/>
      </rPr>
      <t xml:space="preserve">ಬೆಂಗಳೂರು ಅಭಿವೃದ್ಧಿ ಪ್ರಾಧಿಕಾರ</t>
    </r>
    <r>
      <rPr>
        <sz val="11"/>
        <color theme="1"/>
        <rFont val="Calibri"/>
        <family val="2"/>
        <charset val="1"/>
      </rPr>
      <t xml:space="preserve">, </t>
    </r>
    <r>
      <rPr>
        <sz val="11"/>
        <color theme="1"/>
        <rFont val="Noto Sans"/>
        <family val="2"/>
      </rPr>
      <t xml:space="preserve">ಬೆಂಗಳೂರು – </t>
    </r>
    <r>
      <rPr>
        <sz val="11"/>
        <color theme="1"/>
        <rFont val="Calibri"/>
        <family val="2"/>
        <charset val="1"/>
      </rPr>
      <t xml:space="preserve">2016-17 </t>
    </r>
    <r>
      <rPr>
        <sz val="11"/>
        <color theme="1"/>
        <rFont val="Noto Sans"/>
        <family val="2"/>
      </rPr>
      <t xml:space="preserve">ಸಾಲಿಗೆ ವಾರ್ಷಿಕ ಲೆಕ್ಕಪತ್ರಗಳು </t>
    </r>
    <r>
      <rPr>
        <sz val="11"/>
        <color theme="1"/>
        <rFont val="Calibri"/>
        <family val="2"/>
        <charset val="1"/>
      </rPr>
      <t xml:space="preserve">[BDA-38]</t>
    </r>
  </si>
  <si>
    <t xml:space="preserve">https://kla.kar.nic.in/council/house/Paperlaid/139/31/312016-17.pdf</t>
  </si>
  <si>
    <t xml:space="preserve">The Authority did not receive any grant during the year.</t>
  </si>
  <si>
    <t xml:space="preserve">Score left blank. The only BDA financial statements in the sheet are the audited accounts for FY 2016-17, with FY 2015-16 as comparatives. The methodology needs the last three financial years, and at least two. These years are outdated and are not the latest three years. The sheet has no BDA budgets or accounts for later years. The CAG report says no grant was received in FY 2016-17, so income there is own revenue. The illustrative income-to-expenditure ratio is about 99.4% for FY 2016-17 and about 110.5% for FY 2015-16. I did not re-read page 118 here and rely on the Step 2 figures. Two points need team confirmation. First, whether sale of sites and flats and other income, which may include interest, count as own tax and non-tax revenue. Second, whether total expenditure that includes development cost is the right denominator. A ratio above 100% would probably be capped at 10. The accounts also carry CAG qualifications. Evidence needed: BDA budgets or audited accounts for the latest three FYs. This is not scored because the evidence is outdated, not because absence was shown.</t>
  </si>
  <si>
    <t xml:space="preserve">SC2</t>
  </si>
  <si>
    <t xml:space="preserve">What is the parastatal's per-capita capital expenditure?</t>
  </si>
  <si>
    <t xml:space="preserve">Step 2 found no evidence: a source needs to be found and added. Step 2 found no evidence (Insufficient Evidence). Source needed: BWSSB's latest audited annual accounts or budget, showing capital expenditure (additions to capital works or fixed assets) for the latest completed FY. Also an official population figure for the served area, such as the Census or an official projection.</t>
  </si>
  <si>
    <t xml:space="preserve">Step 2 found no evidence: a source needs to be found and added. Step 2 found no evidence (Insufficient Evidence). Source needed: BMTC's latest audited annual accounts or budget showing capital expenditure (fixed-asset additions or capital works, including bus purchases) for the latest completed FY. Also needed: a Census or official population projection for the area served, and peer transport corporations' figures for ranking.</t>
  </si>
  <si>
    <t xml:space="preserve">Step 2 found no evidence: a source needs to be found and added. Step 2 found no evidence (Insufficient Evidence). Source needed: BDA's latest audited annual accounts and sanctioned budget, with capital expenditure and works-in-progress schedules for the latest completed FY. Also an official population figure for the BDA jurisdiction (Census or official projection), and comparable figures for other development authorities for ranking.</t>
  </si>
  <si>
    <t xml:space="preserve">Step 2 found no evidence: a source needs to be found and added. Step 2 found no evidence (Insufficient Evidence). Source needed: BMRCL annual report or audited accounts for the latest completed FY showing capital expenditure, plus an official population figure (Census 2011 or an official projection) for the jurisdiction served, with its source.</t>
  </si>
  <si>
    <t xml:space="preserve">SC3</t>
  </si>
  <si>
    <t xml:space="preserve">How realistic is the parastatal's annual budget?</t>
  </si>
  <si>
    <t xml:space="preserve">Step 2 found no evidence: a source needs to be found and added. Step 2 found no evidence (Insufficient Evidence). Source needed: BWSSB annual budget statements (the s.17 estimates laid before the Legislature) and BWSSB audited annual accounts, for at least 2 and up to 5 matching financial years, preferably the latest 3.</t>
  </si>
  <si>
    <t xml:space="preserve">Step 2 found no evidence: a source needs to be found and added. Step 2 found no evidence (Insufficient Evidence). Source needed: BMTC annual budgets (budget estimates) and audited annual accounts (actuals) for the same 2-5 recent financial years, e.g. BMTC annual reports or budget documents, Karnataka legislature papers-laid, or the Auditor General's audited statements.</t>
  </si>
  <si>
    <t xml:space="preserve">Step 2 found no evidence: a source needs to be found and added. Step 2 found no evidence (Insufficient Evidence). Source needed: BDA approved budget estimates (and revised estimates) together with audited accounts for the same 2-5 recent financial years, such as annual reports tabled in the legislature or BDA budget documents.</t>
  </si>
  <si>
    <t xml:space="preserve">Step 2 found no evidence: a source needs to be found and added. Step 2 found no evidence (Insufficient Evidence). Source needed: BMRCL's Board-approved annual budgets (original and revised) for at least 2-3 recent FYs, with the audited accounts for the same years. These are normally in BMRCL's annual reports, Board meeting minutes, or papers laid before the Legislature.</t>
  </si>
  <si>
    <t xml:space="preserve">Step 2 found no evidence: a source needs to be found and added. Step 2 found no evidence (Insufficient Evidence). Source needed: BMRDA budget estimates (Budget page) and audited accounts or annual reports with actual receipts and expenditure for the same 2-3 recent financial years, to compare side by side. These could come from BMRDA's Budget and Annual Reports pages or the Authority's annual reports laid before the Legislature.</t>
  </si>
  <si>
    <t xml:space="preserve">SC4a</t>
  </si>
  <si>
    <t xml:space="preserve">Is a medium-term (3-5 year) and/or long-term (&gt;5 year) fiscal plan legally mandated?</t>
  </si>
  <si>
    <t xml:space="preserve">ANSWER: Not determined. In the parts of the BWSSB Act, 1964 that were read, the only financial-planning duty is a one-year statement. No medium-term (3-5 year) or long-term (&gt;5 year) fiscal plan requirement was found. That is not enough to score 0, because the full Act text and the Rules and Regulations were not all available. | EVIDENCE: BWSSB Act 1964 (BWSSB-04), s.17(1): 'In February of each year the Board shall submit to the State Government a statement in the form prescribed by regulations of the estimated capital and revenue receipts and expenditure for the ensuing year.' This is annual only. s.16 sets general finance principles: rates must give sufficient revenue to cover operating expenses, loan repayments and 'normal year to year improvements'. s.24A requires an improvement reserve. s.25 covers accounts and audit. None of these sets a multi-year plan horizon. The Greater Bengaluru Governance Act 2024 (BWSSB-29), s.187, requires a three-year medium-term fiscal plan, and s.2(42) defines it as a five-year plan. Both provisions apply to the City Corporation, not to BWSSB. The JICA reports (BWSSB-22, BWSSB-23) recommend long-term business plans, but they are project recommendations and not law. | CAVEATS: The City Corporation's mandate under GBGA s.187 must not be credited to BWSSB. The text of s.2(42) says five years, while s.187(2) says three years; this is a discrepancy within that Act. | PERIOD: BWSSB Act as amended (consolidated copy, date not stated in the excerpts)</t>
  </si>
  <si>
    <t xml:space="preserve">I left the score blank. The BWSSB Act excerpts I read (ss.16, 17, 18, 24, 24A, 25, 86, 87, 88) set only annual duties: the s.17 annual estimate, the s.86 annual report, and the s.24A improvement reserve. None sets a 3-5 year or &gt;5 year fiscal plan horizon. A score of 0 needs affirmative absence, and that is not established for three reasons. First, the Act text is a FAOLEX mirror, which is a blocked source, and it was read only in part. Second, the BWSSB Rules and Regulations are not in the Citation Sheet. Third, I did not read the whole Act. The GBGA s.187 and s.2(42) multi-year plan provisions apply to the City Corporation, not to BWSSB, so they give BWSSB no credit. The JICA reports are recommendations, not law. To score 0, a person would need to obtain an official copy of the full Act from a gov.in source and check the Rules and Regulations. This is a verification limit, not a negative finding.</t>
  </si>
  <si>
    <t xml:space="preserve">Step 2 found no evidence: a source needs to be found and added. Step 2 found no evidence (Insufficient Evidence). Source needed: Official consolidated text of the Road Transport Corporations Act, 1950 as applied in Karnataka, with any Rules and BMTC regulations. It should be read for any medium-term or long-term fiscal plan requirement.</t>
  </si>
  <si>
    <t xml:space="preserve">ANSWER: Not established. In the BDA Act text I could search, the only budget requirement is an annual estimate (ss.42-46). I found no requirement for a 3-5 year or &gt;5 year fiscal plan. Because I could not read the whole Act, I am not recording this as a confirmed absence. | EVIDENCE: BDA Act 1976 (BDA-02), s.42(1): the Commissioner 'shall, at a special meeting to be held not later than the first day of February in each year, lay before the Authority an estimate of the income and of the expenditure of the Authority for the year commencing on the first day of April then next ensuing'. Sections 43-46 cover approval by the Authority, Government sanction, supplementary estimates and the bar on expenditure outside the sanctioned estimate. All of these relate to a single year. Searches of the Citation Sheet for a medium-term, long-term or multi-year fiscal plan in the BDA Act returned nothing. The Greater Bengaluru Governance Act 2024 (BDA-11) does define a 'Medium term fiscal plan' (s.2(42), five years) and requires one in s.187, with 3-year projections. It applies only to the City Corporation. s.2(54) lists the BDA as a 'public authority', but I found no provision there that makes the BDA prepare such a plan. The Karnataka Town and Country Planning Act (BDA-03), s.68B, requires only an annual budget for Planning Authorities. | CAVEATS: The City Corporation's mandate under s.187 must not be credited to the BDA. s.187(2) says 'three years' while s.2(42) says 'five years'; that incon</t>
  </si>
  <si>
    <t xml:space="preserve">The 1[Commissioner]1 shall, at a special meeting to be held not later than the first day of February in each year, lay before the Authority an estimate of the income and  of the expenditure of the Authority for the year commencing on the first  day of April then next ensuing</t>
  </si>
  <si>
    <t xml:space="preserve">Score left blank. In the BDA Act text I could read, the only budget requirement is a one-year estimate (ss.42-46). I found no requirement for a 3-5 year or &gt;5 year fiscal plan. A score of 0 needs affirmative absence, and that is not met. The Act was only searched and excerpted, not read end to end. It is also a PRS secondary copy. The BDA Rules and Regulations are not in the Citation Sheet. The Greater Bengaluru Governance Act 2024 (BDA-11) requires a medium-term fiscal plan, but only for the City Corporation, so it cannot be credited to the BDA. The Karnataka Town and Country Planning Act s.68B (BDA-03) requires only an annual budget. A person should read the full BDA Act and check the Rules. If neither has a multi-year plan requirement, the score would be 0. The current evidence suggests 0 rather than 5.</t>
  </si>
  <si>
    <t xml:space="preserve">ANSWER: Not determined. The Citation Sheet has no enabling Act or instrument for BMRCL that requires a fiscal plan with a defined 3-5 year or &gt;5 year horizon. A 0 cannot be given because the full stack was not available to read. | EVIDENCE: (1) Metro Railways (Operation and Maintenance) Act, 2002 (BMRCL-15): the excerpts read cover offences and penalties (ss.65-81). No fiscal-plan provision was seen in them. (2) BMLTA Act 2022 (BMRCL-35): s.24 requires the Authority to prepare a City Mobility Investment Program that includes the Sectoral Mobility Investment Programs of transport agencies. Its horizon is only 'short to medium term', with no defined years. s.25 requires an Annual Implementation Plan, which is annual. s.35 requires an annual budget of the Authority itself. The excerpts do not show that BMRCL is one of the 'Urban Transport Agencies' covered by s.24. (3) Greater Bengaluru Governance Act (BMRCL-34): s.187 requires a three-year medium-term fiscal plan, but only for the City Corporation. That is the ULG, not BMRCL, so it does not answer this question. (4) The Metro Rail Policy 2017 (BMRCL-18) is a policy, not an enabling Act. The BMRCL annual report (BMRCL-01) is practice evidence, not law. | CAVEATS: BMRCL is a company, so its governing instruments may include the Companies Act, its Memorandum and Articles, and the Karnataka Government Orders constituting it. None of these is in the sheet. | PERIOD: BMLTA Act 2022 (Karnataka Act 6 of 2023) and GBG Act 2024 (Act 36 o</t>
  </si>
  <si>
    <t xml:space="preserve">The City Mobility Investment Program shall be for short to medium term planning horizon towards achieving the objects of Compreh ensive Mobility Plan</t>
  </si>
  <si>
    <t xml:space="preserve">Score left blank. The evidence is incomplete, and a 0 would need affirmative absence, which is not established. The BMLTA Act s.2(g) defines the City Mobility Investment Program as 'a five-year (or such period as decided by the State Government) comprehensive investment program'. Under s.24 the Authority prepares it, and it incorporates the Sectoral Mobility Investment Programs of the relevant Urban Transport Agencies. The Step 2 answer overlooked s.2(g), which gives a defined 5-year horizon. The excerpts do not show that BMRCL is a covered 'Urban Transport Agency'. The definition of that term was not seen. The s.24 duty to prepare the program also falls on the Authority, not on BMRCL. BMRCL is a company, so its 'enabling act' is unclear. Its own constitutive documents (Companies Act, MoA/AoA, GOs) are not in the sheet. The Metro Railways Act excerpts read showed no fiscal-plan provision. A person should confirm three things. First, whether BMRCL is a covered Urban Transport Agency under the regulations. Second, whether the BMLTA Act counts as the enabling law for this question. Third, whether a Sectoral Mobility Investment Program is a mandated BMRCL fiscal plan. If all three are confirmed, a score of 5 is plausible.</t>
  </si>
  <si>
    <t xml:space="preserve">ANSWER: No medium-term or long-term fiscal plan requirement was found in the BMRDA Act, 1985. A score of 0 is not proposed, because the Rules and Regulations made under the Act are not in the Citation Sheet. | EVIDENCE: BMRDA Act 1985 (BMRDA-08), Chapter IV (ss.11-16, finance, accounts and audit). s.12 Budget: "The Authority shall prepare, every year, in such form and at such time as may be prescribed, an annual budget estimate in respect of the next financial year showing the estimated receipts and disbursements of the Authority and shall submit a copy thereof to the State Government." s.13 requires an annual report. s.16 requires accounts and audit. s.15 covers borrowing with State Government sanction. The only plan the Act requires is the structure plan (s.9(1)(ii)), which is a spatial plan with no stated fiscal horizon. Nothing in Chapter IV or the section list mentions a 3-5 year or longer fiscal plan. Cross-check on the ULG side: the Greater Bengaluru Governance Act 2024 (BMRDA-10) does mandate a medium-term fiscal plan, but only for the City Corporation. s.187(2) says it "shall contain the receipts and payments projections for three years", and the s.2(42) definition says five years. This is not a BMRDA requirement. The Town and Country Planning Act (BMRDA-11) s.68B requires only an annual budget for Planning Authorities. | CAVEATS: The BMRDA-08 text is an unofficial host (India Water Portal) of the Act as amended, and its amendment currency is unclear. Only extracts w</t>
  </si>
  <si>
    <t xml:space="preserve">I left the score blank. In the BMRDA Act, 1985 (the copy in BMRDA-08), Chapter IV requires only an annual budget estimate (s.12), an annual report (s.13), borrowing with State Government sanction (s.15) and annual accounts and audit (s.16). I found no 3-5 year or longer fiscal plan requirement. That is not enough for a 0, because a 0 needs affirmative absence. The Rules under s.29 and the Regulations under s.30 are not in the Citation Sheet. s.12 says the budget is prepared 'in such form and at such time as may be prescribed', so the Rules could add a horizon. The BMRDA-08 copy is also an unofficial India Water Portal host with an unclear amendment date, and I read only extracts. The medium-term fiscal plan in the Greater Bengaluru Governance Act 2024 applies to the City Corporation, not BMRDA. A reviewer should check the BMRDA Rules and Regulations and an official text of the Act. If they are silent, the score is likely 0. The outcome could change only if they require a multi-year fiscal plan, which would give 5.</t>
  </si>
  <si>
    <t xml:space="preserve">SC4b</t>
  </si>
  <si>
    <t xml:space="preserve">Is the medium/long-term fiscal plan publicly available?</t>
  </si>
  <si>
    <t xml:space="preserve">Step 2 found no evidence: a source needs to be found and added. Step 2 found no evidence (Insufficient Evidence). Source needed: A dated capture of the BWSSB official website (finance, budget or publications sections) showing whether a medium/long-term fiscal or financial plan is published. A BWSSB document that names such a plan would also help.</t>
  </si>
  <si>
    <t xml:space="preserve">Step 2 found no evidence: a source needs to be found and added. Step 2 found no evidence (Insufficient Evidence). Source needed: A dated capture or review of the official BMTC website (its documents, finance and budget pages) showing whether a medium/long-term fiscal plan is published. Alternatively, a BMTC-published five-year business or fiscal plan.</t>
  </si>
  <si>
    <t xml:space="preserve">Step 2 found no evidence: a source needs to be found and added. Step 2 found no evidence (Insufficient Evidence). Source needed: A dated check of the official BDA website (its budget, finance or publications pages) showing whether a medium/long-term fiscal plan is published. A BDA fiscal plan document or a government order requiring one would also help.</t>
  </si>
  <si>
    <t xml:space="preserve">Step 2 found no evidence: a source needs to be found and added. Step 2 found no evidence (Insufficient Evidence). Source needed: A dated check of the BMRCL official website, covering its reports, finance and disclosures pages, for a published medium/long-term fiscal plan or financial projections. Alternatively, a BMRCL document or government order that names such a plan.</t>
  </si>
  <si>
    <t xml:space="preserve">Step 2 found no evidence: a source needs to be found and added. Step 2 found no evidence (Insufficient Evidence). Source needed: A full crawl of the BMRDA website, including the RTI 4(1)(A) disclosures, APA page and Reports, to check for a medium/long-term fiscal plan. Also an official document showing whether BMRDA is required to prepare one.</t>
  </si>
  <si>
    <t xml:space="preserve">SC5</t>
  </si>
  <si>
    <t xml:space="preserve">Does the law mandate a minimum tenure for the executive authority of the parastatal?</t>
  </si>
  <si>
    <t xml:space="preserve">ANSWER: Not determinable from the Citation Sheet. The Act sets no tenure figure. It leaves the Chairman's term to rules, and those rules are not in the Citation Sheet. | EVIDENCE: BWSSB-04 (BWSSB Act, 1964, FAOLEX copy; consolidated up to 1966 amendments visible; no later amendment date shown). s.3(4): 'One of the members possessing any of the qualifications specified in sub-section (3) shall be appointed by the State Government to be the Chairman of the Board.' s.4: 'The Chairman and other members of the Board shall hold office for such period, and shall be eligible for re-appointment under such conditions, as may be prescribed by the rules.' s.87(2)(a) lets the rules provide for 'the powers of the Chairman and the term of office of the Chairman and other members of the Board'. s.6 lets the State Government remove or suspend a member on listed grounds. These include s.6(1)(e), 'in the opinion of the State Government... is otherwise unfit to continue as a member', and s.6(5), removal of the Chairman and members if the Board fails to carry out its functions or follow s.89 directions. s.6(3) requires an opportunity to submit an explanation. s.12 says the Secretary and Chief Engineer are appointed 'after consultation with' the State Government, and the Act prescribes no tenure for them. | CAVEATS: It is unclear who the 'executive authority' is: the Chairman, or the Secretary or another officer. The Act does not say whether the Chairman is whole-time. The removal grounds include </t>
  </si>
  <si>
    <t xml:space="preserve">The Chairman and other members of the Board shall hold office for such period, and shall be eligible for re-appointment under such conditions, as may be prescribed by the rules.</t>
  </si>
  <si>
    <t xml:space="preserve">I left the score blank. The Act sets no minimum tenure. Section 4 leaves the term of the Chairman and members to the rules, and s.87(2)(a) repeats this. The BWSSB rules on term of office are not in the Citation Sheet. So I can't say the law prescribes no minimum tenure, and a 0 would need affirmative absence. It is also unclear who the executive authority is. It could be the Chairman or the Secretary, and s.12 says only that the Board appoints the Secretary 'after consultation with' the State Government, with no tenure. Section 6 lets the State Government remove a member who is 'otherwise unfit', which is an open-ended ground. That would weaken a 10 even if the rules fixed a term of two years or more. To score this, a person should obtain the Karnataka rules made under the BWSSB Act on the term of office. They should also check any GO on the Managing Director or Chairman post and any later amendments. The Act text is the FAOLEX copy with amendments up to 1966, and the Greater Bengaluru Governance Act 2024 may also affect BWSSB. I did not check that here.</t>
  </si>
  <si>
    <t xml:space="preserve">Step 2 found no evidence: a source needs to be found and added. Step 2 found no evidence (Insufficient Evidence). Source needed: The official text of the Road Transport Corporations Act, 1950 as applicable in Karnataka (the provisions on the Managing Director/chief executive, and their appointment, tenure and removal), any Karnataka rules or notifications constituting BMTC, and the state's service rules for the Managing Director post.</t>
  </si>
  <si>
    <t xml:space="preserve">ANSWER: Not determined. The BDA Act s.12 sets no tenure for the Commissioner, who is the executive head. The only tenure rule found, s.5(1), is worded for the Chairman and other members and is subject to the Government's pleasure. Whether it reaches the Commissioner is unclear. No Rules or other instrument on the Commissioner's tenure are in the Citation Sheet. | EVIDENCE: (1) BDA Act s.13(1): "The Commissioner shall be the Chief Executive and Administrative Officer of the Authority." (2) s.12(1): "The State Government shall appoint an officer, not below the rank of Divisional Commissioner, to be the Commissioner for the Authority." Section 12(2) covers salary and allowances. Section 12(3) lets the Government grant leave. None of the three sub-sections mentions tenure or removal. (3) s.3(3)(m) makes the Commissioner an ex-officio member of the Authority. (4) s.5(1): "Subject to the pleasure of the Government and the provisions of section 6, the Chairman and other members of the Authority shall hold office for a period of three years from the date on which they assume office...". Section 5(3) allows resignation by "any member other than an ex-officio member". Section 6 sets removal grounds for members. Section 5 does not name the Commissioner. If it did apply to him, the term would be 3 years but removable at the Government's pleasure, and that fits neither the 10 band nor the 5 band. (5) The Karnataka Town and Country Planning Act s.4H (Member-Secretary of a Planning Authorit</t>
  </si>
  <si>
    <t xml:space="preserve">The State  Government shall appoint an officer, not  below the rank of Divisional Commissioner, to be the Commissioner  for the Authority.</t>
  </si>
  <si>
    <t xml:space="preserve">I left the score blank. The BDA Act s.12 covers the Commissioner's appointment (12(1)), salary (12(2)) and leave (12(3)). It sets no minimum tenure and no removal grounds for him. Section 13 makes him the Chief Executive and Administrative Officer. The only tenure provision found, s.5(1), covers 'the Chairman and other members' for three years. It is 'subject to the pleasure of the Government', so it does not give protected tenure. Section 5 does not name the Commissioner, so it is unclear whether it reaches him. If it did, a term removable at the Government's pleasure would fit neither the 10 band nor the 5 band. I could not score 0 because that needs affirmative absence. The sheet holds no Rules made under the BDA Act and no Government order on the Commissioner's tenure. It does include the Act (BDA-02, a PRS secondary copy that lists amendments up to 2026), the KTCP Act (BDA-03) and the GBA Act (BDA-11). I read the Act text only in excerpts, so a full read of s.5, s.6 and s.70 (regulations) and a search for Rules would be needed to confirm. A person should check for Rules, a GO or service rules covering the Commissioner's tenure. Candidates are the Karnataka Government's general tenure norms for IAS officers, if they apply, and any BDA regulations. Confidence is low because the Act is silent and the Rules layer is missing.</t>
  </si>
  <si>
    <t xml:space="preserve">Step 2 found no evidence: a source needs to be found and added. Step 2 found no evidence (Insufficient Evidence). Source needed: BMRCL Memorandum and Articles of Association (MD appointment, tenure and removal clauses), the Government of Karnataka/Government of India appointment orders for the MD (terms and tenure), and any DPAR or MoHUA rules on the MD's tenure.</t>
  </si>
  <si>
    <t xml:space="preserve">ANSWER: Not determined. The BMRDA Act sets only a maximum period for the Metropolitan Commissioner's appointment, not a minimum, and it lists no grounds for removal. The Rules and Regulations layers were not read, so the 'no minimum tenure' conclusion (rubric 0) cannot be confirmed. | EVIDENCE: BMRDA Act 1985 s.8(1) (text from the India Water Portal copy, as amended): 'The State Government shall appoint a Metropolitan Commissioner who shall be the Chief Administrative and Executive Officer on the Authority.' It adds that 'He shall be appointed for such period not exceeding three years as the State Government may decide, and the appointment may be extended from time to time for a period not exceeding three years at a time.' The State Government also determines salary, terms and conditions and powers by order. The three-year figure is a ceiling, not a floor, so no minimum tenure is guaranteed and no removal protection appears. Section 3(3)(x) makes the Metropolitan Commissioner the Member-Secretary. Section 4 (three-year term subject to the pleasure of the Government) covers only non-official members (u), (v) and (w), not the Commissioner. | CAVEATS: The bands do not clearly fit. Score 10 and score 5 need a mandated minimum, and none was found. Score 0 needs affirmative absence, which is not established. The 2025 Town and Country Planning amendment Bill (BMRDA-12) covers the Urban Development Authorities and Mysuru Development Authority, not BMRDA. The Greater Bengaluru Governa</t>
  </si>
  <si>
    <t xml:space="preserve">He shall be appointed for such period not exceeding three years as the State Government may decide, and the appointment may be extended from time to time for a period not exceeding three years at a time.</t>
  </si>
  <si>
    <t xml:space="preserve">Section 8(1) of the BMRDA Act (as amended, copy hosted on India Water Portal, an unofficial host) sets only a maximum of three years for the Metropolitan Commissioner's appointment. It sets no minimum, and it gives no grounds or protection against removal. The State Government decides the period and the terms and conditions by order. I read the Act. The Citation Sheet has no BMRDA Rules made under s.29. It also has no read text of the Cadre and Recruitment Rules 2008 or the Regulations. A score of 0 needs affirmative absence across the whole instrument stack, so I could not confirm it and left the score blank. This is not a score of 5 or 10, because no minimum tenure was found. If the Rules and Regulations are read and also prescribe no minimum, the score would be 0. Confirm that with the team. Also confirm the Act text against an official Karnataka DPAL copy.</t>
  </si>
  <si>
    <t xml:space="preserve">SC6</t>
  </si>
  <si>
    <t xml:space="preserve">What is the average tenure of the chief executive/executive authority of the parastatal?</t>
  </si>
  <si>
    <t xml:space="preserve">Step 2 found no evidence: a source needs to be found and added. Step 2 found no evidence (Insufficient Evidence). Source needed: Official DPAR or gazette appointment and transfer orders for the BWSSB Chairman or Managing Director from about 2021 to 2026. A list of past Chairmen on the BWSSB official website would also answer it. It should show any additional-charge holders separately.</t>
  </si>
  <si>
    <t xml:space="preserve">Step 2 found no evidence: a source needs to be found and added. Step 2 found no evidence (Insufficient Evidence). Source needed: DPAR/Karnataka Gazette transfer and appointment orders for the BMTC Managing Director over the last five years, or the BMTC website's list of past Managing Directors, with dates and any additional-charge holders marked.</t>
  </si>
  <si>
    <t xml:space="preserve">Step 2 found no evidence: a source needs to be found and added. Step 2 found no evidence (Insufficient Evidence). Source needed: DPAR/Urban Development Department appointment and transfer orders (gazette or official notifications) for the BDA Commissioner over the last five years. The BDA official website's list of past Commissioners would also help. Both must state dates and separate acting or additional-charge holders.</t>
  </si>
  <si>
    <t xml:space="preserve">ANSWER: Cannot be determined for the last five years. The sheet covers only the 2020-21 to July 2021 part of the period, so no band can be applied. | EVIDENCE: BMRCL-01 (Annual Report 2020-21, Board's Report, 'Appointment of Managing Director and Director after the end of the Financial year'). The Managing Director is the Chief Executive Officer of the Company. Shri Ajay Seth was MD up to 09.04.2021 and left on a Central posting. Shri Rakesh Singh, Additional Chief Secretary, Urban Development Department, was nominated MD 'on concurrent charge' from 9 April 2021. This is a concurrent-charge holder and is recorded separately. Shri Anjum Parwez was nominated MD, a Government of Karnataka nominee, from 15 July 2021. | CAVEATS: The Annual Report is a Board's Report and not a DPAR or Gazette appointment order. Only the 2021 change is visible. The Act and Rules layers (BMRCL-34, BMRCL-35) do not set an MD tenure. | PERIOD: Up to 15 July 2021. The last five years run to about 2026. | LIMITS: There is no evidence of who held the MD post after July 2021, including any later changes. The sheet has no official orders (DPAR or Gazette) and no later annual reports or BMRCL website leadership page.</t>
  </si>
  <si>
    <t xml:space="preserve">Step 2 found no evidence: a source needs to be found and added. Step 2 found no evidence (Human Verification Required). Source needed: Official DPAR or Gazette orders appointing or transferring the BMRCL Managing Director from about 2021 to 2026. Later BMRCL annual reports (FY 2021-22 to 2024-25) listing MDs. The BMRCL official website leadership or past-MD page.</t>
  </si>
  <si>
    <t xml:space="preserve">Step 2 found no evidence: a source needs to be found and added. Step 2 found no evidence (Insufficient Evidence). Source needed: DPAR/Karnataka Gazette appointment and transfer orders for the BMRDA Metropolitan Commissioner over the last five years, or an official list of past Metropolitan Commissioners, noting any acting or additional-charge holders.</t>
  </si>
  <si>
    <t xml:space="preserve">SC7a</t>
  </si>
  <si>
    <t xml:space="preserve">Does the parastatal have adequate staffing capacity to discharge its mandate?</t>
  </si>
  <si>
    <t xml:space="preserve">ANSWER: The only staffing figures in the Citation Sheet are from 2017, so they do not show current staffing. They imply about 62% of sanctioned regular posts filled, which would fall in the 60–74% band (score 3) if they were current. No score is proposed because the figures are about nine years old. | EVIDENCE: BWSSB-22 (JICA Final Report, Nov 2017, Table 2.2.11, source BWSSB, as of Aug 2017) gives sanctioned 3,501 (Group A 207, B 310, C 1,935, D 1,049) against 2,157 working, with 1,344 vacant. That is 2,157/3,501 = 61.6%. The text says 'only 2,157 persons were employed and there are still vacant staff'. It also says GoK approved a further 211 posts in 2016-17, for which recruitment was still to be done. BWSSB-23 (JICA supporting volume, Table 17.1.1, source BWSSB, as of 25 Jan 2017) gives 2,203 regular staff against a sanctioned 3,500, which is 62.9%. About 2,000 outsourced staff are mentioned in both reports, but they are not part of the sanctioned structure, so I excluded them from the ratio. BWSSB-32 (PAC 2016) reports staff shortages only qualitatively and gives no counts. | CAVEATS: The ratio is for regular posts only and ignores the 211 additional posts approved in 2016-17. If those posts were added to the sanctioned strength, the ratio would be lower (2,157/3,712 = 58%). The JICA reports are secondary and non-official sources. They quote BWSSB data but are not an official BWSSB annual report, an RTI reply or an official staffing record. The two 2017 snapshots give sli</t>
  </si>
  <si>
    <t xml:space="preserve">A total of 3,501 persons with positions were approved by GoK, however, only 2,157 persons were employed and there are still vacant staff, as shown in the balance column (total of 1,344).</t>
  </si>
  <si>
    <t xml:space="preserve">I left the score blank. The only staffing data in the Citation Sheet is the August 2017 snapshot in the JICA report: 2,157 of 3,501 sanctioned posts filled, which is 61.6%. BWSSB-23 gives a similar January 2017 figure. If that data were current, it would fall in the 60–74% band (score 3). But it is about nine years old, and the methodology asks for current data. The JICA report is also a secondary source that is not on the allow-list. It is not an official BWSSB annual report, RTI reply or staffing page. The ratio also ignores the 211 posts GoK approved in 2016-17. If they were added to the sanctioned strength, the ratio would be about 58%, which falls in the 40–59% band (score 2). The score is therefore not 0, because sanctioned and filled data does exist, but it is not decidable either. A person should get the latest sanctioned and filled data by group from BWSSB (annual report, website or RTI) and recalculate. They should also confirm whether outsourced staff count toward the sanctioned structure. I excluded the roughly 2,000 outsourced staff because they are not part of the sanctioned structure.</t>
  </si>
  <si>
    <t xml:space="preserve">Step 2 found no evidence: a source needs to be found and added. Step 2 found no evidence (Insufficient Evidence). Source needed: A recent BMTC annual administration report or an RTI reply showing sanctioned and working (filled) posts, split by cadre (permanent, contractual and others), for the latest FY.</t>
  </si>
  <si>
    <t xml:space="preserve">Step 2 found no evidence: a source needs to be found and added. Step 2 found no evidence (Insufficient Evidence). Source needed: A document giving the BDA's sanctioned and filled (working) posts, including any contractual staff in the approved structure. Examples are the BDA annual report (for example the 2017-18 report listed as laid before the Legislative Council), a staff-position table on the BDA website, an RTI reply from the BDA's establishment/administration section, or a Government of Karnataka order fixing the BDA's cadre strength.</t>
  </si>
  <si>
    <t xml:space="preserve">Step 2 found no evidence: a source needs to be found and added. Step 2 found no evidence (Insufficient Evidence). Source needed: BMRCL's sanctioned posts versus working strength, by wing (Project Wing and O&amp;M Wing, including contract posts in the approved structure), for the latest year. Likely sources are a recent annual report, the board-approved staffing structure, or an RTI response from the BMRCL PIO.</t>
  </si>
  <si>
    <t xml:space="preserve">Step 2 found no evidence: a source needs to be found and added. Step 2 found no evidence (Insufficient Evidence). Source needed: BMRDA annual report, or a staff or cadre strength page, showing sanctioned and working posts (permanent and contractual). An RTI reply or a DPAR cadre order for BMRDA would also work.</t>
  </si>
  <si>
    <t xml:space="preserve">SC7b</t>
  </si>
  <si>
    <t xml:space="preserve">What proportion of the parastatal's workforce is women?</t>
  </si>
  <si>
    <t xml:space="preserve">Step 2 found no evidence: a source needs to be found and added. Step 2 found no evidence (Insufficient Evidence). Source needed: A recent BWSSB staffing statement or annual report showing filled posts by gender and cadre (for example an RTI reply from the Secretary/CAO or HR wing, or a BWSSB annual report to the legislature).</t>
  </si>
  <si>
    <t xml:space="preserve">Step 2 found no evidence: a source needs to be found and added. Step 2 found no evidence (Insufficient Evidence). Source needed: BMTC staffing records (sanctioned and filled posts by gender and cadre), such as the latest annual administration report or an RTI reply from BMTC's PIO. A reply should give the number of women employees, total filled posts, and the split for senior and technical cadres.</t>
  </si>
  <si>
    <t xml:space="preserve">Step 2 found no evidence: a source needs to be found and added. Step 2 found no evidence (Insufficient Evidence). Source needed: A BDA staffing statement or annual report showing sanctioned and filled posts by sex and cadre. An RTI reply from the BDA Commissioner's office or Establishment/HR section would also work. It should be the latest available and dated.</t>
  </si>
  <si>
    <t xml:space="preserve">Step 2 found no evidence: a source needs to be found and added. Step 2 found no evidence (Insufficient Evidence). Source needed: A gender-disaggregated staffing statement for BMRCL, covering both the Project and O&amp;M wings and giving women and total filled posts. This could be a recent annual report, an HR or website staffing record, or an RTI reply. It should also show women in senior and technical cadres.</t>
  </si>
  <si>
    <t xml:space="preserve">Step 2 found no evidence: a source needs to be found and added. Step 2 found no evidence (Insufficient Evidence). Source needed: BMRDA staffing statement with gender-wise filled posts, such as the RTI Section 4(1)(b) disclosure, the annual report, or a formal data request or RTI reply giving sanctioned and working strength by gender, cadre and seniority.</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</si>
  <si>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</si>
  <si>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</si>
  <si>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</si>
  <si>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</si>
  <si>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</si>
  <si>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</si>
  <si>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</si>
  <si>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</si>
  <si>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</si>
  <si>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</si>
  <si>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</si>
  <si>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</si>
  <si>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</si>
  <si>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</si>
  <si>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</si>
  <si>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</si>
  <si>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</si>
  <si>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Surat – SUDA</t>
  </si>
  <si>
    <t xml:space="preserve">Surat – GMRC</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</si>
  <si>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</si>
  <si>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</si>
  <si>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</si>
  <si>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</si>
  <si>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</si>
  <si>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</si>
  <si>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</si>
  <si>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</si>
  <si>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</si>
  <si>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</si>
  <si>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</si>
  <si>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</si>
  <si>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</si>
  <si>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</si>
  <si>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</si>
  <si>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</si>
  <si>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</si>
  <si>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</si>
  <si>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</si>
  <si>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</si>
  <si>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</si>
  <si>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</si>
  <si>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</si>
  <si>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</si>
  <si>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</si>
  <si>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</si>
  <si>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</si>
  <si>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</si>
  <si>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</si>
  <si>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</si>
  <si>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</si>
  <si>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</si>
  <si>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</si>
  <si>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</si>
  <si>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</si>
  <si>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</si>
  <si>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</si>
  <si>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</si>
  <si>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</si>
  <si>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</si>
  <si>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</si>
  <si>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</si>
  <si>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</si>
  <si>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</si>
  <si>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</si>
  <si>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</si>
  <si>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</si>
  <si>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</si>
  <si>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</si>
  <si>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</si>
  <si>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</si>
  <si>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</si>
  <si>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</si>
  <si>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</si>
  <si>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</si>
  <si>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</si>
  <si>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</si>
  <si>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</si>
  <si>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</si>
  <si>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</si>
  <si>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</si>
  <si>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</si>
  <si>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</si>
  <si>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</si>
  <si>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</si>
  <si>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</si>
  <si>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</si>
  <si>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</si>
  <si>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</si>
  <si>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</si>
  <si>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</si>
  <si>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</si>
  <si>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</si>
  <si>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</si>
  <si>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</si>
  <si>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</si>
  <si>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</si>
  <si>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</si>
  <si>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</si>
  <si>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</si>
  <si>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</si>
  <si>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</si>
  <si>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</si>
  <si>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</si>
  <si>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</si>
  <si>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</si>
  <si>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</si>
  <si>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</si>
  <si>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</si>
  <si>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</si>
  <si>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</si>
  <si>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</si>
  <si>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</si>
  <si>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</si>
  <si>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</si>
  <si>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</si>
  <si>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</si>
  <si>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</si>
  <si>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</si>
  <si>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</si>
  <si>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</si>
  <si>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</si>
  <si>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</si>
  <si>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</si>
  <si>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</si>
  <si>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</si>
  <si>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</si>
  <si>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</si>
  <si>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</si>
  <si>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</si>
  <si>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</si>
  <si>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</si>
  <si>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</si>
  <si>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</si>
  <si>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</si>
  <si>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</si>
  <si>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</si>
  <si>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</si>
  <si>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</si>
  <si>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</si>
  <si>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</si>
  <si>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</si>
  <si>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</si>
  <si>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</si>
  <si>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</si>
  <si>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</si>
  <si>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</si>
  <si>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</si>
  <si>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</si>
  <si>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</si>
  <si>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</si>
  <si>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</si>
  <si>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</si>
  <si>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</si>
  <si>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</si>
  <si>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</si>
  <si>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</si>
  <si>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</si>
  <si>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</si>
  <si>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</si>
  <si>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</si>
  <si>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</si>
  <si>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</si>
  <si>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</si>
  <si>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</si>
  <si>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</si>
  <si>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</si>
  <si>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</si>
  <si>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</si>
  <si>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</si>
  <si>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</si>
  <si>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</si>
  <si>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</si>
  <si>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</si>
  <si>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</si>
  <si>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</si>
  <si>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</si>
  <si>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</si>
  <si>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</si>
  <si>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</si>
  <si>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</si>
  <si>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</si>
  <si>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</si>
  <si>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</si>
  <si>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</si>
  <si>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</si>
  <si>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</si>
  <si>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</si>
  <si>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</si>
  <si>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</si>
  <si>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</si>
  <si>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</si>
  <si>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</si>
  <si>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</si>
  <si>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</si>
  <si>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</si>
  <si>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</si>
  <si>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</si>
  <si>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</si>
  <si>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</si>
  <si>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</si>
  <si>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</si>
  <si>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</si>
  <si>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Score 5 if the fiscal plan is published online on the relevant parastatal's website. Score 0 if not available.</t>
  </si>
  <si>
    <t xml:space="preserve">Website of the relevant parastatal</t>
  </si>
  <si>
    <t xml:space="preserve">SC-5</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</si>
  <si>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</si>
  <si>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</si>
  <si>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</si>
  <si>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</si>
  <si>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</si>
  <si>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</si>
  <si>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</si>
  <si>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</si>
  <si>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</si>
  <si>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</si>
  <si>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</si>
  <si>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</si>
  <si>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</si>
  <si>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</si>
  <si>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</si>
  <si>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</si>
  <si>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</si>
  <si>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 Back to Scores (start here)</t>
  </si>
  <si>
    <t xml:space="preserve">PRE-FILLED - DO NOT ALTER</t>
  </si>
  <si>
    <t xml:space="preserve">ENTER A NUMBER 0 TO 5</t>
  </si>
  <si>
    <t xml:space="preserve">DO NOT ALTER FORMULA</t>
  </si>
  <si>
    <t xml:space="preserve">AUTO - DO NOT ENTER</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</si>
  <si>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</si>
  <si>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</si>
  <si>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</si>
  <si>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</si>
  <si>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</si>
  <si>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</si>
  <si>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</si>
  <si>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</si>
  <si>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</si>
  <si>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AI points</t>
  </si>
  <si>
    <t xml:space="preserve">YES</t>
  </si>
  <si>
    <t xml:space="preserve">Chapter II (Consultative Committee)</t>
  </si>
  <si>
    <t xml:space="preserve">BWSSB Act 1964 s.14(1) and s.14(4)(i); s.15(2)</t>
  </si>
  <si>
    <t xml:space="preserve">s.14(4)(i)</t>
  </si>
  <si>
    <t xml:space="preserve">13</t>
  </si>
  <si>
    <t xml:space="preserve">AI (low confidence), from Step 2 answer (Partially Answered) and BWSSB-04: Score left blank. SCALE: the bands run to 10 and Max Score is 5, so the band would be converted as band x 5/10. Evidence read: BWSSB Act s.14 (Consultative Committee) and s.15 (general duties). Section 14 is advisory. The State Government forms the committee, and the Municipal Corporation of the City of Bangalore and the BCITB are only consulted on who is appointed. Section 15(2)(b)-(c) says the Board prepares schemes, and schemes costing over Rs 1 crore need State Government approval. No ULG coordination, consultation or approval is required for plan preparation. The Step 2 answer also found no such duty in the Greater Bengaluru Governance Act 2024 s.14-15, where 'may assign' is discretionary and runs from the GBA to the agency. It found none in the T&amp;CP Act 1961 either. The 0 band is not entered for three reasons. First, the BWSSB Act copy is a FAOLEX mirror, which is blocked and serves only as a lead. Second, no BWSSB Rules or Regulations are in the sheet. Third, the full text of the Governance Act was not read in full. This is not affirmative absence. A person should check an official copy of the BWSSB Act, the BWSSB Rules and Regulations, and the whole of the Governance Act, including any substitution of the GBA for the Corporation named in s.14. The likely outcome is 0, or at most 2.5 if the advisory committee is read as discretionary consultation. Confidence is low.
Quote: "to advise the Board on major questions of policy and major schemes;"
"Score" left blank: the Citation Sheet doesn't decide it.</t>
  </si>
  <si>
    <t xml:space="preserve">Chapter VI – Sectoral and City Mobility Investment Program and Annual Implementation Plan</t>
  </si>
  <si>
    <t xml:space="preserve">Section 24</t>
  </si>
  <si>
    <t xml:space="preserve">24(b); see also s.24(a), 24(c), s.25(1)-(2), s.21(2) first proviso</t>
  </si>
  <si>
    <t xml:space="preserve">19</t>
  </si>
  <si>
    <t xml:space="preserve">AI: left for a person. Step 2 found no evidence (Insufficient Evidence). Source needed: The Road Transport Corporations Act 1950 (as applied to BMTC), BMTC's constitution documents, and the Greater Bengaluru Governance Act 2024 functions and coordination provisions. These would show whether BMTC must prepare plans in coordination with the ULG.</t>
  </si>
  <si>
    <t xml:space="preserve">Chapter IV (s.32) and Chapter III (ss.15, 25)</t>
  </si>
  <si>
    <t xml:space="preserve">BDA Act 1976 s.32(1) provisos; s.25(1) proviso; s.15(2)(ii)</t>
  </si>
  <si>
    <t xml:space="preserve">s.32(1) first and second provisos</t>
  </si>
  <si>
    <t xml:space="preserve">34</t>
  </si>
  <si>
    <t xml:space="preserve">AI (low confidence), from Step 2 answer (Partially Answered) and BDA-02: I left the score blank. The evidence doesn't settle a band, and a 0 would need affirmative absence, which I can't establish.
What the BDA Act shows:
- s.32(1) requires the Corporation's concurrence, but only for layouts that other persons propose within Corporation limits. It does not cover BDA's own master plan or sectoral plans. Disagreements go to Government, whose decision is final.
- s.25(1) proviso says 'the Corporation shall be consulted' when BDA takes up works for further development of an area within the City of Bangalore. This is a mandatory 'shall' consultation. It covers works, not plans, and it sits under a Government-sanction power. Step 2 missed this provision. If works count as sectoral plans, it would fit the 5-band of the methodology (5 of 10, i.e. 2.5 of 5): consultation is mandatory with no duty to respond. That is a judgement for a person to make.
- s.15(2)(ii) lets BDA take up development schemes on the Corporation's recommendation, but only if the local authority provides the funds. It is not a coordination mandate.
- ss.16-19 on the procedure for development schemes were not read in full.
What the T&amp;CP Act shows: ss.9-10 provide public notice and consideration of suggestions, which is not ULG consultation. I found no provision requiring consultation with the ULG. s.13 was only partly seen.
What is unresolved:
- BDA Act s.67 inserted s.81-B into the T&amp;CP Act, making BDA the Planning Authority. The GBA Act 2024 (Act 36 of 2025) also names the GBA as 'Planning Authority' for the Greater Bengaluru Area. Neither source shows how the two interact. They also don't show whether the GBA or City Corporations are substituted for 'Corporation'.
- Rules and regulations under both Acts are not in the Citation Sheet.
SCALE: bands run to 10 and Max Score is 5, so the entered score would be band x 0.5.
ERA: the BDA Act text still names the predecessor 'Corporation', and its amendments run to an unstated date. The GBA Act belongs to the GBA era.
Quote: "Provided that where any such extension or layout lies within the local  limits of the Corporation, the Authority shall not sanction the formation of such extension or layout without the concurrence of the Corporation"
"Score" left blank: the Citation Sheet doesn't decide it.</t>
  </si>
  <si>
    <t xml:space="preserve">Greater Bengaluru Governance Act, 2024 (Act 36 of 2025), chapter on GBA functions</t>
  </si>
  <si>
    <t xml:space="preserve">Section 15(5); also Section 14(4) and Section 14(2)(a)</t>
  </si>
  <si>
    <t xml:space="preserve">s.15(5) 'may assign the task of planning'; s.14(4) Co-ordination and Supervision of Public Authorities</t>
  </si>
  <si>
    <t xml:space="preserve">16</t>
  </si>
  <si>
    <t xml:space="preserve">AI: left for a person. Step 2 found no evidence (Insufficient Evidence). Source needed: BMRCL's enabling instruments: the Metro Railways Acts of 1978 and 2002, the Memorandum and Articles of Association, and any GoK order or agreement. Also the full T&amp;CP Act and GBA Act provisions that name BMRCL or metro corridors.</t>
  </si>
  <si>
    <t xml:space="preserve">Chapter III</t>
  </si>
  <si>
    <t xml:space="preserve">s.9(1)(ii), s.9(1)(ix); s.31 (inserting T&amp;CP Act s.81-C)</t>
  </si>
  <si>
    <t xml:space="preserve">Section 9(1)(ii); also checked s.9(1)(viii)-(ix), s.10, s.18, s.31 (inserting s.81-C into the Karnataka Town and Country Planning Act)</t>
  </si>
  <si>
    <t xml:space="preserve">AI (low confidence), from Step 2 answer (Partially Answered) and BMRDA-08: I left the score blank. In BMRDA Act s.9(1)(ii), the structure plan duty has no consultation, ULG approval, concurrence or joint-preparation requirement. s.9(1)(ix) only makes BMRDA a coordinator of other bodies' activities. It is not a duty to prepare plans with the ULG. T&amp;CP Act s.81-C, inserted by BMRDA Act s.31, has Planning Authorities send their plans to the State Government through BMRDA. That is BMRDA reviewing ULG plans, not a ULG role in BMRDA's plans. This points to a low band, possibly 0, but a 0 needs affirmative absence. I did not read the full T&amp;CP Act (BMRDA-11), the full GBA Act 2024 (BMRDA-10), the Bill (BMRDA-12) or any BMRDA Rules or Regulations. The Bengaluru Metropolitan Planning Committee (BMPC) under the GBA Act and the GBA's substitution for the Corporation of the City of Bangalore in the BMRDA Act are unconfirmed. The BMRDA Act text is a copy on an unofficial host, India Water Portal, and says 'As amended by Act 8 of 2005'. The question has a SCALE (bands 0-10, Max Score 5). If absence is confirmed, band 0 gives a score of 0. Please confirm after reading the T&amp;CP Act provisions on structure plan preparation, the BMRDA Rules and the GBA Act.
Quote: "(ii) to prepare a structure plan for the development of the Bangalore Metropolitan Region;"
"Score" left blank: the Citation Sheet doesn't decide it.</t>
  </si>
  <si>
    <t xml:space="preserve">Chapter 14 (Environmental and Social Considerations)</t>
  </si>
  <si>
    <t xml:space="preserve">Section 14.12 Stakeholders' Meeting</t>
  </si>
  <si>
    <t xml:space="preserve">p.135 (page 14-100 of the Final Report)</t>
  </si>
  <si>
    <t xml:space="preserve">135</t>
  </si>
  <si>
    <t xml:space="preserve">AI: left for a person. Step 2 found no evidence (Insufficient Evidence). Source needed: BWSSB's latest master plan, DPR or business plan with consultation records. Minutes of Consultative Committee or coordination meetings with GBA or the City Corporations. ULG letters or comments and BWSSB responses.</t>
  </si>
  <si>
    <t xml:space="preserve">AI: left for a person. Step 2 found no evidence (Insufficient Evidence). Source needed: BMTC's latest plan document (e.g. a fleet, service or operational plan), together with consultation records, meeting minutes, or GBA/city corporation comments or resolutions on it. A GBA/BBMP-BMTC coordination meeting record would also help.</t>
  </si>
  <si>
    <t xml:space="preserve">AI: left for a person. Step 2 found no evidence (Insufficient Evidence). Source needed: The latest BDA Master Plan / Revised Master Plan documents and consultation records, BDA Authority meeting minutes, and GBA/City Corporation resolutions or comments on the draft plan. These would show the ULG's inputs and BDA's response.</t>
  </si>
  <si>
    <t xml:space="preserve">AI: left for a person. Step 2 found no evidence (Insufficient Evidence). Source needed: BMRCL's latest DPR or plan documents, consultation records or minutes showing GBA/BBMP or city corporation inputs and BMRCL's response, ULG resolutions or comments on BMRCL plans, or Board minutes recording ULG participation.</t>
  </si>
  <si>
    <t xml:space="preserve">AI: left for a person. Step 2 found no evidence (Insufficient Evidence). Source needed: Consultation records, minutes, or ULG (GBA/City Corporation) comments and BMRDA responses for the latest BMRDA structure/master plan cycle. Also the final plan's list of consulted bodies.</t>
  </si>
  <si>
    <t xml:space="preserve">ENTER A NUMBER 0 TO 2.5</t>
  </si>
  <si>
    <t xml:space="preserve">Chapter III (General duties of the Board)</t>
  </si>
  <si>
    <t xml:space="preserve">Section 15(2)</t>
  </si>
  <si>
    <t xml:space="preserve">15(2)(b)-(c) and proviso</t>
  </si>
  <si>
    <t xml:space="preserve">AI (low confidence), from Step 2 answer (Partially Answered) and BWSSB-04: I left the score blank because this is not found, not an affirmative absence. BWSSB-04 s.15 requires the Board to prepare and carry out water supply and sewerage schemes. The only control it adds is State Government approval for schemes costing more than Rs 1 crore. In the excerpts I read, nothing requires or permits the schemes to be consistent with a city, metropolitan or regional master plan. That does not support 2.5 or 1.25. I can't score 0 because: (1) BWSSB-04 is a FAOLEX mirror, which is a blocked source type, and I read only excerpts of it. (2) The Rules and Regulations under the BWSSB Act are not in the sheet. (3) I did not read the Karnataka T&amp;CP Act (BWSSB-28) or the Greater Bengaluru Governance Act 2024 (BWSSB-29) in full. The BMPC and master-plan provisions in BWSSB-29, from s.14(2)(c) onwards, are unchecked. The next step is to get the official State-hosted BWSSB Act, Rules and Regulations, and then check the T&amp;CP Act and GBG Act for any duty on utilities to conform to the master plan.
Quote: "it shall be the duty of the Board to take steps from time to time,— (a) for ascertaining the sufficiency and wholesomeness of water supplies within the Bangalore Metropolitan Area;"
"Score" left blank: the Citation Sheet doesn't decide it.</t>
  </si>
  <si>
    <t xml:space="preserve">NO</t>
  </si>
  <si>
    <t xml:space="preserve">Chapter 5 Water Demand Projection for the Three Areas by Target Year</t>
  </si>
  <si>
    <t xml:space="preserve">Sec. 5.1.1 (also sec. 2.4.2 Future Land Use; secs. 5.1.4-5.1.5)</t>
  </si>
  <si>
    <t xml:space="preserve">Assumption 1) Core Area; Assumption 2) 110 Villages</t>
  </si>
  <si>
    <t xml:space="preserve">221</t>
  </si>
  <si>
    <t xml:space="preserve">AI (low confidence), from Step 2 answer (Partially Answered) and BWSSB-22: Score left blank for the team to decide. The evidence points to the 1.25 band but does not settle it. What it shows: the JICA Final Report (Nov 2017) describes the BDA Draft Master Plan 2015 under the KTCP Act in sec. 2.4.2 and reproduces its proposed land-use map. It uses the BDA Master Plan 2015 as one of 10 population-projection sources. The Core-area growth rate of 0.78% is attributed to it, according to the Step 2 summary, and I did not re-read secs. 5.1.4-5.1.5 to confirm. That fits the 1.25 band wording (refers to the master plan and/or uses its population projections). What is missing: (1) Nothing shows the master plan's growth areas, service areas or land-use framework determining network expansion or the siting of major infrastructure, so 2.5 is not supported. (2) The report is a 2017 donor study by a JICA survey team, not BWSSB's own current water or sewerage master plan. BWSSB's own plan was not available to the study; the draft was delayed. (3) The master plan it cites is the 2015 draft, not the current Revised Master Plan 2041. (4) The GBA-era arrangement is not reflected. (5) No land-use conversion or regularisation records for treatment plants or trunk infrastructure were found. The team must decide whether a 2017 donor-prepared report counts as an 'equivalent sectoral planning document'. If it does, 1.25 (low confidence) fits. A 0 is not warranted because the master plan is referenced. Further evidence that could change the band: BWSSB's current master plan, or post-2017 documents showing siting or service areas driven by the master plan.
Quote: "The Master Plan for Water Supply and Sewerage Development for the BBMP was commenced from 2015 including projection of frame values. However, even draft projection of population was delayed."
"Score" left blank: the Citation Sheet doesn't decide it.</t>
  </si>
  <si>
    <t xml:space="preserve">Chapter V (Comprehensive Mobility Plan)</t>
  </si>
  <si>
    <t xml:space="preserve">BMLTA Act 2022, s.21(2) proviso; also s.24(a)</t>
  </si>
  <si>
    <t xml:space="preserve">s.21(2) first proviso</t>
  </si>
  <si>
    <t xml:space="preserve">17</t>
  </si>
  <si>
    <t xml:space="preserve">AI (low confidence), from Step 2 answer (Partially Answered) and BMTC-23: I left the score blank. No provision in the sheet requires BMTC to make its own plan consistent with the city, metropolitan or regional Master Plan. A 0 needs affirmative absence, and that can't be shown. BMTC's parent Act (the Road Transport Corporations Act 1950), any rules, and BMTC's regulations are not in the sheet. BMTC-46 (Rules and Regulations) was not read. The Karnataka Town and Country Planning Act (BMTC-25) and the Revised Master Plan 2015 (BMTC-37) were checked, but I found no conformity duty on BMTC in them. What exists is indirect. Under BMLTA s.21(2), the Comprehensive Mobility Plan is prepared in conjunction with the applicable land use plan. Other authorities' plans must comply with the Authority's mobility policies, not with the statutory Master Plan. BMTC is not named in that proviso. Under s.24(a), the Sectoral Mobility Investment Program must be aligned with the Comprehensive Mobility Plan. That is a mandatory 'shall', but it points to the mobility plan, not the Master Plan. A reviewer should decide whether this indirect chain counts. If it does, the result could be 2.5 on a 'shall' reading, or 1.25 on a weaker reading. This rests on the PRS copy of the Act, which is secondary.
Quote: "The plans so developed  by any other authority and/or committee shall be in compliance with the Urban Mobility policies of the Authority:"
"Score" left blank: the Citation Sheet doesn't decide it.</t>
  </si>
  <si>
    <t xml:space="preserve">AI: left for a person. Step 2 found no evidence (Insufficient Evidence). Source needed: BMTC's own current network, depot or mobility plan, or a BMTC/BMLTA/DULT document showing it draws on the Master Plan's corridors, land use or density projections. Also the applicable current Master Plan, and records of any land-use conversion for BMTC depots or terminals.</t>
  </si>
  <si>
    <t xml:space="preserve">Tariff</t>
  </si>
  <si>
    <t xml:space="preserve">Karnataka Urban Drinking Water and Sanitation Policy, 2002 – Objective and Tariff sections</t>
  </si>
  <si>
    <t xml:space="preserve">pp. 2-3: subsidies focused on 'pockets and communities of extreme poverty'; minimum 'life line' supply to the poor. Objective section (p.1) names BWSSB as a partner agency.</t>
  </si>
  <si>
    <t xml:space="preserve">3</t>
  </si>
  <si>
    <t xml:space="preserve">AI (low confidence), from Step 2 answer (Partially Answered) and BWSSB-33: Score left blank. The only equity language in the sheet is in the 2002 State policy. It covers a minimum level of service to all citizens, subsidies focused on extreme poverty, and a lifeline supply to the poor. It does not mention women, persons with disabilities or slums. If the policy is accepted as a binding instrument, the likely band is 2.5 (limited to the poor, tariff and minimum supply). Four things stop me scoring it. (1) The policy is a statement of intent ('will'), and its binding force on BWSSB is unverified. BWSSB's role is also 'to be defined'. (2) The text comes from an IELRC mirror, which is a blocked source type, so an official Government of Karnataka copy is needed. (3) The BWSSB Act 1964 excerpts show only a discretionary s.38 ('may' provide gratuitous supply) and an advisory Consultative Committee. (4) BWSSB Regulations, tariff orders and service rules, and the full Act, were not fully read, so a 0 is not supportable because absence is not affirmatively established. The team should confirm whether the policy counts as binding and find an official copy. VERIFICATION-LIMIT.
Quote: "Tariff will be structured in a manner such as to disincentives excessive consumption and wastage of water, whilst ensuring at least a minimum “life line” supply to the poor."
"Score" left blank: the Citation Sheet doesn't decide it.</t>
  </si>
  <si>
    <t xml:space="preserve">Chapter 16 (Financial analysis): 16.3 Study on Present Water and Sewerage Tariff</t>
  </si>
  <si>
    <t xml:space="preserve">16.3.1 Study on Present Water and Sewerage Tariff, (1) Domestic Water Use, Table 16.3.2 Tariff for Domestic Water Charges</t>
  </si>
  <si>
    <t xml:space="preserve">Note to Table 16.3.2: 'Slum group; free charge, Poor group; flat charge 56 INR' (PDF p.192, report p.16-13)</t>
  </si>
  <si>
    <t xml:space="preserve">192</t>
  </si>
  <si>
    <t xml:space="preserve">AI: left for a person. Step 2 found no evidence (Insufficient Evidence). Source needed: BWSSB's current water supply or sanitation master plan or DPRs, its current tariff and connection-fee concession orders (EWS/BPL/slum), slum water supply scheme documents, and design or service standards that address women, persons with disabilities and the elderly.</t>
  </si>
  <si>
    <t xml:space="preserve">BMLTA Act 2022, Comprehensive Mobility Plan section</t>
  </si>
  <si>
    <t xml:space="preserve">s.21(2)(h). The section number is inferred, because the excerpt starts mid-section.</t>
  </si>
  <si>
    <t xml:space="preserve">(h), read with (d) and (i) and the compliance proviso</t>
  </si>
  <si>
    <t xml:space="preserve">AI (low confidence), from Step 2 answer (Partially Answered) and BMTC-23: I scored this as the 2.5 band, 'limited to specific groups'. This is a provisional score with low confidence, and a person should confirm it. The only binding text I could read is the BMLTA Act. It requires the Comprehensive Mobility Plan to include accessible mobility for persons with disabilities. It also says plans of other authorities 'shall be in compliance with the Urban Mobility policies of the Authority'. That covers one group only. I found no text on women's safety, concessional fares for the urban poor, or coverage of low-income or peripheral areas. Two things weaken the score. First, the duty falls on the Authority's plan, not directly on BMTC, so it reaches BMTC only indirectly. Second, I did not read the whole Act. A score of 0 is not allowed, because these were not read: the Road Transport Corporations Act 1950, BMTC rules and regulations (BMTC-46), the concession pass orders (BMTC-13), and the Rights of Persons with Disabilities Act 2016. Reading BMTC-13 and BMTC-46 could raise the score, for example if concessional passes for women, students or seniors are mandated by binding orders. A 5 would need the considerations embedded across the core planning and delivery functions, and the evidence does not show that. The PRS copy is secondary and notes an amendment, 10 of 2026.
Quote: "(h) accessible mobility and transport for persons who are persons with benchmark disability and p erson with disability as defined under the Rights of persons with Disabilities Act, 2016 (Central Act 49 of 2016);"</t>
  </si>
  <si>
    <t xml:space="preserve">BMTC Services – Issue of Monthly Pass</t>
  </si>
  <si>
    <t xml:space="preserve">Pass rate listing (KarnatakaOne portal, last reviewed 14 July 2026)</t>
  </si>
  <si>
    <t xml:space="preserve">Pass rate list (Black Board / Sr. Citizen Black Board / Pushpak / Sr. Citizen Pushpak / Vajra)</t>
  </si>
  <si>
    <t xml:space="preserve">AI (low confidence), from Step 2 answer (Partially Answered) and BMTC-13: I left the score blank. BMTC-13 supports only part of Component 1. It lists a discounted senior-citizen pass (Rs 650 against Rs 725 for the Black Board pass, and Rs 830 against Rs 925 for the Pushpak pass). That is an affordability measure, which is 1.25 marks if it is the only Component 1 element. The sheet has no explicit route or coverage measure for an identified vulnerable group, so that element is not found. I did not read the other sources beyond the Step 2 summary. BMTC-39 and BMTC-40 give system-wide coverage statistics, which are not equity measures. BMTC-23 is a mandate on the Authority, not BMTC practice. Component 2 (women's safety, accessible design) has no BMTC-specific evidence. The sheet has no BMTC fare or concession orders, no bus specifications (low-floor, CCTV, panic buttons), no service design standards and no annual report. The sheet does not show that these are absent, so a 0 is not justified. A reviewer needs to find the BMTC concession orders (students, persons with disabilities, women, including any Shakti scheme), the bus specifications and the annual report. Provisional range: Component 1 is about 1.25 and Component 2 is undetermined. VERIFICATION-LIMIT applies to the mybmtc.com pages, which are not in the sheet.
Quote: "Sr. Citizen Black Board Pass Rs 650/-"
"Score" left blank: the Citation Sheet doesn't decide it.</t>
  </si>
  <si>
    <t xml:space="preserve">Chapter V (Sewerage); also Chapter IV (Water Supply)</t>
  </si>
  <si>
    <t xml:space="preserve">Section 74 (Appointment of places for the emptying of sewers and disposal of sewage); supporting: Sections 49, 50, 52</t>
  </si>
  <si>
    <t xml:space="preserve">Section 74, second proviso</t>
  </si>
  <si>
    <t xml:space="preserve">32</t>
  </si>
  <si>
    <t xml:space="preserve">AI: left for a person. Step 2 found no evidence (Human Verification Required). Source needed: Full authoritative text of the BWSSB Act 1964 as amended, with BWSSB Rules and Regulations. Karnataka State Water Policy. Any binding instrument on groundwater, source protection or wastewater reuse that applies to BWSSB. An official .gov.in copy of the 2002 policy.</t>
  </si>
  <si>
    <t xml:space="preserve">Presentation by Chief Engineer, BWSSB (undated; uses 2024 projections)</t>
  </si>
  <si>
    <t xml:space="preserve">Pages 14-15 (actions to mitigate water demand; reuse of treated wastewater), p.24 (rainwater harvesting), p.31 (Jakkur AWTP), p.37 (KMDCRP objectives)</t>
  </si>
  <si>
    <t xml:space="preserve">Slide 15, first bullet</t>
  </si>
  <si>
    <t xml:space="preserve">15</t>
  </si>
  <si>
    <t xml:space="preserve">AI (low confidence), from Step 2 answer (Partially Answered) and BWSSB-12: Score 3.75 = Component 1 at 1.25 + Component 2 at 2.5.
Component 2 (2.5): BWSSB's own presentation gives specific operational measures. It reports 850 MLD of 1300 MLD treated wastewater reused and tertiary treatment plants supplying non-potable users. A 60 MLD STP at K&amp;C Valley has power generation (p.22). KMDCRP objectives include tertiary treatment to NGT norms, reuse, drought management with lake filling, and flash-flood avoidance. p.36 gives a wastewater treatment gap analysis for the 110 villages.
Component 1 (1.25): There are source and conservation measures, namely mandatory rainwater harvesting (1.88 lakh buildings), the Jakkur AWTP to reduce dependence on fresh water, and Arkavathi/TG Halli rejuvenation. Loss reduction appears only as a listed action, 'NRW REDUCTION IN DISTRIBUTION' (p.14), with NRW at 28% (p.11). No explicit NRW target or programme detail was seen. I gave one half of the component, treating the evidence as the source measure only. If the NRW line is accepted as a programme, Component 1 would be 2.5 and the total 5.
Limits: No formal current water supply plan or annual report is in the Citation Sheet. The presentation is undated (it uses 2024 projections). The JICA 2017 report reflects consultant proposals, not an adopted plan. A person should confirm whether the presentation counts as the Board's latest plan and confirm its date.
Quote: "850 MLD out of 1300 MLD treated waste water is being reused."</t>
  </si>
  <si>
    <t xml:space="preserve">Section 25(1)(c), read with s.2(aa), s.14(1)(a), s.14(1)(e) and s.24(a)</t>
  </si>
  <si>
    <t xml:space="preserve">s.25(1)(c), last sentence</t>
  </si>
  <si>
    <t xml:space="preserve">AI: left for a person. The AI's quote couldn't be found word for word in BMTC-23, so its answer was discarded. AI comments: I left the score blank. The only binding instrument in the sheet that mentions environmental sustainability in urban transport is the BMLTA Act 2022. It places its duties on the Authority, which must promote sustainable urban transport through the Comprehensive Mobility Plan (s.14(1)(a)). Any duty on BMTC is indirect. It would arise only if BMTC counts as an 'Urban Transport Agency'. That agency is bound by the Authority's standards (s.14(1)(e)) and prepares sectoral investment programmes in line with the CMP (s.2(v)). I did not read the definition of 'Urban Transport Agency', s.24, or any provision that names BMTC as one. I also could not confirm that the Act is in force or that regulations have been made under it. BMTC's own governing law is not in the sheet: the Road Transport Corporations Act 1950, the Karnataka rules and notifications that constitute BMTC, and any government order on its environmental or electric-bus mandate. Because of this, a score of 0 cannot be supported, as absence is not affirmatively shown. A score of 5 or 2.5 would need a provision that binds BMTC directly. A person should check whether BMTC is an Urban Transport Agency under the BMLTA Act, and should check BMTC's governing instruments. BMTC-39 and BMTC-34 are non-official studies and are not binding instruments.</t>
  </si>
  <si>
    <t xml:space="preserve">UITP Working Paper – Fleet Wide Transition to Zero Emission Buses: A Roadmap for the City of Bengaluru (August 2023) [BMTC-39]</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</si>
  <si>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</si>
  <si>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</si>
  <si>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</si>
  <si>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</si>
  <si>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https://www.uitp.org/wp-content/uploads/sites/7/2025/04/Working-Paper_Fleet-Wide-Transition.pdf</t>
  </si>
  <si>
    <t xml:space="preserve">AI: left for a person. Step 2 found no evidence (Insufficient Evidence). Source needed: BMTC's own current fleet plan, route/network plan, sustainability policy or latest annual report, or an official order adopting an e-bus transition target. It would also need evidence of modal-integration measures such as common ticketing, metro interchange or depot energy efficiency.</t>
  </si>
  <si>
    <t xml:space="preserve">Schedule I (Core Functions), GBA Act 2024</t>
  </si>
  <si>
    <t xml:space="preserve">Schedule I Core Functions (1)(v); BWSSB Act 1964 s.15(1) (via mirror BWSSB-04)</t>
  </si>
  <si>
    <t xml:space="preserve">Schedule I(1)(v) and (vi)</t>
  </si>
  <si>
    <t xml:space="preserve">134</t>
  </si>
  <si>
    <t xml:space="preserve">AI (low confidence), from Step 2 answer (Partially Answered) and BWSSB-29: Score left blank. The scenario looks like B. Schedule I of the Greater Bengaluru Governance Act (the ULG law) assigns water supply to the City Corporations in full. BWSSB Act s.15(1) gives the Board a general duty of water supply and sewerage, and I found no explicit aspect, area or scale carve-out. That would point to 0 under B. But 0 needs affirmative absence, and that is not met. (1) The BWSSB Act text in the sheet is only a FAOLEX mirror (blocked), with no official Karnataka copy. (2) No BWSSB Rules, regulations or bye-laws are in the sheet. (3) It is unresolved whether the City Corporations or GBA have been substituted for the Act's 'Corporation'. (4) Scenario B versus C is ambiguous, because the Corporation's 'unfiltered water supply for non-domestic uses' and the surface-drain versus sewerage split could be read as a partial devolution. GBA Act s.14(4) also gives the GBA binding supervision of BWSSB. A person should check an official copy of the BWSSB Act and Rules and decide B or C. VERIFICATION-LIMIT. The GBA Act text is a PRS copy (secondary), covering the Gazette text of 24.04.2025 (GBA era).
Quote: "(v) Water supply for domestic, industrial and commercial purposes;"
"Score" left blank: the Citation Sheet doesn't decide it.</t>
  </si>
  <si>
    <t xml:space="preserve">AI: left for a person. Step 2 found no evidence (Insufficient Evidence). Source needed: The Road Transport Corporations Act, 1950, as applied in Karnataka, and any BMTC rules or notifications. The Greater Bengaluru Governance Act, 2024, with its functions schedule showing whether public transport or bus services are assigned to the GBA or City Corporations. The Karnataka Municipal Corporations Act, 1976, for the same function.</t>
  </si>
  <si>
    <t xml:space="preserve">Chapter III (GBA functions) – Planning Functions</t>
  </si>
  <si>
    <t xml:space="preserve">s.14(2)(a), GBA Act 2024 (Act 36 of 2025)</t>
  </si>
  <si>
    <t xml:space="preserve">s.14(2)(a)</t>
  </si>
  <si>
    <t xml:space="preserve">14</t>
  </si>
  <si>
    <t xml:space="preserve">AI (low confidence), from Step 2 answer (Partially Answered) and BDA-11: I left the score blank. The provisional scenario is B, because planning and development is assigned to the ULG side (GBA and the City Corporations) and also to BDA. This rests on the Step 2 answer and the GBA Act excerpt. I did not read the BDA Act, the KTCP Act or the rest of the GBA Act in this review. A score of 0 would need affirmative absence of any carve-out, and I did not establish that. Items still unchecked: the GBA Act's repeal, savings and schedule provisions; whether BDA's planning-authority status survives the 'notwithstanding any other law' wording in s.14(2); and whether s.15(5) lets GBA assign infrastructure planning to public authorities, which may distinguish the roles. The Karnataka Municipal Corporations Act was not checked. The sources are PRS copies, not official gazette copies. RUBRIC: Scenario B scores 0 only if no explicit distinction exists; that is not yet confirmed, so a human should decide.
Quote: "the Greater Bengaluru Authority shall be the “Planning Authority” as defined under the Karnataka Town and Country Planning Act, 1961, for the areas comprising of the Greater Bengaluru Area;"
"Score" left blank: the Citation Sheet doesn't decide it.</t>
  </si>
  <si>
    <t xml:space="preserve">Chapter III – Greater Bengaluru Authority</t>
  </si>
  <si>
    <t xml:space="preserve">s.14(4) Co-ordination and Supervision of Public Authorities; also s.8, s.112(1)</t>
  </si>
  <si>
    <t xml:space="preserve">s.14(4)</t>
  </si>
  <si>
    <t xml:space="preserve">AI (low confidence), from Step 2 answer (Partially Answered) and BMRCL-34: Score left blank because the methodology can't be applied from the Citation Sheet. (1) Devolution scenario (A/B/C) is undetermined. The GBA Act's First Schedule, which lists the City Corporations' core functions, was not in the excerpts I read. So I can't tell whether metro rail or urban transport is devolved to the City Corporations. s.112(1) is discretionary: the Corporation 'may' undertake State-domain functions, which 'may include' urban transport. (2) BMRCL has no state parastatal Act in the sheet. It is a 50:50 central/state Government company, governed by the central Metro Railways Acts and its Memorandum and Articles of Association. The Step 3 carve-out test needs a parastatal instrument that assigns BMRCL's functions, and none is in the sheet. The BMRCL Memorandum and Articles are not in the sheet. (3) s.14(4) gives the Greater Bengaluru Authority a binding supervision and coordination role over BMRCL, so Scenario A (no ULG claim) is not clearly supported either. s.8(1) says civic authorities act in their specific domains, but that does not carve out BMRCL's role. (4) I haven't verified the BMLTA Act 2022 (BMRCL-35) in full or the 2025 Amendment Bill (BMRCL-46). The GBA Act copy is from PRS, a secondary source, and its version date isn't stated. It is not affirmative absence of a demarcation, so I don't score 0. A person should check the First Schedule and whether the rubric fits a central-Act joint-venture company. Era: GBA-era.
Quote: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"Score" left blank: the Citation Sheet doesn't decide it.</t>
  </si>
  <si>
    <t xml:space="preserve">Chapter III – Powers and Functions of the Authority</t>
  </si>
  <si>
    <t xml:space="preserve">s.9(1)(ix); also ss.10, 18, 19, 28</t>
  </si>
  <si>
    <t xml:space="preserve">9(1)(ix)</t>
  </si>
  <si>
    <t xml:space="preserve">11</t>
  </si>
  <si>
    <t xml:space="preserve">AI (low confidence), from Step 2 answer (Partially Answered) and BMRDA-08: Score left blank. The question names no specific function. The devolution scenario (A/B/C) cannot be set from the sheet. BMRDA's role is regional planning and coordination, not a service. The BMRDA Act s.9(1)(ix) and s.18 give BMRDA coordination and directive powers over the Corporation, BDA and BWSSB. GBA Act s.14(4) gives GBA integration and supervision powers over similar bodies, with binding directions. This may be an overlap, which would score 0. It could also be read as a regional versus local split, which would score 5. No provision found expressly separates the two roles or says which prevails. BMRDA Act s.28 overrides inconsistent laws, but it predates the GBA Act. The BMRDA Act still names the 'Corporation of the City of Bangalore'. The sheet does not show GBA substituted for it. The Municipal Act (KMC Act) function schedule was not read in full. BMRDA Rules and Regulations are not in the sheet. The KTCP Amendment Bill 2025 is a bill only. The BMRDA Act copy is an unofficial host (India Water Portal), amended up to Act 8 of 2005. The GBA Act copy is from PRS, which is secondary. Affirmative absence is not established, so a human should confirm. Era: GBA-era. RUBRIC-GAP on the function tested.
Quote: "(ix) to co-ordinate the activities of the Bangalore Development Authority, the Corporation of the City of Bangalore, the Bangalore Water Supply and Sewerage Board, the Karnatka Slum Clearance Board, the Karnataka Electricity Board"
"Score" left blank: the Citation Sheet doesn't decide it.</t>
  </si>
  <si>
    <t xml:space="preserve">Chapter I Preliminary</t>
  </si>
  <si>
    <t xml:space="preserve">Section 2(1); Schedule (to s.24)</t>
  </si>
  <si>
    <t xml:space="preserve">s.2(1)</t>
  </si>
  <si>
    <t xml:space="preserve">7</t>
  </si>
  <si>
    <t xml:space="preserve">AI (low confidence), from Step 2 answer (Partially Answered) and BWSSB-04: I left the score blank. The sheet's only copy of the BWSSB Act is the FAOLEX PDF, which is a blocked mirror and so a lead only. I found no official allowed-domain copy of the Act. Read as it stands, s.2(1) defines the area as 'the area of the Bangalore District urban' plus adjacent areas the State Government notifies. That is general wording, and the Act has no boundary schedule or map. Its only Schedule is a table of asset lives for s.24. On that reading the case would sit in the 2.5 band. Three checks are still missing. First, an official copy of the Act. Second, any gazette notification of added areas under s.2(1). Third, the BWSSB website or a GBA-era notification showing the current boundary. A person should also decide whether 'Bangalore District urban' counts as specific enough, because a district-urban-area definition might be argued to fit the 5 band. The Act still refers to the 'Municipal Corporation of the City of Bangalore', and no official source in the sheet shows the Greater Bengaluru Authority or the City Corporations substituted for it. BWSSB-12 is an undated presentation and is practice-level evidence, not law. A 0 is not supported because the Act does define an area.
Quote: "‘Bangalore Metropolitan Area’ means the area of the Bangalore District urban and includes such other areas adjacent thereto as the State Government may by notification from time to time specify;"
"Score" left blank: the Citation Sheet doesn't decide it.</t>
  </si>
  <si>
    <t xml:space="preserve">AI: left for a person. Step 2 found no evidence (Insufficient Evidence). Source needed: The Road Transport Corporations Act, 1950 (as applied in Karnataka) and the State notification establishing BMTC and defining its area or jurisdiction. Any later gazette notifications on its area would also help, as would BMTC's official website, if the team can confirm it is official.</t>
  </si>
  <si>
    <t xml:space="preserve">Section 2(c)</t>
  </si>
  <si>
    <t xml:space="preserve">definition of 'Bangalore Metropolitan Area'</t>
  </si>
  <si>
    <t xml:space="preserve">AI (low confidence), from Step 2 answer (Partially Answered) and BDA-02: I left the score blank because the Citation Sheet can't separate 2.5 from 5. The BDA Act, s.2(c), defines the territory only by cross-reference. It points to the City of Bangalore under the 1949 Corporation Act, to the area of the 1945 Improvement Act, and to adjacent areas the Government may notify. In the text I read, the BDA Act has no Schedule, boundary description or map of its own. That points to 2.5 (general terms). But the 1949 and 1945 Acts are not in the Sheet. They might contain a boundary description or schedule, and a definition by incorporation could arguably count as specific. The gazette notifications that extend the area, and the BDA website, are also missing. The methodology asks for these cross-checks. The PRS copy is secondary, and its amendments run only up to 2005 in the header I saw. It may not be current. The 1949 Act may also have been superseded by the Greater Bengaluru Governance Act 2024, and no official source in the Sheet shows how the two relate. This is not a case of affirmative absence, so I can't score 0. I would provisionally say 2.5 with low confidence. A person should check the 1949 Act's boundary schedule and the notifications. If they supply a specific boundary, the score would rise to 5.
Quote: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
"Score" left blank: the Citation Sheet doesn't decide it.</t>
  </si>
  <si>
    <t xml:space="preserve">The Metro Railways (Operation and Maintenance) Act, 2002 (updated text, hosted by the Commission of Railway Safety, Government of India) [BMRCL-15]</t>
  </si>
  <si>
    <t xml:space="preserve">Chapter I – Preliminary</t>
  </si>
  <si>
    <t xml:space="preserve">Section 1(2) (extent, as substituted by Act 34 of 2009); also Section 2(1)(h), 2(1)(ha), 2(1)(i)(A); Sections 3(1) and 5</t>
  </si>
  <si>
    <t xml:space="preserve">Section 1(2)</t>
  </si>
  <si>
    <t xml:space="preserve">https://crs.gov.in/wp-content/uploads/2024/03/THE-METRO-RAILWAYS-OPERATION-AND-MAINTENANCE-ACT-2002.pdf</t>
  </si>
  <si>
    <t xml:space="preserve">AI: left for a person. Step 2 found no evidence (Insufficient Evidence). Source needed: BMRCL Memorandum of Association and certificate of incorporation, Metro Railways (Construction of Works) Act 1978 and the Karnataka/GoI notifications applying them to Bengaluru, and any gazette or official BMRCL website description of the project area.</t>
  </si>
  <si>
    <t xml:space="preserve">Chapter I (Preliminary)</t>
  </si>
  <si>
    <t xml:space="preserve">Section 2(c); Section 3(1)</t>
  </si>
  <si>
    <t xml:space="preserve">2(c)</t>
  </si>
  <si>
    <t xml:space="preserve">AI (low confidence), from Step 2 answer (Partially Answered) and BMRDA-08: I left the score blank. The Act defines the region by naming two districts plus "such other areas as the State Government may, from time to time, by notification, specify". That is more than a bare "notified area", because it names districts. It is not a boundary description, schedule or map reference in the Act, which are the 5-point features. The text read shows no Schedule. The evidence therefore sits between the 2.5 band and the 5 band, and I did not interpolate. The rubric does not say whether named districts count as a specific definition, so a person must decide. Other limits: (1) the Act text comes from an unofficial host (India Water Portal), so it is not on the allow-list. (2) The current jurisdiction notification and map linked on the BMRDA website were not read. They are the cross-check the methodology requires. (3) Both district names date from the 2005 amendment, and the current district arrangement was not checked. (4) I did not read the full GBA Act or the TCP Act for jurisdiction provisions. Because of these gaps, absence is not established, so 0 is not supportable. Next step: a person should open the notification and map on the BMRDA site and decide between 2.5 and 5.
Quote: ""Bangalore Metropolitan Region" means the area comprising the Bangalore District and 1[Bangalore Rural District] 1 and such other areas as the State Government may, from time to time, by notification, specify;"
"Score" left blank: the Citation Sheet doesn't decide it.</t>
  </si>
  <si>
    <t xml:space="preserve">Chapter II (Constitution of the Board)</t>
  </si>
  <si>
    <t xml:space="preserve">Section 3(2)-(5), Section 14</t>
  </si>
  <si>
    <t xml:space="preserve">3(5)</t>
  </si>
  <si>
    <t xml:space="preserve">AI (low confidence), from Step 2 answer (Partially Answered) and BWSSB-04: Score left blank. The Act text (FAOLEX copy, a blocked mirror, with amendments visible only up to 1966) says the board has 3-7 members appointed by the State Government. Three are qualification-based members and one of them is the Chairman. Section 3(5) disqualifies anyone who is, or within the last 12 months was, a member of a local authority. This points to no seat for ULG-elected representatives, which would be 0. A 0 needs affirmative absence, and that is not established. The sheet has no official consolidated Act, no Rules or amendment notifications and no current board list. The 2017 JICA report says the board included BBMP representatives, which conflicts with the Act. It does not say whether they were elected or had voting rights. The GBA Act 2024 was only partly read. Section 14's Consultative Committee is advisory and is not the governing board. To resolve this, a person should check an official current Act text and the current board notification, including how BBMP is read after the GBA Act. Until then the inputs are not settled. Confidence is low.
Quote: "A person shall be disqualified from being appointed or being a member of the Board if he is, or within the twelve months last preceding was, a member of Parliament or of any State Legislature or any local authority."
"Score" left blank: the Citation Sheet doesn't decide it.</t>
  </si>
  <si>
    <t xml:space="preserve">AI: left for a person. Step 2 found no evidence (Insufficient Evidence). Source needed: The Road Transport Corporations Act, 1950 (section on Corporation management and board composition), the notification or rules constituting the BMTC board, BMTC's Articles or bye-laws, and the current board member list (for example from the BMTC annual report or website). These would show whether GBA or City Corporation elected representatives are directors, and whether they vote.</t>
  </si>
  <si>
    <t xml:space="preserve">Chapter II – Establishment of the Authority</t>
  </si>
  <si>
    <t xml:space="preserve">Section 3(3)(l), proviso; s.8(4)</t>
  </si>
  <si>
    <t xml:space="preserve">3(3)(l)</t>
  </si>
  <si>
    <t xml:space="preserve">AI (low confidence), from Step 2 answer (Partially Answered) and BDA-02: The BDA Act text in BDA-02 supports a legal design that would score 5. Two seats go to persons elected by the councillors of the 'Bangalore City Corporation'. Members vote under s.8(4) by 'a majority of the votes of the members present and voting'. I left the score blank for three reasons. (1) The Act names the pre-GBA 'Bangalore City Corporation'. The Sheet has no official source showing the GBA or the City Corporations substituted for it, under the Greater Bengaluru Governance Act 2024 or any later amendment. (2) The proviso to s.3(3)(l) gives the seats to officers nominated by an Administrator when the Corporation is superseded or an Administrator is in place. That would not be elected representation, and the Sheet does not show which situation applies now. (3) The notes for scorers require the current board member list, and there is none in the Sheet. The s.3(6) notification and the Rules on the manner of election are also missing. Both Act copies are PRS secondary copies. The methodology gives no band for this uncertainty, so a person should confirm the substitution and the current board list before scoring. If the elected-councillor seats are confirmed as operative, the score would be 5.
Quote: "(l) two persons elected by the councillors of the Bangalore City Corporation from among themselves in the prescribed manner"
"Score" left blank: the Citation Sheet doesn't decide it.</t>
  </si>
  <si>
    <t xml:space="preserve">Corporate Governance Report</t>
  </si>
  <si>
    <t xml:space="preserve">Constitution of the Board / Composition of the Board (as on 31 March 2021)</t>
  </si>
  <si>
    <t xml:space="preserve">Report pp. 45-46 (PDF pages 47-48): Articles of Association board strength and promoter-government nomination rights; board as on 31.03.2021</t>
  </si>
  <si>
    <t xml:space="preserve">47</t>
  </si>
  <si>
    <t xml:space="preserve">AI (low confidence), from Step 2 answer (Partially Answered) and BMRCL-01: I left the score blank. BMRCL is a Government Company held 50:50 by GoI and GoK. Its Board of Directors has the two Governments each nominating five directors. The FY 2020-21 report shows a 12-member board. The directors named by office are GoI or GoK officials (MoHUA Joint Secretary, Additional Chief Secretaries of the Urban Development and Finance departments, and the Development Commissioner). No Mayor, Councillor or BBMP/GBA nominee appears by designation. That fits band 0, but a 0 needs affirmative absence, and the sheet does not give it. The sheet has no current board list and no Articles of Association. Three directors (Saberwal, Nagaraj, Ramana Reddy) have no designation in the extracts I read. The sheet also has no GBA-era board list. I did not read the Greater Bengaluru Governance Act 2024 in full. The Metro Rail Policy 2017 only recommends considering a local-body stake, which is advisory. A person should check the current board list and the Articles. If neither shows an elected ULG representative, the score would be 0. Confidence is low because the evidence is dated (FY 2020-21) and incomplete.
Quote: "Both the Governments have the right to nominate five (5) Directors each on the Board of Directors."
"Score" left blank: the Citation Sheet doesn't decide it.</t>
  </si>
  <si>
    <t xml:space="preserve">Chapter II</t>
  </si>
  <si>
    <t xml:space="preserve">Section 3(3)(d), (v)-(w); Section 5(4)</t>
  </si>
  <si>
    <t xml:space="preserve">3(3)(d)</t>
  </si>
  <si>
    <t xml:space="preserve">6</t>
  </si>
  <si>
    <t xml:space="preserve">AI (low confidence), from Step 2 answer (Partially Answered) and BMRDA-08: Score left blank. The Act text in the sheet comes from India Water Portal, which is not an allow-listed source, so it can only be a lead. It gives the Mayor of the Corporation of the City of Bangalore a seat on the Authority. Section 5(4) says questions are decided by 'the votes of the members present and voting'. On its face this fits the 5 band (ULG-elected representative with vote). It also lists four members from local authorities under s.3(3)(w). However, 'Corporation of the City of Bangalore' is BBMP-era wording. The Greater Bengaluru Governance Act 2024 created the GBA and City Corporations, and the sheet shows no official substitution for the Mayor seat. There is also no official copy of the BMRDA Act, no BMRDA rules or amendment notifications on board composition, and no current board list. Needed before scoring: (1) the official BMRDA Act PDF linked from the BMRDA site; (2) the GBA Act provisions on substitution, or an amendment to s.3; (3) the current board composition. If the Mayor seat is confirmed to survive, or to be substituted by a City Corporation or GBA elected head with a vote, the score would be 5. VERIFICATION-LIMIT applies to the official copy.
Quote: "(d) the Mayor, Corporation of the City of Bangalore"
"Score" left blank: the Citation Sheet doesn't decide it.</t>
  </si>
  <si>
    <t xml:space="preserve">Chapter III (Finance, Accounts and Audit); Chapter VI (Miscellaneous)</t>
  </si>
  <si>
    <t xml:space="preserve">ss.14(5), 17(1)-(3), 86(1)-(2)</t>
  </si>
  <si>
    <t xml:space="preserve">s.17(1) budget goes to the State Government; s.17(3) the State Government lays it before the State Legislature; s.86(1)-(2) annual and activities reports go to the State Government and the Legislature; s.86(3) scheme particulars go to the State Government</t>
  </si>
  <si>
    <t xml:space="preserve">AI (low confidence), from Step 2 answer (Partially Answered) and BWSSB-04: Score left blank. In the BWSSB Act 1964 (FAOLEX copy, amended to at least 1966), I found no provision requiring BWSSB to submit or table plans, budgets or reports before the ULG/council. Budget: s.17(1) sends the annual financial statement to the State Government, and s.17(3) has the State Government lay it before the State Legislature. Annual report: s.86(1)-(2) sends it to the State Government, and the report is laid before the State Legislature. Plans: no provision seen. s.14(5) places the annual financial statement before the Consultative Committee. The State Government appoints that Committee after consulting the Municipal Corporation of the City of Bangalore, among others, so it is not the ULG or council. The Methodology says submission only to the State Government does not count. A score of 0 needs affirmative absence, and that is not established. I did not read the BWSSB Rules or Regulations. I did not read the full text of the Act and its later amendments. I did not read the Karnataka municipal Acts or other state laws that apply to BWSSB. Check three things. First, whether the GBA or City Corporations are substituted for the Municipal Corporation of the City of Bangalore. Second, whether the Greater Bengaluru Governance Act 2024 (BWSSB-29) contains any BWSSB reporting duty to the ULG. The Step 2 answer says its ss.19, 21 and 22 do not. Third, the BWSSB Rules and Regulations. If all of these show nothing, the likely score is 0.
Quote: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</si>
  <si>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AI: left for a person. Step 2 found no evidence (Insufficient Evidence). Source needed: Text of the Road Transport Corporations Act, 1950, and rules made under it, covering budget, annual report and plan clauses. Also the GBA Act 2024 provisions on public authorities reporting to the GBA or city corporations. Also any BMTC notification.</t>
  </si>
  <si>
    <t xml:space="preserve">Chapter V – Property and Finance</t>
  </si>
  <si>
    <t xml:space="preserve">ss.18, 42-44, 47, 47A</t>
  </si>
  <si>
    <t xml:space="preserve">s.44; s.47(5); s.47A</t>
  </si>
  <si>
    <t xml:space="preserve">43</t>
  </si>
  <si>
    <t xml:space="preserve">AI (low confidence), from Step 2 answer (Partially Answered) and BDA-02: I left the score blank. In the BDA Act, every submission duty I found runs to the State Government or the State Legislature, not to the ULG or its council. Plans go to the Government for sanction under s.18. Budget estimates go to the Government under s.44. Audited accounts go to the State Government and the Legislature under s.47(5). Reports go to the State Government under s.47A. This follows the Step 2 reading of BDA-02, which I checked against the text. A 0 needs affirmative absence, and the sheet does not give it. The BDA Rules and Regulations are not in the sheet. The GBA Act is only partly reviewed, and I did not check whether it covers BDA or substitutes the GBA or City Corporations for the old Corporation. The PRS consolidated BDA Act is undated and may predate later amendments. If the team confirms that no other instrument requires submission to the ULG or council, the score would be 0 (all three components absent). Confidence is low because the absence is not fully established.
Quote: "The estimate, as approved by the Authority, shall be  submitted to the Government which may, either sanction or disallow such estimate or any portion thereof  and return the same for amendment."
"Score" left blank: the Citation Sheet doesn't decide it.</t>
  </si>
  <si>
    <t xml:space="preserve">Chapter III (Greater Bengaluru Authority)</t>
  </si>
  <si>
    <t xml:space="preserve">s.19(1); ss.21-22</t>
  </si>
  <si>
    <t xml:space="preserve">s.19(1)</t>
  </si>
  <si>
    <t xml:space="preserve">AI (low confidence), from Step 2 answer (Partially Answered) and BMRCL-34: I left the score blank. I found no provision requiring BMRCL to submit or table plans, budgets or annual/performance reports before the ULG or a council. The provisions I did find run elsewhere. GBG Act s.19(1) lets the State Government call for reports. It is a 'may call for' entitlement, and it runs to the State, not the ULG. ss.21-22 bind the Greater Bengaluru Authority (GBA), not BMRCL. The Metro Railways Act 2002 reports go to the Central Government and Parliament. The BMRCL Annual Report is laid before the State Legislative Council, which is the legislature and not the ULG. BMRCL is a Government Company with no dedicated enabling Act in the sheet. Its Articles of Association, the Companies Act provisions, the full GBG Act and its Rules were not fully read. A 0 therefore needs affirmative absence, which I cannot show, so the result is 'not found' and not 0. If the team confirms the full instrument stack has no such provision, the score would be 0. Please also confirm whether BMRCL counts as a parastatal for this question.
Quote: "The Government shall be entitled to call for periodic reports from such Public Authorities, agencies and departments of the Government discharging municipal functions in the Greater Bengaluru Area"
"Score" left blank: the Citation Sheet doesn't decide it.</t>
  </si>
  <si>
    <t xml:space="preserve">Chapter IV (Finance, accounts and audit)</t>
  </si>
  <si>
    <t xml:space="preserve">BMRDA Act 1985 ss.12, 13, 16(3), 31 (inserting s.81-C into the KTCP Act)</t>
  </si>
  <si>
    <t xml:space="preserve">s.12 (Budget); s.13 (Annual report)</t>
  </si>
  <si>
    <t xml:space="preserve">12</t>
  </si>
  <si>
    <t xml:space="preserve">AI (low confidence), from Step 2 answer (Partially Answered) and BMRDA-08: I left the score blank. The BMRDA Act text in the Sheet gives no duty to submit or table plans, budgets or reports before the ULG or council. Section 12 sends the budget to the State Government. Section 13 sends the annual report to the State Government, which lays it before the State Legislature. Section 16(3) sends the audited accounts to the State Government. Section 31 inserts s.81-C into the KTCP Act. It routes Planning Authorities' development plans to the State Government through BMRDA, which is not a submission to the ULG. Submission only to the State Government or the Legislature does not count. A score of 0 needs affirmative absence, and the Sheet does not support that. It has no BMRDA Rules or Regulations, even though ss.12 and 13 leave the form and timing to be prescribed. The host copy is the unofficial India Water Portal PDF, and its amendment date is not stated. I did not fully check the GBA Act for provisions naming BMRDA. A person should check the Rules and the GBA Act. If they show no ULG duty, the score is 0 (all three components absent). Confidence is low because the score is blank.
Quote: "The Authority shall prepare, every year, in such form and at such time as may be prescribed, an annual budget estimate in respect of the next financial year showing the estimated receipts and disbursements of the Authority and shall submit a copy thereof to the State Government."
"Score" left blank: the Citation Sheet doesn't decide it.</t>
  </si>
  <si>
    <t xml:space="preserve">ENTER A NUMBER 0 TO 10</t>
  </si>
  <si>
    <t xml:space="preserve">Why Use KarnatakaOne for Water Bill Payment in Bangalore?</t>
  </si>
  <si>
    <t xml:space="preserve">KarnatakaOne 'BWSSB Service' page: closing line pointing to BWSSB's website</t>
  </si>
  <si>
    <t xml:space="preserve">Page footer: 'Last reviewed and updated on 14 July, 2026' (this date is for the KarnatakaOne page)</t>
  </si>
  <si>
    <t xml:space="preserve">AI (low confidence), from Step 2 answer (Partially Answered) and BWSSB-25: The score is left blank. VERIFICATION-LIMIT. The KarnatakaOne page, which sits on a gov.in domain, points to www.bwssb.org as BWSSB's website. That shows the site exists. The Citation Sheet has no fetched copy of bwssb.org itself. So I cannot tell whether it opens without error, or whether it has content dated within the last 12 months. The 'Last reviewed and updated on 14 July, 2026' line refers to the KarnatakaOne portal, not to BWSSB's site. A score of 0 would need affirmative absence of a website, and that is not the case. A score of 10 needs the live check. A reviewer should open bwssb.org, look for a dated notice, circular or tender from the last 12 months, record the date of the check, and capture a screenshot or web-archive link.
Quote: "Visit [http://www.bwssb.org/] www.bwssb.org for more details."
"Score" left blank: the Citation Sheet doesn't decide it.</t>
  </si>
  <si>
    <t xml:space="preserve">Website footer (Contact Us page)</t>
  </si>
  <si>
    <t xml:space="preserve">Footer: Last Updated; Content Owned and maintained by BMTC</t>
  </si>
  <si>
    <t xml:space="preserve">Footer: 'Last Updated' date and 'Content Owned and maintained by' line</t>
  </si>
  <si>
    <t xml:space="preserve">AI (medium confidence), from Step 2 answer (Answered — Verified Source) and BMTC-44: The saved Contact Us page (BMTC-44) is from mybmtc.karnataka.gov.in, a .gov.in domain. The footer says 'Content Owned and maintained by: Bengaluru Metropolitan Transport Corporation, Government of Karnataka'. It also says 'Designed, Developed &amp; Hosted by: Centre for e-governance'. The sitemap link is https://mybmtc.karnataka.gov.in/sitemap/en. The saved body is human-readable, so I treat the page as opening without error. The footer shows 'Last Updated: 30-09-2026', which is within 12 months of the September 2026 rules version. I score 10 on that basis. Caveats: the footer date may be generated by the template. The excerpt has no dated notice or circular. The capture date is not recorded. No archived screenshot or web-archive link is in the sheet. A reviewer should open the live site, record the date of the check, and capture a screenshot or archive link. They should also look for a dated notice or circular to confirm the content is current.
Quote: "Last Updated: 30-09-2026"</t>
  </si>
  <si>
    <t xml:space="preserve">AI: left for a person. Step 2 found no evidence (Insufficient Evidence). Source needed: A fetched, human-readable copy of the BDA's official website homepage, showing recent dated notices or circulars. It would need a date of check and an archive capture or screenshot. The site's official status would need proof, such as a link from a .gov.in page or its naming in a Government Order.</t>
  </si>
  <si>
    <t xml:space="preserve">Board's Report; Corporate Governance Report</t>
  </si>
  <si>
    <t xml:space="preserve">Corporate Governance Report, item 7 'Company's Website'; Board's Report sections on Risk Management, Vigil Mechanism and BMRC Newsletter</t>
  </si>
  <si>
    <t xml:space="preserve">Annual Report FY 2020-21, pp. 40, 42, 55-56</t>
  </si>
  <si>
    <t xml:space="preserve">42</t>
  </si>
  <si>
    <t xml:space="preserve">AI (low confidence), from Step 2 answer (Partially Answered) and BMRCL-47: VERIFICATION-LIMIT / not scored. DPG4 is a point-in-time check of the BMRCL site. It needs the site to exist, open without error, and show content updated within 12 months. It also needs a verification date and an archived capture. The Citation Sheet has no capture of any BMRCL website. BMRCL-47 is the DULT index page, which only links to https://kannada.bmrc.co.in/. The 'Last Updated: 2026-10-09' on that page belongs to the DULT site, not to BMRCL. BMRCL-01 (FY2020-21) mentions an official website and tenders hosted on it, but that is old and shows nothing about the current state. I did not check whether the main domain is the kannada.* subdomain or another one. This is not affirmative absence, so the score is not 0. A reviewer should open the official BMRCL site and confirm the domain. They should also confirm that dated notices or tenders fall within the last 12 months, and record the check date and an archive link.
Quote: "[https://kannada.bmrc.co.in/] ## BMRCL ## BMRCL"
"Score" left blank: the Citation Sheet doesn't decide it.</t>
  </si>
  <si>
    <t xml:space="preserve">Home page (English), Department Documents / Notifications sections</t>
  </si>
  <si>
    <t xml:space="preserve">Website existence and currency check (DPG4)</t>
  </si>
  <si>
    <t xml:space="preserve">Department Documents list item: Rules, 2026; Latest News item 1: 'CA Site Paper Notification – 2 months ago'</t>
  </si>
  <si>
    <t xml:space="preserve">AI (medium confidence), from Step 2 answer (Answered — Verified Source) and BMRDA-02: I scored 10. The BMRDA website (bmrda.karnataka.gov.in) is official. The footer reads 'Content Owned and maintained by: Bengaluru Metropolitan Region Development Authority(BMRDA), Government of Karnataka', and the site is hosted on a gov.in domain by the Centre for e-governance. The saved English home page, the Kannada home page and the Local Planning Areas page all loaded with body text. Dated content within the last 12 months is on the page: newspaper-notice PDFs named 'DH_Bengaluru _20260729', 'EPaper-Bangalore_30-07-2026' and 'NIE Bengaluru 29-07-2026'. There is also a 'CA Site Paper Notification' labelled '2 months ago', the 2026 civic-amenity-site Rules, and mobility-plan PDFs. The footer 'Last Updated' field is blank, so currency rests on this dated content. Other items are older: 'One year ago' for the GBIT brochure and the RTI item, a 2020-21 citizen charter, a 2023-24 annual report, and 2025 gallery entries. The methodology also asks for a verification date and an archived screenshot or link, and neither is in the Citation Sheet. A reviewer should record both. The 'GBIT BROCHURE' link and the 'CA Site Paper Notification' link share the same PDF URL, which is an oddity in the saved page. Link-level functionality was not tested. Confidence is medium because the site was assessed from a saved copy, not a live check.
Quote: "The Karnataka Planning Authorities (Allotment of Civic Amenity Sites within the Bengaluru Metropolitan Region) Rules, 2026."</t>
  </si>
  <si>
    <t xml:space="preserve">ENTER A NUMBER 0 TO 1</t>
  </si>
  <si>
    <t xml:space="preserve">AI: left for a person. Step 2 found no evidence (Insufficient Evidence). Source needed: A dated copy or screenshot of BWSSB's published annual budget (current or preceding FY) from the BWSSB website or a state legislature papers-laid page, showing the file format.</t>
  </si>
  <si>
    <t xml:space="preserve">AI: left for a person. Step 2 found no evidence (Insufficient Evidence). Source needed: A saved copy of the BMTC website's budget or finance page, or a BMTC budget document for FY2025-26 or FY2024-26, showing its date and file format. The BMTC Board's approved budget or annual administration report would also help.</t>
  </si>
  <si>
    <t xml:space="preserve">AI: left for a person. Step 2 found no evidence (Insufficient Evidence). Source needed: A capture of the BDA official website budget or finance page showing the latest FY budget (current or immediately preceding FY) and its file type (XLSX/CSV/HTML table vs scanned PDF), with access date.</t>
  </si>
  <si>
    <t xml:space="preserve">AI: left for a person. Step 2 found no evidence (Insufficient Evidence). Source needed: A dated capture of BMRCL's official website (or an A-domain page linking to it) showing the current or immediately preceding FY annual budget, with its file type (XLSX/CSV/structured HTML or PDF).</t>
  </si>
  <si>
    <t xml:space="preserve">AI: left for a person. Step 2 found no evidence (Insufficient Evidence). Source needed: The fetched body of the BMRDA Budget page (the /44/budget page) and the budget files linked from it. These would show the FY covered and the file type (XLSX/CSV/structured HTML or text PDF versus scanned PDF). A dated screenshot or archived copy is also needed.</t>
  </si>
  <si>
    <t xml:space="preserve">AI: left for a person. Step 2 found no evidence (Insufficient Evidence). Source needed: A dated capture of the BWSSB official website or an official .gov.in page listing audited annual accounts or financial statements for the latest FY, with the file type shown (XLSX/CSV/structured HTML vs scanned or text PDF).</t>
  </si>
  <si>
    <t xml:space="preserve">AI: left for a person. Step 2 found no evidence (Insufficient Evidence). Source needed: A dated capture of BMTC's official website or Karnataka government portal pages showing the latest audited annual accounts. It should show the FY and the file format. Alternatively, BMTC's latest annual report or accounts tabled in the Legislature.</t>
  </si>
  <si>
    <t xml:space="preserve">Finance, Accounts and Audit</t>
  </si>
  <si>
    <t xml:space="preserve">Section 47(5)</t>
  </si>
  <si>
    <t xml:space="preserve">47(5)</t>
  </si>
  <si>
    <t xml:space="preserve">44</t>
  </si>
  <si>
    <t xml:space="preserve">AI (low confidence), from Step 2 answer (Partially Answered) and BDA-02: I left the score blank. The Citation Sheet has no evidence of BDA's current audited accounts online, so neither component can be scored. The only BDA accounts in the sheet are the 2016-17 accounts (BDA-38), which are too old for the permitted one-FY lag and are not shown to be on a BDA website page. Section 47(5) of the BDA Act only mandates publication. It does not show that BDA publishes in practice, and this is an Implementation question. A score of 0 needs affirmative absence, meaning the BDA website was checked and nothing was found. That check was not done, so this is a VERIFICATION-LIMIT and not a negative finding. A reviewer should check the BDA website for the latest audited accounts, their FY and their file format (XLS/CSV versus scanned PDF). They should also capture dated screenshots. Latest FY found so far is 2016-17.
Quote: "The audited accounts and the report of the auditor shall be published by the Authority in the prescribed  manner."
"Score" left blank: the Citation Sheet doesn't decide it.</t>
  </si>
  <si>
    <t xml:space="preserve">Financial Statements (Annual Report 2020-21)</t>
  </si>
  <si>
    <t xml:space="preserve">Balance Sheet, Statement of Profit and Loss, Cash Flow Statement; Independent Auditor's Report; C&amp;AG comments under s.143(6)(b) Companies Act 2013</t>
  </si>
  <si>
    <t xml:space="preserve">PDF pages 83-89 (balance sheet to cash flow); auditor's report dated 24-08-2021; C&amp;AG letter dated 22 October 2021 (page 78)</t>
  </si>
  <si>
    <t xml:space="preserve">83</t>
  </si>
  <si>
    <t xml:space="preserve">AI: left for a person. Step 2 found no evidence (Insufficient Evidence). Source needed: A dated capture of the BMRCL website financial-statements or annual-report page, showing the latest audited accounts (FY 2023-24 or FY 2024-25) and the file format. The format could be an XLSX, a structured HTML table, a text PDF or a scanned PDF.</t>
  </si>
  <si>
    <t xml:space="preserve">AI: left for a person. Step 2 found no evidence (Insufficient Evidence). Source needed: The saved BMRDA 'Budget and Annual Reports' page and any audited accounts or financial statements document (with FY and file format). Alternatively, the Karnataka legislature papers-laid record for BMRDA's audited accounts.</t>
  </si>
  <si>
    <t xml:space="preserve">AI: left for a person. Step 2 found no evidence (Insufficient Evidence). Source needed: A dated capture of the BWSSB official website page that lists annual reports, or the annual report itself (the latest FY or latest report due). It would need to show whether the file is a searchable PDF or a scanned one. The Karnataka Legislature papers-laid page is another possible source.</t>
  </si>
  <si>
    <t xml:space="preserve">AI: left for a person. Step 2 found no evidence (Insufficient Evidence). Source needed: A dated saved copy of the BMTC official website page (reports, publications or RTI/disclosure section) listing the annual report for the latest FY. It would also need the report file itself, so that the FY and whether the PDF is text-searchable or scanned can be checked.</t>
  </si>
  <si>
    <t xml:space="preserve">AI: left for a person. Step 2 found no evidence (Insufficient Evidence). Source needed: The BDA's official website page listing annual reports, or a dated archived copy of it. This should show the latest annual report (FY 2024-25 or the latest due) as a downloadable file. The file needs to be checked for a text-readable (searchable) versus scanned format.</t>
  </si>
  <si>
    <t xml:space="preserve">CAG covering letter (Comments under Section 143(6)(b), Companies Act, 2013)</t>
  </si>
  <si>
    <t xml:space="preserve">Letter No. DGCA/A/c/Desk/2020-21/BMRCL/1.59/212 dated 22 October 2021, para 4</t>
  </si>
  <si>
    <t xml:space="preserve">Annual Report FY 2020-21, page 76 (PDF page 78)</t>
  </si>
  <si>
    <t xml:space="preserve">78</t>
  </si>
  <si>
    <t xml:space="preserve">AI: left for a person. Step 2 found no evidence (Insufficient Evidence). Source needed: A dated capture of the BMRCL website's annual report page, or the latest annual reports (FY 2023-24 and FY 2024-25) laid before the legislature, showing the format and download status.</t>
  </si>
  <si>
    <t xml:space="preserve">Home page, Department Documents</t>
  </si>
  <si>
    <t xml:space="preserve">Budget and Annual Reports / Annual Report link</t>
  </si>
  <si>
    <t xml:space="preserve">Annual Report link (file '2023-24 Anual Report.pdf')</t>
  </si>
  <si>
    <t xml:space="preserve">AI (low confidence), from Step 2 answer (Partially Answered) and BMRDA-02: I left the score blank. The BMRDA English home page links one annual report, labelled 2023-24 (storage/pdf-files/2023-24 Anual Report.pdf). The PDF itself and the 'Budget and Annual Reports' listing page are not in the Citation Sheet. I could not confirm which FY the report covers or whether the file is text-searchable or a scanned image. Both halves of the rubric are therefore undetermined. Component 1 (currency) may well be 0, because 2023-24 is older than the immediately preceding FY (2025-26). The site shows 2026-dated uploads, so the 2023-24 label is probably not the latest report due. A 0 needs affirmative absence, and the listing page was not read, so a later report may exist. Component 2 (format) cannot be judged at all. This is a VERIFICATION-LIMIT, not a negative finding. A reviewer should open the listing page and the PDF, record the FY of the latest report and test whether the text is searchable. They should also capture a dated screenshot. Latest information found: a report labelled FY 2023-24, with the site updated in mid-2026.
Quote: "Budget and Annual Reports [https://bmrda.karnataka.gov.in/storage/pdf-files/2023-24 Anual Report.pdf] Annual Report"
"Score" left blank: the Citation Sheet doesn't decide it.</t>
  </si>
  <si>
    <t xml:space="preserve">AI: left for a person. Step 2 found no evidence (Insufficient Evidence). Source needed: A dated capture of the BWSSB official website's Board meeting minutes page (or the minutes document itself) for the current or previous FY. It would be used to check the year and whether the file is searchable and downloadable, rather than scanned.</t>
  </si>
  <si>
    <t xml:space="preserve">AI: left for a person. Step 2 found no evidence (Insufficient Evidence). Source needed: The BMTC official website's board/Board of Directors/minutes page, with dated minutes documents and their file format (searchable or scanned PDF), captured with access date. Alternatively, BMTC's response to an RTI request for the board minutes.</t>
  </si>
  <si>
    <t xml:space="preserve">AI: left for a person. Step 2 found no evidence (Insufficient Evidence). Source needed: Capture of the BDA official website's board or Authority meeting-minutes page, with a dated screenshot and the document files, to check the FY of the latest minutes and whether they are text-searchable or scanned.</t>
  </si>
  <si>
    <t xml:space="preserve">AI: left for a person. Step 2 found no evidence (Insufficient Evidence). Source needed: A dated capture of the BMRCL official website's Board meeting minutes or agenda page, or an archived URL. It should show the latest minutes' FY or date, and whether the file is a searchable PDF or a scanned image.</t>
  </si>
  <si>
    <t xml:space="preserve">AI: left for a person. Step 2 found no evidence (Insufficient Evidence). Source needed: A BMRDA website page or PDF of Authority meeting minutes for the current or previous FY, opened and checked for text-searchability. The Authority's minutes or agenda page would show this.</t>
  </si>
  <si>
    <t xml:space="preserve">AI: left for a person. Step 2 found no evidence (Insufficient Evidence). Source needed: A saved copy of the official BWSSB website's organisation chart or officials/staff directory page. It would need a visible date or update stamp, and its file format (HTML, searchable PDF or image) would need to be recorded, with a dated screenshot.</t>
  </si>
  <si>
    <t xml:space="preserve">AI: left for a person. Step 2 found no evidence (Insufficient Evidence). Source needed: A dated, saved copy of the BMTC website's organisation chart, officers or staff directory page. It would show the update date and the file format (HTML, searchable PDF or image-only).</t>
  </si>
  <si>
    <t xml:space="preserve">AI: left for a person. Step 2 found no evidence (Insufficient Evidence). Source needed: A dated, saved copy of the BDA official website's organisation chart or officials/staff directory page, showing the latest update date and the file format (HTML or searchable PDF vs image or scanned).</t>
  </si>
  <si>
    <t xml:space="preserve">AI: left for a person. Step 2 found no evidence (Insufficient Evidence). Source needed: A dated capture of the BMRCL official website pages for organisation structure, officials or staff directory. It must show the format (HTML or searchable PDF versus image-only) and the date of the latest update.</t>
  </si>
  <si>
    <t xml:space="preserve">INTRODUCTION</t>
  </si>
  <si>
    <t xml:space="preserve">Home page, Introduction menu: Organisation chart link</t>
  </si>
  <si>
    <t xml:space="preserve">AI (low confidence), from Step 2 answer (Partially Answered) and BMRDA-02: I left the score blank. The BMRDA home page links an 'Organisation chart' PDF (ORGNenglish.pdf). The Citation Sheet holds only the link, not the chart's content. So I can't tell its date or currency (0.5 for availability and currency). I also can't tell whether it is a searchable text PDF or an image-only file (0.5 for format). The page shows the current Metropolitan Commissioner and the Additional Chief Secretary, UDD. That is not evidence that the chart itself is current. The footer reads © 2026, which does not date the chart. A 0 would need affirmative absence, and the chart exists but was not read. VERIFICATION-LIMIT. A reviewer should open the PDF, record its date or FY, and check whether the text is selectable. A dated screenshot is needed for the evidence field. The latest date found so far is unknown.
Quote: "[https://bmrda.karnataka.gov.in/storage/pdf-files/ORGNenglish.pdf] Organisation chart"
"Score" left blank: the Citation Sheet doesn't decide it.</t>
  </si>
  <si>
    <t xml:space="preserve">AI: left for a person. Step 2 found no evidence (Insufficient Evidence). Source needed: A saved, dated capture of BWSSB's official website pages for projects and plans (such as a project list or dashboard, or a current-FY action plan or annual report), showing the date and file format.</t>
  </si>
  <si>
    <t xml:space="preserve">AI: left for a person. Step 2 found no evidence (Insufficient Evidence). Source needed: Dated capture of the BMTC official website pages for plans and ongoing projects (current or preceding FY), showing document type and file format (text PDF, HTML table, XLS/CSV or scanned/image).</t>
  </si>
  <si>
    <t xml:space="preserve">AI: left for a person. Step 2 found no evidence (Insufficient Evidence). Source needed: Dated capture of the BDA official website pages for major plans (e.g. Master Plan / RMP document) and ongoing projects (project list or dashboard), showing the FY or date and file format (text PDF, HTML or XLS).</t>
  </si>
  <si>
    <t xml:space="preserve">Board's Report</t>
  </si>
  <si>
    <t xml:space="preserve">Physical progress as on August 2021 &amp; Status of implementation of Phase-2</t>
  </si>
  <si>
    <t xml:space="preserve">Annual Report 2020-21, PDF page 26 (printed page 24); see also Phase-2A/2B financial progress on PDF page 37 (printed page 35)</t>
  </si>
  <si>
    <t xml:space="preserve">26</t>
  </si>
  <si>
    <t xml:space="preserve">AI: left for a person. Step 2 found no evidence (Insufficient Evidence). Source needed: A dated capture or archived copy of BMRCL's official website pages for projects and plans (Phase 2/2A/2B/3 project status pages, downloadable plan documents), showing the FY or date and the file format.</t>
  </si>
  <si>
    <t xml:space="preserve">Official BMRDA English homepage, 'Department Documents' section</t>
  </si>
  <si>
    <t xml:space="preserve">Notifications &gt; Proposed Draft Mobility Plan (links for 9 Local Planning Authorities); also 'GBIT BROCHURE', 'Structure Plan', 'Reports'</t>
  </si>
  <si>
    <t xml:space="preserve">AI: left for a person. Step 2 found no evidence (Insufficient Evidence). Source needed: A dated, opened copy of BMRDA's structure-plan and project/plan pages (e.g. the Revised Structure Plan 2031 page and any ongoing-projects listing), showing the FY/date and whether the file is a text-readable PDF or searchable HTML.</t>
  </si>
  <si>
    <t xml:space="preserve">AI: left for a person. Step 2 found no evidence (Insufficient Evidence). Source needed: A dated, saved copy of the BWSSB website or a Karnataka urban water or SLB dashboard page showing performance indicators for the current or preceding FY. It must show the file format (XLSX/CSV/HTML table or scanned PDF). A BWSSB annual performance report would also serve.</t>
  </si>
  <si>
    <t xml:space="preserve">AI: left for a person. Step 2 found no evidence (Insufficient Evidence). Source needed: A saved copy of a BMTC performance page, such as operational statistics, an annual or performance report, a service-level benchmark report or a dashboard. It would show the latest FY or date and the file format (XLSX/CSV/structured HTML versus scanned PDF). BMTC's RTI 4(1)(b) disclosure or an annual report tabled in the legislature could also serve.</t>
  </si>
  <si>
    <t xml:space="preserve">AI: left for a person. Step 2 found no evidence (Insufficient Evidence). Source needed: Capture of the BDA official website performance, citizen charter or dashboard pages (FY 2024-25 or 2025-26) with their file formats, and the BDA annual report for the latest FY, with dated screenshots.</t>
  </si>
  <si>
    <t xml:space="preserve">AI: left for a person. Step 2 found no evidence (Insufficient Evidence). Source needed: Dated pages from BMRCL's official website (performance, ridership or punctuality dashboards, KPI or citizen-charter reports) for the current and previous FY. Also needed: the file formats of the downloadable data, and a dated screenshot.</t>
  </si>
  <si>
    <t xml:space="preserve">Homepage - Department Documents</t>
  </si>
  <si>
    <t xml:space="preserve">Budget and Annual Reports</t>
  </si>
  <si>
    <t xml:space="preserve">Annual Report link (file name '2023-24 Anual Report.pdf')</t>
  </si>
  <si>
    <t xml:space="preserve">AI (low confidence), from Step 2 answer (Partially Answered) and BMRDA-02: Score left blank. The homepage (captured 2026) lists only the 2023-24 Annual Report PDF as the latest annual report. It shows no service-level benchmark, performance report or dashboard. The linked pages (Budget and Annual Reports, APA, the planning-authority pages) and the PDF are not in the Citation Sheet and were not read. A 0 needs affirmative absence, and that has not been established. Currency: FY 2023-24 is likely older than the current or immediately preceding FY, but this is unconfirmed. Format: the PDF type (text or scanned) is unknown, and a PDF is probably not machine-readable or reusable in any case. VERIFICATION-LIMIT. A reviewer should open the APA page and the Budget and Annual Reports page. They should also confirm whether an annual report counts as performance information, and take a dated screenshot. If nothing newer than FY 2023-24 exists, Availability would be 0, and a PDF would give 0 for Format, for a total of 0.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</si>
  <si>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The BWSSB official website page or PDF of the current Citizen/Customer Charter, with a date of access. The reviewer should check whether the PDF is text-searchable or a scan, and the year of the version.</t>
  </si>
  <si>
    <t xml:space="preserve">AI: left for a person. Step 2 found no evidence (Insufficient Evidence). Source needed: The BMTC website page or document titled Citizen Charter / Service Charter, captured with its access date. It must show the charter's date or year and whether the file is a text-readable HTML or PDF page or a scanned image.</t>
  </si>
  <si>
    <t xml:space="preserve">AI: left for a person. Step 2 found no evidence (Insufficient Evidence). Source needed: A dated capture of the BDA official website page that hosts the Citizen/Service Charter, or the Charter document itself (HTML or PDF). The capture must show its date or FY and whether the PDF is searchable or scanned. A state Sakala service-guarantee listing for BDA services would be supporting evidence.</t>
  </si>
  <si>
    <t xml:space="preserve">AI: left for a person. Step 2 found no evidence (Insufficient Evidence). Source needed: The BMRCL website's Citizen/Passenger Charter page or PDF, captured with an access date. It would show availability, the date of the latest version, and whether the file is text-searchable or scanned.</t>
  </si>
  <si>
    <t xml:space="preserve">Home page, Introduction menu</t>
  </si>
  <si>
    <t xml:space="preserve">Citizen Charter link</t>
  </si>
  <si>
    <t xml:space="preserve">PDF named 'CITIZEN CHARTER-2020-21 eng.pdf' (the Kannada home page, BMRDA-04, links to 'CITIZEN CHARTER-2020-21 ka.pdf')</t>
  </si>
  <si>
    <t xml:space="preserve">AI (low confidence), from Step 2 answer (Partially Answered) and BMRDA-02: VERIFICATION-LIMIT. The BMRDA home page links a Citizen Charter PDF named 'CITIZEN CHARTER-2020-21 eng.pdf'. The Kannada home page (BMRDA-04) lists a matching Kannada file. The Charter PDF itself is not in the Citation Sheet. So I cannot tell whether it is text-searchable or a scanned image. I also cannot tell whether the 2020-21 Charter is still in force. The methodology does not treat a Charter as outdated just because it is old, if it remains in force. I did not read the PDF, so the score is left blank. A person should open the PDF and check three things: whether the text is searchable, whether a newer Charter exists, and whether the 2020-21 Charter is still in force. They should also capture a dated screenshot. The latest year found is 2020-21, taken from the file name only. This is not a negative finding.
Quote: "https://bmrda.karnataka.gov.in/storage/pdf-files/CITIZEN CHARTER-2020-21 eng.pdf] Citizen Charter"
"Score" left blank: the Citation Sheet doesn't decide it.</t>
  </si>
  <si>
    <t xml:space="preserve">AI: left for a person. Step 2 found no evidence (Insufficient Evidence). Source needed: The BWSSB official website's RTI page, or a PIO/APIO list (a searchable HTML or PDF page), saved with its access date. A Karnataka RTI portal entry listing BWSSB's PIOs would also help.</t>
  </si>
  <si>
    <t xml:space="preserve">Site menu: RTI / Online RTI / RTI 4(1)A / RTI 4(1)B / List of PIO-APIO-AA</t>
  </si>
  <si>
    <t xml:space="preserve">AI (low confidence), from Step 2 answer (Partially Answered) and BMTC-46: The score is left blank. BMTC-46 shows that the official BMTC site (mybmtc.karnataka.gov.in) has RTI menu links and a 'List of PIO-APIO-AA' PDF. The filename suggests an update on 4-6-24, but a filename is not evidence of the content. The site footer says 'Last Updated: 30-09-2026'. The RTI page and the PIO PDF are not in the sheet, so I could not check three things: (1) whether the named PIO/APIO details are current and valid, (2) whether the PDF is searchable text or a scan, and (3) whether the RTI procedure is described. Because of this, neither the 0.5 band for availability and currency nor the 0.5 band for format is decided. Absence cannot be claimed, because the pages simply were not read. VERIFICATION-LIMIT: a person should open the RTI page and the PDF, check whether the PDF text is selectable, check that the named officers are still valid, and capture a dated screenshot. Likely outcome if the PDF is searchable and current: 1. The score range is 0 to 1, split into two 0.5 components.
Quote: "[https://mybmtc.karnataka.gov.in/storage/pdf-files/RTIPIOENGupdated04-6-24.pdf] List of PIO-APIO-AA"
"Score" left blank: the Citation Sheet doesn't decide it.</t>
  </si>
  <si>
    <t xml:space="preserve">AI: left for a person. Step 2 found no evidence (Insufficient Evidence). Source needed: The BDA official website's RTI or 'Public Information Officers' page, showing the current PIO and APIO names and contacts and the RTI procedure. Reviewer should capture it with an access date and note whether it is HTML or a searchable or scanned PDF. A Karnataka government RTI portal listing for BDA would also help.</t>
  </si>
  <si>
    <t xml:space="preserve">AI: left for a person. Step 2 found no evidence (Insufficient Evidence). Source needed: A saved, dated copy of the BMRCL website RTI page (HTML or searchable PDF) naming the current PIO/APIO with contact details and the RTI procedure. A current BMRCL RTI disclosure document would also work.</t>
  </si>
  <si>
    <t xml:space="preserve">BMRDA official website – English home page (top menu and News and Events)</t>
  </si>
  <si>
    <t xml:space="preserve">RTI menu links (Right To Information, Online R T I, RTI 4(1) A, RTI 4(1) B, RTI 26 (3) (B)) and the news item 'RTI ONLINE SERVICES ARE AVAILABLE FOR BMRDA'</t>
  </si>
  <si>
    <t xml:space="preserve">AI (low confidence), from Step 2 answer (Partially Answered) and BMRDA-01: I left the score blank. This is a VERIFICATION-LIMIT, not a negative finding. BMRDA-01 and BMRDA-02 only show RTI menu links: Right To Information, Online RTI, RTI 4(1)(A) Parts I-IV, APA and RTI 4(1)(B). The Contact Us table lists officers, office numbers and the email mc.bmrda@ka.gov.in. None of these entries is labelled PIO or APIO. The RTI pages and PDFs are not in the Citation Sheet. So I cannot check three things: whether current PIO/APIO details and the RTI procedure are published, whether the contact details are valid, and whether the files are searchable or scanned. The saved copy shows a footer of '© 2026', but it gives no date for the RTI content. A reviewer should open https://bmrda.karnataka.gov.in/12/right-to-information/en and the 4(1)(A) PDFs. They should record the date of the latest information and capture a dated screenshot. The 0.5 for HTML or searchable-PDF format may be reachable once the pages are opened.
Quote: "Right To Information [http://www.kic.gov.in/welcome.do] Karnataka Information Commission"
"Score" left blank: the Citation Sheet doesn't decide it.</t>
  </si>
  <si>
    <t xml:space="preserve">AI: left for a person. Step 2 found no evidence (Insufficient Evidence). Source needed: A dated, opened capture of BWSSB's official tender/award page or the Karnataka e-procurement portal listing for BWSSB. It must show the latest tender/award dates (current or previous FY) and whether the data is a searchable table or individual PDFs.</t>
  </si>
  <si>
    <t xml:space="preserve">AI: left for a person. Step 2 found no evidence (Insufficient Evidence). Source needed: A dated capture of BMTC's tenders and awards page, or of the Karnataka e-procurement portal listing BMTC tenders and awards. It must show the latest tender or award date and whether the information is a searchable table or only individual PDFs.</t>
  </si>
  <si>
    <t xml:space="preserve">AI: left for a person. Step 2 found no evidence (Insufficient Evidence). Source needed: Dated captures or archived URLs of BDA's tender/award pages, or of the state e-procurement portal's BDA listings, showing the latest FY and the format (HTML table, XLS, or scanned PDF).</t>
  </si>
  <si>
    <t xml:space="preserve">AI: left for a person. Step 2 found no evidence (Insufficient Evidence). Source needed: A dated capture of the BMRCL official website tenders and awards pages, or of the state e-procurement portal listing BMRCL tenders. It should show the latest tender or award date, the FY, and whether the data is a searchable table or only individual PDFs.</t>
  </si>
  <si>
    <t xml:space="preserve">AI: left for a person. Step 2 found no evidence (Insufficient Evidence). Source needed: A dated saved copy of the BMRDA tenders or procurement page, or of the Karnataka e-procurement portal listing for BMRDA. It would need to show the latest tender or award dates and the format, such as a searchable table versus PDFs.</t>
  </si>
  <si>
    <t xml:space="preserve">Chapter IV (Water Supply), applied to Chapter V (Sewers and Sewerage) by Section 82(2)</t>
  </si>
  <si>
    <t xml:space="preserve">Section 120 (Appeals); Section 121 (Revision)</t>
  </si>
  <si>
    <t xml:space="preserve">Section 59(7)(c), read with Section 82(2)</t>
  </si>
  <si>
    <t xml:space="preserve">AI (low confidence), from Step 2 answer (Partially Answered) and BWSSB-04: I left the score blank. Section 120 of the BWSSB Act gives an appeal right against officer decisions. The appellate authority is prescribed by regulations, and those regulations are not in the Sheet. Section 120 is arguably a grievance-redressal channel, because the question accepts any channel. But the only text of it is a FAOLEX PDF, which is a blocked mirror, so it can only be a lead. The Sheet has no official .gov.in copy of the Act. It also has no BWSSB Regulations, no Consumer Charter text and no Sakala schedule. Affirmative absence cannot be claimed, so a 0 is not supported. A person should do three things. (1) Find the official copy of the Act. (2) Read the regulation naming the appellate authority. (3) Find the Citizen or Consumer Charter text. If the official Act text confirms Section 120, and the team accepts an appeal as a grievance mechanism, the score would be 5. The GBA Act s.96(c) is ULG law and does not mandate BWSSB itself. The JICA reports and presentation describe practice, not a mandate. Era: the Act names the 'Corporation of the City of Bangalore', and no verified successor is in the Sheet.
Quote: "Any person aggrieved by any decision or order of the Water Supply Engineer or the Sanitary Engineer or other offi cer under this Act or any rule or regulation made thereunder may within a period of sixty days from the date of such decision or order appeal to the authority prescribed by the regulations"
"Score" left blank: the Citation Sheet doesn't decide it.</t>
  </si>
  <si>
    <t xml:space="preserve">AI: left for a person. Step 2 found no evidence (Insufficient Evidence). Source needed: The text of the Road Transport Corporations Act 1950 (as applicable in Karnataka) and rules or regulations made under it. The Karnataka Sakala (Guarantee of Services) Act schedule, if it lists BMTC services. A BMTC citizen or service charter that states a grievance mechanism.</t>
  </si>
  <si>
    <t xml:space="preserve">Chapter on Miscellaneous (BDA Act 1976)</t>
  </si>
  <si>
    <t xml:space="preserve">s.62A (inserted by Act 6 of 1993); also s.63</t>
  </si>
  <si>
    <t xml:space="preserve">s.62A(1)</t>
  </si>
  <si>
    <t xml:space="preserve">50</t>
  </si>
  <si>
    <t xml:space="preserve">AI (low confidence), from Step 2 answer (Partially Answered) and BDA-02: I left the score blank, so a person needs to score it. The BDA Act text in the Sheet has no general grievance-redressal mechanism. The only grievance-type channel is the s.62A appeal, which is limited to tax assessed under s.28B. It also depends on the Government notifying an Appellate Authority, and the Sheet does not show that this was done. Section 63 is a discretionary 'may' revision power and is not a citizen channel. The Greater Bengaluru Governance Act s.96 grievance function belongs to a city-government committee, and it is not shown that the BDA falls under it. The BDA Rules, any BDA citizen or service charter, and the Karnataka Sakala (service guarantee) Act schedule are not in the Sheet. That means a score of 0 cannot be justified, because absence is not established. A score of 5 would depend on reading the 'any channel' wording as covering the narrow s.62A tax appeal, which is an interpretive call for the team. If the team accepts s.62A as a statutory grievance channel, the score is 5. If a charter or the Sakala schedule is found that covers the BDA, the score is also 5. Confidence is low.
Quote: "Any person aggrieved by the assessment, levy or imposition of any tax under section 28B may, within a period of one month next after service of notice of demand, appeal to such authority as the Government may, by notification, specify"
"Score" left blank: the Citation Sheet doesn't decide it.</t>
  </si>
  <si>
    <t xml:space="preserve">AI: left for a person. Step 2 found no evidence (Insufficient Evidence). Source needed: BMRCL citizen/passenger charter or service charter, the Metro Railways Rules or BMRCL regulations made under the Metro Act, or the BMRCL Memorandum and Articles of Association or a Sakala schedule entry that requires a grievance mechanism.</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</si>
  <si>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</si>
  <si>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</si>
  <si>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</si>
  <si>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AI: left for a person. Step 2 found no evidence (Insufficient Evidence). Source needed: The text of the BMRDA Citizen Charter 2020-21 or a later charter. The BMRDA Rules and Regulations under ss.29-30 of the Act. The official consolidated BMRDA Act text. Any state service-guarantee or grievance law that names BMRDA.</t>
  </si>
  <si>
    <t xml:space="preserve">AI: left for a person. Step 2 found no evidence (Insufficient Evidence). Source needed: Captures of the official BWSSB website (grievance form, helpline number, mobile app or email, office or help desk details, complaint-number tracking) with dates, or the BWSSB citizen charter.</t>
  </si>
  <si>
    <t xml:space="preserve">Contact Us page, menu links and head office details</t>
  </si>
  <si>
    <t xml:space="preserve">Contact address block ('Helpline Number: 080 22483777'); menu entries 'Complaints', 'New Complaint' (crm.mybmtc.com), 'Public Grievance Dashboard' (crm.mybmtc.com/All_module)</t>
  </si>
  <si>
    <t xml:space="preserve">AI (low confidence), from Step 2 answer (Partially Answered) and BMTC-44: I left the score blank. The Citation Sheet does not support all five components. BMTC-44 is a text capture of the official site, with the footer 'Last Updated: 30-09-2026'. It lists 'Complaints', 'New Complaint' (crm.mybmtc.com) and 'Public Grievance Dashboard' (crm.mybmtc.com/All_module). It also lists a helpline number, 080 22483777. Per component: (1) Web channel: the link is listed, but the CRM portal was not opened, so I cannot confirm it works. (2) Electronic channel: the page lists a Feedback link only. I saw no grievance email, app or WhatsApp channel. (3) Telephone: a helpline number is listed, but the page does not say it accepts grievances. (4) In-person: only the head office address is shown, with no grievance counter or officer. (5) Acknowledgement and tracking: not evidenced. The dashboard link is a hint only. Because these components cannot be confirmed, I cannot assign a band or a partial score. The check is a VERIFICATION-LIMIT, not a negative finding. A reviewer should open crm.mybmtc.com, capture dated screenshots of the form and any reference number or tracking page, and check whether the helpline is for grievances. The reviewer should also look for a citizen charter or a grievance officer notice.
Quote: "Helpline Number: 080 22483777"
"Score" left blank: the Citation Sheet doesn't decide it.</t>
  </si>
  <si>
    <t xml:space="preserve">AI: left for a person. Step 2 found no evidence (Insufficient Evidence). Source needed: BDA's official website (grievance or complaint form, helpline number, email or app, and tracking page), its citizen charter or office notice naming the in-person grievance counter or officer, and dated screenshots showing acknowledgement and tracking. A State grievance portal page (for example Sakala or a CM grievance portal) that is linked from the BDA site would also help.</t>
  </si>
  <si>
    <t xml:space="preserve">AI: left for a person. Step 2 found no evidence (Insufficient Evidence). Source needed: Dated captures of the BMRCL official website's grievance or feedback page, helpline number and any app or email channel. Also the Citizen Charter or a complaint status-tracking page.</t>
  </si>
  <si>
    <t xml:space="preserve">AI: left for a person. Step 2 found no evidence (Insufficient Evidence). Source needed: Captured text and dated screenshots of the BMRDA Contact Us page and of any grievance, complaint or public-services page. These should show a web form or portal link, grievance email or app, helpline number, a notified office or officer for in-person lodging, and complaint number or status tracking. A state grievance portal reference (e.g. Sakala or Janaspandana), if BMRDA redirects there, would also help.</t>
  </si>
  <si>
    <t xml:space="preserve">Section 14 (Consultative Committee); ss. 87-88 (rules and regulations)</t>
  </si>
  <si>
    <t xml:space="preserve">s.14(1), (4)(i)</t>
  </si>
  <si>
    <t xml:space="preserve">AI (low confidence), from Step 2 answer (Partially Answered) and BWSSB-04: The score is left blank because the evidence fits no band cleanly and affirmative absence is not established. (1) The s.14 Consultative Committee is constituted by the State Government, which 'shall' constitute it. It includes persons appointed after consulting bodies for 'consumers of water'. It advises on 'major schemes'. That is an advisory, nominated body. It is not a defined process of draft-plan publication, objections or suggestions, or public hearing. It might arguably count as 2.5 (participation provided for in a limited form), but I do not credit that on this evidence alone. (2) The T&amp;CP Act s.10 public-suggestion requirement binds the Planning Authority for Master Plans. It does not bind BWSSB's water or sewerage schemes. (3) The BWSSB Rules and Regulations, and any state rule on consultation for water or sewerage schemes, are not in the Citation Sheet. A rubric 0 therefore cannot be given. (4) The BWSSB Act copy is from FAOLEX, a blocked mirror, so it is a lead only. An official copy is needed. (5) s.14 names the Municipal Corporation of the City of Bangalore and the Bangalore City Improvement Trust Board. No official source in the sheet shows a successor body (GBA/BDA) substituted, so flag this for the team. A person should decide between 0 and 2.5 after reading the BWSSB Rules and an official Act copy.
Quote: "(i) to advise the Board on major questions of policy and major schemes;"
"Score" left blank: the Citation Sheet doesn't decide it.</t>
  </si>
  <si>
    <t xml:space="preserve">Chapter V – Preparation of policies and Comprehensive Mobility Plan</t>
  </si>
  <si>
    <t xml:space="preserve">s.21(3), s.23</t>
  </si>
  <si>
    <t xml:space="preserve">s.21(3)</t>
  </si>
  <si>
    <t xml:space="preserve">AI (low confidence), from Step 2 answer (Partially Answered) and BMTC-23: Score left blank. BMLTA Act s.21(3) is mandatory (shall publish draft plan and invite objections and suggestions) but binds the Authority's own plans (Comprehensive Mobility Plan), not BMTC's. KTCP s.10 covers Planning Authorities' Master Plans. BMTC is an Urban Transport Agency under s.2(ff) only in a contributory role (s.21(2)(l)). The RTC Act 1950 and the BMTC rules and regulations were not read, so affirmative absence is not shown and 0 is unsupported. 2.5 or 5 can't be awarded without confirming that the provisions apply to BMTC's own plans. The PRS copies are secondary. Needs human review.
Quote: "Before finalizing any plan as under this Act, the Authority shall cause"
"Score" left blank: the Citation Sheet doesn't decide it.</t>
  </si>
  <si>
    <t xml:space="preserve">Section 21(3) (also s.20(1), s.23)</t>
  </si>
  <si>
    <t xml:space="preserve">21(3)</t>
  </si>
  <si>
    <t xml:space="preserve">AI (low confidence), from Step 2 answer (Partially Answered) and BMRCL-35: I left the score blank. The BMLTA Act s.21(3) is mandatory ('shall'). It requires a published draft plan, with objections and suggestions invited for up to two months, before the Comprehensive Mobility Plan is finalised. Section 20(1) requires policies to be placed in the public domain for feedback. Section 23 applies s.21 to CMP revisions. All of these duties bind the BMLTA, not BMRCL. The s.21(2) proviso only requires other authorities to consult the BMLTA and comply with its policies. It does not require them to run public participation. The T&amp;CP Act s.10 and the GBA Act bind the Planning Authority/GBA, not BMRCL. I found no provision that applies to a BMRCL plan, so band 5 and band 2.5 are not supported. I also cannot give 0. The Metro Railways (Operation and Maintenance) Act was read only in part. The Construction of Works Act 1978, BMRCL's MoA/AoA, Karnataka rules and the BMRCL-specific GO are not in the Sheet, so absence is not affirmative. The question also leaves open which BMRCL documents count as 'plans'. A person should confirm two points. First, whether the BMLTA CMP process, which BMRCL projects must follow under s.19, can be credited as the applicable sector-wide requirement. If it can, the score would be 2.5 or 5. Second, whether a 0 is appropriate once the full metro Acts have been checked. Period: BMLTA Act as enacted 2023. Era: n/a.
Quote: "Before finalizing any plan as under this Act, the Authority shall cause to pu blish a draft plan by making a copy thereof available for inspection"
"Score" left blank: the Citation Sheet doesn't decide it.</t>
  </si>
  <si>
    <t xml:space="preserve">Chapter 14 Environmental and Social Considerations</t>
  </si>
  <si>
    <t xml:space="preserve">p. 14-100 / PDF page ~135 of the JICA Phase 3 Final Report (NJS Consultants, November 2017)</t>
  </si>
  <si>
    <t xml:space="preserve">AI: left for a person. Step 2 found no evidence (Insufficient Evidence). Source needed: BWSSB's official website pages, or a dated BWSSB or Government of Karnataka record, showing public notices, objections or suggestions invited, hearing minutes or a consultation report for the latest BWSSB plan. Examples are a master plan, a DPR or the Stage VI scheme.</t>
  </si>
  <si>
    <t xml:space="preserve">AI: left for a person. Step 2 found no evidence (Insufficient Evidence). Source needed: BMTC's latest plan document from its official website, with consultation notices, minutes, public hearing records or objections/suggestions reports showing citizen participation before the plan was finalised.</t>
  </si>
  <si>
    <t xml:space="preserve">G. Consultations, Participation and Information Disclosure</t>
  </si>
  <si>
    <t xml:space="preserve">Section G.1.2 Public Consultation, para 223 (and Table 28)</t>
  </si>
  <si>
    <t xml:space="preserve">Para 223</t>
  </si>
  <si>
    <t xml:space="preserve">66</t>
  </si>
  <si>
    <t xml:space="preserve">AI (low confidence), from Step 2 answer (Partially Answered) and BMRCL-21: I left the score blank. The only practice evidence is a May 2017 consultation on the Line 6 EIA. That consultation was mainly with project-affected persons (70 PAPs). The EIA is a lender-required project safeguard document. It is not clearly a BMRCL 'plan'. The document sits on the EIB register, which is not BMRCL's own website or a .gov.in site. The text gives two dates, 18 May and 15 May 2017. Appendix 4 holds the notice, participant list and Q&amp;A, and I did not see it. Para 22 says the draft EIA would be disclosed on BMRCL, EIB and AIIB websites. No BMRCL-site plan, consultation report, notice or minutes were in the Citation Sheet. No 'latest applicable plan' was identified. The 2.5 band is possible only if a reviewer accepts the EIA consultation as plan consultation and verifies Appendix 4. A score of 0 is not justified, because absence is not affirmatively shown and BMRCL's website was not checked (VERIFICATION-LIMIT). Reviewer should confirm whether an EIA/SIA counts as a plan. The question is labelled Law/Policy but asks about practice.
Quote: "A formal public consultation session was held on 18 May 2017 at BMRCL Byappanahalli Training Institute, Bangalore to inform the people about project and discuss the resettlement policy framework."
"Score" left blank: the Citation Sheet doesn't decide it.</t>
  </si>
  <si>
    <t xml:space="preserve">Chapter 16 Financial and Economic Considerations</t>
  </si>
  <si>
    <t xml:space="preserve">16.1.1 (1), Table 16.1.1 Income and Expenditure Statement in FY2013-2015 (page 181)</t>
  </si>
  <si>
    <t xml:space="preserve">Rows A (Total Income) and B (Total Expenditure), unit 10 Million INR, source 'BWSSB Annual Accounts'</t>
  </si>
  <si>
    <t xml:space="preserve">181</t>
  </si>
  <si>
    <t xml:space="preserve">AI (low confidence), from Step 2 answer (Partially Answered) and BWSSB-23: Score left blank. The only own-revenue and expenditure figures in the sheet are FY2013-FY2015 (unit 10 million INR). Total Income was 583, 741 and 1,141. Total Expenditure was 781, 1,155 and 1,490. The ratios are about 74.6%, 64.2% and 76.6%, which average about 71.8%. This is an indicative figure only. It is not a valid SC-1 score, for four reasons. (1) The data is from the 2017 JICA report and is at least 10 years old. SC-1 needs the latest three completed years of budget or accounts. (2) 'Other Income' is described on page 182 as interest income and rental income. It does not appear to include grants. Total Income may therefore be close to own revenue, but this is not confirmed in the source. Capital grants sit outside the statement. (3) The table is a secondary reproduction of BWSSB Annual Accounts, not the budget. (4) The expenditure total includes depreciation and interest, so the basis may not match the methodology's expenditure measure. The page 187 text also says BWSSB 'is not financially independent' and receives loans and grants from the state government. If no newer data can be found, a person should decide whether the FY2013-15 average (about 7.2 of 10) can be used. The sheet has no recent BWSSB budget or audited accounts. Confidence is low.
Quote: "Table 16.1.1 shows a summary of the Income and Expenditure Statement for last three years."
"Score" left blank: the Citation Sheet doesn't decide it.</t>
  </si>
  <si>
    <t xml:space="preserve">AI: left for a person. Step 2 found no evidence (Insufficient Evidence). Source needed: BMTC annual budgets or audited annual accounts for the latest 3 FYs, with revenue split into own and grant/subsidy, and total expenditure. These would come from BMTC's budget documents, the Annual Administration Report, or Karnataka Legislature papers laid.</t>
  </si>
  <si>
    <t xml:space="preserve">ಬೆಂಗಳೂರು ಅಭಿವೃದ್ಧಿ ಪ್ರಾಧಿಕಾರ, ಬೆಂಗಳೂರು – 2016-17 ಸಾಲಿಗೆ ವಾರ್ಷಿಕ ಲೆಕ್ಕಪತ್ರಗಳು [BDA-38]</t>
  </si>
  <si>
    <t xml:space="preserve">CAG Separate Audit Report / Annual Accounts 2016-17</t>
  </si>
  <si>
    <t xml:space="preserve">Part C Grants; Income and Expenditure Account (page 118)</t>
  </si>
  <si>
    <t xml:space="preserve">Total (A) income and Total (B) expenditure, Rs lakh</t>
  </si>
  <si>
    <t xml:space="preserve">86</t>
  </si>
  <si>
    <t xml:space="preserve">AI (low confidence), from Step 2 answer (Partially Answered) and BDA-38: Score left blank. The only BDA financial statements in the sheet are the audited accounts for FY 2016-17, with FY 2015-16 as comparatives. The methodology needs the last three financial years, and at least two. These years are outdated and are not the latest three years. The sheet has no BDA budgets or accounts for later years. The CAG report says no grant was received in FY 2016-17, so income there is own revenue. The illustrative income-to-expenditure ratio is about 99.4% for FY 2016-17 and about 110.5% for FY 2015-16. I did not re-read page 118 here and rely on the Step 2 figures. Two points need team confirmation. First, whether sale of sites and flats and other income, which may include interest, count as own tax and non-tax revenue. Second, whether total expenditure that includes development cost is the right denominator. A ratio above 100% would probably be capped at 10. The accounts also carry CAG qualifications. Evidence needed: BDA budgets or audited accounts for the latest three FYs. This is not scored because the evidence is outdated, not because absence was shown.
Quote: "The Authority did not receive any grant during the year."
"Score" left blank: the Citation Sheet doesn't decide it.</t>
  </si>
  <si>
    <t xml:space="preserve">AI: left for a person. Step 2 found no evidence (Insufficient Evidence). Source needed: BWSSB's latest audited annual accounts or budget, showing capital expenditure (additions to capital works or fixed assets) for the latest completed FY. Also an official population figure for the served area, such as the Census or an official projection.</t>
  </si>
  <si>
    <t xml:space="preserve">AI: left for a person. Step 2 found no evidence (Insufficient Evidence). Source needed: BMTC's latest audited annual accounts or budget showing capital expenditure (fixed-asset additions or capital works, including bus purchases) for the latest completed FY. Also needed: a Census or official population projection for the area served, and peer transport corporations' figures for ranking.</t>
  </si>
  <si>
    <t xml:space="preserve">AI: left for a person. Step 2 found no evidence (Insufficient Evidence). Source needed: BDA's latest audited annual accounts and sanctioned budget, with capital expenditure and works-in-progress schedules for the latest completed FY. Also an official population figure for the BDA jurisdiction (Census or official projection), and comparable figures for other development authorities for ranking.</t>
  </si>
  <si>
    <t xml:space="preserve">Audited Financial Statements FY 2020-21: Statement of Cash Flow</t>
  </si>
  <si>
    <t xml:space="preserve">Cash flows from Investing Activities (report p.87, PDF page 89)</t>
  </si>
  <si>
    <t xml:space="preserve">Purchase of fixed assets, including CWIP and capital advances (Net), Rs in lakh, year ended 31 March 2021</t>
  </si>
  <si>
    <t xml:space="preserve">89</t>
  </si>
  <si>
    <t xml:space="preserve">AI: left for a person. Step 2 found no evidence (Insufficient Evidence). Source needed: BMRCL annual report or audited accounts for the latest completed FY showing capital expenditure, plus an official population figure (Census 2011 or an official projection) for the jurisdiction served, with its source.</t>
  </si>
  <si>
    <t xml:space="preserve">AI: left for a person. Step 2 found no evidence (Insufficient Evidence). Source needed: BWSSB annual budget statements (the s.17 estimates laid before the Legislature) and BWSSB audited annual accounts, for at least 2 and up to 5 matching financial years, preferably the latest 3.</t>
  </si>
  <si>
    <t xml:space="preserve">AI: left for a person. Step 2 found no evidence (Insufficient Evidence). Source needed: BMTC annual budgets (budget estimates) and audited annual accounts (actuals) for the same 2-5 recent financial years, e.g. BMTC annual reports or budget documents, Karnataka legislature papers-laid, or the Auditor General's audited statements.</t>
  </si>
  <si>
    <t xml:space="preserve">AI: left for a person. Step 2 found no evidence (Insufficient Evidence). Source needed: BDA approved budget estimates (and revised estimates) together with audited accounts for the same 2-5 recent financial years, such as annual reports tabled in the legislature or BDA budget documents.</t>
  </si>
  <si>
    <t xml:space="preserve">AI: left for a person. Step 2 found no evidence (Insufficient Evidence). Source needed: BMRCL's Board-approved annual budgets (original and revised) for at least 2-3 recent FYs, with the audited accounts for the same years. These are normally in BMRCL's annual reports, Board meeting minutes, or papers laid before the Legislature.</t>
  </si>
  <si>
    <t xml:space="preserve">AI: left for a person. Step 2 found no evidence (Insufficient Evidence). Source needed: BMRDA budget estimates (Budget page) and audited accounts or annual reports with actual receipts and expenditure for the same 2-3 recent financial years, to compare side by side. These could come from BMRDA's Budget and Annual Reports pages or the Authority's annual reports laid before the Legislature.</t>
  </si>
  <si>
    <t xml:space="preserve">Chapter III – The Board's Finance, Accounts and Audit</t>
  </si>
  <si>
    <t xml:space="preserve">s.16, s.17, s.24A, s.25, s.86</t>
  </si>
  <si>
    <t xml:space="preserve">s.17(1)</t>
  </si>
  <si>
    <t xml:space="preserve">AI (low confidence), from Step 2 answer (Partially Answered) and BWSSB-04: I left the score blank. The BWSSB Act excerpts I read (ss.16, 17, 18, 24, 24A, 25, 86, 87, 88) set only annual duties: the s.17 annual estimate, the s.86 annual report, and the s.24A improvement reserve. None sets a 3-5 year or &gt;5 year fiscal plan horizon. A score of 0 needs affirmative absence, and that is not established for three reasons. First, the Act text is a FAOLEX mirror, which is a blocked source, and it was read only in part. Second, the BWSSB Rules and Regulations are not in the Citation Sheet. Third, I did not read the whole Act. The GBGA s.187 and s.2(42) multi-year plan provisions apply to the City Corporation, not to BWSSB, so they give BWSSB no credit. The JICA reports are recommendations, not law. To score 0, a person would need to obtain an official copy of the full Act from a gov.in source and check the Rules and Regulations. This is a verification limit, not a negative finding.
Quote: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</si>
  <si>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Financial Brief on Bangalore Metropolitan Transport Corporation – Janaagraha [BMTC-22]</t>
  </si>
  <si>
    <t xml:space="preserve">Insight 5 (page 4)</t>
  </si>
  <si>
    <t xml:space="preserve">Discussion of the Road Transport Corporations Act, 1950 as BMTC's governing Act</t>
  </si>
  <si>
    <t xml:space="preserve">https://www.janaagraha.org/files/publications/Financial-Brief-on-BMTC.pdf</t>
  </si>
  <si>
    <t xml:space="preserve">AI: left for a person. Step 2 found no evidence (Insufficient Evidence). Source needed: Official consolidated text of the Road Transport Corporations Act, 1950 as applied in Karnataka, with any Rules and BMTC regulations. It should be read for any medium-term or long-term fiscal plan requirement.</t>
  </si>
  <si>
    <t xml:space="preserve">Finance (Bangalore Development Authority Act, 1976)</t>
  </si>
  <si>
    <t xml:space="preserve">Section 42 (with ss.43-46)</t>
  </si>
  <si>
    <t xml:space="preserve">s.42(1)</t>
  </si>
  <si>
    <t xml:space="preserve">AI (low confidence), from Step 2 answer (Partially Answered) and BDA-02: Score left blank. In the BDA Act text I could read, the only budget requirement is a one-year estimate (ss.42-46). I found no requirement for a 3-5 year or &gt;5 year fiscal plan. A score of 0 needs affirmative absence, and that is not met. The Act was only searched and excerpted, not read end to end. It is also a PRS secondary copy. The BDA Rules and Regulations are not in the Citation Sheet. The Greater Bengaluru Governance Act 2024 (BDA-11) requires a medium-term fiscal plan, but only for the City Corporation, so it cannot be credited to the BDA. The Karnataka Town and Country Planning Act s.68B (BDA-03) requires only an annual budget. A person should read the full BDA Act and check the Rules. If neither has a multi-year plan requirement, the score would be 0. The current evidence suggests 0 rather than 5.
Quote: "The 1[Commissioner]1 shall, at a special meeting to be held not later than the first day of February in each year, lay before the Authority an estimate of the income and  of the expenditure of the Authority for the year commencing on the first  day of April then next ensuing"
"Score" left blank: the Citation Sheet doesn't decide it.</t>
  </si>
  <si>
    <t xml:space="preserve">Chapter VI</t>
  </si>
  <si>
    <t xml:space="preserve">s.2(g), s.24(d), s.25</t>
  </si>
  <si>
    <t xml:space="preserve">s.24(d)</t>
  </si>
  <si>
    <t xml:space="preserve">AI (low confidence), from Step 2 answer (Partially Answered) and BMRCL-35: Score left blank. The evidence is incomplete, and a 0 would need affirmative absence, which is not established. The BMLTA Act s.2(g) defines the City Mobility Investment Program as 'a five-year (or such period as decided by the State Government) comprehensive investment program'. Under s.24 the Authority prepares it, and it incorporates the Sectoral Mobility Investment Programs of the relevant Urban Transport Agencies. The Step 2 answer overlooked s.2(g), which gives a defined 5-year horizon. The excerpts do not show that BMRCL is a covered 'Urban Transport Agency'. The definition of that term was not seen. The s.24 duty to prepare the program also falls on the Authority, not on BMRCL. BMRCL is a company, so its 'enabling act' is unclear. Its own constitutive documents (Companies Act, MoA/AoA, GOs) are not in the sheet. The Metro Railways Act excerpts read showed no fiscal-plan provision. A person should confirm three things. First, whether BMRCL is a covered Urban Transport Agency under the regulations. Second, whether the BMLTA Act counts as the enabling law for this question. Third, whether a Sectoral Mobility Investment Program is a mandated BMRCL fiscal plan. If all three are confirmed, a score of 5 is plausible.
Quote: "The City Mobility Investment Program shall be for short to medium term planning horizon towards achieving the objects of Compreh ensive Mobility Plan"
"Score" left blank: the Citation Sheet doesn't decide it.</t>
  </si>
  <si>
    <t xml:space="preserve">Chapter IV (Finance, Accounts and Audit)</t>
  </si>
  <si>
    <t xml:space="preserve">s.12 Budget; also ss.13, 15, 16</t>
  </si>
  <si>
    <t xml:space="preserve">AI (low confidence), from Step 2 answer (Partially Answered) and BMRDA-08: I left the score blank. In the BMRDA Act, 1985 (the copy in BMRDA-08), Chapter IV requires only an annual budget estimate (s.12), an annual report (s.13), borrowing with State Government sanction (s.15) and annual accounts and audit (s.16). I found no 3-5 year or longer fiscal plan requirement. That is not enough for a 0, because a 0 needs affirmative absence. The Rules under s.29 and the Regulations under s.30 are not in the Citation Sheet. s.12 says the budget is prepared 'in such form and at such time as may be prescribed', so the Rules could add a horizon. The BMRDA-08 copy is also an unofficial India Water Portal host with an unclear amendment date, and I read only extracts. The medium-term fiscal plan in the Greater Bengaluru Governance Act 2024 applies to the City Corporation, not BMRDA. A reviewer should check the BMRDA Rules and Regulations and an official text of the Act. If they are silent, the score is likely 0. The outcome could change only if they require a multi-year fiscal plan, which would give 5.
Quote: "The Authority shall prepare, every year, in such form and at such time as may be prescribed, an annual budget estimate in respect of the next financial year showing the estimated receipts and disbursements of the Authority and shall submit a copy thereof to the State Government."
"Score" left blank: the Citation Sheet doesn't decide it.</t>
  </si>
  <si>
    <t xml:space="preserve">AI: left for a person. Step 2 found no evidence (Insufficient Evidence). Source needed: A dated capture of the BWSSB official website (finance, budget or publications sections) showing whether a medium/long-term fiscal or financial plan is published. A BWSSB document that names such a plan would also help.</t>
  </si>
  <si>
    <t xml:space="preserve">AI: left for a person. Step 2 found no evidence (Insufficient Evidence). Source needed: A dated capture or review of the official BMTC website (its documents, finance and budget pages) showing whether a medium/long-term fiscal plan is published. Alternatively, a BMTC-published five-year business or fiscal plan.</t>
  </si>
  <si>
    <t xml:space="preserve">AI: left for a person. Step 2 found no evidence (Insufficient Evidence). Source needed: A dated check of the official BDA website (its budget, finance or publications pages) showing whether a medium/long-term fiscal plan is published. A BDA fiscal plan document or a government order requiring one would also help.</t>
  </si>
  <si>
    <t xml:space="preserve">AI: left for a person. Step 2 found no evidence (Insufficient Evidence). Source needed: A dated check of the BMRCL official website, covering its reports, finance and disclosures pages, for a published medium/long-term fiscal plan or financial projections. Alternatively, a BMRCL document or government order that names such a plan.</t>
  </si>
  <si>
    <t xml:space="preserve">BMRDA official website, English home page, 'Department Documents' menu</t>
  </si>
  <si>
    <t xml:space="preserve">Menu items 'Budget and Annual Reports' and 'Budget' (https://bmrda.karnataka.gov.in/44/budget/en)</t>
  </si>
  <si>
    <t xml:space="preserve">AI: left for a person. Step 2 found no evidence (Insufficient Evidence). Source needed: A full crawl of the BMRDA website, including the RTI 4(1)(A) disclosures, APA page and Reports, to check for a medium/long-term fiscal plan. Also an official document showing whether BMRDA is required to prepare one.</t>
  </si>
  <si>
    <t xml:space="preserve">Sections 3(4), 4, 6, 12, 87(2)(a)</t>
  </si>
  <si>
    <t xml:space="preserve">s.4</t>
  </si>
  <si>
    <t xml:space="preserve">AI (low confidence), from Step 2 answer (Partially Answered) and BWSSB-04: I left the score blank. The Act sets no minimum tenure. Section 4 leaves the term of the Chairman and members to the rules, and s.87(2)(a) repeats this. The BWSSB rules on term of office are not in the Citation Sheet. So I can't say the law prescribes no minimum tenure, and a 0 would need affirmative absence. It is also unclear who the executive authority is. It could be the Chairman or the Secretary, and s.12 says only that the Board appoints the Secretary 'after consultation with' the State Government, with no tenure. Section 6 lets the State Government remove a member who is 'otherwise unfit', which is an open-ended ground. That would weaken a 10 even if the rules fixed a term of two years or more. To score this, a person should obtain the Karnataka rules made under the BWSSB Act on the term of office. They should also check any GO on the Managing Director or Chairman post and any later amendments. The Act text is the FAOLEX copy with amendments up to 1966, and the Greater Bengaluru Governance Act 2024 may also affect BWSSB. I did not check that here.
Quote: "The Chairman and other members of the Board shall hold office for such period, and shall be eligible for re-appointment under such conditions, as may be prescribed by the rules."
"Score" left blank: the Citation Sheet doesn't decide it.</t>
  </si>
  <si>
    <t xml:space="preserve">AI: left for a person. Step 2 found no evidence (Insufficient Evidence). Source needed: The official text of the Road Transport Corporations Act, 1950 as applicable in Karnataka (the provisions on the Managing Director/chief executive, and their appointment, tenure and removal), any Karnataka rules or notifications constituting BMTC, and the state's service rules for the Managing Director post.</t>
  </si>
  <si>
    <t xml:space="preserve">Chapter II (Constitution of the Authority)</t>
  </si>
  <si>
    <t xml:space="preserve">BDA Act s.12 (Appointment of Commissioner), s.13, s.5(1)</t>
  </si>
  <si>
    <t xml:space="preserve">s.12(1)-(3)</t>
  </si>
  <si>
    <t xml:space="preserve">23</t>
  </si>
  <si>
    <t xml:space="preserve">AI (low confidence), from Step 2 answer (Partially Answered) and BDA-02: I left the score blank. The BDA Act s.12 covers the Commissioner's appointment (12(1)), salary (12(2)) and leave (12(3)). It sets no minimum tenure and no removal grounds for him. Section 13 makes him the Chief Executive and Administrative Officer. The only tenure provision found, s.5(1), covers 'the Chairman and other members' for three years. It is 'subject to the pleasure of the Government', so it does not give protected tenure. Section 5 does not name the Commissioner, so it is unclear whether it reaches him. If it did, a term removable at the Government's pleasure would fit neither the 10 band nor the 5 band. I could not score 0 because that needs affirmative absence. The sheet holds no Rules made under the BDA Act and no Government order on the Commissioner's tenure. It does include the Act (BDA-02, a PRS secondary copy that lists amendments up to 2026), the KTCP Act (BDA-03) and the GBA Act (BDA-11). I read the Act text only in excerpts, so a full read of s.5, s.6 and s.70 (regulations) and a search for Rules would be needed to confirm. A person should check for Rules, a GO or service rules covering the Commissioner's tenure. Candidates are the Karnataka Government's general tenure norms for IAS officers, if they apply, and any BDA regulations. Confidence is low because the Act is silent and the Rules layer is missing.
Quote: "The State  Government shall appoint an officer, not  below the rank of Divisional Commissioner, to be the Commissioner  for the Authority."
"Score" left blank: the Citation Sheet doesn't decide it.</t>
  </si>
  <si>
    <t xml:space="preserve">Corporate Governance Report (Board's Report, BMRCL Annual Report 2020-21)</t>
  </si>
  <si>
    <t xml:space="preserve">Constitution of the Board</t>
  </si>
  <si>
    <t xml:space="preserve">Summary of the Articles of Association on rights to nominate and appoint the Chairman and the MD &amp; CEO (about pages 47-48 of the PDF)</t>
  </si>
  <si>
    <t xml:space="preserve">AI: left for a person. Step 2 found no evidence (Insufficient Evidence). Source needed: BMRCL Memorandum and Articles of Association (MD appointment, tenure and removal clauses), the Government of Karnataka/Government of India appointment orders for the MD (terms and tenure), and any DPAR or MoHUA rules on the MD's tenure.</t>
  </si>
  <si>
    <t xml:space="preserve">Section 8(1)</t>
  </si>
  <si>
    <t xml:space="preserve">Metropolitan Commissioner appointment</t>
  </si>
  <si>
    <t xml:space="preserve">9</t>
  </si>
  <si>
    <t xml:space="preserve">AI (low confidence), from Step 2 answer (Partially Answered) and BMRDA-08: Section 8(1) of the BMRDA Act (as amended, copy hosted on India Water Portal, an unofficial host) sets only a maximum of three years for the Metropolitan Commissioner's appointment. It sets no minimum, and it gives no grounds or protection against removal. The State Government decides the period and the terms and conditions by order. I read the Act. The Citation Sheet has no BMRDA Rules made under s.29. It also has no read text of the Cadre and Recruitment Rules 2008 or the Regulations. A score of 0 needs affirmative absence across the whole instrument stack, so I could not confirm it and left the score blank. This is not a score of 5 or 10, because no minimum tenure was found. If the Rules and Regulations are read and also prescribe no minimum, the score would be 0. Confirm that with the team. Also confirm the Act text against an official Karnataka DPAL copy.
Quote: "He shall be appointed for such period not exceeding three years as the State Government may decide, and the appointment may be extended from time to time for a period not exceeding three years at a time."
"Score" left blank: the Citation Sheet doesn't decide it.</t>
  </si>
  <si>
    <t xml:space="preserve">AI: left for a person. Step 2 found no evidence (Insufficient Evidence). Source needed: Official DPAR or gazette appointment and transfer orders for the BWSSB Chairman or Managing Director from about 2021 to 2026. A list of past Chairmen on the BWSSB official website would also answer it. It should show any additional-charge holders separately.</t>
  </si>
  <si>
    <t xml:space="preserve">AI: left for a person. Step 2 found no evidence (Insufficient Evidence). Source needed: DPAR/Karnataka Gazette transfer and appointment orders for the BMTC Managing Director over the last five years, or the BMTC website's list of past Managing Directors, with dates and any additional-charge holders marked.</t>
  </si>
  <si>
    <t xml:space="preserve">AI: left for a person. Step 2 found no evidence (Insufficient Evidence). Source needed: DPAR/Urban Development Department appointment and transfer orders (gazette or official notifications) for the BDA Commissioner over the last five years. The BDA official website's list of past Commissioners would also help. Both must state dates and separate acting or additional-charge holders.</t>
  </si>
  <si>
    <t xml:space="preserve">Board's Report – General Information</t>
  </si>
  <si>
    <t xml:space="preserve">Appointment of Managing Director and Director after the end of the Financial year 31.03.2021</t>
  </si>
  <si>
    <t xml:space="preserve">Annual Report 2020-21, report p.37 (PDF page 39); Organizational set-up, same page; directors list p.4</t>
  </si>
  <si>
    <t xml:space="preserve">39</t>
  </si>
  <si>
    <t xml:space="preserve">AI: left for a person. Step 2 found no evidence (Human Verification Required). Source needed: Official DPAR or Gazette orders appointing or transferring the BMRCL Managing Director from about 2021 to 2026. Later BMRCL annual reports (FY 2021-22 to 2024-25) listing MDs. The BMRCL official website leadership or past-MD page.</t>
  </si>
  <si>
    <t xml:space="preserve">AI: left for a person. Step 2 found no evidence (Insufficient Evidence). Source needed: DPAR/Karnataka Gazette appointment and transfer orders for the BMRDA Metropolitan Commissioner over the last five years, or an official list of past Metropolitan Commissioners, noting any acting or additional-charge holders.</t>
  </si>
  <si>
    <t xml:space="preserve">Chapter 2, section 2.2.3(3) BWSSB</t>
  </si>
  <si>
    <t xml:space="preserve">Table 2.2.11 Present Number of BWSSB Permanent Staff (source: BWSSB, as of August 2017)</t>
  </si>
  <si>
    <t xml:space="preserve">Total row: Sanctioned 3,501 / Working 2,157 / Vacancy 1,344</t>
  </si>
  <si>
    <t xml:space="preserve">116</t>
  </si>
  <si>
    <t xml:space="preserve">AI (low confidence), from Step 2 answer (Partially Answered) and BWSSB-22: I left the score blank. The only staffing data in the Citation Sheet is the August 2017 snapshot in the JICA report: 2,157 of 3,501 sanctioned posts filled, which is 61.6%. BWSSB-23 gives a similar January 2017 figure. If that data were current, it would fall in the 60–74% band (score 3). But it is about nine years old, and the methodology asks for current data. The JICA report is also a secondary source that is not on the allow-list. It is not an official BWSSB annual report, RTI reply or staffing page. The ratio also ignores the 211 posts GoK approved in 2016-17. If they were added to the sanctioned strength, the ratio would be about 58%, which falls in the 40–59% band (score 2). The score is therefore not 0, because sanctioned and filled data does exist, but it is not decidable either. A person should get the latest sanctioned and filled data by group from BWSSB (annual report, website or RTI) and recalculate. They should also confirm whether outsourced staff count toward the sanctioned structure. I excluded the roughly 2,000 outsourced staff because they are not part of the sanctioned structure.
Quote: "A total of 3,501 persons with positions were approved by GoK, however, only 2,157 persons were employed and there are still vacant staff, as shown in the balance column (total of 1,344)."
"Score" left blank: the Citation Sheet doesn't decide it.</t>
  </si>
  <si>
    <t xml:space="preserve">AI: left for a person. Step 2 found no evidence (Insufficient Evidence). Source needed: A recent BMTC annual administration report or an RTI reply showing sanctioned and working (filled) posts, split by cadre (permanent, contractual and others), for the latest FY.</t>
  </si>
  <si>
    <t xml:space="preserve">AI: left for a person. Step 2 found no evidence (Insufficient Evidence). Source needed: A document giving the BDA's sanctioned and filled (working) posts, including any contractual staff in the approved structure. Examples are the BDA annual report (for example the 2017-18 report listed as laid before the Legislative Council), a staff-position table on the BDA website, an RTI reply from the BDA's establishment/administration section, or a Government of Karnataka order fixing the BDA's cadre strength.</t>
  </si>
  <si>
    <t xml:space="preserve">AI: left for a person. Step 2 found no evidence (Insufficient Evidence). Source needed: BMRCL's sanctioned posts versus working strength, by wing (Project Wing and O&amp;M Wing, including contract posts in the approved structure), for the latest year. Likely sources are a recent annual report, the board-approved staffing structure, or an RTI response from the BMRCL PIO.</t>
  </si>
  <si>
    <t xml:space="preserve">Contact Us page (official BMRDA website)</t>
  </si>
  <si>
    <t xml:space="preserve">Officer directory table (Name / Designation / Office Number)</t>
  </si>
  <si>
    <t xml:space="preserve">AI: left for a person. Step 2 found no evidence (Insufficient Evidence). Source needed: BMRDA annual report, or a staff or cadre strength page, showing sanctioned and working posts (permanent and contractual). An RTI reply or a DPAR cadre order for BMRDA would also work.</t>
  </si>
  <si>
    <t xml:space="preserve">AI: left for a person. Step 2 found no evidence (Insufficient Evidence). Source needed: A recent BWSSB staffing statement or annual report showing filled posts by gender and cadre (for example an RTI reply from the Secretary/CAO or HR wing, or a BWSSB annual report to the legislature).</t>
  </si>
  <si>
    <t xml:space="preserve">AI: left for a person. Step 2 found no evidence (Insufficient Evidence). Source needed: BMTC staffing records (sanctioned and filled posts by gender and cadre), such as the latest annual administration report or an RTI reply from BMTC's PIO. A reply should give the number of women employees, total filled posts, and the split for senior and technical cadres.</t>
  </si>
  <si>
    <t xml:space="preserve">AI: left for a person. Step 2 found no evidence (Insufficient Evidence). Source needed: A BDA staffing statement or annual report showing sanctioned and filled posts by sex and cadre. An RTI reply from the BDA Commissioner's office or Establishment/HR section would also work. It should be the latest available and dated.</t>
  </si>
  <si>
    <t xml:space="preserve">AI: left for a person. Step 2 found no evidence (Insufficient Evidence). Source needed: A gender-disaggregated staffing statement for BMRCL, covering both the Project and O&amp;M wings and giving women and total filled posts. This could be a recent annual report, an HR or website staffing record, or an RTI reply. It should also show women in senior and technical cadres.</t>
  </si>
  <si>
    <t xml:space="preserve">AI: left for a person. Step 2 found no evidence (Insufficient Evidence). Source needed: BMRDA staffing statement with gender-wise filled posts, such as the RTI Section 4(1)(b) disclosure, the annual report, or a formal data request or RTI reply giving sanctioned and working strength by gender, cadre and seniority.</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</si>
</sst>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1"/>
      <color theme="1"/>
      <name val="Noto Sans"/>
      <family val="2"/>
    </font>
    <font>
      <b val="true"/>
      <sz val="14"/>
      <name val="Cambria"/>
      <family val="0"/>
      <charset val="1"/>
    </font>
    <font>
      <i val="true"/>
      <sz val="11"/>
      <name val="Cambria"/>
      <family val="0"/>
      <charset val="1"/>
    </font>
    <font>
      <b val="true"/>
      <u val="single"/>
      <sz val="11"/>
      <color rgb="FF1F4E9C"/>
      <name val="Cambria"/>
      <family val="0"/>
      <charset val="1"/>
    </font>
    <font>
      <b val="true"/>
      <sz val="9"/>
      <name val="Cambria"/>
      <family val="0"/>
      <charset val="1"/>
    </font>
    <font>
      <sz val="11"/>
      <color theme="1"/>
      <name val="Noto Sans"/>
      <family val="2"/>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7C1"/>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1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t="s">
        <v>20</v>
      </c>
      <c r="D2" s="4" t="n">
        <f aca="false">IFERROR(UPD1a!L13,"")</f>
        <v>1.25</v>
      </c>
      <c r="E2" s="4" t="s">
        <v>21</v>
      </c>
      <c r="F2" s="5"/>
      <c r="G2" s="5"/>
      <c r="H2" s="6" t="str">
        <f aca="false">IF(OR(F2="",NOT(ISNUMBER(D2))),"",IF(ABS(F2-D2)&lt;0.001,"Yes","No"))</f>
        <v/>
      </c>
      <c r="I2" s="7" t="n">
        <f aca="false">IF(ISNUMBER(F2),F2,D2)</f>
        <v>1.25</v>
      </c>
      <c r="J2" s="6" t="str">
        <f aca="false">IF(ISNUMBER(F2),"Expert (overrides AI)",IF(ISNUMBER(D2),"AI","Not scored yet"))</f>
        <v>AI</v>
      </c>
      <c r="K2" s="4" t="s">
        <v>22</v>
      </c>
      <c r="L2" s="4" t="s">
        <v>23</v>
      </c>
      <c r="M2" s="4" t="s">
        <v>24</v>
      </c>
      <c r="N2" s="4" t="s">
        <v>25</v>
      </c>
      <c r="O2" s="4" t="s">
        <v>26</v>
      </c>
      <c r="P2" s="4" t="s">
        <v>27</v>
      </c>
      <c r="Q2" s="4" t="s">
        <v>28</v>
      </c>
      <c r="R2" s="4" t="s">
        <v>29</v>
      </c>
    </row>
    <row r="3" customFormat="false" ht="93" hidden="false" customHeight="true" outlineLevel="0" collapsed="false">
      <c r="A3" s="3" t="s">
        <v>18</v>
      </c>
      <c r="B3" s="4" t="s">
        <v>30</v>
      </c>
      <c r="C3" s="4" t="s">
        <v>20</v>
      </c>
      <c r="D3" s="4" t="str">
        <f aca="false">IFERROR(UPD1a!L14,"")</f>
        <v/>
      </c>
      <c r="E3" s="4" t="s">
        <v>21</v>
      </c>
      <c r="F3" s="5"/>
      <c r="G3" s="5"/>
      <c r="H3" s="6" t="str">
        <f aca="false">IF(OR(F3="",NOT(ISNUMBER(D3))),"",IF(ABS(F3-D3)&lt;0.001,"Yes","No"))</f>
        <v/>
      </c>
      <c r="I3" s="7" t="str">
        <f aca="false">IF(ISNUMBER(F3),F3,D3)</f>
        <v/>
      </c>
      <c r="J3" s="6" t="str">
        <f aca="false">IF(ISNUMBER(F3),"Expert (overrides AI)",IF(ISNUMBER(D3),"AI","Not scored yet"))</f>
        <v>Not scored yet</v>
      </c>
      <c r="K3" s="4" t="s">
        <v>22</v>
      </c>
      <c r="L3" s="4" t="s">
        <v>31</v>
      </c>
      <c r="M3" s="4"/>
      <c r="N3" s="4"/>
      <c r="O3" s="4"/>
      <c r="P3" s="4"/>
      <c r="Q3" s="4"/>
      <c r="R3" s="4" t="s">
        <v>32</v>
      </c>
    </row>
    <row r="4" customFormat="false" ht="93" hidden="false" customHeight="true" outlineLevel="0" collapsed="false">
      <c r="A4" s="3" t="s">
        <v>18</v>
      </c>
      <c r="B4" s="4" t="s">
        <v>33</v>
      </c>
      <c r="C4" s="4" t="s">
        <v>20</v>
      </c>
      <c r="D4" s="4" t="n">
        <f aca="false">IFERROR(UPD1a!L15,"")</f>
        <v>3.75</v>
      </c>
      <c r="E4" s="4" t="s">
        <v>21</v>
      </c>
      <c r="F4" s="5"/>
      <c r="G4" s="5"/>
      <c r="H4" s="6" t="str">
        <f aca="false">IF(OR(F4="",NOT(ISNUMBER(D4))),"",IF(ABS(F4-D4)&lt;0.001,"Yes","No"))</f>
        <v/>
      </c>
      <c r="I4" s="7" t="n">
        <f aca="false">IF(ISNUMBER(F4),F4,D4)</f>
        <v>3.75</v>
      </c>
      <c r="J4" s="6" t="str">
        <f aca="false">IF(ISNUMBER(F4),"Expert (overrides AI)",IF(ISNUMBER(D4),"AI","Not scored yet"))</f>
        <v>AI</v>
      </c>
      <c r="K4" s="4" t="s">
        <v>22</v>
      </c>
      <c r="L4" s="4" t="s">
        <v>23</v>
      </c>
      <c r="M4" s="4" t="s">
        <v>34</v>
      </c>
      <c r="N4" s="4" t="s">
        <v>35</v>
      </c>
      <c r="O4" s="4" t="s">
        <v>36</v>
      </c>
      <c r="P4" s="4" t="s">
        <v>37</v>
      </c>
      <c r="Q4" s="4" t="s">
        <v>38</v>
      </c>
      <c r="R4" s="4" t="s">
        <v>29</v>
      </c>
    </row>
    <row r="5" customFormat="false" ht="93" hidden="false" customHeight="true" outlineLevel="0" collapsed="false">
      <c r="A5" s="3" t="s">
        <v>18</v>
      </c>
      <c r="B5" s="4" t="s">
        <v>39</v>
      </c>
      <c r="C5" s="4" t="s">
        <v>20</v>
      </c>
      <c r="D5" s="4" t="n">
        <f aca="false">IFERROR(UPD1a!L16,"")</f>
        <v>0</v>
      </c>
      <c r="E5" s="4" t="s">
        <v>21</v>
      </c>
      <c r="F5" s="5"/>
      <c r="G5" s="5"/>
      <c r="H5" s="6" t="str">
        <f aca="false">IF(OR(F5="",NOT(ISNUMBER(D5))),"",IF(ABS(F5-D5)&lt;0.001,"Yes","No"))</f>
        <v/>
      </c>
      <c r="I5" s="7" t="n">
        <f aca="false">IF(ISNUMBER(F5),F5,D5)</f>
        <v>0</v>
      </c>
      <c r="J5" s="6" t="str">
        <f aca="false">IF(ISNUMBER(F5),"Expert (overrides AI)",IF(ISNUMBER(D5),"AI","Not scored yet"))</f>
        <v>AI</v>
      </c>
      <c r="K5" s="4" t="s">
        <v>22</v>
      </c>
      <c r="L5" s="4" t="s">
        <v>31</v>
      </c>
      <c r="M5" s="4"/>
      <c r="N5" s="4"/>
      <c r="O5" s="4"/>
      <c r="P5" s="4"/>
      <c r="Q5" s="4"/>
      <c r="R5" s="4" t="s">
        <v>40</v>
      </c>
    </row>
    <row r="6" customFormat="false" ht="93" hidden="false" customHeight="true" outlineLevel="0" collapsed="false">
      <c r="A6" s="3" t="s">
        <v>18</v>
      </c>
      <c r="B6" s="4" t="s">
        <v>41</v>
      </c>
      <c r="C6" s="4" t="s">
        <v>20</v>
      </c>
      <c r="D6" s="4" t="n">
        <f aca="false">IFERROR(UPD1a!L17,"")</f>
        <v>0</v>
      </c>
      <c r="E6" s="4" t="s">
        <v>21</v>
      </c>
      <c r="F6" s="5"/>
      <c r="G6" s="5"/>
      <c r="H6" s="6" t="str">
        <f aca="false">IF(OR(F6="",NOT(ISNUMBER(D6))),"",IF(ABS(F6-D6)&lt;0.001,"Yes","No"))</f>
        <v/>
      </c>
      <c r="I6" s="7" t="n">
        <f aca="false">IF(ISNUMBER(F6),F6,D6)</f>
        <v>0</v>
      </c>
      <c r="J6" s="6" t="str">
        <f aca="false">IF(ISNUMBER(F6),"Expert (overrides AI)",IF(ISNUMBER(D6),"AI","Not scored yet"))</f>
        <v>AI</v>
      </c>
      <c r="K6" s="4" t="s">
        <v>22</v>
      </c>
      <c r="L6" s="4" t="s">
        <v>23</v>
      </c>
      <c r="M6" s="4" t="s">
        <v>42</v>
      </c>
      <c r="N6" s="4" t="s">
        <v>43</v>
      </c>
      <c r="O6" s="4" t="s">
        <v>44</v>
      </c>
      <c r="P6" s="4" t="s">
        <v>45</v>
      </c>
      <c r="Q6" s="4" t="s">
        <v>46</v>
      </c>
      <c r="R6" s="4" t="s">
        <v>29</v>
      </c>
    </row>
    <row r="7" customFormat="false" ht="93" hidden="false" customHeight="true" outlineLevel="0" collapsed="false">
      <c r="A7" s="3" t="s">
        <v>47</v>
      </c>
      <c r="B7" s="4" t="s">
        <v>19</v>
      </c>
      <c r="C7" s="4" t="s">
        <v>48</v>
      </c>
      <c r="D7" s="4" t="n">
        <f aca="false">IFERROR(UPD1b!L13,"")</f>
        <v>5</v>
      </c>
      <c r="E7" s="4" t="s">
        <v>21</v>
      </c>
      <c r="F7" s="5"/>
      <c r="G7" s="5"/>
      <c r="H7" s="6" t="str">
        <f aca="false">IF(OR(F7="",NOT(ISNUMBER(D7))),"",IF(ABS(F7-D7)&lt;0.001,"Yes","No"))</f>
        <v/>
      </c>
      <c r="I7" s="7" t="n">
        <f aca="false">IF(ISNUMBER(F7),F7,D7)</f>
        <v>5</v>
      </c>
      <c r="J7" s="6" t="str">
        <f aca="false">IF(ISNUMBER(F7),"Expert (overrides AI)",IF(ISNUMBER(D7),"AI","Not scored yet"))</f>
        <v>AI</v>
      </c>
      <c r="K7" s="4" t="s">
        <v>22</v>
      </c>
      <c r="L7" s="4" t="s">
        <v>31</v>
      </c>
      <c r="M7" s="4"/>
      <c r="N7" s="4"/>
      <c r="O7" s="4"/>
      <c r="P7" s="4"/>
      <c r="Q7" s="4"/>
      <c r="R7" s="4" t="s">
        <v>49</v>
      </c>
    </row>
    <row r="8" customFormat="false" ht="93" hidden="false" customHeight="true" outlineLevel="0" collapsed="false">
      <c r="A8" s="3" t="s">
        <v>47</v>
      </c>
      <c r="B8" s="4" t="s">
        <v>30</v>
      </c>
      <c r="C8" s="4" t="s">
        <v>48</v>
      </c>
      <c r="D8" s="4" t="str">
        <f aca="false">IFERROR(UPD1b!L14,"")</f>
        <v/>
      </c>
      <c r="E8" s="4" t="s">
        <v>21</v>
      </c>
      <c r="F8" s="5"/>
      <c r="G8" s="5"/>
      <c r="H8" s="6" t="str">
        <f aca="false">IF(OR(F8="",NOT(ISNUMBER(D8))),"",IF(ABS(F8-D8)&lt;0.001,"Yes","No"))</f>
        <v/>
      </c>
      <c r="I8" s="7" t="str">
        <f aca="false">IF(ISNUMBER(F8),F8,D8)</f>
        <v/>
      </c>
      <c r="J8" s="6" t="str">
        <f aca="false">IF(ISNUMBER(F8),"Expert (overrides AI)",IF(ISNUMBER(D8),"AI","Not scored yet"))</f>
        <v>Not scored yet</v>
      </c>
      <c r="K8" s="4" t="s">
        <v>22</v>
      </c>
      <c r="L8" s="4" t="s">
        <v>31</v>
      </c>
      <c r="M8" s="4"/>
      <c r="N8" s="4"/>
      <c r="O8" s="4"/>
      <c r="P8" s="4"/>
      <c r="Q8" s="4"/>
      <c r="R8" s="4" t="s">
        <v>50</v>
      </c>
    </row>
    <row r="9" customFormat="false" ht="93" hidden="false" customHeight="true" outlineLevel="0" collapsed="false">
      <c r="A9" s="3" t="s">
        <v>47</v>
      </c>
      <c r="B9" s="4" t="s">
        <v>33</v>
      </c>
      <c r="C9" s="4" t="s">
        <v>48</v>
      </c>
      <c r="D9" s="4" t="str">
        <f aca="false">IFERROR(UPD1b!L15,"")</f>
        <v/>
      </c>
      <c r="E9" s="4" t="s">
        <v>21</v>
      </c>
      <c r="F9" s="5"/>
      <c r="G9" s="5"/>
      <c r="H9" s="6" t="str">
        <f aca="false">IF(OR(F9="",NOT(ISNUMBER(D9))),"",IF(ABS(F9-D9)&lt;0.001,"Yes","No"))</f>
        <v/>
      </c>
      <c r="I9" s="7" t="str">
        <f aca="false">IF(ISNUMBER(F9),F9,D9)</f>
        <v/>
      </c>
      <c r="J9" s="6" t="str">
        <f aca="false">IF(ISNUMBER(F9),"Expert (overrides AI)",IF(ISNUMBER(D9),"AI","Not scored yet"))</f>
        <v>Not scored yet</v>
      </c>
      <c r="K9" s="4" t="s">
        <v>22</v>
      </c>
      <c r="L9" s="4" t="s">
        <v>31</v>
      </c>
      <c r="M9" s="4"/>
      <c r="N9" s="4"/>
      <c r="O9" s="4"/>
      <c r="P9" s="4"/>
      <c r="Q9" s="4"/>
      <c r="R9" s="4" t="s">
        <v>51</v>
      </c>
    </row>
    <row r="10" customFormat="false" ht="93" hidden="false" customHeight="true" outlineLevel="0" collapsed="false">
      <c r="A10" s="3" t="s">
        <v>47</v>
      </c>
      <c r="B10" s="4" t="s">
        <v>39</v>
      </c>
      <c r="C10" s="4" t="s">
        <v>48</v>
      </c>
      <c r="D10" s="4" t="str">
        <f aca="false">IFERROR(UPD1b!L16,"")</f>
        <v/>
      </c>
      <c r="E10" s="4" t="s">
        <v>21</v>
      </c>
      <c r="F10" s="5"/>
      <c r="G10" s="5"/>
      <c r="H10" s="6" t="str">
        <f aca="false">IF(OR(F10="",NOT(ISNUMBER(D10))),"",IF(ABS(F10-D10)&lt;0.001,"Yes","No"))</f>
        <v/>
      </c>
      <c r="I10" s="7" t="str">
        <f aca="false">IF(ISNUMBER(F10),F10,D10)</f>
        <v/>
      </c>
      <c r="J10" s="6" t="str">
        <f aca="false">IF(ISNUMBER(F10),"Expert (overrides AI)",IF(ISNUMBER(D10),"AI","Not scored yet"))</f>
        <v>Not scored yet</v>
      </c>
      <c r="K10" s="4" t="s">
        <v>22</v>
      </c>
      <c r="L10" s="4" t="s">
        <v>31</v>
      </c>
      <c r="M10" s="4"/>
      <c r="N10" s="4"/>
      <c r="O10" s="4"/>
      <c r="P10" s="4"/>
      <c r="Q10" s="4"/>
      <c r="R10" s="4" t="s">
        <v>52</v>
      </c>
    </row>
    <row r="11" customFormat="false" ht="93" hidden="false" customHeight="true" outlineLevel="0" collapsed="false">
      <c r="A11" s="3" t="s">
        <v>47</v>
      </c>
      <c r="B11" s="4" t="s">
        <v>41</v>
      </c>
      <c r="C11" s="4" t="s">
        <v>48</v>
      </c>
      <c r="D11" s="4" t="str">
        <f aca="false">IFERROR(UPD1b!L17,"")</f>
        <v/>
      </c>
      <c r="E11" s="4" t="s">
        <v>21</v>
      </c>
      <c r="F11" s="5"/>
      <c r="G11" s="5"/>
      <c r="H11" s="6" t="str">
        <f aca="false">IF(OR(F11="",NOT(ISNUMBER(D11))),"",IF(ABS(F11-D11)&lt;0.001,"Yes","No"))</f>
        <v/>
      </c>
      <c r="I11" s="7" t="str">
        <f aca="false">IF(ISNUMBER(F11),F11,D11)</f>
        <v/>
      </c>
      <c r="J11" s="6" t="str">
        <f aca="false">IF(ISNUMBER(F11),"Expert (overrides AI)",IF(ISNUMBER(D11),"AI","Not scored yet"))</f>
        <v>Not scored yet</v>
      </c>
      <c r="K11" s="4" t="s">
        <v>22</v>
      </c>
      <c r="L11" s="4" t="s">
        <v>31</v>
      </c>
      <c r="M11" s="4"/>
      <c r="N11" s="4"/>
      <c r="O11" s="4"/>
      <c r="P11" s="4"/>
      <c r="Q11" s="4"/>
      <c r="R11" s="4" t="s">
        <v>53</v>
      </c>
    </row>
    <row r="12" customFormat="false" ht="93" hidden="false" customHeight="true" outlineLevel="0" collapsed="false">
      <c r="A12" s="3" t="s">
        <v>54</v>
      </c>
      <c r="B12" s="4" t="s">
        <v>19</v>
      </c>
      <c r="C12" s="4" t="s">
        <v>55</v>
      </c>
      <c r="D12" s="4" t="n">
        <f aca="false">IFERROR(UPD2a!L13,"")</f>
        <v>0</v>
      </c>
      <c r="E12" s="4" t="s">
        <v>56</v>
      </c>
      <c r="F12" s="5"/>
      <c r="G12" s="5"/>
      <c r="H12" s="6" t="str">
        <f aca="false">IF(OR(F12="",NOT(ISNUMBER(D12))),"",IF(ABS(F12-D12)&lt;0.001,"Yes","No"))</f>
        <v/>
      </c>
      <c r="I12" s="7" t="n">
        <f aca="false">IF(ISNUMBER(F12),F12,D12)</f>
        <v>0</v>
      </c>
      <c r="J12" s="6" t="str">
        <f aca="false">IF(ISNUMBER(F12),"Expert (overrides AI)",IF(ISNUMBER(D12),"AI","Not scored yet"))</f>
        <v>AI</v>
      </c>
      <c r="K12" s="4" t="s">
        <v>22</v>
      </c>
      <c r="L12" s="4" t="s">
        <v>23</v>
      </c>
      <c r="M12" s="4" t="s">
        <v>57</v>
      </c>
      <c r="N12" s="4" t="s">
        <v>25</v>
      </c>
      <c r="O12" s="4" t="s">
        <v>26</v>
      </c>
      <c r="P12" s="4" t="s">
        <v>58</v>
      </c>
      <c r="Q12" s="4" t="s">
        <v>59</v>
      </c>
      <c r="R12" s="4" t="s">
        <v>29</v>
      </c>
    </row>
    <row r="13" customFormat="false" ht="93" hidden="false" customHeight="true" outlineLevel="0" collapsed="false">
      <c r="A13" s="3" t="s">
        <v>60</v>
      </c>
      <c r="B13" s="4" t="s">
        <v>19</v>
      </c>
      <c r="C13" s="4" t="s">
        <v>61</v>
      </c>
      <c r="D13" s="4" t="str">
        <f aca="false">IFERROR(UPD2b!L13,"")</f>
        <v/>
      </c>
      <c r="E13" s="4" t="s">
        <v>56</v>
      </c>
      <c r="F13" s="5"/>
      <c r="G13" s="5"/>
      <c r="H13" s="6" t="str">
        <f aca="false">IF(OR(F13="",NOT(ISNUMBER(D13))),"",IF(ABS(F13-D13)&lt;0.001,"Yes","No"))</f>
        <v/>
      </c>
      <c r="I13" s="7" t="str">
        <f aca="false">IF(ISNUMBER(F13),F13,D13)</f>
        <v/>
      </c>
      <c r="J13" s="6" t="str">
        <f aca="false">IF(ISNUMBER(F13),"Expert (overrides AI)",IF(ISNUMBER(D13),"AI","Not scored yet"))</f>
        <v>Not scored yet</v>
      </c>
      <c r="K13" s="4" t="s">
        <v>22</v>
      </c>
      <c r="L13" s="4" t="s">
        <v>23</v>
      </c>
      <c r="M13" s="4" t="s">
        <v>62</v>
      </c>
      <c r="N13" s="4" t="s">
        <v>63</v>
      </c>
      <c r="O13" s="4" t="s">
        <v>64</v>
      </c>
      <c r="P13" s="4" t="s">
        <v>65</v>
      </c>
      <c r="Q13" s="4" t="s">
        <v>66</v>
      </c>
      <c r="R13" s="4" t="s">
        <v>29</v>
      </c>
    </row>
    <row r="14" customFormat="false" ht="93" hidden="false" customHeight="true" outlineLevel="0" collapsed="false">
      <c r="A14" s="3" t="s">
        <v>67</v>
      </c>
      <c r="B14" s="4" t="s">
        <v>30</v>
      </c>
      <c r="C14" s="4" t="s">
        <v>68</v>
      </c>
      <c r="D14" s="4" t="n">
        <f aca="false">IFERROR(UPD2c!L14,"")</f>
        <v>2.5</v>
      </c>
      <c r="E14" s="4" t="s">
        <v>56</v>
      </c>
      <c r="F14" s="5"/>
      <c r="G14" s="5"/>
      <c r="H14" s="6" t="str">
        <f aca="false">IF(OR(F14="",NOT(ISNUMBER(D14))),"",IF(ABS(F14-D14)&lt;0.001,"Yes","No"))</f>
        <v/>
      </c>
      <c r="I14" s="7" t="n">
        <f aca="false">IF(ISNUMBER(F14),F14,D14)</f>
        <v>2.5</v>
      </c>
      <c r="J14" s="6" t="str">
        <f aca="false">IF(ISNUMBER(F14),"Expert (overrides AI)",IF(ISNUMBER(D14),"AI","Not scored yet"))</f>
        <v>AI</v>
      </c>
      <c r="K14" s="4" t="s">
        <v>22</v>
      </c>
      <c r="L14" s="4" t="s">
        <v>23</v>
      </c>
      <c r="M14" s="4" t="s">
        <v>69</v>
      </c>
      <c r="N14" s="4" t="s">
        <v>70</v>
      </c>
      <c r="O14" s="4" t="s">
        <v>71</v>
      </c>
      <c r="P14" s="4" t="s">
        <v>72</v>
      </c>
      <c r="Q14" s="4" t="s">
        <v>73</v>
      </c>
      <c r="R14" s="4" t="s">
        <v>29</v>
      </c>
    </row>
    <row r="15" customFormat="false" ht="93" hidden="false" customHeight="true" outlineLevel="0" collapsed="false">
      <c r="A15" s="3" t="s">
        <v>74</v>
      </c>
      <c r="B15" s="4" t="s">
        <v>30</v>
      </c>
      <c r="C15" s="4" t="s">
        <v>75</v>
      </c>
      <c r="D15" s="4" t="str">
        <f aca="false">IFERROR(UPD2d!L14,"")</f>
        <v/>
      </c>
      <c r="E15" s="4" t="s">
        <v>56</v>
      </c>
      <c r="F15" s="5"/>
      <c r="G15" s="5"/>
      <c r="H15" s="6" t="str">
        <f aca="false">IF(OR(F15="",NOT(ISNUMBER(D15))),"",IF(ABS(F15-D15)&lt;0.001,"Yes","No"))</f>
        <v/>
      </c>
      <c r="I15" s="7" t="str">
        <f aca="false">IF(ISNUMBER(F15),F15,D15)</f>
        <v/>
      </c>
      <c r="J15" s="6" t="str">
        <f aca="false">IF(ISNUMBER(F15),"Expert (overrides AI)",IF(ISNUMBER(D15),"AI","Not scored yet"))</f>
        <v>Not scored yet</v>
      </c>
      <c r="K15" s="4" t="s">
        <v>22</v>
      </c>
      <c r="L15" s="4" t="s">
        <v>31</v>
      </c>
      <c r="M15" s="4"/>
      <c r="N15" s="4"/>
      <c r="O15" s="4"/>
      <c r="P15" s="4"/>
      <c r="Q15" s="4"/>
      <c r="R15" s="4" t="s">
        <v>76</v>
      </c>
    </row>
    <row r="16" customFormat="false" ht="93" hidden="false" customHeight="true" outlineLevel="0" collapsed="false">
      <c r="A16" s="3" t="s">
        <v>77</v>
      </c>
      <c r="B16" s="4" t="s">
        <v>19</v>
      </c>
      <c r="C16" s="4" t="s">
        <v>78</v>
      </c>
      <c r="D16" s="4" t="n">
        <f aca="false">IFERROR(UPD3a!L13,"")</f>
        <v>2.5</v>
      </c>
      <c r="E16" s="4" t="s">
        <v>21</v>
      </c>
      <c r="F16" s="5"/>
      <c r="G16" s="5"/>
      <c r="H16" s="6" t="str">
        <f aca="false">IF(OR(F16="",NOT(ISNUMBER(D16))),"",IF(ABS(F16-D16)&lt;0.001,"Yes","No"))</f>
        <v/>
      </c>
      <c r="I16" s="7" t="n">
        <f aca="false">IF(ISNUMBER(F16),F16,D16)</f>
        <v>2.5</v>
      </c>
      <c r="J16" s="6" t="str">
        <f aca="false">IF(ISNUMBER(F16),"Expert (overrides AI)",IF(ISNUMBER(D16),"AI","Not scored yet"))</f>
        <v>AI</v>
      </c>
      <c r="K16" s="4" t="s">
        <v>22</v>
      </c>
      <c r="L16" s="4" t="s">
        <v>23</v>
      </c>
      <c r="M16" s="4" t="s">
        <v>79</v>
      </c>
      <c r="N16" s="4" t="s">
        <v>80</v>
      </c>
      <c r="O16" s="4" t="s">
        <v>81</v>
      </c>
      <c r="P16" s="4" t="s">
        <v>82</v>
      </c>
      <c r="Q16" s="4" t="s">
        <v>83</v>
      </c>
      <c r="R16" s="4" t="s">
        <v>29</v>
      </c>
    </row>
    <row r="17" customFormat="false" ht="93" hidden="false" customHeight="true" outlineLevel="0" collapsed="false">
      <c r="A17" s="3" t="s">
        <v>84</v>
      </c>
      <c r="B17" s="4" t="s">
        <v>19</v>
      </c>
      <c r="C17" s="4" t="s">
        <v>85</v>
      </c>
      <c r="D17" s="4" t="n">
        <f aca="false">IFERROR(UPD3b!L13,"")</f>
        <v>2.5</v>
      </c>
      <c r="E17" s="4" t="s">
        <v>21</v>
      </c>
      <c r="F17" s="5"/>
      <c r="G17" s="5"/>
      <c r="H17" s="6" t="str">
        <f aca="false">IF(OR(F17="",NOT(ISNUMBER(D17))),"",IF(ABS(F17-D17)&lt;0.001,"Yes","No"))</f>
        <v/>
      </c>
      <c r="I17" s="7" t="n">
        <f aca="false">IF(ISNUMBER(F17),F17,D17)</f>
        <v>2.5</v>
      </c>
      <c r="J17" s="6" t="str">
        <f aca="false">IF(ISNUMBER(F17),"Expert (overrides AI)",IF(ISNUMBER(D17),"AI","Not scored yet"))</f>
        <v>AI</v>
      </c>
      <c r="K17" s="4" t="s">
        <v>22</v>
      </c>
      <c r="L17" s="4" t="s">
        <v>31</v>
      </c>
      <c r="M17" s="4"/>
      <c r="N17" s="4"/>
      <c r="O17" s="4"/>
      <c r="P17" s="4"/>
      <c r="Q17" s="4"/>
      <c r="R17" s="4" t="s">
        <v>86</v>
      </c>
    </row>
    <row r="18" customFormat="false" ht="93" hidden="false" customHeight="true" outlineLevel="0" collapsed="false">
      <c r="A18" s="3" t="s">
        <v>87</v>
      </c>
      <c r="B18" s="4" t="s">
        <v>30</v>
      </c>
      <c r="C18" s="4" t="s">
        <v>88</v>
      </c>
      <c r="D18" s="4" t="n">
        <f aca="false">IFERROR(UPD4a!L14,"")</f>
        <v>2.5</v>
      </c>
      <c r="E18" s="4" t="s">
        <v>21</v>
      </c>
      <c r="F18" s="5"/>
      <c r="G18" s="5"/>
      <c r="H18" s="6" t="str">
        <f aca="false">IF(OR(F18="",NOT(ISNUMBER(D18))),"",IF(ABS(F18-D18)&lt;0.001,"Yes","No"))</f>
        <v/>
      </c>
      <c r="I18" s="7" t="n">
        <f aca="false">IF(ISNUMBER(F18),F18,D18)</f>
        <v>2.5</v>
      </c>
      <c r="J18" s="6" t="str">
        <f aca="false">IF(ISNUMBER(F18),"Expert (overrides AI)",IF(ISNUMBER(D18),"AI","Not scored yet"))</f>
        <v>AI</v>
      </c>
      <c r="K18" s="4" t="s">
        <v>89</v>
      </c>
      <c r="L18" s="4" t="s">
        <v>23</v>
      </c>
      <c r="M18" s="4" t="s">
        <v>90</v>
      </c>
      <c r="N18" s="4" t="s">
        <v>70</v>
      </c>
      <c r="O18" s="4" t="s">
        <v>71</v>
      </c>
      <c r="P18" s="4" t="s">
        <v>91</v>
      </c>
      <c r="Q18" s="4" t="s">
        <v>92</v>
      </c>
      <c r="R18" s="4"/>
    </row>
    <row r="19" customFormat="false" ht="93" hidden="false" customHeight="true" outlineLevel="0" collapsed="false">
      <c r="A19" s="3" t="s">
        <v>93</v>
      </c>
      <c r="B19" s="4" t="s">
        <v>30</v>
      </c>
      <c r="C19" s="4" t="s">
        <v>94</v>
      </c>
      <c r="D19" s="4" t="n">
        <f aca="false">IFERROR(UPD4b!L14,"")</f>
        <v>1.25</v>
      </c>
      <c r="E19" s="4" t="s">
        <v>21</v>
      </c>
      <c r="F19" s="5"/>
      <c r="G19" s="5"/>
      <c r="H19" s="6" t="str">
        <f aca="false">IF(OR(F19="",NOT(ISNUMBER(D19))),"",IF(ABS(F19-D19)&lt;0.001,"Yes","No"))</f>
        <v/>
      </c>
      <c r="I19" s="7" t="n">
        <f aca="false">IF(ISNUMBER(F19),F19,D19)</f>
        <v>1.25</v>
      </c>
      <c r="J19" s="6" t="str">
        <f aca="false">IF(ISNUMBER(F19),"Expert (overrides AI)",IF(ISNUMBER(D19),"AI","Not scored yet"))</f>
        <v>AI</v>
      </c>
      <c r="K19" s="4" t="s">
        <v>22</v>
      </c>
      <c r="L19" s="4" t="s">
        <v>23</v>
      </c>
      <c r="M19" s="4" t="s">
        <v>95</v>
      </c>
      <c r="N19" s="4" t="s">
        <v>96</v>
      </c>
      <c r="O19" s="4" t="s">
        <v>97</v>
      </c>
      <c r="P19" s="4" t="s">
        <v>98</v>
      </c>
      <c r="Q19" s="4" t="s">
        <v>99</v>
      </c>
      <c r="R19" s="4" t="s">
        <v>29</v>
      </c>
    </row>
    <row r="20" customFormat="false" ht="93" hidden="false" customHeight="true" outlineLevel="0" collapsed="false">
      <c r="A20" s="3" t="s">
        <v>100</v>
      </c>
      <c r="B20" s="4" t="s">
        <v>19</v>
      </c>
      <c r="C20" s="4" t="s">
        <v>101</v>
      </c>
      <c r="D20" s="4" t="n">
        <f aca="false">IFERROR(UPD5a!L13,"")</f>
        <v>2.5</v>
      </c>
      <c r="E20" s="4" t="s">
        <v>21</v>
      </c>
      <c r="F20" s="5"/>
      <c r="G20" s="5"/>
      <c r="H20" s="6" t="str">
        <f aca="false">IF(OR(F20="",NOT(ISNUMBER(D20))),"",IF(ABS(F20-D20)&lt;0.001,"Yes","No"))</f>
        <v/>
      </c>
      <c r="I20" s="7" t="n">
        <f aca="false">IF(ISNUMBER(F20),F20,D20)</f>
        <v>2.5</v>
      </c>
      <c r="J20" s="6" t="str">
        <f aca="false">IF(ISNUMBER(F20),"Expert (overrides AI)",IF(ISNUMBER(D20),"AI","Not scored yet"))</f>
        <v>AI</v>
      </c>
      <c r="K20" s="4" t="s">
        <v>22</v>
      </c>
      <c r="L20" s="4" t="s">
        <v>102</v>
      </c>
      <c r="M20" s="4" t="s">
        <v>103</v>
      </c>
      <c r="N20" s="4"/>
      <c r="O20" s="4"/>
      <c r="P20" s="4"/>
      <c r="Q20" s="4"/>
      <c r="R20" s="4" t="s">
        <v>104</v>
      </c>
    </row>
    <row r="21" customFormat="false" ht="93" hidden="false" customHeight="true" outlineLevel="0" collapsed="false">
      <c r="A21" s="3" t="s">
        <v>105</v>
      </c>
      <c r="B21" s="4" t="s">
        <v>19</v>
      </c>
      <c r="C21" s="4" t="s">
        <v>106</v>
      </c>
      <c r="D21" s="4" t="n">
        <f aca="false">IFERROR(UPD5b!L13,"")</f>
        <v>3.75</v>
      </c>
      <c r="E21" s="4" t="s">
        <v>21</v>
      </c>
      <c r="F21" s="5"/>
      <c r="G21" s="5"/>
      <c r="H21" s="6" t="str">
        <f aca="false">IF(OR(F21="",NOT(ISNUMBER(D21))),"",IF(ABS(F21-D21)&lt;0.001,"Yes","No"))</f>
        <v/>
      </c>
      <c r="I21" s="7" t="n">
        <f aca="false">IF(ISNUMBER(F21),F21,D21)</f>
        <v>3.75</v>
      </c>
      <c r="J21" s="6" t="str">
        <f aca="false">IF(ISNUMBER(F21),"Expert (overrides AI)",IF(ISNUMBER(D21),"AI","Not scored yet"))</f>
        <v>AI</v>
      </c>
      <c r="K21" s="4" t="s">
        <v>89</v>
      </c>
      <c r="L21" s="4" t="s">
        <v>23</v>
      </c>
      <c r="M21" s="4" t="s">
        <v>107</v>
      </c>
      <c r="N21" s="4" t="s">
        <v>108</v>
      </c>
      <c r="O21" s="4" t="s">
        <v>109</v>
      </c>
      <c r="P21" s="4" t="s">
        <v>110</v>
      </c>
      <c r="Q21" s="4" t="s">
        <v>111</v>
      </c>
      <c r="R21" s="4"/>
    </row>
    <row r="22" customFormat="false" ht="93" hidden="false" customHeight="true" outlineLevel="0" collapsed="false">
      <c r="A22" s="3" t="s">
        <v>112</v>
      </c>
      <c r="B22" s="4" t="s">
        <v>30</v>
      </c>
      <c r="C22" s="4" t="s">
        <v>113</v>
      </c>
      <c r="D22" s="4" t="n">
        <f aca="false">IFERROR(UPD6a!L14,"")</f>
        <v>2.5</v>
      </c>
      <c r="E22" s="4" t="s">
        <v>21</v>
      </c>
      <c r="F22" s="5"/>
      <c r="G22" s="5"/>
      <c r="H22" s="6" t="str">
        <f aca="false">IF(OR(F22="",NOT(ISNUMBER(D22))),"",IF(ABS(F22-D22)&lt;0.001,"Yes","No"))</f>
        <v/>
      </c>
      <c r="I22" s="7" t="n">
        <f aca="false">IF(ISNUMBER(F22),F22,D22)</f>
        <v>2.5</v>
      </c>
      <c r="J22" s="6" t="str">
        <f aca="false">IF(ISNUMBER(F22),"Expert (overrides AI)",IF(ISNUMBER(D22),"AI","Not scored yet"))</f>
        <v>AI</v>
      </c>
      <c r="K22" s="4" t="s">
        <v>22</v>
      </c>
      <c r="L22" s="4" t="s">
        <v>23</v>
      </c>
      <c r="M22" s="4" t="s">
        <v>114</v>
      </c>
      <c r="N22" s="4"/>
      <c r="O22" s="4"/>
      <c r="P22" s="4"/>
      <c r="Q22" s="4" t="s">
        <v>115</v>
      </c>
      <c r="R22" s="4" t="s">
        <v>116</v>
      </c>
    </row>
    <row r="23" customFormat="false" ht="93" hidden="false" customHeight="true" outlineLevel="0" collapsed="false">
      <c r="A23" s="3" t="s">
        <v>117</v>
      </c>
      <c r="B23" s="4" t="s">
        <v>30</v>
      </c>
      <c r="C23" s="4" t="s">
        <v>118</v>
      </c>
      <c r="D23" s="4" t="n">
        <f aca="false">IFERROR(UPD6b!L14,"")</f>
        <v>1.25</v>
      </c>
      <c r="E23" s="4" t="s">
        <v>21</v>
      </c>
      <c r="F23" s="5"/>
      <c r="G23" s="5"/>
      <c r="H23" s="6" t="str">
        <f aca="false">IF(OR(F23="",NOT(ISNUMBER(D23))),"",IF(ABS(F23-D23)&lt;0.001,"Yes","No"))</f>
        <v/>
      </c>
      <c r="I23" s="7" t="n">
        <f aca="false">IF(ISNUMBER(F23),F23,D23)</f>
        <v>1.25</v>
      </c>
      <c r="J23" s="6" t="str">
        <f aca="false">IF(ISNUMBER(F23),"Expert (overrides AI)",IF(ISNUMBER(D23),"AI","Not scored yet"))</f>
        <v>AI</v>
      </c>
      <c r="K23" s="4" t="s">
        <v>22</v>
      </c>
      <c r="L23" s="4" t="s">
        <v>31</v>
      </c>
      <c r="M23" s="4"/>
      <c r="N23" s="4"/>
      <c r="O23" s="4"/>
      <c r="P23" s="4"/>
      <c r="Q23" s="4"/>
      <c r="R23" s="4" t="s">
        <v>119</v>
      </c>
    </row>
    <row r="24" customFormat="false" ht="93" hidden="false" customHeight="true" outlineLevel="0" collapsed="false">
      <c r="A24" s="3" t="s">
        <v>120</v>
      </c>
      <c r="B24" s="4" t="s">
        <v>19</v>
      </c>
      <c r="C24" s="4" t="s">
        <v>121</v>
      </c>
      <c r="D24" s="4" t="n">
        <f aca="false">IFERROR(DPG1a!L13,"")</f>
        <v>0</v>
      </c>
      <c r="E24" s="4" t="s">
        <v>21</v>
      </c>
      <c r="F24" s="5"/>
      <c r="G24" s="5"/>
      <c r="H24" s="6" t="str">
        <f aca="false">IF(OR(F24="",NOT(ISNUMBER(D24))),"",IF(ABS(F24-D24)&lt;0.001,"Yes","No"))</f>
        <v/>
      </c>
      <c r="I24" s="7" t="n">
        <f aca="false">IF(ISNUMBER(F24),F24,D24)</f>
        <v>0</v>
      </c>
      <c r="J24" s="6" t="str">
        <f aca="false">IF(ISNUMBER(F24),"Expert (overrides AI)",IF(ISNUMBER(D24),"AI","Not scored yet"))</f>
        <v>AI</v>
      </c>
      <c r="K24" s="4" t="s">
        <v>22</v>
      </c>
      <c r="L24" s="4" t="s">
        <v>23</v>
      </c>
      <c r="M24" s="4" t="s">
        <v>122</v>
      </c>
      <c r="N24" s="4" t="s">
        <v>123</v>
      </c>
      <c r="O24" s="4" t="s">
        <v>124</v>
      </c>
      <c r="P24" s="4" t="s">
        <v>125</v>
      </c>
      <c r="Q24" s="4" t="s">
        <v>126</v>
      </c>
      <c r="R24" s="4" t="s">
        <v>29</v>
      </c>
    </row>
    <row r="25" customFormat="false" ht="93" hidden="false" customHeight="true" outlineLevel="0" collapsed="false">
      <c r="A25" s="3" t="s">
        <v>120</v>
      </c>
      <c r="B25" s="4" t="s">
        <v>30</v>
      </c>
      <c r="C25" s="4" t="s">
        <v>121</v>
      </c>
      <c r="D25" s="4" t="str">
        <f aca="false">IFERROR(DPG1a!L14,"")</f>
        <v/>
      </c>
      <c r="E25" s="4" t="s">
        <v>21</v>
      </c>
      <c r="F25" s="5"/>
      <c r="G25" s="5"/>
      <c r="H25" s="6" t="str">
        <f aca="false">IF(OR(F25="",NOT(ISNUMBER(D25))),"",IF(ABS(F25-D25)&lt;0.001,"Yes","No"))</f>
        <v/>
      </c>
      <c r="I25" s="7" t="str">
        <f aca="false">IF(ISNUMBER(F25),F25,D25)</f>
        <v/>
      </c>
      <c r="J25" s="6" t="str">
        <f aca="false">IF(ISNUMBER(F25),"Expert (overrides AI)",IF(ISNUMBER(D25),"AI","Not scored yet"))</f>
        <v>Not scored yet</v>
      </c>
      <c r="K25" s="4" t="s">
        <v>22</v>
      </c>
      <c r="L25" s="4" t="s">
        <v>31</v>
      </c>
      <c r="M25" s="4"/>
      <c r="N25" s="4"/>
      <c r="O25" s="4"/>
      <c r="P25" s="4"/>
      <c r="Q25" s="4"/>
      <c r="R25" s="4" t="s">
        <v>127</v>
      </c>
    </row>
    <row r="26" customFormat="false" ht="93" hidden="false" customHeight="true" outlineLevel="0" collapsed="false">
      <c r="A26" s="3" t="s">
        <v>120</v>
      </c>
      <c r="B26" s="4" t="s">
        <v>33</v>
      </c>
      <c r="C26" s="4" t="s">
        <v>121</v>
      </c>
      <c r="D26" s="4" t="n">
        <f aca="false">IFERROR(DPG1a!L15,"")</f>
        <v>0</v>
      </c>
      <c r="E26" s="4" t="s">
        <v>21</v>
      </c>
      <c r="F26" s="5"/>
      <c r="G26" s="5"/>
      <c r="H26" s="6" t="str">
        <f aca="false">IF(OR(F26="",NOT(ISNUMBER(D26))),"",IF(ABS(F26-D26)&lt;0.001,"Yes","No"))</f>
        <v/>
      </c>
      <c r="I26" s="7" t="n">
        <f aca="false">IF(ISNUMBER(F26),F26,D26)</f>
        <v>0</v>
      </c>
      <c r="J26" s="6" t="str">
        <f aca="false">IF(ISNUMBER(F26),"Expert (overrides AI)",IF(ISNUMBER(D26),"AI","Not scored yet"))</f>
        <v>AI</v>
      </c>
      <c r="K26" s="4" t="s">
        <v>22</v>
      </c>
      <c r="L26" s="4" t="s">
        <v>23</v>
      </c>
      <c r="M26" s="4" t="s">
        <v>128</v>
      </c>
      <c r="N26" s="4" t="s">
        <v>129</v>
      </c>
      <c r="O26" s="4" t="s">
        <v>124</v>
      </c>
      <c r="P26" s="4" t="s">
        <v>130</v>
      </c>
      <c r="Q26" s="4" t="s">
        <v>131</v>
      </c>
      <c r="R26" s="4" t="s">
        <v>29</v>
      </c>
    </row>
    <row r="27" customFormat="false" ht="93" hidden="false" customHeight="true" outlineLevel="0" collapsed="false">
      <c r="A27" s="3" t="s">
        <v>120</v>
      </c>
      <c r="B27" s="4" t="s">
        <v>39</v>
      </c>
      <c r="C27" s="4" t="s">
        <v>121</v>
      </c>
      <c r="D27" s="4" t="n">
        <f aca="false">IFERROR(DPG1a!L16,"")</f>
        <v>5</v>
      </c>
      <c r="E27" s="4" t="s">
        <v>21</v>
      </c>
      <c r="F27" s="5"/>
      <c r="G27" s="5"/>
      <c r="H27" s="6" t="str">
        <f aca="false">IF(OR(F27="",NOT(ISNUMBER(D27))),"",IF(ABS(F27-D27)&lt;0.001,"Yes","No"))</f>
        <v/>
      </c>
      <c r="I27" s="7" t="n">
        <f aca="false">IF(ISNUMBER(F27),F27,D27)</f>
        <v>5</v>
      </c>
      <c r="J27" s="6" t="str">
        <f aca="false">IF(ISNUMBER(F27),"Expert (overrides AI)",IF(ISNUMBER(D27),"AI","Not scored yet"))</f>
        <v>AI</v>
      </c>
      <c r="K27" s="4" t="s">
        <v>22</v>
      </c>
      <c r="L27" s="4" t="s">
        <v>23</v>
      </c>
      <c r="M27" s="4" t="s">
        <v>132</v>
      </c>
      <c r="N27" s="4" t="s">
        <v>133</v>
      </c>
      <c r="O27" s="4" t="s">
        <v>124</v>
      </c>
      <c r="P27" s="4" t="s">
        <v>134</v>
      </c>
      <c r="Q27" s="4" t="s">
        <v>135</v>
      </c>
      <c r="R27" s="4" t="s">
        <v>29</v>
      </c>
    </row>
    <row r="28" customFormat="false" ht="93" hidden="false" customHeight="true" outlineLevel="0" collapsed="false">
      <c r="A28" s="3" t="s">
        <v>120</v>
      </c>
      <c r="B28" s="4" t="s">
        <v>41</v>
      </c>
      <c r="C28" s="4" t="s">
        <v>121</v>
      </c>
      <c r="D28" s="4" t="str">
        <f aca="false">IFERROR(DPG1a!L17,"")</f>
        <v/>
      </c>
      <c r="E28" s="4" t="s">
        <v>21</v>
      </c>
      <c r="F28" s="5"/>
      <c r="G28" s="5"/>
      <c r="H28" s="6" t="str">
        <f aca="false">IF(OR(F28="",NOT(ISNUMBER(D28))),"",IF(ABS(F28-D28)&lt;0.001,"Yes","No"))</f>
        <v/>
      </c>
      <c r="I28" s="7" t="str">
        <f aca="false">IF(ISNUMBER(F28),F28,D28)</f>
        <v/>
      </c>
      <c r="J28" s="6" t="str">
        <f aca="false">IF(ISNUMBER(F28),"Expert (overrides AI)",IF(ISNUMBER(D28),"AI","Not scored yet"))</f>
        <v>Not scored yet</v>
      </c>
      <c r="K28" s="4" t="s">
        <v>22</v>
      </c>
      <c r="L28" s="4" t="s">
        <v>23</v>
      </c>
      <c r="M28" s="4" t="s">
        <v>136</v>
      </c>
      <c r="N28" s="4" t="s">
        <v>43</v>
      </c>
      <c r="O28" s="4" t="s">
        <v>44</v>
      </c>
      <c r="P28" s="4" t="s">
        <v>137</v>
      </c>
      <c r="Q28" s="4" t="s">
        <v>138</v>
      </c>
      <c r="R28" s="4" t="s">
        <v>29</v>
      </c>
    </row>
    <row r="29" customFormat="false" ht="93" hidden="false" customHeight="true" outlineLevel="0" collapsed="false">
      <c r="A29" s="3" t="s">
        <v>139</v>
      </c>
      <c r="B29" s="4" t="s">
        <v>19</v>
      </c>
      <c r="C29" s="4" t="s">
        <v>140</v>
      </c>
      <c r="D29" s="4" t="n">
        <f aca="false">IFERROR(DPG1b!L13,"")</f>
        <v>2.5</v>
      </c>
      <c r="E29" s="4" t="s">
        <v>21</v>
      </c>
      <c r="F29" s="5"/>
      <c r="G29" s="5"/>
      <c r="H29" s="6" t="str">
        <f aca="false">IF(OR(F29="",NOT(ISNUMBER(D29))),"",IF(ABS(F29-D29)&lt;0.001,"Yes","No"))</f>
        <v/>
      </c>
      <c r="I29" s="7" t="n">
        <f aca="false">IF(ISNUMBER(F29),F29,D29)</f>
        <v>2.5</v>
      </c>
      <c r="J29" s="6" t="str">
        <f aca="false">IF(ISNUMBER(F29),"Expert (overrides AI)",IF(ISNUMBER(D29),"AI","Not scored yet"))</f>
        <v>AI</v>
      </c>
      <c r="K29" s="4" t="s">
        <v>22</v>
      </c>
      <c r="L29" s="4" t="s">
        <v>23</v>
      </c>
      <c r="M29" s="4" t="s">
        <v>141</v>
      </c>
      <c r="N29" s="4" t="s">
        <v>25</v>
      </c>
      <c r="O29" s="4" t="s">
        <v>26</v>
      </c>
      <c r="P29" s="4" t="s">
        <v>142</v>
      </c>
      <c r="Q29" s="4" t="s">
        <v>143</v>
      </c>
      <c r="R29" s="4" t="s">
        <v>29</v>
      </c>
    </row>
    <row r="30" customFormat="false" ht="93" hidden="false" customHeight="true" outlineLevel="0" collapsed="false">
      <c r="A30" s="3" t="s">
        <v>139</v>
      </c>
      <c r="B30" s="4" t="s">
        <v>30</v>
      </c>
      <c r="C30" s="4" t="s">
        <v>140</v>
      </c>
      <c r="D30" s="4" t="str">
        <f aca="false">IFERROR(DPG1b!L14,"")</f>
        <v/>
      </c>
      <c r="E30" s="4" t="s">
        <v>21</v>
      </c>
      <c r="F30" s="5"/>
      <c r="G30" s="5"/>
      <c r="H30" s="6" t="str">
        <f aca="false">IF(OR(F30="",NOT(ISNUMBER(D30))),"",IF(ABS(F30-D30)&lt;0.001,"Yes","No"))</f>
        <v/>
      </c>
      <c r="I30" s="7" t="str">
        <f aca="false">IF(ISNUMBER(F30),F30,D30)</f>
        <v/>
      </c>
      <c r="J30" s="6" t="str">
        <f aca="false">IF(ISNUMBER(F30),"Expert (overrides AI)",IF(ISNUMBER(D30),"AI","Not scored yet"))</f>
        <v>Not scored yet</v>
      </c>
      <c r="K30" s="4" t="s">
        <v>22</v>
      </c>
      <c r="L30" s="4" t="s">
        <v>31</v>
      </c>
      <c r="M30" s="4"/>
      <c r="N30" s="4"/>
      <c r="O30" s="4"/>
      <c r="P30" s="4"/>
      <c r="Q30" s="4"/>
      <c r="R30" s="4" t="s">
        <v>144</v>
      </c>
    </row>
    <row r="31" customFormat="false" ht="93" hidden="false" customHeight="true" outlineLevel="0" collapsed="false">
      <c r="A31" s="3" t="s">
        <v>139</v>
      </c>
      <c r="B31" s="4" t="s">
        <v>33</v>
      </c>
      <c r="C31" s="4" t="s">
        <v>140</v>
      </c>
      <c r="D31" s="4" t="n">
        <f aca="false">IFERROR(DPG1b!L15,"")</f>
        <v>2.5</v>
      </c>
      <c r="E31" s="4" t="s">
        <v>21</v>
      </c>
      <c r="F31" s="5"/>
      <c r="G31" s="5"/>
      <c r="H31" s="6" t="str">
        <f aca="false">IF(OR(F31="",NOT(ISNUMBER(D31))),"",IF(ABS(F31-D31)&lt;0.001,"Yes","No"))</f>
        <v/>
      </c>
      <c r="I31" s="7" t="n">
        <f aca="false">IF(ISNUMBER(F31),F31,D31)</f>
        <v>2.5</v>
      </c>
      <c r="J31" s="6" t="str">
        <f aca="false">IF(ISNUMBER(F31),"Expert (overrides AI)",IF(ISNUMBER(D31),"AI","Not scored yet"))</f>
        <v>AI</v>
      </c>
      <c r="K31" s="4" t="s">
        <v>22</v>
      </c>
      <c r="L31" s="4" t="s">
        <v>23</v>
      </c>
      <c r="M31" s="4" t="s">
        <v>145</v>
      </c>
      <c r="N31" s="4" t="s">
        <v>35</v>
      </c>
      <c r="O31" s="4" t="s">
        <v>36</v>
      </c>
      <c r="P31" s="4" t="s">
        <v>146</v>
      </c>
      <c r="Q31" s="4" t="s">
        <v>147</v>
      </c>
      <c r="R31" s="4" t="s">
        <v>29</v>
      </c>
    </row>
    <row r="32" customFormat="false" ht="93" hidden="false" customHeight="true" outlineLevel="0" collapsed="false">
      <c r="A32" s="3" t="s">
        <v>139</v>
      </c>
      <c r="B32" s="4" t="s">
        <v>39</v>
      </c>
      <c r="C32" s="4" t="s">
        <v>140</v>
      </c>
      <c r="D32" s="4" t="n">
        <f aca="false">IFERROR(DPG1b!L16,"")</f>
        <v>2.5</v>
      </c>
      <c r="E32" s="4" t="s">
        <v>21</v>
      </c>
      <c r="F32" s="5"/>
      <c r="G32" s="5"/>
      <c r="H32" s="6" t="str">
        <f aca="false">IF(OR(F32="",NOT(ISNUMBER(D32))),"",IF(ABS(F32-D32)&lt;0.001,"Yes","No"))</f>
        <v/>
      </c>
      <c r="I32" s="7" t="n">
        <f aca="false">IF(ISNUMBER(F32),F32,D32)</f>
        <v>2.5</v>
      </c>
      <c r="J32" s="6" t="str">
        <f aca="false">IF(ISNUMBER(F32),"Expert (overrides AI)",IF(ISNUMBER(D32),"AI","Not scored yet"))</f>
        <v>AI</v>
      </c>
      <c r="K32" s="4" t="s">
        <v>22</v>
      </c>
      <c r="L32" s="4" t="s">
        <v>31</v>
      </c>
      <c r="M32" s="4"/>
      <c r="N32" s="4"/>
      <c r="O32" s="4"/>
      <c r="P32" s="4"/>
      <c r="Q32" s="4"/>
      <c r="R32" s="4" t="s">
        <v>148</v>
      </c>
    </row>
    <row r="33" customFormat="false" ht="93" hidden="false" customHeight="true" outlineLevel="0" collapsed="false">
      <c r="A33" s="3" t="s">
        <v>139</v>
      </c>
      <c r="B33" s="4" t="s">
        <v>41</v>
      </c>
      <c r="C33" s="4" t="s">
        <v>140</v>
      </c>
      <c r="D33" s="4" t="n">
        <f aca="false">IFERROR(DPG1b!L17,"")</f>
        <v>5</v>
      </c>
      <c r="E33" s="4" t="s">
        <v>21</v>
      </c>
      <c r="F33" s="5"/>
      <c r="G33" s="5"/>
      <c r="H33" s="6" t="str">
        <f aca="false">IF(OR(F33="",NOT(ISNUMBER(D33))),"",IF(ABS(F33-D33)&lt;0.001,"Yes","No"))</f>
        <v/>
      </c>
      <c r="I33" s="7" t="n">
        <f aca="false">IF(ISNUMBER(F33),F33,D33)</f>
        <v>5</v>
      </c>
      <c r="J33" s="6" t="str">
        <f aca="false">IF(ISNUMBER(F33),"Expert (overrides AI)",IF(ISNUMBER(D33),"AI","Not scored yet"))</f>
        <v>AI</v>
      </c>
      <c r="K33" s="4" t="s">
        <v>22</v>
      </c>
      <c r="L33" s="4" t="s">
        <v>23</v>
      </c>
      <c r="M33" s="4" t="s">
        <v>149</v>
      </c>
      <c r="N33" s="4" t="s">
        <v>43</v>
      </c>
      <c r="O33" s="4" t="s">
        <v>44</v>
      </c>
      <c r="P33" s="4" t="s">
        <v>150</v>
      </c>
      <c r="Q33" s="4" t="s">
        <v>151</v>
      </c>
      <c r="R33" s="4" t="s">
        <v>29</v>
      </c>
    </row>
    <row r="34" customFormat="false" ht="93" hidden="false" customHeight="true" outlineLevel="0" collapsed="false">
      <c r="A34" s="3" t="s">
        <v>152</v>
      </c>
      <c r="B34" s="4" t="s">
        <v>19</v>
      </c>
      <c r="C34" s="4" t="s">
        <v>153</v>
      </c>
      <c r="D34" s="4" t="n">
        <f aca="false">IFERROR(DPG2a!L13,"")</f>
        <v>0</v>
      </c>
      <c r="E34" s="4" t="s">
        <v>21</v>
      </c>
      <c r="F34" s="5"/>
      <c r="G34" s="5"/>
      <c r="H34" s="6" t="str">
        <f aca="false">IF(OR(F34="",NOT(ISNUMBER(D34))),"",IF(ABS(F34-D34)&lt;0.001,"Yes","No"))</f>
        <v/>
      </c>
      <c r="I34" s="7" t="n">
        <f aca="false">IF(ISNUMBER(F34),F34,D34)</f>
        <v>0</v>
      </c>
      <c r="J34" s="6" t="str">
        <f aca="false">IF(ISNUMBER(F34),"Expert (overrides AI)",IF(ISNUMBER(D34),"AI","Not scored yet"))</f>
        <v>AI</v>
      </c>
      <c r="K34" s="4" t="s">
        <v>22</v>
      </c>
      <c r="L34" s="4" t="s">
        <v>23</v>
      </c>
      <c r="M34" s="4" t="s">
        <v>154</v>
      </c>
      <c r="N34" s="4" t="s">
        <v>25</v>
      </c>
      <c r="O34" s="4" t="s">
        <v>26</v>
      </c>
      <c r="P34" s="4" t="s">
        <v>155</v>
      </c>
      <c r="Q34" s="4" t="s">
        <v>156</v>
      </c>
      <c r="R34" s="4" t="s">
        <v>29</v>
      </c>
    </row>
    <row r="35" customFormat="false" ht="93" hidden="false" customHeight="true" outlineLevel="0" collapsed="false">
      <c r="A35" s="3" t="s">
        <v>152</v>
      </c>
      <c r="B35" s="4" t="s">
        <v>30</v>
      </c>
      <c r="C35" s="4" t="s">
        <v>153</v>
      </c>
      <c r="D35" s="4" t="str">
        <f aca="false">IFERROR(DPG2a!L14,"")</f>
        <v/>
      </c>
      <c r="E35" s="4" t="s">
        <v>21</v>
      </c>
      <c r="F35" s="5"/>
      <c r="G35" s="5"/>
      <c r="H35" s="6" t="str">
        <f aca="false">IF(OR(F35="",NOT(ISNUMBER(D35))),"",IF(ABS(F35-D35)&lt;0.001,"Yes","No"))</f>
        <v/>
      </c>
      <c r="I35" s="7" t="str">
        <f aca="false">IF(ISNUMBER(F35),F35,D35)</f>
        <v/>
      </c>
      <c r="J35" s="6" t="str">
        <f aca="false">IF(ISNUMBER(F35),"Expert (overrides AI)",IF(ISNUMBER(D35),"AI","Not scored yet"))</f>
        <v>Not scored yet</v>
      </c>
      <c r="K35" s="4" t="s">
        <v>22</v>
      </c>
      <c r="L35" s="4" t="s">
        <v>31</v>
      </c>
      <c r="M35" s="4"/>
      <c r="N35" s="4"/>
      <c r="O35" s="4"/>
      <c r="P35" s="4"/>
      <c r="Q35" s="4"/>
      <c r="R35" s="4" t="s">
        <v>157</v>
      </c>
    </row>
    <row r="36" customFormat="false" ht="93" hidden="false" customHeight="true" outlineLevel="0" collapsed="false">
      <c r="A36" s="3" t="s">
        <v>152</v>
      </c>
      <c r="B36" s="4" t="s">
        <v>33</v>
      </c>
      <c r="C36" s="4" t="s">
        <v>153</v>
      </c>
      <c r="D36" s="4" t="n">
        <f aca="false">IFERROR(DPG2a!L15,"")</f>
        <v>5</v>
      </c>
      <c r="E36" s="4" t="s">
        <v>21</v>
      </c>
      <c r="F36" s="5"/>
      <c r="G36" s="5"/>
      <c r="H36" s="6" t="str">
        <f aca="false">IF(OR(F36="",NOT(ISNUMBER(D36))),"",IF(ABS(F36-D36)&lt;0.001,"Yes","No"))</f>
        <v/>
      </c>
      <c r="I36" s="7" t="n">
        <f aca="false">IF(ISNUMBER(F36),F36,D36)</f>
        <v>5</v>
      </c>
      <c r="J36" s="6" t="str">
        <f aca="false">IF(ISNUMBER(F36),"Expert (overrides AI)",IF(ISNUMBER(D36),"AI","Not scored yet"))</f>
        <v>AI</v>
      </c>
      <c r="K36" s="4" t="s">
        <v>22</v>
      </c>
      <c r="L36" s="4" t="s">
        <v>23</v>
      </c>
      <c r="M36" s="4" t="s">
        <v>158</v>
      </c>
      <c r="N36" s="4" t="s">
        <v>35</v>
      </c>
      <c r="O36" s="4" t="s">
        <v>36</v>
      </c>
      <c r="P36" s="4" t="s">
        <v>159</v>
      </c>
      <c r="Q36" s="4" t="s">
        <v>160</v>
      </c>
      <c r="R36" s="4" t="s">
        <v>29</v>
      </c>
    </row>
    <row r="37" customFormat="false" ht="93" hidden="false" customHeight="true" outlineLevel="0" collapsed="false">
      <c r="A37" s="3" t="s">
        <v>152</v>
      </c>
      <c r="B37" s="4" t="s">
        <v>39</v>
      </c>
      <c r="C37" s="4" t="s">
        <v>153</v>
      </c>
      <c r="D37" s="4" t="n">
        <f aca="false">IFERROR(DPG2a!L16,"")</f>
        <v>0</v>
      </c>
      <c r="E37" s="4" t="s">
        <v>21</v>
      </c>
      <c r="F37" s="5"/>
      <c r="G37" s="5"/>
      <c r="H37" s="6" t="str">
        <f aca="false">IF(OR(F37="",NOT(ISNUMBER(D37))),"",IF(ABS(F37-D37)&lt;0.001,"Yes","No"))</f>
        <v/>
      </c>
      <c r="I37" s="7" t="n">
        <f aca="false">IF(ISNUMBER(F37),F37,D37)</f>
        <v>0</v>
      </c>
      <c r="J37" s="6" t="str">
        <f aca="false">IF(ISNUMBER(F37),"Expert (overrides AI)",IF(ISNUMBER(D37),"AI","Not scored yet"))</f>
        <v>AI</v>
      </c>
      <c r="K37" s="4" t="s">
        <v>22</v>
      </c>
      <c r="L37" s="4" t="s">
        <v>23</v>
      </c>
      <c r="M37" s="4" t="s">
        <v>161</v>
      </c>
      <c r="N37" s="4" t="s">
        <v>162</v>
      </c>
      <c r="O37" s="4" t="s">
        <v>163</v>
      </c>
      <c r="P37" s="4" t="s">
        <v>164</v>
      </c>
      <c r="Q37" s="4" t="s">
        <v>165</v>
      </c>
      <c r="R37" s="4" t="s">
        <v>29</v>
      </c>
    </row>
    <row r="38" customFormat="false" ht="93" hidden="false" customHeight="true" outlineLevel="0" collapsed="false">
      <c r="A38" s="3" t="s">
        <v>152</v>
      </c>
      <c r="B38" s="4" t="s">
        <v>41</v>
      </c>
      <c r="C38" s="4" t="s">
        <v>153</v>
      </c>
      <c r="D38" s="4" t="n">
        <f aca="false">IFERROR(DPG2a!L17,"")</f>
        <v>5</v>
      </c>
      <c r="E38" s="4" t="s">
        <v>21</v>
      </c>
      <c r="F38" s="5"/>
      <c r="G38" s="5"/>
      <c r="H38" s="6" t="str">
        <f aca="false">IF(OR(F38="",NOT(ISNUMBER(D38))),"",IF(ABS(F38-D38)&lt;0.001,"Yes","No"))</f>
        <v/>
      </c>
      <c r="I38" s="7" t="n">
        <f aca="false">IF(ISNUMBER(F38),F38,D38)</f>
        <v>5</v>
      </c>
      <c r="J38" s="6" t="str">
        <f aca="false">IF(ISNUMBER(F38),"Expert (overrides AI)",IF(ISNUMBER(D38),"AI","Not scored yet"))</f>
        <v>AI</v>
      </c>
      <c r="K38" s="4" t="s">
        <v>22</v>
      </c>
      <c r="L38" s="4" t="s">
        <v>23</v>
      </c>
      <c r="M38" s="4" t="s">
        <v>166</v>
      </c>
      <c r="N38" s="4" t="s">
        <v>43</v>
      </c>
      <c r="O38" s="4" t="s">
        <v>44</v>
      </c>
      <c r="P38" s="4" t="s">
        <v>167</v>
      </c>
      <c r="Q38" s="4" t="s">
        <v>168</v>
      </c>
      <c r="R38" s="4" t="s">
        <v>29</v>
      </c>
    </row>
    <row r="39" customFormat="false" ht="93" hidden="false" customHeight="true" outlineLevel="0" collapsed="false">
      <c r="A39" s="3" t="s">
        <v>169</v>
      </c>
      <c r="B39" s="4" t="s">
        <v>19</v>
      </c>
      <c r="C39" s="4" t="s">
        <v>170</v>
      </c>
      <c r="D39" s="4" t="n">
        <f aca="false">IFERROR(DPG2b!L13,"")</f>
        <v>0</v>
      </c>
      <c r="E39" s="4" t="s">
        <v>21</v>
      </c>
      <c r="F39" s="5"/>
      <c r="G39" s="5"/>
      <c r="H39" s="6" t="str">
        <f aca="false">IF(OR(F39="",NOT(ISNUMBER(D39))),"",IF(ABS(F39-D39)&lt;0.001,"Yes","No"))</f>
        <v/>
      </c>
      <c r="I39" s="7" t="n">
        <f aca="false">IF(ISNUMBER(F39),F39,D39)</f>
        <v>0</v>
      </c>
      <c r="J39" s="6" t="str">
        <f aca="false">IF(ISNUMBER(F39),"Expert (overrides AI)",IF(ISNUMBER(D39),"AI","Not scored yet"))</f>
        <v>AI</v>
      </c>
      <c r="K39" s="4" t="s">
        <v>22</v>
      </c>
      <c r="L39" s="4" t="s">
        <v>23</v>
      </c>
      <c r="M39" s="4" t="s">
        <v>171</v>
      </c>
      <c r="N39" s="4" t="s">
        <v>25</v>
      </c>
      <c r="O39" s="4" t="s">
        <v>26</v>
      </c>
      <c r="P39" s="4" t="s">
        <v>172</v>
      </c>
      <c r="Q39" s="4" t="s">
        <v>173</v>
      </c>
      <c r="R39" s="4" t="s">
        <v>29</v>
      </c>
    </row>
    <row r="40" customFormat="false" ht="93" hidden="false" customHeight="true" outlineLevel="0" collapsed="false">
      <c r="A40" s="3" t="s">
        <v>169</v>
      </c>
      <c r="B40" s="4" t="s">
        <v>30</v>
      </c>
      <c r="C40" s="4" t="s">
        <v>170</v>
      </c>
      <c r="D40" s="4" t="str">
        <f aca="false">IFERROR(DPG2b!L14,"")</f>
        <v/>
      </c>
      <c r="E40" s="4" t="s">
        <v>21</v>
      </c>
      <c r="F40" s="5"/>
      <c r="G40" s="5"/>
      <c r="H40" s="6" t="str">
        <f aca="false">IF(OR(F40="",NOT(ISNUMBER(D40))),"",IF(ABS(F40-D40)&lt;0.001,"Yes","No"))</f>
        <v/>
      </c>
      <c r="I40" s="7" t="str">
        <f aca="false">IF(ISNUMBER(F40),F40,D40)</f>
        <v/>
      </c>
      <c r="J40" s="6" t="str">
        <f aca="false">IF(ISNUMBER(F40),"Expert (overrides AI)",IF(ISNUMBER(D40),"AI","Not scored yet"))</f>
        <v>Not scored yet</v>
      </c>
      <c r="K40" s="4" t="s">
        <v>22</v>
      </c>
      <c r="L40" s="4" t="s">
        <v>31</v>
      </c>
      <c r="M40" s="4"/>
      <c r="N40" s="4"/>
      <c r="O40" s="4"/>
      <c r="P40" s="4"/>
      <c r="Q40" s="4"/>
      <c r="R40" s="4" t="s">
        <v>174</v>
      </c>
    </row>
    <row r="41" customFormat="false" ht="93" hidden="false" customHeight="true" outlineLevel="0" collapsed="false">
      <c r="A41" s="3" t="s">
        <v>169</v>
      </c>
      <c r="B41" s="4" t="s">
        <v>33</v>
      </c>
      <c r="C41" s="4" t="s">
        <v>170</v>
      </c>
      <c r="D41" s="4" t="n">
        <f aca="false">IFERROR(DPG2b!L15,"")</f>
        <v>0</v>
      </c>
      <c r="E41" s="4" t="s">
        <v>21</v>
      </c>
      <c r="F41" s="5"/>
      <c r="G41" s="5"/>
      <c r="H41" s="6" t="str">
        <f aca="false">IF(OR(F41="",NOT(ISNUMBER(D41))),"",IF(ABS(F41-D41)&lt;0.001,"Yes","No"))</f>
        <v/>
      </c>
      <c r="I41" s="7" t="n">
        <f aca="false">IF(ISNUMBER(F41),F41,D41)</f>
        <v>0</v>
      </c>
      <c r="J41" s="6" t="str">
        <f aca="false">IF(ISNUMBER(F41),"Expert (overrides AI)",IF(ISNUMBER(D41),"AI","Not scored yet"))</f>
        <v>AI</v>
      </c>
      <c r="K41" s="4" t="s">
        <v>22</v>
      </c>
      <c r="L41" s="4" t="s">
        <v>23</v>
      </c>
      <c r="M41" s="4" t="s">
        <v>175</v>
      </c>
      <c r="N41" s="4" t="s">
        <v>35</v>
      </c>
      <c r="O41" s="4" t="s">
        <v>36</v>
      </c>
      <c r="P41" s="4" t="s">
        <v>176</v>
      </c>
      <c r="Q41" s="4" t="s">
        <v>177</v>
      </c>
      <c r="R41" s="4" t="s">
        <v>29</v>
      </c>
    </row>
    <row r="42" customFormat="false" ht="93" hidden="false" customHeight="true" outlineLevel="0" collapsed="false">
      <c r="A42" s="3" t="s">
        <v>169</v>
      </c>
      <c r="B42" s="4" t="s">
        <v>39</v>
      </c>
      <c r="C42" s="4" t="s">
        <v>170</v>
      </c>
      <c r="D42" s="4" t="n">
        <f aca="false">IFERROR(DPG2b!L16,"")</f>
        <v>0</v>
      </c>
      <c r="E42" s="4" t="s">
        <v>21</v>
      </c>
      <c r="F42" s="5"/>
      <c r="G42" s="5"/>
      <c r="H42" s="6" t="str">
        <f aca="false">IF(OR(F42="",NOT(ISNUMBER(D42))),"",IF(ABS(F42-D42)&lt;0.001,"Yes","No"))</f>
        <v/>
      </c>
      <c r="I42" s="7" t="n">
        <f aca="false">IF(ISNUMBER(F42),F42,D42)</f>
        <v>0</v>
      </c>
      <c r="J42" s="6" t="str">
        <f aca="false">IF(ISNUMBER(F42),"Expert (overrides AI)",IF(ISNUMBER(D42),"AI","Not scored yet"))</f>
        <v>AI</v>
      </c>
      <c r="K42" s="4" t="s">
        <v>22</v>
      </c>
      <c r="L42" s="4" t="s">
        <v>23</v>
      </c>
      <c r="M42" s="4" t="s">
        <v>178</v>
      </c>
      <c r="N42" s="4" t="s">
        <v>133</v>
      </c>
      <c r="O42" s="4" t="s">
        <v>124</v>
      </c>
      <c r="P42" s="4" t="s">
        <v>179</v>
      </c>
      <c r="Q42" s="4" t="s">
        <v>180</v>
      </c>
      <c r="R42" s="4" t="s">
        <v>29</v>
      </c>
    </row>
    <row r="43" customFormat="false" ht="93" hidden="false" customHeight="true" outlineLevel="0" collapsed="false">
      <c r="A43" s="3" t="s">
        <v>169</v>
      </c>
      <c r="B43" s="4" t="s">
        <v>41</v>
      </c>
      <c r="C43" s="4" t="s">
        <v>170</v>
      </c>
      <c r="D43" s="4" t="n">
        <f aca="false">IFERROR(DPG2b!L17,"")</f>
        <v>0</v>
      </c>
      <c r="E43" s="4" t="s">
        <v>21</v>
      </c>
      <c r="F43" s="5"/>
      <c r="G43" s="5"/>
      <c r="H43" s="6" t="str">
        <f aca="false">IF(OR(F43="",NOT(ISNUMBER(D43))),"",IF(ABS(F43-D43)&lt;0.001,"Yes","No"))</f>
        <v/>
      </c>
      <c r="I43" s="7" t="n">
        <f aca="false">IF(ISNUMBER(F43),F43,D43)</f>
        <v>0</v>
      </c>
      <c r="J43" s="6" t="str">
        <f aca="false">IF(ISNUMBER(F43),"Expert (overrides AI)",IF(ISNUMBER(D43),"AI","Not scored yet"))</f>
        <v>AI</v>
      </c>
      <c r="K43" s="4" t="s">
        <v>22</v>
      </c>
      <c r="L43" s="4" t="s">
        <v>23</v>
      </c>
      <c r="M43" s="4" t="s">
        <v>181</v>
      </c>
      <c r="N43" s="4" t="s">
        <v>43</v>
      </c>
      <c r="O43" s="4" t="s">
        <v>44</v>
      </c>
      <c r="P43" s="4" t="s">
        <v>182</v>
      </c>
      <c r="Q43" s="4" t="s">
        <v>183</v>
      </c>
      <c r="R43" s="4" t="s">
        <v>29</v>
      </c>
    </row>
    <row r="44" customFormat="false" ht="93" hidden="false" customHeight="true" outlineLevel="0" collapsed="false">
      <c r="A44" s="3" t="s">
        <v>184</v>
      </c>
      <c r="B44" s="4" t="s">
        <v>19</v>
      </c>
      <c r="C44" s="4" t="s">
        <v>185</v>
      </c>
      <c r="D44" s="4" t="str">
        <f aca="false">IFERROR('DPG4'!L13,"")</f>
        <v/>
      </c>
      <c r="E44" s="4" t="s">
        <v>186</v>
      </c>
      <c r="F44" s="5"/>
      <c r="G44" s="5"/>
      <c r="H44" s="6" t="str">
        <f aca="false">IF(OR(F44="",NOT(ISNUMBER(D44))),"",IF(ABS(F44-D44)&lt;0.001,"Yes","No"))</f>
        <v/>
      </c>
      <c r="I44" s="7" t="str">
        <f aca="false">IF(ISNUMBER(F44),F44,D44)</f>
        <v/>
      </c>
      <c r="J44" s="6" t="str">
        <f aca="false">IF(ISNUMBER(F44),"Expert (overrides AI)",IF(ISNUMBER(D44),"AI","Not scored yet"))</f>
        <v>Not scored yet</v>
      </c>
      <c r="K44" s="4" t="s">
        <v>22</v>
      </c>
      <c r="L44" s="4" t="s">
        <v>23</v>
      </c>
      <c r="M44" s="4" t="s">
        <v>187</v>
      </c>
      <c r="N44" s="4" t="s">
        <v>188</v>
      </c>
      <c r="O44" s="4" t="s">
        <v>189</v>
      </c>
      <c r="P44" s="4" t="s">
        <v>190</v>
      </c>
      <c r="Q44" s="4" t="s">
        <v>191</v>
      </c>
      <c r="R44" s="4" t="s">
        <v>29</v>
      </c>
    </row>
    <row r="45" customFormat="false" ht="93" hidden="false" customHeight="true" outlineLevel="0" collapsed="false">
      <c r="A45" s="3" t="s">
        <v>184</v>
      </c>
      <c r="B45" s="4" t="s">
        <v>30</v>
      </c>
      <c r="C45" s="4" t="s">
        <v>185</v>
      </c>
      <c r="D45" s="4" t="n">
        <f aca="false">IFERROR('DPG4'!L14,"")</f>
        <v>10</v>
      </c>
      <c r="E45" s="4" t="s">
        <v>186</v>
      </c>
      <c r="F45" s="5"/>
      <c r="G45" s="5"/>
      <c r="H45" s="6" t="str">
        <f aca="false">IF(OR(F45="",NOT(ISNUMBER(D45))),"",IF(ABS(F45-D45)&lt;0.001,"Yes","No"))</f>
        <v/>
      </c>
      <c r="I45" s="7" t="n">
        <f aca="false">IF(ISNUMBER(F45),F45,D45)</f>
        <v>10</v>
      </c>
      <c r="J45" s="6" t="str">
        <f aca="false">IF(ISNUMBER(F45),"Expert (overrides AI)",IF(ISNUMBER(D45),"AI","Not scored yet"))</f>
        <v>AI</v>
      </c>
      <c r="K45" s="4" t="s">
        <v>89</v>
      </c>
      <c r="L45" s="4" t="s">
        <v>192</v>
      </c>
      <c r="M45" s="4" t="s">
        <v>193</v>
      </c>
      <c r="N45" s="4" t="s">
        <v>194</v>
      </c>
      <c r="O45" s="4" t="s">
        <v>195</v>
      </c>
      <c r="P45" s="4" t="s">
        <v>196</v>
      </c>
      <c r="Q45" s="4" t="s">
        <v>197</v>
      </c>
      <c r="R45" s="4"/>
    </row>
    <row r="46" customFormat="false" ht="93" hidden="false" customHeight="true" outlineLevel="0" collapsed="false">
      <c r="A46" s="3" t="s">
        <v>184</v>
      </c>
      <c r="B46" s="4" t="s">
        <v>33</v>
      </c>
      <c r="C46" s="4" t="s">
        <v>185</v>
      </c>
      <c r="D46" s="4" t="str">
        <f aca="false">IFERROR('DPG4'!L15,"")</f>
        <v/>
      </c>
      <c r="E46" s="4" t="s">
        <v>186</v>
      </c>
      <c r="F46" s="5"/>
      <c r="G46" s="5"/>
      <c r="H46" s="6" t="str">
        <f aca="false">IF(OR(F46="",NOT(ISNUMBER(D46))),"",IF(ABS(F46-D46)&lt;0.001,"Yes","No"))</f>
        <v/>
      </c>
      <c r="I46" s="7" t="str">
        <f aca="false">IF(ISNUMBER(F46),F46,D46)</f>
        <v/>
      </c>
      <c r="J46" s="6" t="str">
        <f aca="false">IF(ISNUMBER(F46),"Expert (overrides AI)",IF(ISNUMBER(D46),"AI","Not scored yet"))</f>
        <v>Not scored yet</v>
      </c>
      <c r="K46" s="4" t="s">
        <v>22</v>
      </c>
      <c r="L46" s="4" t="s">
        <v>31</v>
      </c>
      <c r="M46" s="4"/>
      <c r="N46" s="4"/>
      <c r="O46" s="4"/>
      <c r="P46" s="4"/>
      <c r="Q46" s="4"/>
      <c r="R46" s="4" t="s">
        <v>198</v>
      </c>
    </row>
    <row r="47" customFormat="false" ht="93" hidden="false" customHeight="true" outlineLevel="0" collapsed="false">
      <c r="A47" s="3" t="s">
        <v>184</v>
      </c>
      <c r="B47" s="4" t="s">
        <v>39</v>
      </c>
      <c r="C47" s="4" t="s">
        <v>185</v>
      </c>
      <c r="D47" s="4" t="str">
        <f aca="false">IFERROR('DPG4'!L16,"")</f>
        <v/>
      </c>
      <c r="E47" s="4" t="s">
        <v>186</v>
      </c>
      <c r="F47" s="5"/>
      <c r="G47" s="5"/>
      <c r="H47" s="6" t="str">
        <f aca="false">IF(OR(F47="",NOT(ISNUMBER(D47))),"",IF(ABS(F47-D47)&lt;0.001,"Yes","No"))</f>
        <v/>
      </c>
      <c r="I47" s="7" t="str">
        <f aca="false">IF(ISNUMBER(F47),F47,D47)</f>
        <v/>
      </c>
      <c r="J47" s="6" t="str">
        <f aca="false">IF(ISNUMBER(F47),"Expert (overrides AI)",IF(ISNUMBER(D47),"AI","Not scored yet"))</f>
        <v>Not scored yet</v>
      </c>
      <c r="K47" s="4" t="s">
        <v>22</v>
      </c>
      <c r="L47" s="4" t="s">
        <v>23</v>
      </c>
      <c r="M47" s="4" t="s">
        <v>199</v>
      </c>
      <c r="N47" s="4" t="s">
        <v>200</v>
      </c>
      <c r="O47" s="4" t="s">
        <v>201</v>
      </c>
      <c r="P47" s="4" t="s">
        <v>202</v>
      </c>
      <c r="Q47" s="4" t="s">
        <v>203</v>
      </c>
      <c r="R47" s="4" t="s">
        <v>29</v>
      </c>
    </row>
    <row r="48" customFormat="false" ht="93" hidden="false" customHeight="true" outlineLevel="0" collapsed="false">
      <c r="A48" s="3" t="s">
        <v>184</v>
      </c>
      <c r="B48" s="4" t="s">
        <v>41</v>
      </c>
      <c r="C48" s="4" t="s">
        <v>185</v>
      </c>
      <c r="D48" s="4" t="n">
        <f aca="false">IFERROR('DPG4'!L17,"")</f>
        <v>10</v>
      </c>
      <c r="E48" s="4" t="s">
        <v>186</v>
      </c>
      <c r="F48" s="5"/>
      <c r="G48" s="5"/>
      <c r="H48" s="6" t="str">
        <f aca="false">IF(OR(F48="",NOT(ISNUMBER(D48))),"",IF(ABS(F48-D48)&lt;0.001,"Yes","No"))</f>
        <v/>
      </c>
      <c r="I48" s="7" t="n">
        <f aca="false">IF(ISNUMBER(F48),F48,D48)</f>
        <v>10</v>
      </c>
      <c r="J48" s="6" t="str">
        <f aca="false">IF(ISNUMBER(F48),"Expert (overrides AI)",IF(ISNUMBER(D48),"AI","Not scored yet"))</f>
        <v>AI</v>
      </c>
      <c r="K48" s="4" t="s">
        <v>89</v>
      </c>
      <c r="L48" s="4" t="s">
        <v>192</v>
      </c>
      <c r="M48" s="4" t="s">
        <v>204</v>
      </c>
      <c r="N48" s="4" t="s">
        <v>205</v>
      </c>
      <c r="O48" s="4" t="s">
        <v>206</v>
      </c>
      <c r="P48" s="4" t="s">
        <v>207</v>
      </c>
      <c r="Q48" s="4" t="s">
        <v>208</v>
      </c>
      <c r="R48" s="4"/>
    </row>
    <row r="49" customFormat="false" ht="93" hidden="false" customHeight="true" outlineLevel="0" collapsed="false">
      <c r="A49" s="3" t="s">
        <v>209</v>
      </c>
      <c r="B49" s="4" t="s">
        <v>19</v>
      </c>
      <c r="C49" s="4" t="s">
        <v>210</v>
      </c>
      <c r="D49" s="4" t="str">
        <f aca="false">IFERROR(DPG5a!L13,"")</f>
        <v/>
      </c>
      <c r="E49" s="4" t="s">
        <v>211</v>
      </c>
      <c r="F49" s="5"/>
      <c r="G49" s="5"/>
      <c r="H49" s="6" t="str">
        <f aca="false">IF(OR(F49="",NOT(ISNUMBER(D49))),"",IF(ABS(F49-D49)&lt;0.001,"Yes","No"))</f>
        <v/>
      </c>
      <c r="I49" s="7" t="str">
        <f aca="false">IF(ISNUMBER(F49),F49,D49)</f>
        <v/>
      </c>
      <c r="J49" s="6" t="str">
        <f aca="false">IF(ISNUMBER(F49),"Expert (overrides AI)",IF(ISNUMBER(D49),"AI","Not scored yet"))</f>
        <v>Not scored yet</v>
      </c>
      <c r="K49" s="4" t="s">
        <v>22</v>
      </c>
      <c r="L49" s="4" t="s">
        <v>31</v>
      </c>
      <c r="M49" s="4"/>
      <c r="N49" s="4"/>
      <c r="O49" s="4"/>
      <c r="P49" s="4"/>
      <c r="Q49" s="4"/>
      <c r="R49" s="4" t="s">
        <v>212</v>
      </c>
    </row>
    <row r="50" customFormat="false" ht="93" hidden="false" customHeight="true" outlineLevel="0" collapsed="false">
      <c r="A50" s="3" t="s">
        <v>209</v>
      </c>
      <c r="B50" s="4" t="s">
        <v>30</v>
      </c>
      <c r="C50" s="4" t="s">
        <v>210</v>
      </c>
      <c r="D50" s="4" t="str">
        <f aca="false">IFERROR(DPG5a!L14,"")</f>
        <v/>
      </c>
      <c r="E50" s="4" t="s">
        <v>211</v>
      </c>
      <c r="F50" s="5"/>
      <c r="G50" s="5"/>
      <c r="H50" s="6" t="str">
        <f aca="false">IF(OR(F50="",NOT(ISNUMBER(D50))),"",IF(ABS(F50-D50)&lt;0.001,"Yes","No"))</f>
        <v/>
      </c>
      <c r="I50" s="7" t="str">
        <f aca="false">IF(ISNUMBER(F50),F50,D50)</f>
        <v/>
      </c>
      <c r="J50" s="6" t="str">
        <f aca="false">IF(ISNUMBER(F50),"Expert (overrides AI)",IF(ISNUMBER(D50),"AI","Not scored yet"))</f>
        <v>Not scored yet</v>
      </c>
      <c r="K50" s="4" t="s">
        <v>22</v>
      </c>
      <c r="L50" s="4" t="s">
        <v>31</v>
      </c>
      <c r="M50" s="4"/>
      <c r="N50" s="4"/>
      <c r="O50" s="4"/>
      <c r="P50" s="4"/>
      <c r="Q50" s="4"/>
      <c r="R50" s="4" t="s">
        <v>213</v>
      </c>
    </row>
    <row r="51" customFormat="false" ht="93" hidden="false" customHeight="true" outlineLevel="0" collapsed="false">
      <c r="A51" s="3" t="s">
        <v>209</v>
      </c>
      <c r="B51" s="4" t="s">
        <v>33</v>
      </c>
      <c r="C51" s="4" t="s">
        <v>210</v>
      </c>
      <c r="D51" s="4" t="str">
        <f aca="false">IFERROR(DPG5a!L15,"")</f>
        <v/>
      </c>
      <c r="E51" s="4" t="s">
        <v>211</v>
      </c>
      <c r="F51" s="5"/>
      <c r="G51" s="5"/>
      <c r="H51" s="6" t="str">
        <f aca="false">IF(OR(F51="",NOT(ISNUMBER(D51))),"",IF(ABS(F51-D51)&lt;0.001,"Yes","No"))</f>
        <v/>
      </c>
      <c r="I51" s="7" t="str">
        <f aca="false">IF(ISNUMBER(F51),F51,D51)</f>
        <v/>
      </c>
      <c r="J51" s="6" t="str">
        <f aca="false">IF(ISNUMBER(F51),"Expert (overrides AI)",IF(ISNUMBER(D51),"AI","Not scored yet"))</f>
        <v>Not scored yet</v>
      </c>
      <c r="K51" s="4" t="s">
        <v>22</v>
      </c>
      <c r="L51" s="4" t="s">
        <v>31</v>
      </c>
      <c r="M51" s="4"/>
      <c r="N51" s="4"/>
      <c r="O51" s="4"/>
      <c r="P51" s="4"/>
      <c r="Q51" s="4"/>
      <c r="R51" s="4" t="s">
        <v>214</v>
      </c>
    </row>
    <row r="52" customFormat="false" ht="93" hidden="false" customHeight="true" outlineLevel="0" collapsed="false">
      <c r="A52" s="3" t="s">
        <v>209</v>
      </c>
      <c r="B52" s="4" t="s">
        <v>39</v>
      </c>
      <c r="C52" s="4" t="s">
        <v>210</v>
      </c>
      <c r="D52" s="4" t="str">
        <f aca="false">IFERROR(DPG5a!L16,"")</f>
        <v/>
      </c>
      <c r="E52" s="4" t="s">
        <v>211</v>
      </c>
      <c r="F52" s="5"/>
      <c r="G52" s="5"/>
      <c r="H52" s="6" t="str">
        <f aca="false">IF(OR(F52="",NOT(ISNUMBER(D52))),"",IF(ABS(F52-D52)&lt;0.001,"Yes","No"))</f>
        <v/>
      </c>
      <c r="I52" s="7" t="str">
        <f aca="false">IF(ISNUMBER(F52),F52,D52)</f>
        <v/>
      </c>
      <c r="J52" s="6" t="str">
        <f aca="false">IF(ISNUMBER(F52),"Expert (overrides AI)",IF(ISNUMBER(D52),"AI","Not scored yet"))</f>
        <v>Not scored yet</v>
      </c>
      <c r="K52" s="4" t="s">
        <v>22</v>
      </c>
      <c r="L52" s="4" t="s">
        <v>31</v>
      </c>
      <c r="M52" s="4"/>
      <c r="N52" s="4"/>
      <c r="O52" s="4"/>
      <c r="P52" s="4"/>
      <c r="Q52" s="4"/>
      <c r="R52" s="4" t="s">
        <v>215</v>
      </c>
    </row>
    <row r="53" customFormat="false" ht="93" hidden="false" customHeight="true" outlineLevel="0" collapsed="false">
      <c r="A53" s="3" t="s">
        <v>209</v>
      </c>
      <c r="B53" s="4" t="s">
        <v>41</v>
      </c>
      <c r="C53" s="4" t="s">
        <v>210</v>
      </c>
      <c r="D53" s="4" t="str">
        <f aca="false">IFERROR(DPG5a!L17,"")</f>
        <v/>
      </c>
      <c r="E53" s="4" t="s">
        <v>211</v>
      </c>
      <c r="F53" s="5"/>
      <c r="G53" s="5"/>
      <c r="H53" s="6" t="str">
        <f aca="false">IF(OR(F53="",NOT(ISNUMBER(D53))),"",IF(ABS(F53-D53)&lt;0.001,"Yes","No"))</f>
        <v/>
      </c>
      <c r="I53" s="7" t="str">
        <f aca="false">IF(ISNUMBER(F53),F53,D53)</f>
        <v/>
      </c>
      <c r="J53" s="6" t="str">
        <f aca="false">IF(ISNUMBER(F53),"Expert (overrides AI)",IF(ISNUMBER(D53),"AI","Not scored yet"))</f>
        <v>Not scored yet</v>
      </c>
      <c r="K53" s="4" t="s">
        <v>22</v>
      </c>
      <c r="L53" s="4" t="s">
        <v>31</v>
      </c>
      <c r="M53" s="4"/>
      <c r="N53" s="4"/>
      <c r="O53" s="4"/>
      <c r="P53" s="4"/>
      <c r="Q53" s="4"/>
      <c r="R53" s="4" t="s">
        <v>216</v>
      </c>
    </row>
    <row r="54" customFormat="false" ht="93" hidden="false" customHeight="true" outlineLevel="0" collapsed="false">
      <c r="A54" s="3" t="s">
        <v>217</v>
      </c>
      <c r="B54" s="4" t="s">
        <v>19</v>
      </c>
      <c r="C54" s="4" t="s">
        <v>218</v>
      </c>
      <c r="D54" s="4" t="str">
        <f aca="false">IFERROR(DPG5b!L13,"")</f>
        <v/>
      </c>
      <c r="E54" s="4" t="s">
        <v>211</v>
      </c>
      <c r="F54" s="5"/>
      <c r="G54" s="5"/>
      <c r="H54" s="6" t="str">
        <f aca="false">IF(OR(F54="",NOT(ISNUMBER(D54))),"",IF(ABS(F54-D54)&lt;0.001,"Yes","No"))</f>
        <v/>
      </c>
      <c r="I54" s="7" t="str">
        <f aca="false">IF(ISNUMBER(F54),F54,D54)</f>
        <v/>
      </c>
      <c r="J54" s="6" t="str">
        <f aca="false">IF(ISNUMBER(F54),"Expert (overrides AI)",IF(ISNUMBER(D54),"AI","Not scored yet"))</f>
        <v>Not scored yet</v>
      </c>
      <c r="K54" s="4" t="s">
        <v>22</v>
      </c>
      <c r="L54" s="4" t="s">
        <v>31</v>
      </c>
      <c r="M54" s="4"/>
      <c r="N54" s="4"/>
      <c r="O54" s="4"/>
      <c r="P54" s="4"/>
      <c r="Q54" s="4"/>
      <c r="R54" s="4" t="s">
        <v>219</v>
      </c>
    </row>
    <row r="55" customFormat="false" ht="93" hidden="false" customHeight="true" outlineLevel="0" collapsed="false">
      <c r="A55" s="3" t="s">
        <v>217</v>
      </c>
      <c r="B55" s="4" t="s">
        <v>30</v>
      </c>
      <c r="C55" s="4" t="s">
        <v>218</v>
      </c>
      <c r="D55" s="4" t="str">
        <f aca="false">IFERROR(DPG5b!L14,"")</f>
        <v/>
      </c>
      <c r="E55" s="4" t="s">
        <v>211</v>
      </c>
      <c r="F55" s="5"/>
      <c r="G55" s="5"/>
      <c r="H55" s="6" t="str">
        <f aca="false">IF(OR(F55="",NOT(ISNUMBER(D55))),"",IF(ABS(F55-D55)&lt;0.001,"Yes","No"))</f>
        <v/>
      </c>
      <c r="I55" s="7" t="str">
        <f aca="false">IF(ISNUMBER(F55),F55,D55)</f>
        <v/>
      </c>
      <c r="J55" s="6" t="str">
        <f aca="false">IF(ISNUMBER(F55),"Expert (overrides AI)",IF(ISNUMBER(D55),"AI","Not scored yet"))</f>
        <v>Not scored yet</v>
      </c>
      <c r="K55" s="4" t="s">
        <v>22</v>
      </c>
      <c r="L55" s="4" t="s">
        <v>31</v>
      </c>
      <c r="M55" s="4"/>
      <c r="N55" s="4"/>
      <c r="O55" s="4"/>
      <c r="P55" s="4"/>
      <c r="Q55" s="4"/>
      <c r="R55" s="4" t="s">
        <v>220</v>
      </c>
    </row>
    <row r="56" customFormat="false" ht="93" hidden="false" customHeight="true" outlineLevel="0" collapsed="false">
      <c r="A56" s="3" t="s">
        <v>217</v>
      </c>
      <c r="B56" s="4" t="s">
        <v>33</v>
      </c>
      <c r="C56" s="4" t="s">
        <v>218</v>
      </c>
      <c r="D56" s="4" t="str">
        <f aca="false">IFERROR(DPG5b!L15,"")</f>
        <v/>
      </c>
      <c r="E56" s="4" t="s">
        <v>211</v>
      </c>
      <c r="F56" s="5"/>
      <c r="G56" s="5"/>
      <c r="H56" s="6" t="str">
        <f aca="false">IF(OR(F56="",NOT(ISNUMBER(D56))),"",IF(ABS(F56-D56)&lt;0.001,"Yes","No"))</f>
        <v/>
      </c>
      <c r="I56" s="7" t="str">
        <f aca="false">IF(ISNUMBER(F56),F56,D56)</f>
        <v/>
      </c>
      <c r="J56" s="6" t="str">
        <f aca="false">IF(ISNUMBER(F56),"Expert (overrides AI)",IF(ISNUMBER(D56),"AI","Not scored yet"))</f>
        <v>Not scored yet</v>
      </c>
      <c r="K56" s="4" t="s">
        <v>22</v>
      </c>
      <c r="L56" s="4" t="s">
        <v>23</v>
      </c>
      <c r="M56" s="4" t="s">
        <v>221</v>
      </c>
      <c r="N56" s="4" t="s">
        <v>35</v>
      </c>
      <c r="O56" s="4" t="s">
        <v>36</v>
      </c>
      <c r="P56" s="4" t="s">
        <v>222</v>
      </c>
      <c r="Q56" s="4" t="s">
        <v>223</v>
      </c>
      <c r="R56" s="4" t="s">
        <v>29</v>
      </c>
    </row>
    <row r="57" customFormat="false" ht="93" hidden="false" customHeight="true" outlineLevel="0" collapsed="false">
      <c r="A57" s="3" t="s">
        <v>217</v>
      </c>
      <c r="B57" s="4" t="s">
        <v>39</v>
      </c>
      <c r="C57" s="4" t="s">
        <v>218</v>
      </c>
      <c r="D57" s="4" t="n">
        <f aca="false">IFERROR(DPG5b!L16,"")</f>
        <v>0</v>
      </c>
      <c r="E57" s="4" t="s">
        <v>211</v>
      </c>
      <c r="F57" s="5"/>
      <c r="G57" s="5"/>
      <c r="H57" s="6" t="str">
        <f aca="false">IF(OR(F57="",NOT(ISNUMBER(D57))),"",IF(ABS(F57-D57)&lt;0.001,"Yes","No"))</f>
        <v/>
      </c>
      <c r="I57" s="7" t="n">
        <f aca="false">IF(ISNUMBER(F57),F57,D57)</f>
        <v>0</v>
      </c>
      <c r="J57" s="6" t="str">
        <f aca="false">IF(ISNUMBER(F57),"Expert (overrides AI)",IF(ISNUMBER(D57),"AI","Not scored yet"))</f>
        <v>AI</v>
      </c>
      <c r="K57" s="4" t="s">
        <v>22</v>
      </c>
      <c r="L57" s="4" t="s">
        <v>31</v>
      </c>
      <c r="M57" s="4"/>
      <c r="N57" s="4"/>
      <c r="O57" s="4"/>
      <c r="P57" s="4"/>
      <c r="Q57" s="4"/>
      <c r="R57" s="4" t="s">
        <v>224</v>
      </c>
    </row>
    <row r="58" customFormat="false" ht="93" hidden="false" customHeight="true" outlineLevel="0" collapsed="false">
      <c r="A58" s="3" t="s">
        <v>217</v>
      </c>
      <c r="B58" s="4" t="s">
        <v>41</v>
      </c>
      <c r="C58" s="4" t="s">
        <v>218</v>
      </c>
      <c r="D58" s="4" t="str">
        <f aca="false">IFERROR(DPG5b!L17,"")</f>
        <v/>
      </c>
      <c r="E58" s="4" t="s">
        <v>211</v>
      </c>
      <c r="F58" s="5"/>
      <c r="G58" s="5"/>
      <c r="H58" s="6" t="str">
        <f aca="false">IF(OR(F58="",NOT(ISNUMBER(D58))),"",IF(ABS(F58-D58)&lt;0.001,"Yes","No"))</f>
        <v/>
      </c>
      <c r="I58" s="7" t="str">
        <f aca="false">IF(ISNUMBER(F58),F58,D58)</f>
        <v/>
      </c>
      <c r="J58" s="6" t="str">
        <f aca="false">IF(ISNUMBER(F58),"Expert (overrides AI)",IF(ISNUMBER(D58),"AI","Not scored yet"))</f>
        <v>Not scored yet</v>
      </c>
      <c r="K58" s="4" t="s">
        <v>22</v>
      </c>
      <c r="L58" s="4" t="s">
        <v>31</v>
      </c>
      <c r="M58" s="4"/>
      <c r="N58" s="4"/>
      <c r="O58" s="4"/>
      <c r="P58" s="4"/>
      <c r="Q58" s="4"/>
      <c r="R58" s="4" t="s">
        <v>225</v>
      </c>
    </row>
    <row r="59" customFormat="false" ht="93" hidden="false" customHeight="true" outlineLevel="0" collapsed="false">
      <c r="A59" s="3" t="s">
        <v>226</v>
      </c>
      <c r="B59" s="4" t="s">
        <v>19</v>
      </c>
      <c r="C59" s="4" t="s">
        <v>227</v>
      </c>
      <c r="D59" s="4" t="str">
        <f aca="false">IFERROR(DPG5c!L13,"")</f>
        <v/>
      </c>
      <c r="E59" s="4" t="s">
        <v>211</v>
      </c>
      <c r="F59" s="5"/>
      <c r="G59" s="5"/>
      <c r="H59" s="6" t="str">
        <f aca="false">IF(OR(F59="",NOT(ISNUMBER(D59))),"",IF(ABS(F59-D59)&lt;0.001,"Yes","No"))</f>
        <v/>
      </c>
      <c r="I59" s="7" t="str">
        <f aca="false">IF(ISNUMBER(F59),F59,D59)</f>
        <v/>
      </c>
      <c r="J59" s="6" t="str">
        <f aca="false">IF(ISNUMBER(F59),"Expert (overrides AI)",IF(ISNUMBER(D59),"AI","Not scored yet"))</f>
        <v>Not scored yet</v>
      </c>
      <c r="K59" s="4" t="s">
        <v>22</v>
      </c>
      <c r="L59" s="4" t="s">
        <v>31</v>
      </c>
      <c r="M59" s="4"/>
      <c r="N59" s="4"/>
      <c r="O59" s="4"/>
      <c r="P59" s="4"/>
      <c r="Q59" s="4"/>
      <c r="R59" s="4" t="s">
        <v>228</v>
      </c>
    </row>
    <row r="60" customFormat="false" ht="93" hidden="false" customHeight="true" outlineLevel="0" collapsed="false">
      <c r="A60" s="3" t="s">
        <v>226</v>
      </c>
      <c r="B60" s="4" t="s">
        <v>30</v>
      </c>
      <c r="C60" s="4" t="s">
        <v>227</v>
      </c>
      <c r="D60" s="4" t="str">
        <f aca="false">IFERROR(DPG5c!L14,"")</f>
        <v/>
      </c>
      <c r="E60" s="4" t="s">
        <v>211</v>
      </c>
      <c r="F60" s="5"/>
      <c r="G60" s="5"/>
      <c r="H60" s="6" t="str">
        <f aca="false">IF(OR(F60="",NOT(ISNUMBER(D60))),"",IF(ABS(F60-D60)&lt;0.001,"Yes","No"))</f>
        <v/>
      </c>
      <c r="I60" s="7" t="str">
        <f aca="false">IF(ISNUMBER(F60),F60,D60)</f>
        <v/>
      </c>
      <c r="J60" s="6" t="str">
        <f aca="false">IF(ISNUMBER(F60),"Expert (overrides AI)",IF(ISNUMBER(D60),"AI","Not scored yet"))</f>
        <v>Not scored yet</v>
      </c>
      <c r="K60" s="4" t="s">
        <v>22</v>
      </c>
      <c r="L60" s="4" t="s">
        <v>31</v>
      </c>
      <c r="M60" s="4"/>
      <c r="N60" s="4"/>
      <c r="O60" s="4"/>
      <c r="P60" s="4"/>
      <c r="Q60" s="4"/>
      <c r="R60" s="4" t="s">
        <v>229</v>
      </c>
    </row>
    <row r="61" customFormat="false" ht="93" hidden="false" customHeight="true" outlineLevel="0" collapsed="false">
      <c r="A61" s="3" t="s">
        <v>226</v>
      </c>
      <c r="B61" s="4" t="s">
        <v>33</v>
      </c>
      <c r="C61" s="4" t="s">
        <v>227</v>
      </c>
      <c r="D61" s="4" t="str">
        <f aca="false">IFERROR(DPG5c!L15,"")</f>
        <v/>
      </c>
      <c r="E61" s="4" t="s">
        <v>211</v>
      </c>
      <c r="F61" s="5"/>
      <c r="G61" s="5"/>
      <c r="H61" s="6" t="str">
        <f aca="false">IF(OR(F61="",NOT(ISNUMBER(D61))),"",IF(ABS(F61-D61)&lt;0.001,"Yes","No"))</f>
        <v/>
      </c>
      <c r="I61" s="7" t="str">
        <f aca="false">IF(ISNUMBER(F61),F61,D61)</f>
        <v/>
      </c>
      <c r="J61" s="6" t="str">
        <f aca="false">IF(ISNUMBER(F61),"Expert (overrides AI)",IF(ISNUMBER(D61),"AI","Not scored yet"))</f>
        <v>Not scored yet</v>
      </c>
      <c r="K61" s="4" t="s">
        <v>22</v>
      </c>
      <c r="L61" s="4" t="s">
        <v>31</v>
      </c>
      <c r="M61" s="4"/>
      <c r="N61" s="4"/>
      <c r="O61" s="4"/>
      <c r="P61" s="4"/>
      <c r="Q61" s="4"/>
      <c r="R61" s="4" t="s">
        <v>230</v>
      </c>
    </row>
    <row r="62" customFormat="false" ht="93" hidden="false" customHeight="true" outlineLevel="0" collapsed="false">
      <c r="A62" s="3" t="s">
        <v>226</v>
      </c>
      <c r="B62" s="4" t="s">
        <v>39</v>
      </c>
      <c r="C62" s="4" t="s">
        <v>227</v>
      </c>
      <c r="D62" s="4" t="str">
        <f aca="false">IFERROR(DPG5c!L16,"")</f>
        <v/>
      </c>
      <c r="E62" s="4" t="s">
        <v>211</v>
      </c>
      <c r="F62" s="5"/>
      <c r="G62" s="5"/>
      <c r="H62" s="6" t="str">
        <f aca="false">IF(OR(F62="",NOT(ISNUMBER(D62))),"",IF(ABS(F62-D62)&lt;0.001,"Yes","No"))</f>
        <v/>
      </c>
      <c r="I62" s="7" t="str">
        <f aca="false">IF(ISNUMBER(F62),F62,D62)</f>
        <v/>
      </c>
      <c r="J62" s="6" t="str">
        <f aca="false">IF(ISNUMBER(F62),"Expert (overrides AI)",IF(ISNUMBER(D62),"AI","Not scored yet"))</f>
        <v>Not scored yet</v>
      </c>
      <c r="K62" s="4" t="s">
        <v>22</v>
      </c>
      <c r="L62" s="4" t="s">
        <v>31</v>
      </c>
      <c r="M62" s="4"/>
      <c r="N62" s="4"/>
      <c r="O62" s="4"/>
      <c r="P62" s="4"/>
      <c r="Q62" s="4"/>
      <c r="R62" s="4" t="s">
        <v>231</v>
      </c>
    </row>
    <row r="63" customFormat="false" ht="93" hidden="false" customHeight="true" outlineLevel="0" collapsed="false">
      <c r="A63" s="3" t="s">
        <v>226</v>
      </c>
      <c r="B63" s="4" t="s">
        <v>41</v>
      </c>
      <c r="C63" s="4" t="s">
        <v>227</v>
      </c>
      <c r="D63" s="4" t="str">
        <f aca="false">IFERROR(DPG5c!L17,"")</f>
        <v/>
      </c>
      <c r="E63" s="4" t="s">
        <v>211</v>
      </c>
      <c r="F63" s="5"/>
      <c r="G63" s="5"/>
      <c r="H63" s="6" t="str">
        <f aca="false">IF(OR(F63="",NOT(ISNUMBER(D63))),"",IF(ABS(F63-D63)&lt;0.001,"Yes","No"))</f>
        <v/>
      </c>
      <c r="I63" s="7" t="str">
        <f aca="false">IF(ISNUMBER(F63),F63,D63)</f>
        <v/>
      </c>
      <c r="J63" s="6" t="str">
        <f aca="false">IF(ISNUMBER(F63),"Expert (overrides AI)",IF(ISNUMBER(D63),"AI","Not scored yet"))</f>
        <v>Not scored yet</v>
      </c>
      <c r="K63" s="4" t="s">
        <v>22</v>
      </c>
      <c r="L63" s="4" t="s">
        <v>23</v>
      </c>
      <c r="M63" s="4" t="s">
        <v>232</v>
      </c>
      <c r="N63" s="4" t="s">
        <v>205</v>
      </c>
      <c r="O63" s="4" t="s">
        <v>206</v>
      </c>
      <c r="P63" s="4" t="s">
        <v>233</v>
      </c>
      <c r="Q63" s="4" t="s">
        <v>234</v>
      </c>
      <c r="R63" s="4" t="s">
        <v>29</v>
      </c>
    </row>
    <row r="64" customFormat="false" ht="93" hidden="false" customHeight="true" outlineLevel="0" collapsed="false">
      <c r="A64" s="3" t="s">
        <v>235</v>
      </c>
      <c r="B64" s="4" t="s">
        <v>19</v>
      </c>
      <c r="C64" s="4" t="s">
        <v>236</v>
      </c>
      <c r="D64" s="4" t="str">
        <f aca="false">IFERROR(DPG5d!L13,"")</f>
        <v/>
      </c>
      <c r="E64" s="4" t="s">
        <v>211</v>
      </c>
      <c r="F64" s="5"/>
      <c r="G64" s="5"/>
      <c r="H64" s="6" t="str">
        <f aca="false">IF(OR(F64="",NOT(ISNUMBER(D64))),"",IF(ABS(F64-D64)&lt;0.001,"Yes","No"))</f>
        <v/>
      </c>
      <c r="I64" s="7" t="str">
        <f aca="false">IF(ISNUMBER(F64),F64,D64)</f>
        <v/>
      </c>
      <c r="J64" s="6" t="str">
        <f aca="false">IF(ISNUMBER(F64),"Expert (overrides AI)",IF(ISNUMBER(D64),"AI","Not scored yet"))</f>
        <v>Not scored yet</v>
      </c>
      <c r="K64" s="4" t="s">
        <v>22</v>
      </c>
      <c r="L64" s="4" t="s">
        <v>31</v>
      </c>
      <c r="M64" s="4"/>
      <c r="N64" s="4"/>
      <c r="O64" s="4"/>
      <c r="P64" s="4"/>
      <c r="Q64" s="4"/>
      <c r="R64" s="4" t="s">
        <v>237</v>
      </c>
    </row>
    <row r="65" customFormat="false" ht="93" hidden="false" customHeight="true" outlineLevel="0" collapsed="false">
      <c r="A65" s="3" t="s">
        <v>235</v>
      </c>
      <c r="B65" s="4" t="s">
        <v>30</v>
      </c>
      <c r="C65" s="4" t="s">
        <v>236</v>
      </c>
      <c r="D65" s="4" t="str">
        <f aca="false">IFERROR(DPG5d!L14,"")</f>
        <v/>
      </c>
      <c r="E65" s="4" t="s">
        <v>211</v>
      </c>
      <c r="F65" s="5"/>
      <c r="G65" s="5"/>
      <c r="H65" s="6" t="str">
        <f aca="false">IF(OR(F65="",NOT(ISNUMBER(D65))),"",IF(ABS(F65-D65)&lt;0.001,"Yes","No"))</f>
        <v/>
      </c>
      <c r="I65" s="7" t="str">
        <f aca="false">IF(ISNUMBER(F65),F65,D65)</f>
        <v/>
      </c>
      <c r="J65" s="6" t="str">
        <f aca="false">IF(ISNUMBER(F65),"Expert (overrides AI)",IF(ISNUMBER(D65),"AI","Not scored yet"))</f>
        <v>Not scored yet</v>
      </c>
      <c r="K65" s="4" t="s">
        <v>22</v>
      </c>
      <c r="L65" s="4" t="s">
        <v>31</v>
      </c>
      <c r="M65" s="4"/>
      <c r="N65" s="4"/>
      <c r="O65" s="4"/>
      <c r="P65" s="4"/>
      <c r="Q65" s="4"/>
      <c r="R65" s="4" t="s">
        <v>238</v>
      </c>
    </row>
    <row r="66" customFormat="false" ht="93" hidden="false" customHeight="true" outlineLevel="0" collapsed="false">
      <c r="A66" s="3" t="s">
        <v>235</v>
      </c>
      <c r="B66" s="4" t="s">
        <v>33</v>
      </c>
      <c r="C66" s="4" t="s">
        <v>236</v>
      </c>
      <c r="D66" s="4" t="str">
        <f aca="false">IFERROR(DPG5d!L15,"")</f>
        <v/>
      </c>
      <c r="E66" s="4" t="s">
        <v>211</v>
      </c>
      <c r="F66" s="5"/>
      <c r="G66" s="5"/>
      <c r="H66" s="6" t="str">
        <f aca="false">IF(OR(F66="",NOT(ISNUMBER(D66))),"",IF(ABS(F66-D66)&lt;0.001,"Yes","No"))</f>
        <v/>
      </c>
      <c r="I66" s="7" t="str">
        <f aca="false">IF(ISNUMBER(F66),F66,D66)</f>
        <v/>
      </c>
      <c r="J66" s="6" t="str">
        <f aca="false">IF(ISNUMBER(F66),"Expert (overrides AI)",IF(ISNUMBER(D66),"AI","Not scored yet"))</f>
        <v>Not scored yet</v>
      </c>
      <c r="K66" s="4" t="s">
        <v>22</v>
      </c>
      <c r="L66" s="4" t="s">
        <v>31</v>
      </c>
      <c r="M66" s="4"/>
      <c r="N66" s="4"/>
      <c r="O66" s="4"/>
      <c r="P66" s="4"/>
      <c r="Q66" s="4"/>
      <c r="R66" s="4" t="s">
        <v>239</v>
      </c>
    </row>
    <row r="67" customFormat="false" ht="93" hidden="false" customHeight="true" outlineLevel="0" collapsed="false">
      <c r="A67" s="3" t="s">
        <v>235</v>
      </c>
      <c r="B67" s="4" t="s">
        <v>39</v>
      </c>
      <c r="C67" s="4" t="s">
        <v>236</v>
      </c>
      <c r="D67" s="4" t="str">
        <f aca="false">IFERROR(DPG5d!L16,"")</f>
        <v/>
      </c>
      <c r="E67" s="4" t="s">
        <v>211</v>
      </c>
      <c r="F67" s="5"/>
      <c r="G67" s="5"/>
      <c r="H67" s="6" t="str">
        <f aca="false">IF(OR(F67="",NOT(ISNUMBER(D67))),"",IF(ABS(F67-D67)&lt;0.001,"Yes","No"))</f>
        <v/>
      </c>
      <c r="I67" s="7" t="str">
        <f aca="false">IF(ISNUMBER(F67),F67,D67)</f>
        <v/>
      </c>
      <c r="J67" s="6" t="str">
        <f aca="false">IF(ISNUMBER(F67),"Expert (overrides AI)",IF(ISNUMBER(D67),"AI","Not scored yet"))</f>
        <v>Not scored yet</v>
      </c>
      <c r="K67" s="4" t="s">
        <v>22</v>
      </c>
      <c r="L67" s="4" t="s">
        <v>31</v>
      </c>
      <c r="M67" s="4"/>
      <c r="N67" s="4"/>
      <c r="O67" s="4"/>
      <c r="P67" s="4"/>
      <c r="Q67" s="4"/>
      <c r="R67" s="4" t="s">
        <v>240</v>
      </c>
    </row>
    <row r="68" customFormat="false" ht="93" hidden="false" customHeight="true" outlineLevel="0" collapsed="false">
      <c r="A68" s="3" t="s">
        <v>235</v>
      </c>
      <c r="B68" s="4" t="s">
        <v>41</v>
      </c>
      <c r="C68" s="4" t="s">
        <v>236</v>
      </c>
      <c r="D68" s="4" t="str">
        <f aca="false">IFERROR(DPG5d!L17,"")</f>
        <v/>
      </c>
      <c r="E68" s="4" t="s">
        <v>211</v>
      </c>
      <c r="F68" s="5"/>
      <c r="G68" s="5"/>
      <c r="H68" s="6" t="str">
        <f aca="false">IF(OR(F68="",NOT(ISNUMBER(D68))),"",IF(ABS(F68-D68)&lt;0.001,"Yes","No"))</f>
        <v/>
      </c>
      <c r="I68" s="7" t="str">
        <f aca="false">IF(ISNUMBER(F68),F68,D68)</f>
        <v/>
      </c>
      <c r="J68" s="6" t="str">
        <f aca="false">IF(ISNUMBER(F68),"Expert (overrides AI)",IF(ISNUMBER(D68),"AI","Not scored yet"))</f>
        <v>Not scored yet</v>
      </c>
      <c r="K68" s="4" t="s">
        <v>22</v>
      </c>
      <c r="L68" s="4" t="s">
        <v>31</v>
      </c>
      <c r="M68" s="4"/>
      <c r="N68" s="4"/>
      <c r="O68" s="4"/>
      <c r="P68" s="4"/>
      <c r="Q68" s="4"/>
      <c r="R68" s="4" t="s">
        <v>241</v>
      </c>
    </row>
    <row r="69" customFormat="false" ht="93" hidden="false" customHeight="true" outlineLevel="0" collapsed="false">
      <c r="A69" s="3" t="s">
        <v>242</v>
      </c>
      <c r="B69" s="4" t="s">
        <v>19</v>
      </c>
      <c r="C69" s="4" t="s">
        <v>243</v>
      </c>
      <c r="D69" s="4" t="str">
        <f aca="false">IFERROR(DPG5f!L13,"")</f>
        <v/>
      </c>
      <c r="E69" s="4" t="s">
        <v>211</v>
      </c>
      <c r="F69" s="5"/>
      <c r="G69" s="5"/>
      <c r="H69" s="6" t="str">
        <f aca="false">IF(OR(F69="",NOT(ISNUMBER(D69))),"",IF(ABS(F69-D69)&lt;0.001,"Yes","No"))</f>
        <v/>
      </c>
      <c r="I69" s="7" t="str">
        <f aca="false">IF(ISNUMBER(F69),F69,D69)</f>
        <v/>
      </c>
      <c r="J69" s="6" t="str">
        <f aca="false">IF(ISNUMBER(F69),"Expert (overrides AI)",IF(ISNUMBER(D69),"AI","Not scored yet"))</f>
        <v>Not scored yet</v>
      </c>
      <c r="K69" s="4" t="s">
        <v>22</v>
      </c>
      <c r="L69" s="4" t="s">
        <v>31</v>
      </c>
      <c r="M69" s="4"/>
      <c r="N69" s="4"/>
      <c r="O69" s="4"/>
      <c r="P69" s="4"/>
      <c r="Q69" s="4"/>
      <c r="R69" s="4" t="s">
        <v>244</v>
      </c>
    </row>
    <row r="70" customFormat="false" ht="93" hidden="false" customHeight="true" outlineLevel="0" collapsed="false">
      <c r="A70" s="3" t="s">
        <v>242</v>
      </c>
      <c r="B70" s="4" t="s">
        <v>30</v>
      </c>
      <c r="C70" s="4" t="s">
        <v>243</v>
      </c>
      <c r="D70" s="4" t="str">
        <f aca="false">IFERROR(DPG5f!L14,"")</f>
        <v/>
      </c>
      <c r="E70" s="4" t="s">
        <v>211</v>
      </c>
      <c r="F70" s="5"/>
      <c r="G70" s="5"/>
      <c r="H70" s="6" t="str">
        <f aca="false">IF(OR(F70="",NOT(ISNUMBER(D70))),"",IF(ABS(F70-D70)&lt;0.001,"Yes","No"))</f>
        <v/>
      </c>
      <c r="I70" s="7" t="str">
        <f aca="false">IF(ISNUMBER(F70),F70,D70)</f>
        <v/>
      </c>
      <c r="J70" s="6" t="str">
        <f aca="false">IF(ISNUMBER(F70),"Expert (overrides AI)",IF(ISNUMBER(D70),"AI","Not scored yet"))</f>
        <v>Not scored yet</v>
      </c>
      <c r="K70" s="4" t="s">
        <v>22</v>
      </c>
      <c r="L70" s="4" t="s">
        <v>31</v>
      </c>
      <c r="M70" s="4"/>
      <c r="N70" s="4"/>
      <c r="O70" s="4"/>
      <c r="P70" s="4"/>
      <c r="Q70" s="4"/>
      <c r="R70" s="4" t="s">
        <v>245</v>
      </c>
    </row>
    <row r="71" customFormat="false" ht="93" hidden="false" customHeight="true" outlineLevel="0" collapsed="false">
      <c r="A71" s="3" t="s">
        <v>242</v>
      </c>
      <c r="B71" s="4" t="s">
        <v>33</v>
      </c>
      <c r="C71" s="4" t="s">
        <v>243</v>
      </c>
      <c r="D71" s="4" t="str">
        <f aca="false">IFERROR(DPG5f!L15,"")</f>
        <v/>
      </c>
      <c r="E71" s="4" t="s">
        <v>211</v>
      </c>
      <c r="F71" s="5"/>
      <c r="G71" s="5"/>
      <c r="H71" s="6" t="str">
        <f aca="false">IF(OR(F71="",NOT(ISNUMBER(D71))),"",IF(ABS(F71-D71)&lt;0.001,"Yes","No"))</f>
        <v/>
      </c>
      <c r="I71" s="7" t="str">
        <f aca="false">IF(ISNUMBER(F71),F71,D71)</f>
        <v/>
      </c>
      <c r="J71" s="6" t="str">
        <f aca="false">IF(ISNUMBER(F71),"Expert (overrides AI)",IF(ISNUMBER(D71),"AI","Not scored yet"))</f>
        <v>Not scored yet</v>
      </c>
      <c r="K71" s="4" t="s">
        <v>22</v>
      </c>
      <c r="L71" s="4" t="s">
        <v>31</v>
      </c>
      <c r="M71" s="4"/>
      <c r="N71" s="4"/>
      <c r="O71" s="4"/>
      <c r="P71" s="4"/>
      <c r="Q71" s="4"/>
      <c r="R71" s="4" t="s">
        <v>246</v>
      </c>
    </row>
    <row r="72" customFormat="false" ht="93" hidden="false" customHeight="true" outlineLevel="0" collapsed="false">
      <c r="A72" s="3" t="s">
        <v>242</v>
      </c>
      <c r="B72" s="4" t="s">
        <v>39</v>
      </c>
      <c r="C72" s="4" t="s">
        <v>243</v>
      </c>
      <c r="D72" s="4" t="str">
        <f aca="false">IFERROR(DPG5f!L16,"")</f>
        <v/>
      </c>
      <c r="E72" s="4" t="s">
        <v>211</v>
      </c>
      <c r="F72" s="5"/>
      <c r="G72" s="5"/>
      <c r="H72" s="6" t="str">
        <f aca="false">IF(OR(F72="",NOT(ISNUMBER(D72))),"",IF(ABS(F72-D72)&lt;0.001,"Yes","No"))</f>
        <v/>
      </c>
      <c r="I72" s="7" t="str">
        <f aca="false">IF(ISNUMBER(F72),F72,D72)</f>
        <v/>
      </c>
      <c r="J72" s="6" t="str">
        <f aca="false">IF(ISNUMBER(F72),"Expert (overrides AI)",IF(ISNUMBER(D72),"AI","Not scored yet"))</f>
        <v>Not scored yet</v>
      </c>
      <c r="K72" s="4" t="s">
        <v>22</v>
      </c>
      <c r="L72" s="4" t="s">
        <v>31</v>
      </c>
      <c r="M72" s="4"/>
      <c r="N72" s="4"/>
      <c r="O72" s="4"/>
      <c r="P72" s="4"/>
      <c r="Q72" s="4"/>
      <c r="R72" s="4" t="s">
        <v>247</v>
      </c>
    </row>
    <row r="73" customFormat="false" ht="93" hidden="false" customHeight="true" outlineLevel="0" collapsed="false">
      <c r="A73" s="3" t="s">
        <v>242</v>
      </c>
      <c r="B73" s="4" t="s">
        <v>41</v>
      </c>
      <c r="C73" s="4" t="s">
        <v>243</v>
      </c>
      <c r="D73" s="4" t="n">
        <f aca="false">IFERROR(DPG5f!L17,"")</f>
        <v>1</v>
      </c>
      <c r="E73" s="4" t="s">
        <v>211</v>
      </c>
      <c r="F73" s="5"/>
      <c r="G73" s="5"/>
      <c r="H73" s="6" t="str">
        <f aca="false">IF(OR(F73="",NOT(ISNUMBER(D73))),"",IF(ABS(F73-D73)&lt;0.001,"Yes","No"))</f>
        <v/>
      </c>
      <c r="I73" s="7" t="n">
        <f aca="false">IF(ISNUMBER(F73),F73,D73)</f>
        <v>1</v>
      </c>
      <c r="J73" s="6" t="str">
        <f aca="false">IF(ISNUMBER(F73),"Expert (overrides AI)",IF(ISNUMBER(D73),"AI","Not scored yet"))</f>
        <v>AI</v>
      </c>
      <c r="K73" s="4" t="s">
        <v>22</v>
      </c>
      <c r="L73" s="4" t="s">
        <v>23</v>
      </c>
      <c r="M73" s="4" t="s">
        <v>248</v>
      </c>
      <c r="N73" s="4" t="s">
        <v>205</v>
      </c>
      <c r="O73" s="4" t="s">
        <v>206</v>
      </c>
      <c r="P73" s="4" t="s">
        <v>249</v>
      </c>
      <c r="Q73" s="4" t="s">
        <v>250</v>
      </c>
      <c r="R73" s="4" t="s">
        <v>29</v>
      </c>
    </row>
    <row r="74" customFormat="false" ht="93" hidden="false" customHeight="true" outlineLevel="0" collapsed="false">
      <c r="A74" s="3" t="s">
        <v>251</v>
      </c>
      <c r="B74" s="4" t="s">
        <v>19</v>
      </c>
      <c r="C74" s="4" t="s">
        <v>252</v>
      </c>
      <c r="D74" s="4" t="str">
        <f aca="false">IFERROR(DPG5g!L13,"")</f>
        <v/>
      </c>
      <c r="E74" s="4" t="s">
        <v>211</v>
      </c>
      <c r="F74" s="5"/>
      <c r="G74" s="5"/>
      <c r="H74" s="6" t="str">
        <f aca="false">IF(OR(F74="",NOT(ISNUMBER(D74))),"",IF(ABS(F74-D74)&lt;0.001,"Yes","No"))</f>
        <v/>
      </c>
      <c r="I74" s="7" t="str">
        <f aca="false">IF(ISNUMBER(F74),F74,D74)</f>
        <v/>
      </c>
      <c r="J74" s="6" t="str">
        <f aca="false">IF(ISNUMBER(F74),"Expert (overrides AI)",IF(ISNUMBER(D74),"AI","Not scored yet"))</f>
        <v>Not scored yet</v>
      </c>
      <c r="K74" s="4" t="s">
        <v>22</v>
      </c>
      <c r="L74" s="4" t="s">
        <v>31</v>
      </c>
      <c r="M74" s="4"/>
      <c r="N74" s="4"/>
      <c r="O74" s="4"/>
      <c r="P74" s="4"/>
      <c r="Q74" s="4"/>
      <c r="R74" s="4" t="s">
        <v>253</v>
      </c>
    </row>
    <row r="75" customFormat="false" ht="93" hidden="false" customHeight="true" outlineLevel="0" collapsed="false">
      <c r="A75" s="3" t="s">
        <v>251</v>
      </c>
      <c r="B75" s="4" t="s">
        <v>30</v>
      </c>
      <c r="C75" s="4" t="s">
        <v>252</v>
      </c>
      <c r="D75" s="4" t="str">
        <f aca="false">IFERROR(DPG5g!L14,"")</f>
        <v/>
      </c>
      <c r="E75" s="4" t="s">
        <v>211</v>
      </c>
      <c r="F75" s="5"/>
      <c r="G75" s="5"/>
      <c r="H75" s="6" t="str">
        <f aca="false">IF(OR(F75="",NOT(ISNUMBER(D75))),"",IF(ABS(F75-D75)&lt;0.001,"Yes","No"))</f>
        <v/>
      </c>
      <c r="I75" s="7" t="str">
        <f aca="false">IF(ISNUMBER(F75),F75,D75)</f>
        <v/>
      </c>
      <c r="J75" s="6" t="str">
        <f aca="false">IF(ISNUMBER(F75),"Expert (overrides AI)",IF(ISNUMBER(D75),"AI","Not scored yet"))</f>
        <v>Not scored yet</v>
      </c>
      <c r="K75" s="4" t="s">
        <v>22</v>
      </c>
      <c r="L75" s="4" t="s">
        <v>31</v>
      </c>
      <c r="M75" s="4"/>
      <c r="N75" s="4"/>
      <c r="O75" s="4"/>
      <c r="P75" s="4"/>
      <c r="Q75" s="4"/>
      <c r="R75" s="4" t="s">
        <v>254</v>
      </c>
    </row>
    <row r="76" customFormat="false" ht="93" hidden="false" customHeight="true" outlineLevel="0" collapsed="false">
      <c r="A76" s="3" t="s">
        <v>251</v>
      </c>
      <c r="B76" s="4" t="s">
        <v>33</v>
      </c>
      <c r="C76" s="4" t="s">
        <v>252</v>
      </c>
      <c r="D76" s="4" t="str">
        <f aca="false">IFERROR(DPG5g!L15,"")</f>
        <v/>
      </c>
      <c r="E76" s="4" t="s">
        <v>211</v>
      </c>
      <c r="F76" s="5"/>
      <c r="G76" s="5"/>
      <c r="H76" s="6" t="str">
        <f aca="false">IF(OR(F76="",NOT(ISNUMBER(D76))),"",IF(ABS(F76-D76)&lt;0.001,"Yes","No"))</f>
        <v/>
      </c>
      <c r="I76" s="7" t="str">
        <f aca="false">IF(ISNUMBER(F76),F76,D76)</f>
        <v/>
      </c>
      <c r="J76" s="6" t="str">
        <f aca="false">IF(ISNUMBER(F76),"Expert (overrides AI)",IF(ISNUMBER(D76),"AI","Not scored yet"))</f>
        <v>Not scored yet</v>
      </c>
      <c r="K76" s="4" t="s">
        <v>22</v>
      </c>
      <c r="L76" s="4" t="s">
        <v>31</v>
      </c>
      <c r="M76" s="4"/>
      <c r="N76" s="4"/>
      <c r="O76" s="4"/>
      <c r="P76" s="4"/>
      <c r="Q76" s="4"/>
      <c r="R76" s="4" t="s">
        <v>255</v>
      </c>
    </row>
    <row r="77" customFormat="false" ht="93" hidden="false" customHeight="true" outlineLevel="0" collapsed="false">
      <c r="A77" s="3" t="s">
        <v>251</v>
      </c>
      <c r="B77" s="4" t="s">
        <v>39</v>
      </c>
      <c r="C77" s="4" t="s">
        <v>252</v>
      </c>
      <c r="D77" s="4" t="str">
        <f aca="false">IFERROR(DPG5g!L16,"")</f>
        <v/>
      </c>
      <c r="E77" s="4" t="s">
        <v>211</v>
      </c>
      <c r="F77" s="5"/>
      <c r="G77" s="5"/>
      <c r="H77" s="6" t="str">
        <f aca="false">IF(OR(F77="",NOT(ISNUMBER(D77))),"",IF(ABS(F77-D77)&lt;0.001,"Yes","No"))</f>
        <v/>
      </c>
      <c r="I77" s="7" t="str">
        <f aca="false">IF(ISNUMBER(F77),F77,D77)</f>
        <v/>
      </c>
      <c r="J77" s="6" t="str">
        <f aca="false">IF(ISNUMBER(F77),"Expert (overrides AI)",IF(ISNUMBER(D77),"AI","Not scored yet"))</f>
        <v>Not scored yet</v>
      </c>
      <c r="K77" s="4" t="s">
        <v>22</v>
      </c>
      <c r="L77" s="4" t="s">
        <v>31</v>
      </c>
      <c r="M77" s="4"/>
      <c r="N77" s="4"/>
      <c r="O77" s="4"/>
      <c r="P77" s="4"/>
      <c r="Q77" s="4"/>
      <c r="R77" s="4" t="s">
        <v>256</v>
      </c>
    </row>
    <row r="78" customFormat="false" ht="93" hidden="false" customHeight="true" outlineLevel="0" collapsed="false">
      <c r="A78" s="3" t="s">
        <v>251</v>
      </c>
      <c r="B78" s="4" t="s">
        <v>41</v>
      </c>
      <c r="C78" s="4" t="s">
        <v>252</v>
      </c>
      <c r="D78" s="4" t="str">
        <f aca="false">IFERROR(DPG5g!L17,"")</f>
        <v/>
      </c>
      <c r="E78" s="4" t="s">
        <v>211</v>
      </c>
      <c r="F78" s="5"/>
      <c r="G78" s="5"/>
      <c r="H78" s="6" t="str">
        <f aca="false">IF(OR(F78="",NOT(ISNUMBER(D78))),"",IF(ABS(F78-D78)&lt;0.001,"Yes","No"))</f>
        <v/>
      </c>
      <c r="I78" s="7" t="str">
        <f aca="false">IF(ISNUMBER(F78),F78,D78)</f>
        <v/>
      </c>
      <c r="J78" s="6" t="str">
        <f aca="false">IF(ISNUMBER(F78),"Expert (overrides AI)",IF(ISNUMBER(D78),"AI","Not scored yet"))</f>
        <v>Not scored yet</v>
      </c>
      <c r="K78" s="4" t="s">
        <v>22</v>
      </c>
      <c r="L78" s="4" t="s">
        <v>31</v>
      </c>
      <c r="M78" s="4"/>
      <c r="N78" s="4"/>
      <c r="O78" s="4"/>
      <c r="P78" s="4"/>
      <c r="Q78" s="4"/>
      <c r="R78" s="4" t="s">
        <v>257</v>
      </c>
    </row>
    <row r="79" customFormat="false" ht="93" hidden="false" customHeight="true" outlineLevel="0" collapsed="false">
      <c r="A79" s="3" t="s">
        <v>258</v>
      </c>
      <c r="B79" s="4" t="s">
        <v>19</v>
      </c>
      <c r="C79" s="4" t="s">
        <v>259</v>
      </c>
      <c r="D79" s="4" t="str">
        <f aca="false">IFERROR(DPG5h!L13,"")</f>
        <v/>
      </c>
      <c r="E79" s="4" t="s">
        <v>211</v>
      </c>
      <c r="F79" s="5"/>
      <c r="G79" s="5"/>
      <c r="H79" s="6" t="str">
        <f aca="false">IF(OR(F79="",NOT(ISNUMBER(D79))),"",IF(ABS(F79-D79)&lt;0.001,"Yes","No"))</f>
        <v/>
      </c>
      <c r="I79" s="7" t="str">
        <f aca="false">IF(ISNUMBER(F79),F79,D79)</f>
        <v/>
      </c>
      <c r="J79" s="6" t="str">
        <f aca="false">IF(ISNUMBER(F79),"Expert (overrides AI)",IF(ISNUMBER(D79),"AI","Not scored yet"))</f>
        <v>Not scored yet</v>
      </c>
      <c r="K79" s="4" t="s">
        <v>22</v>
      </c>
      <c r="L79" s="4" t="s">
        <v>31</v>
      </c>
      <c r="M79" s="4"/>
      <c r="N79" s="4"/>
      <c r="O79" s="4"/>
      <c r="P79" s="4"/>
      <c r="Q79" s="4"/>
      <c r="R79" s="4" t="s">
        <v>260</v>
      </c>
    </row>
    <row r="80" customFormat="false" ht="93" hidden="false" customHeight="true" outlineLevel="0" collapsed="false">
      <c r="A80" s="3" t="s">
        <v>258</v>
      </c>
      <c r="B80" s="4" t="s">
        <v>30</v>
      </c>
      <c r="C80" s="4" t="s">
        <v>259</v>
      </c>
      <c r="D80" s="4" t="str">
        <f aca="false">IFERROR(DPG5h!L14,"")</f>
        <v/>
      </c>
      <c r="E80" s="4" t="s">
        <v>211</v>
      </c>
      <c r="F80" s="5"/>
      <c r="G80" s="5"/>
      <c r="H80" s="6" t="str">
        <f aca="false">IF(OR(F80="",NOT(ISNUMBER(D80))),"",IF(ABS(F80-D80)&lt;0.001,"Yes","No"))</f>
        <v/>
      </c>
      <c r="I80" s="7" t="str">
        <f aca="false">IF(ISNUMBER(F80),F80,D80)</f>
        <v/>
      </c>
      <c r="J80" s="6" t="str">
        <f aca="false">IF(ISNUMBER(F80),"Expert (overrides AI)",IF(ISNUMBER(D80),"AI","Not scored yet"))</f>
        <v>Not scored yet</v>
      </c>
      <c r="K80" s="4" t="s">
        <v>22</v>
      </c>
      <c r="L80" s="4" t="s">
        <v>31</v>
      </c>
      <c r="M80" s="4"/>
      <c r="N80" s="4"/>
      <c r="O80" s="4"/>
      <c r="P80" s="4"/>
      <c r="Q80" s="4"/>
      <c r="R80" s="4" t="s">
        <v>261</v>
      </c>
    </row>
    <row r="81" customFormat="false" ht="93" hidden="false" customHeight="true" outlineLevel="0" collapsed="false">
      <c r="A81" s="3" t="s">
        <v>258</v>
      </c>
      <c r="B81" s="4" t="s">
        <v>33</v>
      </c>
      <c r="C81" s="4" t="s">
        <v>259</v>
      </c>
      <c r="D81" s="4" t="str">
        <f aca="false">IFERROR(DPG5h!L15,"")</f>
        <v/>
      </c>
      <c r="E81" s="4" t="s">
        <v>211</v>
      </c>
      <c r="F81" s="5"/>
      <c r="G81" s="5"/>
      <c r="H81" s="6" t="str">
        <f aca="false">IF(OR(F81="",NOT(ISNUMBER(D81))),"",IF(ABS(F81-D81)&lt;0.001,"Yes","No"))</f>
        <v/>
      </c>
      <c r="I81" s="7" t="str">
        <f aca="false">IF(ISNUMBER(F81),F81,D81)</f>
        <v/>
      </c>
      <c r="J81" s="6" t="str">
        <f aca="false">IF(ISNUMBER(F81),"Expert (overrides AI)",IF(ISNUMBER(D81),"AI","Not scored yet"))</f>
        <v>Not scored yet</v>
      </c>
      <c r="K81" s="4" t="s">
        <v>22</v>
      </c>
      <c r="L81" s="4" t="s">
        <v>31</v>
      </c>
      <c r="M81" s="4"/>
      <c r="N81" s="4"/>
      <c r="O81" s="4"/>
      <c r="P81" s="4"/>
      <c r="Q81" s="4"/>
      <c r="R81" s="4" t="s">
        <v>262</v>
      </c>
    </row>
    <row r="82" customFormat="false" ht="93" hidden="false" customHeight="true" outlineLevel="0" collapsed="false">
      <c r="A82" s="3" t="s">
        <v>258</v>
      </c>
      <c r="B82" s="4" t="s">
        <v>39</v>
      </c>
      <c r="C82" s="4" t="s">
        <v>259</v>
      </c>
      <c r="D82" s="4" t="str">
        <f aca="false">IFERROR(DPG5h!L16,"")</f>
        <v/>
      </c>
      <c r="E82" s="4" t="s">
        <v>211</v>
      </c>
      <c r="F82" s="5"/>
      <c r="G82" s="5"/>
      <c r="H82" s="6" t="str">
        <f aca="false">IF(OR(F82="",NOT(ISNUMBER(D82))),"",IF(ABS(F82-D82)&lt;0.001,"Yes","No"))</f>
        <v/>
      </c>
      <c r="I82" s="7" t="str">
        <f aca="false">IF(ISNUMBER(F82),F82,D82)</f>
        <v/>
      </c>
      <c r="J82" s="6" t="str">
        <f aca="false">IF(ISNUMBER(F82),"Expert (overrides AI)",IF(ISNUMBER(D82),"AI","Not scored yet"))</f>
        <v>Not scored yet</v>
      </c>
      <c r="K82" s="4" t="s">
        <v>22</v>
      </c>
      <c r="L82" s="4" t="s">
        <v>31</v>
      </c>
      <c r="M82" s="4"/>
      <c r="N82" s="4"/>
      <c r="O82" s="4"/>
      <c r="P82" s="4"/>
      <c r="Q82" s="4"/>
      <c r="R82" s="4" t="s">
        <v>263</v>
      </c>
    </row>
    <row r="83" customFormat="false" ht="93" hidden="false" customHeight="true" outlineLevel="0" collapsed="false">
      <c r="A83" s="3" t="s">
        <v>258</v>
      </c>
      <c r="B83" s="4" t="s">
        <v>41</v>
      </c>
      <c r="C83" s="4" t="s">
        <v>259</v>
      </c>
      <c r="D83" s="4" t="n">
        <f aca="false">IFERROR(DPG5h!L17,"")</f>
        <v>0</v>
      </c>
      <c r="E83" s="4" t="s">
        <v>211</v>
      </c>
      <c r="F83" s="5"/>
      <c r="G83" s="5"/>
      <c r="H83" s="6" t="str">
        <f aca="false">IF(OR(F83="",NOT(ISNUMBER(D83))),"",IF(ABS(F83-D83)&lt;0.001,"Yes","No"))</f>
        <v/>
      </c>
      <c r="I83" s="7" t="n">
        <f aca="false">IF(ISNUMBER(F83),F83,D83)</f>
        <v>0</v>
      </c>
      <c r="J83" s="6" t="str">
        <f aca="false">IF(ISNUMBER(F83),"Expert (overrides AI)",IF(ISNUMBER(D83),"AI","Not scored yet"))</f>
        <v>AI</v>
      </c>
      <c r="K83" s="4" t="s">
        <v>22</v>
      </c>
      <c r="L83" s="4" t="s">
        <v>23</v>
      </c>
      <c r="M83" s="4" t="s">
        <v>264</v>
      </c>
      <c r="N83" s="4" t="s">
        <v>205</v>
      </c>
      <c r="O83" s="4" t="s">
        <v>206</v>
      </c>
      <c r="P83" s="4" t="s">
        <v>265</v>
      </c>
      <c r="Q83" s="4" t="s">
        <v>266</v>
      </c>
      <c r="R83" s="4" t="s">
        <v>29</v>
      </c>
    </row>
    <row r="84" customFormat="false" ht="93" hidden="false" customHeight="true" outlineLevel="0" collapsed="false">
      <c r="A84" s="3" t="s">
        <v>267</v>
      </c>
      <c r="B84" s="4" t="s">
        <v>19</v>
      </c>
      <c r="C84" s="4" t="s">
        <v>268</v>
      </c>
      <c r="D84" s="4" t="str">
        <f aca="false">IFERROR(DPG5i!L13,"")</f>
        <v/>
      </c>
      <c r="E84" s="4" t="s">
        <v>211</v>
      </c>
      <c r="F84" s="5"/>
      <c r="G84" s="5"/>
      <c r="H84" s="6" t="str">
        <f aca="false">IF(OR(F84="",NOT(ISNUMBER(D84))),"",IF(ABS(F84-D84)&lt;0.001,"Yes","No"))</f>
        <v/>
      </c>
      <c r="I84" s="7" t="str">
        <f aca="false">IF(ISNUMBER(F84),F84,D84)</f>
        <v/>
      </c>
      <c r="J84" s="6" t="str">
        <f aca="false">IF(ISNUMBER(F84),"Expert (overrides AI)",IF(ISNUMBER(D84),"AI","Not scored yet"))</f>
        <v>Not scored yet</v>
      </c>
      <c r="K84" s="4" t="s">
        <v>22</v>
      </c>
      <c r="L84" s="4" t="s">
        <v>31</v>
      </c>
      <c r="M84" s="4"/>
      <c r="N84" s="4"/>
      <c r="O84" s="4"/>
      <c r="P84" s="4"/>
      <c r="Q84" s="4"/>
      <c r="R84" s="4" t="s">
        <v>269</v>
      </c>
    </row>
    <row r="85" customFormat="false" ht="93" hidden="false" customHeight="true" outlineLevel="0" collapsed="false">
      <c r="A85" s="3" t="s">
        <v>267</v>
      </c>
      <c r="B85" s="4" t="s">
        <v>30</v>
      </c>
      <c r="C85" s="4" t="s">
        <v>268</v>
      </c>
      <c r="D85" s="4" t="str">
        <f aca="false">IFERROR(DPG5i!L14,"")</f>
        <v/>
      </c>
      <c r="E85" s="4" t="s">
        <v>211</v>
      </c>
      <c r="F85" s="5"/>
      <c r="G85" s="5"/>
      <c r="H85" s="6" t="str">
        <f aca="false">IF(OR(F85="",NOT(ISNUMBER(D85))),"",IF(ABS(F85-D85)&lt;0.001,"Yes","No"))</f>
        <v/>
      </c>
      <c r="I85" s="7" t="str">
        <f aca="false">IF(ISNUMBER(F85),F85,D85)</f>
        <v/>
      </c>
      <c r="J85" s="6" t="str">
        <f aca="false">IF(ISNUMBER(F85),"Expert (overrides AI)",IF(ISNUMBER(D85),"AI","Not scored yet"))</f>
        <v>Not scored yet</v>
      </c>
      <c r="K85" s="4" t="s">
        <v>22</v>
      </c>
      <c r="L85" s="4" t="s">
        <v>31</v>
      </c>
      <c r="M85" s="4"/>
      <c r="N85" s="4"/>
      <c r="O85" s="4"/>
      <c r="P85" s="4"/>
      <c r="Q85" s="4"/>
      <c r="R85" s="4" t="s">
        <v>270</v>
      </c>
    </row>
    <row r="86" customFormat="false" ht="93" hidden="false" customHeight="true" outlineLevel="0" collapsed="false">
      <c r="A86" s="3" t="s">
        <v>267</v>
      </c>
      <c r="B86" s="4" t="s">
        <v>33</v>
      </c>
      <c r="C86" s="4" t="s">
        <v>268</v>
      </c>
      <c r="D86" s="4" t="str">
        <f aca="false">IFERROR(DPG5i!L15,"")</f>
        <v/>
      </c>
      <c r="E86" s="4" t="s">
        <v>211</v>
      </c>
      <c r="F86" s="5"/>
      <c r="G86" s="5"/>
      <c r="H86" s="6" t="str">
        <f aca="false">IF(OR(F86="",NOT(ISNUMBER(D86))),"",IF(ABS(F86-D86)&lt;0.001,"Yes","No"))</f>
        <v/>
      </c>
      <c r="I86" s="7" t="str">
        <f aca="false">IF(ISNUMBER(F86),F86,D86)</f>
        <v/>
      </c>
      <c r="J86" s="6" t="str">
        <f aca="false">IF(ISNUMBER(F86),"Expert (overrides AI)",IF(ISNUMBER(D86),"AI","Not scored yet"))</f>
        <v>Not scored yet</v>
      </c>
      <c r="K86" s="4" t="s">
        <v>22</v>
      </c>
      <c r="L86" s="4" t="s">
        <v>31</v>
      </c>
      <c r="M86" s="4"/>
      <c r="N86" s="4"/>
      <c r="O86" s="4"/>
      <c r="P86" s="4"/>
      <c r="Q86" s="4"/>
      <c r="R86" s="4" t="s">
        <v>271</v>
      </c>
    </row>
    <row r="87" customFormat="false" ht="93" hidden="false" customHeight="true" outlineLevel="0" collapsed="false">
      <c r="A87" s="3" t="s">
        <v>267</v>
      </c>
      <c r="B87" s="4" t="s">
        <v>39</v>
      </c>
      <c r="C87" s="4" t="s">
        <v>268</v>
      </c>
      <c r="D87" s="4" t="str">
        <f aca="false">IFERROR(DPG5i!L16,"")</f>
        <v/>
      </c>
      <c r="E87" s="4" t="s">
        <v>211</v>
      </c>
      <c r="F87" s="5"/>
      <c r="G87" s="5"/>
      <c r="H87" s="6" t="str">
        <f aca="false">IF(OR(F87="",NOT(ISNUMBER(D87))),"",IF(ABS(F87-D87)&lt;0.001,"Yes","No"))</f>
        <v/>
      </c>
      <c r="I87" s="7" t="str">
        <f aca="false">IF(ISNUMBER(F87),F87,D87)</f>
        <v/>
      </c>
      <c r="J87" s="6" t="str">
        <f aca="false">IF(ISNUMBER(F87),"Expert (overrides AI)",IF(ISNUMBER(D87),"AI","Not scored yet"))</f>
        <v>Not scored yet</v>
      </c>
      <c r="K87" s="4" t="s">
        <v>22</v>
      </c>
      <c r="L87" s="4" t="s">
        <v>31</v>
      </c>
      <c r="M87" s="4"/>
      <c r="N87" s="4"/>
      <c r="O87" s="4"/>
      <c r="P87" s="4"/>
      <c r="Q87" s="4"/>
      <c r="R87" s="4" t="s">
        <v>272</v>
      </c>
    </row>
    <row r="88" customFormat="false" ht="93" hidden="false" customHeight="true" outlineLevel="0" collapsed="false">
      <c r="A88" s="3" t="s">
        <v>267</v>
      </c>
      <c r="B88" s="4" t="s">
        <v>41</v>
      </c>
      <c r="C88" s="4" t="s">
        <v>268</v>
      </c>
      <c r="D88" s="4" t="str">
        <f aca="false">IFERROR(DPG5i!L17,"")</f>
        <v/>
      </c>
      <c r="E88" s="4" t="s">
        <v>211</v>
      </c>
      <c r="F88" s="5"/>
      <c r="G88" s="5"/>
      <c r="H88" s="6" t="str">
        <f aca="false">IF(OR(F88="",NOT(ISNUMBER(D88))),"",IF(ABS(F88-D88)&lt;0.001,"Yes","No"))</f>
        <v/>
      </c>
      <c r="I88" s="7" t="str">
        <f aca="false">IF(ISNUMBER(F88),F88,D88)</f>
        <v/>
      </c>
      <c r="J88" s="6" t="str">
        <f aca="false">IF(ISNUMBER(F88),"Expert (overrides AI)",IF(ISNUMBER(D88),"AI","Not scored yet"))</f>
        <v>Not scored yet</v>
      </c>
      <c r="K88" s="4" t="s">
        <v>22</v>
      </c>
      <c r="L88" s="4" t="s">
        <v>23</v>
      </c>
      <c r="M88" s="4" t="s">
        <v>273</v>
      </c>
      <c r="N88" s="4" t="s">
        <v>205</v>
      </c>
      <c r="O88" s="4" t="s">
        <v>206</v>
      </c>
      <c r="P88" s="4" t="s">
        <v>274</v>
      </c>
      <c r="Q88" s="4" t="s">
        <v>275</v>
      </c>
      <c r="R88" s="4" t="s">
        <v>29</v>
      </c>
    </row>
    <row r="89" customFormat="false" ht="93" hidden="false" customHeight="true" outlineLevel="0" collapsed="false">
      <c r="A89" s="3" t="s">
        <v>276</v>
      </c>
      <c r="B89" s="4" t="s">
        <v>19</v>
      </c>
      <c r="C89" s="4" t="s">
        <v>277</v>
      </c>
      <c r="D89" s="4" t="str">
        <f aca="false">IFERROR(DPG5j!L13,"")</f>
        <v/>
      </c>
      <c r="E89" s="4" t="s">
        <v>211</v>
      </c>
      <c r="F89" s="5"/>
      <c r="G89" s="5"/>
      <c r="H89" s="6" t="str">
        <f aca="false">IF(OR(F89="",NOT(ISNUMBER(D89))),"",IF(ABS(F89-D89)&lt;0.001,"Yes","No"))</f>
        <v/>
      </c>
      <c r="I89" s="7" t="str">
        <f aca="false">IF(ISNUMBER(F89),F89,D89)</f>
        <v/>
      </c>
      <c r="J89" s="6" t="str">
        <f aca="false">IF(ISNUMBER(F89),"Expert (overrides AI)",IF(ISNUMBER(D89),"AI","Not scored yet"))</f>
        <v>Not scored yet</v>
      </c>
      <c r="K89" s="4" t="s">
        <v>22</v>
      </c>
      <c r="L89" s="4" t="s">
        <v>31</v>
      </c>
      <c r="M89" s="4"/>
      <c r="N89" s="4"/>
      <c r="O89" s="4"/>
      <c r="P89" s="4"/>
      <c r="Q89" s="4"/>
      <c r="R89" s="4" t="s">
        <v>278</v>
      </c>
    </row>
    <row r="90" customFormat="false" ht="93" hidden="false" customHeight="true" outlineLevel="0" collapsed="false">
      <c r="A90" s="3" t="s">
        <v>276</v>
      </c>
      <c r="B90" s="4" t="s">
        <v>30</v>
      </c>
      <c r="C90" s="4" t="s">
        <v>277</v>
      </c>
      <c r="D90" s="4" t="str">
        <f aca="false">IFERROR(DPG5j!L14,"")</f>
        <v/>
      </c>
      <c r="E90" s="4" t="s">
        <v>211</v>
      </c>
      <c r="F90" s="5"/>
      <c r="G90" s="5"/>
      <c r="H90" s="6" t="str">
        <f aca="false">IF(OR(F90="",NOT(ISNUMBER(D90))),"",IF(ABS(F90-D90)&lt;0.001,"Yes","No"))</f>
        <v/>
      </c>
      <c r="I90" s="7" t="str">
        <f aca="false">IF(ISNUMBER(F90),F90,D90)</f>
        <v/>
      </c>
      <c r="J90" s="6" t="str">
        <f aca="false">IF(ISNUMBER(F90),"Expert (overrides AI)",IF(ISNUMBER(D90),"AI","Not scored yet"))</f>
        <v>Not scored yet</v>
      </c>
      <c r="K90" s="4" t="s">
        <v>22</v>
      </c>
      <c r="L90" s="4" t="s">
        <v>23</v>
      </c>
      <c r="M90" s="4" t="s">
        <v>279</v>
      </c>
      <c r="N90" s="4" t="s">
        <v>280</v>
      </c>
      <c r="O90" s="4" t="s">
        <v>281</v>
      </c>
      <c r="P90" s="4" t="s">
        <v>282</v>
      </c>
      <c r="Q90" s="4" t="s">
        <v>283</v>
      </c>
      <c r="R90" s="4" t="s">
        <v>29</v>
      </c>
    </row>
    <row r="91" customFormat="false" ht="93" hidden="false" customHeight="true" outlineLevel="0" collapsed="false">
      <c r="A91" s="3" t="s">
        <v>276</v>
      </c>
      <c r="B91" s="4" t="s">
        <v>33</v>
      </c>
      <c r="C91" s="4" t="s">
        <v>277</v>
      </c>
      <c r="D91" s="4" t="str">
        <f aca="false">IFERROR(DPG5j!L15,"")</f>
        <v/>
      </c>
      <c r="E91" s="4" t="s">
        <v>211</v>
      </c>
      <c r="F91" s="5"/>
      <c r="G91" s="5"/>
      <c r="H91" s="6" t="str">
        <f aca="false">IF(OR(F91="",NOT(ISNUMBER(D91))),"",IF(ABS(F91-D91)&lt;0.001,"Yes","No"))</f>
        <v/>
      </c>
      <c r="I91" s="7" t="str">
        <f aca="false">IF(ISNUMBER(F91),F91,D91)</f>
        <v/>
      </c>
      <c r="J91" s="6" t="str">
        <f aca="false">IF(ISNUMBER(F91),"Expert (overrides AI)",IF(ISNUMBER(D91),"AI","Not scored yet"))</f>
        <v>Not scored yet</v>
      </c>
      <c r="K91" s="4" t="s">
        <v>22</v>
      </c>
      <c r="L91" s="4" t="s">
        <v>31</v>
      </c>
      <c r="M91" s="4"/>
      <c r="N91" s="4"/>
      <c r="O91" s="4"/>
      <c r="P91" s="4"/>
      <c r="Q91" s="4"/>
      <c r="R91" s="4" t="s">
        <v>284</v>
      </c>
    </row>
    <row r="92" customFormat="false" ht="93" hidden="false" customHeight="true" outlineLevel="0" collapsed="false">
      <c r="A92" s="3" t="s">
        <v>276</v>
      </c>
      <c r="B92" s="4" t="s">
        <v>39</v>
      </c>
      <c r="C92" s="4" t="s">
        <v>277</v>
      </c>
      <c r="D92" s="4" t="str">
        <f aca="false">IFERROR(DPG5j!L16,"")</f>
        <v/>
      </c>
      <c r="E92" s="4" t="s">
        <v>211</v>
      </c>
      <c r="F92" s="5"/>
      <c r="G92" s="5"/>
      <c r="H92" s="6" t="str">
        <f aca="false">IF(OR(F92="",NOT(ISNUMBER(D92))),"",IF(ABS(F92-D92)&lt;0.001,"Yes","No"))</f>
        <v/>
      </c>
      <c r="I92" s="7" t="str">
        <f aca="false">IF(ISNUMBER(F92),F92,D92)</f>
        <v/>
      </c>
      <c r="J92" s="6" t="str">
        <f aca="false">IF(ISNUMBER(F92),"Expert (overrides AI)",IF(ISNUMBER(D92),"AI","Not scored yet"))</f>
        <v>Not scored yet</v>
      </c>
      <c r="K92" s="4" t="s">
        <v>22</v>
      </c>
      <c r="L92" s="4" t="s">
        <v>31</v>
      </c>
      <c r="M92" s="4"/>
      <c r="N92" s="4"/>
      <c r="O92" s="4"/>
      <c r="P92" s="4"/>
      <c r="Q92" s="4"/>
      <c r="R92" s="4" t="s">
        <v>285</v>
      </c>
    </row>
    <row r="93" customFormat="false" ht="93" hidden="false" customHeight="true" outlineLevel="0" collapsed="false">
      <c r="A93" s="3" t="s">
        <v>276</v>
      </c>
      <c r="B93" s="4" t="s">
        <v>41</v>
      </c>
      <c r="C93" s="4" t="s">
        <v>277</v>
      </c>
      <c r="D93" s="4" t="str">
        <f aca="false">IFERROR(DPG5j!L17,"")</f>
        <v/>
      </c>
      <c r="E93" s="4" t="s">
        <v>211</v>
      </c>
      <c r="F93" s="5"/>
      <c r="G93" s="5"/>
      <c r="H93" s="6" t="str">
        <f aca="false">IF(OR(F93="",NOT(ISNUMBER(D93))),"",IF(ABS(F93-D93)&lt;0.001,"Yes","No"))</f>
        <v/>
      </c>
      <c r="I93" s="7" t="str">
        <f aca="false">IF(ISNUMBER(F93),F93,D93)</f>
        <v/>
      </c>
      <c r="J93" s="6" t="str">
        <f aca="false">IF(ISNUMBER(F93),"Expert (overrides AI)",IF(ISNUMBER(D93),"AI","Not scored yet"))</f>
        <v>Not scored yet</v>
      </c>
      <c r="K93" s="4" t="s">
        <v>22</v>
      </c>
      <c r="L93" s="4" t="s">
        <v>23</v>
      </c>
      <c r="M93" s="4" t="s">
        <v>286</v>
      </c>
      <c r="N93" s="4" t="s">
        <v>287</v>
      </c>
      <c r="O93" s="4" t="s">
        <v>288</v>
      </c>
      <c r="P93" s="4" t="s">
        <v>289</v>
      </c>
      <c r="Q93" s="4" t="s">
        <v>290</v>
      </c>
      <c r="R93" s="4" t="s">
        <v>29</v>
      </c>
    </row>
    <row r="94" customFormat="false" ht="93" hidden="false" customHeight="true" outlineLevel="0" collapsed="false">
      <c r="A94" s="3" t="s">
        <v>291</v>
      </c>
      <c r="B94" s="4" t="s">
        <v>19</v>
      </c>
      <c r="C94" s="4" t="s">
        <v>292</v>
      </c>
      <c r="D94" s="4" t="str">
        <f aca="false">IFERROR(DPG5k!L13,"")</f>
        <v/>
      </c>
      <c r="E94" s="4" t="s">
        <v>211</v>
      </c>
      <c r="F94" s="5"/>
      <c r="G94" s="5"/>
      <c r="H94" s="6" t="str">
        <f aca="false">IF(OR(F94="",NOT(ISNUMBER(D94))),"",IF(ABS(F94-D94)&lt;0.001,"Yes","No"))</f>
        <v/>
      </c>
      <c r="I94" s="7" t="str">
        <f aca="false">IF(ISNUMBER(F94),F94,D94)</f>
        <v/>
      </c>
      <c r="J94" s="6" t="str">
        <f aca="false">IF(ISNUMBER(F94),"Expert (overrides AI)",IF(ISNUMBER(D94),"AI","Not scored yet"))</f>
        <v>Not scored yet</v>
      </c>
      <c r="K94" s="4" t="s">
        <v>22</v>
      </c>
      <c r="L94" s="4" t="s">
        <v>31</v>
      </c>
      <c r="M94" s="4"/>
      <c r="N94" s="4"/>
      <c r="O94" s="4"/>
      <c r="P94" s="4"/>
      <c r="Q94" s="4"/>
      <c r="R94" s="4" t="s">
        <v>293</v>
      </c>
    </row>
    <row r="95" customFormat="false" ht="93" hidden="false" customHeight="true" outlineLevel="0" collapsed="false">
      <c r="A95" s="3" t="s">
        <v>291</v>
      </c>
      <c r="B95" s="4" t="s">
        <v>30</v>
      </c>
      <c r="C95" s="4" t="s">
        <v>292</v>
      </c>
      <c r="D95" s="4" t="str">
        <f aca="false">IFERROR(DPG5k!L14,"")</f>
        <v/>
      </c>
      <c r="E95" s="4" t="s">
        <v>211</v>
      </c>
      <c r="F95" s="5"/>
      <c r="G95" s="5"/>
      <c r="H95" s="6" t="str">
        <f aca="false">IF(OR(F95="",NOT(ISNUMBER(D95))),"",IF(ABS(F95-D95)&lt;0.001,"Yes","No"))</f>
        <v/>
      </c>
      <c r="I95" s="7" t="str">
        <f aca="false">IF(ISNUMBER(F95),F95,D95)</f>
        <v/>
      </c>
      <c r="J95" s="6" t="str">
        <f aca="false">IF(ISNUMBER(F95),"Expert (overrides AI)",IF(ISNUMBER(D95),"AI","Not scored yet"))</f>
        <v>Not scored yet</v>
      </c>
      <c r="K95" s="4" t="s">
        <v>22</v>
      </c>
      <c r="L95" s="4" t="s">
        <v>31</v>
      </c>
      <c r="M95" s="4"/>
      <c r="N95" s="4"/>
      <c r="O95" s="4"/>
      <c r="P95" s="4"/>
      <c r="Q95" s="4"/>
      <c r="R95" s="4" t="s">
        <v>294</v>
      </c>
    </row>
    <row r="96" customFormat="false" ht="93" hidden="false" customHeight="true" outlineLevel="0" collapsed="false">
      <c r="A96" s="3" t="s">
        <v>291</v>
      </c>
      <c r="B96" s="4" t="s">
        <v>33</v>
      </c>
      <c r="C96" s="4" t="s">
        <v>292</v>
      </c>
      <c r="D96" s="4" t="str">
        <f aca="false">IFERROR(DPG5k!L15,"")</f>
        <v/>
      </c>
      <c r="E96" s="4" t="s">
        <v>211</v>
      </c>
      <c r="F96" s="5"/>
      <c r="G96" s="5"/>
      <c r="H96" s="6" t="str">
        <f aca="false">IF(OR(F96="",NOT(ISNUMBER(D96))),"",IF(ABS(F96-D96)&lt;0.001,"Yes","No"))</f>
        <v/>
      </c>
      <c r="I96" s="7" t="str">
        <f aca="false">IF(ISNUMBER(F96),F96,D96)</f>
        <v/>
      </c>
      <c r="J96" s="6" t="str">
        <f aca="false">IF(ISNUMBER(F96),"Expert (overrides AI)",IF(ISNUMBER(D96),"AI","Not scored yet"))</f>
        <v>Not scored yet</v>
      </c>
      <c r="K96" s="4" t="s">
        <v>22</v>
      </c>
      <c r="L96" s="4" t="s">
        <v>31</v>
      </c>
      <c r="M96" s="4"/>
      <c r="N96" s="4"/>
      <c r="O96" s="4"/>
      <c r="P96" s="4"/>
      <c r="Q96" s="4"/>
      <c r="R96" s="4" t="s">
        <v>295</v>
      </c>
    </row>
    <row r="97" customFormat="false" ht="93" hidden="false" customHeight="true" outlineLevel="0" collapsed="false">
      <c r="A97" s="3" t="s">
        <v>291</v>
      </c>
      <c r="B97" s="4" t="s">
        <v>39</v>
      </c>
      <c r="C97" s="4" t="s">
        <v>292</v>
      </c>
      <c r="D97" s="4" t="str">
        <f aca="false">IFERROR(DPG5k!L16,"")</f>
        <v/>
      </c>
      <c r="E97" s="4" t="s">
        <v>211</v>
      </c>
      <c r="F97" s="5"/>
      <c r="G97" s="5"/>
      <c r="H97" s="6" t="str">
        <f aca="false">IF(OR(F97="",NOT(ISNUMBER(D97))),"",IF(ABS(F97-D97)&lt;0.001,"Yes","No"))</f>
        <v/>
      </c>
      <c r="I97" s="7" t="str">
        <f aca="false">IF(ISNUMBER(F97),F97,D97)</f>
        <v/>
      </c>
      <c r="J97" s="6" t="str">
        <f aca="false">IF(ISNUMBER(F97),"Expert (overrides AI)",IF(ISNUMBER(D97),"AI","Not scored yet"))</f>
        <v>Not scored yet</v>
      </c>
      <c r="K97" s="4" t="s">
        <v>22</v>
      </c>
      <c r="L97" s="4" t="s">
        <v>31</v>
      </c>
      <c r="M97" s="4"/>
      <c r="N97" s="4"/>
      <c r="O97" s="4"/>
      <c r="P97" s="4"/>
      <c r="Q97" s="4"/>
      <c r="R97" s="4" t="s">
        <v>296</v>
      </c>
    </row>
    <row r="98" customFormat="false" ht="93" hidden="false" customHeight="true" outlineLevel="0" collapsed="false">
      <c r="A98" s="3" t="s">
        <v>291</v>
      </c>
      <c r="B98" s="4" t="s">
        <v>41</v>
      </c>
      <c r="C98" s="4" t="s">
        <v>292</v>
      </c>
      <c r="D98" s="4" t="str">
        <f aca="false">IFERROR(DPG5k!L17,"")</f>
        <v/>
      </c>
      <c r="E98" s="4" t="s">
        <v>211</v>
      </c>
      <c r="F98" s="5"/>
      <c r="G98" s="5"/>
      <c r="H98" s="6" t="str">
        <f aca="false">IF(OR(F98="",NOT(ISNUMBER(D98))),"",IF(ABS(F98-D98)&lt;0.001,"Yes","No"))</f>
        <v/>
      </c>
      <c r="I98" s="7" t="str">
        <f aca="false">IF(ISNUMBER(F98),F98,D98)</f>
        <v/>
      </c>
      <c r="J98" s="6" t="str">
        <f aca="false">IF(ISNUMBER(F98),"Expert (overrides AI)",IF(ISNUMBER(D98),"AI","Not scored yet"))</f>
        <v>Not scored yet</v>
      </c>
      <c r="K98" s="4" t="s">
        <v>22</v>
      </c>
      <c r="L98" s="4" t="s">
        <v>31</v>
      </c>
      <c r="M98" s="4"/>
      <c r="N98" s="4"/>
      <c r="O98" s="4"/>
      <c r="P98" s="4"/>
      <c r="Q98" s="4"/>
      <c r="R98" s="4" t="s">
        <v>297</v>
      </c>
    </row>
    <row r="99" customFormat="false" ht="93" hidden="false" customHeight="true" outlineLevel="0" collapsed="false">
      <c r="A99" s="3" t="s">
        <v>298</v>
      </c>
      <c r="B99" s="4" t="s">
        <v>19</v>
      </c>
      <c r="C99" s="4" t="s">
        <v>299</v>
      </c>
      <c r="D99" s="4" t="n">
        <f aca="false">IFERROR(DPG6a!L13,"")</f>
        <v>5</v>
      </c>
      <c r="E99" s="4" t="s">
        <v>21</v>
      </c>
      <c r="F99" s="5"/>
      <c r="G99" s="5"/>
      <c r="H99" s="6" t="str">
        <f aca="false">IF(OR(F99="",NOT(ISNUMBER(D99))),"",IF(ABS(F99-D99)&lt;0.001,"Yes","No"))</f>
        <v/>
      </c>
      <c r="I99" s="7" t="n">
        <f aca="false">IF(ISNUMBER(F99),F99,D99)</f>
        <v>5</v>
      </c>
      <c r="J99" s="6" t="str">
        <f aca="false">IF(ISNUMBER(F99),"Expert (overrides AI)",IF(ISNUMBER(D99),"AI","Not scored yet"))</f>
        <v>AI</v>
      </c>
      <c r="K99" s="4" t="s">
        <v>22</v>
      </c>
      <c r="L99" s="4" t="s">
        <v>23</v>
      </c>
      <c r="M99" s="4" t="s">
        <v>300</v>
      </c>
      <c r="N99" s="4" t="s">
        <v>25</v>
      </c>
      <c r="O99" s="4" t="s">
        <v>26</v>
      </c>
      <c r="P99" s="4" t="s">
        <v>301</v>
      </c>
      <c r="Q99" s="4" t="s">
        <v>302</v>
      </c>
      <c r="R99" s="4" t="s">
        <v>29</v>
      </c>
    </row>
    <row r="100" customFormat="false" ht="93" hidden="false" customHeight="true" outlineLevel="0" collapsed="false">
      <c r="A100" s="3" t="s">
        <v>298</v>
      </c>
      <c r="B100" s="4" t="s">
        <v>30</v>
      </c>
      <c r="C100" s="4" t="s">
        <v>299</v>
      </c>
      <c r="D100" s="4" t="str">
        <f aca="false">IFERROR(DPG6a!L14,"")</f>
        <v/>
      </c>
      <c r="E100" s="4" t="s">
        <v>21</v>
      </c>
      <c r="F100" s="5"/>
      <c r="G100" s="5"/>
      <c r="H100" s="6" t="str">
        <f aca="false">IF(OR(F100="",NOT(ISNUMBER(D100))),"",IF(ABS(F100-D100)&lt;0.001,"Yes","No"))</f>
        <v/>
      </c>
      <c r="I100" s="7" t="str">
        <f aca="false">IF(ISNUMBER(F100),F100,D100)</f>
        <v/>
      </c>
      <c r="J100" s="6" t="str">
        <f aca="false">IF(ISNUMBER(F100),"Expert (overrides AI)",IF(ISNUMBER(D100),"AI","Not scored yet"))</f>
        <v>Not scored yet</v>
      </c>
      <c r="K100" s="4" t="s">
        <v>22</v>
      </c>
      <c r="L100" s="4" t="s">
        <v>31</v>
      </c>
      <c r="M100" s="4"/>
      <c r="N100" s="4"/>
      <c r="O100" s="4"/>
      <c r="P100" s="4"/>
      <c r="Q100" s="4"/>
      <c r="R100" s="4" t="s">
        <v>303</v>
      </c>
    </row>
    <row r="101" customFormat="false" ht="93" hidden="false" customHeight="true" outlineLevel="0" collapsed="false">
      <c r="A101" s="3" t="s">
        <v>298</v>
      </c>
      <c r="B101" s="4" t="s">
        <v>33</v>
      </c>
      <c r="C101" s="4" t="s">
        <v>299</v>
      </c>
      <c r="D101" s="4" t="n">
        <f aca="false">IFERROR(DPG6a!L15,"")</f>
        <v>0</v>
      </c>
      <c r="E101" s="4" t="s">
        <v>21</v>
      </c>
      <c r="F101" s="5"/>
      <c r="G101" s="5"/>
      <c r="H101" s="6" t="str">
        <f aca="false">IF(OR(F101="",NOT(ISNUMBER(D101))),"",IF(ABS(F101-D101)&lt;0.001,"Yes","No"))</f>
        <v/>
      </c>
      <c r="I101" s="7" t="n">
        <f aca="false">IF(ISNUMBER(F101),F101,D101)</f>
        <v>0</v>
      </c>
      <c r="J101" s="6" t="str">
        <f aca="false">IF(ISNUMBER(F101),"Expert (overrides AI)",IF(ISNUMBER(D101),"AI","Not scored yet"))</f>
        <v>AI</v>
      </c>
      <c r="K101" s="4" t="s">
        <v>22</v>
      </c>
      <c r="L101" s="4" t="s">
        <v>23</v>
      </c>
      <c r="M101" s="4" t="s">
        <v>304</v>
      </c>
      <c r="N101" s="4" t="s">
        <v>35</v>
      </c>
      <c r="O101" s="4" t="s">
        <v>36</v>
      </c>
      <c r="P101" s="4" t="s">
        <v>305</v>
      </c>
      <c r="Q101" s="4" t="s">
        <v>306</v>
      </c>
      <c r="R101" s="4" t="s">
        <v>29</v>
      </c>
    </row>
    <row r="102" customFormat="false" ht="93" hidden="false" customHeight="true" outlineLevel="0" collapsed="false">
      <c r="A102" s="3" t="s">
        <v>298</v>
      </c>
      <c r="B102" s="4" t="s">
        <v>39</v>
      </c>
      <c r="C102" s="4" t="s">
        <v>299</v>
      </c>
      <c r="D102" s="4" t="str">
        <f aca="false">IFERROR(DPG6a!L16,"")</f>
        <v/>
      </c>
      <c r="E102" s="4" t="s">
        <v>21</v>
      </c>
      <c r="F102" s="5"/>
      <c r="G102" s="5"/>
      <c r="H102" s="6" t="str">
        <f aca="false">IF(OR(F102="",NOT(ISNUMBER(D102))),"",IF(ABS(F102-D102)&lt;0.001,"Yes","No"))</f>
        <v/>
      </c>
      <c r="I102" s="7" t="str">
        <f aca="false">IF(ISNUMBER(F102),F102,D102)</f>
        <v/>
      </c>
      <c r="J102" s="6" t="str">
        <f aca="false">IF(ISNUMBER(F102),"Expert (overrides AI)",IF(ISNUMBER(D102),"AI","Not scored yet"))</f>
        <v>Not scored yet</v>
      </c>
      <c r="K102" s="4" t="s">
        <v>22</v>
      </c>
      <c r="L102" s="4" t="s">
        <v>31</v>
      </c>
      <c r="M102" s="4"/>
      <c r="N102" s="4"/>
      <c r="O102" s="4"/>
      <c r="P102" s="4"/>
      <c r="Q102" s="4"/>
      <c r="R102" s="4" t="s">
        <v>307</v>
      </c>
    </row>
    <row r="103" customFormat="false" ht="93" hidden="false" customHeight="true" outlineLevel="0" collapsed="false">
      <c r="A103" s="3" t="s">
        <v>298</v>
      </c>
      <c r="B103" s="4" t="s">
        <v>41</v>
      </c>
      <c r="C103" s="4" t="s">
        <v>299</v>
      </c>
      <c r="D103" s="4" t="str">
        <f aca="false">IFERROR(DPG6a!L17,"")</f>
        <v/>
      </c>
      <c r="E103" s="4" t="s">
        <v>21</v>
      </c>
      <c r="F103" s="5"/>
      <c r="G103" s="5"/>
      <c r="H103" s="6" t="str">
        <f aca="false">IF(OR(F103="",NOT(ISNUMBER(D103))),"",IF(ABS(F103-D103)&lt;0.001,"Yes","No"))</f>
        <v/>
      </c>
      <c r="I103" s="7" t="str">
        <f aca="false">IF(ISNUMBER(F103),F103,D103)</f>
        <v/>
      </c>
      <c r="J103" s="6" t="str">
        <f aca="false">IF(ISNUMBER(F103),"Expert (overrides AI)",IF(ISNUMBER(D103),"AI","Not scored yet"))</f>
        <v>Not scored yet</v>
      </c>
      <c r="K103" s="4" t="s">
        <v>22</v>
      </c>
      <c r="L103" s="4" t="s">
        <v>31</v>
      </c>
      <c r="M103" s="4"/>
      <c r="N103" s="4"/>
      <c r="O103" s="4"/>
      <c r="P103" s="4"/>
      <c r="Q103" s="4"/>
      <c r="R103" s="4" t="s">
        <v>308</v>
      </c>
    </row>
    <row r="104" customFormat="false" ht="93" hidden="false" customHeight="true" outlineLevel="0" collapsed="false">
      <c r="A104" s="3" t="s">
        <v>309</v>
      </c>
      <c r="B104" s="4" t="s">
        <v>19</v>
      </c>
      <c r="C104" s="4" t="s">
        <v>310</v>
      </c>
      <c r="D104" s="4" t="str">
        <f aca="false">IFERROR(DPG6b!L13,"")</f>
        <v/>
      </c>
      <c r="E104" s="4" t="s">
        <v>21</v>
      </c>
      <c r="F104" s="5"/>
      <c r="G104" s="5"/>
      <c r="H104" s="6" t="str">
        <f aca="false">IF(OR(F104="",NOT(ISNUMBER(D104))),"",IF(ABS(F104-D104)&lt;0.001,"Yes","No"))</f>
        <v/>
      </c>
      <c r="I104" s="7" t="str">
        <f aca="false">IF(ISNUMBER(F104),F104,D104)</f>
        <v/>
      </c>
      <c r="J104" s="6" t="str">
        <f aca="false">IF(ISNUMBER(F104),"Expert (overrides AI)",IF(ISNUMBER(D104),"AI","Not scored yet"))</f>
        <v>Not scored yet</v>
      </c>
      <c r="K104" s="4" t="s">
        <v>22</v>
      </c>
      <c r="L104" s="4" t="s">
        <v>31</v>
      </c>
      <c r="M104" s="4"/>
      <c r="N104" s="4"/>
      <c r="O104" s="4"/>
      <c r="P104" s="4"/>
      <c r="Q104" s="4"/>
      <c r="R104" s="4" t="s">
        <v>311</v>
      </c>
    </row>
    <row r="105" customFormat="false" ht="93" hidden="false" customHeight="true" outlineLevel="0" collapsed="false">
      <c r="A105" s="3" t="s">
        <v>309</v>
      </c>
      <c r="B105" s="4" t="s">
        <v>30</v>
      </c>
      <c r="C105" s="4" t="s">
        <v>310</v>
      </c>
      <c r="D105" s="4" t="str">
        <f aca="false">IFERROR(DPG6b!L14,"")</f>
        <v/>
      </c>
      <c r="E105" s="4" t="s">
        <v>21</v>
      </c>
      <c r="F105" s="5"/>
      <c r="G105" s="5"/>
      <c r="H105" s="6" t="str">
        <f aca="false">IF(OR(F105="",NOT(ISNUMBER(D105))),"",IF(ABS(F105-D105)&lt;0.001,"Yes","No"))</f>
        <v/>
      </c>
      <c r="I105" s="7" t="str">
        <f aca="false">IF(ISNUMBER(F105),F105,D105)</f>
        <v/>
      </c>
      <c r="J105" s="6" t="str">
        <f aca="false">IF(ISNUMBER(F105),"Expert (overrides AI)",IF(ISNUMBER(D105),"AI","Not scored yet"))</f>
        <v>Not scored yet</v>
      </c>
      <c r="K105" s="4" t="s">
        <v>22</v>
      </c>
      <c r="L105" s="4" t="s">
        <v>23</v>
      </c>
      <c r="M105" s="4" t="s">
        <v>312</v>
      </c>
      <c r="N105" s="4" t="s">
        <v>194</v>
      </c>
      <c r="O105" s="4" t="s">
        <v>195</v>
      </c>
      <c r="P105" s="4" t="s">
        <v>313</v>
      </c>
      <c r="Q105" s="4" t="s">
        <v>314</v>
      </c>
      <c r="R105" s="4" t="s">
        <v>29</v>
      </c>
    </row>
    <row r="106" customFormat="false" ht="93" hidden="false" customHeight="true" outlineLevel="0" collapsed="false">
      <c r="A106" s="3" t="s">
        <v>309</v>
      </c>
      <c r="B106" s="4" t="s">
        <v>33</v>
      </c>
      <c r="C106" s="4" t="s">
        <v>310</v>
      </c>
      <c r="D106" s="4" t="str">
        <f aca="false">IFERROR(DPG6b!L15,"")</f>
        <v/>
      </c>
      <c r="E106" s="4" t="s">
        <v>21</v>
      </c>
      <c r="F106" s="5"/>
      <c r="G106" s="5"/>
      <c r="H106" s="6" t="str">
        <f aca="false">IF(OR(F106="",NOT(ISNUMBER(D106))),"",IF(ABS(F106-D106)&lt;0.001,"Yes","No"))</f>
        <v/>
      </c>
      <c r="I106" s="7" t="str">
        <f aca="false">IF(ISNUMBER(F106),F106,D106)</f>
        <v/>
      </c>
      <c r="J106" s="6" t="str">
        <f aca="false">IF(ISNUMBER(F106),"Expert (overrides AI)",IF(ISNUMBER(D106),"AI","Not scored yet"))</f>
        <v>Not scored yet</v>
      </c>
      <c r="K106" s="4" t="s">
        <v>22</v>
      </c>
      <c r="L106" s="4" t="s">
        <v>31</v>
      </c>
      <c r="M106" s="4"/>
      <c r="N106" s="4"/>
      <c r="O106" s="4"/>
      <c r="P106" s="4"/>
      <c r="Q106" s="4"/>
      <c r="R106" s="4" t="s">
        <v>315</v>
      </c>
    </row>
    <row r="107" customFormat="false" ht="93" hidden="false" customHeight="true" outlineLevel="0" collapsed="false">
      <c r="A107" s="3" t="s">
        <v>309</v>
      </c>
      <c r="B107" s="4" t="s">
        <v>39</v>
      </c>
      <c r="C107" s="4" t="s">
        <v>310</v>
      </c>
      <c r="D107" s="4" t="str">
        <f aca="false">IFERROR(DPG6b!L16,"")</f>
        <v/>
      </c>
      <c r="E107" s="4" t="s">
        <v>21</v>
      </c>
      <c r="F107" s="5"/>
      <c r="G107" s="5"/>
      <c r="H107" s="6" t="str">
        <f aca="false">IF(OR(F107="",NOT(ISNUMBER(D107))),"",IF(ABS(F107-D107)&lt;0.001,"Yes","No"))</f>
        <v/>
      </c>
      <c r="I107" s="7" t="str">
        <f aca="false">IF(ISNUMBER(F107),F107,D107)</f>
        <v/>
      </c>
      <c r="J107" s="6" t="str">
        <f aca="false">IF(ISNUMBER(F107),"Expert (overrides AI)",IF(ISNUMBER(D107),"AI","Not scored yet"))</f>
        <v>Not scored yet</v>
      </c>
      <c r="K107" s="4" t="s">
        <v>22</v>
      </c>
      <c r="L107" s="4" t="s">
        <v>31</v>
      </c>
      <c r="M107" s="4"/>
      <c r="N107" s="4"/>
      <c r="O107" s="4"/>
      <c r="P107" s="4"/>
      <c r="Q107" s="4"/>
      <c r="R107" s="4" t="s">
        <v>316</v>
      </c>
    </row>
    <row r="108" customFormat="false" ht="93" hidden="false" customHeight="true" outlineLevel="0" collapsed="false">
      <c r="A108" s="3" t="s">
        <v>309</v>
      </c>
      <c r="B108" s="4" t="s">
        <v>41</v>
      </c>
      <c r="C108" s="4" t="s">
        <v>310</v>
      </c>
      <c r="D108" s="4" t="str">
        <f aca="false">IFERROR(DPG6b!L17,"")</f>
        <v/>
      </c>
      <c r="E108" s="4" t="s">
        <v>21</v>
      </c>
      <c r="F108" s="5"/>
      <c r="G108" s="5"/>
      <c r="H108" s="6" t="str">
        <f aca="false">IF(OR(F108="",NOT(ISNUMBER(D108))),"",IF(ABS(F108-D108)&lt;0.001,"Yes","No"))</f>
        <v/>
      </c>
      <c r="I108" s="7" t="str">
        <f aca="false">IF(ISNUMBER(F108),F108,D108)</f>
        <v/>
      </c>
      <c r="J108" s="6" t="str">
        <f aca="false">IF(ISNUMBER(F108),"Expert (overrides AI)",IF(ISNUMBER(D108),"AI","Not scored yet"))</f>
        <v>Not scored yet</v>
      </c>
      <c r="K108" s="4" t="s">
        <v>22</v>
      </c>
      <c r="L108" s="4" t="s">
        <v>31</v>
      </c>
      <c r="M108" s="4"/>
      <c r="N108" s="4"/>
      <c r="O108" s="4"/>
      <c r="P108" s="4"/>
      <c r="Q108" s="4"/>
      <c r="R108" s="4" t="s">
        <v>317</v>
      </c>
    </row>
    <row r="109" customFormat="false" ht="93" hidden="false" customHeight="true" outlineLevel="0" collapsed="false">
      <c r="A109" s="3" t="s">
        <v>318</v>
      </c>
      <c r="B109" s="4" t="s">
        <v>19</v>
      </c>
      <c r="C109" s="4" t="s">
        <v>319</v>
      </c>
      <c r="D109" s="4" t="n">
        <f aca="false">IFERROR(DPG7a!L13,"")</f>
        <v>0</v>
      </c>
      <c r="E109" s="4" t="s">
        <v>21</v>
      </c>
      <c r="F109" s="5"/>
      <c r="G109" s="5"/>
      <c r="H109" s="6" t="str">
        <f aca="false">IF(OR(F109="",NOT(ISNUMBER(D109))),"",IF(ABS(F109-D109)&lt;0.001,"Yes","No"))</f>
        <v/>
      </c>
      <c r="I109" s="7" t="n">
        <f aca="false">IF(ISNUMBER(F109),F109,D109)</f>
        <v>0</v>
      </c>
      <c r="J109" s="6" t="str">
        <f aca="false">IF(ISNUMBER(F109),"Expert (overrides AI)",IF(ISNUMBER(D109),"AI","Not scored yet"))</f>
        <v>AI</v>
      </c>
      <c r="K109" s="4" t="s">
        <v>22</v>
      </c>
      <c r="L109" s="4" t="s">
        <v>23</v>
      </c>
      <c r="M109" s="4" t="s">
        <v>320</v>
      </c>
      <c r="N109" s="4" t="s">
        <v>25</v>
      </c>
      <c r="O109" s="4" t="s">
        <v>26</v>
      </c>
      <c r="P109" s="4" t="s">
        <v>321</v>
      </c>
      <c r="Q109" s="4" t="s">
        <v>322</v>
      </c>
      <c r="R109" s="4" t="s">
        <v>29</v>
      </c>
    </row>
    <row r="110" customFormat="false" ht="93" hidden="false" customHeight="true" outlineLevel="0" collapsed="false">
      <c r="A110" s="3" t="s">
        <v>318</v>
      </c>
      <c r="B110" s="4" t="s">
        <v>30</v>
      </c>
      <c r="C110" s="4" t="s">
        <v>319</v>
      </c>
      <c r="D110" s="4" t="n">
        <f aca="false">IFERROR(DPG7a!L14,"")</f>
        <v>2.5</v>
      </c>
      <c r="E110" s="4" t="s">
        <v>21</v>
      </c>
      <c r="F110" s="5"/>
      <c r="G110" s="5"/>
      <c r="H110" s="6" t="str">
        <f aca="false">IF(OR(F110="",NOT(ISNUMBER(D110))),"",IF(ABS(F110-D110)&lt;0.001,"Yes","No"))</f>
        <v/>
      </c>
      <c r="I110" s="7" t="n">
        <f aca="false">IF(ISNUMBER(F110),F110,D110)</f>
        <v>2.5</v>
      </c>
      <c r="J110" s="6" t="str">
        <f aca="false">IF(ISNUMBER(F110),"Expert (overrides AI)",IF(ISNUMBER(D110),"AI","Not scored yet"))</f>
        <v>AI</v>
      </c>
      <c r="K110" s="4" t="s">
        <v>22</v>
      </c>
      <c r="L110" s="4" t="s">
        <v>23</v>
      </c>
      <c r="M110" s="4" t="s">
        <v>323</v>
      </c>
      <c r="N110" s="4" t="s">
        <v>70</v>
      </c>
      <c r="O110" s="4" t="s">
        <v>71</v>
      </c>
      <c r="P110" s="4" t="s">
        <v>324</v>
      </c>
      <c r="Q110" s="4" t="s">
        <v>325</v>
      </c>
      <c r="R110" s="4" t="s">
        <v>29</v>
      </c>
    </row>
    <row r="111" customFormat="false" ht="93" hidden="false" customHeight="true" outlineLevel="0" collapsed="false">
      <c r="A111" s="3" t="s">
        <v>318</v>
      </c>
      <c r="B111" s="4" t="s">
        <v>39</v>
      </c>
      <c r="C111" s="4" t="s">
        <v>319</v>
      </c>
      <c r="D111" s="4" t="n">
        <f aca="false">IFERROR(DPG7a!L16,"")</f>
        <v>2.5</v>
      </c>
      <c r="E111" s="4" t="s">
        <v>21</v>
      </c>
      <c r="F111" s="5"/>
      <c r="G111" s="5"/>
      <c r="H111" s="6" t="str">
        <f aca="false">IF(OR(F111="",NOT(ISNUMBER(D111))),"",IF(ABS(F111-D111)&lt;0.001,"Yes","No"))</f>
        <v/>
      </c>
      <c r="I111" s="7" t="n">
        <f aca="false">IF(ISNUMBER(F111),F111,D111)</f>
        <v>2.5</v>
      </c>
      <c r="J111" s="6" t="str">
        <f aca="false">IF(ISNUMBER(F111),"Expert (overrides AI)",IF(ISNUMBER(D111),"AI","Not scored yet"))</f>
        <v>AI</v>
      </c>
      <c r="K111" s="4" t="s">
        <v>22</v>
      </c>
      <c r="L111" s="4" t="s">
        <v>23</v>
      </c>
      <c r="M111" s="4" t="s">
        <v>326</v>
      </c>
      <c r="N111" s="4" t="s">
        <v>327</v>
      </c>
      <c r="O111" s="4" t="s">
        <v>71</v>
      </c>
      <c r="P111" s="4" t="s">
        <v>328</v>
      </c>
      <c r="Q111" s="4" t="s">
        <v>329</v>
      </c>
      <c r="R111" s="4" t="s">
        <v>29</v>
      </c>
    </row>
    <row r="112" customFormat="false" ht="93" hidden="false" customHeight="true" outlineLevel="0" collapsed="false">
      <c r="A112" s="3" t="s">
        <v>330</v>
      </c>
      <c r="B112" s="4" t="s">
        <v>19</v>
      </c>
      <c r="C112" s="4" t="s">
        <v>331</v>
      </c>
      <c r="D112" s="4" t="n">
        <f aca="false">IFERROR(DPG7b!L13,"")</f>
        <v>2.5</v>
      </c>
      <c r="E112" s="4" t="s">
        <v>21</v>
      </c>
      <c r="F112" s="5"/>
      <c r="G112" s="5"/>
      <c r="H112" s="6" t="str">
        <f aca="false">IF(OR(F112="",NOT(ISNUMBER(D112))),"",IF(ABS(F112-D112)&lt;0.001,"Yes","No"))</f>
        <v/>
      </c>
      <c r="I112" s="7" t="n">
        <f aca="false">IF(ISNUMBER(F112),F112,D112)</f>
        <v>2.5</v>
      </c>
      <c r="J112" s="6" t="str">
        <f aca="false">IF(ISNUMBER(F112),"Expert (overrides AI)",IF(ISNUMBER(D112),"AI","Not scored yet"))</f>
        <v>AI</v>
      </c>
      <c r="K112" s="4" t="s">
        <v>22</v>
      </c>
      <c r="L112" s="4" t="s">
        <v>31</v>
      </c>
      <c r="M112" s="4"/>
      <c r="N112" s="4"/>
      <c r="O112" s="4"/>
      <c r="P112" s="4"/>
      <c r="Q112" s="4"/>
      <c r="R112" s="4" t="s">
        <v>332</v>
      </c>
    </row>
    <row r="113" customFormat="false" ht="93" hidden="false" customHeight="true" outlineLevel="0" collapsed="false">
      <c r="A113" s="3" t="s">
        <v>330</v>
      </c>
      <c r="B113" s="4" t="s">
        <v>30</v>
      </c>
      <c r="C113" s="4" t="s">
        <v>331</v>
      </c>
      <c r="D113" s="4" t="str">
        <f aca="false">IFERROR(DPG7b!L14,"")</f>
        <v/>
      </c>
      <c r="E113" s="4" t="s">
        <v>21</v>
      </c>
      <c r="F113" s="5"/>
      <c r="G113" s="5"/>
      <c r="H113" s="6" t="str">
        <f aca="false">IF(OR(F113="",NOT(ISNUMBER(D113))),"",IF(ABS(F113-D113)&lt;0.001,"Yes","No"))</f>
        <v/>
      </c>
      <c r="I113" s="7" t="str">
        <f aca="false">IF(ISNUMBER(F113),F113,D113)</f>
        <v/>
      </c>
      <c r="J113" s="6" t="str">
        <f aca="false">IF(ISNUMBER(F113),"Expert (overrides AI)",IF(ISNUMBER(D113),"AI","Not scored yet"))</f>
        <v>Not scored yet</v>
      </c>
      <c r="K113" s="4" t="s">
        <v>22</v>
      </c>
      <c r="L113" s="4" t="s">
        <v>31</v>
      </c>
      <c r="M113" s="4"/>
      <c r="N113" s="4"/>
      <c r="O113" s="4"/>
      <c r="P113" s="4"/>
      <c r="Q113" s="4"/>
      <c r="R113" s="4" t="s">
        <v>333</v>
      </c>
    </row>
    <row r="114" customFormat="false" ht="93" hidden="false" customHeight="true" outlineLevel="0" collapsed="false">
      <c r="A114" s="3" t="s">
        <v>330</v>
      </c>
      <c r="B114" s="4" t="s">
        <v>39</v>
      </c>
      <c r="C114" s="4" t="s">
        <v>331</v>
      </c>
      <c r="D114" s="4" t="n">
        <f aca="false">IFERROR(DPG7b!L16,"")</f>
        <v>2.5</v>
      </c>
      <c r="E114" s="4" t="s">
        <v>21</v>
      </c>
      <c r="F114" s="5"/>
      <c r="G114" s="5"/>
      <c r="H114" s="6" t="str">
        <f aca="false">IF(OR(F114="",NOT(ISNUMBER(D114))),"",IF(ABS(F114-D114)&lt;0.001,"Yes","No"))</f>
        <v/>
      </c>
      <c r="I114" s="7" t="n">
        <f aca="false">IF(ISNUMBER(F114),F114,D114)</f>
        <v>2.5</v>
      </c>
      <c r="J114" s="6" t="str">
        <f aca="false">IF(ISNUMBER(F114),"Expert (overrides AI)",IF(ISNUMBER(D114),"AI","Not scored yet"))</f>
        <v>AI</v>
      </c>
      <c r="K114" s="4" t="s">
        <v>22</v>
      </c>
      <c r="L114" s="4" t="s">
        <v>23</v>
      </c>
      <c r="M114" s="4" t="s">
        <v>334</v>
      </c>
      <c r="N114" s="4" t="s">
        <v>335</v>
      </c>
      <c r="O114" s="4" t="s">
        <v>336</v>
      </c>
      <c r="P114" s="4" t="s">
        <v>337</v>
      </c>
      <c r="Q114" s="4" t="s">
        <v>338</v>
      </c>
      <c r="R114" s="4" t="s">
        <v>29</v>
      </c>
    </row>
    <row r="115" customFormat="false" ht="93" hidden="false" customHeight="true" outlineLevel="0" collapsed="false">
      <c r="A115" s="3" t="s">
        <v>339</v>
      </c>
      <c r="B115" s="4" t="s">
        <v>19</v>
      </c>
      <c r="C115" s="4" t="s">
        <v>340</v>
      </c>
      <c r="D115" s="4" t="str">
        <f aca="false">IFERROR('SC1'!L13,"")</f>
        <v/>
      </c>
      <c r="E115" s="4" t="s">
        <v>186</v>
      </c>
      <c r="F115" s="5"/>
      <c r="G115" s="5"/>
      <c r="H115" s="6" t="str">
        <f aca="false">IF(OR(F115="",NOT(ISNUMBER(D115))),"",IF(ABS(F115-D115)&lt;0.001,"Yes","No"))</f>
        <v/>
      </c>
      <c r="I115" s="7" t="str">
        <f aca="false">IF(ISNUMBER(F115),F115,D115)</f>
        <v/>
      </c>
      <c r="J115" s="6" t="str">
        <f aca="false">IF(ISNUMBER(F115),"Expert (overrides AI)",IF(ISNUMBER(D115),"AI","Not scored yet"))</f>
        <v>Not scored yet</v>
      </c>
      <c r="K115" s="4" t="s">
        <v>22</v>
      </c>
      <c r="L115" s="4" t="s">
        <v>23</v>
      </c>
      <c r="M115" s="4" t="s">
        <v>341</v>
      </c>
      <c r="N115" s="4" t="s">
        <v>342</v>
      </c>
      <c r="O115" s="4" t="s">
        <v>343</v>
      </c>
      <c r="P115" s="4" t="s">
        <v>344</v>
      </c>
      <c r="Q115" s="4" t="s">
        <v>345</v>
      </c>
      <c r="R115" s="4" t="s">
        <v>29</v>
      </c>
    </row>
    <row r="116" customFormat="false" ht="93" hidden="false" customHeight="true" outlineLevel="0" collapsed="false">
      <c r="A116" s="3" t="s">
        <v>339</v>
      </c>
      <c r="B116" s="4" t="s">
        <v>30</v>
      </c>
      <c r="C116" s="4" t="s">
        <v>340</v>
      </c>
      <c r="D116" s="4" t="str">
        <f aca="false">IFERROR('SC1'!L14,"")</f>
        <v/>
      </c>
      <c r="E116" s="4" t="s">
        <v>186</v>
      </c>
      <c r="F116" s="5"/>
      <c r="G116" s="5"/>
      <c r="H116" s="6" t="str">
        <f aca="false">IF(OR(F116="",NOT(ISNUMBER(D116))),"",IF(ABS(F116-D116)&lt;0.001,"Yes","No"))</f>
        <v/>
      </c>
      <c r="I116" s="7" t="str">
        <f aca="false">IF(ISNUMBER(F116),F116,D116)</f>
        <v/>
      </c>
      <c r="J116" s="6" t="str">
        <f aca="false">IF(ISNUMBER(F116),"Expert (overrides AI)",IF(ISNUMBER(D116),"AI","Not scored yet"))</f>
        <v>Not scored yet</v>
      </c>
      <c r="K116" s="4" t="s">
        <v>22</v>
      </c>
      <c r="L116" s="4" t="s">
        <v>31</v>
      </c>
      <c r="M116" s="4"/>
      <c r="N116" s="4"/>
      <c r="O116" s="4"/>
      <c r="P116" s="4"/>
      <c r="Q116" s="4"/>
      <c r="R116" s="4" t="s">
        <v>346</v>
      </c>
    </row>
    <row r="117" customFormat="false" ht="93" hidden="false" customHeight="true" outlineLevel="0" collapsed="false">
      <c r="A117" s="3" t="s">
        <v>339</v>
      </c>
      <c r="B117" s="4" t="s">
        <v>33</v>
      </c>
      <c r="C117" s="4" t="s">
        <v>340</v>
      </c>
      <c r="D117" s="4" t="str">
        <f aca="false">IFERROR('SC1'!L15,"")</f>
        <v/>
      </c>
      <c r="E117" s="4" t="s">
        <v>186</v>
      </c>
      <c r="F117" s="5"/>
      <c r="G117" s="5"/>
      <c r="H117" s="6" t="str">
        <f aca="false">IF(OR(F117="",NOT(ISNUMBER(D117))),"",IF(ABS(F117-D117)&lt;0.001,"Yes","No"))</f>
        <v/>
      </c>
      <c r="I117" s="7" t="str">
        <f aca="false">IF(ISNUMBER(F117),F117,D117)</f>
        <v/>
      </c>
      <c r="J117" s="6" t="str">
        <f aca="false">IF(ISNUMBER(F117),"Expert (overrides AI)",IF(ISNUMBER(D117),"AI","Not scored yet"))</f>
        <v>Not scored yet</v>
      </c>
      <c r="K117" s="4" t="s">
        <v>22</v>
      </c>
      <c r="L117" s="4" t="s">
        <v>23</v>
      </c>
      <c r="M117" s="4" t="s">
        <v>347</v>
      </c>
      <c r="N117" s="8" t="s">
        <v>348</v>
      </c>
      <c r="O117" s="4" t="s">
        <v>349</v>
      </c>
      <c r="P117" s="4" t="s">
        <v>350</v>
      </c>
      <c r="Q117" s="4" t="s">
        <v>351</v>
      </c>
      <c r="R117" s="4" t="s">
        <v>29</v>
      </c>
    </row>
    <row r="118" customFormat="false" ht="93" hidden="false" customHeight="true" outlineLevel="0" collapsed="false">
      <c r="A118" s="3" t="s">
        <v>352</v>
      </c>
      <c r="B118" s="4" t="s">
        <v>19</v>
      </c>
      <c r="C118" s="4" t="s">
        <v>353</v>
      </c>
      <c r="D118" s="4" t="str">
        <f aca="false">IFERROR('SC2'!L13,"")</f>
        <v/>
      </c>
      <c r="E118" s="4" t="s">
        <v>186</v>
      </c>
      <c r="F118" s="5"/>
      <c r="G118" s="5"/>
      <c r="H118" s="6" t="str">
        <f aca="false">IF(OR(F118="",NOT(ISNUMBER(D118))),"",IF(ABS(F118-D118)&lt;0.001,"Yes","No"))</f>
        <v/>
      </c>
      <c r="I118" s="7" t="str">
        <f aca="false">IF(ISNUMBER(F118),F118,D118)</f>
        <v/>
      </c>
      <c r="J118" s="6" t="str">
        <f aca="false">IF(ISNUMBER(F118),"Expert (overrides AI)",IF(ISNUMBER(D118),"AI","Not scored yet"))</f>
        <v>Not scored yet</v>
      </c>
      <c r="K118" s="4" t="s">
        <v>22</v>
      </c>
      <c r="L118" s="4" t="s">
        <v>31</v>
      </c>
      <c r="M118" s="4"/>
      <c r="N118" s="4"/>
      <c r="O118" s="4"/>
      <c r="P118" s="4"/>
      <c r="Q118" s="4"/>
      <c r="R118" s="4" t="s">
        <v>354</v>
      </c>
    </row>
    <row r="119" customFormat="false" ht="93" hidden="false" customHeight="true" outlineLevel="0" collapsed="false">
      <c r="A119" s="3" t="s">
        <v>352</v>
      </c>
      <c r="B119" s="4" t="s">
        <v>30</v>
      </c>
      <c r="C119" s="4" t="s">
        <v>353</v>
      </c>
      <c r="D119" s="4" t="str">
        <f aca="false">IFERROR('SC2'!L14,"")</f>
        <v/>
      </c>
      <c r="E119" s="4" t="s">
        <v>186</v>
      </c>
      <c r="F119" s="5"/>
      <c r="G119" s="5"/>
      <c r="H119" s="6" t="str">
        <f aca="false">IF(OR(F119="",NOT(ISNUMBER(D119))),"",IF(ABS(F119-D119)&lt;0.001,"Yes","No"))</f>
        <v/>
      </c>
      <c r="I119" s="7" t="str">
        <f aca="false">IF(ISNUMBER(F119),F119,D119)</f>
        <v/>
      </c>
      <c r="J119" s="6" t="str">
        <f aca="false">IF(ISNUMBER(F119),"Expert (overrides AI)",IF(ISNUMBER(D119),"AI","Not scored yet"))</f>
        <v>Not scored yet</v>
      </c>
      <c r="K119" s="4" t="s">
        <v>22</v>
      </c>
      <c r="L119" s="4" t="s">
        <v>31</v>
      </c>
      <c r="M119" s="4"/>
      <c r="N119" s="4"/>
      <c r="O119" s="4"/>
      <c r="P119" s="4"/>
      <c r="Q119" s="4"/>
      <c r="R119" s="4" t="s">
        <v>355</v>
      </c>
    </row>
    <row r="120" customFormat="false" ht="93" hidden="false" customHeight="true" outlineLevel="0" collapsed="false">
      <c r="A120" s="3" t="s">
        <v>352</v>
      </c>
      <c r="B120" s="4" t="s">
        <v>33</v>
      </c>
      <c r="C120" s="4" t="s">
        <v>353</v>
      </c>
      <c r="D120" s="4" t="str">
        <f aca="false">IFERROR('SC2'!L15,"")</f>
        <v/>
      </c>
      <c r="E120" s="4" t="s">
        <v>186</v>
      </c>
      <c r="F120" s="5"/>
      <c r="G120" s="5"/>
      <c r="H120" s="6" t="str">
        <f aca="false">IF(OR(F120="",NOT(ISNUMBER(D120))),"",IF(ABS(F120-D120)&lt;0.001,"Yes","No"))</f>
        <v/>
      </c>
      <c r="I120" s="7" t="str">
        <f aca="false">IF(ISNUMBER(F120),F120,D120)</f>
        <v/>
      </c>
      <c r="J120" s="6" t="str">
        <f aca="false">IF(ISNUMBER(F120),"Expert (overrides AI)",IF(ISNUMBER(D120),"AI","Not scored yet"))</f>
        <v>Not scored yet</v>
      </c>
      <c r="K120" s="4" t="s">
        <v>22</v>
      </c>
      <c r="L120" s="4" t="s">
        <v>31</v>
      </c>
      <c r="M120" s="4"/>
      <c r="N120" s="4"/>
      <c r="O120" s="4"/>
      <c r="P120" s="4"/>
      <c r="Q120" s="4"/>
      <c r="R120" s="4" t="s">
        <v>356</v>
      </c>
    </row>
    <row r="121" customFormat="false" ht="93" hidden="false" customHeight="true" outlineLevel="0" collapsed="false">
      <c r="A121" s="3" t="s">
        <v>352</v>
      </c>
      <c r="B121" s="4" t="s">
        <v>39</v>
      </c>
      <c r="C121" s="4" t="s">
        <v>353</v>
      </c>
      <c r="D121" s="4" t="str">
        <f aca="false">IFERROR('SC2'!L16,"")</f>
        <v/>
      </c>
      <c r="E121" s="4" t="s">
        <v>186</v>
      </c>
      <c r="F121" s="5"/>
      <c r="G121" s="5"/>
      <c r="H121" s="6" t="str">
        <f aca="false">IF(OR(F121="",NOT(ISNUMBER(D121))),"",IF(ABS(F121-D121)&lt;0.001,"Yes","No"))</f>
        <v/>
      </c>
      <c r="I121" s="7" t="str">
        <f aca="false">IF(ISNUMBER(F121),F121,D121)</f>
        <v/>
      </c>
      <c r="J121" s="6" t="str">
        <f aca="false">IF(ISNUMBER(F121),"Expert (overrides AI)",IF(ISNUMBER(D121),"AI","Not scored yet"))</f>
        <v>Not scored yet</v>
      </c>
      <c r="K121" s="4" t="s">
        <v>22</v>
      </c>
      <c r="L121" s="4" t="s">
        <v>31</v>
      </c>
      <c r="M121" s="4"/>
      <c r="N121" s="4"/>
      <c r="O121" s="4"/>
      <c r="P121" s="4"/>
      <c r="Q121" s="4"/>
      <c r="R121" s="4" t="s">
        <v>357</v>
      </c>
    </row>
    <row r="122" customFormat="false" ht="93" hidden="false" customHeight="true" outlineLevel="0" collapsed="false">
      <c r="A122" s="3" t="s">
        <v>358</v>
      </c>
      <c r="B122" s="4" t="s">
        <v>19</v>
      </c>
      <c r="C122" s="4" t="s">
        <v>359</v>
      </c>
      <c r="D122" s="4" t="str">
        <f aca="false">IFERROR('SC3'!L13,"")</f>
        <v/>
      </c>
      <c r="E122" s="4" t="s">
        <v>186</v>
      </c>
      <c r="F122" s="5"/>
      <c r="G122" s="5"/>
      <c r="H122" s="6" t="str">
        <f aca="false">IF(OR(F122="",NOT(ISNUMBER(D122))),"",IF(ABS(F122-D122)&lt;0.001,"Yes","No"))</f>
        <v/>
      </c>
      <c r="I122" s="7" t="str">
        <f aca="false">IF(ISNUMBER(F122),F122,D122)</f>
        <v/>
      </c>
      <c r="J122" s="6" t="str">
        <f aca="false">IF(ISNUMBER(F122),"Expert (overrides AI)",IF(ISNUMBER(D122),"AI","Not scored yet"))</f>
        <v>Not scored yet</v>
      </c>
      <c r="K122" s="4" t="s">
        <v>22</v>
      </c>
      <c r="L122" s="4" t="s">
        <v>31</v>
      </c>
      <c r="M122" s="4"/>
      <c r="N122" s="4"/>
      <c r="O122" s="4"/>
      <c r="P122" s="4"/>
      <c r="Q122" s="4"/>
      <c r="R122" s="4" t="s">
        <v>360</v>
      </c>
    </row>
    <row r="123" customFormat="false" ht="93" hidden="false" customHeight="true" outlineLevel="0" collapsed="false">
      <c r="A123" s="3" t="s">
        <v>358</v>
      </c>
      <c r="B123" s="4" t="s">
        <v>30</v>
      </c>
      <c r="C123" s="4" t="s">
        <v>359</v>
      </c>
      <c r="D123" s="4" t="str">
        <f aca="false">IFERROR('SC3'!L14,"")</f>
        <v/>
      </c>
      <c r="E123" s="4" t="s">
        <v>186</v>
      </c>
      <c r="F123" s="5"/>
      <c r="G123" s="5"/>
      <c r="H123" s="6" t="str">
        <f aca="false">IF(OR(F123="",NOT(ISNUMBER(D123))),"",IF(ABS(F123-D123)&lt;0.001,"Yes","No"))</f>
        <v/>
      </c>
      <c r="I123" s="7" t="str">
        <f aca="false">IF(ISNUMBER(F123),F123,D123)</f>
        <v/>
      </c>
      <c r="J123" s="6" t="str">
        <f aca="false">IF(ISNUMBER(F123),"Expert (overrides AI)",IF(ISNUMBER(D123),"AI","Not scored yet"))</f>
        <v>Not scored yet</v>
      </c>
      <c r="K123" s="4" t="s">
        <v>22</v>
      </c>
      <c r="L123" s="4" t="s">
        <v>31</v>
      </c>
      <c r="M123" s="4"/>
      <c r="N123" s="4"/>
      <c r="O123" s="4"/>
      <c r="P123" s="4"/>
      <c r="Q123" s="4"/>
      <c r="R123" s="4" t="s">
        <v>361</v>
      </c>
    </row>
    <row r="124" customFormat="false" ht="93" hidden="false" customHeight="true" outlineLevel="0" collapsed="false">
      <c r="A124" s="3" t="s">
        <v>358</v>
      </c>
      <c r="B124" s="4" t="s">
        <v>33</v>
      </c>
      <c r="C124" s="4" t="s">
        <v>359</v>
      </c>
      <c r="D124" s="4" t="str">
        <f aca="false">IFERROR('SC3'!L15,"")</f>
        <v/>
      </c>
      <c r="E124" s="4" t="s">
        <v>186</v>
      </c>
      <c r="F124" s="5"/>
      <c r="G124" s="5"/>
      <c r="H124" s="6" t="str">
        <f aca="false">IF(OR(F124="",NOT(ISNUMBER(D124))),"",IF(ABS(F124-D124)&lt;0.001,"Yes","No"))</f>
        <v/>
      </c>
      <c r="I124" s="7" t="str">
        <f aca="false">IF(ISNUMBER(F124),F124,D124)</f>
        <v/>
      </c>
      <c r="J124" s="6" t="str">
        <f aca="false">IF(ISNUMBER(F124),"Expert (overrides AI)",IF(ISNUMBER(D124),"AI","Not scored yet"))</f>
        <v>Not scored yet</v>
      </c>
      <c r="K124" s="4" t="s">
        <v>22</v>
      </c>
      <c r="L124" s="4" t="s">
        <v>31</v>
      </c>
      <c r="M124" s="4"/>
      <c r="N124" s="4"/>
      <c r="O124" s="4"/>
      <c r="P124" s="4"/>
      <c r="Q124" s="4"/>
      <c r="R124" s="4" t="s">
        <v>362</v>
      </c>
    </row>
    <row r="125" customFormat="false" ht="93" hidden="false" customHeight="true" outlineLevel="0" collapsed="false">
      <c r="A125" s="3" t="s">
        <v>358</v>
      </c>
      <c r="B125" s="4" t="s">
        <v>39</v>
      </c>
      <c r="C125" s="4" t="s">
        <v>359</v>
      </c>
      <c r="D125" s="4" t="str">
        <f aca="false">IFERROR('SC3'!L16,"")</f>
        <v/>
      </c>
      <c r="E125" s="4" t="s">
        <v>186</v>
      </c>
      <c r="F125" s="5"/>
      <c r="G125" s="5"/>
      <c r="H125" s="6" t="str">
        <f aca="false">IF(OR(F125="",NOT(ISNUMBER(D125))),"",IF(ABS(F125-D125)&lt;0.001,"Yes","No"))</f>
        <v/>
      </c>
      <c r="I125" s="7" t="str">
        <f aca="false">IF(ISNUMBER(F125),F125,D125)</f>
        <v/>
      </c>
      <c r="J125" s="6" t="str">
        <f aca="false">IF(ISNUMBER(F125),"Expert (overrides AI)",IF(ISNUMBER(D125),"AI","Not scored yet"))</f>
        <v>Not scored yet</v>
      </c>
      <c r="K125" s="4" t="s">
        <v>22</v>
      </c>
      <c r="L125" s="4" t="s">
        <v>31</v>
      </c>
      <c r="M125" s="4"/>
      <c r="N125" s="4"/>
      <c r="O125" s="4"/>
      <c r="P125" s="4"/>
      <c r="Q125" s="4"/>
      <c r="R125" s="4" t="s">
        <v>363</v>
      </c>
    </row>
    <row r="126" customFormat="false" ht="93" hidden="false" customHeight="true" outlineLevel="0" collapsed="false">
      <c r="A126" s="3" t="s">
        <v>358</v>
      </c>
      <c r="B126" s="4" t="s">
        <v>41</v>
      </c>
      <c r="C126" s="4" t="s">
        <v>359</v>
      </c>
      <c r="D126" s="4" t="str">
        <f aca="false">IFERROR('SC3'!L17,"")</f>
        <v/>
      </c>
      <c r="E126" s="4" t="s">
        <v>186</v>
      </c>
      <c r="F126" s="5"/>
      <c r="G126" s="5"/>
      <c r="H126" s="6" t="str">
        <f aca="false">IF(OR(F126="",NOT(ISNUMBER(D126))),"",IF(ABS(F126-D126)&lt;0.001,"Yes","No"))</f>
        <v/>
      </c>
      <c r="I126" s="7" t="str">
        <f aca="false">IF(ISNUMBER(F126),F126,D126)</f>
        <v/>
      </c>
      <c r="J126" s="6" t="str">
        <f aca="false">IF(ISNUMBER(F126),"Expert (overrides AI)",IF(ISNUMBER(D126),"AI","Not scored yet"))</f>
        <v>Not scored yet</v>
      </c>
      <c r="K126" s="4" t="s">
        <v>22</v>
      </c>
      <c r="L126" s="4" t="s">
        <v>31</v>
      </c>
      <c r="M126" s="4"/>
      <c r="N126" s="4"/>
      <c r="O126" s="4"/>
      <c r="P126" s="4"/>
      <c r="Q126" s="4"/>
      <c r="R126" s="4" t="s">
        <v>364</v>
      </c>
    </row>
    <row r="127" customFormat="false" ht="93" hidden="false" customHeight="true" outlineLevel="0" collapsed="false">
      <c r="A127" s="3" t="s">
        <v>365</v>
      </c>
      <c r="B127" s="4" t="s">
        <v>19</v>
      </c>
      <c r="C127" s="4" t="s">
        <v>366</v>
      </c>
      <c r="D127" s="4" t="n">
        <f aca="false">IFERROR(SC4a!L13,"")</f>
        <v>0</v>
      </c>
      <c r="E127" s="4" t="s">
        <v>21</v>
      </c>
      <c r="F127" s="5"/>
      <c r="G127" s="5"/>
      <c r="H127" s="6" t="str">
        <f aca="false">IF(OR(F127="",NOT(ISNUMBER(D127))),"",IF(ABS(F127-D127)&lt;0.001,"Yes","No"))</f>
        <v/>
      </c>
      <c r="I127" s="7" t="n">
        <f aca="false">IF(ISNUMBER(F127),F127,D127)</f>
        <v>0</v>
      </c>
      <c r="J127" s="6" t="str">
        <f aca="false">IF(ISNUMBER(F127),"Expert (overrides AI)",IF(ISNUMBER(D127),"AI","Not scored yet"))</f>
        <v>AI</v>
      </c>
      <c r="K127" s="4" t="s">
        <v>22</v>
      </c>
      <c r="L127" s="4" t="s">
        <v>23</v>
      </c>
      <c r="M127" s="4" t="s">
        <v>367</v>
      </c>
      <c r="N127" s="4" t="s">
        <v>25</v>
      </c>
      <c r="O127" s="4" t="s">
        <v>26</v>
      </c>
      <c r="P127" s="4" t="s">
        <v>172</v>
      </c>
      <c r="Q127" s="4" t="s">
        <v>368</v>
      </c>
      <c r="R127" s="4" t="s">
        <v>29</v>
      </c>
    </row>
    <row r="128" customFormat="false" ht="93" hidden="false" customHeight="true" outlineLevel="0" collapsed="false">
      <c r="A128" s="3" t="s">
        <v>365</v>
      </c>
      <c r="B128" s="4" t="s">
        <v>30</v>
      </c>
      <c r="C128" s="4" t="s">
        <v>366</v>
      </c>
      <c r="D128" s="4" t="n">
        <f aca="false">IFERROR(SC4a!L14,"")</f>
        <v>0</v>
      </c>
      <c r="E128" s="4" t="s">
        <v>21</v>
      </c>
      <c r="F128" s="5"/>
      <c r="G128" s="5"/>
      <c r="H128" s="6" t="str">
        <f aca="false">IF(OR(F128="",NOT(ISNUMBER(D128))),"",IF(ABS(F128-D128)&lt;0.001,"Yes","No"))</f>
        <v/>
      </c>
      <c r="I128" s="7" t="n">
        <f aca="false">IF(ISNUMBER(F128),F128,D128)</f>
        <v>0</v>
      </c>
      <c r="J128" s="6" t="str">
        <f aca="false">IF(ISNUMBER(F128),"Expert (overrides AI)",IF(ISNUMBER(D128),"AI","Not scored yet"))</f>
        <v>AI</v>
      </c>
      <c r="K128" s="4" t="s">
        <v>22</v>
      </c>
      <c r="L128" s="4" t="s">
        <v>31</v>
      </c>
      <c r="M128" s="4"/>
      <c r="N128" s="4"/>
      <c r="O128" s="4"/>
      <c r="P128" s="4"/>
      <c r="Q128" s="4"/>
      <c r="R128" s="4" t="s">
        <v>369</v>
      </c>
    </row>
    <row r="129" customFormat="false" ht="93" hidden="false" customHeight="true" outlineLevel="0" collapsed="false">
      <c r="A129" s="3" t="s">
        <v>365</v>
      </c>
      <c r="B129" s="4" t="s">
        <v>33</v>
      </c>
      <c r="C129" s="4" t="s">
        <v>366</v>
      </c>
      <c r="D129" s="4" t="n">
        <f aca="false">IFERROR(SC4a!L15,"")</f>
        <v>0</v>
      </c>
      <c r="E129" s="4" t="s">
        <v>21</v>
      </c>
      <c r="F129" s="5"/>
      <c r="G129" s="5"/>
      <c r="H129" s="6" t="str">
        <f aca="false">IF(OR(F129="",NOT(ISNUMBER(D129))),"",IF(ABS(F129-D129)&lt;0.001,"Yes","No"))</f>
        <v/>
      </c>
      <c r="I129" s="7" t="n">
        <f aca="false">IF(ISNUMBER(F129),F129,D129)</f>
        <v>0</v>
      </c>
      <c r="J129" s="6" t="str">
        <f aca="false">IF(ISNUMBER(F129),"Expert (overrides AI)",IF(ISNUMBER(D129),"AI","Not scored yet"))</f>
        <v>AI</v>
      </c>
      <c r="K129" s="4" t="s">
        <v>22</v>
      </c>
      <c r="L129" s="4" t="s">
        <v>23</v>
      </c>
      <c r="M129" s="4" t="s">
        <v>370</v>
      </c>
      <c r="N129" s="4" t="s">
        <v>35</v>
      </c>
      <c r="O129" s="4" t="s">
        <v>36</v>
      </c>
      <c r="P129" s="4" t="s">
        <v>371</v>
      </c>
      <c r="Q129" s="4" t="s">
        <v>372</v>
      </c>
      <c r="R129" s="4" t="s">
        <v>29</v>
      </c>
    </row>
    <row r="130" customFormat="false" ht="93" hidden="false" customHeight="true" outlineLevel="0" collapsed="false">
      <c r="A130" s="3" t="s">
        <v>365</v>
      </c>
      <c r="B130" s="4" t="s">
        <v>39</v>
      </c>
      <c r="C130" s="4" t="s">
        <v>366</v>
      </c>
      <c r="D130" s="4" t="n">
        <f aca="false">IFERROR(SC4a!L16,"")</f>
        <v>0</v>
      </c>
      <c r="E130" s="4" t="s">
        <v>21</v>
      </c>
      <c r="F130" s="5"/>
      <c r="G130" s="5"/>
      <c r="H130" s="6" t="str">
        <f aca="false">IF(OR(F130="",NOT(ISNUMBER(D130))),"",IF(ABS(F130-D130)&lt;0.001,"Yes","No"))</f>
        <v/>
      </c>
      <c r="I130" s="7" t="n">
        <f aca="false">IF(ISNUMBER(F130),F130,D130)</f>
        <v>0</v>
      </c>
      <c r="J130" s="6" t="str">
        <f aca="false">IF(ISNUMBER(F130),"Expert (overrides AI)",IF(ISNUMBER(D130),"AI","Not scored yet"))</f>
        <v>AI</v>
      </c>
      <c r="K130" s="4" t="s">
        <v>22</v>
      </c>
      <c r="L130" s="4" t="s">
        <v>23</v>
      </c>
      <c r="M130" s="4" t="s">
        <v>373</v>
      </c>
      <c r="N130" s="4" t="s">
        <v>327</v>
      </c>
      <c r="O130" s="4" t="s">
        <v>71</v>
      </c>
      <c r="P130" s="4" t="s">
        <v>374</v>
      </c>
      <c r="Q130" s="4" t="s">
        <v>375</v>
      </c>
      <c r="R130" s="4" t="s">
        <v>29</v>
      </c>
    </row>
    <row r="131" customFormat="false" ht="93" hidden="false" customHeight="true" outlineLevel="0" collapsed="false">
      <c r="A131" s="3" t="s">
        <v>365</v>
      </c>
      <c r="B131" s="4" t="s">
        <v>41</v>
      </c>
      <c r="C131" s="4" t="s">
        <v>366</v>
      </c>
      <c r="D131" s="4" t="n">
        <f aca="false">IFERROR(SC4a!L17,"")</f>
        <v>0</v>
      </c>
      <c r="E131" s="4" t="s">
        <v>21</v>
      </c>
      <c r="F131" s="5"/>
      <c r="G131" s="5"/>
      <c r="H131" s="6" t="str">
        <f aca="false">IF(OR(F131="",NOT(ISNUMBER(D131))),"",IF(ABS(F131-D131)&lt;0.001,"Yes","No"))</f>
        <v/>
      </c>
      <c r="I131" s="7" t="n">
        <f aca="false">IF(ISNUMBER(F131),F131,D131)</f>
        <v>0</v>
      </c>
      <c r="J131" s="6" t="str">
        <f aca="false">IF(ISNUMBER(F131),"Expert (overrides AI)",IF(ISNUMBER(D131),"AI","Not scored yet"))</f>
        <v>AI</v>
      </c>
      <c r="K131" s="4" t="s">
        <v>22</v>
      </c>
      <c r="L131" s="4" t="s">
        <v>23</v>
      </c>
      <c r="M131" s="4" t="s">
        <v>376</v>
      </c>
      <c r="N131" s="4" t="s">
        <v>43</v>
      </c>
      <c r="O131" s="4" t="s">
        <v>44</v>
      </c>
      <c r="P131" s="4" t="s">
        <v>182</v>
      </c>
      <c r="Q131" s="4" t="s">
        <v>377</v>
      </c>
      <c r="R131" s="4" t="s">
        <v>29</v>
      </c>
    </row>
    <row r="132" customFormat="false" ht="93" hidden="false" customHeight="true" outlineLevel="0" collapsed="false">
      <c r="A132" s="3" t="s">
        <v>378</v>
      </c>
      <c r="B132" s="4" t="s">
        <v>19</v>
      </c>
      <c r="C132" s="4" t="s">
        <v>379</v>
      </c>
      <c r="D132" s="4" t="str">
        <f aca="false">IFERROR(SC4b!L13,"")</f>
        <v/>
      </c>
      <c r="E132" s="4" t="s">
        <v>21</v>
      </c>
      <c r="F132" s="5"/>
      <c r="G132" s="5"/>
      <c r="H132" s="6" t="str">
        <f aca="false">IF(OR(F132="",NOT(ISNUMBER(D132))),"",IF(ABS(F132-D132)&lt;0.001,"Yes","No"))</f>
        <v/>
      </c>
      <c r="I132" s="7" t="str">
        <f aca="false">IF(ISNUMBER(F132),F132,D132)</f>
        <v/>
      </c>
      <c r="J132" s="6" t="str">
        <f aca="false">IF(ISNUMBER(F132),"Expert (overrides AI)",IF(ISNUMBER(D132),"AI","Not scored yet"))</f>
        <v>Not scored yet</v>
      </c>
      <c r="K132" s="4" t="s">
        <v>22</v>
      </c>
      <c r="L132" s="4" t="s">
        <v>31</v>
      </c>
      <c r="M132" s="4"/>
      <c r="N132" s="4"/>
      <c r="O132" s="4"/>
      <c r="P132" s="4"/>
      <c r="Q132" s="4"/>
      <c r="R132" s="4" t="s">
        <v>380</v>
      </c>
    </row>
    <row r="133" customFormat="false" ht="93" hidden="false" customHeight="true" outlineLevel="0" collapsed="false">
      <c r="A133" s="3" t="s">
        <v>378</v>
      </c>
      <c r="B133" s="4" t="s">
        <v>30</v>
      </c>
      <c r="C133" s="4" t="s">
        <v>379</v>
      </c>
      <c r="D133" s="4" t="str">
        <f aca="false">IFERROR(SC4b!L14,"")</f>
        <v/>
      </c>
      <c r="E133" s="4" t="s">
        <v>21</v>
      </c>
      <c r="F133" s="5"/>
      <c r="G133" s="5"/>
      <c r="H133" s="6" t="str">
        <f aca="false">IF(OR(F133="",NOT(ISNUMBER(D133))),"",IF(ABS(F133-D133)&lt;0.001,"Yes","No"))</f>
        <v/>
      </c>
      <c r="I133" s="7" t="str">
        <f aca="false">IF(ISNUMBER(F133),F133,D133)</f>
        <v/>
      </c>
      <c r="J133" s="6" t="str">
        <f aca="false">IF(ISNUMBER(F133),"Expert (overrides AI)",IF(ISNUMBER(D133),"AI","Not scored yet"))</f>
        <v>Not scored yet</v>
      </c>
      <c r="K133" s="4" t="s">
        <v>22</v>
      </c>
      <c r="L133" s="4" t="s">
        <v>31</v>
      </c>
      <c r="M133" s="4"/>
      <c r="N133" s="4"/>
      <c r="O133" s="4"/>
      <c r="P133" s="4"/>
      <c r="Q133" s="4"/>
      <c r="R133" s="4" t="s">
        <v>381</v>
      </c>
    </row>
    <row r="134" customFormat="false" ht="93" hidden="false" customHeight="true" outlineLevel="0" collapsed="false">
      <c r="A134" s="3" t="s">
        <v>378</v>
      </c>
      <c r="B134" s="4" t="s">
        <v>33</v>
      </c>
      <c r="C134" s="4" t="s">
        <v>379</v>
      </c>
      <c r="D134" s="4" t="str">
        <f aca="false">IFERROR(SC4b!L15,"")</f>
        <v/>
      </c>
      <c r="E134" s="4" t="s">
        <v>21</v>
      </c>
      <c r="F134" s="5"/>
      <c r="G134" s="5"/>
      <c r="H134" s="6" t="str">
        <f aca="false">IF(OR(F134="",NOT(ISNUMBER(D134))),"",IF(ABS(F134-D134)&lt;0.001,"Yes","No"))</f>
        <v/>
      </c>
      <c r="I134" s="7" t="str">
        <f aca="false">IF(ISNUMBER(F134),F134,D134)</f>
        <v/>
      </c>
      <c r="J134" s="6" t="str">
        <f aca="false">IF(ISNUMBER(F134),"Expert (overrides AI)",IF(ISNUMBER(D134),"AI","Not scored yet"))</f>
        <v>Not scored yet</v>
      </c>
      <c r="K134" s="4" t="s">
        <v>22</v>
      </c>
      <c r="L134" s="4" t="s">
        <v>31</v>
      </c>
      <c r="M134" s="4"/>
      <c r="N134" s="4"/>
      <c r="O134" s="4"/>
      <c r="P134" s="4"/>
      <c r="Q134" s="4"/>
      <c r="R134" s="4" t="s">
        <v>382</v>
      </c>
    </row>
    <row r="135" customFormat="false" ht="93" hidden="false" customHeight="true" outlineLevel="0" collapsed="false">
      <c r="A135" s="3" t="s">
        <v>378</v>
      </c>
      <c r="B135" s="4" t="s">
        <v>39</v>
      </c>
      <c r="C135" s="4" t="s">
        <v>379</v>
      </c>
      <c r="D135" s="4" t="str">
        <f aca="false">IFERROR(SC4b!L16,"")</f>
        <v/>
      </c>
      <c r="E135" s="4" t="s">
        <v>21</v>
      </c>
      <c r="F135" s="5"/>
      <c r="G135" s="5"/>
      <c r="H135" s="6" t="str">
        <f aca="false">IF(OR(F135="",NOT(ISNUMBER(D135))),"",IF(ABS(F135-D135)&lt;0.001,"Yes","No"))</f>
        <v/>
      </c>
      <c r="I135" s="7" t="str">
        <f aca="false">IF(ISNUMBER(F135),F135,D135)</f>
        <v/>
      </c>
      <c r="J135" s="6" t="str">
        <f aca="false">IF(ISNUMBER(F135),"Expert (overrides AI)",IF(ISNUMBER(D135),"AI","Not scored yet"))</f>
        <v>Not scored yet</v>
      </c>
      <c r="K135" s="4" t="s">
        <v>22</v>
      </c>
      <c r="L135" s="4" t="s">
        <v>31</v>
      </c>
      <c r="M135" s="4"/>
      <c r="N135" s="4"/>
      <c r="O135" s="4"/>
      <c r="P135" s="4"/>
      <c r="Q135" s="4"/>
      <c r="R135" s="4" t="s">
        <v>383</v>
      </c>
    </row>
    <row r="136" customFormat="false" ht="93" hidden="false" customHeight="true" outlineLevel="0" collapsed="false">
      <c r="A136" s="3" t="s">
        <v>378</v>
      </c>
      <c r="B136" s="4" t="s">
        <v>41</v>
      </c>
      <c r="C136" s="4" t="s">
        <v>379</v>
      </c>
      <c r="D136" s="4" t="str">
        <f aca="false">IFERROR(SC4b!L17,"")</f>
        <v/>
      </c>
      <c r="E136" s="4" t="s">
        <v>21</v>
      </c>
      <c r="F136" s="5"/>
      <c r="G136" s="5"/>
      <c r="H136" s="6" t="str">
        <f aca="false">IF(OR(F136="",NOT(ISNUMBER(D136))),"",IF(ABS(F136-D136)&lt;0.001,"Yes","No"))</f>
        <v/>
      </c>
      <c r="I136" s="7" t="str">
        <f aca="false">IF(ISNUMBER(F136),F136,D136)</f>
        <v/>
      </c>
      <c r="J136" s="6" t="str">
        <f aca="false">IF(ISNUMBER(F136),"Expert (overrides AI)",IF(ISNUMBER(D136),"AI","Not scored yet"))</f>
        <v>Not scored yet</v>
      </c>
      <c r="K136" s="4" t="s">
        <v>22</v>
      </c>
      <c r="L136" s="4" t="s">
        <v>31</v>
      </c>
      <c r="M136" s="4"/>
      <c r="N136" s="4"/>
      <c r="O136" s="4"/>
      <c r="P136" s="4"/>
      <c r="Q136" s="4"/>
      <c r="R136" s="4" t="s">
        <v>384</v>
      </c>
    </row>
    <row r="137" customFormat="false" ht="93" hidden="false" customHeight="true" outlineLevel="0" collapsed="false">
      <c r="A137" s="3" t="s">
        <v>385</v>
      </c>
      <c r="B137" s="4" t="s">
        <v>19</v>
      </c>
      <c r="C137" s="4" t="s">
        <v>386</v>
      </c>
      <c r="D137" s="4" t="n">
        <f aca="false">IFERROR('SC5'!L13,"")</f>
        <v>0</v>
      </c>
      <c r="E137" s="4" t="s">
        <v>186</v>
      </c>
      <c r="F137" s="5"/>
      <c r="G137" s="5"/>
      <c r="H137" s="6" t="str">
        <f aca="false">IF(OR(F137="",NOT(ISNUMBER(D137))),"",IF(ABS(F137-D137)&lt;0.001,"Yes","No"))</f>
        <v/>
      </c>
      <c r="I137" s="7" t="n">
        <f aca="false">IF(ISNUMBER(F137),F137,D137)</f>
        <v>0</v>
      </c>
      <c r="J137" s="6" t="str">
        <f aca="false">IF(ISNUMBER(F137),"Expert (overrides AI)",IF(ISNUMBER(D137),"AI","Not scored yet"))</f>
        <v>AI</v>
      </c>
      <c r="K137" s="4" t="s">
        <v>22</v>
      </c>
      <c r="L137" s="4" t="s">
        <v>23</v>
      </c>
      <c r="M137" s="4" t="s">
        <v>387</v>
      </c>
      <c r="N137" s="4" t="s">
        <v>25</v>
      </c>
      <c r="O137" s="4" t="s">
        <v>26</v>
      </c>
      <c r="P137" s="4" t="s">
        <v>388</v>
      </c>
      <c r="Q137" s="4" t="s">
        <v>389</v>
      </c>
      <c r="R137" s="4" t="s">
        <v>29</v>
      </c>
    </row>
    <row r="138" customFormat="false" ht="93" hidden="false" customHeight="true" outlineLevel="0" collapsed="false">
      <c r="A138" s="3" t="s">
        <v>385</v>
      </c>
      <c r="B138" s="4" t="s">
        <v>30</v>
      </c>
      <c r="C138" s="4" t="s">
        <v>386</v>
      </c>
      <c r="D138" s="4" t="str">
        <f aca="false">IFERROR('SC5'!L14,"")</f>
        <v/>
      </c>
      <c r="E138" s="4" t="s">
        <v>186</v>
      </c>
      <c r="F138" s="5"/>
      <c r="G138" s="5"/>
      <c r="H138" s="6" t="str">
        <f aca="false">IF(OR(F138="",NOT(ISNUMBER(D138))),"",IF(ABS(F138-D138)&lt;0.001,"Yes","No"))</f>
        <v/>
      </c>
      <c r="I138" s="7" t="str">
        <f aca="false">IF(ISNUMBER(F138),F138,D138)</f>
        <v/>
      </c>
      <c r="J138" s="6" t="str">
        <f aca="false">IF(ISNUMBER(F138),"Expert (overrides AI)",IF(ISNUMBER(D138),"AI","Not scored yet"))</f>
        <v>Not scored yet</v>
      </c>
      <c r="K138" s="4" t="s">
        <v>22</v>
      </c>
      <c r="L138" s="4" t="s">
        <v>31</v>
      </c>
      <c r="M138" s="4"/>
      <c r="N138" s="4"/>
      <c r="O138" s="4"/>
      <c r="P138" s="4"/>
      <c r="Q138" s="4"/>
      <c r="R138" s="4" t="s">
        <v>390</v>
      </c>
    </row>
    <row r="139" customFormat="false" ht="93" hidden="false" customHeight="true" outlineLevel="0" collapsed="false">
      <c r="A139" s="3" t="s">
        <v>385</v>
      </c>
      <c r="B139" s="4" t="s">
        <v>33</v>
      </c>
      <c r="C139" s="4" t="s">
        <v>386</v>
      </c>
      <c r="D139" s="4" t="n">
        <f aca="false">IFERROR('SC5'!L15,"")</f>
        <v>0</v>
      </c>
      <c r="E139" s="4" t="s">
        <v>186</v>
      </c>
      <c r="F139" s="5"/>
      <c r="G139" s="5"/>
      <c r="H139" s="6" t="str">
        <f aca="false">IF(OR(F139="",NOT(ISNUMBER(D139))),"",IF(ABS(F139-D139)&lt;0.001,"Yes","No"))</f>
        <v/>
      </c>
      <c r="I139" s="7" t="n">
        <f aca="false">IF(ISNUMBER(F139),F139,D139)</f>
        <v>0</v>
      </c>
      <c r="J139" s="6" t="str">
        <f aca="false">IF(ISNUMBER(F139),"Expert (overrides AI)",IF(ISNUMBER(D139),"AI","Not scored yet"))</f>
        <v>AI</v>
      </c>
      <c r="K139" s="4" t="s">
        <v>22</v>
      </c>
      <c r="L139" s="4" t="s">
        <v>23</v>
      </c>
      <c r="M139" s="4" t="s">
        <v>391</v>
      </c>
      <c r="N139" s="4" t="s">
        <v>35</v>
      </c>
      <c r="O139" s="4" t="s">
        <v>36</v>
      </c>
      <c r="P139" s="4" t="s">
        <v>392</v>
      </c>
      <c r="Q139" s="4" t="s">
        <v>393</v>
      </c>
      <c r="R139" s="4" t="s">
        <v>29</v>
      </c>
    </row>
    <row r="140" customFormat="false" ht="93" hidden="false" customHeight="true" outlineLevel="0" collapsed="false">
      <c r="A140" s="3" t="s">
        <v>385</v>
      </c>
      <c r="B140" s="4" t="s">
        <v>39</v>
      </c>
      <c r="C140" s="4" t="s">
        <v>386</v>
      </c>
      <c r="D140" s="4" t="n">
        <f aca="false">IFERROR('SC5'!L16,"")</f>
        <v>0</v>
      </c>
      <c r="E140" s="4" t="s">
        <v>186</v>
      </c>
      <c r="F140" s="5"/>
      <c r="G140" s="5"/>
      <c r="H140" s="6" t="str">
        <f aca="false">IF(OR(F140="",NOT(ISNUMBER(D140))),"",IF(ABS(F140-D140)&lt;0.001,"Yes","No"))</f>
        <v/>
      </c>
      <c r="I140" s="7" t="n">
        <f aca="false">IF(ISNUMBER(F140),F140,D140)</f>
        <v>0</v>
      </c>
      <c r="J140" s="6" t="str">
        <f aca="false">IF(ISNUMBER(F140),"Expert (overrides AI)",IF(ISNUMBER(D140),"AI","Not scored yet"))</f>
        <v>AI</v>
      </c>
      <c r="K140" s="4" t="s">
        <v>22</v>
      </c>
      <c r="L140" s="4" t="s">
        <v>31</v>
      </c>
      <c r="M140" s="4"/>
      <c r="N140" s="4"/>
      <c r="O140" s="4"/>
      <c r="P140" s="4"/>
      <c r="Q140" s="4"/>
      <c r="R140" s="4" t="s">
        <v>394</v>
      </c>
    </row>
    <row r="141" customFormat="false" ht="93" hidden="false" customHeight="true" outlineLevel="0" collapsed="false">
      <c r="A141" s="3" t="s">
        <v>385</v>
      </c>
      <c r="B141" s="4" t="s">
        <v>41</v>
      </c>
      <c r="C141" s="4" t="s">
        <v>386</v>
      </c>
      <c r="D141" s="4" t="str">
        <f aca="false">IFERROR('SC5'!L17,"")</f>
        <v/>
      </c>
      <c r="E141" s="4" t="s">
        <v>186</v>
      </c>
      <c r="F141" s="5"/>
      <c r="G141" s="5"/>
      <c r="H141" s="6" t="str">
        <f aca="false">IF(OR(F141="",NOT(ISNUMBER(D141))),"",IF(ABS(F141-D141)&lt;0.001,"Yes","No"))</f>
        <v/>
      </c>
      <c r="I141" s="7" t="str">
        <f aca="false">IF(ISNUMBER(F141),F141,D141)</f>
        <v/>
      </c>
      <c r="J141" s="6" t="str">
        <f aca="false">IF(ISNUMBER(F141),"Expert (overrides AI)",IF(ISNUMBER(D141),"AI","Not scored yet"))</f>
        <v>Not scored yet</v>
      </c>
      <c r="K141" s="4" t="s">
        <v>22</v>
      </c>
      <c r="L141" s="4" t="s">
        <v>23</v>
      </c>
      <c r="M141" s="4" t="s">
        <v>395</v>
      </c>
      <c r="N141" s="4" t="s">
        <v>43</v>
      </c>
      <c r="O141" s="4" t="s">
        <v>44</v>
      </c>
      <c r="P141" s="4" t="s">
        <v>396</v>
      </c>
      <c r="Q141" s="4" t="s">
        <v>397</v>
      </c>
      <c r="R141" s="4" t="s">
        <v>29</v>
      </c>
    </row>
    <row r="142" customFormat="false" ht="93" hidden="false" customHeight="true" outlineLevel="0" collapsed="false">
      <c r="A142" s="3" t="s">
        <v>398</v>
      </c>
      <c r="B142" s="4" t="s">
        <v>19</v>
      </c>
      <c r="C142" s="4" t="s">
        <v>399</v>
      </c>
      <c r="D142" s="4" t="str">
        <f aca="false">IFERROR('SC6'!L13,"")</f>
        <v/>
      </c>
      <c r="E142" s="4" t="s">
        <v>186</v>
      </c>
      <c r="F142" s="5"/>
      <c r="G142" s="5"/>
      <c r="H142" s="6" t="str">
        <f aca="false">IF(OR(F142="",NOT(ISNUMBER(D142))),"",IF(ABS(F142-D142)&lt;0.001,"Yes","No"))</f>
        <v/>
      </c>
      <c r="I142" s="7" t="str">
        <f aca="false">IF(ISNUMBER(F142),F142,D142)</f>
        <v/>
      </c>
      <c r="J142" s="6" t="str">
        <f aca="false">IF(ISNUMBER(F142),"Expert (overrides AI)",IF(ISNUMBER(D142),"AI","Not scored yet"))</f>
        <v>Not scored yet</v>
      </c>
      <c r="K142" s="4" t="s">
        <v>22</v>
      </c>
      <c r="L142" s="4" t="s">
        <v>31</v>
      </c>
      <c r="M142" s="4"/>
      <c r="N142" s="4"/>
      <c r="O142" s="4"/>
      <c r="P142" s="4"/>
      <c r="Q142" s="4"/>
      <c r="R142" s="4" t="s">
        <v>400</v>
      </c>
    </row>
    <row r="143" customFormat="false" ht="93" hidden="false" customHeight="true" outlineLevel="0" collapsed="false">
      <c r="A143" s="3" t="s">
        <v>398</v>
      </c>
      <c r="B143" s="4" t="s">
        <v>30</v>
      </c>
      <c r="C143" s="4" t="s">
        <v>399</v>
      </c>
      <c r="D143" s="4" t="str">
        <f aca="false">IFERROR('SC6'!L14,"")</f>
        <v/>
      </c>
      <c r="E143" s="4" t="s">
        <v>186</v>
      </c>
      <c r="F143" s="5"/>
      <c r="G143" s="5"/>
      <c r="H143" s="6" t="str">
        <f aca="false">IF(OR(F143="",NOT(ISNUMBER(D143))),"",IF(ABS(F143-D143)&lt;0.001,"Yes","No"))</f>
        <v/>
      </c>
      <c r="I143" s="7" t="str">
        <f aca="false">IF(ISNUMBER(F143),F143,D143)</f>
        <v/>
      </c>
      <c r="J143" s="6" t="str">
        <f aca="false">IF(ISNUMBER(F143),"Expert (overrides AI)",IF(ISNUMBER(D143),"AI","Not scored yet"))</f>
        <v>Not scored yet</v>
      </c>
      <c r="K143" s="4" t="s">
        <v>22</v>
      </c>
      <c r="L143" s="4" t="s">
        <v>31</v>
      </c>
      <c r="M143" s="4"/>
      <c r="N143" s="4"/>
      <c r="O143" s="4"/>
      <c r="P143" s="4"/>
      <c r="Q143" s="4"/>
      <c r="R143" s="4" t="s">
        <v>401</v>
      </c>
    </row>
    <row r="144" customFormat="false" ht="93" hidden="false" customHeight="true" outlineLevel="0" collapsed="false">
      <c r="A144" s="3" t="s">
        <v>398</v>
      </c>
      <c r="B144" s="4" t="s">
        <v>33</v>
      </c>
      <c r="C144" s="4" t="s">
        <v>399</v>
      </c>
      <c r="D144" s="4" t="str">
        <f aca="false">IFERROR('SC6'!L15,"")</f>
        <v/>
      </c>
      <c r="E144" s="4" t="s">
        <v>186</v>
      </c>
      <c r="F144" s="5"/>
      <c r="G144" s="5"/>
      <c r="H144" s="6" t="str">
        <f aca="false">IF(OR(F144="",NOT(ISNUMBER(D144))),"",IF(ABS(F144-D144)&lt;0.001,"Yes","No"))</f>
        <v/>
      </c>
      <c r="I144" s="7" t="str">
        <f aca="false">IF(ISNUMBER(F144),F144,D144)</f>
        <v/>
      </c>
      <c r="J144" s="6" t="str">
        <f aca="false">IF(ISNUMBER(F144),"Expert (overrides AI)",IF(ISNUMBER(D144),"AI","Not scored yet"))</f>
        <v>Not scored yet</v>
      </c>
      <c r="K144" s="4" t="s">
        <v>22</v>
      </c>
      <c r="L144" s="4" t="s">
        <v>31</v>
      </c>
      <c r="M144" s="4"/>
      <c r="N144" s="4"/>
      <c r="O144" s="4"/>
      <c r="P144" s="4"/>
      <c r="Q144" s="4"/>
      <c r="R144" s="4" t="s">
        <v>402</v>
      </c>
    </row>
    <row r="145" customFormat="false" ht="93" hidden="false" customHeight="true" outlineLevel="0" collapsed="false">
      <c r="A145" s="3" t="s">
        <v>398</v>
      </c>
      <c r="B145" s="4" t="s">
        <v>39</v>
      </c>
      <c r="C145" s="4" t="s">
        <v>399</v>
      </c>
      <c r="D145" s="4" t="str">
        <f aca="false">IFERROR('SC6'!L16,"")</f>
        <v/>
      </c>
      <c r="E145" s="4" t="s">
        <v>186</v>
      </c>
      <c r="F145" s="5"/>
      <c r="G145" s="5"/>
      <c r="H145" s="6" t="str">
        <f aca="false">IF(OR(F145="",NOT(ISNUMBER(D145))),"",IF(ABS(F145-D145)&lt;0.001,"Yes","No"))</f>
        <v/>
      </c>
      <c r="I145" s="7" t="str">
        <f aca="false">IF(ISNUMBER(F145),F145,D145)</f>
        <v/>
      </c>
      <c r="J145" s="6" t="str">
        <f aca="false">IF(ISNUMBER(F145),"Expert (overrides AI)",IF(ISNUMBER(D145),"AI","Not scored yet"))</f>
        <v>Not scored yet</v>
      </c>
      <c r="K145" s="4" t="s">
        <v>22</v>
      </c>
      <c r="L145" s="4" t="s">
        <v>102</v>
      </c>
      <c r="M145" s="4" t="s">
        <v>403</v>
      </c>
      <c r="N145" s="4"/>
      <c r="O145" s="4"/>
      <c r="P145" s="4"/>
      <c r="Q145" s="4"/>
      <c r="R145" s="4" t="s">
        <v>404</v>
      </c>
    </row>
    <row r="146" customFormat="false" ht="93" hidden="false" customHeight="true" outlineLevel="0" collapsed="false">
      <c r="A146" s="3" t="s">
        <v>398</v>
      </c>
      <c r="B146" s="4" t="s">
        <v>41</v>
      </c>
      <c r="C146" s="4" t="s">
        <v>399</v>
      </c>
      <c r="D146" s="4" t="str">
        <f aca="false">IFERROR('SC6'!L17,"")</f>
        <v/>
      </c>
      <c r="E146" s="4" t="s">
        <v>186</v>
      </c>
      <c r="F146" s="5"/>
      <c r="G146" s="5"/>
      <c r="H146" s="6" t="str">
        <f aca="false">IF(OR(F146="",NOT(ISNUMBER(D146))),"",IF(ABS(F146-D146)&lt;0.001,"Yes","No"))</f>
        <v/>
      </c>
      <c r="I146" s="7" t="str">
        <f aca="false">IF(ISNUMBER(F146),F146,D146)</f>
        <v/>
      </c>
      <c r="J146" s="6" t="str">
        <f aca="false">IF(ISNUMBER(F146),"Expert (overrides AI)",IF(ISNUMBER(D146),"AI","Not scored yet"))</f>
        <v>Not scored yet</v>
      </c>
      <c r="K146" s="4" t="s">
        <v>22</v>
      </c>
      <c r="L146" s="4" t="s">
        <v>31</v>
      </c>
      <c r="M146" s="4"/>
      <c r="N146" s="4"/>
      <c r="O146" s="4"/>
      <c r="P146" s="4"/>
      <c r="Q146" s="4"/>
      <c r="R146" s="4" t="s">
        <v>405</v>
      </c>
    </row>
    <row r="147" customFormat="false" ht="93" hidden="false" customHeight="true" outlineLevel="0" collapsed="false">
      <c r="A147" s="3" t="s">
        <v>406</v>
      </c>
      <c r="B147" s="4" t="s">
        <v>19</v>
      </c>
      <c r="C147" s="4" t="s">
        <v>407</v>
      </c>
      <c r="D147" s="4" t="n">
        <f aca="false">IFERROR(SC7a!L13,"")</f>
        <v>3</v>
      </c>
      <c r="E147" s="4" t="s">
        <v>21</v>
      </c>
      <c r="F147" s="5"/>
      <c r="G147" s="5"/>
      <c r="H147" s="6" t="str">
        <f aca="false">IF(OR(F147="",NOT(ISNUMBER(D147))),"",IF(ABS(F147-D147)&lt;0.001,"Yes","No"))</f>
        <v/>
      </c>
      <c r="I147" s="7" t="n">
        <f aca="false">IF(ISNUMBER(F147),F147,D147)</f>
        <v>3</v>
      </c>
      <c r="J147" s="6" t="str">
        <f aca="false">IF(ISNUMBER(F147),"Expert (overrides AI)",IF(ISNUMBER(D147),"AI","Not scored yet"))</f>
        <v>AI</v>
      </c>
      <c r="K147" s="4" t="s">
        <v>22</v>
      </c>
      <c r="L147" s="4" t="s">
        <v>23</v>
      </c>
      <c r="M147" s="4" t="s">
        <v>408</v>
      </c>
      <c r="N147" s="4" t="s">
        <v>63</v>
      </c>
      <c r="O147" s="4" t="s">
        <v>64</v>
      </c>
      <c r="P147" s="4" t="s">
        <v>409</v>
      </c>
      <c r="Q147" s="4" t="s">
        <v>410</v>
      </c>
      <c r="R147" s="4" t="s">
        <v>29</v>
      </c>
    </row>
    <row r="148" customFormat="false" ht="93" hidden="false" customHeight="true" outlineLevel="0" collapsed="false">
      <c r="A148" s="3" t="s">
        <v>406</v>
      </c>
      <c r="B148" s="4" t="s">
        <v>30</v>
      </c>
      <c r="C148" s="4" t="s">
        <v>407</v>
      </c>
      <c r="D148" s="4" t="str">
        <f aca="false">IFERROR(SC7a!L14,"")</f>
        <v/>
      </c>
      <c r="E148" s="4" t="s">
        <v>21</v>
      </c>
      <c r="F148" s="5"/>
      <c r="G148" s="5"/>
      <c r="H148" s="6" t="str">
        <f aca="false">IF(OR(F148="",NOT(ISNUMBER(D148))),"",IF(ABS(F148-D148)&lt;0.001,"Yes","No"))</f>
        <v/>
      </c>
      <c r="I148" s="7" t="str">
        <f aca="false">IF(ISNUMBER(F148),F148,D148)</f>
        <v/>
      </c>
      <c r="J148" s="6" t="str">
        <f aca="false">IF(ISNUMBER(F148),"Expert (overrides AI)",IF(ISNUMBER(D148),"AI","Not scored yet"))</f>
        <v>Not scored yet</v>
      </c>
      <c r="K148" s="4" t="s">
        <v>22</v>
      </c>
      <c r="L148" s="4" t="s">
        <v>31</v>
      </c>
      <c r="M148" s="4"/>
      <c r="N148" s="4"/>
      <c r="O148" s="4"/>
      <c r="P148" s="4"/>
      <c r="Q148" s="4"/>
      <c r="R148" s="4" t="s">
        <v>411</v>
      </c>
    </row>
    <row r="149" customFormat="false" ht="93" hidden="false" customHeight="true" outlineLevel="0" collapsed="false">
      <c r="A149" s="3" t="s">
        <v>406</v>
      </c>
      <c r="B149" s="4" t="s">
        <v>33</v>
      </c>
      <c r="C149" s="4" t="s">
        <v>407</v>
      </c>
      <c r="D149" s="4" t="str">
        <f aca="false">IFERROR(SC7a!L15,"")</f>
        <v/>
      </c>
      <c r="E149" s="4" t="s">
        <v>21</v>
      </c>
      <c r="F149" s="5"/>
      <c r="G149" s="5"/>
      <c r="H149" s="6" t="str">
        <f aca="false">IF(OR(F149="",NOT(ISNUMBER(D149))),"",IF(ABS(F149-D149)&lt;0.001,"Yes","No"))</f>
        <v/>
      </c>
      <c r="I149" s="7" t="str">
        <f aca="false">IF(ISNUMBER(F149),F149,D149)</f>
        <v/>
      </c>
      <c r="J149" s="6" t="str">
        <f aca="false">IF(ISNUMBER(F149),"Expert (overrides AI)",IF(ISNUMBER(D149),"AI","Not scored yet"))</f>
        <v>Not scored yet</v>
      </c>
      <c r="K149" s="4" t="s">
        <v>22</v>
      </c>
      <c r="L149" s="4" t="s">
        <v>31</v>
      </c>
      <c r="M149" s="4"/>
      <c r="N149" s="4"/>
      <c r="O149" s="4"/>
      <c r="P149" s="4"/>
      <c r="Q149" s="4"/>
      <c r="R149" s="4" t="s">
        <v>412</v>
      </c>
    </row>
    <row r="150" customFormat="false" ht="93" hidden="false" customHeight="true" outlineLevel="0" collapsed="false">
      <c r="A150" s="3" t="s">
        <v>406</v>
      </c>
      <c r="B150" s="4" t="s">
        <v>39</v>
      </c>
      <c r="C150" s="4" t="s">
        <v>407</v>
      </c>
      <c r="D150" s="4" t="str">
        <f aca="false">IFERROR(SC7a!L16,"")</f>
        <v/>
      </c>
      <c r="E150" s="4" t="s">
        <v>21</v>
      </c>
      <c r="F150" s="5"/>
      <c r="G150" s="5"/>
      <c r="H150" s="6" t="str">
        <f aca="false">IF(OR(F150="",NOT(ISNUMBER(D150))),"",IF(ABS(F150-D150)&lt;0.001,"Yes","No"))</f>
        <v/>
      </c>
      <c r="I150" s="7" t="str">
        <f aca="false">IF(ISNUMBER(F150),F150,D150)</f>
        <v/>
      </c>
      <c r="J150" s="6" t="str">
        <f aca="false">IF(ISNUMBER(F150),"Expert (overrides AI)",IF(ISNUMBER(D150),"AI","Not scored yet"))</f>
        <v>Not scored yet</v>
      </c>
      <c r="K150" s="4" t="s">
        <v>22</v>
      </c>
      <c r="L150" s="4" t="s">
        <v>31</v>
      </c>
      <c r="M150" s="4"/>
      <c r="N150" s="4"/>
      <c r="O150" s="4"/>
      <c r="P150" s="4"/>
      <c r="Q150" s="4"/>
      <c r="R150" s="4" t="s">
        <v>413</v>
      </c>
    </row>
    <row r="151" customFormat="false" ht="93" hidden="false" customHeight="true" outlineLevel="0" collapsed="false">
      <c r="A151" s="3" t="s">
        <v>406</v>
      </c>
      <c r="B151" s="4" t="s">
        <v>41</v>
      </c>
      <c r="C151" s="4" t="s">
        <v>407</v>
      </c>
      <c r="D151" s="4" t="str">
        <f aca="false">IFERROR(SC7a!L17,"")</f>
        <v/>
      </c>
      <c r="E151" s="4" t="s">
        <v>21</v>
      </c>
      <c r="F151" s="5"/>
      <c r="G151" s="5"/>
      <c r="H151" s="6" t="str">
        <f aca="false">IF(OR(F151="",NOT(ISNUMBER(D151))),"",IF(ABS(F151-D151)&lt;0.001,"Yes","No"))</f>
        <v/>
      </c>
      <c r="I151" s="7" t="str">
        <f aca="false">IF(ISNUMBER(F151),F151,D151)</f>
        <v/>
      </c>
      <c r="J151" s="6" t="str">
        <f aca="false">IF(ISNUMBER(F151),"Expert (overrides AI)",IF(ISNUMBER(D151),"AI","Not scored yet"))</f>
        <v>Not scored yet</v>
      </c>
      <c r="K151" s="4" t="s">
        <v>22</v>
      </c>
      <c r="L151" s="4" t="s">
        <v>31</v>
      </c>
      <c r="M151" s="4"/>
      <c r="N151" s="4"/>
      <c r="O151" s="4"/>
      <c r="P151" s="4"/>
      <c r="Q151" s="4"/>
      <c r="R151" s="4" t="s">
        <v>414</v>
      </c>
    </row>
    <row r="152" customFormat="false" ht="93" hidden="false" customHeight="true" outlineLevel="0" collapsed="false">
      <c r="A152" s="3" t="s">
        <v>415</v>
      </c>
      <c r="B152" s="4" t="s">
        <v>19</v>
      </c>
      <c r="C152" s="4" t="s">
        <v>416</v>
      </c>
      <c r="D152" s="4" t="str">
        <f aca="false">IFERROR(SC7b!L13,"")</f>
        <v/>
      </c>
      <c r="E152" s="4" t="s">
        <v>21</v>
      </c>
      <c r="F152" s="5"/>
      <c r="G152" s="5"/>
      <c r="H152" s="6" t="str">
        <f aca="false">IF(OR(F152="",NOT(ISNUMBER(D152))),"",IF(ABS(F152-D152)&lt;0.001,"Yes","No"))</f>
        <v/>
      </c>
      <c r="I152" s="7" t="str">
        <f aca="false">IF(ISNUMBER(F152),F152,D152)</f>
        <v/>
      </c>
      <c r="J152" s="6" t="str">
        <f aca="false">IF(ISNUMBER(F152),"Expert (overrides AI)",IF(ISNUMBER(D152),"AI","Not scored yet"))</f>
        <v>Not scored yet</v>
      </c>
      <c r="K152" s="4" t="s">
        <v>22</v>
      </c>
      <c r="L152" s="4" t="s">
        <v>31</v>
      </c>
      <c r="M152" s="4"/>
      <c r="N152" s="4"/>
      <c r="O152" s="4"/>
      <c r="P152" s="4"/>
      <c r="Q152" s="4"/>
      <c r="R152" s="4" t="s">
        <v>417</v>
      </c>
    </row>
    <row r="153" customFormat="false" ht="93" hidden="false" customHeight="true" outlineLevel="0" collapsed="false">
      <c r="A153" s="3" t="s">
        <v>415</v>
      </c>
      <c r="B153" s="4" t="s">
        <v>30</v>
      </c>
      <c r="C153" s="4" t="s">
        <v>416</v>
      </c>
      <c r="D153" s="4" t="str">
        <f aca="false">IFERROR(SC7b!L14,"")</f>
        <v/>
      </c>
      <c r="E153" s="4" t="s">
        <v>21</v>
      </c>
      <c r="F153" s="5"/>
      <c r="G153" s="5"/>
      <c r="H153" s="6" t="str">
        <f aca="false">IF(OR(F153="",NOT(ISNUMBER(D153))),"",IF(ABS(F153-D153)&lt;0.001,"Yes","No"))</f>
        <v/>
      </c>
      <c r="I153" s="7" t="str">
        <f aca="false">IF(ISNUMBER(F153),F153,D153)</f>
        <v/>
      </c>
      <c r="J153" s="6" t="str">
        <f aca="false">IF(ISNUMBER(F153),"Expert (overrides AI)",IF(ISNUMBER(D153),"AI","Not scored yet"))</f>
        <v>Not scored yet</v>
      </c>
      <c r="K153" s="4" t="s">
        <v>22</v>
      </c>
      <c r="L153" s="4" t="s">
        <v>31</v>
      </c>
      <c r="M153" s="4"/>
      <c r="N153" s="4"/>
      <c r="O153" s="4"/>
      <c r="P153" s="4"/>
      <c r="Q153" s="4"/>
      <c r="R153" s="4" t="s">
        <v>418</v>
      </c>
    </row>
    <row r="154" customFormat="false" ht="93" hidden="false" customHeight="true" outlineLevel="0" collapsed="false">
      <c r="A154" s="3" t="s">
        <v>415</v>
      </c>
      <c r="B154" s="4" t="s">
        <v>33</v>
      </c>
      <c r="C154" s="4" t="s">
        <v>416</v>
      </c>
      <c r="D154" s="4" t="str">
        <f aca="false">IFERROR(SC7b!L15,"")</f>
        <v/>
      </c>
      <c r="E154" s="4" t="s">
        <v>21</v>
      </c>
      <c r="F154" s="5"/>
      <c r="G154" s="5"/>
      <c r="H154" s="6" t="str">
        <f aca="false">IF(OR(F154="",NOT(ISNUMBER(D154))),"",IF(ABS(F154-D154)&lt;0.001,"Yes","No"))</f>
        <v/>
      </c>
      <c r="I154" s="7" t="str">
        <f aca="false">IF(ISNUMBER(F154),F154,D154)</f>
        <v/>
      </c>
      <c r="J154" s="6" t="str">
        <f aca="false">IF(ISNUMBER(F154),"Expert (overrides AI)",IF(ISNUMBER(D154),"AI","Not scored yet"))</f>
        <v>Not scored yet</v>
      </c>
      <c r="K154" s="4" t="s">
        <v>22</v>
      </c>
      <c r="L154" s="4" t="s">
        <v>31</v>
      </c>
      <c r="M154" s="4"/>
      <c r="N154" s="4"/>
      <c r="O154" s="4"/>
      <c r="P154" s="4"/>
      <c r="Q154" s="4"/>
      <c r="R154" s="4" t="s">
        <v>419</v>
      </c>
    </row>
    <row r="155" customFormat="false" ht="93" hidden="false" customHeight="true" outlineLevel="0" collapsed="false">
      <c r="A155" s="3" t="s">
        <v>415</v>
      </c>
      <c r="B155" s="4" t="s">
        <v>39</v>
      </c>
      <c r="C155" s="4" t="s">
        <v>416</v>
      </c>
      <c r="D155" s="4" t="str">
        <f aca="false">IFERROR(SC7b!L16,"")</f>
        <v/>
      </c>
      <c r="E155" s="4" t="s">
        <v>21</v>
      </c>
      <c r="F155" s="5"/>
      <c r="G155" s="5"/>
      <c r="H155" s="6" t="str">
        <f aca="false">IF(OR(F155="",NOT(ISNUMBER(D155))),"",IF(ABS(F155-D155)&lt;0.001,"Yes","No"))</f>
        <v/>
      </c>
      <c r="I155" s="7" t="str">
        <f aca="false">IF(ISNUMBER(F155),F155,D155)</f>
        <v/>
      </c>
      <c r="J155" s="6" t="str">
        <f aca="false">IF(ISNUMBER(F155),"Expert (overrides AI)",IF(ISNUMBER(D155),"AI","Not scored yet"))</f>
        <v>Not scored yet</v>
      </c>
      <c r="K155" s="4" t="s">
        <v>22</v>
      </c>
      <c r="L155" s="4" t="s">
        <v>31</v>
      </c>
      <c r="M155" s="4"/>
      <c r="N155" s="4"/>
      <c r="O155" s="4"/>
      <c r="P155" s="4"/>
      <c r="Q155" s="4"/>
      <c r="R155" s="4" t="s">
        <v>420</v>
      </c>
    </row>
    <row r="156" customFormat="false" ht="93" hidden="false" customHeight="true" outlineLevel="0" collapsed="false">
      <c r="A156" s="3" t="s">
        <v>415</v>
      </c>
      <c r="B156" s="4" t="s">
        <v>41</v>
      </c>
      <c r="C156" s="4" t="s">
        <v>416</v>
      </c>
      <c r="D156" s="4" t="str">
        <f aca="false">IFERROR(SC7b!L17,"")</f>
        <v/>
      </c>
      <c r="E156" s="4" t="s">
        <v>21</v>
      </c>
      <c r="F156" s="5"/>
      <c r="G156" s="5"/>
      <c r="H156" s="6" t="str">
        <f aca="false">IF(OR(F156="",NOT(ISNUMBER(D156))),"",IF(ABS(F156-D156)&lt;0.001,"Yes","No"))</f>
        <v/>
      </c>
      <c r="I156" s="7" t="str">
        <f aca="false">IF(ISNUMBER(F156),F156,D156)</f>
        <v/>
      </c>
      <c r="J156" s="6" t="str">
        <f aca="false">IF(ISNUMBER(F156),"Expert (overrides AI)",IF(ISNUMBER(D156),"AI","Not scored yet"))</f>
        <v>Not scored yet</v>
      </c>
      <c r="K156" s="4" t="s">
        <v>22</v>
      </c>
      <c r="L156" s="4" t="s">
        <v>31</v>
      </c>
      <c r="M156" s="4"/>
      <c r="N156" s="4"/>
      <c r="O156" s="4"/>
      <c r="P156" s="4"/>
      <c r="Q156" s="4"/>
      <c r="R156" s="4" t="s">
        <v>421</v>
      </c>
    </row>
  </sheetData>
  <autoFilter ref="A1:R156"/>
  <conditionalFormatting sqref="I2:J156">
    <cfRule type="expression" priority="2" aboveAverage="0" equalAverage="0" bottom="0" percent="0" rank="0" text="" dxfId="7">
      <formula>$J2="Expert (overrides AI)"</formula>
    </cfRule>
  </conditionalFormatting>
  <conditionalFormatting sqref="K2:K156">
    <cfRule type="expression" priority="3" aboveAverage="0" equalAverage="0" bottom="0" percent="0" rank="0" text="" dxfId="8">
      <formula>$K2="Left for a person"</formula>
    </cfRule>
  </conditionalFormatting>
  <conditionalFormatting sqref="H2:H156">
    <cfRule type="expression" priority="4" aboveAverage="0" equalAverage="0" bottom="0" percent="0" rank="0" text="" dxfId="9">
      <formula>$H2="No"</formula>
    </cfRule>
  </conditionalFormatting>
  <hyperlinks>
    <hyperlink ref="A2" location="'UPD1a'!A1" display="UPD1a"/>
    <hyperlink ref="A3" location="'UPD1a'!A1" display="UPD1a"/>
    <hyperlink ref="A4" location="'UPD1a'!A1" display="UPD1a"/>
    <hyperlink ref="A5" location="'UPD1a'!A1" display="UPD1a"/>
    <hyperlink ref="A6" location="'UPD1a'!A1" display="UPD1a"/>
    <hyperlink ref="A7" location="'UPD1b'!A1" display="UPD1b"/>
    <hyperlink ref="A8" location="'UPD1b'!A1" display="UPD1b"/>
    <hyperlink ref="A9" location="'UPD1b'!A1" display="UPD1b"/>
    <hyperlink ref="A10" location="'UPD1b'!A1" display="UPD1b"/>
    <hyperlink ref="A11" location="'UPD1b'!A1" display="UPD1b"/>
    <hyperlink ref="A12" location="'UPD2a'!A1" display="UPD2a"/>
    <hyperlink ref="A13" location="'UPD2b'!A1" display="UPD2b"/>
    <hyperlink ref="A14" location="'UPD2c'!A1" display="UPD2c"/>
    <hyperlink ref="A15" location="'UPD2d'!A1" display="UPD2d"/>
    <hyperlink ref="A16" location="'UPD3a'!A1" display="UPD3a"/>
    <hyperlink ref="A17" location="'UPD3b'!A1" display="UPD3b"/>
    <hyperlink ref="A18" location="'UPD4a'!A1" display="UPD4a"/>
    <hyperlink ref="A19" location="'UPD4b'!A1" display="UPD4b"/>
    <hyperlink ref="A20" location="'UPD5a'!A1" display="UPD5a"/>
    <hyperlink ref="A21" location="'UPD5b'!A1" display="UPD5b"/>
    <hyperlink ref="A22" location="'UPD6a'!A1" display="UPD6a"/>
    <hyperlink ref="A23" location="'UPD6b'!A1" display="UPD6b"/>
    <hyperlink ref="A24" location="'DPG1a'!A1" display="DPG1a"/>
    <hyperlink ref="A25" location="'DPG1a'!A1" display="DPG1a"/>
    <hyperlink ref="A26" location="'DPG1a'!A1" display="DPG1a"/>
    <hyperlink ref="A27" location="'DPG1a'!A1" display="DPG1a"/>
    <hyperlink ref="A28" location="'DPG1a'!A1" display="DPG1a"/>
    <hyperlink ref="A29" location="'DPG1b'!A1" display="DPG1b"/>
    <hyperlink ref="A30" location="'DPG1b'!A1" display="DPG1b"/>
    <hyperlink ref="A31" location="'DPG1b'!A1" display="DPG1b"/>
    <hyperlink ref="A32" location="'DPG1b'!A1" display="DPG1b"/>
    <hyperlink ref="A33" location="'DPG1b'!A1" display="DPG1b"/>
    <hyperlink ref="A34" location="'DPG2a'!A1" display="DPG2a"/>
    <hyperlink ref="A35" location="'DPG2a'!A1" display="DPG2a"/>
    <hyperlink ref="A36" location="'DPG2a'!A1" display="DPG2a"/>
    <hyperlink ref="A37" location="'DPG2a'!A1" display="DPG2a"/>
    <hyperlink ref="A38" location="'DPG2a'!A1" display="DPG2a"/>
    <hyperlink ref="A39" location="'DPG2b'!A1" display="DPG2b"/>
    <hyperlink ref="A40" location="'DPG2b'!A1" display="DPG2b"/>
    <hyperlink ref="A41" location="'DPG2b'!A1" display="DPG2b"/>
    <hyperlink ref="A42" location="'DPG2b'!A1" display="DPG2b"/>
    <hyperlink ref="A43" location="'DPG2b'!A1" display="DPG2b"/>
    <hyperlink ref="A44" location="'DPG4'!A1" display="DPG4"/>
    <hyperlink ref="A45" location="'DPG4'!A1" display="DPG4"/>
    <hyperlink ref="A46" location="'DPG4'!A1" display="DPG4"/>
    <hyperlink ref="A47" location="'DPG4'!A1" display="DPG4"/>
    <hyperlink ref="A48" location="'DPG4'!A1" display="DPG4"/>
    <hyperlink ref="A49" location="'DPG5a'!A1" display="DPG5a"/>
    <hyperlink ref="A50" location="'DPG5a'!A1" display="DPG5a"/>
    <hyperlink ref="A51" location="'DPG5a'!A1" display="DPG5a"/>
    <hyperlink ref="A52" location="'DPG5a'!A1" display="DPG5a"/>
    <hyperlink ref="A53" location="'DPG5a'!A1" display="DPG5a"/>
    <hyperlink ref="A54" location="'DPG5b'!A1" display="DPG5b"/>
    <hyperlink ref="A55" location="'DPG5b'!A1" display="DPG5b"/>
    <hyperlink ref="A56" location="'DPG5b'!A1" display="DPG5b"/>
    <hyperlink ref="A57" location="'DPG5b'!A1" display="DPG5b"/>
    <hyperlink ref="A58" location="'DPG5b'!A1" display="DPG5b"/>
    <hyperlink ref="A59" location="'DPG5c'!A1" display="DPG5c"/>
    <hyperlink ref="A60" location="'DPG5c'!A1" display="DPG5c"/>
    <hyperlink ref="A61" location="'DPG5c'!A1" display="DPG5c"/>
    <hyperlink ref="A62" location="'DPG5c'!A1" display="DPG5c"/>
    <hyperlink ref="A63" location="'DPG5c'!A1" display="DPG5c"/>
    <hyperlink ref="A64" location="'DPG5d'!A1" display="DPG5d"/>
    <hyperlink ref="A65" location="'DPG5d'!A1" display="DPG5d"/>
    <hyperlink ref="A66" location="'DPG5d'!A1" display="DPG5d"/>
    <hyperlink ref="A67" location="'DPG5d'!A1" display="DPG5d"/>
    <hyperlink ref="A68" location="'DPG5d'!A1" display="DPG5d"/>
    <hyperlink ref="A69" location="'DPG5f'!A1" display="DPG5f"/>
    <hyperlink ref="A70" location="'DPG5f'!A1" display="DPG5f"/>
    <hyperlink ref="A71" location="'DPG5f'!A1" display="DPG5f"/>
    <hyperlink ref="A72" location="'DPG5f'!A1" display="DPG5f"/>
    <hyperlink ref="A73" location="'DPG5f'!A1" display="DPG5f"/>
    <hyperlink ref="A74" location="'DPG5g'!A1" display="DPG5g"/>
    <hyperlink ref="A75" location="'DPG5g'!A1" display="DPG5g"/>
    <hyperlink ref="A76" location="'DPG5g'!A1" display="DPG5g"/>
    <hyperlink ref="A77" location="'DPG5g'!A1" display="DPG5g"/>
    <hyperlink ref="A78" location="'DPG5g'!A1" display="DPG5g"/>
    <hyperlink ref="A79" location="'DPG5h'!A1" display="DPG5h"/>
    <hyperlink ref="A80" location="'DPG5h'!A1" display="DPG5h"/>
    <hyperlink ref="A81" location="'DPG5h'!A1" display="DPG5h"/>
    <hyperlink ref="A82" location="'DPG5h'!A1" display="DPG5h"/>
    <hyperlink ref="A83" location="'DPG5h'!A1" display="DPG5h"/>
    <hyperlink ref="A84" location="'DPG5i'!A1" display="DPG5i"/>
    <hyperlink ref="A85" location="'DPG5i'!A1" display="DPG5i"/>
    <hyperlink ref="A86" location="'DPG5i'!A1" display="DPG5i"/>
    <hyperlink ref="A87" location="'DPG5i'!A1" display="DPG5i"/>
    <hyperlink ref="A88" location="'DPG5i'!A1" display="DPG5i"/>
    <hyperlink ref="A89" location="'DPG5j'!A1" display="DPG5j"/>
    <hyperlink ref="A90" location="'DPG5j'!A1" display="DPG5j"/>
    <hyperlink ref="A91" location="'DPG5j'!A1" display="DPG5j"/>
    <hyperlink ref="A92" location="'DPG5j'!A1" display="DPG5j"/>
    <hyperlink ref="A93" location="'DPG5j'!A1" display="DPG5j"/>
    <hyperlink ref="A94" location="'DPG5k'!A1" display="DPG5k"/>
    <hyperlink ref="A95" location="'DPG5k'!A1" display="DPG5k"/>
    <hyperlink ref="A96" location="'DPG5k'!A1" display="DPG5k"/>
    <hyperlink ref="A97" location="'DPG5k'!A1" display="DPG5k"/>
    <hyperlink ref="A98" location="'DPG5k'!A1" display="DPG5k"/>
    <hyperlink ref="A99" location="'DPG6a'!A1" display="DPG6a"/>
    <hyperlink ref="A100" location="'DPG6a'!A1" display="DPG6a"/>
    <hyperlink ref="A101" location="'DPG6a'!A1" display="DPG6a"/>
    <hyperlink ref="A102" location="'DPG6a'!A1" display="DPG6a"/>
    <hyperlink ref="A103" location="'DPG6a'!A1" display="DPG6a"/>
    <hyperlink ref="A104" location="'DPG6b'!A1" display="DPG6b"/>
    <hyperlink ref="A105" location="'DPG6b'!A1" display="DPG6b"/>
    <hyperlink ref="A106" location="'DPG6b'!A1" display="DPG6b"/>
    <hyperlink ref="A107" location="'DPG6b'!A1" display="DPG6b"/>
    <hyperlink ref="A108" location="'DPG6b'!A1" display="DPG6b"/>
    <hyperlink ref="A109" location="'DPG7a'!A1" display="DPG7a"/>
    <hyperlink ref="A110" location="'DPG7a'!A1" display="DPG7a"/>
    <hyperlink ref="A111" location="'DPG7a'!A1" display="DPG7a"/>
    <hyperlink ref="A112" location="'DPG7b'!A1" display="DPG7b"/>
    <hyperlink ref="A113" location="'DPG7b'!A1" display="DPG7b"/>
    <hyperlink ref="A114" location="'DPG7b'!A1" display="DPG7b"/>
    <hyperlink ref="A115" location="'SC1'!A1" display="SC1"/>
    <hyperlink ref="A116" location="'SC1'!A1" display="SC1"/>
    <hyperlink ref="A117" location="'SC1'!A1" display="SC1"/>
    <hyperlink ref="A118" location="'SC2'!A1" display="SC2"/>
    <hyperlink ref="A119" location="'SC2'!A1" display="SC2"/>
    <hyperlink ref="A120" location="'SC2'!A1" display="SC2"/>
    <hyperlink ref="A121" location="'SC2'!A1" display="SC2"/>
    <hyperlink ref="A122" location="'SC3'!A1" display="SC3"/>
    <hyperlink ref="A123" location="'SC3'!A1" display="SC3"/>
    <hyperlink ref="A124" location="'SC3'!A1" display="SC3"/>
    <hyperlink ref="A125" location="'SC3'!A1" display="SC3"/>
    <hyperlink ref="A126" location="'SC3'!A1" display="SC3"/>
    <hyperlink ref="A127" location="'SC4a'!A1" display="SC4a"/>
    <hyperlink ref="A128" location="'SC4a'!A1" display="SC4a"/>
    <hyperlink ref="A129" location="'SC4a'!A1" display="SC4a"/>
    <hyperlink ref="A130" location="'SC4a'!A1" display="SC4a"/>
    <hyperlink ref="A131" location="'SC4a'!A1" display="SC4a"/>
    <hyperlink ref="A132" location="'SC4b'!A1" display="SC4b"/>
    <hyperlink ref="A133" location="'SC4b'!A1" display="SC4b"/>
    <hyperlink ref="A134" location="'SC4b'!A1" display="SC4b"/>
    <hyperlink ref="A135" location="'SC4b'!A1" display="SC4b"/>
    <hyperlink ref="A136" location="'SC4b'!A1" display="SC4b"/>
    <hyperlink ref="A137" location="'SC5'!A1" display="SC5"/>
    <hyperlink ref="A138" location="'SC5'!A1" display="SC5"/>
    <hyperlink ref="A139" location="'SC5'!A1" display="SC5"/>
    <hyperlink ref="A140" location="'SC5'!A1" display="SC5"/>
    <hyperlink ref="A141" location="'SC5'!A1" display="SC5"/>
    <hyperlink ref="A142" location="'SC6'!A1" display="SC6"/>
    <hyperlink ref="A143" location="'SC6'!A1" display="SC6"/>
    <hyperlink ref="A144" location="'SC6'!A1" display="SC6"/>
    <hyperlink ref="A145" location="'SC6'!A1" display="SC6"/>
    <hyperlink ref="A146" location="'SC6'!A1" display="SC6"/>
    <hyperlink ref="A147" location="'SC7a'!A1" display="SC7a"/>
    <hyperlink ref="A148" location="'SC7a'!A1" display="SC7a"/>
    <hyperlink ref="A149" location="'SC7a'!A1" display="SC7a"/>
    <hyperlink ref="A150" location="'SC7a'!A1" display="SC7a"/>
    <hyperlink ref="A151" location="'SC7a'!A1" display="SC7a"/>
    <hyperlink ref="A152" location="'SC7b'!A1" display="SC7b"/>
    <hyperlink ref="A153" location="'SC7b'!A1" display="SC7b"/>
    <hyperlink ref="A154" location="'SC7b'!A1" display="SC7b"/>
    <hyperlink ref="A155" location="'SC7b'!A1" display="SC7b"/>
    <hyperlink ref="A156" location="'SC7b'!A1" display="SC7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9" width="120"/>
  </cols>
  <sheetData>
    <row r="1" customFormat="false" ht="17.25" hidden="false" customHeight="true" outlineLevel="0" collapsed="false">
      <c r="A1" s="10" t="s">
        <v>422</v>
      </c>
    </row>
    <row r="2" customFormat="false" ht="15" hidden="false" customHeight="true" outlineLevel="0" collapsed="false">
      <c r="A2" s="4"/>
    </row>
    <row r="3" customFormat="false" ht="15" hidden="false" customHeight="true" outlineLevel="0" collapsed="false">
      <c r="A3" s="4" t="s">
        <v>423</v>
      </c>
    </row>
    <row r="4" customFormat="false" ht="23.25" hidden="false" customHeight="true" outlineLevel="0" collapsed="false">
      <c r="A4" s="4" t="s">
        <v>424</v>
      </c>
    </row>
    <row r="5" customFormat="false" ht="23.25" hidden="false" customHeight="true" outlineLevel="0" collapsed="false">
      <c r="A5" s="4" t="s">
        <v>425</v>
      </c>
    </row>
    <row r="6" customFormat="false" ht="15" hidden="false" customHeight="true" outlineLevel="0" collapsed="false">
      <c r="A6" s="4" t="s">
        <v>426</v>
      </c>
    </row>
    <row r="7" customFormat="false" ht="15" hidden="false" customHeight="true" outlineLevel="0" collapsed="false">
      <c r="A7" s="4"/>
    </row>
    <row r="8" customFormat="false" ht="15" hidden="false" customHeight="true" outlineLevel="0" collapsed="false">
      <c r="A8" s="4" t="s">
        <v>427</v>
      </c>
    </row>
    <row r="9" customFormat="false" ht="15" hidden="false" customHeight="true" outlineLevel="0" collapsed="false">
      <c r="A9" s="4" t="s">
        <v>428</v>
      </c>
    </row>
    <row r="10" customFormat="false" ht="15" hidden="false" customHeight="true" outlineLevel="0" collapsed="false">
      <c r="A10" s="4" t="s">
        <v>429</v>
      </c>
    </row>
    <row r="11" customFormat="false" ht="15" hidden="false" customHeight="true" outlineLevel="0" collapsed="false">
      <c r="A11" s="4" t="s">
        <v>430</v>
      </c>
    </row>
    <row r="12" customFormat="false" ht="15" hidden="false" customHeight="true" outlineLevel="0" collapsed="false">
      <c r="A12" s="4" t="s">
        <v>431</v>
      </c>
    </row>
    <row r="13" customFormat="false" ht="15" hidden="false" customHeight="true" outlineLevel="0" collapsed="false">
      <c r="A13" s="4" t="s">
        <v>432</v>
      </c>
    </row>
    <row r="14" customFormat="false" ht="15" hidden="false" customHeight="true" outlineLevel="0" collapsed="false">
      <c r="A14" s="4" t="s">
        <v>433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14"/>
    <col collapsed="false" customWidth="true" hidden="false" outlineLevel="0" max="2" min="2" style="9" width="24"/>
    <col collapsed="false" customWidth="true" hidden="false" outlineLevel="0" max="4" min="4" style="9" width="50"/>
    <col collapsed="false" customWidth="true" hidden="false" outlineLevel="0" max="5" min="5" style="9" width="18"/>
  </cols>
  <sheetData>
    <row r="1" customFormat="false" ht="39" hidden="false" customHeight="true" outlineLevel="0" collapsed="false">
      <c r="A1" s="1" t="s">
        <v>434</v>
      </c>
      <c r="B1" s="1" t="s">
        <v>435</v>
      </c>
      <c r="C1" s="1" t="s">
        <v>436</v>
      </c>
      <c r="D1" s="1" t="s">
        <v>0</v>
      </c>
      <c r="E1" s="1" t="s">
        <v>437</v>
      </c>
      <c r="F1" s="1" t="s">
        <v>438</v>
      </c>
      <c r="G1" s="1" t="s">
        <v>19</v>
      </c>
      <c r="H1" s="1" t="s">
        <v>30</v>
      </c>
      <c r="I1" s="1" t="s">
        <v>33</v>
      </c>
      <c r="J1" s="1" t="s">
        <v>39</v>
      </c>
      <c r="K1" s="1" t="s">
        <v>41</v>
      </c>
      <c r="L1" s="1" t="s">
        <v>439</v>
      </c>
      <c r="M1" s="1" t="s">
        <v>440</v>
      </c>
    </row>
    <row r="2" customFormat="false" ht="15" hidden="false" customHeight="true" outlineLevel="0" collapsed="false">
      <c r="A2" s="9" t="s">
        <v>441</v>
      </c>
      <c r="B2" s="9" t="s">
        <v>442</v>
      </c>
      <c r="C2" s="9" t="s">
        <v>442</v>
      </c>
      <c r="D2" s="9" t="s">
        <v>442</v>
      </c>
      <c r="E2" s="9" t="s">
        <v>442</v>
      </c>
      <c r="F2" s="9" t="s">
        <v>442</v>
      </c>
      <c r="G2" s="9" t="s">
        <v>442</v>
      </c>
      <c r="H2" s="9" t="s">
        <v>442</v>
      </c>
      <c r="I2" s="9" t="s">
        <v>442</v>
      </c>
      <c r="J2" s="9" t="s">
        <v>442</v>
      </c>
      <c r="K2" s="9" t="s">
        <v>442</v>
      </c>
      <c r="L2" s="9" t="s">
        <v>442</v>
      </c>
      <c r="M2" s="9" t="s">
        <v>442</v>
      </c>
    </row>
    <row r="3" customFormat="false" ht="15" hidden="false" customHeight="true" outlineLevel="0" collapsed="false">
      <c r="A3" s="11" t="s">
        <v>443</v>
      </c>
      <c r="B3" s="11" t="str">
        <f aca="false">VLOOKUP($A3,'PARASTATAL Questions'!$A:$J,3,0)&amp;""</f>
        <v>Urban Planning &amp; Design (UPD)</v>
      </c>
      <c r="C3" s="11" t="str">
        <f aca="false">VLOOKUP($A3,'PARASTATAL Questions'!$A:$J,4,0)&amp;""</f>
        <v>MQ</v>
      </c>
      <c r="D3" s="11" t="str">
        <f aca="false">VLOOKUP($A3,'PARASTATAL Questions'!$A:$J,5,0)&amp;""</f>
        <v>Does the parastatal coordinate with the ULG(s) in preparing its spatial and/or sectoral plans?</v>
      </c>
      <c r="E3" s="11" t="str">
        <f aca="false">VLOOKUP($A3,'PARASTATAL Questions'!$A:$J,7,0)&amp;""</f>
        <v/>
      </c>
      <c r="F3" s="11" t="n">
        <f aca="false">VLOOKUP($A3,'PARASTATAL Questions'!$A:$J,6,0)</f>
        <v>10</v>
      </c>
      <c r="G3" s="11" t="n">
        <f aca="false">IF(OR(G4="ER",G5="ER"),"ER",IF(OR(G4="?",G5="?"),"?",IF(AND(G4="NA",G5="NA"),"NA",SUM(G4,G5)/((G4&lt;&gt;"NA")*$F$4+(G5&lt;&gt;"NA")*$F$5)*$F3)))</f>
        <v>6.25</v>
      </c>
      <c r="H3" s="11" t="str">
        <f aca="false">IF(OR(H4="ER",H5="ER"),"ER",IF(OR(H4="?",H5="?"),"?",IF(AND(H4="NA",H5="NA"),"NA",SUM(H4,H5)/((H4&lt;&gt;"NA")*$F$4+(H5&lt;&gt;"NA")*$F$5)*$F3)))</f>
        <v>?</v>
      </c>
      <c r="I3" s="11" t="str">
        <f aca="false">IF(OR(I4="ER",I5="ER"),"ER",IF(OR(I4="?",I5="?"),"?",IF(AND(I4="NA",I5="NA"),"NA",SUM(I4,I5)/((I4&lt;&gt;"NA")*$F$4+(I5&lt;&gt;"NA")*$F$5)*$F3)))</f>
        <v>?</v>
      </c>
      <c r="J3" s="11" t="str">
        <f aca="false">IF(OR(J4="ER",J5="ER"),"ER",IF(OR(J4="?",J5="?"),"?",IF(AND(J4="NA",J5="NA"),"NA",SUM(J4,J5)/((J4&lt;&gt;"NA")*$F$4+(J5&lt;&gt;"NA")*$F$5)*$F3)))</f>
        <v>?</v>
      </c>
      <c r="K3" s="11" t="str">
        <f aca="false">IF(OR(K4="ER",K5="ER"),"ER",IF(OR(K4="?",K5="?"),"?",IF(AND(K4="NA",K5="NA"),"NA",SUM(K4,K5)/((K4&lt;&gt;"NA")*$F$4+(K5&lt;&gt;"NA")*$F$5)*$F3)))</f>
        <v>?</v>
      </c>
      <c r="L3" s="11" t="str">
        <f aca="false">IF(OR(L4="ER",L5="ER"),"ER",IF(OR(L4="?",L5="?"),"?",IF(AND(L4="NA",L5="NA"),"NA",SUM(L4,L5)/((L4&lt;&gt;"NA")*$F$4+(L5&lt;&gt;"NA")*$F$5)*$F3)))</f>
        <v>?</v>
      </c>
      <c r="M3" s="11" t="str">
        <f aca="false">IF(OR(M4="ER",M5="ER"),"ER",IF(OR(M4="?",M5="?"),"?",IF(AND(M4="NA",M5="NA"),"NA",SUM(M4,M5)/((M4&lt;&gt;"NA")*$F$4+(M5&lt;&gt;"NA")*$F$5)*$F3)))</f>
        <v>?</v>
      </c>
    </row>
    <row r="4" customFormat="false" ht="15" hidden="false" customHeight="true" outlineLevel="0" collapsed="false">
      <c r="A4" s="9" t="s">
        <v>18</v>
      </c>
      <c r="B4" s="9" t="str">
        <f aca="false">VLOOKUP($A4,'PARASTATAL Questions'!$A:$J,3,0)&amp;""</f>
        <v>Urban Planning &amp; Design (UPD)</v>
      </c>
      <c r="C4" s="9" t="str">
        <f aca="false">VLOOKUP($A4,'PARASTATAL Questions'!$A:$J,4,0)&amp;""</f>
        <v>SQ</v>
      </c>
      <c r="D4" s="9" t="str">
        <f aca="false">VLOOKUP($A4,'PARASTATAL Questions'!$A:$J,5,0)&amp;""</f>
        <v>Is the parastatal mandated to prepare its spatial and/or sectoral plans in coordination with the ULG(s) within its jurisdiction?</v>
      </c>
      <c r="E4" s="9" t="str">
        <f aca="false">VLOOKUP($A4,'PARASTATAL Questions'!$A:$J,7,0)&amp;""</f>
        <v>Law/Policy</v>
      </c>
      <c r="F4" s="9" t="n">
        <f aca="false">VLOOKUP($A4,'PARASTATAL Questions'!$A:$J,6,0)</f>
        <v>5</v>
      </c>
      <c r="G4" s="9" t="n">
        <f aca="true">IF($F4=0,"NA",IF($A4=INDIRECT("'"&amp;$A4&amp;"'!$B$1"),IF(VLOOKUP(G$1,INDIRECT("'"&amp;$A4&amp;"'!$A$12:$Z$19"),MATCH("Points (Auto-generate)",INDIRECT("'"&amp;$A4&amp;"'!$A$12:$Z$12"),0),0)="","?",VLOOKUP(G$1,INDIRECT("'"&amp;$A4&amp;"'!$A$12:$Z$19"),MATCH("Points (Auto-generate)",INDIRECT("'"&amp;$A4&amp;"'!$A$12:$Z$12"),0),0)),"ER"))</f>
        <v>1.25</v>
      </c>
      <c r="H4" s="9" t="str">
        <f aca="true">IF($F4=0,"NA",IF($A4=INDIRECT("'"&amp;$A4&amp;"'!$B$1"),IF(VLOOKUP(H$1,INDIRECT("'"&amp;$A4&amp;"'!$A$12:$Z$19"),MATCH("Points (Auto-generate)",INDIRECT("'"&amp;$A4&amp;"'!$A$12:$Z$12"),0),0)="","?",VLOOKUP(H$1,INDIRECT("'"&amp;$A4&amp;"'!$A$12:$Z$19"),MATCH("Points (Auto-generate)",INDIRECT("'"&amp;$A4&amp;"'!$A$12:$Z$12"),0),0)),"ER"))</f>
        <v>?</v>
      </c>
      <c r="I4" s="9" t="n">
        <f aca="true">IF($F4=0,"NA",IF($A4=INDIRECT("'"&amp;$A4&amp;"'!$B$1"),IF(VLOOKUP(I$1,INDIRECT("'"&amp;$A4&amp;"'!$A$12:$Z$19"),MATCH("Points (Auto-generate)",INDIRECT("'"&amp;$A4&amp;"'!$A$12:$Z$12"),0),0)="","?",VLOOKUP(I$1,INDIRECT("'"&amp;$A4&amp;"'!$A$12:$Z$19"),MATCH("Points (Auto-generate)",INDIRECT("'"&amp;$A4&amp;"'!$A$12:$Z$12"),0),0)),"ER"))</f>
        <v>3.75</v>
      </c>
      <c r="J4" s="9" t="n">
        <f aca="true">IF($F4=0,"NA",IF($A4=INDIRECT("'"&amp;$A4&amp;"'!$B$1"),IF(VLOOKUP(J$1,INDIRECT("'"&amp;$A4&amp;"'!$A$12:$Z$19"),MATCH("Points (Auto-generate)",INDIRECT("'"&amp;$A4&amp;"'!$A$12:$Z$12"),0),0)="","?",VLOOKUP(J$1,INDIRECT("'"&amp;$A4&amp;"'!$A$12:$Z$19"),MATCH("Points (Auto-generate)",INDIRECT("'"&amp;$A4&amp;"'!$A$12:$Z$12"),0),0)),"ER"))</f>
        <v>0</v>
      </c>
      <c r="K4" s="9" t="n">
        <f aca="true">IF($F4=0,"NA",IF($A4=INDIRECT("'"&amp;$A4&amp;"'!$B$1"),IF(VLOOKUP(K$1,INDIRECT("'"&amp;$A4&amp;"'!$A$12:$Z$19"),MATCH("Points (Auto-generate)",INDIRECT("'"&amp;$A4&amp;"'!$A$12:$Z$12"),0),0)="","?",VLOOKUP(K$1,INDIRECT("'"&amp;$A4&amp;"'!$A$12:$Z$19"),MATCH("Points (Auto-generate)",INDIRECT("'"&amp;$A4&amp;"'!$A$12:$Z$12"),0),0)),"ER"))</f>
        <v>0</v>
      </c>
      <c r="L4" s="9" t="str">
        <f aca="true">IF($F4=0,"NA",IF($A4=INDIRECT("'"&amp;$A4&amp;"'!$B$1"),IF(VLOOKUP(L$1,INDIRECT("'"&amp;$A4&amp;"'!$A$12:$Z$19"),MATCH("Points (Auto-generate)",INDIRECT("'"&amp;$A4&amp;"'!$A$12:$Z$12"),0),0)="","?",VLOOKUP(L$1,INDIRECT("'"&amp;$A4&amp;"'!$A$12:$Z$19"),MATCH("Points (Auto-generate)",INDIRECT("'"&amp;$A4&amp;"'!$A$12:$Z$12"),0),0)),"ER"))</f>
        <v>?</v>
      </c>
      <c r="M4" s="9"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9" t="s">
        <v>47</v>
      </c>
      <c r="B5" s="9" t="str">
        <f aca="false">VLOOKUP($A5,'PARASTATAL Questions'!$A:$J,3,0)&amp;""</f>
        <v>Urban Planning &amp; Design (UPD)</v>
      </c>
      <c r="C5" s="9" t="str">
        <f aca="false">VLOOKUP($A5,'PARASTATAL Questions'!$A:$J,4,0)&amp;""</f>
        <v>SQ</v>
      </c>
      <c r="D5" s="9" t="str">
        <f aca="false">VLOOKUP($A5,'PARASTATAL Questions'!$A:$J,5,0)&amp;""</f>
        <v>Has the ULG participated in the parastatal’s plan-making process?</v>
      </c>
      <c r="E5" s="9" t="str">
        <f aca="false">VLOOKUP($A5,'PARASTATAL Questions'!$A:$J,7,0)&amp;""</f>
        <v>Implementation</v>
      </c>
      <c r="F5" s="9" t="n">
        <f aca="false">VLOOKUP($A5,'PARASTATAL Questions'!$A:$J,6,0)</f>
        <v>5</v>
      </c>
      <c r="G5" s="9" t="n">
        <f aca="true">IF($F5=0,"NA",IF($A5=INDIRECT("'"&amp;$A5&amp;"'!$B$1"),IF(VLOOKUP(G$1,INDIRECT("'"&amp;$A5&amp;"'!$A$12:$Z$19"),MATCH("Points (Auto-generate)",INDIRECT("'"&amp;$A5&amp;"'!$A$12:$Z$12"),0),0)="","?",VLOOKUP(G$1,INDIRECT("'"&amp;$A5&amp;"'!$A$12:$Z$19"),MATCH("Points (Auto-generate)",INDIRECT("'"&amp;$A5&amp;"'!$A$12:$Z$12"),0),0)),"ER"))</f>
        <v>5</v>
      </c>
      <c r="H5" s="9" t="str">
        <f aca="true">IF($F5=0,"NA",IF($A5=INDIRECT("'"&amp;$A5&amp;"'!$B$1"),IF(VLOOKUP(H$1,INDIRECT("'"&amp;$A5&amp;"'!$A$12:$Z$19"),MATCH("Points (Auto-generate)",INDIRECT("'"&amp;$A5&amp;"'!$A$12:$Z$12"),0),0)="","?",VLOOKUP(H$1,INDIRECT("'"&amp;$A5&amp;"'!$A$12:$Z$19"),MATCH("Points (Auto-generate)",INDIRECT("'"&amp;$A5&amp;"'!$A$12:$Z$12"),0),0)),"ER"))</f>
        <v>?</v>
      </c>
      <c r="I5" s="9" t="str">
        <f aca="true">IF($F5=0,"NA",IF($A5=INDIRECT("'"&amp;$A5&amp;"'!$B$1"),IF(VLOOKUP(I$1,INDIRECT("'"&amp;$A5&amp;"'!$A$12:$Z$19"),MATCH("Points (Auto-generate)",INDIRECT("'"&amp;$A5&amp;"'!$A$12:$Z$12"),0),0)="","?",VLOOKUP(I$1,INDIRECT("'"&amp;$A5&amp;"'!$A$12:$Z$19"),MATCH("Points (Auto-generate)",INDIRECT("'"&amp;$A5&amp;"'!$A$12:$Z$12"),0),0)),"ER"))</f>
        <v>?</v>
      </c>
      <c r="J5" s="9" t="str">
        <f aca="true">IF($F5=0,"NA",IF($A5=INDIRECT("'"&amp;$A5&amp;"'!$B$1"),IF(VLOOKUP(J$1,INDIRECT("'"&amp;$A5&amp;"'!$A$12:$Z$19"),MATCH("Points (Auto-generate)",INDIRECT("'"&amp;$A5&amp;"'!$A$12:$Z$12"),0),0)="","?",VLOOKUP(J$1,INDIRECT("'"&amp;$A5&amp;"'!$A$12:$Z$19"),MATCH("Points (Auto-generate)",INDIRECT("'"&amp;$A5&amp;"'!$A$12:$Z$12"),0),0)),"ER"))</f>
        <v>?</v>
      </c>
      <c r="K5" s="9" t="str">
        <f aca="true">IF($F5=0,"NA",IF($A5=INDIRECT("'"&amp;$A5&amp;"'!$B$1"),IF(VLOOKUP(K$1,INDIRECT("'"&amp;$A5&amp;"'!$A$12:$Z$19"),MATCH("Points (Auto-generate)",INDIRECT("'"&amp;$A5&amp;"'!$A$12:$Z$12"),0),0)="","?",VLOOKUP(K$1,INDIRECT("'"&amp;$A5&amp;"'!$A$12:$Z$19"),MATCH("Points (Auto-generate)",INDIRECT("'"&amp;$A5&amp;"'!$A$12:$Z$12"),0),0)),"ER"))</f>
        <v>?</v>
      </c>
      <c r="L5" s="9" t="str">
        <f aca="true">IF($F5=0,"NA",IF($A5=INDIRECT("'"&amp;$A5&amp;"'!$B$1"),IF(VLOOKUP(L$1,INDIRECT("'"&amp;$A5&amp;"'!$A$12:$Z$19"),MATCH("Points (Auto-generate)",INDIRECT("'"&amp;$A5&amp;"'!$A$12:$Z$12"),0),0)="","?",VLOOKUP(L$1,INDIRECT("'"&amp;$A5&amp;"'!$A$12:$Z$19"),MATCH("Points (Auto-generate)",INDIRECT("'"&amp;$A5&amp;"'!$A$12:$Z$12"),0),0)),"ER"))</f>
        <v>?</v>
      </c>
      <c r="M5" s="9"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11" t="s">
        <v>444</v>
      </c>
      <c r="B6" s="11" t="str">
        <f aca="false">VLOOKUP($A6,'PARASTATAL Questions'!$A:$J,3,0)&amp;""</f>
        <v>Urban Planning &amp; Design (UPD)</v>
      </c>
      <c r="C6" s="11" t="str">
        <f aca="false">VLOOKUP($A6,'PARASTATAL Questions'!$A:$J,4,0)&amp;""</f>
        <v>MQ</v>
      </c>
      <c r="D6" s="11"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11" t="str">
        <f aca="false">VLOOKUP($A6,'PARASTATAL Questions'!$A:$J,7,0)&amp;""</f>
        <v/>
      </c>
      <c r="F6" s="11" t="n">
        <f aca="false">VLOOKUP($A6,'PARASTATAL Questions'!$A:$J,6,0)</f>
        <v>10</v>
      </c>
      <c r="G6" s="11" t="str">
        <f aca="false">IF(OR(G7="ER",G8="ER",G9="ER",G10="ER"),"ER",IF(OR(G7="?",G8="?",G9="?",G10="?"),"?",IF(AND(G7="NA",G8="NA",G9="NA",G10="NA"),"NA",SUM(G7,G8,G9,G10)/((G7&lt;&gt;"NA")*$F$7+(G8&lt;&gt;"NA")*$F$8+(G9&lt;&gt;"NA")*$F$9+(G10&lt;&gt;"NA")*$F$10)*$F6)))</f>
        <v>?</v>
      </c>
      <c r="H6" s="11" t="str">
        <f aca="false">IF(OR(H7="ER",H8="ER",H9="ER",H10="ER"),"ER",IF(OR(H7="?",H8="?",H9="?",H10="?"),"?",IF(AND(H7="NA",H8="NA",H9="NA",H10="NA"),"NA",SUM(H7,H8,H9,H10)/((H7&lt;&gt;"NA")*$F$7+(H8&lt;&gt;"NA")*$F$8+(H9&lt;&gt;"NA")*$F$9+(H10&lt;&gt;"NA")*$F$10)*$F6)))</f>
        <v>?</v>
      </c>
      <c r="I6" s="11" t="str">
        <f aca="false">IF(OR(I7="ER",I8="ER",I9="ER",I10="ER"),"ER",IF(OR(I7="?",I8="?",I9="?",I10="?"),"?",IF(AND(I7="NA",I8="NA",I9="NA",I10="NA"),"NA",SUM(I7,I8,I9,I10)/((I7&lt;&gt;"NA")*$F$7+(I8&lt;&gt;"NA")*$F$8+(I9&lt;&gt;"NA")*$F$9+(I10&lt;&gt;"NA")*$F$10)*$F6)))</f>
        <v>NA</v>
      </c>
      <c r="J6" s="11" t="str">
        <f aca="false">IF(OR(J7="ER",J8="ER",J9="ER",J10="ER"),"ER",IF(OR(J7="?",J8="?",J9="?",J10="?"),"?",IF(AND(J7="NA",J8="NA",J9="NA",J10="NA"),"NA",SUM(J7,J8,J9,J10)/((J7&lt;&gt;"NA")*$F$7+(J8&lt;&gt;"NA")*$F$8+(J9&lt;&gt;"NA")*$F$9+(J10&lt;&gt;"NA")*$F$10)*$F6)))</f>
        <v>NA</v>
      </c>
      <c r="K6" s="11" t="str">
        <f aca="false">IF(OR(K7="ER",K8="ER",K9="ER",K10="ER"),"ER",IF(OR(K7="?",K8="?",K9="?",K10="?"),"?",IF(AND(K7="NA",K8="NA",K9="NA",K10="NA"),"NA",SUM(K7,K8,K9,K10)/((K7&lt;&gt;"NA")*$F$7+(K8&lt;&gt;"NA")*$F$8+(K9&lt;&gt;"NA")*$F$9+(K10&lt;&gt;"NA")*$F$10)*$F6)))</f>
        <v>NA</v>
      </c>
      <c r="L6" s="11" t="str">
        <f aca="false">IF(OR(L7="ER",L8="ER",L9="ER",L10="ER"),"ER",IF(OR(L7="?",L8="?",L9="?",L10="?"),"?",IF(AND(L7="NA",L8="NA",L9="NA",L10="NA"),"NA",SUM(L7,L8,L9,L10)/((L7&lt;&gt;"NA")*$F$7+(L8&lt;&gt;"NA")*$F$8+(L9&lt;&gt;"NA")*$F$9+(L10&lt;&gt;"NA")*$F$10)*$F6)))</f>
        <v>NA</v>
      </c>
      <c r="M6" s="11" t="str">
        <f aca="false">IF(OR(M7="ER",M8="ER",M9="ER",M10="ER"),"ER",IF(OR(M7="?",M8="?",M9="?",M10="?"),"?",IF(AND(M7="NA",M8="NA",M9="NA",M10="NA"),"NA",SUM(M7,M8,M9,M10)/((M7&lt;&gt;"NA")*$F$7+(M8&lt;&gt;"NA")*$F$8+(M9&lt;&gt;"NA")*$F$9+(M10&lt;&gt;"NA")*$F$10)*$F6)))</f>
        <v>NA</v>
      </c>
    </row>
    <row r="7" customFormat="false" ht="15" hidden="false" customHeight="true" outlineLevel="0" collapsed="false">
      <c r="A7" s="9" t="s">
        <v>54</v>
      </c>
      <c r="B7" s="9" t="str">
        <f aca="false">VLOOKUP($A7,'PARASTATAL Questions'!$A:$J,3,0)&amp;""</f>
        <v>Urban Planning &amp; Design (UPD)</v>
      </c>
      <c r="C7" s="9" t="str">
        <f aca="false">VLOOKUP($A7,'PARASTATAL Questions'!$A:$J,4,0)&amp;""</f>
        <v>SQ</v>
      </c>
      <c r="D7" s="9" t="str">
        <f aca="false">VLOOKUP($A7,'PARASTATAL Questions'!$A:$J,5,0)&amp;""</f>
        <v>Where multiple statutory or sectoral plans apply to the same territory, is the water board mandated to ensure consistency with the applicable metropolitan/regional or city master plan/strategic plan for the city?</v>
      </c>
      <c r="E7" s="9" t="str">
        <f aca="false">VLOOKUP($A7,'PARASTATAL Questions'!$A:$J,7,0)&amp;""</f>
        <v>Law/Policy</v>
      </c>
      <c r="F7" s="9" t="n">
        <f aca="false">VLOOKUP($A7,'PARASTATAL Questions'!$A:$J,6,0)</f>
        <v>2.5</v>
      </c>
      <c r="G7" s="9" t="n">
        <f aca="true">IF($F7=0,"NA",IF($A7=INDIRECT("'"&amp;$A7&amp;"'!$B$1"),IF(VLOOKUP(G$1,INDIRECT("'"&amp;$A7&amp;"'!$A$12:$Z$19"),MATCH("Points (Auto-generate)",INDIRECT("'"&amp;$A7&amp;"'!$A$12:$Z$12"),0),0)="","?",VLOOKUP(G$1,INDIRECT("'"&amp;$A7&amp;"'!$A$12:$Z$19"),MATCH("Points (Auto-generate)",INDIRECT("'"&amp;$A7&amp;"'!$A$12:$Z$12"),0),0)),"ER"))</f>
        <v>0</v>
      </c>
      <c r="H7" s="9" t="str">
        <f aca="true">IF($F7=0,"NA",IF($A7=INDIRECT("'"&amp;$A7&amp;"'!$B$1"),IF(VLOOKUP(H$1,INDIRECT("'"&amp;$A7&amp;"'!$A$12:$Z$19"),MATCH("Points (Auto-generate)",INDIRECT("'"&amp;$A7&amp;"'!$A$12:$Z$12"),0),0)="","?",VLOOKUP(H$1,INDIRECT("'"&amp;$A7&amp;"'!$A$12:$Z$19"),MATCH("Points (Auto-generate)",INDIRECT("'"&amp;$A7&amp;"'!$A$12:$Z$12"),0),0)),"ER"))</f>
        <v>NA</v>
      </c>
      <c r="I7" s="9" t="str">
        <f aca="true">IF($F7=0,"NA",IF($A7=INDIRECT("'"&amp;$A7&amp;"'!$B$1"),IF(VLOOKUP(I$1,INDIRECT("'"&amp;$A7&amp;"'!$A$12:$Z$19"),MATCH("Points (Auto-generate)",INDIRECT("'"&amp;$A7&amp;"'!$A$12:$Z$12"),0),0)="","?",VLOOKUP(I$1,INDIRECT("'"&amp;$A7&amp;"'!$A$12:$Z$19"),MATCH("Points (Auto-generate)",INDIRECT("'"&amp;$A7&amp;"'!$A$12:$Z$12"),0),0)),"ER"))</f>
        <v>NA</v>
      </c>
      <c r="J7" s="9" t="str">
        <f aca="true">IF($F7=0,"NA",IF($A7=INDIRECT("'"&amp;$A7&amp;"'!$B$1"),IF(VLOOKUP(J$1,INDIRECT("'"&amp;$A7&amp;"'!$A$12:$Z$19"),MATCH("Points (Auto-generate)",INDIRECT("'"&amp;$A7&amp;"'!$A$12:$Z$12"),0),0)="","?",VLOOKUP(J$1,INDIRECT("'"&amp;$A7&amp;"'!$A$12:$Z$19"),MATCH("Points (Auto-generate)",INDIRECT("'"&amp;$A7&amp;"'!$A$12:$Z$12"),0),0)),"ER"))</f>
        <v>NA</v>
      </c>
      <c r="K7" s="9" t="str">
        <f aca="true">IF($F7=0,"NA",IF($A7=INDIRECT("'"&amp;$A7&amp;"'!$B$1"),IF(VLOOKUP(K$1,INDIRECT("'"&amp;$A7&amp;"'!$A$12:$Z$19"),MATCH("Points (Auto-generate)",INDIRECT("'"&amp;$A7&amp;"'!$A$12:$Z$12"),0),0)="","?",VLOOKUP(K$1,INDIRECT("'"&amp;$A7&amp;"'!$A$12:$Z$19"),MATCH("Points (Auto-generate)",INDIRECT("'"&amp;$A7&amp;"'!$A$12:$Z$12"),0),0)),"ER"))</f>
        <v>NA</v>
      </c>
      <c r="L7" s="9" t="str">
        <f aca="true">IF($F7=0,"NA",IF($A7=INDIRECT("'"&amp;$A7&amp;"'!$B$1"),IF(VLOOKUP(L$1,INDIRECT("'"&amp;$A7&amp;"'!$A$12:$Z$19"),MATCH("Points (Auto-generate)",INDIRECT("'"&amp;$A7&amp;"'!$A$12:$Z$12"),0),0)="","?",VLOOKUP(L$1,INDIRECT("'"&amp;$A7&amp;"'!$A$12:$Z$19"),MATCH("Points (Auto-generate)",INDIRECT("'"&amp;$A7&amp;"'!$A$12:$Z$12"),0),0)),"ER"))</f>
        <v>NA</v>
      </c>
      <c r="M7" s="9"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9" t="s">
        <v>60</v>
      </c>
      <c r="B8" s="9" t="str">
        <f aca="false">VLOOKUP($A8,'PARASTATAL Questions'!$A:$J,3,0)&amp;""</f>
        <v>Urban Planning &amp; Design (UPD)</v>
      </c>
      <c r="C8" s="9" t="str">
        <f aca="false">VLOOKUP($A8,'PARASTATAL Questions'!$A:$J,4,0)&amp;""</f>
        <v>SQ</v>
      </c>
      <c r="D8" s="9" t="str">
        <f aca="false">VLOOKUP($A8,'PARASTATAL Questions'!$A:$J,5,0)&amp;""</f>
        <v>Where multiple statutory or sectoral plans apply to the same territory, does the water supply board ensure consistency with the applicable metropolitan/regional or city master plan/strategic plan for the city?</v>
      </c>
      <c r="E8" s="9" t="str">
        <f aca="false">VLOOKUP($A8,'PARASTATAL Questions'!$A:$J,7,0)&amp;""</f>
        <v>Implementation</v>
      </c>
      <c r="F8" s="9" t="n">
        <f aca="false">VLOOKUP($A8,'PARASTATAL Questions'!$A:$J,6,0)</f>
        <v>2.5</v>
      </c>
      <c r="G8" s="9" t="str">
        <f aca="true">IF($F8=0,"NA",IF($A8=INDIRECT("'"&amp;$A8&amp;"'!$B$1"),IF(VLOOKUP(G$1,INDIRECT("'"&amp;$A8&amp;"'!$A$12:$Z$19"),MATCH("Points (Auto-generate)",INDIRECT("'"&amp;$A8&amp;"'!$A$12:$Z$12"),0),0)="","?",VLOOKUP(G$1,INDIRECT("'"&amp;$A8&amp;"'!$A$12:$Z$19"),MATCH("Points (Auto-generate)",INDIRECT("'"&amp;$A8&amp;"'!$A$12:$Z$12"),0),0)),"ER"))</f>
        <v>?</v>
      </c>
      <c r="H8" s="9" t="str">
        <f aca="true">IF($F8=0,"NA",IF($A8=INDIRECT("'"&amp;$A8&amp;"'!$B$1"),IF(VLOOKUP(H$1,INDIRECT("'"&amp;$A8&amp;"'!$A$12:$Z$19"),MATCH("Points (Auto-generate)",INDIRECT("'"&amp;$A8&amp;"'!$A$12:$Z$12"),0),0)="","?",VLOOKUP(H$1,INDIRECT("'"&amp;$A8&amp;"'!$A$12:$Z$19"),MATCH("Points (Auto-generate)",INDIRECT("'"&amp;$A8&amp;"'!$A$12:$Z$12"),0),0)),"ER"))</f>
        <v>NA</v>
      </c>
      <c r="I8" s="9" t="str">
        <f aca="true">IF($F8=0,"NA",IF($A8=INDIRECT("'"&amp;$A8&amp;"'!$B$1"),IF(VLOOKUP(I$1,INDIRECT("'"&amp;$A8&amp;"'!$A$12:$Z$19"),MATCH("Points (Auto-generate)",INDIRECT("'"&amp;$A8&amp;"'!$A$12:$Z$12"),0),0)="","?",VLOOKUP(I$1,INDIRECT("'"&amp;$A8&amp;"'!$A$12:$Z$19"),MATCH("Points (Auto-generate)",INDIRECT("'"&amp;$A8&amp;"'!$A$12:$Z$12"),0),0)),"ER"))</f>
        <v>NA</v>
      </c>
      <c r="J8" s="9" t="str">
        <f aca="true">IF($F8=0,"NA",IF($A8=INDIRECT("'"&amp;$A8&amp;"'!$B$1"),IF(VLOOKUP(J$1,INDIRECT("'"&amp;$A8&amp;"'!$A$12:$Z$19"),MATCH("Points (Auto-generate)",INDIRECT("'"&amp;$A8&amp;"'!$A$12:$Z$12"),0),0)="","?",VLOOKUP(J$1,INDIRECT("'"&amp;$A8&amp;"'!$A$12:$Z$19"),MATCH("Points (Auto-generate)",INDIRECT("'"&amp;$A8&amp;"'!$A$12:$Z$12"),0),0)),"ER"))</f>
        <v>NA</v>
      </c>
      <c r="K8" s="9" t="str">
        <f aca="true">IF($F8=0,"NA",IF($A8=INDIRECT("'"&amp;$A8&amp;"'!$B$1"),IF(VLOOKUP(K$1,INDIRECT("'"&amp;$A8&amp;"'!$A$12:$Z$19"),MATCH("Points (Auto-generate)",INDIRECT("'"&amp;$A8&amp;"'!$A$12:$Z$12"),0),0)="","?",VLOOKUP(K$1,INDIRECT("'"&amp;$A8&amp;"'!$A$12:$Z$19"),MATCH("Points (Auto-generate)",INDIRECT("'"&amp;$A8&amp;"'!$A$12:$Z$12"),0),0)),"ER"))</f>
        <v>NA</v>
      </c>
      <c r="L8" s="9" t="str">
        <f aca="true">IF($F8=0,"NA",IF($A8=INDIRECT("'"&amp;$A8&amp;"'!$B$1"),IF(VLOOKUP(L$1,INDIRECT("'"&amp;$A8&amp;"'!$A$12:$Z$19"),MATCH("Points (Auto-generate)",INDIRECT("'"&amp;$A8&amp;"'!$A$12:$Z$12"),0),0)="","?",VLOOKUP(L$1,INDIRECT("'"&amp;$A8&amp;"'!$A$12:$Z$19"),MATCH("Points (Auto-generate)",INDIRECT("'"&amp;$A8&amp;"'!$A$12:$Z$12"),0),0)),"ER"))</f>
        <v>NA</v>
      </c>
      <c r="M8" s="9"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9" t="s">
        <v>67</v>
      </c>
      <c r="B9" s="9" t="str">
        <f aca="false">VLOOKUP($A9,'PARASTATAL Questions'!$A:$J,3,0)&amp;""</f>
        <v>Urban Planning &amp; Design (UPD)</v>
      </c>
      <c r="C9" s="9" t="str">
        <f aca="false">VLOOKUP($A9,'PARASTATAL Questions'!$A:$J,4,0)&amp;""</f>
        <v>SQ</v>
      </c>
      <c r="D9" s="9"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9" t="str">
        <f aca="false">VLOOKUP($A9,'PARASTATAL Questions'!$A:$J,7,0)&amp;""</f>
        <v>Law/Policy</v>
      </c>
      <c r="F9" s="9" t="n">
        <f aca="false">VLOOKUP($A9,'PARASTATAL Questions'!$A:$J,6,0)</f>
        <v>2.5</v>
      </c>
      <c r="G9" s="9" t="str">
        <f aca="true">IF($F9=0,"NA",IF($A9=INDIRECT("'"&amp;$A9&amp;"'!$B$1"),IF(VLOOKUP(G$1,INDIRECT("'"&amp;$A9&amp;"'!$A$12:$Z$19"),MATCH("Points (Auto-generate)",INDIRECT("'"&amp;$A9&amp;"'!$A$12:$Z$12"),0),0)="","?",VLOOKUP(G$1,INDIRECT("'"&amp;$A9&amp;"'!$A$12:$Z$19"),MATCH("Points (Auto-generate)",INDIRECT("'"&amp;$A9&amp;"'!$A$12:$Z$12"),0),0)),"ER"))</f>
        <v>NA</v>
      </c>
      <c r="H9" s="9" t="n">
        <f aca="true">IF($F9=0,"NA",IF($A9=INDIRECT("'"&amp;$A9&amp;"'!$B$1"),IF(VLOOKUP(H$1,INDIRECT("'"&amp;$A9&amp;"'!$A$12:$Z$19"),MATCH("Points (Auto-generate)",INDIRECT("'"&amp;$A9&amp;"'!$A$12:$Z$12"),0),0)="","?",VLOOKUP(H$1,INDIRECT("'"&amp;$A9&amp;"'!$A$12:$Z$19"),MATCH("Points (Auto-generate)",INDIRECT("'"&amp;$A9&amp;"'!$A$12:$Z$12"),0),0)),"ER"))</f>
        <v>2.5</v>
      </c>
      <c r="I9" s="9" t="str">
        <f aca="true">IF($F9=0,"NA",IF($A9=INDIRECT("'"&amp;$A9&amp;"'!$B$1"),IF(VLOOKUP(I$1,INDIRECT("'"&amp;$A9&amp;"'!$A$12:$Z$19"),MATCH("Points (Auto-generate)",INDIRECT("'"&amp;$A9&amp;"'!$A$12:$Z$12"),0),0)="","?",VLOOKUP(I$1,INDIRECT("'"&amp;$A9&amp;"'!$A$12:$Z$19"),MATCH("Points (Auto-generate)",INDIRECT("'"&amp;$A9&amp;"'!$A$12:$Z$12"),0),0)),"ER"))</f>
        <v>NA</v>
      </c>
      <c r="J9" s="9" t="str">
        <f aca="true">IF($F9=0,"NA",IF($A9=INDIRECT("'"&amp;$A9&amp;"'!$B$1"),IF(VLOOKUP(J$1,INDIRECT("'"&amp;$A9&amp;"'!$A$12:$Z$19"),MATCH("Points (Auto-generate)",INDIRECT("'"&amp;$A9&amp;"'!$A$12:$Z$12"),0),0)="","?",VLOOKUP(J$1,INDIRECT("'"&amp;$A9&amp;"'!$A$12:$Z$19"),MATCH("Points (Auto-generate)",INDIRECT("'"&amp;$A9&amp;"'!$A$12:$Z$12"),0),0)),"ER"))</f>
        <v>NA</v>
      </c>
      <c r="K9" s="9" t="str">
        <f aca="true">IF($F9=0,"NA",IF($A9=INDIRECT("'"&amp;$A9&amp;"'!$B$1"),IF(VLOOKUP(K$1,INDIRECT("'"&amp;$A9&amp;"'!$A$12:$Z$19"),MATCH("Points (Auto-generate)",INDIRECT("'"&amp;$A9&amp;"'!$A$12:$Z$12"),0),0)="","?",VLOOKUP(K$1,INDIRECT("'"&amp;$A9&amp;"'!$A$12:$Z$19"),MATCH("Points (Auto-generate)",INDIRECT("'"&amp;$A9&amp;"'!$A$12:$Z$12"),0),0)),"ER"))</f>
        <v>NA</v>
      </c>
      <c r="L9" s="9" t="str">
        <f aca="true">IF($F9=0,"NA",IF($A9=INDIRECT("'"&amp;$A9&amp;"'!$B$1"),IF(VLOOKUP(L$1,INDIRECT("'"&amp;$A9&amp;"'!$A$12:$Z$19"),MATCH("Points (Auto-generate)",INDIRECT("'"&amp;$A9&amp;"'!$A$12:$Z$12"),0),0)="","?",VLOOKUP(L$1,INDIRECT("'"&amp;$A9&amp;"'!$A$12:$Z$19"),MATCH("Points (Auto-generate)",INDIRECT("'"&amp;$A9&amp;"'!$A$12:$Z$12"),0),0)),"ER"))</f>
        <v>NA</v>
      </c>
      <c r="M9" s="9"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9" t="s">
        <v>74</v>
      </c>
      <c r="B10" s="9" t="str">
        <f aca="false">VLOOKUP($A10,'PARASTATAL Questions'!$A:$J,3,0)&amp;""</f>
        <v>Urban Planning &amp; Design (UPD)</v>
      </c>
      <c r="C10" s="9" t="str">
        <f aca="false">VLOOKUP($A10,'PARASTATAL Questions'!$A:$J,4,0)&amp;""</f>
        <v>SQ</v>
      </c>
      <c r="D10" s="9" t="str">
        <f aca="false">VLOOKUP($A10,'PARASTATAL Questions'!$A:$J,5,0)&amp;""</f>
        <v>Where multiple statutory or sectoral plans apply to the same territory, does the transport corporation ensure consistency with the applicable metropolitan/regional or city master plan/strategic plan for the city?</v>
      </c>
      <c r="E10" s="9" t="str">
        <f aca="false">VLOOKUP($A10,'PARASTATAL Questions'!$A:$J,7,0)&amp;""</f>
        <v>Implementation</v>
      </c>
      <c r="F10" s="9" t="n">
        <f aca="false">VLOOKUP($A10,'PARASTATAL Questions'!$A:$J,6,0)</f>
        <v>2.5</v>
      </c>
      <c r="G10" s="9" t="str">
        <f aca="true">IF($F10=0,"NA",IF($A10=INDIRECT("'"&amp;$A10&amp;"'!$B$1"),IF(VLOOKUP(G$1,INDIRECT("'"&amp;$A10&amp;"'!$A$12:$Z$19"),MATCH("Points (Auto-generate)",INDIRECT("'"&amp;$A10&amp;"'!$A$12:$Z$12"),0),0)="","?",VLOOKUP(G$1,INDIRECT("'"&amp;$A10&amp;"'!$A$12:$Z$19"),MATCH("Points (Auto-generate)",INDIRECT("'"&amp;$A10&amp;"'!$A$12:$Z$12"),0),0)),"ER"))</f>
        <v>NA</v>
      </c>
      <c r="H10" s="9" t="str">
        <f aca="true">IF($F10=0,"NA",IF($A10=INDIRECT("'"&amp;$A10&amp;"'!$B$1"),IF(VLOOKUP(H$1,INDIRECT("'"&amp;$A10&amp;"'!$A$12:$Z$19"),MATCH("Points (Auto-generate)",INDIRECT("'"&amp;$A10&amp;"'!$A$12:$Z$12"),0),0)="","?",VLOOKUP(H$1,INDIRECT("'"&amp;$A10&amp;"'!$A$12:$Z$19"),MATCH("Points (Auto-generate)",INDIRECT("'"&amp;$A10&amp;"'!$A$12:$Z$12"),0),0)),"ER"))</f>
        <v>?</v>
      </c>
      <c r="I10" s="9" t="str">
        <f aca="true">IF($F10=0,"NA",IF($A10=INDIRECT("'"&amp;$A10&amp;"'!$B$1"),IF(VLOOKUP(I$1,INDIRECT("'"&amp;$A10&amp;"'!$A$12:$Z$19"),MATCH("Points (Auto-generate)",INDIRECT("'"&amp;$A10&amp;"'!$A$12:$Z$12"),0),0)="","?",VLOOKUP(I$1,INDIRECT("'"&amp;$A10&amp;"'!$A$12:$Z$19"),MATCH("Points (Auto-generate)",INDIRECT("'"&amp;$A10&amp;"'!$A$12:$Z$12"),0),0)),"ER"))</f>
        <v>NA</v>
      </c>
      <c r="J10" s="9" t="str">
        <f aca="true">IF($F10=0,"NA",IF($A10=INDIRECT("'"&amp;$A10&amp;"'!$B$1"),IF(VLOOKUP(J$1,INDIRECT("'"&amp;$A10&amp;"'!$A$12:$Z$19"),MATCH("Points (Auto-generate)",INDIRECT("'"&amp;$A10&amp;"'!$A$12:$Z$12"),0),0)="","?",VLOOKUP(J$1,INDIRECT("'"&amp;$A10&amp;"'!$A$12:$Z$19"),MATCH("Points (Auto-generate)",INDIRECT("'"&amp;$A10&amp;"'!$A$12:$Z$12"),0),0)),"ER"))</f>
        <v>NA</v>
      </c>
      <c r="K10" s="9" t="str">
        <f aca="true">IF($F10=0,"NA",IF($A10=INDIRECT("'"&amp;$A10&amp;"'!$B$1"),IF(VLOOKUP(K$1,INDIRECT("'"&amp;$A10&amp;"'!$A$12:$Z$19"),MATCH("Points (Auto-generate)",INDIRECT("'"&amp;$A10&amp;"'!$A$12:$Z$12"),0),0)="","?",VLOOKUP(K$1,INDIRECT("'"&amp;$A10&amp;"'!$A$12:$Z$19"),MATCH("Points (Auto-generate)",INDIRECT("'"&amp;$A10&amp;"'!$A$12:$Z$12"),0),0)),"ER"))</f>
        <v>NA</v>
      </c>
      <c r="L10" s="9" t="str">
        <f aca="true">IF($F10=0,"NA",IF($A10=INDIRECT("'"&amp;$A10&amp;"'!$B$1"),IF(VLOOKUP(L$1,INDIRECT("'"&amp;$A10&amp;"'!$A$12:$Z$19"),MATCH("Points (Auto-generate)",INDIRECT("'"&amp;$A10&amp;"'!$A$12:$Z$12"),0),0)="","?",VLOOKUP(L$1,INDIRECT("'"&amp;$A10&amp;"'!$A$12:$Z$19"),MATCH("Points (Auto-generate)",INDIRECT("'"&amp;$A10&amp;"'!$A$12:$Z$12"),0),0)),"ER"))</f>
        <v>NA</v>
      </c>
      <c r="M10" s="9"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11" t="s">
        <v>445</v>
      </c>
      <c r="B11" s="11" t="str">
        <f aca="false">VLOOKUP($A11,'PARASTATAL Questions'!$A:$J,3,0)&amp;""</f>
        <v>Urban Planning &amp; Design (UPD)</v>
      </c>
      <c r="C11" s="11" t="str">
        <f aca="false">VLOOKUP($A11,'PARASTATAL Questions'!$A:$J,4,0)&amp;""</f>
        <v>MQ</v>
      </c>
      <c r="D11" s="11" t="str">
        <f aca="false">VLOOKUP($A11,'PARASTATAL Questions'!$A:$J,5,0)&amp;""</f>
        <v>Are the needs of women, the urban poor, and other vulnerable groups explicitly considered in the water board’s planning, service delivery or major investment decisions?</v>
      </c>
      <c r="E11" s="11" t="str">
        <f aca="false">VLOOKUP($A11,'PARASTATAL Questions'!$A:$J,7,0)&amp;""</f>
        <v>Law/Policy</v>
      </c>
      <c r="F11" s="11" t="n">
        <f aca="false">VLOOKUP($A11,'PARASTATAL Questions'!$A:$J,6,0)</f>
        <v>10</v>
      </c>
      <c r="G11" s="11" t="n">
        <f aca="false">IF(OR(G12="ER",G13="ER"),"ER",IF(OR(G12="?",G13="?"),"?",IF(AND(G12="NA",G13="NA"),"NA",SUM(G12,G13)/((G12&lt;&gt;"NA")*$F$12+(G13&lt;&gt;"NA")*$F$13)*$F11)))</f>
        <v>5</v>
      </c>
      <c r="H11" s="11" t="str">
        <f aca="false">IF(OR(H12="ER",H13="ER"),"ER",IF(OR(H12="?",H13="?"),"?",IF(AND(H12="NA",H13="NA"),"NA",SUM(H12,H13)/((H12&lt;&gt;"NA")*$F$12+(H13&lt;&gt;"NA")*$F$13)*$F11)))</f>
        <v>NA</v>
      </c>
      <c r="I11" s="11" t="str">
        <f aca="false">IF(OR(I12="ER",I13="ER"),"ER",IF(OR(I12="?",I13="?"),"?",IF(AND(I12="NA",I13="NA"),"NA",SUM(I12,I13)/((I12&lt;&gt;"NA")*$F$12+(I13&lt;&gt;"NA")*$F$13)*$F11)))</f>
        <v>NA</v>
      </c>
      <c r="J11" s="11" t="str">
        <f aca="false">IF(OR(J12="ER",J13="ER"),"ER",IF(OR(J12="?",J13="?"),"?",IF(AND(J12="NA",J13="NA"),"NA",SUM(J12,J13)/((J12&lt;&gt;"NA")*$F$12+(J13&lt;&gt;"NA")*$F$13)*$F11)))</f>
        <v>NA</v>
      </c>
      <c r="K11" s="11" t="str">
        <f aca="false">IF(OR(K12="ER",K13="ER"),"ER",IF(OR(K12="?",K13="?"),"?",IF(AND(K12="NA",K13="NA"),"NA",SUM(K12,K13)/((K12&lt;&gt;"NA")*$F$12+(K13&lt;&gt;"NA")*$F$13)*$F11)))</f>
        <v>NA</v>
      </c>
      <c r="L11" s="11" t="str">
        <f aca="false">IF(OR(L12="ER",L13="ER"),"ER",IF(OR(L12="?",L13="?"),"?",IF(AND(L12="NA",L13="NA"),"NA",SUM(L12,L13)/((L12&lt;&gt;"NA")*$F$12+(L13&lt;&gt;"NA")*$F$13)*$F11)))</f>
        <v>NA</v>
      </c>
      <c r="M11" s="11" t="str">
        <f aca="false">IF(OR(M12="ER",M13="ER"),"ER",IF(OR(M12="?",M13="?"),"?",IF(AND(M12="NA",M13="NA"),"NA",SUM(M12,M13)/((M12&lt;&gt;"NA")*$F$12+(M13&lt;&gt;"NA")*$F$13)*$F11)))</f>
        <v>NA</v>
      </c>
    </row>
    <row r="12" customFormat="false" ht="15" hidden="false" customHeight="true" outlineLevel="0" collapsed="false">
      <c r="A12" s="9" t="s">
        <v>77</v>
      </c>
      <c r="B12" s="9" t="str">
        <f aca="false">VLOOKUP($A12,'PARASTATAL Questions'!$A:$J,3,0)&amp;""</f>
        <v>Urban Planning &amp; Design (UPD)</v>
      </c>
      <c r="C12" s="9" t="str">
        <f aca="false">VLOOKUP($A12,'PARASTATAL Questions'!$A:$J,4,0)&amp;""</f>
        <v>SQ</v>
      </c>
      <c r="D12" s="9" t="str">
        <f aca="false">VLOOKUP($A12,'PARASTATAL Questions'!$A:$J,5,0)&amp;""</f>
        <v>Is the water supply board mandated to consider the needs of women, the urban poor and other vulnerable groups in decisions relating to access, affordability and delivery of water and sanitation services?</v>
      </c>
      <c r="E12" s="9" t="str">
        <f aca="false">VLOOKUP($A12,'PARASTATAL Questions'!$A:$J,7,0)&amp;""</f>
        <v>Law/Policy</v>
      </c>
      <c r="F12" s="9" t="n">
        <f aca="false">VLOOKUP($A12,'PARASTATAL Questions'!$A:$J,6,0)</f>
        <v>5</v>
      </c>
      <c r="G12" s="9" t="n">
        <f aca="true">IF($F12=0,"NA",IF($A12=INDIRECT("'"&amp;$A12&amp;"'!$B$1"),IF(VLOOKUP(G$1,INDIRECT("'"&amp;$A12&amp;"'!$A$12:$Z$19"),MATCH("Points (Auto-generate)",INDIRECT("'"&amp;$A12&amp;"'!$A$12:$Z$12"),0),0)="","?",VLOOKUP(G$1,INDIRECT("'"&amp;$A12&amp;"'!$A$12:$Z$19"),MATCH("Points (Auto-generate)",INDIRECT("'"&amp;$A12&amp;"'!$A$12:$Z$12"),0),0)),"ER"))</f>
        <v>2.5</v>
      </c>
      <c r="H12" s="9" t="str">
        <f aca="true">IF($F12=0,"NA",IF($A12=INDIRECT("'"&amp;$A12&amp;"'!$B$1"),IF(VLOOKUP(H$1,INDIRECT("'"&amp;$A12&amp;"'!$A$12:$Z$19"),MATCH("Points (Auto-generate)",INDIRECT("'"&amp;$A12&amp;"'!$A$12:$Z$12"),0),0)="","?",VLOOKUP(H$1,INDIRECT("'"&amp;$A12&amp;"'!$A$12:$Z$19"),MATCH("Points (Auto-generate)",INDIRECT("'"&amp;$A12&amp;"'!$A$12:$Z$12"),0),0)),"ER"))</f>
        <v>NA</v>
      </c>
      <c r="I12" s="9" t="str">
        <f aca="true">IF($F12=0,"NA",IF($A12=INDIRECT("'"&amp;$A12&amp;"'!$B$1"),IF(VLOOKUP(I$1,INDIRECT("'"&amp;$A12&amp;"'!$A$12:$Z$19"),MATCH("Points (Auto-generate)",INDIRECT("'"&amp;$A12&amp;"'!$A$12:$Z$12"),0),0)="","?",VLOOKUP(I$1,INDIRECT("'"&amp;$A12&amp;"'!$A$12:$Z$19"),MATCH("Points (Auto-generate)",INDIRECT("'"&amp;$A12&amp;"'!$A$12:$Z$12"),0),0)),"ER"))</f>
        <v>NA</v>
      </c>
      <c r="J12" s="9" t="str">
        <f aca="true">IF($F12=0,"NA",IF($A12=INDIRECT("'"&amp;$A12&amp;"'!$B$1"),IF(VLOOKUP(J$1,INDIRECT("'"&amp;$A12&amp;"'!$A$12:$Z$19"),MATCH("Points (Auto-generate)",INDIRECT("'"&amp;$A12&amp;"'!$A$12:$Z$12"),0),0)="","?",VLOOKUP(J$1,INDIRECT("'"&amp;$A12&amp;"'!$A$12:$Z$19"),MATCH("Points (Auto-generate)",INDIRECT("'"&amp;$A12&amp;"'!$A$12:$Z$12"),0),0)),"ER"))</f>
        <v>NA</v>
      </c>
      <c r="K12" s="9" t="str">
        <f aca="true">IF($F12=0,"NA",IF($A12=INDIRECT("'"&amp;$A12&amp;"'!$B$1"),IF(VLOOKUP(K$1,INDIRECT("'"&amp;$A12&amp;"'!$A$12:$Z$19"),MATCH("Points (Auto-generate)",INDIRECT("'"&amp;$A12&amp;"'!$A$12:$Z$12"),0),0)="","?",VLOOKUP(K$1,INDIRECT("'"&amp;$A12&amp;"'!$A$12:$Z$19"),MATCH("Points (Auto-generate)",INDIRECT("'"&amp;$A12&amp;"'!$A$12:$Z$12"),0),0)),"ER"))</f>
        <v>NA</v>
      </c>
      <c r="L12" s="9" t="str">
        <f aca="true">IF($F12=0,"NA",IF($A12=INDIRECT("'"&amp;$A12&amp;"'!$B$1"),IF(VLOOKUP(L$1,INDIRECT("'"&amp;$A12&amp;"'!$A$12:$Z$19"),MATCH("Points (Auto-generate)",INDIRECT("'"&amp;$A12&amp;"'!$A$12:$Z$12"),0),0)="","?",VLOOKUP(L$1,INDIRECT("'"&amp;$A12&amp;"'!$A$12:$Z$19"),MATCH("Points (Auto-generate)",INDIRECT("'"&amp;$A12&amp;"'!$A$12:$Z$12"),0),0)),"ER"))</f>
        <v>NA</v>
      </c>
      <c r="M12" s="9"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9" t="s">
        <v>84</v>
      </c>
      <c r="B13" s="9" t="str">
        <f aca="false">VLOOKUP($A13,'PARASTATAL Questions'!$A:$J,3,0)&amp;""</f>
        <v>Urban Planning &amp; Design (UPD)</v>
      </c>
      <c r="C13" s="9" t="str">
        <f aca="false">VLOOKUP($A13,'PARASTATAL Questions'!$A:$J,4,0)&amp;""</f>
        <v>SQ</v>
      </c>
      <c r="D13" s="9" t="str">
        <f aca="false">VLOOKUP($A13,'PARASTATAL Questions'!$A:$J,5,0)&amp;""</f>
        <v>Does the water supply board actually consider the needs of women, the urban poor and other vulnerable groups in decisions relating to access, affordability and delivery of water and sanitation services?</v>
      </c>
      <c r="E13" s="9" t="str">
        <f aca="false">VLOOKUP($A13,'PARASTATAL Questions'!$A:$J,7,0)&amp;""</f>
        <v>Implementation</v>
      </c>
      <c r="F13" s="9" t="n">
        <f aca="false">VLOOKUP($A13,'PARASTATAL Questions'!$A:$J,6,0)</f>
        <v>5</v>
      </c>
      <c r="G13" s="9" t="n">
        <f aca="true">IF($F13=0,"NA",IF($A13=INDIRECT("'"&amp;$A13&amp;"'!$B$1"),IF(VLOOKUP(G$1,INDIRECT("'"&amp;$A13&amp;"'!$A$12:$Z$19"),MATCH("Points (Auto-generate)",INDIRECT("'"&amp;$A13&amp;"'!$A$12:$Z$12"),0),0)="","?",VLOOKUP(G$1,INDIRECT("'"&amp;$A13&amp;"'!$A$12:$Z$19"),MATCH("Points (Auto-generate)",INDIRECT("'"&amp;$A13&amp;"'!$A$12:$Z$12"),0),0)),"ER"))</f>
        <v>2.5</v>
      </c>
      <c r="H13" s="9" t="str">
        <f aca="true">IF($F13=0,"NA",IF($A13=INDIRECT("'"&amp;$A13&amp;"'!$B$1"),IF(VLOOKUP(H$1,INDIRECT("'"&amp;$A13&amp;"'!$A$12:$Z$19"),MATCH("Points (Auto-generate)",INDIRECT("'"&amp;$A13&amp;"'!$A$12:$Z$12"),0),0)="","?",VLOOKUP(H$1,INDIRECT("'"&amp;$A13&amp;"'!$A$12:$Z$19"),MATCH("Points (Auto-generate)",INDIRECT("'"&amp;$A13&amp;"'!$A$12:$Z$12"),0),0)),"ER"))</f>
        <v>NA</v>
      </c>
      <c r="I13" s="9" t="str">
        <f aca="true">IF($F13=0,"NA",IF($A13=INDIRECT("'"&amp;$A13&amp;"'!$B$1"),IF(VLOOKUP(I$1,INDIRECT("'"&amp;$A13&amp;"'!$A$12:$Z$19"),MATCH("Points (Auto-generate)",INDIRECT("'"&amp;$A13&amp;"'!$A$12:$Z$12"),0),0)="","?",VLOOKUP(I$1,INDIRECT("'"&amp;$A13&amp;"'!$A$12:$Z$19"),MATCH("Points (Auto-generate)",INDIRECT("'"&amp;$A13&amp;"'!$A$12:$Z$12"),0),0)),"ER"))</f>
        <v>NA</v>
      </c>
      <c r="J13" s="9" t="str">
        <f aca="true">IF($F13=0,"NA",IF($A13=INDIRECT("'"&amp;$A13&amp;"'!$B$1"),IF(VLOOKUP(J$1,INDIRECT("'"&amp;$A13&amp;"'!$A$12:$Z$19"),MATCH("Points (Auto-generate)",INDIRECT("'"&amp;$A13&amp;"'!$A$12:$Z$12"),0),0)="","?",VLOOKUP(J$1,INDIRECT("'"&amp;$A13&amp;"'!$A$12:$Z$19"),MATCH("Points (Auto-generate)",INDIRECT("'"&amp;$A13&amp;"'!$A$12:$Z$12"),0),0)),"ER"))</f>
        <v>NA</v>
      </c>
      <c r="K13" s="9" t="str">
        <f aca="true">IF($F13=0,"NA",IF($A13=INDIRECT("'"&amp;$A13&amp;"'!$B$1"),IF(VLOOKUP(K$1,INDIRECT("'"&amp;$A13&amp;"'!$A$12:$Z$19"),MATCH("Points (Auto-generate)",INDIRECT("'"&amp;$A13&amp;"'!$A$12:$Z$12"),0),0)="","?",VLOOKUP(K$1,INDIRECT("'"&amp;$A13&amp;"'!$A$12:$Z$19"),MATCH("Points (Auto-generate)",INDIRECT("'"&amp;$A13&amp;"'!$A$12:$Z$12"),0),0)),"ER"))</f>
        <v>NA</v>
      </c>
      <c r="L13" s="9" t="str">
        <f aca="true">IF($F13=0,"NA",IF($A13=INDIRECT("'"&amp;$A13&amp;"'!$B$1"),IF(VLOOKUP(L$1,INDIRECT("'"&amp;$A13&amp;"'!$A$12:$Z$19"),MATCH("Points (Auto-generate)",INDIRECT("'"&amp;$A13&amp;"'!$A$12:$Z$12"),0),0)="","?",VLOOKUP(L$1,INDIRECT("'"&amp;$A13&amp;"'!$A$12:$Z$19"),MATCH("Points (Auto-generate)",INDIRECT("'"&amp;$A13&amp;"'!$A$12:$Z$12"),0),0)),"ER"))</f>
        <v>NA</v>
      </c>
      <c r="M13" s="9"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11" t="s">
        <v>446</v>
      </c>
      <c r="B14" s="11" t="str">
        <f aca="false">VLOOKUP($A14,'PARASTATAL Questions'!$A:$J,3,0)&amp;""</f>
        <v>Urban Planning &amp; Design (UPD)</v>
      </c>
      <c r="C14" s="11" t="str">
        <f aca="false">VLOOKUP($A14,'PARASTATAL Questions'!$A:$J,4,0)&amp;""</f>
        <v>MQ</v>
      </c>
      <c r="D14" s="11" t="str">
        <f aca="false">VLOOKUP($A14,'PARASTATAL Questions'!$A:$J,5,0)&amp;""</f>
        <v>Are the needs of women, the urban poor, and other vulnerable groups explicitly considered in the transport Corporation’s planning, service delivery or major investment decisions?</v>
      </c>
      <c r="E14" s="11" t="str">
        <f aca="false">VLOOKUP($A14,'PARASTATAL Questions'!$A:$J,7,0)&amp;""</f>
        <v/>
      </c>
      <c r="F14" s="11" t="n">
        <f aca="false">VLOOKUP($A14,'PARASTATAL Questions'!$A:$J,6,0)</f>
        <v>10</v>
      </c>
      <c r="G14" s="11" t="str">
        <f aca="false">IF(OR(G15="ER",G16="ER"),"ER",IF(OR(G15="?",G16="?"),"?",IF(AND(G15="NA",G16="NA"),"NA",SUM(G15,G16)/((G15&lt;&gt;"NA")*$F$15+(G16&lt;&gt;"NA")*$F$16)*$F14)))</f>
        <v>NA</v>
      </c>
      <c r="H14" s="11" t="n">
        <f aca="false">IF(OR(H15="ER",H16="ER"),"ER",IF(OR(H15="?",H16="?"),"?",IF(AND(H15="NA",H16="NA"),"NA",SUM(H15,H16)/((H15&lt;&gt;"NA")*$F$15+(H16&lt;&gt;"NA")*$F$16)*$F14)))</f>
        <v>3.75</v>
      </c>
      <c r="I14" s="11" t="str">
        <f aca="false">IF(OR(I15="ER",I16="ER"),"ER",IF(OR(I15="?",I16="?"),"?",IF(AND(I15="NA",I16="NA"),"NA",SUM(I15,I16)/((I15&lt;&gt;"NA")*$F$15+(I16&lt;&gt;"NA")*$F$16)*$F14)))</f>
        <v>NA</v>
      </c>
      <c r="J14" s="11" t="str">
        <f aca="false">IF(OR(J15="ER",J16="ER"),"ER",IF(OR(J15="?",J16="?"),"?",IF(AND(J15="NA",J16="NA"),"NA",SUM(J15,J16)/((J15&lt;&gt;"NA")*$F$15+(J16&lt;&gt;"NA")*$F$16)*$F14)))</f>
        <v>NA</v>
      </c>
      <c r="K14" s="11" t="str">
        <f aca="false">IF(OR(K15="ER",K16="ER"),"ER",IF(OR(K15="?",K16="?"),"?",IF(AND(K15="NA",K16="NA"),"NA",SUM(K15,K16)/((K15&lt;&gt;"NA")*$F$15+(K16&lt;&gt;"NA")*$F$16)*$F14)))</f>
        <v>NA</v>
      </c>
      <c r="L14" s="11" t="str">
        <f aca="false">IF(OR(L15="ER",L16="ER"),"ER",IF(OR(L15="?",L16="?"),"?",IF(AND(L15="NA",L16="NA"),"NA",SUM(L15,L16)/((L15&lt;&gt;"NA")*$F$15+(L16&lt;&gt;"NA")*$F$16)*$F14)))</f>
        <v>NA</v>
      </c>
      <c r="M14" s="11" t="str">
        <f aca="false">IF(OR(M15="ER",M16="ER"),"ER",IF(OR(M15="?",M16="?"),"?",IF(AND(M15="NA",M16="NA"),"NA",SUM(M15,M16)/((M15&lt;&gt;"NA")*$F$15+(M16&lt;&gt;"NA")*$F$16)*$F14)))</f>
        <v>NA</v>
      </c>
    </row>
    <row r="15" customFormat="false" ht="15" hidden="false" customHeight="true" outlineLevel="0" collapsed="false">
      <c r="A15" s="9" t="s">
        <v>87</v>
      </c>
      <c r="B15" s="9" t="str">
        <f aca="false">VLOOKUP($A15,'PARASTATAL Questions'!$A:$J,3,0)&amp;""</f>
        <v>Urban Planning &amp; Design (UPD)</v>
      </c>
      <c r="C15" s="9" t="str">
        <f aca="false">VLOOKUP($A15,'PARASTATAL Questions'!$A:$J,4,0)&amp;""</f>
        <v>SQ</v>
      </c>
      <c r="D15" s="9" t="str">
        <f aca="false">VLOOKUP($A15,'PARASTATAL Questions'!$A:$J,5,0)&amp;""</f>
        <v>Is the transport corporation mandated to consider the mobility needs of women, the urban poor and other vulnerable groups in planning and delivering public transport services?</v>
      </c>
      <c r="E15" s="9" t="str">
        <f aca="false">VLOOKUP($A15,'PARASTATAL Questions'!$A:$J,7,0)&amp;""</f>
        <v>Law/Policy</v>
      </c>
      <c r="F15" s="9" t="n">
        <f aca="false">VLOOKUP($A15,'PARASTATAL Questions'!$A:$J,6,0)</f>
        <v>5</v>
      </c>
      <c r="G15" s="9" t="str">
        <f aca="true">IF($F15=0,"NA",IF($A15=INDIRECT("'"&amp;$A15&amp;"'!$B$1"),IF(VLOOKUP(G$1,INDIRECT("'"&amp;$A15&amp;"'!$A$12:$Z$19"),MATCH("Points (Auto-generate)",INDIRECT("'"&amp;$A15&amp;"'!$A$12:$Z$12"),0),0)="","?",VLOOKUP(G$1,INDIRECT("'"&amp;$A15&amp;"'!$A$12:$Z$19"),MATCH("Points (Auto-generate)",INDIRECT("'"&amp;$A15&amp;"'!$A$12:$Z$12"),0),0)),"ER"))</f>
        <v>NA</v>
      </c>
      <c r="H15" s="9" t="n">
        <f aca="true">IF($F15=0,"NA",IF($A15=INDIRECT("'"&amp;$A15&amp;"'!$B$1"),IF(VLOOKUP(H$1,INDIRECT("'"&amp;$A15&amp;"'!$A$12:$Z$19"),MATCH("Points (Auto-generate)",INDIRECT("'"&amp;$A15&amp;"'!$A$12:$Z$12"),0),0)="","?",VLOOKUP(H$1,INDIRECT("'"&amp;$A15&amp;"'!$A$12:$Z$19"),MATCH("Points (Auto-generate)",INDIRECT("'"&amp;$A15&amp;"'!$A$12:$Z$12"),0),0)),"ER"))</f>
        <v>2.5</v>
      </c>
      <c r="I15" s="9" t="str">
        <f aca="true">IF($F15=0,"NA",IF($A15=INDIRECT("'"&amp;$A15&amp;"'!$B$1"),IF(VLOOKUP(I$1,INDIRECT("'"&amp;$A15&amp;"'!$A$12:$Z$19"),MATCH("Points (Auto-generate)",INDIRECT("'"&amp;$A15&amp;"'!$A$12:$Z$12"),0),0)="","?",VLOOKUP(I$1,INDIRECT("'"&amp;$A15&amp;"'!$A$12:$Z$19"),MATCH("Points (Auto-generate)",INDIRECT("'"&amp;$A15&amp;"'!$A$12:$Z$12"),0),0)),"ER"))</f>
        <v>NA</v>
      </c>
      <c r="J15" s="9" t="str">
        <f aca="true">IF($F15=0,"NA",IF($A15=INDIRECT("'"&amp;$A15&amp;"'!$B$1"),IF(VLOOKUP(J$1,INDIRECT("'"&amp;$A15&amp;"'!$A$12:$Z$19"),MATCH("Points (Auto-generate)",INDIRECT("'"&amp;$A15&amp;"'!$A$12:$Z$12"),0),0)="","?",VLOOKUP(J$1,INDIRECT("'"&amp;$A15&amp;"'!$A$12:$Z$19"),MATCH("Points (Auto-generate)",INDIRECT("'"&amp;$A15&amp;"'!$A$12:$Z$12"),0),0)),"ER"))</f>
        <v>NA</v>
      </c>
      <c r="K15" s="9" t="str">
        <f aca="true">IF($F15=0,"NA",IF($A15=INDIRECT("'"&amp;$A15&amp;"'!$B$1"),IF(VLOOKUP(K$1,INDIRECT("'"&amp;$A15&amp;"'!$A$12:$Z$19"),MATCH("Points (Auto-generate)",INDIRECT("'"&amp;$A15&amp;"'!$A$12:$Z$12"),0),0)="","?",VLOOKUP(K$1,INDIRECT("'"&amp;$A15&amp;"'!$A$12:$Z$19"),MATCH("Points (Auto-generate)",INDIRECT("'"&amp;$A15&amp;"'!$A$12:$Z$12"),0),0)),"ER"))</f>
        <v>NA</v>
      </c>
      <c r="L15" s="9" t="str">
        <f aca="true">IF($F15=0,"NA",IF($A15=INDIRECT("'"&amp;$A15&amp;"'!$B$1"),IF(VLOOKUP(L$1,INDIRECT("'"&amp;$A15&amp;"'!$A$12:$Z$19"),MATCH("Points (Auto-generate)",INDIRECT("'"&amp;$A15&amp;"'!$A$12:$Z$12"),0),0)="","?",VLOOKUP(L$1,INDIRECT("'"&amp;$A15&amp;"'!$A$12:$Z$19"),MATCH("Points (Auto-generate)",INDIRECT("'"&amp;$A15&amp;"'!$A$12:$Z$12"),0),0)),"ER"))</f>
        <v>NA</v>
      </c>
      <c r="M15" s="9"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9" t="s">
        <v>93</v>
      </c>
      <c r="B16" s="9" t="str">
        <f aca="false">VLOOKUP($A16,'PARASTATAL Questions'!$A:$J,3,0)&amp;""</f>
        <v>Urban Planning &amp; Design (UPD)</v>
      </c>
      <c r="C16" s="9" t="str">
        <f aca="false">VLOOKUP($A16,'PARASTATAL Questions'!$A:$J,4,0)&amp;""</f>
        <v>SQ</v>
      </c>
      <c r="D16" s="9" t="str">
        <f aca="false">VLOOKUP($A16,'PARASTATAL Questions'!$A:$J,5,0)&amp;""</f>
        <v>Does the Transport Corporation actually consider the needs of women, the urban poor and other vulnerable groups in decisions relating to access, affordability and delivery of public transport services?</v>
      </c>
      <c r="E16" s="9" t="str">
        <f aca="false">VLOOKUP($A16,'PARASTATAL Questions'!$A:$J,7,0)&amp;""</f>
        <v>Implementation</v>
      </c>
      <c r="F16" s="9" t="n">
        <f aca="false">VLOOKUP($A16,'PARASTATAL Questions'!$A:$J,6,0)</f>
        <v>5</v>
      </c>
      <c r="G16" s="9" t="str">
        <f aca="true">IF($F16=0,"NA",IF($A16=INDIRECT("'"&amp;$A16&amp;"'!$B$1"),IF(VLOOKUP(G$1,INDIRECT("'"&amp;$A16&amp;"'!$A$12:$Z$19"),MATCH("Points (Auto-generate)",INDIRECT("'"&amp;$A16&amp;"'!$A$12:$Z$12"),0),0)="","?",VLOOKUP(G$1,INDIRECT("'"&amp;$A16&amp;"'!$A$12:$Z$19"),MATCH("Points (Auto-generate)",INDIRECT("'"&amp;$A16&amp;"'!$A$12:$Z$12"),0),0)),"ER"))</f>
        <v>NA</v>
      </c>
      <c r="H16" s="9" t="n">
        <f aca="true">IF($F16=0,"NA",IF($A16=INDIRECT("'"&amp;$A16&amp;"'!$B$1"),IF(VLOOKUP(H$1,INDIRECT("'"&amp;$A16&amp;"'!$A$12:$Z$19"),MATCH("Points (Auto-generate)",INDIRECT("'"&amp;$A16&amp;"'!$A$12:$Z$12"),0),0)="","?",VLOOKUP(H$1,INDIRECT("'"&amp;$A16&amp;"'!$A$12:$Z$19"),MATCH("Points (Auto-generate)",INDIRECT("'"&amp;$A16&amp;"'!$A$12:$Z$12"),0),0)),"ER"))</f>
        <v>1.25</v>
      </c>
      <c r="I16" s="9" t="str">
        <f aca="true">IF($F16=0,"NA",IF($A16=INDIRECT("'"&amp;$A16&amp;"'!$B$1"),IF(VLOOKUP(I$1,INDIRECT("'"&amp;$A16&amp;"'!$A$12:$Z$19"),MATCH("Points (Auto-generate)",INDIRECT("'"&amp;$A16&amp;"'!$A$12:$Z$12"),0),0)="","?",VLOOKUP(I$1,INDIRECT("'"&amp;$A16&amp;"'!$A$12:$Z$19"),MATCH("Points (Auto-generate)",INDIRECT("'"&amp;$A16&amp;"'!$A$12:$Z$12"),0),0)),"ER"))</f>
        <v>NA</v>
      </c>
      <c r="J16" s="9" t="str">
        <f aca="true">IF($F16=0,"NA",IF($A16=INDIRECT("'"&amp;$A16&amp;"'!$B$1"),IF(VLOOKUP(J$1,INDIRECT("'"&amp;$A16&amp;"'!$A$12:$Z$19"),MATCH("Points (Auto-generate)",INDIRECT("'"&amp;$A16&amp;"'!$A$12:$Z$12"),0),0)="","?",VLOOKUP(J$1,INDIRECT("'"&amp;$A16&amp;"'!$A$12:$Z$19"),MATCH("Points (Auto-generate)",INDIRECT("'"&amp;$A16&amp;"'!$A$12:$Z$12"),0),0)),"ER"))</f>
        <v>NA</v>
      </c>
      <c r="K16" s="9" t="str">
        <f aca="true">IF($F16=0,"NA",IF($A16=INDIRECT("'"&amp;$A16&amp;"'!$B$1"),IF(VLOOKUP(K$1,INDIRECT("'"&amp;$A16&amp;"'!$A$12:$Z$19"),MATCH("Points (Auto-generate)",INDIRECT("'"&amp;$A16&amp;"'!$A$12:$Z$12"),0),0)="","?",VLOOKUP(K$1,INDIRECT("'"&amp;$A16&amp;"'!$A$12:$Z$19"),MATCH("Points (Auto-generate)",INDIRECT("'"&amp;$A16&amp;"'!$A$12:$Z$12"),0),0)),"ER"))</f>
        <v>NA</v>
      </c>
      <c r="L16" s="9" t="str">
        <f aca="true">IF($F16=0,"NA",IF($A16=INDIRECT("'"&amp;$A16&amp;"'!$B$1"),IF(VLOOKUP(L$1,INDIRECT("'"&amp;$A16&amp;"'!$A$12:$Z$19"),MATCH("Points (Auto-generate)",INDIRECT("'"&amp;$A16&amp;"'!$A$12:$Z$12"),0),0)="","?",VLOOKUP(L$1,INDIRECT("'"&amp;$A16&amp;"'!$A$12:$Z$19"),MATCH("Points (Auto-generate)",INDIRECT("'"&amp;$A16&amp;"'!$A$12:$Z$12"),0),0)),"ER"))</f>
        <v>NA</v>
      </c>
      <c r="M16" s="9"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11" t="s">
        <v>447</v>
      </c>
      <c r="B17" s="11" t="str">
        <f aca="false">VLOOKUP($A17,'PARASTATAL Questions'!$A:$J,3,0)&amp;""</f>
        <v>Urban Planning &amp; Design (UPD)</v>
      </c>
      <c r="C17" s="11" t="str">
        <f aca="false">VLOOKUP($A17,'PARASTATAL Questions'!$A:$J,4,0)&amp;""</f>
        <v>MQ</v>
      </c>
      <c r="D17" s="11" t="str">
        <f aca="false">VLOOKUP($A17,'PARASTATAL Questions'!$A:$J,5,0)&amp;""</f>
        <v>Are environmental considerations explicitly required to be integrated into the water supply board’s planning, service-delivery or major investment decisions?</v>
      </c>
      <c r="E17" s="11" t="str">
        <f aca="false">VLOOKUP($A17,'PARASTATAL Questions'!$A:$J,7,0)&amp;""</f>
        <v>Law/Policy</v>
      </c>
      <c r="F17" s="11" t="n">
        <f aca="false">VLOOKUP($A17,'PARASTATAL Questions'!$A:$J,6,0)</f>
        <v>10</v>
      </c>
      <c r="G17" s="11" t="n">
        <f aca="false">IF(OR(G18="ER",G19="ER"),"ER",IF(OR(G18="?",G19="?"),"?",IF(AND(G18="NA",G19="NA"),"NA",SUM(G18,G19)/((G18&lt;&gt;"NA")*$F$18+(G19&lt;&gt;"NA")*$F$19)*$F17)))</f>
        <v>6.25</v>
      </c>
      <c r="H17" s="11" t="str">
        <f aca="false">IF(OR(H18="ER",H19="ER"),"ER",IF(OR(H18="?",H19="?"),"?",IF(AND(H18="NA",H19="NA"),"NA",SUM(H18,H19)/((H18&lt;&gt;"NA")*$F$18+(H19&lt;&gt;"NA")*$F$19)*$F17)))</f>
        <v>NA</v>
      </c>
      <c r="I17" s="11" t="str">
        <f aca="false">IF(OR(I18="ER",I19="ER"),"ER",IF(OR(I18="?",I19="?"),"?",IF(AND(I18="NA",I19="NA"),"NA",SUM(I18,I19)/((I18&lt;&gt;"NA")*$F$18+(I19&lt;&gt;"NA")*$F$19)*$F17)))</f>
        <v>NA</v>
      </c>
      <c r="J17" s="11" t="str">
        <f aca="false">IF(OR(J18="ER",J19="ER"),"ER",IF(OR(J18="?",J19="?"),"?",IF(AND(J18="NA",J19="NA"),"NA",SUM(J18,J19)/((J18&lt;&gt;"NA")*$F$18+(J19&lt;&gt;"NA")*$F$19)*$F17)))</f>
        <v>NA</v>
      </c>
      <c r="K17" s="11" t="str">
        <f aca="false">IF(OR(K18="ER",K19="ER"),"ER",IF(OR(K18="?",K19="?"),"?",IF(AND(K18="NA",K19="NA"),"NA",SUM(K18,K19)/((K18&lt;&gt;"NA")*$F$18+(K19&lt;&gt;"NA")*$F$19)*$F17)))</f>
        <v>NA</v>
      </c>
      <c r="L17" s="11" t="str">
        <f aca="false">IF(OR(L18="ER",L19="ER"),"ER",IF(OR(L18="?",L19="?"),"?",IF(AND(L18="NA",L19="NA"),"NA",SUM(L18,L19)/((L18&lt;&gt;"NA")*$F$18+(L19&lt;&gt;"NA")*$F$19)*$F17)))</f>
        <v>NA</v>
      </c>
      <c r="M17" s="11" t="str">
        <f aca="false">IF(OR(M18="ER",M19="ER"),"ER",IF(OR(M18="?",M19="?"),"?",IF(AND(M18="NA",M19="NA"),"NA",SUM(M18,M19)/((M18&lt;&gt;"NA")*$F$18+(M19&lt;&gt;"NA")*$F$19)*$F17)))</f>
        <v>NA</v>
      </c>
    </row>
    <row r="18" customFormat="false" ht="15" hidden="false" customHeight="true" outlineLevel="0" collapsed="false">
      <c r="A18" s="9" t="s">
        <v>100</v>
      </c>
      <c r="B18" s="9" t="str">
        <f aca="false">VLOOKUP($A18,'PARASTATAL Questions'!$A:$J,3,0)&amp;""</f>
        <v>Urban Planning &amp; Design (UPD)</v>
      </c>
      <c r="C18" s="9" t="str">
        <f aca="false">VLOOKUP($A18,'PARASTATAL Questions'!$A:$J,4,0)&amp;""</f>
        <v>SQ</v>
      </c>
      <c r="D18" s="9" t="str">
        <f aca="false">VLOOKUP($A18,'PARASTATAL Questions'!$A:$J,5,0)&amp;""</f>
        <v>Is the water supply board mandated to consider environmental sustainability in planning and delivering water and sanitation services?</v>
      </c>
      <c r="E18" s="9" t="str">
        <f aca="false">VLOOKUP($A18,'PARASTATAL Questions'!$A:$J,7,0)&amp;""</f>
        <v>Law/Policy</v>
      </c>
      <c r="F18" s="9" t="n">
        <f aca="false">VLOOKUP($A18,'PARASTATAL Questions'!$A:$J,6,0)</f>
        <v>5</v>
      </c>
      <c r="G18" s="9" t="n">
        <f aca="true">IF($F18=0,"NA",IF($A18=INDIRECT("'"&amp;$A18&amp;"'!$B$1"),IF(VLOOKUP(G$1,INDIRECT("'"&amp;$A18&amp;"'!$A$12:$Z$19"),MATCH("Points (Auto-generate)",INDIRECT("'"&amp;$A18&amp;"'!$A$12:$Z$12"),0),0)="","?",VLOOKUP(G$1,INDIRECT("'"&amp;$A18&amp;"'!$A$12:$Z$19"),MATCH("Points (Auto-generate)",INDIRECT("'"&amp;$A18&amp;"'!$A$12:$Z$12"),0),0)),"ER"))</f>
        <v>2.5</v>
      </c>
      <c r="H18" s="9" t="str">
        <f aca="true">IF($F18=0,"NA",IF($A18=INDIRECT("'"&amp;$A18&amp;"'!$B$1"),IF(VLOOKUP(H$1,INDIRECT("'"&amp;$A18&amp;"'!$A$12:$Z$19"),MATCH("Points (Auto-generate)",INDIRECT("'"&amp;$A18&amp;"'!$A$12:$Z$12"),0),0)="","?",VLOOKUP(H$1,INDIRECT("'"&amp;$A18&amp;"'!$A$12:$Z$19"),MATCH("Points (Auto-generate)",INDIRECT("'"&amp;$A18&amp;"'!$A$12:$Z$12"),0),0)),"ER"))</f>
        <v>NA</v>
      </c>
      <c r="I18" s="9" t="str">
        <f aca="true">IF($F18=0,"NA",IF($A18=INDIRECT("'"&amp;$A18&amp;"'!$B$1"),IF(VLOOKUP(I$1,INDIRECT("'"&amp;$A18&amp;"'!$A$12:$Z$19"),MATCH("Points (Auto-generate)",INDIRECT("'"&amp;$A18&amp;"'!$A$12:$Z$12"),0),0)="","?",VLOOKUP(I$1,INDIRECT("'"&amp;$A18&amp;"'!$A$12:$Z$19"),MATCH("Points (Auto-generate)",INDIRECT("'"&amp;$A18&amp;"'!$A$12:$Z$12"),0),0)),"ER"))</f>
        <v>NA</v>
      </c>
      <c r="J18" s="9" t="str">
        <f aca="true">IF($F18=0,"NA",IF($A18=INDIRECT("'"&amp;$A18&amp;"'!$B$1"),IF(VLOOKUP(J$1,INDIRECT("'"&amp;$A18&amp;"'!$A$12:$Z$19"),MATCH("Points (Auto-generate)",INDIRECT("'"&amp;$A18&amp;"'!$A$12:$Z$12"),0),0)="","?",VLOOKUP(J$1,INDIRECT("'"&amp;$A18&amp;"'!$A$12:$Z$19"),MATCH("Points (Auto-generate)",INDIRECT("'"&amp;$A18&amp;"'!$A$12:$Z$12"),0),0)),"ER"))</f>
        <v>NA</v>
      </c>
      <c r="K18" s="9" t="str">
        <f aca="true">IF($F18=0,"NA",IF($A18=INDIRECT("'"&amp;$A18&amp;"'!$B$1"),IF(VLOOKUP(K$1,INDIRECT("'"&amp;$A18&amp;"'!$A$12:$Z$19"),MATCH("Points (Auto-generate)",INDIRECT("'"&amp;$A18&amp;"'!$A$12:$Z$12"),0),0)="","?",VLOOKUP(K$1,INDIRECT("'"&amp;$A18&amp;"'!$A$12:$Z$19"),MATCH("Points (Auto-generate)",INDIRECT("'"&amp;$A18&amp;"'!$A$12:$Z$12"),0),0)),"ER"))</f>
        <v>NA</v>
      </c>
      <c r="L18" s="9" t="str">
        <f aca="true">IF($F18=0,"NA",IF($A18=INDIRECT("'"&amp;$A18&amp;"'!$B$1"),IF(VLOOKUP(L$1,INDIRECT("'"&amp;$A18&amp;"'!$A$12:$Z$19"),MATCH("Points (Auto-generate)",INDIRECT("'"&amp;$A18&amp;"'!$A$12:$Z$12"),0),0)="","?",VLOOKUP(L$1,INDIRECT("'"&amp;$A18&amp;"'!$A$12:$Z$19"),MATCH("Points (Auto-generate)",INDIRECT("'"&amp;$A18&amp;"'!$A$12:$Z$12"),0),0)),"ER"))</f>
        <v>NA</v>
      </c>
      <c r="M18" s="9"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9" t="s">
        <v>105</v>
      </c>
      <c r="B19" s="9" t="str">
        <f aca="false">VLOOKUP($A19,'PARASTATAL Questions'!$A:$J,3,0)&amp;""</f>
        <v>Urban Planning &amp; Design (UPD)</v>
      </c>
      <c r="C19" s="9" t="str">
        <f aca="false">VLOOKUP($A19,'PARASTATAL Questions'!$A:$J,4,0)&amp;""</f>
        <v>SQ</v>
      </c>
      <c r="D19" s="9" t="str">
        <f aca="false">VLOOKUP($A19,'PARASTATAL Questions'!$A:$J,5,0)&amp;""</f>
        <v>Does the water supply board actually consider environmental sustainability in planning and delivering water and sanitation services?</v>
      </c>
      <c r="E19" s="9" t="str">
        <f aca="false">VLOOKUP($A19,'PARASTATAL Questions'!$A:$J,7,0)&amp;""</f>
        <v>Implementation</v>
      </c>
      <c r="F19" s="9" t="n">
        <f aca="false">VLOOKUP($A19,'PARASTATAL Questions'!$A:$J,6,0)</f>
        <v>5</v>
      </c>
      <c r="G19" s="9" t="n">
        <f aca="true">IF($F19=0,"NA",IF($A19=INDIRECT("'"&amp;$A19&amp;"'!$B$1"),IF(VLOOKUP(G$1,INDIRECT("'"&amp;$A19&amp;"'!$A$12:$Z$19"),MATCH("Points (Auto-generate)",INDIRECT("'"&amp;$A19&amp;"'!$A$12:$Z$12"),0),0)="","?",VLOOKUP(G$1,INDIRECT("'"&amp;$A19&amp;"'!$A$12:$Z$19"),MATCH("Points (Auto-generate)",INDIRECT("'"&amp;$A19&amp;"'!$A$12:$Z$12"),0),0)),"ER"))</f>
        <v>3.75</v>
      </c>
      <c r="H19" s="9" t="str">
        <f aca="true">IF($F19=0,"NA",IF($A19=INDIRECT("'"&amp;$A19&amp;"'!$B$1"),IF(VLOOKUP(H$1,INDIRECT("'"&amp;$A19&amp;"'!$A$12:$Z$19"),MATCH("Points (Auto-generate)",INDIRECT("'"&amp;$A19&amp;"'!$A$12:$Z$12"),0),0)="","?",VLOOKUP(H$1,INDIRECT("'"&amp;$A19&amp;"'!$A$12:$Z$19"),MATCH("Points (Auto-generate)",INDIRECT("'"&amp;$A19&amp;"'!$A$12:$Z$12"),0),0)),"ER"))</f>
        <v>NA</v>
      </c>
      <c r="I19" s="9" t="str">
        <f aca="true">IF($F19=0,"NA",IF($A19=INDIRECT("'"&amp;$A19&amp;"'!$B$1"),IF(VLOOKUP(I$1,INDIRECT("'"&amp;$A19&amp;"'!$A$12:$Z$19"),MATCH("Points (Auto-generate)",INDIRECT("'"&amp;$A19&amp;"'!$A$12:$Z$12"),0),0)="","?",VLOOKUP(I$1,INDIRECT("'"&amp;$A19&amp;"'!$A$12:$Z$19"),MATCH("Points (Auto-generate)",INDIRECT("'"&amp;$A19&amp;"'!$A$12:$Z$12"),0),0)),"ER"))</f>
        <v>NA</v>
      </c>
      <c r="J19" s="9" t="str">
        <f aca="true">IF($F19=0,"NA",IF($A19=INDIRECT("'"&amp;$A19&amp;"'!$B$1"),IF(VLOOKUP(J$1,INDIRECT("'"&amp;$A19&amp;"'!$A$12:$Z$19"),MATCH("Points (Auto-generate)",INDIRECT("'"&amp;$A19&amp;"'!$A$12:$Z$12"),0),0)="","?",VLOOKUP(J$1,INDIRECT("'"&amp;$A19&amp;"'!$A$12:$Z$19"),MATCH("Points (Auto-generate)",INDIRECT("'"&amp;$A19&amp;"'!$A$12:$Z$12"),0),0)),"ER"))</f>
        <v>NA</v>
      </c>
      <c r="K19" s="9" t="str">
        <f aca="true">IF($F19=0,"NA",IF($A19=INDIRECT("'"&amp;$A19&amp;"'!$B$1"),IF(VLOOKUP(K$1,INDIRECT("'"&amp;$A19&amp;"'!$A$12:$Z$19"),MATCH("Points (Auto-generate)",INDIRECT("'"&amp;$A19&amp;"'!$A$12:$Z$12"),0),0)="","?",VLOOKUP(K$1,INDIRECT("'"&amp;$A19&amp;"'!$A$12:$Z$19"),MATCH("Points (Auto-generate)",INDIRECT("'"&amp;$A19&amp;"'!$A$12:$Z$12"),0),0)),"ER"))</f>
        <v>NA</v>
      </c>
      <c r="L19" s="9" t="str">
        <f aca="true">IF($F19=0,"NA",IF($A19=INDIRECT("'"&amp;$A19&amp;"'!$B$1"),IF(VLOOKUP(L$1,INDIRECT("'"&amp;$A19&amp;"'!$A$12:$Z$19"),MATCH("Points (Auto-generate)",INDIRECT("'"&amp;$A19&amp;"'!$A$12:$Z$12"),0),0)="","?",VLOOKUP(L$1,INDIRECT("'"&amp;$A19&amp;"'!$A$12:$Z$19"),MATCH("Points (Auto-generate)",INDIRECT("'"&amp;$A19&amp;"'!$A$12:$Z$12"),0),0)),"ER"))</f>
        <v>NA</v>
      </c>
      <c r="M19" s="9"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11" t="s">
        <v>448</v>
      </c>
      <c r="B20" s="11" t="str">
        <f aca="false">VLOOKUP($A20,'PARASTATAL Questions'!$A:$J,3,0)&amp;""</f>
        <v>Urban Planning &amp; Design (UPD)</v>
      </c>
      <c r="C20" s="11" t="str">
        <f aca="false">VLOOKUP($A20,'PARASTATAL Questions'!$A:$J,4,0)&amp;""</f>
        <v>MQ</v>
      </c>
      <c r="D20" s="11" t="str">
        <f aca="false">VLOOKUP($A20,'PARASTATAL Questions'!$A:$J,5,0)&amp;""</f>
        <v>Are environmental considerations explicitly required to be integrated into the transport corporation’s planning, service-delivery or major investment decisions?</v>
      </c>
      <c r="E20" s="11" t="str">
        <f aca="false">VLOOKUP($A20,'PARASTATAL Questions'!$A:$J,7,0)&amp;""</f>
        <v/>
      </c>
      <c r="F20" s="11" t="n">
        <f aca="false">VLOOKUP($A20,'PARASTATAL Questions'!$A:$J,6,0)</f>
        <v>10</v>
      </c>
      <c r="G20" s="11" t="str">
        <f aca="false">IF(OR(G21="ER",G22="ER"),"ER",IF(OR(G21="?",G22="?"),"?",IF(AND(G21="NA",G22="NA"),"NA",SUM(G21,G22)/((G21&lt;&gt;"NA")*$F$21+(G22&lt;&gt;"NA")*$F$22)*$F20)))</f>
        <v>NA</v>
      </c>
      <c r="H20" s="11" t="n">
        <f aca="false">IF(OR(H21="ER",H22="ER"),"ER",IF(OR(H21="?",H22="?"),"?",IF(AND(H21="NA",H22="NA"),"NA",SUM(H21,H22)/((H21&lt;&gt;"NA")*$F$21+(H22&lt;&gt;"NA")*$F$22)*$F20)))</f>
        <v>3.75</v>
      </c>
      <c r="I20" s="11" t="str">
        <f aca="false">IF(OR(I21="ER",I22="ER"),"ER",IF(OR(I21="?",I22="?"),"?",IF(AND(I21="NA",I22="NA"),"NA",SUM(I21,I22)/((I21&lt;&gt;"NA")*$F$21+(I22&lt;&gt;"NA")*$F$22)*$F20)))</f>
        <v>NA</v>
      </c>
      <c r="J20" s="11" t="str">
        <f aca="false">IF(OR(J21="ER",J22="ER"),"ER",IF(OR(J21="?",J22="?"),"?",IF(AND(J21="NA",J22="NA"),"NA",SUM(J21,J22)/((J21&lt;&gt;"NA")*$F$21+(J22&lt;&gt;"NA")*$F$22)*$F20)))</f>
        <v>NA</v>
      </c>
      <c r="K20" s="11" t="str">
        <f aca="false">IF(OR(K21="ER",K22="ER"),"ER",IF(OR(K21="?",K22="?"),"?",IF(AND(K21="NA",K22="NA"),"NA",SUM(K21,K22)/((K21&lt;&gt;"NA")*$F$21+(K22&lt;&gt;"NA")*$F$22)*$F20)))</f>
        <v>NA</v>
      </c>
      <c r="L20" s="11" t="str">
        <f aca="false">IF(OR(L21="ER",L22="ER"),"ER",IF(OR(L21="?",L22="?"),"?",IF(AND(L21="NA",L22="NA"),"NA",SUM(L21,L22)/((L21&lt;&gt;"NA")*$F$21+(L22&lt;&gt;"NA")*$F$22)*$F20)))</f>
        <v>NA</v>
      </c>
      <c r="M20" s="11" t="str">
        <f aca="false">IF(OR(M21="ER",M22="ER"),"ER",IF(OR(M21="?",M22="?"),"?",IF(AND(M21="NA",M22="NA"),"NA",SUM(M21,M22)/((M21&lt;&gt;"NA")*$F$21+(M22&lt;&gt;"NA")*$F$22)*$F20)))</f>
        <v>NA</v>
      </c>
    </row>
    <row r="21" customFormat="false" ht="15" hidden="false" customHeight="true" outlineLevel="0" collapsed="false">
      <c r="A21" s="9" t="s">
        <v>112</v>
      </c>
      <c r="B21" s="9" t="str">
        <f aca="false">VLOOKUP($A21,'PARASTATAL Questions'!$A:$J,3,0)&amp;""</f>
        <v>Urban Planning &amp; Design (UPD)</v>
      </c>
      <c r="C21" s="9" t="str">
        <f aca="false">VLOOKUP($A21,'PARASTATAL Questions'!$A:$J,4,0)&amp;""</f>
        <v>SQ</v>
      </c>
      <c r="D21" s="9" t="str">
        <f aca="false">VLOOKUP($A21,'PARASTATAL Questions'!$A:$J,5,0)&amp;""</f>
        <v>Is the transport corporation mandated to consider environmental sustainability in planning and delivering urban transport services and investments?</v>
      </c>
      <c r="E21" s="9" t="str">
        <f aca="false">VLOOKUP($A21,'PARASTATAL Questions'!$A:$J,7,0)&amp;""</f>
        <v>Law/Policy</v>
      </c>
      <c r="F21" s="9" t="n">
        <f aca="false">VLOOKUP($A21,'PARASTATAL Questions'!$A:$J,6,0)</f>
        <v>5</v>
      </c>
      <c r="G21" s="9" t="str">
        <f aca="true">IF($F21=0,"NA",IF($A21=INDIRECT("'"&amp;$A21&amp;"'!$B$1"),IF(VLOOKUP(G$1,INDIRECT("'"&amp;$A21&amp;"'!$A$12:$Z$19"),MATCH("Points (Auto-generate)",INDIRECT("'"&amp;$A21&amp;"'!$A$12:$Z$12"),0),0)="","?",VLOOKUP(G$1,INDIRECT("'"&amp;$A21&amp;"'!$A$12:$Z$19"),MATCH("Points (Auto-generate)",INDIRECT("'"&amp;$A21&amp;"'!$A$12:$Z$12"),0),0)),"ER"))</f>
        <v>NA</v>
      </c>
      <c r="H21" s="9" t="n">
        <f aca="true">IF($F21=0,"NA",IF($A21=INDIRECT("'"&amp;$A21&amp;"'!$B$1"),IF(VLOOKUP(H$1,INDIRECT("'"&amp;$A21&amp;"'!$A$12:$Z$19"),MATCH("Points (Auto-generate)",INDIRECT("'"&amp;$A21&amp;"'!$A$12:$Z$12"),0),0)="","?",VLOOKUP(H$1,INDIRECT("'"&amp;$A21&amp;"'!$A$12:$Z$19"),MATCH("Points (Auto-generate)",INDIRECT("'"&amp;$A21&amp;"'!$A$12:$Z$12"),0),0)),"ER"))</f>
        <v>2.5</v>
      </c>
      <c r="I21" s="9" t="str">
        <f aca="true">IF($F21=0,"NA",IF($A21=INDIRECT("'"&amp;$A21&amp;"'!$B$1"),IF(VLOOKUP(I$1,INDIRECT("'"&amp;$A21&amp;"'!$A$12:$Z$19"),MATCH("Points (Auto-generate)",INDIRECT("'"&amp;$A21&amp;"'!$A$12:$Z$12"),0),0)="","?",VLOOKUP(I$1,INDIRECT("'"&amp;$A21&amp;"'!$A$12:$Z$19"),MATCH("Points (Auto-generate)",INDIRECT("'"&amp;$A21&amp;"'!$A$12:$Z$12"),0),0)),"ER"))</f>
        <v>NA</v>
      </c>
      <c r="J21" s="9" t="str">
        <f aca="true">IF($F21=0,"NA",IF($A21=INDIRECT("'"&amp;$A21&amp;"'!$B$1"),IF(VLOOKUP(J$1,INDIRECT("'"&amp;$A21&amp;"'!$A$12:$Z$19"),MATCH("Points (Auto-generate)",INDIRECT("'"&amp;$A21&amp;"'!$A$12:$Z$12"),0),0)="","?",VLOOKUP(J$1,INDIRECT("'"&amp;$A21&amp;"'!$A$12:$Z$19"),MATCH("Points (Auto-generate)",INDIRECT("'"&amp;$A21&amp;"'!$A$12:$Z$12"),0),0)),"ER"))</f>
        <v>NA</v>
      </c>
      <c r="K21" s="9" t="str">
        <f aca="true">IF($F21=0,"NA",IF($A21=INDIRECT("'"&amp;$A21&amp;"'!$B$1"),IF(VLOOKUP(K$1,INDIRECT("'"&amp;$A21&amp;"'!$A$12:$Z$19"),MATCH("Points (Auto-generate)",INDIRECT("'"&amp;$A21&amp;"'!$A$12:$Z$12"),0),0)="","?",VLOOKUP(K$1,INDIRECT("'"&amp;$A21&amp;"'!$A$12:$Z$19"),MATCH("Points (Auto-generate)",INDIRECT("'"&amp;$A21&amp;"'!$A$12:$Z$12"),0),0)),"ER"))</f>
        <v>NA</v>
      </c>
      <c r="L21" s="9" t="str">
        <f aca="true">IF($F21=0,"NA",IF($A21=INDIRECT("'"&amp;$A21&amp;"'!$B$1"),IF(VLOOKUP(L$1,INDIRECT("'"&amp;$A21&amp;"'!$A$12:$Z$19"),MATCH("Points (Auto-generate)",INDIRECT("'"&amp;$A21&amp;"'!$A$12:$Z$12"),0),0)="","?",VLOOKUP(L$1,INDIRECT("'"&amp;$A21&amp;"'!$A$12:$Z$19"),MATCH("Points (Auto-generate)",INDIRECT("'"&amp;$A21&amp;"'!$A$12:$Z$12"),0),0)),"ER"))</f>
        <v>NA</v>
      </c>
      <c r="M21" s="9"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9" t="s">
        <v>117</v>
      </c>
      <c r="B22" s="9" t="str">
        <f aca="false">VLOOKUP($A22,'PARASTATAL Questions'!$A:$J,3,0)&amp;""</f>
        <v>Urban Planning &amp; Design (UPD)</v>
      </c>
      <c r="C22" s="9" t="str">
        <f aca="false">VLOOKUP($A22,'PARASTATAL Questions'!$A:$J,4,0)&amp;""</f>
        <v>SQ</v>
      </c>
      <c r="D22" s="9" t="str">
        <f aca="false">VLOOKUP($A22,'PARASTATAL Questions'!$A:$J,5,0)&amp;""</f>
        <v>Does the transport corporation actually considers environmental sustainability in planning and delivering urban transport services and investments?</v>
      </c>
      <c r="E22" s="9" t="str">
        <f aca="false">VLOOKUP($A22,'PARASTATAL Questions'!$A:$J,7,0)&amp;""</f>
        <v>Implementation</v>
      </c>
      <c r="F22" s="9" t="n">
        <f aca="false">VLOOKUP($A22,'PARASTATAL Questions'!$A:$J,6,0)</f>
        <v>5</v>
      </c>
      <c r="G22" s="9" t="str">
        <f aca="true">IF($F22=0,"NA",IF($A22=INDIRECT("'"&amp;$A22&amp;"'!$B$1"),IF(VLOOKUP(G$1,INDIRECT("'"&amp;$A22&amp;"'!$A$12:$Z$19"),MATCH("Points (Auto-generate)",INDIRECT("'"&amp;$A22&amp;"'!$A$12:$Z$12"),0),0)="","?",VLOOKUP(G$1,INDIRECT("'"&amp;$A22&amp;"'!$A$12:$Z$19"),MATCH("Points (Auto-generate)",INDIRECT("'"&amp;$A22&amp;"'!$A$12:$Z$12"),0),0)),"ER"))</f>
        <v>NA</v>
      </c>
      <c r="H22" s="9" t="n">
        <f aca="true">IF($F22=0,"NA",IF($A22=INDIRECT("'"&amp;$A22&amp;"'!$B$1"),IF(VLOOKUP(H$1,INDIRECT("'"&amp;$A22&amp;"'!$A$12:$Z$19"),MATCH("Points (Auto-generate)",INDIRECT("'"&amp;$A22&amp;"'!$A$12:$Z$12"),0),0)="","?",VLOOKUP(H$1,INDIRECT("'"&amp;$A22&amp;"'!$A$12:$Z$19"),MATCH("Points (Auto-generate)",INDIRECT("'"&amp;$A22&amp;"'!$A$12:$Z$12"),0),0)),"ER"))</f>
        <v>1.25</v>
      </c>
      <c r="I22" s="9" t="str">
        <f aca="true">IF($F22=0,"NA",IF($A22=INDIRECT("'"&amp;$A22&amp;"'!$B$1"),IF(VLOOKUP(I$1,INDIRECT("'"&amp;$A22&amp;"'!$A$12:$Z$19"),MATCH("Points (Auto-generate)",INDIRECT("'"&amp;$A22&amp;"'!$A$12:$Z$12"),0),0)="","?",VLOOKUP(I$1,INDIRECT("'"&amp;$A22&amp;"'!$A$12:$Z$19"),MATCH("Points (Auto-generate)",INDIRECT("'"&amp;$A22&amp;"'!$A$12:$Z$12"),0),0)),"ER"))</f>
        <v>NA</v>
      </c>
      <c r="J22" s="9" t="str">
        <f aca="true">IF($F22=0,"NA",IF($A22=INDIRECT("'"&amp;$A22&amp;"'!$B$1"),IF(VLOOKUP(J$1,INDIRECT("'"&amp;$A22&amp;"'!$A$12:$Z$19"),MATCH("Points (Auto-generate)",INDIRECT("'"&amp;$A22&amp;"'!$A$12:$Z$12"),0),0)="","?",VLOOKUP(J$1,INDIRECT("'"&amp;$A22&amp;"'!$A$12:$Z$19"),MATCH("Points (Auto-generate)",INDIRECT("'"&amp;$A22&amp;"'!$A$12:$Z$12"),0),0)),"ER"))</f>
        <v>NA</v>
      </c>
      <c r="K22" s="9" t="str">
        <f aca="true">IF($F22=0,"NA",IF($A22=INDIRECT("'"&amp;$A22&amp;"'!$B$1"),IF(VLOOKUP(K$1,INDIRECT("'"&amp;$A22&amp;"'!$A$12:$Z$19"),MATCH("Points (Auto-generate)",INDIRECT("'"&amp;$A22&amp;"'!$A$12:$Z$12"),0),0)="","?",VLOOKUP(K$1,INDIRECT("'"&amp;$A22&amp;"'!$A$12:$Z$19"),MATCH("Points (Auto-generate)",INDIRECT("'"&amp;$A22&amp;"'!$A$12:$Z$12"),0),0)),"ER"))</f>
        <v>NA</v>
      </c>
      <c r="L22" s="9" t="str">
        <f aca="true">IF($F22=0,"NA",IF($A22=INDIRECT("'"&amp;$A22&amp;"'!$B$1"),IF(VLOOKUP(L$1,INDIRECT("'"&amp;$A22&amp;"'!$A$12:$Z$19"),MATCH("Points (Auto-generate)",INDIRECT("'"&amp;$A22&amp;"'!$A$12:$Z$12"),0),0)="","?",VLOOKUP(L$1,INDIRECT("'"&amp;$A22&amp;"'!$A$12:$Z$19"),MATCH("Points (Auto-generate)",INDIRECT("'"&amp;$A22&amp;"'!$A$12:$Z$12"),0),0)),"ER"))</f>
        <v>NA</v>
      </c>
      <c r="M22" s="9"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11" t="s">
        <v>449</v>
      </c>
      <c r="B23" s="11" t="str">
        <f aca="false">VLOOKUP($A23,'PARASTATAL Questions'!$A:$J,3,0)&amp;""</f>
        <v>Decentralised Participatory Governance</v>
      </c>
      <c r="C23" s="11" t="str">
        <f aca="false">VLOOKUP($A23,'PARASTATAL Questions'!$A:$J,4,0)&amp;""</f>
        <v>MQ</v>
      </c>
      <c r="D23" s="11" t="str">
        <f aca="false">VLOOKUP($A23,'PARASTATAL Questions'!$A:$J,5,0)&amp;""</f>
        <v>Are the functions and geographical jurisdiction of the parastatal clearly defined vis-à-vis the ULG and other relevant agencies?</v>
      </c>
      <c r="E23" s="11" t="str">
        <f aca="false">VLOOKUP($A23,'PARASTATAL Questions'!$A:$J,7,0)&amp;""</f>
        <v>Institutional Design</v>
      </c>
      <c r="F23" s="11" t="n">
        <f aca="false">VLOOKUP($A23,'PARASTATAL Questions'!$A:$J,6,0)</f>
        <v>10</v>
      </c>
      <c r="G23" s="11" t="n">
        <f aca="false">IF(OR(G24="ER",G25="ER"),"ER",IF(OR(G24="?",G25="?"),"?",IF(AND(G24="NA",G25="NA"),"NA",SUM(G24,G25)/((G24&lt;&gt;"NA")*$F$24+(G25&lt;&gt;"NA")*$F$25)*$F23)))</f>
        <v>2.5</v>
      </c>
      <c r="H23" s="11" t="str">
        <f aca="false">IF(OR(H24="ER",H25="ER"),"ER",IF(OR(H24="?",H25="?"),"?",IF(AND(H24="NA",H25="NA"),"NA",SUM(H24,H25)/((H24&lt;&gt;"NA")*$F$24+(H25&lt;&gt;"NA")*$F$25)*$F23)))</f>
        <v>?</v>
      </c>
      <c r="I23" s="11" t="n">
        <f aca="false">IF(OR(I24="ER",I25="ER"),"ER",IF(OR(I24="?",I25="?"),"?",IF(AND(I24="NA",I25="NA"),"NA",SUM(I24,I25)/((I24&lt;&gt;"NA")*$F$24+(I25&lt;&gt;"NA")*$F$25)*$F23)))</f>
        <v>2.5</v>
      </c>
      <c r="J23" s="11" t="n">
        <f aca="false">IF(OR(J24="ER",J25="ER"),"ER",IF(OR(J24="?",J25="?"),"?",IF(AND(J24="NA",J25="NA"),"NA",SUM(J24,J25)/((J24&lt;&gt;"NA")*$F$24+(J25&lt;&gt;"NA")*$F$25)*$F23)))</f>
        <v>7.5</v>
      </c>
      <c r="K23" s="11" t="str">
        <f aca="false">IF(OR(K24="ER",K25="ER"),"ER",IF(OR(K24="?",K25="?"),"?",IF(AND(K24="NA",K25="NA"),"NA",SUM(K24,K25)/((K24&lt;&gt;"NA")*$F$24+(K25&lt;&gt;"NA")*$F$25)*$F23)))</f>
        <v>?</v>
      </c>
      <c r="L23" s="11" t="str">
        <f aca="false">IF(OR(L24="ER",L25="ER"),"ER",IF(OR(L24="?",L25="?"),"?",IF(AND(L24="NA",L25="NA"),"NA",SUM(L24,L25)/((L24&lt;&gt;"NA")*$F$24+(L25&lt;&gt;"NA")*$F$25)*$F23)))</f>
        <v>?</v>
      </c>
      <c r="M23" s="11" t="str">
        <f aca="false">IF(OR(M24="ER",M25="ER"),"ER",IF(OR(M24="?",M25="?"),"?",IF(AND(M24="NA",M25="NA"),"NA",SUM(M24,M25)/((M24&lt;&gt;"NA")*$F$24+(M25&lt;&gt;"NA")*$F$25)*$F23)))</f>
        <v>?</v>
      </c>
    </row>
    <row r="24" customFormat="false" ht="15" hidden="false" customHeight="true" outlineLevel="0" collapsed="false">
      <c r="A24" s="9" t="s">
        <v>120</v>
      </c>
      <c r="B24" s="9" t="str">
        <f aca="false">VLOOKUP($A24,'PARASTATAL Questions'!$A:$J,3,0)&amp;""</f>
        <v>Decentralised Participatory Governance</v>
      </c>
      <c r="C24" s="9" t="str">
        <f aca="false">VLOOKUP($A24,'PARASTATAL Questions'!$A:$J,4,0)&amp;""</f>
        <v>SQ</v>
      </c>
      <c r="D24" s="9" t="str">
        <f aca="false">VLOOKUP($A24,'PARASTATAL Questions'!$A:$J,5,0)&amp;""</f>
        <v>Does the legal framework clearly demarcate the functions/responsibilities of the parastatal vis-à-vis the ULG?</v>
      </c>
      <c r="E24" s="9" t="str">
        <f aca="false">VLOOKUP($A24,'PARASTATAL Questions'!$A:$J,7,0)&amp;""</f>
        <v>Institutional Design</v>
      </c>
      <c r="F24" s="9" t="n">
        <f aca="false">VLOOKUP($A24,'PARASTATAL Questions'!$A:$J,6,0)</f>
        <v>5</v>
      </c>
      <c r="G24" s="9" t="n">
        <f aca="true">IF($F24=0,"NA",IF($A24=INDIRECT("'"&amp;$A24&amp;"'!$B$1"),IF(VLOOKUP(G$1,INDIRECT("'"&amp;$A24&amp;"'!$A$12:$Z$19"),MATCH("Points (Auto-generate)",INDIRECT("'"&amp;$A24&amp;"'!$A$12:$Z$12"),0),0)="","?",VLOOKUP(G$1,INDIRECT("'"&amp;$A24&amp;"'!$A$12:$Z$19"),MATCH("Points (Auto-generate)",INDIRECT("'"&amp;$A24&amp;"'!$A$12:$Z$12"),0),0)),"ER"))</f>
        <v>0</v>
      </c>
      <c r="H24" s="9" t="str">
        <f aca="true">IF($F24=0,"NA",IF($A24=INDIRECT("'"&amp;$A24&amp;"'!$B$1"),IF(VLOOKUP(H$1,INDIRECT("'"&amp;$A24&amp;"'!$A$12:$Z$19"),MATCH("Points (Auto-generate)",INDIRECT("'"&amp;$A24&amp;"'!$A$12:$Z$12"),0),0)="","?",VLOOKUP(H$1,INDIRECT("'"&amp;$A24&amp;"'!$A$12:$Z$19"),MATCH("Points (Auto-generate)",INDIRECT("'"&amp;$A24&amp;"'!$A$12:$Z$12"),0),0)),"ER"))</f>
        <v>?</v>
      </c>
      <c r="I24" s="9" t="n">
        <f aca="true">IF($F24=0,"NA",IF($A24=INDIRECT("'"&amp;$A24&amp;"'!$B$1"),IF(VLOOKUP(I$1,INDIRECT("'"&amp;$A24&amp;"'!$A$12:$Z$19"),MATCH("Points (Auto-generate)",INDIRECT("'"&amp;$A24&amp;"'!$A$12:$Z$12"),0),0)="","?",VLOOKUP(I$1,INDIRECT("'"&amp;$A24&amp;"'!$A$12:$Z$19"),MATCH("Points (Auto-generate)",INDIRECT("'"&amp;$A24&amp;"'!$A$12:$Z$12"),0),0)),"ER"))</f>
        <v>0</v>
      </c>
      <c r="J24" s="9" t="n">
        <f aca="true">IF($F24=0,"NA",IF($A24=INDIRECT("'"&amp;$A24&amp;"'!$B$1"),IF(VLOOKUP(J$1,INDIRECT("'"&amp;$A24&amp;"'!$A$12:$Z$19"),MATCH("Points (Auto-generate)",INDIRECT("'"&amp;$A24&amp;"'!$A$12:$Z$12"),0),0)="","?",VLOOKUP(J$1,INDIRECT("'"&amp;$A24&amp;"'!$A$12:$Z$19"),MATCH("Points (Auto-generate)",INDIRECT("'"&amp;$A24&amp;"'!$A$12:$Z$12"),0),0)),"ER"))</f>
        <v>5</v>
      </c>
      <c r="K24" s="9" t="str">
        <f aca="true">IF($F24=0,"NA",IF($A24=INDIRECT("'"&amp;$A24&amp;"'!$B$1"),IF(VLOOKUP(K$1,INDIRECT("'"&amp;$A24&amp;"'!$A$12:$Z$19"),MATCH("Points (Auto-generate)",INDIRECT("'"&amp;$A24&amp;"'!$A$12:$Z$12"),0),0)="","?",VLOOKUP(K$1,INDIRECT("'"&amp;$A24&amp;"'!$A$12:$Z$19"),MATCH("Points (Auto-generate)",INDIRECT("'"&amp;$A24&amp;"'!$A$12:$Z$12"),0),0)),"ER"))</f>
        <v>?</v>
      </c>
      <c r="L24" s="9" t="str">
        <f aca="true">IF($F24=0,"NA",IF($A24=INDIRECT("'"&amp;$A24&amp;"'!$B$1"),IF(VLOOKUP(L$1,INDIRECT("'"&amp;$A24&amp;"'!$A$12:$Z$19"),MATCH("Points (Auto-generate)",INDIRECT("'"&amp;$A24&amp;"'!$A$12:$Z$12"),0),0)="","?",VLOOKUP(L$1,INDIRECT("'"&amp;$A24&amp;"'!$A$12:$Z$19"),MATCH("Points (Auto-generate)",INDIRECT("'"&amp;$A24&amp;"'!$A$12:$Z$12"),0),0)),"ER"))</f>
        <v>?</v>
      </c>
      <c r="M24" s="9"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9" t="s">
        <v>139</v>
      </c>
      <c r="B25" s="9" t="str">
        <f aca="false">VLOOKUP($A25,'PARASTATAL Questions'!$A:$J,3,0)&amp;""</f>
        <v>Decentralised Participatory Governance</v>
      </c>
      <c r="C25" s="9" t="str">
        <f aca="false">VLOOKUP($A25,'PARASTATAL Questions'!$A:$J,4,0)&amp;""</f>
        <v>SQ</v>
      </c>
      <c r="D25" s="9" t="str">
        <f aca="false">VLOOKUP($A25,'PARASTATAL Questions'!$A:$J,5,0)&amp;""</f>
        <v>Is the parastatal's territorial/geographic jurisdiction clearly and specifically defined in its enabling legal framework?</v>
      </c>
      <c r="E25" s="9" t="str">
        <f aca="false">VLOOKUP($A25,'PARASTATAL Questions'!$A:$J,7,0)&amp;""</f>
        <v>Institutional Design</v>
      </c>
      <c r="F25" s="9" t="n">
        <f aca="false">VLOOKUP($A25,'PARASTATAL Questions'!$A:$J,6,0)</f>
        <v>5</v>
      </c>
      <c r="G25" s="9" t="n">
        <f aca="true">IF($F25=0,"NA",IF($A25=INDIRECT("'"&amp;$A25&amp;"'!$B$1"),IF(VLOOKUP(G$1,INDIRECT("'"&amp;$A25&amp;"'!$A$12:$Z$19"),MATCH("Points (Auto-generate)",INDIRECT("'"&amp;$A25&amp;"'!$A$12:$Z$12"),0),0)="","?",VLOOKUP(G$1,INDIRECT("'"&amp;$A25&amp;"'!$A$12:$Z$19"),MATCH("Points (Auto-generate)",INDIRECT("'"&amp;$A25&amp;"'!$A$12:$Z$12"),0),0)),"ER"))</f>
        <v>2.5</v>
      </c>
      <c r="H25" s="9" t="str">
        <f aca="true">IF($F25=0,"NA",IF($A25=INDIRECT("'"&amp;$A25&amp;"'!$B$1"),IF(VLOOKUP(H$1,INDIRECT("'"&amp;$A25&amp;"'!$A$12:$Z$19"),MATCH("Points (Auto-generate)",INDIRECT("'"&amp;$A25&amp;"'!$A$12:$Z$12"),0),0)="","?",VLOOKUP(H$1,INDIRECT("'"&amp;$A25&amp;"'!$A$12:$Z$19"),MATCH("Points (Auto-generate)",INDIRECT("'"&amp;$A25&amp;"'!$A$12:$Z$12"),0),0)),"ER"))</f>
        <v>?</v>
      </c>
      <c r="I25" s="9" t="n">
        <f aca="true">IF($F25=0,"NA",IF($A25=INDIRECT("'"&amp;$A25&amp;"'!$B$1"),IF(VLOOKUP(I$1,INDIRECT("'"&amp;$A25&amp;"'!$A$12:$Z$19"),MATCH("Points (Auto-generate)",INDIRECT("'"&amp;$A25&amp;"'!$A$12:$Z$12"),0),0)="","?",VLOOKUP(I$1,INDIRECT("'"&amp;$A25&amp;"'!$A$12:$Z$19"),MATCH("Points (Auto-generate)",INDIRECT("'"&amp;$A25&amp;"'!$A$12:$Z$12"),0),0)),"ER"))</f>
        <v>2.5</v>
      </c>
      <c r="J25" s="9" t="n">
        <f aca="true">IF($F25=0,"NA",IF($A25=INDIRECT("'"&amp;$A25&amp;"'!$B$1"),IF(VLOOKUP(J$1,INDIRECT("'"&amp;$A25&amp;"'!$A$12:$Z$19"),MATCH("Points (Auto-generate)",INDIRECT("'"&amp;$A25&amp;"'!$A$12:$Z$12"),0),0)="","?",VLOOKUP(J$1,INDIRECT("'"&amp;$A25&amp;"'!$A$12:$Z$19"),MATCH("Points (Auto-generate)",INDIRECT("'"&amp;$A25&amp;"'!$A$12:$Z$12"),0),0)),"ER"))</f>
        <v>2.5</v>
      </c>
      <c r="K25" s="9" t="n">
        <f aca="true">IF($F25=0,"NA",IF($A25=INDIRECT("'"&amp;$A25&amp;"'!$B$1"),IF(VLOOKUP(K$1,INDIRECT("'"&amp;$A25&amp;"'!$A$12:$Z$19"),MATCH("Points (Auto-generate)",INDIRECT("'"&amp;$A25&amp;"'!$A$12:$Z$12"),0),0)="","?",VLOOKUP(K$1,INDIRECT("'"&amp;$A25&amp;"'!$A$12:$Z$19"),MATCH("Points (Auto-generate)",INDIRECT("'"&amp;$A25&amp;"'!$A$12:$Z$12"),0),0)),"ER"))</f>
        <v>5</v>
      </c>
      <c r="L25" s="9" t="str">
        <f aca="true">IF($F25=0,"NA",IF($A25=INDIRECT("'"&amp;$A25&amp;"'!$B$1"),IF(VLOOKUP(L$1,INDIRECT("'"&amp;$A25&amp;"'!$A$12:$Z$19"),MATCH("Points (Auto-generate)",INDIRECT("'"&amp;$A25&amp;"'!$A$12:$Z$12"),0),0)="","?",VLOOKUP(L$1,INDIRECT("'"&amp;$A25&amp;"'!$A$12:$Z$19"),MATCH("Points (Auto-generate)",INDIRECT("'"&amp;$A25&amp;"'!$A$12:$Z$12"),0),0)),"ER"))</f>
        <v>?</v>
      </c>
      <c r="M25" s="9"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11" t="s">
        <v>450</v>
      </c>
      <c r="B26" s="11" t="str">
        <f aca="false">VLOOKUP($A26,'PARASTATAL Questions'!$A:$J,3,0)&amp;""</f>
        <v>Decentralised Participatory Governance</v>
      </c>
      <c r="C26" s="11" t="str">
        <f aca="false">VLOOKUP($A26,'PARASTATAL Questions'!$A:$J,4,0)&amp;""</f>
        <v>MQ</v>
      </c>
      <c r="D26" s="11" t="str">
        <f aca="false">VLOOKUP($A26,'PARASTATAL Questions'!$A:$J,5,0)&amp;""</f>
        <v>Is the parastatal accountable to the ULG?</v>
      </c>
      <c r="E26" s="11" t="str">
        <f aca="false">VLOOKUP($A26,'PARASTATAL Questions'!$A:$J,7,0)&amp;""</f>
        <v>Institutional Design</v>
      </c>
      <c r="F26" s="11" t="n">
        <f aca="false">VLOOKUP($A26,'PARASTATAL Questions'!$A:$J,6,0)</f>
        <v>10</v>
      </c>
      <c r="G26" s="11" t="n">
        <f aca="false">IF(OR(G27="ER",G28="ER"),"ER",IF(OR(G27="?",G28="?"),"?",IF(AND(G27="NA",G28="NA"),"NA",SUM(G27,G28)/((G27&lt;&gt;"NA")*$F$27+(G28&lt;&gt;"NA")*$F$28)*$F26)))</f>
        <v>0</v>
      </c>
      <c r="H26" s="11" t="str">
        <f aca="false">IF(OR(H27="ER",H28="ER"),"ER",IF(OR(H27="?",H28="?"),"?",IF(AND(H27="NA",H28="NA"),"NA",SUM(H27,H28)/((H27&lt;&gt;"NA")*$F$27+(H28&lt;&gt;"NA")*$F$28)*$F26)))</f>
        <v>?</v>
      </c>
      <c r="I26" s="11" t="n">
        <f aca="false">IF(OR(I27="ER",I28="ER"),"ER",IF(OR(I27="?",I28="?"),"?",IF(AND(I27="NA",I28="NA"),"NA",SUM(I27,I28)/((I27&lt;&gt;"NA")*$F$27+(I28&lt;&gt;"NA")*$F$28)*$F26)))</f>
        <v>5</v>
      </c>
      <c r="J26" s="11" t="n">
        <f aca="false">IF(OR(J27="ER",J28="ER"),"ER",IF(OR(J27="?",J28="?"),"?",IF(AND(J27="NA",J28="NA"),"NA",SUM(J27,J28)/((J27&lt;&gt;"NA")*$F$27+(J28&lt;&gt;"NA")*$F$28)*$F26)))</f>
        <v>0</v>
      </c>
      <c r="K26" s="11" t="n">
        <f aca="false">IF(OR(K27="ER",K28="ER"),"ER",IF(OR(K27="?",K28="?"),"?",IF(AND(K27="NA",K28="NA"),"NA",SUM(K27,K28)/((K27&lt;&gt;"NA")*$F$27+(K28&lt;&gt;"NA")*$F$28)*$F26)))</f>
        <v>5</v>
      </c>
      <c r="L26" s="11" t="str">
        <f aca="false">IF(OR(L27="ER",L28="ER"),"ER",IF(OR(L27="?",L28="?"),"?",IF(AND(L27="NA",L28="NA"),"NA",SUM(L27,L28)/((L27&lt;&gt;"NA")*$F$27+(L28&lt;&gt;"NA")*$F$28)*$F26)))</f>
        <v>?</v>
      </c>
      <c r="M26" s="11" t="str">
        <f aca="false">IF(OR(M27="ER",M28="ER"),"ER",IF(OR(M27="?",M28="?"),"?",IF(AND(M27="NA",M28="NA"),"NA",SUM(M27,M28)/((M27&lt;&gt;"NA")*$F$27+(M28&lt;&gt;"NA")*$F$28)*$F26)))</f>
        <v>?</v>
      </c>
    </row>
    <row r="27" customFormat="false" ht="15" hidden="false" customHeight="true" outlineLevel="0" collapsed="false">
      <c r="A27" s="9" t="s">
        <v>152</v>
      </c>
      <c r="B27" s="9" t="str">
        <f aca="false">VLOOKUP($A27,'PARASTATAL Questions'!$A:$J,3,0)&amp;""</f>
        <v>Decentralised Participatory Governance</v>
      </c>
      <c r="C27" s="9" t="str">
        <f aca="false">VLOOKUP($A27,'PARASTATAL Questions'!$A:$J,4,0)&amp;""</f>
        <v>SQ</v>
      </c>
      <c r="D27" s="9" t="str">
        <f aca="false">VLOOKUP($A27,'PARASTATAL Questions'!$A:$J,5,0)&amp;""</f>
        <v>Does the ULG have representation on the parastatal's governing board?</v>
      </c>
      <c r="E27" s="9" t="str">
        <f aca="false">VLOOKUP($A27,'PARASTATAL Questions'!$A:$J,7,0)&amp;""</f>
        <v>Institutional Design</v>
      </c>
      <c r="F27" s="9" t="n">
        <f aca="false">VLOOKUP($A27,'PARASTATAL Questions'!$A:$J,6,0)</f>
        <v>5</v>
      </c>
      <c r="G27" s="9" t="n">
        <f aca="true">IF($F27=0,"NA",IF($A27=INDIRECT("'"&amp;$A27&amp;"'!$B$1"),IF(VLOOKUP(G$1,INDIRECT("'"&amp;$A27&amp;"'!$A$12:$Z$19"),MATCH("Points (Auto-generate)",INDIRECT("'"&amp;$A27&amp;"'!$A$12:$Z$12"),0),0)="","?",VLOOKUP(G$1,INDIRECT("'"&amp;$A27&amp;"'!$A$12:$Z$19"),MATCH("Points (Auto-generate)",INDIRECT("'"&amp;$A27&amp;"'!$A$12:$Z$12"),0),0)),"ER"))</f>
        <v>0</v>
      </c>
      <c r="H27" s="9" t="str">
        <f aca="true">IF($F27=0,"NA",IF($A27=INDIRECT("'"&amp;$A27&amp;"'!$B$1"),IF(VLOOKUP(H$1,INDIRECT("'"&amp;$A27&amp;"'!$A$12:$Z$19"),MATCH("Points (Auto-generate)",INDIRECT("'"&amp;$A27&amp;"'!$A$12:$Z$12"),0),0)="","?",VLOOKUP(H$1,INDIRECT("'"&amp;$A27&amp;"'!$A$12:$Z$19"),MATCH("Points (Auto-generate)",INDIRECT("'"&amp;$A27&amp;"'!$A$12:$Z$12"),0),0)),"ER"))</f>
        <v>?</v>
      </c>
      <c r="I27" s="9" t="n">
        <f aca="true">IF($F27=0,"NA",IF($A27=INDIRECT("'"&amp;$A27&amp;"'!$B$1"),IF(VLOOKUP(I$1,INDIRECT("'"&amp;$A27&amp;"'!$A$12:$Z$19"),MATCH("Points (Auto-generate)",INDIRECT("'"&amp;$A27&amp;"'!$A$12:$Z$12"),0),0)="","?",VLOOKUP(I$1,INDIRECT("'"&amp;$A27&amp;"'!$A$12:$Z$19"),MATCH("Points (Auto-generate)",INDIRECT("'"&amp;$A27&amp;"'!$A$12:$Z$12"),0),0)),"ER"))</f>
        <v>5</v>
      </c>
      <c r="J27" s="9" t="n">
        <f aca="true">IF($F27=0,"NA",IF($A27=INDIRECT("'"&amp;$A27&amp;"'!$B$1"),IF(VLOOKUP(J$1,INDIRECT("'"&amp;$A27&amp;"'!$A$12:$Z$19"),MATCH("Points (Auto-generate)",INDIRECT("'"&amp;$A27&amp;"'!$A$12:$Z$12"),0),0)="","?",VLOOKUP(J$1,INDIRECT("'"&amp;$A27&amp;"'!$A$12:$Z$19"),MATCH("Points (Auto-generate)",INDIRECT("'"&amp;$A27&amp;"'!$A$12:$Z$12"),0),0)),"ER"))</f>
        <v>0</v>
      </c>
      <c r="K27" s="9" t="n">
        <f aca="true">IF($F27=0,"NA",IF($A27=INDIRECT("'"&amp;$A27&amp;"'!$B$1"),IF(VLOOKUP(K$1,INDIRECT("'"&amp;$A27&amp;"'!$A$12:$Z$19"),MATCH("Points (Auto-generate)",INDIRECT("'"&amp;$A27&amp;"'!$A$12:$Z$12"),0),0)="","?",VLOOKUP(K$1,INDIRECT("'"&amp;$A27&amp;"'!$A$12:$Z$19"),MATCH("Points (Auto-generate)",INDIRECT("'"&amp;$A27&amp;"'!$A$12:$Z$12"),0),0)),"ER"))</f>
        <v>5</v>
      </c>
      <c r="L27" s="9" t="str">
        <f aca="true">IF($F27=0,"NA",IF($A27=INDIRECT("'"&amp;$A27&amp;"'!$B$1"),IF(VLOOKUP(L$1,INDIRECT("'"&amp;$A27&amp;"'!$A$12:$Z$19"),MATCH("Points (Auto-generate)",INDIRECT("'"&amp;$A27&amp;"'!$A$12:$Z$12"),0),0)="","?",VLOOKUP(L$1,INDIRECT("'"&amp;$A27&amp;"'!$A$12:$Z$19"),MATCH("Points (Auto-generate)",INDIRECT("'"&amp;$A27&amp;"'!$A$12:$Z$12"),0),0)),"ER"))</f>
        <v>?</v>
      </c>
      <c r="M27" s="9"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9" t="s">
        <v>169</v>
      </c>
      <c r="B28" s="9" t="str">
        <f aca="false">VLOOKUP($A28,'PARASTATAL Questions'!$A:$J,3,0)&amp;""</f>
        <v>Decentralised Participatory Governance</v>
      </c>
      <c r="C28" s="9" t="str">
        <f aca="false">VLOOKUP($A28,'PARASTATAL Questions'!$A:$J,4,0)&amp;""</f>
        <v>SQ</v>
      </c>
      <c r="D28" s="9" t="str">
        <f aca="false">VLOOKUP($A28,'PARASTATAL Questions'!$A:$J,5,0)&amp;""</f>
        <v>Is the parastatal mandated to submit its plans, budgets or reports to the ULG/council?</v>
      </c>
      <c r="E28" s="9" t="str">
        <f aca="false">VLOOKUP($A28,'PARASTATAL Questions'!$A:$J,7,0)&amp;""</f>
        <v>Law/Policy</v>
      </c>
      <c r="F28" s="9" t="n">
        <f aca="false">VLOOKUP($A28,'PARASTATAL Questions'!$A:$J,6,0)</f>
        <v>5</v>
      </c>
      <c r="G28" s="9" t="n">
        <f aca="true">IF($F28=0,"NA",IF($A28=INDIRECT("'"&amp;$A28&amp;"'!$B$1"),IF(VLOOKUP(G$1,INDIRECT("'"&amp;$A28&amp;"'!$A$12:$Z$19"),MATCH("Points (Auto-generate)",INDIRECT("'"&amp;$A28&amp;"'!$A$12:$Z$12"),0),0)="","?",VLOOKUP(G$1,INDIRECT("'"&amp;$A28&amp;"'!$A$12:$Z$19"),MATCH("Points (Auto-generate)",INDIRECT("'"&amp;$A28&amp;"'!$A$12:$Z$12"),0),0)),"ER"))</f>
        <v>0</v>
      </c>
      <c r="H28" s="9" t="str">
        <f aca="true">IF($F28=0,"NA",IF($A28=INDIRECT("'"&amp;$A28&amp;"'!$B$1"),IF(VLOOKUP(H$1,INDIRECT("'"&amp;$A28&amp;"'!$A$12:$Z$19"),MATCH("Points (Auto-generate)",INDIRECT("'"&amp;$A28&amp;"'!$A$12:$Z$12"),0),0)="","?",VLOOKUP(H$1,INDIRECT("'"&amp;$A28&amp;"'!$A$12:$Z$19"),MATCH("Points (Auto-generate)",INDIRECT("'"&amp;$A28&amp;"'!$A$12:$Z$12"),0),0)),"ER"))</f>
        <v>?</v>
      </c>
      <c r="I28" s="9" t="n">
        <f aca="true">IF($F28=0,"NA",IF($A28=INDIRECT("'"&amp;$A28&amp;"'!$B$1"),IF(VLOOKUP(I$1,INDIRECT("'"&amp;$A28&amp;"'!$A$12:$Z$19"),MATCH("Points (Auto-generate)",INDIRECT("'"&amp;$A28&amp;"'!$A$12:$Z$12"),0),0)="","?",VLOOKUP(I$1,INDIRECT("'"&amp;$A28&amp;"'!$A$12:$Z$19"),MATCH("Points (Auto-generate)",INDIRECT("'"&amp;$A28&amp;"'!$A$12:$Z$12"),0),0)),"ER"))</f>
        <v>0</v>
      </c>
      <c r="J28" s="9" t="n">
        <f aca="true">IF($F28=0,"NA",IF($A28=INDIRECT("'"&amp;$A28&amp;"'!$B$1"),IF(VLOOKUP(J$1,INDIRECT("'"&amp;$A28&amp;"'!$A$12:$Z$19"),MATCH("Points (Auto-generate)",INDIRECT("'"&amp;$A28&amp;"'!$A$12:$Z$12"),0),0)="","?",VLOOKUP(J$1,INDIRECT("'"&amp;$A28&amp;"'!$A$12:$Z$19"),MATCH("Points (Auto-generate)",INDIRECT("'"&amp;$A28&amp;"'!$A$12:$Z$12"),0),0)),"ER"))</f>
        <v>0</v>
      </c>
      <c r="K28" s="9" t="n">
        <f aca="true">IF($F28=0,"NA",IF($A28=INDIRECT("'"&amp;$A28&amp;"'!$B$1"),IF(VLOOKUP(K$1,INDIRECT("'"&amp;$A28&amp;"'!$A$12:$Z$19"),MATCH("Points (Auto-generate)",INDIRECT("'"&amp;$A28&amp;"'!$A$12:$Z$12"),0),0)="","?",VLOOKUP(K$1,INDIRECT("'"&amp;$A28&amp;"'!$A$12:$Z$19"),MATCH("Points (Auto-generate)",INDIRECT("'"&amp;$A28&amp;"'!$A$12:$Z$12"),0),0)),"ER"))</f>
        <v>0</v>
      </c>
      <c r="L28" s="9" t="str">
        <f aca="true">IF($F28=0,"NA",IF($A28=INDIRECT("'"&amp;$A28&amp;"'!$B$1"),IF(VLOOKUP(L$1,INDIRECT("'"&amp;$A28&amp;"'!$A$12:$Z$19"),MATCH("Points (Auto-generate)",INDIRECT("'"&amp;$A28&amp;"'!$A$12:$Z$12"),0),0)="","?",VLOOKUP(L$1,INDIRECT("'"&amp;$A28&amp;"'!$A$12:$Z$19"),MATCH("Points (Auto-generate)",INDIRECT("'"&amp;$A28&amp;"'!$A$12:$Z$12"),0),0)),"ER"))</f>
        <v>?</v>
      </c>
      <c r="M28" s="9"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11" t="s">
        <v>184</v>
      </c>
      <c r="B29" s="11" t="str">
        <f aca="false">VLOOKUP($A29,'PARASTATAL Questions'!$A:$J,3,0)&amp;""</f>
        <v>Decentralised Participatory Governance</v>
      </c>
      <c r="C29" s="11" t="str">
        <f aca="false">VLOOKUP($A29,'PARASTATAL Questions'!$A:$J,4,0)&amp;""</f>
        <v>MQ</v>
      </c>
      <c r="D29" s="11" t="str">
        <f aca="false">VLOOKUP($A29,'PARASTATAL Questions'!$A:$J,5,0)&amp;""</f>
        <v>Does the parastatal maintain an active and functional website?</v>
      </c>
      <c r="E29" s="11" t="str">
        <f aca="false">VLOOKUP($A29,'PARASTATAL Questions'!$A:$J,7,0)&amp;""</f>
        <v>Implementation</v>
      </c>
      <c r="F29" s="11" t="n">
        <f aca="false">VLOOKUP($A29,'PARASTATAL Questions'!$A:$J,6,0)</f>
        <v>10</v>
      </c>
      <c r="G29" s="11" t="str">
        <f aca="true">IF($F29=0,"NA",IF($A29=INDIRECT("'"&amp;$A29&amp;"'!$B$1"),IF(VLOOKUP(G$1,INDIRECT("'"&amp;$A29&amp;"'!$A$12:$Z$19"),MATCH("Points (Auto-generate)",INDIRECT("'"&amp;$A29&amp;"'!$A$12:$Z$12"),0),0)="","?",VLOOKUP(G$1,INDIRECT("'"&amp;$A29&amp;"'!$A$12:$Z$19"),MATCH("Points (Auto-generate)",INDIRECT("'"&amp;$A29&amp;"'!$A$12:$Z$12"),0),0)),"ER"))</f>
        <v>?</v>
      </c>
      <c r="H29" s="11" t="n">
        <f aca="true">IF($F29=0,"NA",IF($A29=INDIRECT("'"&amp;$A29&amp;"'!$B$1"),IF(VLOOKUP(H$1,INDIRECT("'"&amp;$A29&amp;"'!$A$12:$Z$19"),MATCH("Points (Auto-generate)",INDIRECT("'"&amp;$A29&amp;"'!$A$12:$Z$12"),0),0)="","?",VLOOKUP(H$1,INDIRECT("'"&amp;$A29&amp;"'!$A$12:$Z$19"),MATCH("Points (Auto-generate)",INDIRECT("'"&amp;$A29&amp;"'!$A$12:$Z$12"),0),0)),"ER"))</f>
        <v>10</v>
      </c>
      <c r="I29" s="11" t="str">
        <f aca="true">IF($F29=0,"NA",IF($A29=INDIRECT("'"&amp;$A29&amp;"'!$B$1"),IF(VLOOKUP(I$1,INDIRECT("'"&amp;$A29&amp;"'!$A$12:$Z$19"),MATCH("Points (Auto-generate)",INDIRECT("'"&amp;$A29&amp;"'!$A$12:$Z$12"),0),0)="","?",VLOOKUP(I$1,INDIRECT("'"&amp;$A29&amp;"'!$A$12:$Z$19"),MATCH("Points (Auto-generate)",INDIRECT("'"&amp;$A29&amp;"'!$A$12:$Z$12"),0),0)),"ER"))</f>
        <v>?</v>
      </c>
      <c r="J29" s="11" t="str">
        <f aca="true">IF($F29=0,"NA",IF($A29=INDIRECT("'"&amp;$A29&amp;"'!$B$1"),IF(VLOOKUP(J$1,INDIRECT("'"&amp;$A29&amp;"'!$A$12:$Z$19"),MATCH("Points (Auto-generate)",INDIRECT("'"&amp;$A29&amp;"'!$A$12:$Z$12"),0),0)="","?",VLOOKUP(J$1,INDIRECT("'"&amp;$A29&amp;"'!$A$12:$Z$19"),MATCH("Points (Auto-generate)",INDIRECT("'"&amp;$A29&amp;"'!$A$12:$Z$12"),0),0)),"ER"))</f>
        <v>?</v>
      </c>
      <c r="K29" s="11" t="n">
        <f aca="true">IF($F29=0,"NA",IF($A29=INDIRECT("'"&amp;$A29&amp;"'!$B$1"),IF(VLOOKUP(K$1,INDIRECT("'"&amp;$A29&amp;"'!$A$12:$Z$19"),MATCH("Points (Auto-generate)",INDIRECT("'"&amp;$A29&amp;"'!$A$12:$Z$12"),0),0)="","?",VLOOKUP(K$1,INDIRECT("'"&amp;$A29&amp;"'!$A$12:$Z$19"),MATCH("Points (Auto-generate)",INDIRECT("'"&amp;$A29&amp;"'!$A$12:$Z$12"),0),0)),"ER"))</f>
        <v>10</v>
      </c>
      <c r="L29" s="11" t="str">
        <f aca="true">IF($F29=0,"NA",IF($A29=INDIRECT("'"&amp;$A29&amp;"'!$B$1"),IF(VLOOKUP(L$1,INDIRECT("'"&amp;$A29&amp;"'!$A$12:$Z$19"),MATCH("Points (Auto-generate)",INDIRECT("'"&amp;$A29&amp;"'!$A$12:$Z$12"),0),0)="","?",VLOOKUP(L$1,INDIRECT("'"&amp;$A29&amp;"'!$A$12:$Z$19"),MATCH("Points (Auto-generate)",INDIRECT("'"&amp;$A29&amp;"'!$A$12:$Z$12"),0),0)),"ER"))</f>
        <v>?</v>
      </c>
      <c r="M29" s="11" t="str">
        <f aca="true">IF($F29=0,"NA",IF($A29=INDIRECT("'"&amp;$A29&amp;"'!$B$1"),IF(VLOOKUP(M$1,INDIRECT("'"&amp;$A29&amp;"'!$A$12:$Z$19"),MATCH("Points (Auto-generate)",INDIRECT("'"&amp;$A29&amp;"'!$A$12:$Z$12"),0),0)="","?",VLOOKUP(M$1,INDIRECT("'"&amp;$A29&amp;"'!$A$12:$Z$19"),MATCH("Points (Auto-generate)",INDIRECT("'"&amp;$A29&amp;"'!$A$12:$Z$12"),0),0)),"ER"))</f>
        <v>?</v>
      </c>
    </row>
    <row r="30" customFormat="false" ht="15" hidden="false" customHeight="true" outlineLevel="0" collapsed="false">
      <c r="A30" s="11" t="s">
        <v>451</v>
      </c>
      <c r="B30" s="11" t="str">
        <f aca="false">VLOOKUP($A30,'PARASTATAL Questions'!$A:$J,3,0)&amp;""</f>
        <v>Decentralised Participatory Governance</v>
      </c>
      <c r="C30" s="11" t="str">
        <f aca="false">VLOOKUP($A30,'PARASTATAL Questions'!$A:$J,4,0)&amp;""</f>
        <v>MQ</v>
      </c>
      <c r="D30" s="11" t="str">
        <f aca="false">VLOOKUP($A30,'PARASTATAL Questions'!$A:$J,5,0)&amp;""</f>
        <v>Are the parastatal's key financial, governance, and operational documents available on the website and published in accessible, open-data formats?</v>
      </c>
      <c r="E30" s="11" t="str">
        <f aca="false">VLOOKUP($A30,'PARASTATAL Questions'!$A:$J,7,0)&amp;""</f>
        <v>Implementation</v>
      </c>
      <c r="F30" s="11" t="n">
        <f aca="false">VLOOKUP($A30,'PARASTATAL Questions'!$A:$J,6,0)</f>
        <v>10</v>
      </c>
      <c r="G30" s="11"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11"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11"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11"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11"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11"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11"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9" t="s">
        <v>209</v>
      </c>
      <c r="B31" s="9" t="str">
        <f aca="false">VLOOKUP($A31,'PARASTATAL Questions'!$A:$J,3,0)&amp;""</f>
        <v>Decentralised Participatory Governance</v>
      </c>
      <c r="C31" s="9" t="str">
        <f aca="false">VLOOKUP($A31,'PARASTATAL Questions'!$A:$J,4,0)&amp;""</f>
        <v>SQ</v>
      </c>
      <c r="D31" s="9" t="str">
        <f aca="false">VLOOKUP($A31,'PARASTATAL Questions'!$A:$J,5,0)&amp;""</f>
        <v>Annual budget</v>
      </c>
      <c r="E31" s="9" t="str">
        <f aca="false">VLOOKUP($A31,'PARASTATAL Questions'!$A:$J,7,0)&amp;""</f>
        <v>Implementation</v>
      </c>
      <c r="F31" s="9" t="n">
        <f aca="false">VLOOKUP($A31,'PARASTATAL Questions'!$A:$J,6,0)</f>
        <v>1</v>
      </c>
      <c r="G31" s="9" t="str">
        <f aca="true">IF($F31=0,"NA",IF($A31=INDIRECT("'"&amp;$A31&amp;"'!$B$1"),IF(VLOOKUP(G$1,INDIRECT("'"&amp;$A31&amp;"'!$A$12:$Z$19"),MATCH("Points (Auto-generate)",INDIRECT("'"&amp;$A31&amp;"'!$A$12:$Z$12"),0),0)="","?",VLOOKUP(G$1,INDIRECT("'"&amp;$A31&amp;"'!$A$12:$Z$19"),MATCH("Points (Auto-generate)",INDIRECT("'"&amp;$A31&amp;"'!$A$12:$Z$12"),0),0)),"ER"))</f>
        <v>?</v>
      </c>
      <c r="H31" s="9" t="str">
        <f aca="true">IF($F31=0,"NA",IF($A31=INDIRECT("'"&amp;$A31&amp;"'!$B$1"),IF(VLOOKUP(H$1,INDIRECT("'"&amp;$A31&amp;"'!$A$12:$Z$19"),MATCH("Points (Auto-generate)",INDIRECT("'"&amp;$A31&amp;"'!$A$12:$Z$12"),0),0)="","?",VLOOKUP(H$1,INDIRECT("'"&amp;$A31&amp;"'!$A$12:$Z$19"),MATCH("Points (Auto-generate)",INDIRECT("'"&amp;$A31&amp;"'!$A$12:$Z$12"),0),0)),"ER"))</f>
        <v>?</v>
      </c>
      <c r="I31" s="9" t="str">
        <f aca="true">IF($F31=0,"NA",IF($A31=INDIRECT("'"&amp;$A31&amp;"'!$B$1"),IF(VLOOKUP(I$1,INDIRECT("'"&amp;$A31&amp;"'!$A$12:$Z$19"),MATCH("Points (Auto-generate)",INDIRECT("'"&amp;$A31&amp;"'!$A$12:$Z$12"),0),0)="","?",VLOOKUP(I$1,INDIRECT("'"&amp;$A31&amp;"'!$A$12:$Z$19"),MATCH("Points (Auto-generate)",INDIRECT("'"&amp;$A31&amp;"'!$A$12:$Z$12"),0),0)),"ER"))</f>
        <v>?</v>
      </c>
      <c r="J31" s="9" t="str">
        <f aca="true">IF($F31=0,"NA",IF($A31=INDIRECT("'"&amp;$A31&amp;"'!$B$1"),IF(VLOOKUP(J$1,INDIRECT("'"&amp;$A31&amp;"'!$A$12:$Z$19"),MATCH("Points (Auto-generate)",INDIRECT("'"&amp;$A31&amp;"'!$A$12:$Z$12"),0),0)="","?",VLOOKUP(J$1,INDIRECT("'"&amp;$A31&amp;"'!$A$12:$Z$19"),MATCH("Points (Auto-generate)",INDIRECT("'"&amp;$A31&amp;"'!$A$12:$Z$12"),0),0)),"ER"))</f>
        <v>?</v>
      </c>
      <c r="K31" s="9" t="str">
        <f aca="true">IF($F31=0,"NA",IF($A31=INDIRECT("'"&amp;$A31&amp;"'!$B$1"),IF(VLOOKUP(K$1,INDIRECT("'"&amp;$A31&amp;"'!$A$12:$Z$19"),MATCH("Points (Auto-generate)",INDIRECT("'"&amp;$A31&amp;"'!$A$12:$Z$12"),0),0)="","?",VLOOKUP(K$1,INDIRECT("'"&amp;$A31&amp;"'!$A$12:$Z$19"),MATCH("Points (Auto-generate)",INDIRECT("'"&amp;$A31&amp;"'!$A$12:$Z$12"),0),0)),"ER"))</f>
        <v>?</v>
      </c>
      <c r="L31" s="9" t="str">
        <f aca="true">IF($F31=0,"NA",IF($A31=INDIRECT("'"&amp;$A31&amp;"'!$B$1"),IF(VLOOKUP(L$1,INDIRECT("'"&amp;$A31&amp;"'!$A$12:$Z$19"),MATCH("Points (Auto-generate)",INDIRECT("'"&amp;$A31&amp;"'!$A$12:$Z$12"),0),0)="","?",VLOOKUP(L$1,INDIRECT("'"&amp;$A31&amp;"'!$A$12:$Z$19"),MATCH("Points (Auto-generate)",INDIRECT("'"&amp;$A31&amp;"'!$A$12:$Z$12"),0),0)),"ER"))</f>
        <v>?</v>
      </c>
      <c r="M31" s="9"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9" t="s">
        <v>217</v>
      </c>
      <c r="B32" s="9" t="str">
        <f aca="false">VLOOKUP($A32,'PARASTATAL Questions'!$A:$J,3,0)&amp;""</f>
        <v>Decentralised Participatory Governance</v>
      </c>
      <c r="C32" s="9" t="str">
        <f aca="false">VLOOKUP($A32,'PARASTATAL Questions'!$A:$J,4,0)&amp;""</f>
        <v>SQ</v>
      </c>
      <c r="D32" s="9" t="str">
        <f aca="false">VLOOKUP($A32,'PARASTATAL Questions'!$A:$J,5,0)&amp;""</f>
        <v>Audited annual accounts</v>
      </c>
      <c r="E32" s="9" t="str">
        <f aca="false">VLOOKUP($A32,'PARASTATAL Questions'!$A:$J,7,0)&amp;""</f>
        <v>Implementation</v>
      </c>
      <c r="F32" s="9" t="n">
        <f aca="false">VLOOKUP($A32,'PARASTATAL Questions'!$A:$J,6,0)</f>
        <v>1</v>
      </c>
      <c r="G32" s="9" t="str">
        <f aca="true">IF($F32=0,"NA",IF($A32=INDIRECT("'"&amp;$A32&amp;"'!$B$1"),IF(VLOOKUP(G$1,INDIRECT("'"&amp;$A32&amp;"'!$A$12:$Z$19"),MATCH("Points (Auto-generate)",INDIRECT("'"&amp;$A32&amp;"'!$A$12:$Z$12"),0),0)="","?",VLOOKUP(G$1,INDIRECT("'"&amp;$A32&amp;"'!$A$12:$Z$19"),MATCH("Points (Auto-generate)",INDIRECT("'"&amp;$A32&amp;"'!$A$12:$Z$12"),0),0)),"ER"))</f>
        <v>?</v>
      </c>
      <c r="H32" s="9" t="str">
        <f aca="true">IF($F32=0,"NA",IF($A32=INDIRECT("'"&amp;$A32&amp;"'!$B$1"),IF(VLOOKUP(H$1,INDIRECT("'"&amp;$A32&amp;"'!$A$12:$Z$19"),MATCH("Points (Auto-generate)",INDIRECT("'"&amp;$A32&amp;"'!$A$12:$Z$12"),0),0)="","?",VLOOKUP(H$1,INDIRECT("'"&amp;$A32&amp;"'!$A$12:$Z$19"),MATCH("Points (Auto-generate)",INDIRECT("'"&amp;$A32&amp;"'!$A$12:$Z$12"),0),0)),"ER"))</f>
        <v>?</v>
      </c>
      <c r="I32" s="9" t="str">
        <f aca="true">IF($F32=0,"NA",IF($A32=INDIRECT("'"&amp;$A32&amp;"'!$B$1"),IF(VLOOKUP(I$1,INDIRECT("'"&amp;$A32&amp;"'!$A$12:$Z$19"),MATCH("Points (Auto-generate)",INDIRECT("'"&amp;$A32&amp;"'!$A$12:$Z$12"),0),0)="","?",VLOOKUP(I$1,INDIRECT("'"&amp;$A32&amp;"'!$A$12:$Z$19"),MATCH("Points (Auto-generate)",INDIRECT("'"&amp;$A32&amp;"'!$A$12:$Z$12"),0),0)),"ER"))</f>
        <v>?</v>
      </c>
      <c r="J32" s="9" t="n">
        <f aca="true">IF($F32=0,"NA",IF($A32=INDIRECT("'"&amp;$A32&amp;"'!$B$1"),IF(VLOOKUP(J$1,INDIRECT("'"&amp;$A32&amp;"'!$A$12:$Z$19"),MATCH("Points (Auto-generate)",INDIRECT("'"&amp;$A32&amp;"'!$A$12:$Z$12"),0),0)="","?",VLOOKUP(J$1,INDIRECT("'"&amp;$A32&amp;"'!$A$12:$Z$19"),MATCH("Points (Auto-generate)",INDIRECT("'"&amp;$A32&amp;"'!$A$12:$Z$12"),0),0)),"ER"))</f>
        <v>0</v>
      </c>
      <c r="K32" s="9" t="str">
        <f aca="true">IF($F32=0,"NA",IF($A32=INDIRECT("'"&amp;$A32&amp;"'!$B$1"),IF(VLOOKUP(K$1,INDIRECT("'"&amp;$A32&amp;"'!$A$12:$Z$19"),MATCH("Points (Auto-generate)",INDIRECT("'"&amp;$A32&amp;"'!$A$12:$Z$12"),0),0)="","?",VLOOKUP(K$1,INDIRECT("'"&amp;$A32&amp;"'!$A$12:$Z$19"),MATCH("Points (Auto-generate)",INDIRECT("'"&amp;$A32&amp;"'!$A$12:$Z$12"),0),0)),"ER"))</f>
        <v>?</v>
      </c>
      <c r="L32" s="9" t="str">
        <f aca="true">IF($F32=0,"NA",IF($A32=INDIRECT("'"&amp;$A32&amp;"'!$B$1"),IF(VLOOKUP(L$1,INDIRECT("'"&amp;$A32&amp;"'!$A$12:$Z$19"),MATCH("Points (Auto-generate)",INDIRECT("'"&amp;$A32&amp;"'!$A$12:$Z$12"),0),0)="","?",VLOOKUP(L$1,INDIRECT("'"&amp;$A32&amp;"'!$A$12:$Z$19"),MATCH("Points (Auto-generate)",INDIRECT("'"&amp;$A32&amp;"'!$A$12:$Z$12"),0),0)),"ER"))</f>
        <v>?</v>
      </c>
      <c r="M32" s="9" t="str">
        <f aca="true">IF($F32=0,"NA",IF($A32=INDIRECT("'"&amp;$A32&amp;"'!$B$1"),IF(VLOOKUP(M$1,INDIRECT("'"&amp;$A32&amp;"'!$A$12:$Z$19"),MATCH("Points (Auto-generate)",INDIRECT("'"&amp;$A32&amp;"'!$A$12:$Z$12"),0),0)="","?",VLOOKUP(M$1,INDIRECT("'"&amp;$A32&amp;"'!$A$12:$Z$19"),MATCH("Points (Auto-generate)",INDIRECT("'"&amp;$A32&amp;"'!$A$12:$Z$12"),0),0)),"ER"))</f>
        <v>?</v>
      </c>
    </row>
    <row r="33" customFormat="false" ht="15" hidden="false" customHeight="true" outlineLevel="0" collapsed="false">
      <c r="A33" s="9" t="s">
        <v>226</v>
      </c>
      <c r="B33" s="9" t="str">
        <f aca="false">VLOOKUP($A33,'PARASTATAL Questions'!$A:$J,3,0)&amp;""</f>
        <v>Decentralised Participatory Governance</v>
      </c>
      <c r="C33" s="9" t="str">
        <f aca="false">VLOOKUP($A33,'PARASTATAL Questions'!$A:$J,4,0)&amp;""</f>
        <v>SQ</v>
      </c>
      <c r="D33" s="9" t="str">
        <f aca="false">VLOOKUP($A33,'PARASTATAL Questions'!$A:$J,5,0)&amp;""</f>
        <v>Annual report</v>
      </c>
      <c r="E33" s="9" t="str">
        <f aca="false">VLOOKUP($A33,'PARASTATAL Questions'!$A:$J,7,0)&amp;""</f>
        <v>Implementation</v>
      </c>
      <c r="F33" s="9" t="n">
        <f aca="false">VLOOKUP($A33,'PARASTATAL Questions'!$A:$J,6,0)</f>
        <v>1</v>
      </c>
      <c r="G33" s="9" t="str">
        <f aca="true">IF($F33=0,"NA",IF($A33=INDIRECT("'"&amp;$A33&amp;"'!$B$1"),IF(VLOOKUP(G$1,INDIRECT("'"&amp;$A33&amp;"'!$A$12:$Z$19"),MATCH("Points (Auto-generate)",INDIRECT("'"&amp;$A33&amp;"'!$A$12:$Z$12"),0),0)="","?",VLOOKUP(G$1,INDIRECT("'"&amp;$A33&amp;"'!$A$12:$Z$19"),MATCH("Points (Auto-generate)",INDIRECT("'"&amp;$A33&amp;"'!$A$12:$Z$12"),0),0)),"ER"))</f>
        <v>?</v>
      </c>
      <c r="H33" s="9" t="str">
        <f aca="true">IF($F33=0,"NA",IF($A33=INDIRECT("'"&amp;$A33&amp;"'!$B$1"),IF(VLOOKUP(H$1,INDIRECT("'"&amp;$A33&amp;"'!$A$12:$Z$19"),MATCH("Points (Auto-generate)",INDIRECT("'"&amp;$A33&amp;"'!$A$12:$Z$12"),0),0)="","?",VLOOKUP(H$1,INDIRECT("'"&amp;$A33&amp;"'!$A$12:$Z$19"),MATCH("Points (Auto-generate)",INDIRECT("'"&amp;$A33&amp;"'!$A$12:$Z$12"),0),0)),"ER"))</f>
        <v>?</v>
      </c>
      <c r="I33" s="9" t="str">
        <f aca="true">IF($F33=0,"NA",IF($A33=INDIRECT("'"&amp;$A33&amp;"'!$B$1"),IF(VLOOKUP(I$1,INDIRECT("'"&amp;$A33&amp;"'!$A$12:$Z$19"),MATCH("Points (Auto-generate)",INDIRECT("'"&amp;$A33&amp;"'!$A$12:$Z$12"),0),0)="","?",VLOOKUP(I$1,INDIRECT("'"&amp;$A33&amp;"'!$A$12:$Z$19"),MATCH("Points (Auto-generate)",INDIRECT("'"&amp;$A33&amp;"'!$A$12:$Z$12"),0),0)),"ER"))</f>
        <v>?</v>
      </c>
      <c r="J33" s="9" t="str">
        <f aca="true">IF($F33=0,"NA",IF($A33=INDIRECT("'"&amp;$A33&amp;"'!$B$1"),IF(VLOOKUP(J$1,INDIRECT("'"&amp;$A33&amp;"'!$A$12:$Z$19"),MATCH("Points (Auto-generate)",INDIRECT("'"&amp;$A33&amp;"'!$A$12:$Z$12"),0),0)="","?",VLOOKUP(J$1,INDIRECT("'"&amp;$A33&amp;"'!$A$12:$Z$19"),MATCH("Points (Auto-generate)",INDIRECT("'"&amp;$A33&amp;"'!$A$12:$Z$12"),0),0)),"ER"))</f>
        <v>?</v>
      </c>
      <c r="K33" s="9" t="str">
        <f aca="true">IF($F33=0,"NA",IF($A33=INDIRECT("'"&amp;$A33&amp;"'!$B$1"),IF(VLOOKUP(K$1,INDIRECT("'"&amp;$A33&amp;"'!$A$12:$Z$19"),MATCH("Points (Auto-generate)",INDIRECT("'"&amp;$A33&amp;"'!$A$12:$Z$12"),0),0)="","?",VLOOKUP(K$1,INDIRECT("'"&amp;$A33&amp;"'!$A$12:$Z$19"),MATCH("Points (Auto-generate)",INDIRECT("'"&amp;$A33&amp;"'!$A$12:$Z$12"),0),0)),"ER"))</f>
        <v>?</v>
      </c>
      <c r="L33" s="9" t="str">
        <f aca="true">IF($F33=0,"NA",IF($A33=INDIRECT("'"&amp;$A33&amp;"'!$B$1"),IF(VLOOKUP(L$1,INDIRECT("'"&amp;$A33&amp;"'!$A$12:$Z$19"),MATCH("Points (Auto-generate)",INDIRECT("'"&amp;$A33&amp;"'!$A$12:$Z$12"),0),0)="","?",VLOOKUP(L$1,INDIRECT("'"&amp;$A33&amp;"'!$A$12:$Z$19"),MATCH("Points (Auto-generate)",INDIRECT("'"&amp;$A33&amp;"'!$A$12:$Z$12"),0),0)),"ER"))</f>
        <v>?</v>
      </c>
      <c r="M33" s="9"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9" t="s">
        <v>235</v>
      </c>
      <c r="B34" s="9" t="str">
        <f aca="false">VLOOKUP($A34,'PARASTATAL Questions'!$A:$J,3,0)&amp;""</f>
        <v>Decentralised Participatory Governance</v>
      </c>
      <c r="C34" s="9" t="str">
        <f aca="false">VLOOKUP($A34,'PARASTATAL Questions'!$A:$J,4,0)&amp;""</f>
        <v>SQ</v>
      </c>
      <c r="D34" s="9" t="str">
        <f aca="false">VLOOKUP($A34,'PARASTATAL Questions'!$A:$J,5,0)&amp;""</f>
        <v>Meeting minutes of governing board</v>
      </c>
      <c r="E34" s="9" t="str">
        <f aca="false">VLOOKUP($A34,'PARASTATAL Questions'!$A:$J,7,0)&amp;""</f>
        <v>Implementation</v>
      </c>
      <c r="F34" s="9" t="n">
        <f aca="false">VLOOKUP($A34,'PARASTATAL Questions'!$A:$J,6,0)</f>
        <v>1</v>
      </c>
      <c r="G34" s="9" t="str">
        <f aca="true">IF($F34=0,"NA",IF($A34=INDIRECT("'"&amp;$A34&amp;"'!$B$1"),IF(VLOOKUP(G$1,INDIRECT("'"&amp;$A34&amp;"'!$A$12:$Z$19"),MATCH("Points (Auto-generate)",INDIRECT("'"&amp;$A34&amp;"'!$A$12:$Z$12"),0),0)="","?",VLOOKUP(G$1,INDIRECT("'"&amp;$A34&amp;"'!$A$12:$Z$19"),MATCH("Points (Auto-generate)",INDIRECT("'"&amp;$A34&amp;"'!$A$12:$Z$12"),0),0)),"ER"))</f>
        <v>?</v>
      </c>
      <c r="H34" s="9" t="str">
        <f aca="true">IF($F34=0,"NA",IF($A34=INDIRECT("'"&amp;$A34&amp;"'!$B$1"),IF(VLOOKUP(H$1,INDIRECT("'"&amp;$A34&amp;"'!$A$12:$Z$19"),MATCH("Points (Auto-generate)",INDIRECT("'"&amp;$A34&amp;"'!$A$12:$Z$12"),0),0)="","?",VLOOKUP(H$1,INDIRECT("'"&amp;$A34&amp;"'!$A$12:$Z$19"),MATCH("Points (Auto-generate)",INDIRECT("'"&amp;$A34&amp;"'!$A$12:$Z$12"),0),0)),"ER"))</f>
        <v>?</v>
      </c>
      <c r="I34" s="9" t="str">
        <f aca="true">IF($F34=0,"NA",IF($A34=INDIRECT("'"&amp;$A34&amp;"'!$B$1"),IF(VLOOKUP(I$1,INDIRECT("'"&amp;$A34&amp;"'!$A$12:$Z$19"),MATCH("Points (Auto-generate)",INDIRECT("'"&amp;$A34&amp;"'!$A$12:$Z$12"),0),0)="","?",VLOOKUP(I$1,INDIRECT("'"&amp;$A34&amp;"'!$A$12:$Z$19"),MATCH("Points (Auto-generate)",INDIRECT("'"&amp;$A34&amp;"'!$A$12:$Z$12"),0),0)),"ER"))</f>
        <v>?</v>
      </c>
      <c r="J34" s="9" t="str">
        <f aca="true">IF($F34=0,"NA",IF($A34=INDIRECT("'"&amp;$A34&amp;"'!$B$1"),IF(VLOOKUP(J$1,INDIRECT("'"&amp;$A34&amp;"'!$A$12:$Z$19"),MATCH("Points (Auto-generate)",INDIRECT("'"&amp;$A34&amp;"'!$A$12:$Z$12"),0),0)="","?",VLOOKUP(J$1,INDIRECT("'"&amp;$A34&amp;"'!$A$12:$Z$19"),MATCH("Points (Auto-generate)",INDIRECT("'"&amp;$A34&amp;"'!$A$12:$Z$12"),0),0)),"ER"))</f>
        <v>?</v>
      </c>
      <c r="K34" s="9" t="str">
        <f aca="true">IF($F34=0,"NA",IF($A34=INDIRECT("'"&amp;$A34&amp;"'!$B$1"),IF(VLOOKUP(K$1,INDIRECT("'"&amp;$A34&amp;"'!$A$12:$Z$19"),MATCH("Points (Auto-generate)",INDIRECT("'"&amp;$A34&amp;"'!$A$12:$Z$12"),0),0)="","?",VLOOKUP(K$1,INDIRECT("'"&amp;$A34&amp;"'!$A$12:$Z$19"),MATCH("Points (Auto-generate)",INDIRECT("'"&amp;$A34&amp;"'!$A$12:$Z$12"),0),0)),"ER"))</f>
        <v>?</v>
      </c>
      <c r="L34" s="9" t="str">
        <f aca="true">IF($F34=0,"NA",IF($A34=INDIRECT("'"&amp;$A34&amp;"'!$B$1"),IF(VLOOKUP(L$1,INDIRECT("'"&amp;$A34&amp;"'!$A$12:$Z$19"),MATCH("Points (Auto-generate)",INDIRECT("'"&amp;$A34&amp;"'!$A$12:$Z$12"),0),0)="","?",VLOOKUP(L$1,INDIRECT("'"&amp;$A34&amp;"'!$A$12:$Z$19"),MATCH("Points (Auto-generate)",INDIRECT("'"&amp;$A34&amp;"'!$A$12:$Z$12"),0),0)),"ER"))</f>
        <v>?</v>
      </c>
      <c r="M34" s="9"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9" t="s">
        <v>242</v>
      </c>
      <c r="B35" s="9" t="str">
        <f aca="false">VLOOKUP($A35,'PARASTATAL Questions'!$A:$J,3,0)&amp;""</f>
        <v>Decentralised Participatory Governance</v>
      </c>
      <c r="C35" s="9" t="str">
        <f aca="false">VLOOKUP($A35,'PARASTATAL Questions'!$A:$J,4,0)&amp;""</f>
        <v>SQ</v>
      </c>
      <c r="D35" s="9" t="str">
        <f aca="false">VLOOKUP($A35,'PARASTATAL Questions'!$A:$J,5,0)&amp;""</f>
        <v>Organisation and staffing information</v>
      </c>
      <c r="E35" s="9" t="str">
        <f aca="false">VLOOKUP($A35,'PARASTATAL Questions'!$A:$J,7,0)&amp;""</f>
        <v>Implementation</v>
      </c>
      <c r="F35" s="9" t="n">
        <f aca="false">VLOOKUP($A35,'PARASTATAL Questions'!$A:$J,6,0)</f>
        <v>1</v>
      </c>
      <c r="G35" s="9" t="str">
        <f aca="true">IF($F35=0,"NA",IF($A35=INDIRECT("'"&amp;$A35&amp;"'!$B$1"),IF(VLOOKUP(G$1,INDIRECT("'"&amp;$A35&amp;"'!$A$12:$Z$19"),MATCH("Points (Auto-generate)",INDIRECT("'"&amp;$A35&amp;"'!$A$12:$Z$12"),0),0)="","?",VLOOKUP(G$1,INDIRECT("'"&amp;$A35&amp;"'!$A$12:$Z$19"),MATCH("Points (Auto-generate)",INDIRECT("'"&amp;$A35&amp;"'!$A$12:$Z$12"),0),0)),"ER"))</f>
        <v>?</v>
      </c>
      <c r="H35" s="9" t="str">
        <f aca="true">IF($F35=0,"NA",IF($A35=INDIRECT("'"&amp;$A35&amp;"'!$B$1"),IF(VLOOKUP(H$1,INDIRECT("'"&amp;$A35&amp;"'!$A$12:$Z$19"),MATCH("Points (Auto-generate)",INDIRECT("'"&amp;$A35&amp;"'!$A$12:$Z$12"),0),0)="","?",VLOOKUP(H$1,INDIRECT("'"&amp;$A35&amp;"'!$A$12:$Z$19"),MATCH("Points (Auto-generate)",INDIRECT("'"&amp;$A35&amp;"'!$A$12:$Z$12"),0),0)),"ER"))</f>
        <v>?</v>
      </c>
      <c r="I35" s="9" t="str">
        <f aca="true">IF($F35=0,"NA",IF($A35=INDIRECT("'"&amp;$A35&amp;"'!$B$1"),IF(VLOOKUP(I$1,INDIRECT("'"&amp;$A35&amp;"'!$A$12:$Z$19"),MATCH("Points (Auto-generate)",INDIRECT("'"&amp;$A35&amp;"'!$A$12:$Z$12"),0),0)="","?",VLOOKUP(I$1,INDIRECT("'"&amp;$A35&amp;"'!$A$12:$Z$19"),MATCH("Points (Auto-generate)",INDIRECT("'"&amp;$A35&amp;"'!$A$12:$Z$12"),0),0)),"ER"))</f>
        <v>?</v>
      </c>
      <c r="J35" s="9" t="str">
        <f aca="true">IF($F35=0,"NA",IF($A35=INDIRECT("'"&amp;$A35&amp;"'!$B$1"),IF(VLOOKUP(J$1,INDIRECT("'"&amp;$A35&amp;"'!$A$12:$Z$19"),MATCH("Points (Auto-generate)",INDIRECT("'"&amp;$A35&amp;"'!$A$12:$Z$12"),0),0)="","?",VLOOKUP(J$1,INDIRECT("'"&amp;$A35&amp;"'!$A$12:$Z$19"),MATCH("Points (Auto-generate)",INDIRECT("'"&amp;$A35&amp;"'!$A$12:$Z$12"),0),0)),"ER"))</f>
        <v>?</v>
      </c>
      <c r="K35" s="9" t="n">
        <f aca="true">IF($F35=0,"NA",IF($A35=INDIRECT("'"&amp;$A35&amp;"'!$B$1"),IF(VLOOKUP(K$1,INDIRECT("'"&amp;$A35&amp;"'!$A$12:$Z$19"),MATCH("Points (Auto-generate)",INDIRECT("'"&amp;$A35&amp;"'!$A$12:$Z$12"),0),0)="","?",VLOOKUP(K$1,INDIRECT("'"&amp;$A35&amp;"'!$A$12:$Z$19"),MATCH("Points (Auto-generate)",INDIRECT("'"&amp;$A35&amp;"'!$A$12:$Z$12"),0),0)),"ER"))</f>
        <v>1</v>
      </c>
      <c r="L35" s="9" t="str">
        <f aca="true">IF($F35=0,"NA",IF($A35=INDIRECT("'"&amp;$A35&amp;"'!$B$1"),IF(VLOOKUP(L$1,INDIRECT("'"&amp;$A35&amp;"'!$A$12:$Z$19"),MATCH("Points (Auto-generate)",INDIRECT("'"&amp;$A35&amp;"'!$A$12:$Z$12"),0),0)="","?",VLOOKUP(L$1,INDIRECT("'"&amp;$A35&amp;"'!$A$12:$Z$19"),MATCH("Points (Auto-generate)",INDIRECT("'"&amp;$A35&amp;"'!$A$12:$Z$12"),0),0)),"ER"))</f>
        <v>?</v>
      </c>
      <c r="M35" s="9"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9" t="s">
        <v>251</v>
      </c>
      <c r="B36" s="9" t="str">
        <f aca="false">VLOOKUP($A36,'PARASTATAL Questions'!$A:$J,3,0)&amp;""</f>
        <v>Decentralised Participatory Governance</v>
      </c>
      <c r="C36" s="9" t="str">
        <f aca="false">VLOOKUP($A36,'PARASTATAL Questions'!$A:$J,4,0)&amp;""</f>
        <v>SQ</v>
      </c>
      <c r="D36" s="9" t="str">
        <f aca="false">VLOOKUP($A36,'PARASTATAL Questions'!$A:$J,5,0)&amp;""</f>
        <v>Major plans / projects</v>
      </c>
      <c r="E36" s="9" t="str">
        <f aca="false">VLOOKUP($A36,'PARASTATAL Questions'!$A:$J,7,0)&amp;""</f>
        <v>Implementation</v>
      </c>
      <c r="F36" s="9" t="n">
        <f aca="false">VLOOKUP($A36,'PARASTATAL Questions'!$A:$J,6,0)</f>
        <v>1</v>
      </c>
      <c r="G36" s="9" t="str">
        <f aca="true">IF($F36=0,"NA",IF($A36=INDIRECT("'"&amp;$A36&amp;"'!$B$1"),IF(VLOOKUP(G$1,INDIRECT("'"&amp;$A36&amp;"'!$A$12:$Z$19"),MATCH("Points (Auto-generate)",INDIRECT("'"&amp;$A36&amp;"'!$A$12:$Z$12"),0),0)="","?",VLOOKUP(G$1,INDIRECT("'"&amp;$A36&amp;"'!$A$12:$Z$19"),MATCH("Points (Auto-generate)",INDIRECT("'"&amp;$A36&amp;"'!$A$12:$Z$12"),0),0)),"ER"))</f>
        <v>?</v>
      </c>
      <c r="H36" s="9" t="str">
        <f aca="true">IF($F36=0,"NA",IF($A36=INDIRECT("'"&amp;$A36&amp;"'!$B$1"),IF(VLOOKUP(H$1,INDIRECT("'"&amp;$A36&amp;"'!$A$12:$Z$19"),MATCH("Points (Auto-generate)",INDIRECT("'"&amp;$A36&amp;"'!$A$12:$Z$12"),0),0)="","?",VLOOKUP(H$1,INDIRECT("'"&amp;$A36&amp;"'!$A$12:$Z$19"),MATCH("Points (Auto-generate)",INDIRECT("'"&amp;$A36&amp;"'!$A$12:$Z$12"),0),0)),"ER"))</f>
        <v>?</v>
      </c>
      <c r="I36" s="9" t="str">
        <f aca="true">IF($F36=0,"NA",IF($A36=INDIRECT("'"&amp;$A36&amp;"'!$B$1"),IF(VLOOKUP(I$1,INDIRECT("'"&amp;$A36&amp;"'!$A$12:$Z$19"),MATCH("Points (Auto-generate)",INDIRECT("'"&amp;$A36&amp;"'!$A$12:$Z$12"),0),0)="","?",VLOOKUP(I$1,INDIRECT("'"&amp;$A36&amp;"'!$A$12:$Z$19"),MATCH("Points (Auto-generate)",INDIRECT("'"&amp;$A36&amp;"'!$A$12:$Z$12"),0),0)),"ER"))</f>
        <v>?</v>
      </c>
      <c r="J36" s="9" t="str">
        <f aca="true">IF($F36=0,"NA",IF($A36=INDIRECT("'"&amp;$A36&amp;"'!$B$1"),IF(VLOOKUP(J$1,INDIRECT("'"&amp;$A36&amp;"'!$A$12:$Z$19"),MATCH("Points (Auto-generate)",INDIRECT("'"&amp;$A36&amp;"'!$A$12:$Z$12"),0),0)="","?",VLOOKUP(J$1,INDIRECT("'"&amp;$A36&amp;"'!$A$12:$Z$19"),MATCH("Points (Auto-generate)",INDIRECT("'"&amp;$A36&amp;"'!$A$12:$Z$12"),0),0)),"ER"))</f>
        <v>?</v>
      </c>
      <c r="K36" s="9" t="str">
        <f aca="true">IF($F36=0,"NA",IF($A36=INDIRECT("'"&amp;$A36&amp;"'!$B$1"),IF(VLOOKUP(K$1,INDIRECT("'"&amp;$A36&amp;"'!$A$12:$Z$19"),MATCH("Points (Auto-generate)",INDIRECT("'"&amp;$A36&amp;"'!$A$12:$Z$12"),0),0)="","?",VLOOKUP(K$1,INDIRECT("'"&amp;$A36&amp;"'!$A$12:$Z$19"),MATCH("Points (Auto-generate)",INDIRECT("'"&amp;$A36&amp;"'!$A$12:$Z$12"),0),0)),"ER"))</f>
        <v>?</v>
      </c>
      <c r="L36" s="9" t="str">
        <f aca="true">IF($F36=0,"NA",IF($A36=INDIRECT("'"&amp;$A36&amp;"'!$B$1"),IF(VLOOKUP(L$1,INDIRECT("'"&amp;$A36&amp;"'!$A$12:$Z$19"),MATCH("Points (Auto-generate)",INDIRECT("'"&amp;$A36&amp;"'!$A$12:$Z$12"),0),0)="","?",VLOOKUP(L$1,INDIRECT("'"&amp;$A36&amp;"'!$A$12:$Z$19"),MATCH("Points (Auto-generate)",INDIRECT("'"&amp;$A36&amp;"'!$A$12:$Z$12"),0),0)),"ER"))</f>
        <v>?</v>
      </c>
      <c r="M36" s="9" t="str">
        <f aca="true">IF($F36=0,"NA",IF($A36=INDIRECT("'"&amp;$A36&amp;"'!$B$1"),IF(VLOOKUP(M$1,INDIRECT("'"&amp;$A36&amp;"'!$A$12:$Z$19"),MATCH("Points (Auto-generate)",INDIRECT("'"&amp;$A36&amp;"'!$A$12:$Z$12"),0),0)="","?",VLOOKUP(M$1,INDIRECT("'"&amp;$A36&amp;"'!$A$12:$Z$19"),MATCH("Points (Auto-generate)",INDIRECT("'"&amp;$A36&amp;"'!$A$12:$Z$12"),0),0)),"ER"))</f>
        <v>?</v>
      </c>
    </row>
    <row r="37" customFormat="false" ht="15" hidden="false" customHeight="true" outlineLevel="0" collapsed="false">
      <c r="A37" s="9" t="s">
        <v>258</v>
      </c>
      <c r="B37" s="9" t="str">
        <f aca="false">VLOOKUP($A37,'PARASTATAL Questions'!$A:$J,3,0)&amp;""</f>
        <v>Decentralised Participatory Governance</v>
      </c>
      <c r="C37" s="9" t="str">
        <f aca="false">VLOOKUP($A37,'PARASTATAL Questions'!$A:$J,4,0)&amp;""</f>
        <v>SQ</v>
      </c>
      <c r="D37" s="9" t="str">
        <f aca="false">VLOOKUP($A37,'PARASTATAL Questions'!$A:$J,5,0)&amp;""</f>
        <v>Service-level benchmarks and performance reports</v>
      </c>
      <c r="E37" s="9" t="str">
        <f aca="false">VLOOKUP($A37,'PARASTATAL Questions'!$A:$J,7,0)&amp;""</f>
        <v>Implementation</v>
      </c>
      <c r="F37" s="9" t="n">
        <f aca="false">VLOOKUP($A37,'PARASTATAL Questions'!$A:$J,6,0)</f>
        <v>1</v>
      </c>
      <c r="G37" s="9" t="str">
        <f aca="true">IF($F37=0,"NA",IF($A37=INDIRECT("'"&amp;$A37&amp;"'!$B$1"),IF(VLOOKUP(G$1,INDIRECT("'"&amp;$A37&amp;"'!$A$12:$Z$19"),MATCH("Points (Auto-generate)",INDIRECT("'"&amp;$A37&amp;"'!$A$12:$Z$12"),0),0)="","?",VLOOKUP(G$1,INDIRECT("'"&amp;$A37&amp;"'!$A$12:$Z$19"),MATCH("Points (Auto-generate)",INDIRECT("'"&amp;$A37&amp;"'!$A$12:$Z$12"),0),0)),"ER"))</f>
        <v>?</v>
      </c>
      <c r="H37" s="9" t="str">
        <f aca="true">IF($F37=0,"NA",IF($A37=INDIRECT("'"&amp;$A37&amp;"'!$B$1"),IF(VLOOKUP(H$1,INDIRECT("'"&amp;$A37&amp;"'!$A$12:$Z$19"),MATCH("Points (Auto-generate)",INDIRECT("'"&amp;$A37&amp;"'!$A$12:$Z$12"),0),0)="","?",VLOOKUP(H$1,INDIRECT("'"&amp;$A37&amp;"'!$A$12:$Z$19"),MATCH("Points (Auto-generate)",INDIRECT("'"&amp;$A37&amp;"'!$A$12:$Z$12"),0),0)),"ER"))</f>
        <v>?</v>
      </c>
      <c r="I37" s="9" t="str">
        <f aca="true">IF($F37=0,"NA",IF($A37=INDIRECT("'"&amp;$A37&amp;"'!$B$1"),IF(VLOOKUP(I$1,INDIRECT("'"&amp;$A37&amp;"'!$A$12:$Z$19"),MATCH("Points (Auto-generate)",INDIRECT("'"&amp;$A37&amp;"'!$A$12:$Z$12"),0),0)="","?",VLOOKUP(I$1,INDIRECT("'"&amp;$A37&amp;"'!$A$12:$Z$19"),MATCH("Points (Auto-generate)",INDIRECT("'"&amp;$A37&amp;"'!$A$12:$Z$12"),0),0)),"ER"))</f>
        <v>?</v>
      </c>
      <c r="J37" s="9" t="str">
        <f aca="true">IF($F37=0,"NA",IF($A37=INDIRECT("'"&amp;$A37&amp;"'!$B$1"),IF(VLOOKUP(J$1,INDIRECT("'"&amp;$A37&amp;"'!$A$12:$Z$19"),MATCH("Points (Auto-generate)",INDIRECT("'"&amp;$A37&amp;"'!$A$12:$Z$12"),0),0)="","?",VLOOKUP(J$1,INDIRECT("'"&amp;$A37&amp;"'!$A$12:$Z$19"),MATCH("Points (Auto-generate)",INDIRECT("'"&amp;$A37&amp;"'!$A$12:$Z$12"),0),0)),"ER"))</f>
        <v>?</v>
      </c>
      <c r="K37" s="9" t="n">
        <f aca="true">IF($F37=0,"NA",IF($A37=INDIRECT("'"&amp;$A37&amp;"'!$B$1"),IF(VLOOKUP(K$1,INDIRECT("'"&amp;$A37&amp;"'!$A$12:$Z$19"),MATCH("Points (Auto-generate)",INDIRECT("'"&amp;$A37&amp;"'!$A$12:$Z$12"),0),0)="","?",VLOOKUP(K$1,INDIRECT("'"&amp;$A37&amp;"'!$A$12:$Z$19"),MATCH("Points (Auto-generate)",INDIRECT("'"&amp;$A37&amp;"'!$A$12:$Z$12"),0),0)),"ER"))</f>
        <v>0</v>
      </c>
      <c r="L37" s="9" t="str">
        <f aca="true">IF($F37=0,"NA",IF($A37=INDIRECT("'"&amp;$A37&amp;"'!$B$1"),IF(VLOOKUP(L$1,INDIRECT("'"&amp;$A37&amp;"'!$A$12:$Z$19"),MATCH("Points (Auto-generate)",INDIRECT("'"&amp;$A37&amp;"'!$A$12:$Z$12"),0),0)="","?",VLOOKUP(L$1,INDIRECT("'"&amp;$A37&amp;"'!$A$12:$Z$19"),MATCH("Points (Auto-generate)",INDIRECT("'"&amp;$A37&amp;"'!$A$12:$Z$12"),0),0)),"ER"))</f>
        <v>?</v>
      </c>
      <c r="M37" s="9"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9" t="s">
        <v>267</v>
      </c>
      <c r="B38" s="9" t="str">
        <f aca="false">VLOOKUP($A38,'PARASTATAL Questions'!$A:$J,3,0)&amp;""</f>
        <v>Decentralised Participatory Governance</v>
      </c>
      <c r="C38" s="9" t="str">
        <f aca="false">VLOOKUP($A38,'PARASTATAL Questions'!$A:$J,4,0)&amp;""</f>
        <v>SQ</v>
      </c>
      <c r="D38" s="9" t="str">
        <f aca="false">VLOOKUP($A38,'PARASTATAL Questions'!$A:$J,5,0)&amp;""</f>
        <v>Citizen / Service Charter</v>
      </c>
      <c r="E38" s="9" t="str">
        <f aca="false">VLOOKUP($A38,'PARASTATAL Questions'!$A:$J,7,0)&amp;""</f>
        <v>Implementation</v>
      </c>
      <c r="F38" s="9" t="n">
        <f aca="false">VLOOKUP($A38,'PARASTATAL Questions'!$A:$J,6,0)</f>
        <v>1</v>
      </c>
      <c r="G38" s="9" t="str">
        <f aca="true">IF($F38=0,"NA",IF($A38=INDIRECT("'"&amp;$A38&amp;"'!$B$1"),IF(VLOOKUP(G$1,INDIRECT("'"&amp;$A38&amp;"'!$A$12:$Z$19"),MATCH("Points (Auto-generate)",INDIRECT("'"&amp;$A38&amp;"'!$A$12:$Z$12"),0),0)="","?",VLOOKUP(G$1,INDIRECT("'"&amp;$A38&amp;"'!$A$12:$Z$19"),MATCH("Points (Auto-generate)",INDIRECT("'"&amp;$A38&amp;"'!$A$12:$Z$12"),0),0)),"ER"))</f>
        <v>?</v>
      </c>
      <c r="H38" s="9" t="str">
        <f aca="true">IF($F38=0,"NA",IF($A38=INDIRECT("'"&amp;$A38&amp;"'!$B$1"),IF(VLOOKUP(H$1,INDIRECT("'"&amp;$A38&amp;"'!$A$12:$Z$19"),MATCH("Points (Auto-generate)",INDIRECT("'"&amp;$A38&amp;"'!$A$12:$Z$12"),0),0)="","?",VLOOKUP(H$1,INDIRECT("'"&amp;$A38&amp;"'!$A$12:$Z$19"),MATCH("Points (Auto-generate)",INDIRECT("'"&amp;$A38&amp;"'!$A$12:$Z$12"),0),0)),"ER"))</f>
        <v>?</v>
      </c>
      <c r="I38" s="9" t="str">
        <f aca="true">IF($F38=0,"NA",IF($A38=INDIRECT("'"&amp;$A38&amp;"'!$B$1"),IF(VLOOKUP(I$1,INDIRECT("'"&amp;$A38&amp;"'!$A$12:$Z$19"),MATCH("Points (Auto-generate)",INDIRECT("'"&amp;$A38&amp;"'!$A$12:$Z$12"),0),0)="","?",VLOOKUP(I$1,INDIRECT("'"&amp;$A38&amp;"'!$A$12:$Z$19"),MATCH("Points (Auto-generate)",INDIRECT("'"&amp;$A38&amp;"'!$A$12:$Z$12"),0),0)),"ER"))</f>
        <v>?</v>
      </c>
      <c r="J38" s="9" t="str">
        <f aca="true">IF($F38=0,"NA",IF($A38=INDIRECT("'"&amp;$A38&amp;"'!$B$1"),IF(VLOOKUP(J$1,INDIRECT("'"&amp;$A38&amp;"'!$A$12:$Z$19"),MATCH("Points (Auto-generate)",INDIRECT("'"&amp;$A38&amp;"'!$A$12:$Z$12"),0),0)="","?",VLOOKUP(J$1,INDIRECT("'"&amp;$A38&amp;"'!$A$12:$Z$19"),MATCH("Points (Auto-generate)",INDIRECT("'"&amp;$A38&amp;"'!$A$12:$Z$12"),0),0)),"ER"))</f>
        <v>?</v>
      </c>
      <c r="K38" s="9" t="str">
        <f aca="true">IF($F38=0,"NA",IF($A38=INDIRECT("'"&amp;$A38&amp;"'!$B$1"),IF(VLOOKUP(K$1,INDIRECT("'"&amp;$A38&amp;"'!$A$12:$Z$19"),MATCH("Points (Auto-generate)",INDIRECT("'"&amp;$A38&amp;"'!$A$12:$Z$12"),0),0)="","?",VLOOKUP(K$1,INDIRECT("'"&amp;$A38&amp;"'!$A$12:$Z$19"),MATCH("Points (Auto-generate)",INDIRECT("'"&amp;$A38&amp;"'!$A$12:$Z$12"),0),0)),"ER"))</f>
        <v>?</v>
      </c>
      <c r="L38" s="9" t="str">
        <f aca="true">IF($F38=0,"NA",IF($A38=INDIRECT("'"&amp;$A38&amp;"'!$B$1"),IF(VLOOKUP(L$1,INDIRECT("'"&amp;$A38&amp;"'!$A$12:$Z$19"),MATCH("Points (Auto-generate)",INDIRECT("'"&amp;$A38&amp;"'!$A$12:$Z$12"),0),0)="","?",VLOOKUP(L$1,INDIRECT("'"&amp;$A38&amp;"'!$A$12:$Z$19"),MATCH("Points (Auto-generate)",INDIRECT("'"&amp;$A38&amp;"'!$A$12:$Z$12"),0),0)),"ER"))</f>
        <v>?</v>
      </c>
      <c r="M38" s="9"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9" t="s">
        <v>276</v>
      </c>
      <c r="B39" s="9" t="str">
        <f aca="false">VLOOKUP($A39,'PARASTATAL Questions'!$A:$J,3,0)&amp;""</f>
        <v>Decentralised Participatory Governance</v>
      </c>
      <c r="C39" s="9" t="str">
        <f aca="false">VLOOKUP($A39,'PARASTATAL Questions'!$A:$J,4,0)&amp;""</f>
        <v>SQ</v>
      </c>
      <c r="D39" s="9" t="str">
        <f aca="false">VLOOKUP($A39,'PARASTATAL Questions'!$A:$J,5,0)&amp;""</f>
        <v>RTI details and designated Public Information Officer contact/procedure</v>
      </c>
      <c r="E39" s="9" t="str">
        <f aca="false">VLOOKUP($A39,'PARASTATAL Questions'!$A:$J,7,0)&amp;""</f>
        <v>Implementation</v>
      </c>
      <c r="F39" s="9" t="n">
        <f aca="false">VLOOKUP($A39,'PARASTATAL Questions'!$A:$J,6,0)</f>
        <v>1</v>
      </c>
      <c r="G39" s="9" t="str">
        <f aca="true">IF($F39=0,"NA",IF($A39=INDIRECT("'"&amp;$A39&amp;"'!$B$1"),IF(VLOOKUP(G$1,INDIRECT("'"&amp;$A39&amp;"'!$A$12:$Z$19"),MATCH("Points (Auto-generate)",INDIRECT("'"&amp;$A39&amp;"'!$A$12:$Z$12"),0),0)="","?",VLOOKUP(G$1,INDIRECT("'"&amp;$A39&amp;"'!$A$12:$Z$19"),MATCH("Points (Auto-generate)",INDIRECT("'"&amp;$A39&amp;"'!$A$12:$Z$12"),0),0)),"ER"))</f>
        <v>?</v>
      </c>
      <c r="H39" s="9" t="str">
        <f aca="true">IF($F39=0,"NA",IF($A39=INDIRECT("'"&amp;$A39&amp;"'!$B$1"),IF(VLOOKUP(H$1,INDIRECT("'"&amp;$A39&amp;"'!$A$12:$Z$19"),MATCH("Points (Auto-generate)",INDIRECT("'"&amp;$A39&amp;"'!$A$12:$Z$12"),0),0)="","?",VLOOKUP(H$1,INDIRECT("'"&amp;$A39&amp;"'!$A$12:$Z$19"),MATCH("Points (Auto-generate)",INDIRECT("'"&amp;$A39&amp;"'!$A$12:$Z$12"),0),0)),"ER"))</f>
        <v>?</v>
      </c>
      <c r="I39" s="9" t="str">
        <f aca="true">IF($F39=0,"NA",IF($A39=INDIRECT("'"&amp;$A39&amp;"'!$B$1"),IF(VLOOKUP(I$1,INDIRECT("'"&amp;$A39&amp;"'!$A$12:$Z$19"),MATCH("Points (Auto-generate)",INDIRECT("'"&amp;$A39&amp;"'!$A$12:$Z$12"),0),0)="","?",VLOOKUP(I$1,INDIRECT("'"&amp;$A39&amp;"'!$A$12:$Z$19"),MATCH("Points (Auto-generate)",INDIRECT("'"&amp;$A39&amp;"'!$A$12:$Z$12"),0),0)),"ER"))</f>
        <v>?</v>
      </c>
      <c r="J39" s="9" t="str">
        <f aca="true">IF($F39=0,"NA",IF($A39=INDIRECT("'"&amp;$A39&amp;"'!$B$1"),IF(VLOOKUP(J$1,INDIRECT("'"&amp;$A39&amp;"'!$A$12:$Z$19"),MATCH("Points (Auto-generate)",INDIRECT("'"&amp;$A39&amp;"'!$A$12:$Z$12"),0),0)="","?",VLOOKUP(J$1,INDIRECT("'"&amp;$A39&amp;"'!$A$12:$Z$19"),MATCH("Points (Auto-generate)",INDIRECT("'"&amp;$A39&amp;"'!$A$12:$Z$12"),0),0)),"ER"))</f>
        <v>?</v>
      </c>
      <c r="K39" s="9" t="str">
        <f aca="true">IF($F39=0,"NA",IF($A39=INDIRECT("'"&amp;$A39&amp;"'!$B$1"),IF(VLOOKUP(K$1,INDIRECT("'"&amp;$A39&amp;"'!$A$12:$Z$19"),MATCH("Points (Auto-generate)",INDIRECT("'"&amp;$A39&amp;"'!$A$12:$Z$12"),0),0)="","?",VLOOKUP(K$1,INDIRECT("'"&amp;$A39&amp;"'!$A$12:$Z$19"),MATCH("Points (Auto-generate)",INDIRECT("'"&amp;$A39&amp;"'!$A$12:$Z$12"),0),0)),"ER"))</f>
        <v>?</v>
      </c>
      <c r="L39" s="9" t="str">
        <f aca="true">IF($F39=0,"NA",IF($A39=INDIRECT("'"&amp;$A39&amp;"'!$B$1"),IF(VLOOKUP(L$1,INDIRECT("'"&amp;$A39&amp;"'!$A$12:$Z$19"),MATCH("Points (Auto-generate)",INDIRECT("'"&amp;$A39&amp;"'!$A$12:$Z$12"),0),0)="","?",VLOOKUP(L$1,INDIRECT("'"&amp;$A39&amp;"'!$A$12:$Z$19"),MATCH("Points (Auto-generate)",INDIRECT("'"&amp;$A39&amp;"'!$A$12:$Z$12"),0),0)),"ER"))</f>
        <v>?</v>
      </c>
      <c r="M39" s="9" t="str">
        <f aca="true">IF($F39=0,"NA",IF($A39=INDIRECT("'"&amp;$A39&amp;"'!$B$1"),IF(VLOOKUP(M$1,INDIRECT("'"&amp;$A39&amp;"'!$A$12:$Z$19"),MATCH("Points (Auto-generate)",INDIRECT("'"&amp;$A39&amp;"'!$A$12:$Z$12"),0),0)="","?",VLOOKUP(M$1,INDIRECT("'"&amp;$A39&amp;"'!$A$12:$Z$19"),MATCH("Points (Auto-generate)",INDIRECT("'"&amp;$A39&amp;"'!$A$12:$Z$12"),0),0)),"ER"))</f>
        <v>?</v>
      </c>
    </row>
    <row r="40" customFormat="false" ht="15" hidden="false" customHeight="true" outlineLevel="0" collapsed="false">
      <c r="A40" s="9" t="s">
        <v>291</v>
      </c>
      <c r="B40" s="9" t="str">
        <f aca="false">VLOOKUP($A40,'PARASTATAL Questions'!$A:$J,3,0)&amp;""</f>
        <v>Decentralised Participatory Governance</v>
      </c>
      <c r="C40" s="9" t="str">
        <f aca="false">VLOOKUP($A40,'PARASTATAL Questions'!$A:$J,4,0)&amp;""</f>
        <v>SQ</v>
      </c>
      <c r="D40" s="9" t="str">
        <f aca="false">VLOOKUP($A40,'PARASTATAL Questions'!$A:$J,5,0)&amp;""</f>
        <v>Procurement / tender notices and awarded-contract details</v>
      </c>
      <c r="E40" s="9" t="str">
        <f aca="false">VLOOKUP($A40,'PARASTATAL Questions'!$A:$J,7,0)&amp;""</f>
        <v>Implementation</v>
      </c>
      <c r="F40" s="9" t="n">
        <f aca="false">VLOOKUP($A40,'PARASTATAL Questions'!$A:$J,6,0)</f>
        <v>1</v>
      </c>
      <c r="G40" s="9" t="str">
        <f aca="true">IF($F40=0,"NA",IF($A40=INDIRECT("'"&amp;$A40&amp;"'!$B$1"),IF(VLOOKUP(G$1,INDIRECT("'"&amp;$A40&amp;"'!$A$12:$Z$19"),MATCH("Points (Auto-generate)",INDIRECT("'"&amp;$A40&amp;"'!$A$12:$Z$12"),0),0)="","?",VLOOKUP(G$1,INDIRECT("'"&amp;$A40&amp;"'!$A$12:$Z$19"),MATCH("Points (Auto-generate)",INDIRECT("'"&amp;$A40&amp;"'!$A$12:$Z$12"),0),0)),"ER"))</f>
        <v>?</v>
      </c>
      <c r="H40" s="9" t="str">
        <f aca="true">IF($F40=0,"NA",IF($A40=INDIRECT("'"&amp;$A40&amp;"'!$B$1"),IF(VLOOKUP(H$1,INDIRECT("'"&amp;$A40&amp;"'!$A$12:$Z$19"),MATCH("Points (Auto-generate)",INDIRECT("'"&amp;$A40&amp;"'!$A$12:$Z$12"),0),0)="","?",VLOOKUP(H$1,INDIRECT("'"&amp;$A40&amp;"'!$A$12:$Z$19"),MATCH("Points (Auto-generate)",INDIRECT("'"&amp;$A40&amp;"'!$A$12:$Z$12"),0),0)),"ER"))</f>
        <v>?</v>
      </c>
      <c r="I40" s="9" t="str">
        <f aca="true">IF($F40=0,"NA",IF($A40=INDIRECT("'"&amp;$A40&amp;"'!$B$1"),IF(VLOOKUP(I$1,INDIRECT("'"&amp;$A40&amp;"'!$A$12:$Z$19"),MATCH("Points (Auto-generate)",INDIRECT("'"&amp;$A40&amp;"'!$A$12:$Z$12"),0),0)="","?",VLOOKUP(I$1,INDIRECT("'"&amp;$A40&amp;"'!$A$12:$Z$19"),MATCH("Points (Auto-generate)",INDIRECT("'"&amp;$A40&amp;"'!$A$12:$Z$12"),0),0)),"ER"))</f>
        <v>?</v>
      </c>
      <c r="J40" s="9" t="str">
        <f aca="true">IF($F40=0,"NA",IF($A40=INDIRECT("'"&amp;$A40&amp;"'!$B$1"),IF(VLOOKUP(J$1,INDIRECT("'"&amp;$A40&amp;"'!$A$12:$Z$19"),MATCH("Points (Auto-generate)",INDIRECT("'"&amp;$A40&amp;"'!$A$12:$Z$12"),0),0)="","?",VLOOKUP(J$1,INDIRECT("'"&amp;$A40&amp;"'!$A$12:$Z$19"),MATCH("Points (Auto-generate)",INDIRECT("'"&amp;$A40&amp;"'!$A$12:$Z$12"),0),0)),"ER"))</f>
        <v>?</v>
      </c>
      <c r="K40" s="9" t="str">
        <f aca="true">IF($F40=0,"NA",IF($A40=INDIRECT("'"&amp;$A40&amp;"'!$B$1"),IF(VLOOKUP(K$1,INDIRECT("'"&amp;$A40&amp;"'!$A$12:$Z$19"),MATCH("Points (Auto-generate)",INDIRECT("'"&amp;$A40&amp;"'!$A$12:$Z$12"),0),0)="","?",VLOOKUP(K$1,INDIRECT("'"&amp;$A40&amp;"'!$A$12:$Z$19"),MATCH("Points (Auto-generate)",INDIRECT("'"&amp;$A40&amp;"'!$A$12:$Z$12"),0),0)),"ER"))</f>
        <v>?</v>
      </c>
      <c r="L40" s="9" t="str">
        <f aca="true">IF($F40=0,"NA",IF($A40=INDIRECT("'"&amp;$A40&amp;"'!$B$1"),IF(VLOOKUP(L$1,INDIRECT("'"&amp;$A40&amp;"'!$A$12:$Z$19"),MATCH("Points (Auto-generate)",INDIRECT("'"&amp;$A40&amp;"'!$A$12:$Z$12"),0),0)="","?",VLOOKUP(L$1,INDIRECT("'"&amp;$A40&amp;"'!$A$12:$Z$19"),MATCH("Points (Auto-generate)",INDIRECT("'"&amp;$A40&amp;"'!$A$12:$Z$12"),0),0)),"ER"))</f>
        <v>?</v>
      </c>
      <c r="M40" s="9" t="str">
        <f aca="true">IF($F40=0,"NA",IF($A40=INDIRECT("'"&amp;$A40&amp;"'!$B$1"),IF(VLOOKUP(M$1,INDIRECT("'"&amp;$A40&amp;"'!$A$12:$Z$19"),MATCH("Points (Auto-generate)",INDIRECT("'"&amp;$A40&amp;"'!$A$12:$Z$12"),0),0)="","?",VLOOKUP(M$1,INDIRECT("'"&amp;$A40&amp;"'!$A$12:$Z$19"),MATCH("Points (Auto-generate)",INDIRECT("'"&amp;$A40&amp;"'!$A$12:$Z$12"),0),0)),"ER"))</f>
        <v>?</v>
      </c>
    </row>
    <row r="41" customFormat="false" ht="15" hidden="false" customHeight="true" outlineLevel="0" collapsed="false">
      <c r="A41" s="11" t="s">
        <v>452</v>
      </c>
      <c r="B41" s="11" t="str">
        <f aca="false">VLOOKUP($A41,'PARASTATAL Questions'!$A:$J,3,0)&amp;""</f>
        <v>Decentralised Participatory Governance</v>
      </c>
      <c r="C41" s="11" t="str">
        <f aca="false">VLOOKUP($A41,'PARASTATAL Questions'!$A:$J,4,0)&amp;""</f>
        <v>MQ</v>
      </c>
      <c r="D41" s="11" t="str">
        <f aca="false">VLOOKUP($A41,'PARASTATAL Questions'!$A:$J,5,0)&amp;""</f>
        <v>Does the parastatal provide for and maintain an accessible grievance-redressal mechanism?</v>
      </c>
      <c r="E41" s="11" t="str">
        <f aca="false">VLOOKUP($A41,'PARASTATAL Questions'!$A:$J,7,0)&amp;""</f>
        <v>Institutional Design</v>
      </c>
      <c r="F41" s="11" t="n">
        <f aca="false">VLOOKUP($A41,'PARASTATAL Questions'!$A:$J,6,0)</f>
        <v>10</v>
      </c>
      <c r="G41" s="11" t="str">
        <f aca="false">IF(OR(G42="ER",G43="ER"),"ER",IF(OR(G42="?",G43="?"),"?",IF(AND(G42="NA",G43="NA"),"NA",SUM(G42,G43)/((G42&lt;&gt;"NA")*$F$42+(G43&lt;&gt;"NA")*$F$43)*$F41)))</f>
        <v>?</v>
      </c>
      <c r="H41" s="11" t="str">
        <f aca="false">IF(OR(H42="ER",H43="ER"),"ER",IF(OR(H42="?",H43="?"),"?",IF(AND(H42="NA",H43="NA"),"NA",SUM(H42,H43)/((H42&lt;&gt;"NA")*$F$42+(H43&lt;&gt;"NA")*$F$43)*$F41)))</f>
        <v>?</v>
      </c>
      <c r="I41" s="11" t="str">
        <f aca="false">IF(OR(I42="ER",I43="ER"),"ER",IF(OR(I42="?",I43="?"),"?",IF(AND(I42="NA",I43="NA"),"NA",SUM(I42,I43)/((I42&lt;&gt;"NA")*$F$42+(I43&lt;&gt;"NA")*$F$43)*$F41)))</f>
        <v>?</v>
      </c>
      <c r="J41" s="11" t="str">
        <f aca="false">IF(OR(J42="ER",J43="ER"),"ER",IF(OR(J42="?",J43="?"),"?",IF(AND(J42="NA",J43="NA"),"NA",SUM(J42,J43)/((J42&lt;&gt;"NA")*$F$42+(J43&lt;&gt;"NA")*$F$43)*$F41)))</f>
        <v>?</v>
      </c>
      <c r="K41" s="11" t="str">
        <f aca="false">IF(OR(K42="ER",K43="ER"),"ER",IF(OR(K42="?",K43="?"),"?",IF(AND(K42="NA",K43="NA"),"NA",SUM(K42,K43)/((K42&lt;&gt;"NA")*$F$42+(K43&lt;&gt;"NA")*$F$43)*$F41)))</f>
        <v>?</v>
      </c>
      <c r="L41" s="11" t="str">
        <f aca="false">IF(OR(L42="ER",L43="ER"),"ER",IF(OR(L42="?",L43="?"),"?",IF(AND(L42="NA",L43="NA"),"NA",SUM(L42,L43)/((L42&lt;&gt;"NA")*$F$42+(L43&lt;&gt;"NA")*$F$43)*$F41)))</f>
        <v>?</v>
      </c>
      <c r="M41" s="11" t="str">
        <f aca="false">IF(OR(M42="ER",M43="ER"),"ER",IF(OR(M42="?",M43="?"),"?",IF(AND(M42="NA",M43="NA"),"NA",SUM(M42,M43)/((M42&lt;&gt;"NA")*$F$42+(M43&lt;&gt;"NA")*$F$43)*$F41)))</f>
        <v>?</v>
      </c>
    </row>
    <row r="42" customFormat="false" ht="15" hidden="false" customHeight="true" outlineLevel="0" collapsed="false">
      <c r="A42" s="9" t="s">
        <v>298</v>
      </c>
      <c r="B42" s="9" t="str">
        <f aca="false">VLOOKUP($A42,'PARASTATAL Questions'!$A:$J,3,0)&amp;""</f>
        <v>Decentralised Participatory Governance</v>
      </c>
      <c r="C42" s="9" t="str">
        <f aca="false">VLOOKUP($A42,'PARASTATAL Questions'!$A:$J,4,0)&amp;""</f>
        <v>SQ</v>
      </c>
      <c r="D42" s="9" t="str">
        <f aca="false">VLOOKUP($A42,'PARASTATAL Questions'!$A:$J,5,0)&amp;""</f>
        <v>Is the parastatal mandated to provide a grievance-redressal mechanism?</v>
      </c>
      <c r="E42" s="9" t="str">
        <f aca="false">VLOOKUP($A42,'PARASTATAL Questions'!$A:$J,7,0)&amp;""</f>
        <v>Law/Policy</v>
      </c>
      <c r="F42" s="9" t="n">
        <f aca="false">VLOOKUP($A42,'PARASTATAL Questions'!$A:$J,6,0)</f>
        <v>5</v>
      </c>
      <c r="G42" s="9" t="n">
        <f aca="true">IF($F42=0,"NA",IF($A42=INDIRECT("'"&amp;$A42&amp;"'!$B$1"),IF(VLOOKUP(G$1,INDIRECT("'"&amp;$A42&amp;"'!$A$12:$Z$19"),MATCH("Points (Auto-generate)",INDIRECT("'"&amp;$A42&amp;"'!$A$12:$Z$12"),0),0)="","?",VLOOKUP(G$1,INDIRECT("'"&amp;$A42&amp;"'!$A$12:$Z$19"),MATCH("Points (Auto-generate)",INDIRECT("'"&amp;$A42&amp;"'!$A$12:$Z$12"),0),0)),"ER"))</f>
        <v>5</v>
      </c>
      <c r="H42" s="9" t="str">
        <f aca="true">IF($F42=0,"NA",IF($A42=INDIRECT("'"&amp;$A42&amp;"'!$B$1"),IF(VLOOKUP(H$1,INDIRECT("'"&amp;$A42&amp;"'!$A$12:$Z$19"),MATCH("Points (Auto-generate)",INDIRECT("'"&amp;$A42&amp;"'!$A$12:$Z$12"),0),0)="","?",VLOOKUP(H$1,INDIRECT("'"&amp;$A42&amp;"'!$A$12:$Z$19"),MATCH("Points (Auto-generate)",INDIRECT("'"&amp;$A42&amp;"'!$A$12:$Z$12"),0),0)),"ER"))</f>
        <v>?</v>
      </c>
      <c r="I42" s="9" t="n">
        <f aca="true">IF($F42=0,"NA",IF($A42=INDIRECT("'"&amp;$A42&amp;"'!$B$1"),IF(VLOOKUP(I$1,INDIRECT("'"&amp;$A42&amp;"'!$A$12:$Z$19"),MATCH("Points (Auto-generate)",INDIRECT("'"&amp;$A42&amp;"'!$A$12:$Z$12"),0),0)="","?",VLOOKUP(I$1,INDIRECT("'"&amp;$A42&amp;"'!$A$12:$Z$19"),MATCH("Points (Auto-generate)",INDIRECT("'"&amp;$A42&amp;"'!$A$12:$Z$12"),0),0)),"ER"))</f>
        <v>0</v>
      </c>
      <c r="J42" s="9" t="str">
        <f aca="true">IF($F42=0,"NA",IF($A42=INDIRECT("'"&amp;$A42&amp;"'!$B$1"),IF(VLOOKUP(J$1,INDIRECT("'"&amp;$A42&amp;"'!$A$12:$Z$19"),MATCH("Points (Auto-generate)",INDIRECT("'"&amp;$A42&amp;"'!$A$12:$Z$12"),0),0)="","?",VLOOKUP(J$1,INDIRECT("'"&amp;$A42&amp;"'!$A$12:$Z$19"),MATCH("Points (Auto-generate)",INDIRECT("'"&amp;$A42&amp;"'!$A$12:$Z$12"),0),0)),"ER"))</f>
        <v>?</v>
      </c>
      <c r="K42" s="9" t="str">
        <f aca="true">IF($F42=0,"NA",IF($A42=INDIRECT("'"&amp;$A42&amp;"'!$B$1"),IF(VLOOKUP(K$1,INDIRECT("'"&amp;$A42&amp;"'!$A$12:$Z$19"),MATCH("Points (Auto-generate)",INDIRECT("'"&amp;$A42&amp;"'!$A$12:$Z$12"),0),0)="","?",VLOOKUP(K$1,INDIRECT("'"&amp;$A42&amp;"'!$A$12:$Z$19"),MATCH("Points (Auto-generate)",INDIRECT("'"&amp;$A42&amp;"'!$A$12:$Z$12"),0),0)),"ER"))</f>
        <v>?</v>
      </c>
      <c r="L42" s="9" t="str">
        <f aca="true">IF($F42=0,"NA",IF($A42=INDIRECT("'"&amp;$A42&amp;"'!$B$1"),IF(VLOOKUP(L$1,INDIRECT("'"&amp;$A42&amp;"'!$A$12:$Z$19"),MATCH("Points (Auto-generate)",INDIRECT("'"&amp;$A42&amp;"'!$A$12:$Z$12"),0),0)="","?",VLOOKUP(L$1,INDIRECT("'"&amp;$A42&amp;"'!$A$12:$Z$19"),MATCH("Points (Auto-generate)",INDIRECT("'"&amp;$A42&amp;"'!$A$12:$Z$12"),0),0)),"ER"))</f>
        <v>?</v>
      </c>
      <c r="M42" s="9"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9" t="s">
        <v>309</v>
      </c>
      <c r="B43" s="9" t="str">
        <f aca="false">VLOOKUP($A43,'PARASTATAL Questions'!$A:$J,3,0)&amp;""</f>
        <v>Decentralised Participatory Governance</v>
      </c>
      <c r="C43" s="9" t="str">
        <f aca="false">VLOOKUP($A43,'PARASTATAL Questions'!$A:$J,4,0)&amp;""</f>
        <v>SQ</v>
      </c>
      <c r="D43" s="9" t="str">
        <f aca="false">VLOOKUP($A43,'PARASTATAL Questions'!$A:$J,5,0)&amp;""</f>
        <v>Are accessible grievance-redressal channels available and functional in practice?</v>
      </c>
      <c r="E43" s="9" t="str">
        <f aca="false">VLOOKUP($A43,'PARASTATAL Questions'!$A:$J,7,0)&amp;""</f>
        <v>Implementation</v>
      </c>
      <c r="F43" s="9" t="n">
        <f aca="false">VLOOKUP($A43,'PARASTATAL Questions'!$A:$J,6,0)</f>
        <v>5</v>
      </c>
      <c r="G43" s="9" t="str">
        <f aca="true">IF($F43=0,"NA",IF($A43=INDIRECT("'"&amp;$A43&amp;"'!$B$1"),IF(VLOOKUP(G$1,INDIRECT("'"&amp;$A43&amp;"'!$A$12:$Z$19"),MATCH("Points (Auto-generate)",INDIRECT("'"&amp;$A43&amp;"'!$A$12:$Z$12"),0),0)="","?",VLOOKUP(G$1,INDIRECT("'"&amp;$A43&amp;"'!$A$12:$Z$19"),MATCH("Points (Auto-generate)",INDIRECT("'"&amp;$A43&amp;"'!$A$12:$Z$12"),0),0)),"ER"))</f>
        <v>?</v>
      </c>
      <c r="H43" s="9" t="str">
        <f aca="true">IF($F43=0,"NA",IF($A43=INDIRECT("'"&amp;$A43&amp;"'!$B$1"),IF(VLOOKUP(H$1,INDIRECT("'"&amp;$A43&amp;"'!$A$12:$Z$19"),MATCH("Points (Auto-generate)",INDIRECT("'"&amp;$A43&amp;"'!$A$12:$Z$12"),0),0)="","?",VLOOKUP(H$1,INDIRECT("'"&amp;$A43&amp;"'!$A$12:$Z$19"),MATCH("Points (Auto-generate)",INDIRECT("'"&amp;$A43&amp;"'!$A$12:$Z$12"),0),0)),"ER"))</f>
        <v>?</v>
      </c>
      <c r="I43" s="9" t="str">
        <f aca="true">IF($F43=0,"NA",IF($A43=INDIRECT("'"&amp;$A43&amp;"'!$B$1"),IF(VLOOKUP(I$1,INDIRECT("'"&amp;$A43&amp;"'!$A$12:$Z$19"),MATCH("Points (Auto-generate)",INDIRECT("'"&amp;$A43&amp;"'!$A$12:$Z$12"),0),0)="","?",VLOOKUP(I$1,INDIRECT("'"&amp;$A43&amp;"'!$A$12:$Z$19"),MATCH("Points (Auto-generate)",INDIRECT("'"&amp;$A43&amp;"'!$A$12:$Z$12"),0),0)),"ER"))</f>
        <v>?</v>
      </c>
      <c r="J43" s="9" t="str">
        <f aca="true">IF($F43=0,"NA",IF($A43=INDIRECT("'"&amp;$A43&amp;"'!$B$1"),IF(VLOOKUP(J$1,INDIRECT("'"&amp;$A43&amp;"'!$A$12:$Z$19"),MATCH("Points (Auto-generate)",INDIRECT("'"&amp;$A43&amp;"'!$A$12:$Z$12"),0),0)="","?",VLOOKUP(J$1,INDIRECT("'"&amp;$A43&amp;"'!$A$12:$Z$19"),MATCH("Points (Auto-generate)",INDIRECT("'"&amp;$A43&amp;"'!$A$12:$Z$12"),0),0)),"ER"))</f>
        <v>?</v>
      </c>
      <c r="K43" s="9" t="str">
        <f aca="true">IF($F43=0,"NA",IF($A43=INDIRECT("'"&amp;$A43&amp;"'!$B$1"),IF(VLOOKUP(K$1,INDIRECT("'"&amp;$A43&amp;"'!$A$12:$Z$19"),MATCH("Points (Auto-generate)",INDIRECT("'"&amp;$A43&amp;"'!$A$12:$Z$12"),0),0)="","?",VLOOKUP(K$1,INDIRECT("'"&amp;$A43&amp;"'!$A$12:$Z$19"),MATCH("Points (Auto-generate)",INDIRECT("'"&amp;$A43&amp;"'!$A$12:$Z$12"),0),0)),"ER"))</f>
        <v>?</v>
      </c>
      <c r="L43" s="9" t="str">
        <f aca="true">IF($F43=0,"NA",IF($A43=INDIRECT("'"&amp;$A43&amp;"'!$B$1"),IF(VLOOKUP(L$1,INDIRECT("'"&amp;$A43&amp;"'!$A$12:$Z$19"),MATCH("Points (Auto-generate)",INDIRECT("'"&amp;$A43&amp;"'!$A$12:$Z$12"),0),0)="","?",VLOOKUP(L$1,INDIRECT("'"&amp;$A43&amp;"'!$A$12:$Z$19"),MATCH("Points (Auto-generate)",INDIRECT("'"&amp;$A43&amp;"'!$A$12:$Z$12"),0),0)),"ER"))</f>
        <v>?</v>
      </c>
      <c r="M43" s="9"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11" t="s">
        <v>453</v>
      </c>
      <c r="B44" s="11" t="str">
        <f aca="false">VLOOKUP($A44,'PARASTATAL Questions'!$A:$J,3,0)&amp;""</f>
        <v>Decentralised Participatory Governance</v>
      </c>
      <c r="C44" s="11" t="str">
        <f aca="false">VLOOKUP($A44,'PARASTATAL Questions'!$A:$J,4,0)&amp;""</f>
        <v>MQ</v>
      </c>
      <c r="D44" s="11" t="str">
        <f aca="false">VLOOKUP($A44,'PARASTATAL Questions'!$A:$J,5,0)&amp;""</f>
        <v>Does the law mandate citizen participation in the preparation of plans for which the parastatal is responsible, and does the parastatal provide for such participation in practice?</v>
      </c>
      <c r="E44" s="11" t="str">
        <f aca="false">VLOOKUP($A44,'PARASTATAL Questions'!$A:$J,7,0)&amp;""</f>
        <v>Law/Policy</v>
      </c>
      <c r="F44" s="11" t="n">
        <f aca="false">VLOOKUP($A44,'PARASTATAL Questions'!$A:$J,6,0)</f>
        <v>10</v>
      </c>
      <c r="G44" s="11" t="n">
        <f aca="false">IF(OR(G45="ER",G46="ER"),"ER",IF(OR(G45="?",G46="?"),"?",IF(AND(G45="NA",G46="NA"),"NA",SUM(G45,G46)/((G45&lt;&gt;"NA")*$F$45+(G46&lt;&gt;"NA")*$F$46)*$F44)))</f>
        <v>2.5</v>
      </c>
      <c r="H44" s="11" t="str">
        <f aca="false">IF(OR(H45="ER",H46="ER"),"ER",IF(OR(H45="?",H46="?"),"?",IF(AND(H45="NA",H46="NA"),"NA",SUM(H45,H46)/((H45&lt;&gt;"NA")*$F$45+(H46&lt;&gt;"NA")*$F$46)*$F44)))</f>
        <v>?</v>
      </c>
      <c r="I44" s="11" t="str">
        <f aca="false">IF(OR(I45="ER",I46="ER"),"ER",IF(OR(I45="?",I46="?"),"?",IF(AND(I45="NA",I46="NA"),"NA",SUM(I45,I46)/((I45&lt;&gt;"NA")*$F$45+(I46&lt;&gt;"NA")*$F$46)*$F44)))</f>
        <v>NA</v>
      </c>
      <c r="J44" s="11" t="n">
        <f aca="false">IF(OR(J45="ER",J46="ER"),"ER",IF(OR(J45="?",J46="?"),"?",IF(AND(J45="NA",J46="NA"),"NA",SUM(J45,J46)/((J45&lt;&gt;"NA")*$F$45+(J46&lt;&gt;"NA")*$F$46)*$F44)))</f>
        <v>5</v>
      </c>
      <c r="K44" s="11" t="str">
        <f aca="false">IF(OR(K45="ER",K46="ER"),"ER",IF(OR(K45="?",K46="?"),"?",IF(AND(K45="NA",K46="NA"),"NA",SUM(K45,K46)/((K45&lt;&gt;"NA")*$F$45+(K46&lt;&gt;"NA")*$F$46)*$F44)))</f>
        <v>NA</v>
      </c>
      <c r="L44" s="11" t="str">
        <f aca="false">IF(OR(L45="ER",L46="ER"),"ER",IF(OR(L45="?",L46="?"),"?",IF(AND(L45="NA",L46="NA"),"NA",SUM(L45,L46)/((L45&lt;&gt;"NA")*$F$45+(L46&lt;&gt;"NA")*$F$46)*$F44)))</f>
        <v>NA</v>
      </c>
      <c r="M44" s="11" t="str">
        <f aca="false">IF(OR(M45="ER",M46="ER"),"ER",IF(OR(M45="?",M46="?"),"?",IF(AND(M45="NA",M46="NA"),"NA",SUM(M45,M46)/((M45&lt;&gt;"NA")*$F$45+(M46&lt;&gt;"NA")*$F$46)*$F44)))</f>
        <v>?</v>
      </c>
    </row>
    <row r="45" customFormat="false" ht="15" hidden="false" customHeight="true" outlineLevel="0" collapsed="false">
      <c r="A45" s="9" t="s">
        <v>318</v>
      </c>
      <c r="B45" s="9" t="str">
        <f aca="false">VLOOKUP($A45,'PARASTATAL Questions'!$A:$J,3,0)&amp;""</f>
        <v>Decentralised Participatory Governance</v>
      </c>
      <c r="C45" s="9" t="str">
        <f aca="false">VLOOKUP($A45,'PARASTATAL Questions'!$A:$J,4,0)&amp;""</f>
        <v>SQ</v>
      </c>
      <c r="D45" s="9" t="str">
        <f aca="false">VLOOKUP($A45,'PARASTATAL Questions'!$A:$J,5,0)&amp;""</f>
        <v>Is citizen participation in the preparation of the parastatal's plans mandated?</v>
      </c>
      <c r="E45" s="9" t="str">
        <f aca="false">VLOOKUP($A45,'PARASTATAL Questions'!$A:$J,7,0)&amp;""</f>
        <v>Law/Policy</v>
      </c>
      <c r="F45" s="9" t="n">
        <f aca="false">VLOOKUP($A45,'PARASTATAL Questions'!$A:$J,6,0)</f>
        <v>5</v>
      </c>
      <c r="G45" s="9" t="n">
        <f aca="true">IF($F45=0,"NA",IF($A45=INDIRECT("'"&amp;$A45&amp;"'!$B$1"),IF(VLOOKUP(G$1,INDIRECT("'"&amp;$A45&amp;"'!$A$12:$Z$19"),MATCH("Points (Auto-generate)",INDIRECT("'"&amp;$A45&amp;"'!$A$12:$Z$12"),0),0)="","?",VLOOKUP(G$1,INDIRECT("'"&amp;$A45&amp;"'!$A$12:$Z$19"),MATCH("Points (Auto-generate)",INDIRECT("'"&amp;$A45&amp;"'!$A$12:$Z$12"),0),0)),"ER"))</f>
        <v>0</v>
      </c>
      <c r="H45" s="9" t="n">
        <f aca="true">IF($F45=0,"NA",IF($A45=INDIRECT("'"&amp;$A45&amp;"'!$B$1"),IF(VLOOKUP(H$1,INDIRECT("'"&amp;$A45&amp;"'!$A$12:$Z$19"),MATCH("Points (Auto-generate)",INDIRECT("'"&amp;$A45&amp;"'!$A$12:$Z$12"),0),0)="","?",VLOOKUP(H$1,INDIRECT("'"&amp;$A45&amp;"'!$A$12:$Z$19"),MATCH("Points (Auto-generate)",INDIRECT("'"&amp;$A45&amp;"'!$A$12:$Z$12"),0),0)),"ER"))</f>
        <v>2.5</v>
      </c>
      <c r="I45" s="9" t="str">
        <f aca="true">IF($F45=0,"NA",IF($A45=INDIRECT("'"&amp;$A45&amp;"'!$B$1"),IF(VLOOKUP(I$1,INDIRECT("'"&amp;$A45&amp;"'!$A$12:$Z$19"),MATCH("Points (Auto-generate)",INDIRECT("'"&amp;$A45&amp;"'!$A$12:$Z$12"),0),0)="","?",VLOOKUP(I$1,INDIRECT("'"&amp;$A45&amp;"'!$A$12:$Z$19"),MATCH("Points (Auto-generate)",INDIRECT("'"&amp;$A45&amp;"'!$A$12:$Z$12"),0),0)),"ER"))</f>
        <v>NA</v>
      </c>
      <c r="J45" s="9" t="n">
        <f aca="true">IF($F45=0,"NA",IF($A45=INDIRECT("'"&amp;$A45&amp;"'!$B$1"),IF(VLOOKUP(J$1,INDIRECT("'"&amp;$A45&amp;"'!$A$12:$Z$19"),MATCH("Points (Auto-generate)",INDIRECT("'"&amp;$A45&amp;"'!$A$12:$Z$12"),0),0)="","?",VLOOKUP(J$1,INDIRECT("'"&amp;$A45&amp;"'!$A$12:$Z$19"),MATCH("Points (Auto-generate)",INDIRECT("'"&amp;$A45&amp;"'!$A$12:$Z$12"),0),0)),"ER"))</f>
        <v>2.5</v>
      </c>
      <c r="K45" s="9" t="str">
        <f aca="true">IF($F45=0,"NA",IF($A45=INDIRECT("'"&amp;$A45&amp;"'!$B$1"),IF(VLOOKUP(K$1,INDIRECT("'"&amp;$A45&amp;"'!$A$12:$Z$19"),MATCH("Points (Auto-generate)",INDIRECT("'"&amp;$A45&amp;"'!$A$12:$Z$12"),0),0)="","?",VLOOKUP(K$1,INDIRECT("'"&amp;$A45&amp;"'!$A$12:$Z$19"),MATCH("Points (Auto-generate)",INDIRECT("'"&amp;$A45&amp;"'!$A$12:$Z$12"),0),0)),"ER"))</f>
        <v>NA</v>
      </c>
      <c r="L45" s="9" t="str">
        <f aca="true">IF($F45=0,"NA",IF($A45=INDIRECT("'"&amp;$A45&amp;"'!$B$1"),IF(VLOOKUP(L$1,INDIRECT("'"&amp;$A45&amp;"'!$A$12:$Z$19"),MATCH("Points (Auto-generate)",INDIRECT("'"&amp;$A45&amp;"'!$A$12:$Z$12"),0),0)="","?",VLOOKUP(L$1,INDIRECT("'"&amp;$A45&amp;"'!$A$12:$Z$19"),MATCH("Points (Auto-generate)",INDIRECT("'"&amp;$A45&amp;"'!$A$12:$Z$12"),0),0)),"ER"))</f>
        <v>NA</v>
      </c>
      <c r="M45" s="9"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9" t="s">
        <v>330</v>
      </c>
      <c r="B46" s="9" t="str">
        <f aca="false">VLOOKUP($A46,'PARASTATAL Questions'!$A:$J,3,0)&amp;""</f>
        <v>Decentralised Participatory Governance</v>
      </c>
      <c r="C46" s="9" t="str">
        <f aca="false">VLOOKUP($A46,'PARASTATAL Questions'!$A:$J,4,0)&amp;""</f>
        <v>SQ</v>
      </c>
      <c r="D46" s="9" t="str">
        <f aca="false">VLOOKUP($A46,'PARASTATAL Questions'!$A:$J,5,0)&amp;""</f>
        <v>Are citizens consulted in practice in the preparation of plans by the parastatal?</v>
      </c>
      <c r="E46" s="9" t="str">
        <f aca="false">VLOOKUP($A46,'PARASTATAL Questions'!$A:$J,7,0)&amp;""</f>
        <v>Law/Policy</v>
      </c>
      <c r="F46" s="9" t="n">
        <f aca="false">VLOOKUP($A46,'PARASTATAL Questions'!$A:$J,6,0)</f>
        <v>5</v>
      </c>
      <c r="G46" s="9" t="n">
        <f aca="true">IF($F46=0,"NA",IF($A46=INDIRECT("'"&amp;$A46&amp;"'!$B$1"),IF(VLOOKUP(G$1,INDIRECT("'"&amp;$A46&amp;"'!$A$12:$Z$19"),MATCH("Points (Auto-generate)",INDIRECT("'"&amp;$A46&amp;"'!$A$12:$Z$12"),0),0)="","?",VLOOKUP(G$1,INDIRECT("'"&amp;$A46&amp;"'!$A$12:$Z$19"),MATCH("Points (Auto-generate)",INDIRECT("'"&amp;$A46&amp;"'!$A$12:$Z$12"),0),0)),"ER"))</f>
        <v>2.5</v>
      </c>
      <c r="H46" s="9" t="str">
        <f aca="true">IF($F46=0,"NA",IF($A46=INDIRECT("'"&amp;$A46&amp;"'!$B$1"),IF(VLOOKUP(H$1,INDIRECT("'"&amp;$A46&amp;"'!$A$12:$Z$19"),MATCH("Points (Auto-generate)",INDIRECT("'"&amp;$A46&amp;"'!$A$12:$Z$12"),0),0)="","?",VLOOKUP(H$1,INDIRECT("'"&amp;$A46&amp;"'!$A$12:$Z$19"),MATCH("Points (Auto-generate)",INDIRECT("'"&amp;$A46&amp;"'!$A$12:$Z$12"),0),0)),"ER"))</f>
        <v>?</v>
      </c>
      <c r="I46" s="9" t="str">
        <f aca="true">IF($F46=0,"NA",IF($A46=INDIRECT("'"&amp;$A46&amp;"'!$B$1"),IF(VLOOKUP(I$1,INDIRECT("'"&amp;$A46&amp;"'!$A$12:$Z$19"),MATCH("Points (Auto-generate)",INDIRECT("'"&amp;$A46&amp;"'!$A$12:$Z$12"),0),0)="","?",VLOOKUP(I$1,INDIRECT("'"&amp;$A46&amp;"'!$A$12:$Z$19"),MATCH("Points (Auto-generate)",INDIRECT("'"&amp;$A46&amp;"'!$A$12:$Z$12"),0),0)),"ER"))</f>
        <v>NA</v>
      </c>
      <c r="J46" s="9" t="n">
        <f aca="true">IF($F46=0,"NA",IF($A46=INDIRECT("'"&amp;$A46&amp;"'!$B$1"),IF(VLOOKUP(J$1,INDIRECT("'"&amp;$A46&amp;"'!$A$12:$Z$19"),MATCH("Points (Auto-generate)",INDIRECT("'"&amp;$A46&amp;"'!$A$12:$Z$12"),0),0)="","?",VLOOKUP(J$1,INDIRECT("'"&amp;$A46&amp;"'!$A$12:$Z$19"),MATCH("Points (Auto-generate)",INDIRECT("'"&amp;$A46&amp;"'!$A$12:$Z$12"),0),0)),"ER"))</f>
        <v>2.5</v>
      </c>
      <c r="K46" s="9" t="str">
        <f aca="true">IF($F46=0,"NA",IF($A46=INDIRECT("'"&amp;$A46&amp;"'!$B$1"),IF(VLOOKUP(K$1,INDIRECT("'"&amp;$A46&amp;"'!$A$12:$Z$19"),MATCH("Points (Auto-generate)",INDIRECT("'"&amp;$A46&amp;"'!$A$12:$Z$12"),0),0)="","?",VLOOKUP(K$1,INDIRECT("'"&amp;$A46&amp;"'!$A$12:$Z$19"),MATCH("Points (Auto-generate)",INDIRECT("'"&amp;$A46&amp;"'!$A$12:$Z$12"),0),0)),"ER"))</f>
        <v>NA</v>
      </c>
      <c r="L46" s="9" t="str">
        <f aca="true">IF($F46=0,"NA",IF($A46=INDIRECT("'"&amp;$A46&amp;"'!$B$1"),IF(VLOOKUP(L$1,INDIRECT("'"&amp;$A46&amp;"'!$A$12:$Z$19"),MATCH("Points (Auto-generate)",INDIRECT("'"&amp;$A46&amp;"'!$A$12:$Z$12"),0),0)="","?",VLOOKUP(L$1,INDIRECT("'"&amp;$A46&amp;"'!$A$12:$Z$19"),MATCH("Points (Auto-generate)",INDIRECT("'"&amp;$A46&amp;"'!$A$12:$Z$12"),0),0)),"ER"))</f>
        <v>NA</v>
      </c>
      <c r="M46" s="9" t="str">
        <f aca="true">IF($F46=0,"NA",IF($A46=INDIRECT("'"&amp;$A46&amp;"'!$B$1"),IF(VLOOKUP(M$1,INDIRECT("'"&amp;$A46&amp;"'!$A$12:$Z$19"),MATCH("Points (Auto-generate)",INDIRECT("'"&amp;$A46&amp;"'!$A$12:$Z$12"),0),0)="","?",VLOOKUP(M$1,INDIRECT("'"&amp;$A46&amp;"'!$A$12:$Z$19"),MATCH("Points (Auto-generate)",INDIRECT("'"&amp;$A46&amp;"'!$A$12:$Z$12"),0),0)),"ER"))</f>
        <v>?</v>
      </c>
    </row>
    <row r="47" customFormat="false" ht="15" hidden="false" customHeight="true" outlineLevel="0" collapsed="false">
      <c r="A47" s="11" t="s">
        <v>339</v>
      </c>
      <c r="B47" s="11" t="str">
        <f aca="false">VLOOKUP($A47,'PARASTATAL Questions'!$A:$J,3,0)&amp;""</f>
        <v>State Capacities</v>
      </c>
      <c r="C47" s="11" t="str">
        <f aca="false">VLOOKUP($A47,'PARASTATAL Questions'!$A:$J,4,0)&amp;""</f>
        <v>MQ</v>
      </c>
      <c r="D47" s="11" t="str">
        <f aca="false">VLOOKUP($A47,'PARASTATAL Questions'!$A:$J,5,0)&amp;""</f>
        <v>What proportion of the parastatal's total expenditure is financed through its own revenues?</v>
      </c>
      <c r="E47" s="11" t="str">
        <f aca="false">VLOOKUP($A47,'PARASTATAL Questions'!$A:$J,7,0)&amp;""</f>
        <v>Implementation (Numeric)</v>
      </c>
      <c r="F47" s="11" t="n">
        <f aca="false">VLOOKUP($A47,'PARASTATAL Questions'!$A:$J,6,0)</f>
        <v>10</v>
      </c>
      <c r="G47" s="11" t="str">
        <f aca="true">IF($F47=0,"NA",IF($A47=INDIRECT("'"&amp;$A47&amp;"'!$B$1"),IF(VLOOKUP(G$1,INDIRECT("'"&amp;$A47&amp;"'!$A$12:$Z$19"),MATCH("Points (Auto-generate)",INDIRECT("'"&amp;$A47&amp;"'!$A$12:$Z$12"),0),0)="","?",VLOOKUP(G$1,INDIRECT("'"&amp;$A47&amp;"'!$A$12:$Z$19"),MATCH("Points (Auto-generate)",INDIRECT("'"&amp;$A47&amp;"'!$A$12:$Z$12"),0),0)),"ER"))</f>
        <v>?</v>
      </c>
      <c r="H47" s="11" t="str">
        <f aca="true">IF($F47=0,"NA",IF($A47=INDIRECT("'"&amp;$A47&amp;"'!$B$1"),IF(VLOOKUP(H$1,INDIRECT("'"&amp;$A47&amp;"'!$A$12:$Z$19"),MATCH("Points (Auto-generate)",INDIRECT("'"&amp;$A47&amp;"'!$A$12:$Z$12"),0),0)="","?",VLOOKUP(H$1,INDIRECT("'"&amp;$A47&amp;"'!$A$12:$Z$19"),MATCH("Points (Auto-generate)",INDIRECT("'"&amp;$A47&amp;"'!$A$12:$Z$12"),0),0)),"ER"))</f>
        <v>?</v>
      </c>
      <c r="I47" s="11" t="str">
        <f aca="true">IF($F47=0,"NA",IF($A47=INDIRECT("'"&amp;$A47&amp;"'!$B$1"),IF(VLOOKUP(I$1,INDIRECT("'"&amp;$A47&amp;"'!$A$12:$Z$19"),MATCH("Points (Auto-generate)",INDIRECT("'"&amp;$A47&amp;"'!$A$12:$Z$12"),0),0)="","?",VLOOKUP(I$1,INDIRECT("'"&amp;$A47&amp;"'!$A$12:$Z$19"),MATCH("Points (Auto-generate)",INDIRECT("'"&amp;$A47&amp;"'!$A$12:$Z$12"),0),0)),"ER"))</f>
        <v>?</v>
      </c>
      <c r="J47" s="11" t="str">
        <f aca="true">IF($F47=0,"NA",IF($A47=INDIRECT("'"&amp;$A47&amp;"'!$B$1"),IF(VLOOKUP(J$1,INDIRECT("'"&amp;$A47&amp;"'!$A$12:$Z$19"),MATCH("Points (Auto-generate)",INDIRECT("'"&amp;$A47&amp;"'!$A$12:$Z$12"),0),0)="","?",VLOOKUP(J$1,INDIRECT("'"&amp;$A47&amp;"'!$A$12:$Z$19"),MATCH("Points (Auto-generate)",INDIRECT("'"&amp;$A47&amp;"'!$A$12:$Z$12"),0),0)),"ER"))</f>
        <v>NA</v>
      </c>
      <c r="K47" s="11" t="str">
        <f aca="true">IF($F47=0,"NA",IF($A47=INDIRECT("'"&amp;$A47&amp;"'!$B$1"),IF(VLOOKUP(K$1,INDIRECT("'"&amp;$A47&amp;"'!$A$12:$Z$19"),MATCH("Points (Auto-generate)",INDIRECT("'"&amp;$A47&amp;"'!$A$12:$Z$12"),0),0)="","?",VLOOKUP(K$1,INDIRECT("'"&amp;$A47&amp;"'!$A$12:$Z$19"),MATCH("Points (Auto-generate)",INDIRECT("'"&amp;$A47&amp;"'!$A$12:$Z$12"),0),0)),"ER"))</f>
        <v>NA</v>
      </c>
      <c r="L47" s="11" t="str">
        <f aca="true">IF($F47=0,"NA",IF($A47=INDIRECT("'"&amp;$A47&amp;"'!$B$1"),IF(VLOOKUP(L$1,INDIRECT("'"&amp;$A47&amp;"'!$A$12:$Z$19"),MATCH("Points (Auto-generate)",INDIRECT("'"&amp;$A47&amp;"'!$A$12:$Z$12"),0),0)="","?",VLOOKUP(L$1,INDIRECT("'"&amp;$A47&amp;"'!$A$12:$Z$19"),MATCH("Points (Auto-generate)",INDIRECT("'"&amp;$A47&amp;"'!$A$12:$Z$12"),0),0)),"ER"))</f>
        <v>NA</v>
      </c>
      <c r="M47" s="11"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11" t="s">
        <v>352</v>
      </c>
      <c r="B48" s="11" t="str">
        <f aca="false">VLOOKUP($A48,'PARASTATAL Questions'!$A:$J,3,0)&amp;""</f>
        <v>State Capacities</v>
      </c>
      <c r="C48" s="11" t="str">
        <f aca="false">VLOOKUP($A48,'PARASTATAL Questions'!$A:$J,4,0)&amp;""</f>
        <v>MQ</v>
      </c>
      <c r="D48" s="11" t="str">
        <f aca="false">VLOOKUP($A48,'PARASTATAL Questions'!$A:$J,5,0)&amp;""</f>
        <v>What is the parastatal's per-capita capital expenditure?</v>
      </c>
      <c r="E48" s="11" t="str">
        <f aca="false">VLOOKUP($A48,'PARASTATAL Questions'!$A:$J,7,0)&amp;""</f>
        <v>Implementation (Numeric)</v>
      </c>
      <c r="F48" s="11" t="n">
        <f aca="false">VLOOKUP($A48,'PARASTATAL Questions'!$A:$J,6,0)</f>
        <v>10</v>
      </c>
      <c r="G48" s="11" t="str">
        <f aca="true">IF($F48=0,"NA",IF($A48=INDIRECT("'"&amp;$A48&amp;"'!$B$1"),IF(VLOOKUP(G$1,INDIRECT("'"&amp;$A48&amp;"'!$A$12:$Z$19"),MATCH("Points (Auto-generate)",INDIRECT("'"&amp;$A48&amp;"'!$A$12:$Z$12"),0),0)="","?",VLOOKUP(G$1,INDIRECT("'"&amp;$A48&amp;"'!$A$12:$Z$19"),MATCH("Points (Auto-generate)",INDIRECT("'"&amp;$A48&amp;"'!$A$12:$Z$12"),0),0)),"ER"))</f>
        <v>?</v>
      </c>
      <c r="H48" s="11" t="str">
        <f aca="true">IF($F48=0,"NA",IF($A48=INDIRECT("'"&amp;$A48&amp;"'!$B$1"),IF(VLOOKUP(H$1,INDIRECT("'"&amp;$A48&amp;"'!$A$12:$Z$19"),MATCH("Points (Auto-generate)",INDIRECT("'"&amp;$A48&amp;"'!$A$12:$Z$12"),0),0)="","?",VLOOKUP(H$1,INDIRECT("'"&amp;$A48&amp;"'!$A$12:$Z$19"),MATCH("Points (Auto-generate)",INDIRECT("'"&amp;$A48&amp;"'!$A$12:$Z$12"),0),0)),"ER"))</f>
        <v>?</v>
      </c>
      <c r="I48" s="11" t="str">
        <f aca="true">IF($F48=0,"NA",IF($A48=INDIRECT("'"&amp;$A48&amp;"'!$B$1"),IF(VLOOKUP(I$1,INDIRECT("'"&amp;$A48&amp;"'!$A$12:$Z$19"),MATCH("Points (Auto-generate)",INDIRECT("'"&amp;$A48&amp;"'!$A$12:$Z$12"),0),0)="","?",VLOOKUP(I$1,INDIRECT("'"&amp;$A48&amp;"'!$A$12:$Z$19"),MATCH("Points (Auto-generate)",INDIRECT("'"&amp;$A48&amp;"'!$A$12:$Z$12"),0),0)),"ER"))</f>
        <v>?</v>
      </c>
      <c r="J48" s="11" t="str">
        <f aca="true">IF($F48=0,"NA",IF($A48=INDIRECT("'"&amp;$A48&amp;"'!$B$1"),IF(VLOOKUP(J$1,INDIRECT("'"&amp;$A48&amp;"'!$A$12:$Z$19"),MATCH("Points (Auto-generate)",INDIRECT("'"&amp;$A48&amp;"'!$A$12:$Z$12"),0),0)="","?",VLOOKUP(J$1,INDIRECT("'"&amp;$A48&amp;"'!$A$12:$Z$19"),MATCH("Points (Auto-generate)",INDIRECT("'"&amp;$A48&amp;"'!$A$12:$Z$12"),0),0)),"ER"))</f>
        <v>?</v>
      </c>
      <c r="K48" s="11" t="str">
        <f aca="true">IF($F48=0,"NA",IF($A48=INDIRECT("'"&amp;$A48&amp;"'!$B$1"),IF(VLOOKUP(K$1,INDIRECT("'"&amp;$A48&amp;"'!$A$12:$Z$19"),MATCH("Points (Auto-generate)",INDIRECT("'"&amp;$A48&amp;"'!$A$12:$Z$12"),0),0)="","?",VLOOKUP(K$1,INDIRECT("'"&amp;$A48&amp;"'!$A$12:$Z$19"),MATCH("Points (Auto-generate)",INDIRECT("'"&amp;$A48&amp;"'!$A$12:$Z$12"),0),0)),"ER"))</f>
        <v>NA</v>
      </c>
      <c r="L48" s="11" t="str">
        <f aca="true">IF($F48=0,"NA",IF($A48=INDIRECT("'"&amp;$A48&amp;"'!$B$1"),IF(VLOOKUP(L$1,INDIRECT("'"&amp;$A48&amp;"'!$A$12:$Z$19"),MATCH("Points (Auto-generate)",INDIRECT("'"&amp;$A48&amp;"'!$A$12:$Z$12"),0),0)="","?",VLOOKUP(L$1,INDIRECT("'"&amp;$A48&amp;"'!$A$12:$Z$19"),MATCH("Points (Auto-generate)",INDIRECT("'"&amp;$A48&amp;"'!$A$12:$Z$12"),0),0)),"ER"))</f>
        <v>NA</v>
      </c>
      <c r="M48" s="11"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11" t="s">
        <v>358</v>
      </c>
      <c r="B49" s="11" t="str">
        <f aca="false">VLOOKUP($A49,'PARASTATAL Questions'!$A:$J,3,0)&amp;""</f>
        <v>State Capacities</v>
      </c>
      <c r="C49" s="11" t="str">
        <f aca="false">VLOOKUP($A49,'PARASTATAL Questions'!$A:$J,4,0)&amp;""</f>
        <v>MQ</v>
      </c>
      <c r="D49" s="11" t="str">
        <f aca="false">VLOOKUP($A49,'PARASTATAL Questions'!$A:$J,5,0)&amp;""</f>
        <v>How realistic is the parastatal's annual budget?</v>
      </c>
      <c r="E49" s="11" t="str">
        <f aca="false">VLOOKUP($A49,'PARASTATAL Questions'!$A:$J,7,0)&amp;""</f>
        <v>Implementation (Numeric)</v>
      </c>
      <c r="F49" s="11" t="n">
        <f aca="false">VLOOKUP($A49,'PARASTATAL Questions'!$A:$J,6,0)</f>
        <v>10</v>
      </c>
      <c r="G49" s="11" t="str">
        <f aca="true">IF($F49=0,"NA",IF($A49=INDIRECT("'"&amp;$A49&amp;"'!$B$1"),IF(VLOOKUP(G$1,INDIRECT("'"&amp;$A49&amp;"'!$A$12:$Z$19"),MATCH("Points (Auto-generate)",INDIRECT("'"&amp;$A49&amp;"'!$A$12:$Z$12"),0),0)="","?",VLOOKUP(G$1,INDIRECT("'"&amp;$A49&amp;"'!$A$12:$Z$19"),MATCH("Points (Auto-generate)",INDIRECT("'"&amp;$A49&amp;"'!$A$12:$Z$12"),0),0)),"ER"))</f>
        <v>?</v>
      </c>
      <c r="H49" s="11" t="str">
        <f aca="true">IF($F49=0,"NA",IF($A49=INDIRECT("'"&amp;$A49&amp;"'!$B$1"),IF(VLOOKUP(H$1,INDIRECT("'"&amp;$A49&amp;"'!$A$12:$Z$19"),MATCH("Points (Auto-generate)",INDIRECT("'"&amp;$A49&amp;"'!$A$12:$Z$12"),0),0)="","?",VLOOKUP(H$1,INDIRECT("'"&amp;$A49&amp;"'!$A$12:$Z$19"),MATCH("Points (Auto-generate)",INDIRECT("'"&amp;$A49&amp;"'!$A$12:$Z$12"),0),0)),"ER"))</f>
        <v>?</v>
      </c>
      <c r="I49" s="11" t="str">
        <f aca="true">IF($F49=0,"NA",IF($A49=INDIRECT("'"&amp;$A49&amp;"'!$B$1"),IF(VLOOKUP(I$1,INDIRECT("'"&amp;$A49&amp;"'!$A$12:$Z$19"),MATCH("Points (Auto-generate)",INDIRECT("'"&amp;$A49&amp;"'!$A$12:$Z$12"),0),0)="","?",VLOOKUP(I$1,INDIRECT("'"&amp;$A49&amp;"'!$A$12:$Z$19"),MATCH("Points (Auto-generate)",INDIRECT("'"&amp;$A49&amp;"'!$A$12:$Z$12"),0),0)),"ER"))</f>
        <v>?</v>
      </c>
      <c r="J49" s="11" t="str">
        <f aca="true">IF($F49=0,"NA",IF($A49=INDIRECT("'"&amp;$A49&amp;"'!$B$1"),IF(VLOOKUP(J$1,INDIRECT("'"&amp;$A49&amp;"'!$A$12:$Z$19"),MATCH("Points (Auto-generate)",INDIRECT("'"&amp;$A49&amp;"'!$A$12:$Z$12"),0),0)="","?",VLOOKUP(J$1,INDIRECT("'"&amp;$A49&amp;"'!$A$12:$Z$19"),MATCH("Points (Auto-generate)",INDIRECT("'"&amp;$A49&amp;"'!$A$12:$Z$12"),0),0)),"ER"))</f>
        <v>?</v>
      </c>
      <c r="K49" s="11" t="str">
        <f aca="true">IF($F49=0,"NA",IF($A49=INDIRECT("'"&amp;$A49&amp;"'!$B$1"),IF(VLOOKUP(K$1,INDIRECT("'"&amp;$A49&amp;"'!$A$12:$Z$19"),MATCH("Points (Auto-generate)",INDIRECT("'"&amp;$A49&amp;"'!$A$12:$Z$12"),0),0)="","?",VLOOKUP(K$1,INDIRECT("'"&amp;$A49&amp;"'!$A$12:$Z$19"),MATCH("Points (Auto-generate)",INDIRECT("'"&amp;$A49&amp;"'!$A$12:$Z$12"),0),0)),"ER"))</f>
        <v>?</v>
      </c>
      <c r="L49" s="11" t="str">
        <f aca="true">IF($F49=0,"NA",IF($A49=INDIRECT("'"&amp;$A49&amp;"'!$B$1"),IF(VLOOKUP(L$1,INDIRECT("'"&amp;$A49&amp;"'!$A$12:$Z$19"),MATCH("Points (Auto-generate)",INDIRECT("'"&amp;$A49&amp;"'!$A$12:$Z$12"),0),0)="","?",VLOOKUP(L$1,INDIRECT("'"&amp;$A49&amp;"'!$A$12:$Z$19"),MATCH("Points (Auto-generate)",INDIRECT("'"&amp;$A49&amp;"'!$A$12:$Z$12"),0),0)),"ER"))</f>
        <v>?</v>
      </c>
      <c r="M49" s="11"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11" t="s">
        <v>454</v>
      </c>
      <c r="B50" s="11" t="str">
        <f aca="false">VLOOKUP($A50,'PARASTATAL Questions'!$A:$J,3,0)&amp;""</f>
        <v>State Capacities</v>
      </c>
      <c r="C50" s="11" t="str">
        <f aca="false">VLOOKUP($A50,'PARASTATAL Questions'!$A:$J,4,0)&amp;""</f>
        <v>MQ</v>
      </c>
      <c r="D50" s="11" t="str">
        <f aca="false">VLOOKUP($A50,'PARASTATAL Questions'!$A:$J,5,0)&amp;""</f>
        <v>Is the parastatal mandated to prepare a medium-term and/or long-term fiscal plan, and has it prepared a current plan in accordance with that mandate?</v>
      </c>
      <c r="E50" s="11" t="str">
        <f aca="false">VLOOKUP($A50,'PARASTATAL Questions'!$A:$J,7,0)&amp;""</f>
        <v>Law/Policy</v>
      </c>
      <c r="F50" s="11" t="n">
        <f aca="false">VLOOKUP($A50,'PARASTATAL Questions'!$A:$J,6,0)</f>
        <v>10</v>
      </c>
      <c r="G50" s="11" t="str">
        <f aca="false">IF(OR(G51="ER",G52="ER"),"ER",IF(OR(G51="?",G52="?"),"?",IF(AND(G51="NA",G52="NA"),"NA",SUM(G51,G52)/((G51&lt;&gt;"NA")*$F$51+(G52&lt;&gt;"NA")*$F$52)*$F50)))</f>
        <v>?</v>
      </c>
      <c r="H50" s="11" t="str">
        <f aca="false">IF(OR(H51="ER",H52="ER"),"ER",IF(OR(H51="?",H52="?"),"?",IF(AND(H51="NA",H52="NA"),"NA",SUM(H51,H52)/((H51&lt;&gt;"NA")*$F$51+(H52&lt;&gt;"NA")*$F$52)*$F50)))</f>
        <v>?</v>
      </c>
      <c r="I50" s="11" t="str">
        <f aca="false">IF(OR(I51="ER",I52="ER"),"ER",IF(OR(I51="?",I52="?"),"?",IF(AND(I51="NA",I52="NA"),"NA",SUM(I51,I52)/((I51&lt;&gt;"NA")*$F$51+(I52&lt;&gt;"NA")*$F$52)*$F50)))</f>
        <v>?</v>
      </c>
      <c r="J50" s="11" t="str">
        <f aca="false">IF(OR(J51="ER",J52="ER"),"ER",IF(OR(J51="?",J52="?"),"?",IF(AND(J51="NA",J52="NA"),"NA",SUM(J51,J52)/((J51&lt;&gt;"NA")*$F$51+(J52&lt;&gt;"NA")*$F$52)*$F50)))</f>
        <v>?</v>
      </c>
      <c r="K50" s="11" t="str">
        <f aca="false">IF(OR(K51="ER",K52="ER"),"ER",IF(OR(K51="?",K52="?"),"?",IF(AND(K51="NA",K52="NA"),"NA",SUM(K51,K52)/((K51&lt;&gt;"NA")*$F$51+(K52&lt;&gt;"NA")*$F$52)*$F50)))</f>
        <v>?</v>
      </c>
      <c r="L50" s="11" t="str">
        <f aca="false">IF(OR(L51="ER",L52="ER"),"ER",IF(OR(L51="?",L52="?"),"?",IF(AND(L51="NA",L52="NA"),"NA",SUM(L51,L52)/((L51&lt;&gt;"NA")*$F$51+(L52&lt;&gt;"NA")*$F$52)*$F50)))</f>
        <v>?</v>
      </c>
      <c r="M50" s="11" t="str">
        <f aca="false">IF(OR(M51="ER",M52="ER"),"ER",IF(OR(M51="?",M52="?"),"?",IF(AND(M51="NA",M52="NA"),"NA",SUM(M51,M52)/((M51&lt;&gt;"NA")*$F$51+(M52&lt;&gt;"NA")*$F$52)*$F50)))</f>
        <v>?</v>
      </c>
    </row>
    <row r="51" customFormat="false" ht="15" hidden="false" customHeight="true" outlineLevel="0" collapsed="false">
      <c r="A51" s="9" t="s">
        <v>365</v>
      </c>
      <c r="B51" s="9" t="str">
        <f aca="false">VLOOKUP($A51,'PARASTATAL Questions'!$A:$J,3,0)&amp;""</f>
        <v>State Capacities</v>
      </c>
      <c r="C51" s="9" t="str">
        <f aca="false">VLOOKUP($A51,'PARASTATAL Questions'!$A:$J,4,0)&amp;""</f>
        <v>SQ</v>
      </c>
      <c r="D51" s="9" t="str">
        <f aca="false">VLOOKUP($A51,'PARASTATAL Questions'!$A:$J,5,0)&amp;""</f>
        <v>Is a medium-term (3-5 year) and/or long-term (&gt;5 year) fiscal plan legally mandated?</v>
      </c>
      <c r="E51" s="9" t="str">
        <f aca="false">VLOOKUP($A51,'PARASTATAL Questions'!$A:$J,7,0)&amp;""</f>
        <v>Law/Policy</v>
      </c>
      <c r="F51" s="9" t="n">
        <f aca="false">VLOOKUP($A51,'PARASTATAL Questions'!$A:$J,6,0)</f>
        <v>5</v>
      </c>
      <c r="G51" s="9" t="n">
        <f aca="true">IF($F51=0,"NA",IF($A51=INDIRECT("'"&amp;$A51&amp;"'!$B$1"),IF(VLOOKUP(G$1,INDIRECT("'"&amp;$A51&amp;"'!$A$12:$Z$19"),MATCH("Points (Auto-generate)",INDIRECT("'"&amp;$A51&amp;"'!$A$12:$Z$12"),0),0)="","?",VLOOKUP(G$1,INDIRECT("'"&amp;$A51&amp;"'!$A$12:$Z$19"),MATCH("Points (Auto-generate)",INDIRECT("'"&amp;$A51&amp;"'!$A$12:$Z$12"),0),0)),"ER"))</f>
        <v>0</v>
      </c>
      <c r="H51" s="9" t="n">
        <f aca="true">IF($F51=0,"NA",IF($A51=INDIRECT("'"&amp;$A51&amp;"'!$B$1"),IF(VLOOKUP(H$1,INDIRECT("'"&amp;$A51&amp;"'!$A$12:$Z$19"),MATCH("Points (Auto-generate)",INDIRECT("'"&amp;$A51&amp;"'!$A$12:$Z$12"),0),0)="","?",VLOOKUP(H$1,INDIRECT("'"&amp;$A51&amp;"'!$A$12:$Z$19"),MATCH("Points (Auto-generate)",INDIRECT("'"&amp;$A51&amp;"'!$A$12:$Z$12"),0),0)),"ER"))</f>
        <v>0</v>
      </c>
      <c r="I51" s="9" t="n">
        <f aca="true">IF($F51=0,"NA",IF($A51=INDIRECT("'"&amp;$A51&amp;"'!$B$1"),IF(VLOOKUP(I$1,INDIRECT("'"&amp;$A51&amp;"'!$A$12:$Z$19"),MATCH("Points (Auto-generate)",INDIRECT("'"&amp;$A51&amp;"'!$A$12:$Z$12"),0),0)="","?",VLOOKUP(I$1,INDIRECT("'"&amp;$A51&amp;"'!$A$12:$Z$19"),MATCH("Points (Auto-generate)",INDIRECT("'"&amp;$A51&amp;"'!$A$12:$Z$12"),0),0)),"ER"))</f>
        <v>0</v>
      </c>
      <c r="J51" s="9" t="n">
        <f aca="true">IF($F51=0,"NA",IF($A51=INDIRECT("'"&amp;$A51&amp;"'!$B$1"),IF(VLOOKUP(J$1,INDIRECT("'"&amp;$A51&amp;"'!$A$12:$Z$19"),MATCH("Points (Auto-generate)",INDIRECT("'"&amp;$A51&amp;"'!$A$12:$Z$12"),0),0)="","?",VLOOKUP(J$1,INDIRECT("'"&amp;$A51&amp;"'!$A$12:$Z$19"),MATCH("Points (Auto-generate)",INDIRECT("'"&amp;$A51&amp;"'!$A$12:$Z$12"),0),0)),"ER"))</f>
        <v>0</v>
      </c>
      <c r="K51" s="9" t="n">
        <f aca="true">IF($F51=0,"NA",IF($A51=INDIRECT("'"&amp;$A51&amp;"'!$B$1"),IF(VLOOKUP(K$1,INDIRECT("'"&amp;$A51&amp;"'!$A$12:$Z$19"),MATCH("Points (Auto-generate)",INDIRECT("'"&amp;$A51&amp;"'!$A$12:$Z$12"),0),0)="","?",VLOOKUP(K$1,INDIRECT("'"&amp;$A51&amp;"'!$A$12:$Z$19"),MATCH("Points (Auto-generate)",INDIRECT("'"&amp;$A51&amp;"'!$A$12:$Z$12"),0),0)),"ER"))</f>
        <v>0</v>
      </c>
      <c r="L51" s="9" t="str">
        <f aca="true">IF($F51=0,"NA",IF($A51=INDIRECT("'"&amp;$A51&amp;"'!$B$1"),IF(VLOOKUP(L$1,INDIRECT("'"&amp;$A51&amp;"'!$A$12:$Z$19"),MATCH("Points (Auto-generate)",INDIRECT("'"&amp;$A51&amp;"'!$A$12:$Z$12"),0),0)="","?",VLOOKUP(L$1,INDIRECT("'"&amp;$A51&amp;"'!$A$12:$Z$19"),MATCH("Points (Auto-generate)",INDIRECT("'"&amp;$A51&amp;"'!$A$12:$Z$12"),0),0)),"ER"))</f>
        <v>?</v>
      </c>
      <c r="M51" s="9"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9" t="s">
        <v>378</v>
      </c>
      <c r="B52" s="9" t="str">
        <f aca="false">VLOOKUP($A52,'PARASTATAL Questions'!$A:$J,3,0)&amp;""</f>
        <v>State Capacities</v>
      </c>
      <c r="C52" s="9" t="str">
        <f aca="false">VLOOKUP($A52,'PARASTATAL Questions'!$A:$J,4,0)&amp;""</f>
        <v>SQ</v>
      </c>
      <c r="D52" s="9" t="str">
        <f aca="false">VLOOKUP($A52,'PARASTATAL Questions'!$A:$J,5,0)&amp;""</f>
        <v>Is the medium/long-term fiscal plan publicly available?</v>
      </c>
      <c r="E52" s="9" t="str">
        <f aca="false">VLOOKUP($A52,'PARASTATAL Questions'!$A:$J,7,0)&amp;""</f>
        <v>Implementation</v>
      </c>
      <c r="F52" s="9" t="n">
        <f aca="false">VLOOKUP($A52,'PARASTATAL Questions'!$A:$J,6,0)</f>
        <v>5</v>
      </c>
      <c r="G52" s="9" t="str">
        <f aca="true">IF($F52=0,"NA",IF($A52=INDIRECT("'"&amp;$A52&amp;"'!$B$1"),IF(VLOOKUP(G$1,INDIRECT("'"&amp;$A52&amp;"'!$A$12:$Z$19"),MATCH("Points (Auto-generate)",INDIRECT("'"&amp;$A52&amp;"'!$A$12:$Z$12"),0),0)="","?",VLOOKUP(G$1,INDIRECT("'"&amp;$A52&amp;"'!$A$12:$Z$19"),MATCH("Points (Auto-generate)",INDIRECT("'"&amp;$A52&amp;"'!$A$12:$Z$12"),0),0)),"ER"))</f>
        <v>?</v>
      </c>
      <c r="H52" s="9" t="str">
        <f aca="true">IF($F52=0,"NA",IF($A52=INDIRECT("'"&amp;$A52&amp;"'!$B$1"),IF(VLOOKUP(H$1,INDIRECT("'"&amp;$A52&amp;"'!$A$12:$Z$19"),MATCH("Points (Auto-generate)",INDIRECT("'"&amp;$A52&amp;"'!$A$12:$Z$12"),0),0)="","?",VLOOKUP(H$1,INDIRECT("'"&amp;$A52&amp;"'!$A$12:$Z$19"),MATCH("Points (Auto-generate)",INDIRECT("'"&amp;$A52&amp;"'!$A$12:$Z$12"),0),0)),"ER"))</f>
        <v>?</v>
      </c>
      <c r="I52" s="9" t="str">
        <f aca="true">IF($F52=0,"NA",IF($A52=INDIRECT("'"&amp;$A52&amp;"'!$B$1"),IF(VLOOKUP(I$1,INDIRECT("'"&amp;$A52&amp;"'!$A$12:$Z$19"),MATCH("Points (Auto-generate)",INDIRECT("'"&amp;$A52&amp;"'!$A$12:$Z$12"),0),0)="","?",VLOOKUP(I$1,INDIRECT("'"&amp;$A52&amp;"'!$A$12:$Z$19"),MATCH("Points (Auto-generate)",INDIRECT("'"&amp;$A52&amp;"'!$A$12:$Z$12"),0),0)),"ER"))</f>
        <v>?</v>
      </c>
      <c r="J52" s="9" t="str">
        <f aca="true">IF($F52=0,"NA",IF($A52=INDIRECT("'"&amp;$A52&amp;"'!$B$1"),IF(VLOOKUP(J$1,INDIRECT("'"&amp;$A52&amp;"'!$A$12:$Z$19"),MATCH("Points (Auto-generate)",INDIRECT("'"&amp;$A52&amp;"'!$A$12:$Z$12"),0),0)="","?",VLOOKUP(J$1,INDIRECT("'"&amp;$A52&amp;"'!$A$12:$Z$19"),MATCH("Points (Auto-generate)",INDIRECT("'"&amp;$A52&amp;"'!$A$12:$Z$12"),0),0)),"ER"))</f>
        <v>?</v>
      </c>
      <c r="K52" s="9" t="str">
        <f aca="true">IF($F52=0,"NA",IF($A52=INDIRECT("'"&amp;$A52&amp;"'!$B$1"),IF(VLOOKUP(K$1,INDIRECT("'"&amp;$A52&amp;"'!$A$12:$Z$19"),MATCH("Points (Auto-generate)",INDIRECT("'"&amp;$A52&amp;"'!$A$12:$Z$12"),0),0)="","?",VLOOKUP(K$1,INDIRECT("'"&amp;$A52&amp;"'!$A$12:$Z$19"),MATCH("Points (Auto-generate)",INDIRECT("'"&amp;$A52&amp;"'!$A$12:$Z$12"),0),0)),"ER"))</f>
        <v>?</v>
      </c>
      <c r="L52" s="9" t="str">
        <f aca="true">IF($F52=0,"NA",IF($A52=INDIRECT("'"&amp;$A52&amp;"'!$B$1"),IF(VLOOKUP(L$1,INDIRECT("'"&amp;$A52&amp;"'!$A$12:$Z$19"),MATCH("Points (Auto-generate)",INDIRECT("'"&amp;$A52&amp;"'!$A$12:$Z$12"),0),0)="","?",VLOOKUP(L$1,INDIRECT("'"&amp;$A52&amp;"'!$A$12:$Z$19"),MATCH("Points (Auto-generate)",INDIRECT("'"&amp;$A52&amp;"'!$A$12:$Z$12"),0),0)),"ER"))</f>
        <v>?</v>
      </c>
      <c r="M52" s="9"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11" t="s">
        <v>385</v>
      </c>
      <c r="B53" s="11" t="str">
        <f aca="false">VLOOKUP($A53,'PARASTATAL Questions'!$A:$J,3,0)&amp;""</f>
        <v>State Capacities</v>
      </c>
      <c r="C53" s="11" t="str">
        <f aca="false">VLOOKUP($A53,'PARASTATAL Questions'!$A:$J,4,0)&amp;""</f>
        <v>MQ</v>
      </c>
      <c r="D53" s="11" t="str">
        <f aca="false">VLOOKUP($A53,'PARASTATAL Questions'!$A:$J,5,0)&amp;""</f>
        <v>Does the law mandate a minimum tenure for the executive authority of the parastatal?</v>
      </c>
      <c r="E53" s="11" t="str">
        <f aca="false">VLOOKUP($A53,'PARASTATAL Questions'!$A:$J,7,0)&amp;""</f>
        <v>Law/Policy</v>
      </c>
      <c r="F53" s="11" t="n">
        <f aca="false">VLOOKUP($A53,'PARASTATAL Questions'!$A:$J,6,0)</f>
        <v>10</v>
      </c>
      <c r="G53" s="11" t="n">
        <f aca="true">IF($F53=0,"NA",IF($A53=INDIRECT("'"&amp;$A53&amp;"'!$B$1"),IF(VLOOKUP(G$1,INDIRECT("'"&amp;$A53&amp;"'!$A$12:$Z$19"),MATCH("Points (Auto-generate)",INDIRECT("'"&amp;$A53&amp;"'!$A$12:$Z$12"),0),0)="","?",VLOOKUP(G$1,INDIRECT("'"&amp;$A53&amp;"'!$A$12:$Z$19"),MATCH("Points (Auto-generate)",INDIRECT("'"&amp;$A53&amp;"'!$A$12:$Z$12"),0),0)),"ER"))</f>
        <v>0</v>
      </c>
      <c r="H53" s="11" t="str">
        <f aca="true">IF($F53=0,"NA",IF($A53=INDIRECT("'"&amp;$A53&amp;"'!$B$1"),IF(VLOOKUP(H$1,INDIRECT("'"&amp;$A53&amp;"'!$A$12:$Z$19"),MATCH("Points (Auto-generate)",INDIRECT("'"&amp;$A53&amp;"'!$A$12:$Z$12"),0),0)="","?",VLOOKUP(H$1,INDIRECT("'"&amp;$A53&amp;"'!$A$12:$Z$19"),MATCH("Points (Auto-generate)",INDIRECT("'"&amp;$A53&amp;"'!$A$12:$Z$12"),0),0)),"ER"))</f>
        <v>?</v>
      </c>
      <c r="I53" s="11" t="n">
        <f aca="true">IF($F53=0,"NA",IF($A53=INDIRECT("'"&amp;$A53&amp;"'!$B$1"),IF(VLOOKUP(I$1,INDIRECT("'"&amp;$A53&amp;"'!$A$12:$Z$19"),MATCH("Points (Auto-generate)",INDIRECT("'"&amp;$A53&amp;"'!$A$12:$Z$12"),0),0)="","?",VLOOKUP(I$1,INDIRECT("'"&amp;$A53&amp;"'!$A$12:$Z$19"),MATCH("Points (Auto-generate)",INDIRECT("'"&amp;$A53&amp;"'!$A$12:$Z$12"),0),0)),"ER"))</f>
        <v>0</v>
      </c>
      <c r="J53" s="11" t="n">
        <f aca="true">IF($F53=0,"NA",IF($A53=INDIRECT("'"&amp;$A53&amp;"'!$B$1"),IF(VLOOKUP(J$1,INDIRECT("'"&amp;$A53&amp;"'!$A$12:$Z$19"),MATCH("Points (Auto-generate)",INDIRECT("'"&amp;$A53&amp;"'!$A$12:$Z$12"),0),0)="","?",VLOOKUP(J$1,INDIRECT("'"&amp;$A53&amp;"'!$A$12:$Z$19"),MATCH("Points (Auto-generate)",INDIRECT("'"&amp;$A53&amp;"'!$A$12:$Z$12"),0),0)),"ER"))</f>
        <v>0</v>
      </c>
      <c r="K53" s="11" t="str">
        <f aca="true">IF($F53=0,"NA",IF($A53=INDIRECT("'"&amp;$A53&amp;"'!$B$1"),IF(VLOOKUP(K$1,INDIRECT("'"&amp;$A53&amp;"'!$A$12:$Z$19"),MATCH("Points (Auto-generate)",INDIRECT("'"&amp;$A53&amp;"'!$A$12:$Z$12"),0),0)="","?",VLOOKUP(K$1,INDIRECT("'"&amp;$A53&amp;"'!$A$12:$Z$19"),MATCH("Points (Auto-generate)",INDIRECT("'"&amp;$A53&amp;"'!$A$12:$Z$12"),0),0)),"ER"))</f>
        <v>?</v>
      </c>
      <c r="L53" s="11" t="str">
        <f aca="true">IF($F53=0,"NA",IF($A53=INDIRECT("'"&amp;$A53&amp;"'!$B$1"),IF(VLOOKUP(L$1,INDIRECT("'"&amp;$A53&amp;"'!$A$12:$Z$19"),MATCH("Points (Auto-generate)",INDIRECT("'"&amp;$A53&amp;"'!$A$12:$Z$12"),0),0)="","?",VLOOKUP(L$1,INDIRECT("'"&amp;$A53&amp;"'!$A$12:$Z$19"),MATCH("Points (Auto-generate)",INDIRECT("'"&amp;$A53&amp;"'!$A$12:$Z$12"),0),0)),"ER"))</f>
        <v>?</v>
      </c>
      <c r="M53" s="11"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11" t="s">
        <v>398</v>
      </c>
      <c r="B54" s="11" t="str">
        <f aca="false">VLOOKUP($A54,'PARASTATAL Questions'!$A:$J,3,0)&amp;""</f>
        <v>State Capacities</v>
      </c>
      <c r="C54" s="11" t="str">
        <f aca="false">VLOOKUP($A54,'PARASTATAL Questions'!$A:$J,4,0)&amp;""</f>
        <v>MQ</v>
      </c>
      <c r="D54" s="11" t="str">
        <f aca="false">VLOOKUP($A54,'PARASTATAL Questions'!$A:$J,5,0)&amp;""</f>
        <v>What is the average tenure of the chief executive/executive authority of the parastatal?</v>
      </c>
      <c r="E54" s="11" t="str">
        <f aca="false">VLOOKUP($A54,'PARASTATAL Questions'!$A:$J,7,0)&amp;""</f>
        <v>Implementation (Numeric)</v>
      </c>
      <c r="F54" s="11" t="n">
        <f aca="false">VLOOKUP($A54,'PARASTATAL Questions'!$A:$J,6,0)</f>
        <v>10</v>
      </c>
      <c r="G54" s="11" t="str">
        <f aca="true">IF($F54=0,"NA",IF($A54=INDIRECT("'"&amp;$A54&amp;"'!$B$1"),IF(VLOOKUP(G$1,INDIRECT("'"&amp;$A54&amp;"'!$A$12:$Z$19"),MATCH("Points (Auto-generate)",INDIRECT("'"&amp;$A54&amp;"'!$A$12:$Z$12"),0),0)="","?",VLOOKUP(G$1,INDIRECT("'"&amp;$A54&amp;"'!$A$12:$Z$19"),MATCH("Points (Auto-generate)",INDIRECT("'"&amp;$A54&amp;"'!$A$12:$Z$12"),0),0)),"ER"))</f>
        <v>?</v>
      </c>
      <c r="H54" s="11" t="str">
        <f aca="true">IF($F54=0,"NA",IF($A54=INDIRECT("'"&amp;$A54&amp;"'!$B$1"),IF(VLOOKUP(H$1,INDIRECT("'"&amp;$A54&amp;"'!$A$12:$Z$19"),MATCH("Points (Auto-generate)",INDIRECT("'"&amp;$A54&amp;"'!$A$12:$Z$12"),0),0)="","?",VLOOKUP(H$1,INDIRECT("'"&amp;$A54&amp;"'!$A$12:$Z$19"),MATCH("Points (Auto-generate)",INDIRECT("'"&amp;$A54&amp;"'!$A$12:$Z$12"),0),0)),"ER"))</f>
        <v>?</v>
      </c>
      <c r="I54" s="11" t="str">
        <f aca="true">IF($F54=0,"NA",IF($A54=INDIRECT("'"&amp;$A54&amp;"'!$B$1"),IF(VLOOKUP(I$1,INDIRECT("'"&amp;$A54&amp;"'!$A$12:$Z$19"),MATCH("Points (Auto-generate)",INDIRECT("'"&amp;$A54&amp;"'!$A$12:$Z$12"),0),0)="","?",VLOOKUP(I$1,INDIRECT("'"&amp;$A54&amp;"'!$A$12:$Z$19"),MATCH("Points (Auto-generate)",INDIRECT("'"&amp;$A54&amp;"'!$A$12:$Z$12"),0),0)),"ER"))</f>
        <v>?</v>
      </c>
      <c r="J54" s="11" t="str">
        <f aca="true">IF($F54=0,"NA",IF($A54=INDIRECT("'"&amp;$A54&amp;"'!$B$1"),IF(VLOOKUP(J$1,INDIRECT("'"&amp;$A54&amp;"'!$A$12:$Z$19"),MATCH("Points (Auto-generate)",INDIRECT("'"&amp;$A54&amp;"'!$A$12:$Z$12"),0),0)="","?",VLOOKUP(J$1,INDIRECT("'"&amp;$A54&amp;"'!$A$12:$Z$19"),MATCH("Points (Auto-generate)",INDIRECT("'"&amp;$A54&amp;"'!$A$12:$Z$12"),0),0)),"ER"))</f>
        <v>?</v>
      </c>
      <c r="K54" s="11" t="str">
        <f aca="true">IF($F54=0,"NA",IF($A54=INDIRECT("'"&amp;$A54&amp;"'!$B$1"),IF(VLOOKUP(K$1,INDIRECT("'"&amp;$A54&amp;"'!$A$12:$Z$19"),MATCH("Points (Auto-generate)",INDIRECT("'"&amp;$A54&amp;"'!$A$12:$Z$12"),0),0)="","?",VLOOKUP(K$1,INDIRECT("'"&amp;$A54&amp;"'!$A$12:$Z$19"),MATCH("Points (Auto-generate)",INDIRECT("'"&amp;$A54&amp;"'!$A$12:$Z$12"),0),0)),"ER"))</f>
        <v>?</v>
      </c>
      <c r="L54" s="11" t="str">
        <f aca="true">IF($F54=0,"NA",IF($A54=INDIRECT("'"&amp;$A54&amp;"'!$B$1"),IF(VLOOKUP(L$1,INDIRECT("'"&amp;$A54&amp;"'!$A$12:$Z$19"),MATCH("Points (Auto-generate)",INDIRECT("'"&amp;$A54&amp;"'!$A$12:$Z$12"),0),0)="","?",VLOOKUP(L$1,INDIRECT("'"&amp;$A54&amp;"'!$A$12:$Z$19"),MATCH("Points (Auto-generate)",INDIRECT("'"&amp;$A54&amp;"'!$A$12:$Z$12"),0),0)),"ER"))</f>
        <v>?</v>
      </c>
      <c r="M54" s="11"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11" t="s">
        <v>455</v>
      </c>
      <c r="B55" s="11" t="str">
        <f aca="false">VLOOKUP($A55,'PARASTATAL Questions'!$A:$J,3,0)&amp;""</f>
        <v>State Capacities</v>
      </c>
      <c r="C55" s="11" t="str">
        <f aca="false">VLOOKUP($A55,'PARASTATAL Questions'!$A:$J,4,0)&amp;""</f>
        <v>MQ</v>
      </c>
      <c r="D55" s="11" t="str">
        <f aca="false">VLOOKUP($A55,'PARASTATAL Questions'!$A:$J,5,0)&amp;""</f>
        <v>Does the parastatal have adequate and representative staffing capacity to discharge its mandate?</v>
      </c>
      <c r="E55" s="11" t="str">
        <f aca="false">VLOOKUP($A55,'PARASTATAL Questions'!$A:$J,7,0)&amp;""</f>
        <v>Implementation (Numeric)</v>
      </c>
      <c r="F55" s="11" t="n">
        <f aca="false">VLOOKUP($A55,'PARASTATAL Questions'!$A:$J,6,0)</f>
        <v>10</v>
      </c>
      <c r="G55" s="11" t="str">
        <f aca="false">IF(OR(G56="ER",G57="ER"),"ER",IF(OR(G56="?",G57="?"),"?",IF(AND(G56="NA",G57="NA"),"NA",SUM(G56,G57)/((G56&lt;&gt;"NA")*$F$56+(G57&lt;&gt;"NA")*$F$57)*$F55)))</f>
        <v>?</v>
      </c>
      <c r="H55" s="11" t="str">
        <f aca="false">IF(OR(H56="ER",H57="ER"),"ER",IF(OR(H56="?",H57="?"),"?",IF(AND(H56="NA",H57="NA"),"NA",SUM(H56,H57)/((H56&lt;&gt;"NA")*$F$56+(H57&lt;&gt;"NA")*$F$57)*$F55)))</f>
        <v>?</v>
      </c>
      <c r="I55" s="11" t="str">
        <f aca="false">IF(OR(I56="ER",I57="ER"),"ER",IF(OR(I56="?",I57="?"),"?",IF(AND(I56="NA",I57="NA"),"NA",SUM(I56,I57)/((I56&lt;&gt;"NA")*$F$56+(I57&lt;&gt;"NA")*$F$57)*$F55)))</f>
        <v>?</v>
      </c>
      <c r="J55" s="11" t="str">
        <f aca="false">IF(OR(J56="ER",J57="ER"),"ER",IF(OR(J56="?",J57="?"),"?",IF(AND(J56="NA",J57="NA"),"NA",SUM(J56,J57)/((J56&lt;&gt;"NA")*$F$56+(J57&lt;&gt;"NA")*$F$57)*$F55)))</f>
        <v>?</v>
      </c>
      <c r="K55" s="11" t="str">
        <f aca="false">IF(OR(K56="ER",K57="ER"),"ER",IF(OR(K56="?",K57="?"),"?",IF(AND(K56="NA",K57="NA"),"NA",SUM(K56,K57)/((K56&lt;&gt;"NA")*$F$56+(K57&lt;&gt;"NA")*$F$57)*$F55)))</f>
        <v>?</v>
      </c>
      <c r="L55" s="11" t="str">
        <f aca="false">IF(OR(L56="ER",L57="ER"),"ER",IF(OR(L56="?",L57="?"),"?",IF(AND(L56="NA",L57="NA"),"NA",SUM(L56,L57)/((L56&lt;&gt;"NA")*$F$56+(L57&lt;&gt;"NA")*$F$57)*$F55)))</f>
        <v>?</v>
      </c>
      <c r="M55" s="11" t="str">
        <f aca="false">IF(OR(M56="ER",M57="ER"),"ER",IF(OR(M56="?",M57="?"),"?",IF(AND(M56="NA",M57="NA"),"NA",SUM(M56,M57)/((M56&lt;&gt;"NA")*$F$56+(M57&lt;&gt;"NA")*$F$57)*$F55)))</f>
        <v>?</v>
      </c>
    </row>
    <row r="56" customFormat="false" ht="15" hidden="false" customHeight="true" outlineLevel="0" collapsed="false">
      <c r="A56" s="9" t="s">
        <v>406</v>
      </c>
      <c r="B56" s="9" t="str">
        <f aca="false">VLOOKUP($A56,'PARASTATAL Questions'!$A:$J,3,0)&amp;""</f>
        <v>State Capacities</v>
      </c>
      <c r="C56" s="9" t="str">
        <f aca="false">VLOOKUP($A56,'PARASTATAL Questions'!$A:$J,4,0)&amp;""</f>
        <v>SQ</v>
      </c>
      <c r="D56" s="9" t="str">
        <f aca="false">VLOOKUP($A56,'PARASTATAL Questions'!$A:$J,5,0)&amp;""</f>
        <v>Does the parastatal have adequate staffing capacity to discharge its mandate?</v>
      </c>
      <c r="E56" s="9" t="str">
        <f aca="false">VLOOKUP($A56,'PARASTATAL Questions'!$A:$J,7,0)&amp;""</f>
        <v>Implementation (Numeric)</v>
      </c>
      <c r="F56" s="9" t="n">
        <f aca="false">VLOOKUP($A56,'PARASTATAL Questions'!$A:$J,6,0)</f>
        <v>5</v>
      </c>
      <c r="G56" s="9" t="n">
        <f aca="true">IF($F56=0,"NA",IF($A56=INDIRECT("'"&amp;$A56&amp;"'!$B$1"),IF(VLOOKUP(G$1,INDIRECT("'"&amp;$A56&amp;"'!$A$12:$Z$19"),MATCH("Points (Auto-generate)",INDIRECT("'"&amp;$A56&amp;"'!$A$12:$Z$12"),0),0)="","?",VLOOKUP(G$1,INDIRECT("'"&amp;$A56&amp;"'!$A$12:$Z$19"),MATCH("Points (Auto-generate)",INDIRECT("'"&amp;$A56&amp;"'!$A$12:$Z$12"),0),0)),"ER"))</f>
        <v>3</v>
      </c>
      <c r="H56" s="9" t="str">
        <f aca="true">IF($F56=0,"NA",IF($A56=INDIRECT("'"&amp;$A56&amp;"'!$B$1"),IF(VLOOKUP(H$1,INDIRECT("'"&amp;$A56&amp;"'!$A$12:$Z$19"),MATCH("Points (Auto-generate)",INDIRECT("'"&amp;$A56&amp;"'!$A$12:$Z$12"),0),0)="","?",VLOOKUP(H$1,INDIRECT("'"&amp;$A56&amp;"'!$A$12:$Z$19"),MATCH("Points (Auto-generate)",INDIRECT("'"&amp;$A56&amp;"'!$A$12:$Z$12"),0),0)),"ER"))</f>
        <v>?</v>
      </c>
      <c r="I56" s="9" t="str">
        <f aca="true">IF($F56=0,"NA",IF($A56=INDIRECT("'"&amp;$A56&amp;"'!$B$1"),IF(VLOOKUP(I$1,INDIRECT("'"&amp;$A56&amp;"'!$A$12:$Z$19"),MATCH("Points (Auto-generate)",INDIRECT("'"&amp;$A56&amp;"'!$A$12:$Z$12"),0),0)="","?",VLOOKUP(I$1,INDIRECT("'"&amp;$A56&amp;"'!$A$12:$Z$19"),MATCH("Points (Auto-generate)",INDIRECT("'"&amp;$A56&amp;"'!$A$12:$Z$12"),0),0)),"ER"))</f>
        <v>?</v>
      </c>
      <c r="J56" s="9" t="str">
        <f aca="true">IF($F56=0,"NA",IF($A56=INDIRECT("'"&amp;$A56&amp;"'!$B$1"),IF(VLOOKUP(J$1,INDIRECT("'"&amp;$A56&amp;"'!$A$12:$Z$19"),MATCH("Points (Auto-generate)",INDIRECT("'"&amp;$A56&amp;"'!$A$12:$Z$12"),0),0)="","?",VLOOKUP(J$1,INDIRECT("'"&amp;$A56&amp;"'!$A$12:$Z$19"),MATCH("Points (Auto-generate)",INDIRECT("'"&amp;$A56&amp;"'!$A$12:$Z$12"),0),0)),"ER"))</f>
        <v>?</v>
      </c>
      <c r="K56" s="9" t="str">
        <f aca="true">IF($F56=0,"NA",IF($A56=INDIRECT("'"&amp;$A56&amp;"'!$B$1"),IF(VLOOKUP(K$1,INDIRECT("'"&amp;$A56&amp;"'!$A$12:$Z$19"),MATCH("Points (Auto-generate)",INDIRECT("'"&amp;$A56&amp;"'!$A$12:$Z$12"),0),0)="","?",VLOOKUP(K$1,INDIRECT("'"&amp;$A56&amp;"'!$A$12:$Z$19"),MATCH("Points (Auto-generate)",INDIRECT("'"&amp;$A56&amp;"'!$A$12:$Z$12"),0),0)),"ER"))</f>
        <v>?</v>
      </c>
      <c r="L56" s="9" t="str">
        <f aca="true">IF($F56=0,"NA",IF($A56=INDIRECT("'"&amp;$A56&amp;"'!$B$1"),IF(VLOOKUP(L$1,INDIRECT("'"&amp;$A56&amp;"'!$A$12:$Z$19"),MATCH("Points (Auto-generate)",INDIRECT("'"&amp;$A56&amp;"'!$A$12:$Z$12"),0),0)="","?",VLOOKUP(L$1,INDIRECT("'"&amp;$A56&amp;"'!$A$12:$Z$19"),MATCH("Points (Auto-generate)",INDIRECT("'"&amp;$A56&amp;"'!$A$12:$Z$12"),0),0)),"ER"))</f>
        <v>?</v>
      </c>
      <c r="M56" s="9"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9" t="s">
        <v>415</v>
      </c>
      <c r="B57" s="9" t="str">
        <f aca="false">VLOOKUP($A57,'PARASTATAL Questions'!$A:$J,3,0)&amp;""</f>
        <v>State Capacities</v>
      </c>
      <c r="C57" s="9" t="str">
        <f aca="false">VLOOKUP($A57,'PARASTATAL Questions'!$A:$J,4,0)&amp;""</f>
        <v>SQ</v>
      </c>
      <c r="D57" s="9" t="str">
        <f aca="false">VLOOKUP($A57,'PARASTATAL Questions'!$A:$J,5,0)&amp;""</f>
        <v>What proportion of the parastatal's workforce is women?</v>
      </c>
      <c r="E57" s="9" t="str">
        <f aca="false">VLOOKUP($A57,'PARASTATAL Questions'!$A:$J,7,0)&amp;""</f>
        <v>Implementation (Numeric)</v>
      </c>
      <c r="F57" s="9" t="n">
        <f aca="false">VLOOKUP($A57,'PARASTATAL Questions'!$A:$J,6,0)</f>
        <v>5</v>
      </c>
      <c r="G57" s="9" t="str">
        <f aca="true">IF($F57=0,"NA",IF($A57=INDIRECT("'"&amp;$A57&amp;"'!$B$1"),IF(VLOOKUP(G$1,INDIRECT("'"&amp;$A57&amp;"'!$A$12:$Z$19"),MATCH("Points (Auto-generate)",INDIRECT("'"&amp;$A57&amp;"'!$A$12:$Z$12"),0),0)="","?",VLOOKUP(G$1,INDIRECT("'"&amp;$A57&amp;"'!$A$12:$Z$19"),MATCH("Points (Auto-generate)",INDIRECT("'"&amp;$A57&amp;"'!$A$12:$Z$12"),0),0)),"ER"))</f>
        <v>?</v>
      </c>
      <c r="H57" s="9" t="str">
        <f aca="true">IF($F57=0,"NA",IF($A57=INDIRECT("'"&amp;$A57&amp;"'!$B$1"),IF(VLOOKUP(H$1,INDIRECT("'"&amp;$A57&amp;"'!$A$12:$Z$19"),MATCH("Points (Auto-generate)",INDIRECT("'"&amp;$A57&amp;"'!$A$12:$Z$12"),0),0)="","?",VLOOKUP(H$1,INDIRECT("'"&amp;$A57&amp;"'!$A$12:$Z$19"),MATCH("Points (Auto-generate)",INDIRECT("'"&amp;$A57&amp;"'!$A$12:$Z$12"),0),0)),"ER"))</f>
        <v>?</v>
      </c>
      <c r="I57" s="9" t="str">
        <f aca="true">IF($F57=0,"NA",IF($A57=INDIRECT("'"&amp;$A57&amp;"'!$B$1"),IF(VLOOKUP(I$1,INDIRECT("'"&amp;$A57&amp;"'!$A$12:$Z$19"),MATCH("Points (Auto-generate)",INDIRECT("'"&amp;$A57&amp;"'!$A$12:$Z$12"),0),0)="","?",VLOOKUP(I$1,INDIRECT("'"&amp;$A57&amp;"'!$A$12:$Z$19"),MATCH("Points (Auto-generate)",INDIRECT("'"&amp;$A57&amp;"'!$A$12:$Z$12"),0),0)),"ER"))</f>
        <v>?</v>
      </c>
      <c r="J57" s="9" t="str">
        <f aca="true">IF($F57=0,"NA",IF($A57=INDIRECT("'"&amp;$A57&amp;"'!$B$1"),IF(VLOOKUP(J$1,INDIRECT("'"&amp;$A57&amp;"'!$A$12:$Z$19"),MATCH("Points (Auto-generate)",INDIRECT("'"&amp;$A57&amp;"'!$A$12:$Z$12"),0),0)="","?",VLOOKUP(J$1,INDIRECT("'"&amp;$A57&amp;"'!$A$12:$Z$19"),MATCH("Points (Auto-generate)",INDIRECT("'"&amp;$A57&amp;"'!$A$12:$Z$12"),0),0)),"ER"))</f>
        <v>?</v>
      </c>
      <c r="K57" s="9" t="str">
        <f aca="true">IF($F57=0,"NA",IF($A57=INDIRECT("'"&amp;$A57&amp;"'!$B$1"),IF(VLOOKUP(K$1,INDIRECT("'"&amp;$A57&amp;"'!$A$12:$Z$19"),MATCH("Points (Auto-generate)",INDIRECT("'"&amp;$A57&amp;"'!$A$12:$Z$12"),0),0)="","?",VLOOKUP(K$1,INDIRECT("'"&amp;$A57&amp;"'!$A$12:$Z$19"),MATCH("Points (Auto-generate)",INDIRECT("'"&amp;$A57&amp;"'!$A$12:$Z$12"),0),0)),"ER"))</f>
        <v>?</v>
      </c>
      <c r="L57" s="9" t="str">
        <f aca="true">IF($F57=0,"NA",IF($A57=INDIRECT("'"&amp;$A57&amp;"'!$B$1"),IF(VLOOKUP(L$1,INDIRECT("'"&amp;$A57&amp;"'!$A$12:$Z$19"),MATCH("Points (Auto-generate)",INDIRECT("'"&amp;$A57&amp;"'!$A$12:$Z$12"),0),0)="","?",VLOOKUP(L$1,INDIRECT("'"&amp;$A57&amp;"'!$A$12:$Z$19"),MATCH("Points (Auto-generate)",INDIRECT("'"&amp;$A57&amp;"'!$A$12:$Z$12"),0),0)),"ER"))</f>
        <v>?</v>
      </c>
      <c r="M57" s="9"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11" t="s">
        <v>456</v>
      </c>
      <c r="G59" s="11" t="s">
        <v>19</v>
      </c>
      <c r="H59" s="11" t="s">
        <v>30</v>
      </c>
      <c r="I59" s="11" t="s">
        <v>33</v>
      </c>
      <c r="J59" s="11" t="s">
        <v>39</v>
      </c>
      <c r="K59" s="11" t="s">
        <v>41</v>
      </c>
      <c r="L59" s="11" t="s">
        <v>439</v>
      </c>
      <c r="M59" s="11" t="s">
        <v>440</v>
      </c>
    </row>
    <row r="60" customFormat="false" ht="15" hidden="false" customHeight="true" outlineLevel="0" collapsed="false">
      <c r="D60" s="11" t="s">
        <v>457</v>
      </c>
      <c r="G60" s="9" t="n">
        <f aca="false">IFERROR(SUMIFS(G$3:G$57,$C$3:$C$57,"MQ")/(COUNTIFS($C$3:$C$57,"MQ")-COUNTIFS($C$3:$C$57,"MQ",G$3:G$57,"NA")),"NA")</f>
        <v>1.32352941176471</v>
      </c>
      <c r="H60" s="9" t="n">
        <f aca="false">IFERROR(SUMIFS(H$3:H$57,$C$3:$C$57,"MQ")/(COUNTIFS($C$3:$C$57,"MQ")-COUNTIFS($C$3:$C$57,"MQ",H$3:H$57,"NA")),"NA")</f>
        <v>1.02941176470588</v>
      </c>
      <c r="I60" s="9" t="n">
        <f aca="false">IFERROR(SUMIFS(I$3:I$57,$C$3:$C$57,"MQ")/(COUNTIFS($C$3:$C$57,"MQ")-COUNTIFS($C$3:$C$57,"MQ",I$3:I$57,"NA")),"NA")</f>
        <v>0.576923076923077</v>
      </c>
      <c r="J60" s="9" t="n">
        <f aca="false">IFERROR(SUMIFS(J$3:J$57,$C$3:$C$57,"MQ")/(COUNTIFS($C$3:$C$57,"MQ")-COUNTIFS($C$3:$C$57,"MQ",J$3:J$57,"NA")),"NA")</f>
        <v>0.961538461538462</v>
      </c>
      <c r="K60" s="9" t="n">
        <f aca="false">IFERROR(SUMIFS(K$3:K$57,$C$3:$C$57,"MQ")/(COUNTIFS($C$3:$C$57,"MQ")-COUNTIFS($C$3:$C$57,"MQ",K$3:K$57,"NA")),"NA")</f>
        <v>1.36363636363636</v>
      </c>
      <c r="L60" s="9" t="n">
        <f aca="false">IFERROR(SUMIFS(L$3:L$57,$C$3:$C$57,"MQ")/(COUNTIFS($C$3:$C$57,"MQ")-COUNTIFS($C$3:$C$57,"MQ",L$3:L$57,"NA")),"NA")</f>
        <v>0</v>
      </c>
      <c r="M60" s="9" t="n">
        <f aca="false">IFERROR(SUMIFS(M$3:M$57,$C$3:$C$57,"MQ")/(COUNTIFS($C$3:$C$57,"MQ")-COUNTIFS($C$3:$C$57,"MQ",M$3:M$57,"NA")),"NA")</f>
        <v>0</v>
      </c>
    </row>
    <row r="61" customFormat="false" ht="15" hidden="false" customHeight="true" outlineLevel="0" collapsed="false">
      <c r="D61" s="11" t="s">
        <v>458</v>
      </c>
      <c r="G61" s="9" t="n">
        <f aca="false">COUNTIFS($C$3:$C$57,"MQ",G$3:G$57,"?")</f>
        <v>13</v>
      </c>
      <c r="H61" s="9" t="n">
        <f aca="false">COUNTIFS($C$3:$C$57,"MQ",H$3:H$57,"?")</f>
        <v>14</v>
      </c>
      <c r="I61" s="9" t="n">
        <f aca="false">COUNTIFS($C$3:$C$57,"MQ",I$3:I$57,"?")</f>
        <v>12</v>
      </c>
      <c r="J61" s="9" t="n">
        <f aca="false">COUNTIFS($C$3:$C$57,"MQ",J$3:J$57,"?")</f>
        <v>12</v>
      </c>
      <c r="K61" s="9" t="n">
        <f aca="false">COUNTIFS($C$3:$C$57,"MQ",K$3:K$57,"?")</f>
        <v>10</v>
      </c>
      <c r="L61" s="9" t="n">
        <f aca="false">COUNTIFS($C$3:$C$57,"MQ",L$3:L$57,"?")</f>
        <v>11</v>
      </c>
      <c r="M61" s="9" t="n">
        <f aca="false">COUNTIFS($C$3:$C$57,"MQ",M$3:M$57,"?")</f>
        <v>13</v>
      </c>
    </row>
    <row r="62" customFormat="false" ht="15" hidden="false" customHeight="true" outlineLevel="0" collapsed="false">
      <c r="D62" s="11" t="s">
        <v>459</v>
      </c>
      <c r="G62" s="9" t="n">
        <f aca="false">COUNTIFS($C$3:$C$57,"MQ",G$3:G$57,"NA")</f>
        <v>2</v>
      </c>
      <c r="H62" s="9" t="n">
        <f aca="false">COUNTIFS($C$3:$C$57,"MQ",H$3:H$57,"NA")</f>
        <v>2</v>
      </c>
      <c r="I62" s="9" t="n">
        <f aca="false">COUNTIFS($C$3:$C$57,"MQ",I$3:I$57,"NA")</f>
        <v>6</v>
      </c>
      <c r="J62" s="9" t="n">
        <f aca="false">COUNTIFS($C$3:$C$57,"MQ",J$3:J$57,"NA")</f>
        <v>6</v>
      </c>
      <c r="K62" s="9" t="n">
        <f aca="false">COUNTIFS($C$3:$C$57,"MQ",K$3:K$57,"NA")</f>
        <v>8</v>
      </c>
      <c r="L62" s="9" t="n">
        <f aca="false">COUNTIFS($C$3:$C$57,"MQ",L$3:L$57,"NA")</f>
        <v>8</v>
      </c>
      <c r="M62" s="9"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9" width="22"/>
    <col collapsed="false" customWidth="true" hidden="false" outlineLevel="0" max="2" min="2" style="9" width="50"/>
    <col collapsed="false" customWidth="true" hidden="false" outlineLevel="0" max="3" min="3" style="9" width="16"/>
    <col collapsed="false" customWidth="true" hidden="false" outlineLevel="0" max="4" min="4" style="9" width="20"/>
  </cols>
  <sheetData>
    <row r="1" customFormat="false" ht="26.25" hidden="false" customHeight="true" outlineLevel="0" collapsed="false">
      <c r="A1" s="1" t="s">
        <v>460</v>
      </c>
      <c r="B1" s="1" t="s">
        <v>461</v>
      </c>
      <c r="C1" s="1" t="s">
        <v>462</v>
      </c>
      <c r="D1" s="1" t="s">
        <v>463</v>
      </c>
    </row>
    <row r="2" customFormat="false" ht="15" hidden="false" customHeight="true" outlineLevel="0" collapsed="false">
      <c r="A2" s="9" t="s">
        <v>464</v>
      </c>
      <c r="B2" s="9" t="s">
        <v>465</v>
      </c>
      <c r="C2" s="9" t="n">
        <f aca="false">IFERROR(AVERAGEIFS(PARASTATAL_SUMMARY_RAW!$G$60:$M$60,PARASTATAL_SUMMARY_RAW!$G$59:$M$59,$A2&amp;" – *"),"NA")</f>
        <v>1.0510078157137</v>
      </c>
      <c r="D2" s="9" t="n">
        <f aca="false">COUNTIFS(PARASTATAL_SUMMARY_RAW!$G$59:$M$59,$A2&amp;" – *",PARASTATAL_SUMMARY_RAW!$G$60:$M$60,"&gt;=0")</f>
        <v>5</v>
      </c>
    </row>
    <row r="3" customFormat="false" ht="15" hidden="false" customHeight="true" outlineLevel="0" collapsed="false">
      <c r="A3" s="9" t="s">
        <v>466</v>
      </c>
      <c r="B3" s="9" t="s">
        <v>467</v>
      </c>
      <c r="C3" s="9" t="n">
        <f aca="false">IFERROR(AVERAGEIFS(PARASTATAL_SUMMARY_RAW!$G$60:$M$60,PARASTATAL_SUMMARY_RAW!$G$59:$M$59,$A3&amp;" – *"),"NA")</f>
        <v>0</v>
      </c>
      <c r="D3" s="9" t="n">
        <f aca="false">COUNTIFS(PARASTATAL_SUMMARY_RAW!$G$59:$M$59,$A3&amp;" – *",PARASTATAL_SUMMARY_RAW!$G$60:$M$60,"&gt;=0")</f>
        <v>2</v>
      </c>
    </row>
    <row r="5" customFormat="false" ht="15" hidden="false" customHeight="true" outlineLevel="0" collapsed="false">
      <c r="A5" s="12" t="s">
        <v>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9" width="10"/>
    <col collapsed="false" customWidth="true" hidden="false" outlineLevel="0" max="3" min="3" style="9" width="30"/>
    <col collapsed="false" customWidth="true" hidden="false" outlineLevel="0" max="5" min="5" style="9" width="60"/>
    <col collapsed="false" customWidth="true" hidden="false" outlineLevel="0" max="8" min="8" style="9" width="30"/>
    <col collapsed="false" customWidth="true" hidden="false" outlineLevel="0" max="9" min="9" style="9" width="80"/>
    <col collapsed="false" customWidth="true" hidden="false" outlineLevel="0" max="10" min="10" style="9" width="50"/>
  </cols>
  <sheetData>
    <row r="1" customFormat="false" ht="26.25" hidden="false" customHeight="true" outlineLevel="0" collapsed="false">
      <c r="A1" s="1" t="s">
        <v>469</v>
      </c>
      <c r="B1" s="1" t="s">
        <v>470</v>
      </c>
      <c r="C1" s="1" t="s">
        <v>435</v>
      </c>
      <c r="D1" s="1" t="s">
        <v>436</v>
      </c>
      <c r="E1" s="1" t="s">
        <v>0</v>
      </c>
      <c r="F1" s="1" t="s">
        <v>438</v>
      </c>
      <c r="G1" s="1" t="s">
        <v>437</v>
      </c>
      <c r="H1" s="1" t="s">
        <v>471</v>
      </c>
      <c r="I1" s="1" t="s">
        <v>472</v>
      </c>
      <c r="J1" s="1" t="s">
        <v>473</v>
      </c>
    </row>
    <row r="2" customFormat="false" ht="15" hidden="false" customHeight="true" outlineLevel="0" collapsed="false">
      <c r="A2" s="9" t="s">
        <v>443</v>
      </c>
      <c r="B2" s="9" t="s">
        <v>474</v>
      </c>
      <c r="C2" s="9" t="s">
        <v>475</v>
      </c>
      <c r="D2" s="9" t="s">
        <v>476</v>
      </c>
      <c r="E2" s="9" t="s">
        <v>477</v>
      </c>
      <c r="F2" s="9" t="n">
        <v>10</v>
      </c>
      <c r="H2" s="9" t="s">
        <v>478</v>
      </c>
      <c r="I2" s="9" t="s">
        <v>479</v>
      </c>
      <c r="J2" s="9" t="s">
        <v>480</v>
      </c>
    </row>
    <row r="3" customFormat="false" ht="79.5" hidden="false" customHeight="true" outlineLevel="0" collapsed="false">
      <c r="A3" s="9" t="s">
        <v>18</v>
      </c>
      <c r="B3" s="9" t="s">
        <v>481</v>
      </c>
      <c r="C3" s="9" t="s">
        <v>475</v>
      </c>
      <c r="D3" s="9" t="s">
        <v>482</v>
      </c>
      <c r="E3" s="9" t="s">
        <v>20</v>
      </c>
      <c r="F3" s="9" t="n">
        <v>5</v>
      </c>
      <c r="G3" s="9" t="s">
        <v>483</v>
      </c>
      <c r="H3" s="9" t="s">
        <v>478</v>
      </c>
      <c r="I3" s="13" t="s">
        <v>484</v>
      </c>
      <c r="J3" s="9" t="s">
        <v>485</v>
      </c>
    </row>
    <row r="4" customFormat="false" ht="90.75" hidden="false" customHeight="true" outlineLevel="0" collapsed="false">
      <c r="A4" s="9" t="s">
        <v>47</v>
      </c>
      <c r="B4" s="9" t="s">
        <v>486</v>
      </c>
      <c r="C4" s="9" t="s">
        <v>475</v>
      </c>
      <c r="D4" s="9" t="s">
        <v>482</v>
      </c>
      <c r="E4" s="9" t="s">
        <v>48</v>
      </c>
      <c r="F4" s="9" t="n">
        <v>5</v>
      </c>
      <c r="G4" s="9" t="s">
        <v>487</v>
      </c>
      <c r="H4" s="9" t="s">
        <v>478</v>
      </c>
      <c r="I4" s="13" t="s">
        <v>488</v>
      </c>
      <c r="J4" s="9" t="s">
        <v>489</v>
      </c>
    </row>
    <row r="5" customFormat="false" ht="15" hidden="false" customHeight="true" outlineLevel="0" collapsed="false">
      <c r="A5" s="9" t="s">
        <v>444</v>
      </c>
      <c r="B5" s="9" t="s">
        <v>490</v>
      </c>
      <c r="C5" s="9" t="s">
        <v>475</v>
      </c>
      <c r="D5" s="9" t="s">
        <v>476</v>
      </c>
      <c r="E5" s="9" t="s">
        <v>491</v>
      </c>
      <c r="F5" s="9" t="n">
        <v>10</v>
      </c>
      <c r="H5" s="9" t="s">
        <v>492</v>
      </c>
      <c r="I5" s="9" t="s">
        <v>493</v>
      </c>
      <c r="J5" s="9" t="s">
        <v>480</v>
      </c>
    </row>
    <row r="6" customFormat="false" ht="102" hidden="false" customHeight="true" outlineLevel="0" collapsed="false">
      <c r="A6" s="9" t="s">
        <v>54</v>
      </c>
      <c r="B6" s="9" t="s">
        <v>494</v>
      </c>
      <c r="C6" s="9" t="s">
        <v>475</v>
      </c>
      <c r="D6" s="9" t="s">
        <v>482</v>
      </c>
      <c r="E6" s="9" t="s">
        <v>55</v>
      </c>
      <c r="F6" s="9" t="n">
        <v>2.5</v>
      </c>
      <c r="G6" s="9" t="s">
        <v>483</v>
      </c>
      <c r="H6" s="9" t="s">
        <v>495</v>
      </c>
      <c r="I6" s="13" t="s">
        <v>496</v>
      </c>
      <c r="J6" s="9" t="s">
        <v>485</v>
      </c>
    </row>
    <row r="7" customFormat="false" ht="113.25" hidden="false" customHeight="true" outlineLevel="0" collapsed="false">
      <c r="A7" s="9" t="s">
        <v>60</v>
      </c>
      <c r="B7" s="9" t="s">
        <v>497</v>
      </c>
      <c r="C7" s="9" t="s">
        <v>475</v>
      </c>
      <c r="D7" s="9" t="s">
        <v>482</v>
      </c>
      <c r="E7" s="9" t="s">
        <v>61</v>
      </c>
      <c r="F7" s="9" t="n">
        <v>2.5</v>
      </c>
      <c r="G7" s="9" t="s">
        <v>487</v>
      </c>
      <c r="H7" s="9" t="s">
        <v>495</v>
      </c>
      <c r="I7" s="13" t="s">
        <v>498</v>
      </c>
      <c r="J7" s="9" t="s">
        <v>499</v>
      </c>
    </row>
    <row r="8" customFormat="false" ht="102" hidden="false" customHeight="true" outlineLevel="0" collapsed="false">
      <c r="A8" s="9" t="s">
        <v>67</v>
      </c>
      <c r="B8" s="9" t="s">
        <v>500</v>
      </c>
      <c r="C8" s="9" t="s">
        <v>475</v>
      </c>
      <c r="D8" s="9" t="s">
        <v>482</v>
      </c>
      <c r="E8" s="9" t="s">
        <v>68</v>
      </c>
      <c r="F8" s="9" t="n">
        <v>2.5</v>
      </c>
      <c r="G8" s="9" t="s">
        <v>483</v>
      </c>
      <c r="H8" s="9" t="s">
        <v>501</v>
      </c>
      <c r="I8" s="13" t="s">
        <v>502</v>
      </c>
      <c r="J8" s="9" t="s">
        <v>485</v>
      </c>
    </row>
    <row r="9" customFormat="false" ht="102" hidden="false" customHeight="true" outlineLevel="0" collapsed="false">
      <c r="A9" s="9" t="s">
        <v>74</v>
      </c>
      <c r="B9" s="9" t="s">
        <v>503</v>
      </c>
      <c r="C9" s="9" t="s">
        <v>475</v>
      </c>
      <c r="D9" s="9" t="s">
        <v>482</v>
      </c>
      <c r="E9" s="9" t="s">
        <v>75</v>
      </c>
      <c r="F9" s="9" t="n">
        <v>2.5</v>
      </c>
      <c r="G9" s="9" t="s">
        <v>487</v>
      </c>
      <c r="H9" s="9" t="s">
        <v>501</v>
      </c>
      <c r="I9" s="13" t="s">
        <v>504</v>
      </c>
      <c r="J9" s="9" t="s">
        <v>505</v>
      </c>
    </row>
    <row r="10" customFormat="false" ht="15" hidden="false" customHeight="true" outlineLevel="0" collapsed="false">
      <c r="A10" s="9" t="s">
        <v>445</v>
      </c>
      <c r="B10" s="9" t="s">
        <v>506</v>
      </c>
      <c r="C10" s="9" t="s">
        <v>475</v>
      </c>
      <c r="D10" s="9" t="s">
        <v>476</v>
      </c>
      <c r="E10" s="9" t="s">
        <v>507</v>
      </c>
      <c r="F10" s="9" t="n">
        <v>10</v>
      </c>
      <c r="G10" s="9" t="s">
        <v>483</v>
      </c>
      <c r="H10" s="9" t="s">
        <v>495</v>
      </c>
      <c r="I10" s="9" t="s">
        <v>508</v>
      </c>
      <c r="J10" s="9" t="s">
        <v>509</v>
      </c>
    </row>
    <row r="11" customFormat="false" ht="57" hidden="false" customHeight="true" outlineLevel="0" collapsed="false">
      <c r="A11" s="9" t="s">
        <v>77</v>
      </c>
      <c r="B11" s="9" t="s">
        <v>510</v>
      </c>
      <c r="C11" s="9" t="s">
        <v>475</v>
      </c>
      <c r="D11" s="9" t="s">
        <v>482</v>
      </c>
      <c r="E11" s="9" t="s">
        <v>78</v>
      </c>
      <c r="F11" s="9" t="n">
        <v>5</v>
      </c>
      <c r="G11" s="9" t="s">
        <v>483</v>
      </c>
      <c r="H11" s="9" t="s">
        <v>495</v>
      </c>
      <c r="I11" s="13" t="s">
        <v>511</v>
      </c>
      <c r="J11" s="9" t="s">
        <v>512</v>
      </c>
    </row>
    <row r="12" customFormat="false" ht="314.25" hidden="false" customHeight="true" outlineLevel="0" collapsed="false">
      <c r="A12" s="9" t="s">
        <v>84</v>
      </c>
      <c r="B12" s="9" t="s">
        <v>513</v>
      </c>
      <c r="C12" s="9" t="s">
        <v>475</v>
      </c>
      <c r="D12" s="9" t="s">
        <v>482</v>
      </c>
      <c r="E12" s="9" t="s">
        <v>85</v>
      </c>
      <c r="F12" s="9" t="n">
        <v>5</v>
      </c>
      <c r="G12" s="9" t="s">
        <v>487</v>
      </c>
      <c r="H12" s="9" t="s">
        <v>495</v>
      </c>
      <c r="I12" s="13" t="s">
        <v>514</v>
      </c>
      <c r="J12" s="9" t="s">
        <v>515</v>
      </c>
    </row>
    <row r="13" customFormat="false" ht="15" hidden="false" customHeight="true" outlineLevel="0" collapsed="false">
      <c r="A13" s="9" t="s">
        <v>446</v>
      </c>
      <c r="B13" s="9" t="s">
        <v>516</v>
      </c>
      <c r="C13" s="9" t="s">
        <v>475</v>
      </c>
      <c r="D13" s="9" t="s">
        <v>476</v>
      </c>
      <c r="E13" s="9" t="s">
        <v>517</v>
      </c>
      <c r="F13" s="9" t="n">
        <v>10</v>
      </c>
      <c r="H13" s="9" t="s">
        <v>501</v>
      </c>
      <c r="I13" s="9" t="s">
        <v>493</v>
      </c>
      <c r="J13" s="9" t="s">
        <v>480</v>
      </c>
    </row>
    <row r="14" customFormat="false" ht="57" hidden="false" customHeight="true" outlineLevel="0" collapsed="false">
      <c r="A14" s="9" t="s">
        <v>87</v>
      </c>
      <c r="B14" s="9" t="s">
        <v>518</v>
      </c>
      <c r="C14" s="9" t="s">
        <v>475</v>
      </c>
      <c r="D14" s="9" t="s">
        <v>482</v>
      </c>
      <c r="E14" s="9" t="s">
        <v>88</v>
      </c>
      <c r="F14" s="9" t="n">
        <v>5</v>
      </c>
      <c r="G14" s="9" t="s">
        <v>483</v>
      </c>
      <c r="H14" s="9" t="s">
        <v>501</v>
      </c>
      <c r="I14" s="13" t="s">
        <v>519</v>
      </c>
      <c r="J14" s="9" t="s">
        <v>520</v>
      </c>
    </row>
    <row r="15" customFormat="false" ht="102" hidden="false" customHeight="true" outlineLevel="0" collapsed="false">
      <c r="A15" s="9" t="s">
        <v>93</v>
      </c>
      <c r="B15" s="9" t="s">
        <v>521</v>
      </c>
      <c r="C15" s="9" t="s">
        <v>475</v>
      </c>
      <c r="D15" s="9" t="s">
        <v>482</v>
      </c>
      <c r="E15" s="9" t="s">
        <v>94</v>
      </c>
      <c r="F15" s="9" t="n">
        <v>5</v>
      </c>
      <c r="G15" s="9" t="s">
        <v>487</v>
      </c>
      <c r="H15" s="9" t="s">
        <v>501</v>
      </c>
      <c r="I15" s="13" t="s">
        <v>522</v>
      </c>
      <c r="J15" s="9" t="s">
        <v>523</v>
      </c>
    </row>
    <row r="16" customFormat="false" ht="15" hidden="false" customHeight="true" outlineLevel="0" collapsed="false">
      <c r="A16" s="9" t="s">
        <v>447</v>
      </c>
      <c r="B16" s="9" t="s">
        <v>524</v>
      </c>
      <c r="C16" s="9" t="s">
        <v>475</v>
      </c>
      <c r="D16" s="9" t="s">
        <v>476</v>
      </c>
      <c r="E16" s="9" t="s">
        <v>525</v>
      </c>
      <c r="F16" s="9" t="n">
        <v>10</v>
      </c>
      <c r="G16" s="9" t="s">
        <v>483</v>
      </c>
      <c r="H16" s="9" t="s">
        <v>495</v>
      </c>
      <c r="I16" s="9" t="s">
        <v>526</v>
      </c>
      <c r="J16" s="9" t="s">
        <v>527</v>
      </c>
    </row>
    <row r="17" customFormat="false" ht="79.5" hidden="false" customHeight="true" outlineLevel="0" collapsed="false">
      <c r="A17" s="9" t="s">
        <v>100</v>
      </c>
      <c r="B17" s="9" t="s">
        <v>528</v>
      </c>
      <c r="C17" s="9" t="s">
        <v>475</v>
      </c>
      <c r="D17" s="9" t="s">
        <v>482</v>
      </c>
      <c r="E17" s="9" t="s">
        <v>101</v>
      </c>
      <c r="F17" s="9" t="n">
        <v>5</v>
      </c>
      <c r="G17" s="9" t="s">
        <v>483</v>
      </c>
      <c r="H17" s="9" t="s">
        <v>495</v>
      </c>
      <c r="I17" s="13" t="s">
        <v>529</v>
      </c>
      <c r="J17" s="9" t="s">
        <v>530</v>
      </c>
    </row>
    <row r="18" customFormat="false" ht="325.5" hidden="false" customHeight="true" outlineLevel="0" collapsed="false">
      <c r="A18" s="9" t="s">
        <v>105</v>
      </c>
      <c r="B18" s="9" t="s">
        <v>531</v>
      </c>
      <c r="C18" s="9" t="s">
        <v>475</v>
      </c>
      <c r="D18" s="9" t="s">
        <v>482</v>
      </c>
      <c r="E18" s="9" t="s">
        <v>106</v>
      </c>
      <c r="F18" s="9" t="n">
        <v>5</v>
      </c>
      <c r="G18" s="9" t="s">
        <v>487</v>
      </c>
      <c r="H18" s="9" t="s">
        <v>495</v>
      </c>
      <c r="I18" s="13" t="s">
        <v>532</v>
      </c>
      <c r="J18" s="9" t="s">
        <v>533</v>
      </c>
    </row>
    <row r="19" customFormat="false" ht="15" hidden="false" customHeight="true" outlineLevel="0" collapsed="false">
      <c r="A19" s="9" t="s">
        <v>448</v>
      </c>
      <c r="B19" s="9" t="s">
        <v>534</v>
      </c>
      <c r="C19" s="9" t="s">
        <v>475</v>
      </c>
      <c r="D19" s="9" t="s">
        <v>476</v>
      </c>
      <c r="E19" s="9" t="s">
        <v>535</v>
      </c>
      <c r="F19" s="9" t="n">
        <v>10</v>
      </c>
      <c r="H19" s="9" t="s">
        <v>501</v>
      </c>
      <c r="I19" s="9" t="s">
        <v>493</v>
      </c>
      <c r="J19" s="9" t="s">
        <v>480</v>
      </c>
    </row>
    <row r="20" customFormat="false" ht="57" hidden="false" customHeight="true" outlineLevel="0" collapsed="false">
      <c r="A20" s="9" t="s">
        <v>112</v>
      </c>
      <c r="B20" s="9" t="s">
        <v>536</v>
      </c>
      <c r="C20" s="9" t="s">
        <v>475</v>
      </c>
      <c r="D20" s="9" t="s">
        <v>482</v>
      </c>
      <c r="E20" s="9" t="s">
        <v>113</v>
      </c>
      <c r="F20" s="9" t="n">
        <v>5</v>
      </c>
      <c r="G20" s="9" t="s">
        <v>483</v>
      </c>
      <c r="H20" s="9" t="s">
        <v>501</v>
      </c>
      <c r="I20" s="13" t="s">
        <v>537</v>
      </c>
      <c r="J20" s="9" t="s">
        <v>538</v>
      </c>
    </row>
    <row r="21" customFormat="false" ht="102" hidden="false" customHeight="true" outlineLevel="0" collapsed="false">
      <c r="A21" s="9" t="s">
        <v>117</v>
      </c>
      <c r="B21" s="9" t="s">
        <v>539</v>
      </c>
      <c r="C21" s="9" t="s">
        <v>475</v>
      </c>
      <c r="D21" s="9" t="s">
        <v>482</v>
      </c>
      <c r="E21" s="9" t="s">
        <v>118</v>
      </c>
      <c r="F21" s="9" t="n">
        <v>5</v>
      </c>
      <c r="G21" s="9" t="s">
        <v>487</v>
      </c>
      <c r="H21" s="9" t="s">
        <v>501</v>
      </c>
      <c r="I21" s="13" t="s">
        <v>540</v>
      </c>
      <c r="J21" s="9" t="s">
        <v>541</v>
      </c>
    </row>
    <row r="22" customFormat="false" ht="15" hidden="false" customHeight="true" outlineLevel="0" collapsed="false">
      <c r="A22" s="9" t="s">
        <v>449</v>
      </c>
      <c r="B22" s="9" t="s">
        <v>542</v>
      </c>
      <c r="C22" s="9" t="s">
        <v>543</v>
      </c>
      <c r="D22" s="9" t="s">
        <v>476</v>
      </c>
      <c r="E22" s="9" t="s">
        <v>544</v>
      </c>
      <c r="F22" s="9" t="n">
        <v>10</v>
      </c>
      <c r="G22" s="9" t="s">
        <v>545</v>
      </c>
      <c r="H22" s="9" t="s">
        <v>478</v>
      </c>
      <c r="I22" s="9" t="s">
        <v>493</v>
      </c>
      <c r="J22" s="9" t="s">
        <v>546</v>
      </c>
    </row>
    <row r="23" customFormat="false" ht="247.5" hidden="false" customHeight="true" outlineLevel="0" collapsed="false">
      <c r="A23" s="9" t="s">
        <v>120</v>
      </c>
      <c r="B23" s="9" t="s">
        <v>547</v>
      </c>
      <c r="C23" s="9" t="s">
        <v>543</v>
      </c>
      <c r="D23" s="9" t="s">
        <v>482</v>
      </c>
      <c r="E23" s="9" t="s">
        <v>121</v>
      </c>
      <c r="F23" s="9" t="n">
        <v>5</v>
      </c>
      <c r="G23" s="9" t="s">
        <v>545</v>
      </c>
      <c r="H23" s="9" t="s">
        <v>478</v>
      </c>
      <c r="I23" s="13" t="s">
        <v>548</v>
      </c>
      <c r="J23" s="9" t="s">
        <v>549</v>
      </c>
    </row>
    <row r="24" customFormat="false" ht="57" hidden="false" customHeight="true" outlineLevel="0" collapsed="false">
      <c r="A24" s="9" t="s">
        <v>139</v>
      </c>
      <c r="B24" s="9" t="s">
        <v>550</v>
      </c>
      <c r="C24" s="9" t="s">
        <v>543</v>
      </c>
      <c r="D24" s="9" t="s">
        <v>482</v>
      </c>
      <c r="E24" s="9" t="s">
        <v>140</v>
      </c>
      <c r="F24" s="9" t="n">
        <v>5</v>
      </c>
      <c r="G24" s="9" t="s">
        <v>545</v>
      </c>
      <c r="H24" s="9" t="s">
        <v>478</v>
      </c>
      <c r="I24" s="13" t="s">
        <v>551</v>
      </c>
      <c r="J24" s="9" t="s">
        <v>552</v>
      </c>
    </row>
    <row r="25" customFormat="false" ht="15" hidden="false" customHeight="true" outlineLevel="0" collapsed="false">
      <c r="A25" s="9" t="s">
        <v>450</v>
      </c>
      <c r="B25" s="9" t="s">
        <v>553</v>
      </c>
      <c r="C25" s="9" t="s">
        <v>543</v>
      </c>
      <c r="D25" s="9" t="s">
        <v>476</v>
      </c>
      <c r="E25" s="9" t="s">
        <v>554</v>
      </c>
      <c r="F25" s="9" t="n">
        <v>10</v>
      </c>
      <c r="G25" s="9" t="s">
        <v>545</v>
      </c>
      <c r="H25" s="9" t="s">
        <v>478</v>
      </c>
      <c r="I25" s="9" t="s">
        <v>493</v>
      </c>
      <c r="J25" s="9" t="s">
        <v>480</v>
      </c>
    </row>
    <row r="26" customFormat="false" ht="57" hidden="false" customHeight="true" outlineLevel="0" collapsed="false">
      <c r="A26" s="9" t="s">
        <v>152</v>
      </c>
      <c r="B26" s="9" t="s">
        <v>555</v>
      </c>
      <c r="C26" s="9" t="s">
        <v>543</v>
      </c>
      <c r="D26" s="9" t="s">
        <v>482</v>
      </c>
      <c r="E26" s="9" t="s">
        <v>153</v>
      </c>
      <c r="F26" s="9" t="n">
        <v>5</v>
      </c>
      <c r="G26" s="9" t="s">
        <v>545</v>
      </c>
      <c r="H26" s="9" t="s">
        <v>478</v>
      </c>
      <c r="I26" s="13" t="s">
        <v>556</v>
      </c>
      <c r="J26" s="9" t="s">
        <v>557</v>
      </c>
    </row>
    <row r="27" customFormat="false" ht="124.5" hidden="false" customHeight="true" outlineLevel="0" collapsed="false">
      <c r="A27" s="9" t="s">
        <v>169</v>
      </c>
      <c r="B27" s="9" t="s">
        <v>558</v>
      </c>
      <c r="C27" s="9" t="s">
        <v>543</v>
      </c>
      <c r="D27" s="9" t="s">
        <v>482</v>
      </c>
      <c r="E27" s="9" t="s">
        <v>170</v>
      </c>
      <c r="F27" s="9" t="n">
        <v>5</v>
      </c>
      <c r="G27" s="9" t="s">
        <v>483</v>
      </c>
      <c r="H27" s="9" t="s">
        <v>478</v>
      </c>
      <c r="I27" s="13" t="s">
        <v>559</v>
      </c>
      <c r="J27" s="9" t="s">
        <v>560</v>
      </c>
    </row>
    <row r="28" customFormat="false" ht="57" hidden="false" customHeight="true" outlineLevel="0" collapsed="false">
      <c r="A28" s="9" t="s">
        <v>184</v>
      </c>
      <c r="B28" s="9" t="s">
        <v>561</v>
      </c>
      <c r="C28" s="9" t="s">
        <v>543</v>
      </c>
      <c r="D28" s="9" t="s">
        <v>476</v>
      </c>
      <c r="E28" s="9" t="s">
        <v>185</v>
      </c>
      <c r="F28" s="9" t="n">
        <v>10</v>
      </c>
      <c r="G28" s="9" t="s">
        <v>487</v>
      </c>
      <c r="H28" s="9" t="s">
        <v>562</v>
      </c>
      <c r="I28" s="13" t="s">
        <v>563</v>
      </c>
      <c r="J28" s="9" t="s">
        <v>564</v>
      </c>
    </row>
    <row r="29" customFormat="false" ht="90.75" hidden="false" customHeight="true" outlineLevel="0" collapsed="false">
      <c r="A29" s="9" t="s">
        <v>451</v>
      </c>
      <c r="B29" s="9" t="s">
        <v>565</v>
      </c>
      <c r="C29" s="9" t="s">
        <v>543</v>
      </c>
      <c r="D29" s="9" t="s">
        <v>476</v>
      </c>
      <c r="E29" s="9" t="s">
        <v>566</v>
      </c>
      <c r="F29" s="9" t="n">
        <v>10</v>
      </c>
      <c r="G29" s="9" t="s">
        <v>487</v>
      </c>
      <c r="H29" s="9" t="s">
        <v>562</v>
      </c>
      <c r="I29" s="13" t="s">
        <v>567</v>
      </c>
      <c r="J29" s="9" t="s">
        <v>568</v>
      </c>
    </row>
    <row r="30" customFormat="false" ht="90.75" hidden="false" customHeight="true" outlineLevel="0" collapsed="false">
      <c r="A30" s="9" t="s">
        <v>209</v>
      </c>
      <c r="B30" s="9" t="s">
        <v>209</v>
      </c>
      <c r="C30" s="9" t="s">
        <v>543</v>
      </c>
      <c r="D30" s="9" t="s">
        <v>482</v>
      </c>
      <c r="E30" s="9" t="s">
        <v>210</v>
      </c>
      <c r="F30" s="9" t="n">
        <v>1</v>
      </c>
      <c r="G30" s="9" t="s">
        <v>487</v>
      </c>
      <c r="H30" s="9" t="s">
        <v>562</v>
      </c>
      <c r="I30" s="13" t="s">
        <v>569</v>
      </c>
      <c r="J30" s="9" t="s">
        <v>568</v>
      </c>
    </row>
    <row r="31" customFormat="false" ht="90.75" hidden="false" customHeight="true" outlineLevel="0" collapsed="false">
      <c r="A31" s="9" t="s">
        <v>217</v>
      </c>
      <c r="B31" s="9" t="s">
        <v>570</v>
      </c>
      <c r="C31" s="9" t="s">
        <v>543</v>
      </c>
      <c r="D31" s="9" t="s">
        <v>482</v>
      </c>
      <c r="E31" s="9" t="s">
        <v>218</v>
      </c>
      <c r="F31" s="9" t="n">
        <v>1</v>
      </c>
      <c r="G31" s="9" t="s">
        <v>487</v>
      </c>
      <c r="H31" s="9" t="s">
        <v>562</v>
      </c>
      <c r="I31" s="13" t="s">
        <v>571</v>
      </c>
      <c r="J31" s="9" t="s">
        <v>568</v>
      </c>
    </row>
    <row r="32" customFormat="false" ht="90.75" hidden="false" customHeight="true" outlineLevel="0" collapsed="false">
      <c r="A32" s="9" t="s">
        <v>226</v>
      </c>
      <c r="B32" s="9" t="s">
        <v>572</v>
      </c>
      <c r="C32" s="9" t="s">
        <v>543</v>
      </c>
      <c r="D32" s="9" t="s">
        <v>482</v>
      </c>
      <c r="E32" s="9" t="s">
        <v>227</v>
      </c>
      <c r="F32" s="9" t="n">
        <v>1</v>
      </c>
      <c r="G32" s="9" t="s">
        <v>487</v>
      </c>
      <c r="H32" s="9" t="s">
        <v>562</v>
      </c>
      <c r="I32" s="13" t="s">
        <v>573</v>
      </c>
      <c r="J32" s="9" t="s">
        <v>568</v>
      </c>
    </row>
    <row r="33" customFormat="false" ht="90.75" hidden="false" customHeight="true" outlineLevel="0" collapsed="false">
      <c r="A33" s="9" t="s">
        <v>235</v>
      </c>
      <c r="B33" s="9" t="s">
        <v>574</v>
      </c>
      <c r="C33" s="9" t="s">
        <v>543</v>
      </c>
      <c r="D33" s="9" t="s">
        <v>482</v>
      </c>
      <c r="E33" s="9" t="s">
        <v>236</v>
      </c>
      <c r="F33" s="9" t="n">
        <v>1</v>
      </c>
      <c r="G33" s="9" t="s">
        <v>487</v>
      </c>
      <c r="H33" s="9" t="s">
        <v>562</v>
      </c>
      <c r="I33" s="13" t="s">
        <v>575</v>
      </c>
      <c r="J33" s="9" t="s">
        <v>568</v>
      </c>
    </row>
    <row r="34" customFormat="false" ht="90.75" hidden="false" customHeight="true" outlineLevel="0" collapsed="false">
      <c r="A34" s="9" t="s">
        <v>242</v>
      </c>
      <c r="B34" s="9" t="s">
        <v>576</v>
      </c>
      <c r="C34" s="9" t="s">
        <v>543</v>
      </c>
      <c r="D34" s="9" t="s">
        <v>482</v>
      </c>
      <c r="E34" s="9" t="s">
        <v>243</v>
      </c>
      <c r="F34" s="9" t="n">
        <v>1</v>
      </c>
      <c r="G34" s="9" t="s">
        <v>487</v>
      </c>
      <c r="H34" s="9" t="s">
        <v>562</v>
      </c>
      <c r="I34" s="13" t="s">
        <v>577</v>
      </c>
      <c r="J34" s="9" t="s">
        <v>568</v>
      </c>
    </row>
    <row r="35" customFormat="false" ht="113.25" hidden="false" customHeight="true" outlineLevel="0" collapsed="false">
      <c r="A35" s="9" t="s">
        <v>251</v>
      </c>
      <c r="B35" s="9" t="s">
        <v>251</v>
      </c>
      <c r="C35" s="9" t="s">
        <v>543</v>
      </c>
      <c r="D35" s="9" t="s">
        <v>482</v>
      </c>
      <c r="E35" s="9" t="s">
        <v>252</v>
      </c>
      <c r="F35" s="9" t="n">
        <v>1</v>
      </c>
      <c r="G35" s="9" t="s">
        <v>487</v>
      </c>
      <c r="H35" s="9" t="s">
        <v>562</v>
      </c>
      <c r="I35" s="13" t="s">
        <v>578</v>
      </c>
      <c r="J35" s="9" t="s">
        <v>568</v>
      </c>
    </row>
    <row r="36" customFormat="false" ht="102" hidden="false" customHeight="true" outlineLevel="0" collapsed="false">
      <c r="A36" s="9" t="s">
        <v>258</v>
      </c>
      <c r="B36" s="9" t="s">
        <v>579</v>
      </c>
      <c r="C36" s="9" t="s">
        <v>543</v>
      </c>
      <c r="D36" s="9" t="s">
        <v>482</v>
      </c>
      <c r="E36" s="9" t="s">
        <v>259</v>
      </c>
      <c r="F36" s="9" t="n">
        <v>1</v>
      </c>
      <c r="G36" s="9" t="s">
        <v>487</v>
      </c>
      <c r="H36" s="9" t="s">
        <v>562</v>
      </c>
      <c r="I36" s="13" t="s">
        <v>580</v>
      </c>
      <c r="J36" s="9" t="s">
        <v>568</v>
      </c>
    </row>
    <row r="37" customFormat="false" ht="102" hidden="false" customHeight="true" outlineLevel="0" collapsed="false">
      <c r="A37" s="9" t="s">
        <v>267</v>
      </c>
      <c r="B37" s="9" t="s">
        <v>267</v>
      </c>
      <c r="C37" s="9" t="s">
        <v>543</v>
      </c>
      <c r="D37" s="9" t="s">
        <v>482</v>
      </c>
      <c r="E37" s="9" t="s">
        <v>268</v>
      </c>
      <c r="F37" s="9" t="n">
        <v>1</v>
      </c>
      <c r="G37" s="9" t="s">
        <v>487</v>
      </c>
      <c r="H37" s="9" t="s">
        <v>562</v>
      </c>
      <c r="I37" s="13" t="s">
        <v>581</v>
      </c>
      <c r="J37" s="9" t="s">
        <v>568</v>
      </c>
    </row>
    <row r="38" customFormat="false" ht="102" hidden="false" customHeight="true" outlineLevel="0" collapsed="false">
      <c r="A38" s="9" t="s">
        <v>276</v>
      </c>
      <c r="B38" s="9" t="s">
        <v>276</v>
      </c>
      <c r="C38" s="9" t="s">
        <v>543</v>
      </c>
      <c r="D38" s="9" t="s">
        <v>482</v>
      </c>
      <c r="E38" s="9" t="s">
        <v>277</v>
      </c>
      <c r="F38" s="9" t="n">
        <v>1</v>
      </c>
      <c r="G38" s="9" t="s">
        <v>487</v>
      </c>
      <c r="H38" s="9" t="s">
        <v>562</v>
      </c>
      <c r="I38" s="13" t="s">
        <v>582</v>
      </c>
      <c r="J38" s="9" t="s">
        <v>568</v>
      </c>
    </row>
    <row r="39" customFormat="false" ht="102" hidden="false" customHeight="true" outlineLevel="0" collapsed="false">
      <c r="A39" s="9" t="s">
        <v>291</v>
      </c>
      <c r="B39" s="9" t="s">
        <v>291</v>
      </c>
      <c r="C39" s="9" t="s">
        <v>543</v>
      </c>
      <c r="D39" s="9" t="s">
        <v>482</v>
      </c>
      <c r="E39" s="9" t="s">
        <v>292</v>
      </c>
      <c r="F39" s="9" t="n">
        <v>1</v>
      </c>
      <c r="G39" s="9" t="s">
        <v>487</v>
      </c>
      <c r="H39" s="9" t="s">
        <v>562</v>
      </c>
      <c r="I39" s="13" t="s">
        <v>583</v>
      </c>
      <c r="J39" s="9" t="s">
        <v>568</v>
      </c>
    </row>
    <row r="40" customFormat="false" ht="15" hidden="false" customHeight="true" outlineLevel="0" collapsed="false">
      <c r="A40" s="9" t="s">
        <v>452</v>
      </c>
      <c r="B40" s="9" t="s">
        <v>584</v>
      </c>
      <c r="C40" s="9" t="s">
        <v>543</v>
      </c>
      <c r="D40" s="9" t="s">
        <v>476</v>
      </c>
      <c r="E40" s="9" t="s">
        <v>585</v>
      </c>
      <c r="F40" s="9" t="n">
        <v>10</v>
      </c>
      <c r="G40" s="9" t="s">
        <v>545</v>
      </c>
      <c r="H40" s="9" t="s">
        <v>562</v>
      </c>
      <c r="I40" s="9" t="s">
        <v>586</v>
      </c>
      <c r="J40" s="9" t="s">
        <v>480</v>
      </c>
    </row>
    <row r="41" customFormat="false" ht="15" hidden="false" customHeight="true" outlineLevel="0" collapsed="false">
      <c r="A41" s="9" t="s">
        <v>298</v>
      </c>
      <c r="B41" s="9" t="s">
        <v>587</v>
      </c>
      <c r="C41" s="9" t="s">
        <v>543</v>
      </c>
      <c r="D41" s="9" t="s">
        <v>482</v>
      </c>
      <c r="E41" s="9" t="s">
        <v>299</v>
      </c>
      <c r="F41" s="9" t="n">
        <v>5</v>
      </c>
      <c r="G41" s="9" t="s">
        <v>483</v>
      </c>
      <c r="H41" s="9" t="s">
        <v>562</v>
      </c>
      <c r="I41" s="9" t="s">
        <v>588</v>
      </c>
      <c r="J41" s="9" t="s">
        <v>589</v>
      </c>
    </row>
    <row r="42" customFormat="false" ht="258.75" hidden="false" customHeight="true" outlineLevel="0" collapsed="false">
      <c r="A42" s="9" t="s">
        <v>309</v>
      </c>
      <c r="B42" s="9" t="s">
        <v>590</v>
      </c>
      <c r="C42" s="9" t="s">
        <v>543</v>
      </c>
      <c r="D42" s="9" t="s">
        <v>482</v>
      </c>
      <c r="E42" s="9" t="s">
        <v>310</v>
      </c>
      <c r="F42" s="9" t="n">
        <v>5</v>
      </c>
      <c r="G42" s="9" t="s">
        <v>487</v>
      </c>
      <c r="H42" s="9" t="s">
        <v>562</v>
      </c>
      <c r="I42" s="13" t="s">
        <v>591</v>
      </c>
      <c r="J42" s="13" t="s">
        <v>592</v>
      </c>
    </row>
    <row r="43" customFormat="false" ht="15" hidden="false" customHeight="true" outlineLevel="0" collapsed="false">
      <c r="A43" s="9" t="s">
        <v>453</v>
      </c>
      <c r="B43" s="9" t="s">
        <v>593</v>
      </c>
      <c r="C43" s="9" t="s">
        <v>543</v>
      </c>
      <c r="D43" s="9" t="s">
        <v>476</v>
      </c>
      <c r="E43" s="9" t="s">
        <v>594</v>
      </c>
      <c r="F43" s="9" t="n">
        <v>10</v>
      </c>
      <c r="G43" s="9" t="s">
        <v>483</v>
      </c>
      <c r="H43" s="9" t="s">
        <v>492</v>
      </c>
      <c r="I43" s="9" t="s">
        <v>595</v>
      </c>
      <c r="J43" s="9" t="s">
        <v>596</v>
      </c>
    </row>
    <row r="44" customFormat="false" ht="79.5" hidden="false" customHeight="true" outlineLevel="0" collapsed="false">
      <c r="A44" s="9" t="s">
        <v>318</v>
      </c>
      <c r="B44" s="9" t="s">
        <v>597</v>
      </c>
      <c r="C44" s="9" t="s">
        <v>543</v>
      </c>
      <c r="D44" s="9" t="s">
        <v>482</v>
      </c>
      <c r="E44" s="9" t="s">
        <v>319</v>
      </c>
      <c r="F44" s="9" t="n">
        <v>5</v>
      </c>
      <c r="G44" s="9" t="s">
        <v>483</v>
      </c>
      <c r="H44" s="9" t="s">
        <v>492</v>
      </c>
      <c r="I44" s="13" t="s">
        <v>598</v>
      </c>
      <c r="J44" s="9" t="s">
        <v>599</v>
      </c>
    </row>
    <row r="45" customFormat="false" ht="57" hidden="false" customHeight="true" outlineLevel="0" collapsed="false">
      <c r="A45" s="9" t="s">
        <v>330</v>
      </c>
      <c r="B45" s="9" t="s">
        <v>600</v>
      </c>
      <c r="C45" s="9" t="s">
        <v>543</v>
      </c>
      <c r="D45" s="9" t="s">
        <v>482</v>
      </c>
      <c r="E45" s="9" t="s">
        <v>331</v>
      </c>
      <c r="F45" s="9" t="n">
        <v>5</v>
      </c>
      <c r="G45" s="9" t="s">
        <v>483</v>
      </c>
      <c r="H45" s="9" t="s">
        <v>492</v>
      </c>
      <c r="I45" s="13" t="s">
        <v>601</v>
      </c>
      <c r="J45" s="9" t="s">
        <v>602</v>
      </c>
    </row>
    <row r="46" customFormat="false" ht="15" hidden="false" customHeight="true" outlineLevel="0" collapsed="false">
      <c r="A46" s="9" t="s">
        <v>339</v>
      </c>
      <c r="B46" s="9" t="s">
        <v>603</v>
      </c>
      <c r="C46" s="9" t="s">
        <v>604</v>
      </c>
      <c r="D46" s="9" t="s">
        <v>476</v>
      </c>
      <c r="E46" s="9" t="s">
        <v>340</v>
      </c>
      <c r="F46" s="9" t="n">
        <v>10</v>
      </c>
      <c r="G46" s="9" t="s">
        <v>605</v>
      </c>
      <c r="H46" s="9" t="s">
        <v>606</v>
      </c>
      <c r="I46" s="9" t="s">
        <v>607</v>
      </c>
      <c r="J46" s="9" t="s">
        <v>608</v>
      </c>
    </row>
    <row r="47" customFormat="false" ht="15" hidden="false" customHeight="true" outlineLevel="0" collapsed="false">
      <c r="A47" s="9" t="s">
        <v>352</v>
      </c>
      <c r="B47" s="9" t="s">
        <v>609</v>
      </c>
      <c r="C47" s="9" t="s">
        <v>604</v>
      </c>
      <c r="D47" s="9" t="s">
        <v>476</v>
      </c>
      <c r="E47" s="9" t="s">
        <v>353</v>
      </c>
      <c r="F47" s="9" t="n">
        <v>10</v>
      </c>
      <c r="G47" s="9" t="s">
        <v>605</v>
      </c>
      <c r="H47" s="9" t="s">
        <v>610</v>
      </c>
      <c r="I47" s="9" t="s">
        <v>611</v>
      </c>
      <c r="J47" s="9" t="s">
        <v>612</v>
      </c>
    </row>
    <row r="48" customFormat="false" ht="15" hidden="false" customHeight="true" outlineLevel="0" collapsed="false">
      <c r="A48" s="9" t="s">
        <v>358</v>
      </c>
      <c r="B48" s="9" t="s">
        <v>613</v>
      </c>
      <c r="C48" s="9" t="s">
        <v>604</v>
      </c>
      <c r="D48" s="9" t="s">
        <v>476</v>
      </c>
      <c r="E48" s="9" t="s">
        <v>359</v>
      </c>
      <c r="F48" s="9" t="n">
        <v>10</v>
      </c>
      <c r="G48" s="9" t="s">
        <v>605</v>
      </c>
      <c r="H48" s="9" t="s">
        <v>614</v>
      </c>
      <c r="I48" s="9" t="s">
        <v>615</v>
      </c>
      <c r="J48" s="9" t="s">
        <v>616</v>
      </c>
    </row>
    <row r="49" customFormat="false" ht="15" hidden="false" customHeight="true" outlineLevel="0" collapsed="false">
      <c r="A49" s="9" t="s">
        <v>454</v>
      </c>
      <c r="B49" s="9" t="s">
        <v>617</v>
      </c>
      <c r="C49" s="9" t="s">
        <v>604</v>
      </c>
      <c r="D49" s="9" t="s">
        <v>476</v>
      </c>
      <c r="E49" s="9" t="s">
        <v>618</v>
      </c>
      <c r="F49" s="9" t="n">
        <v>10</v>
      </c>
      <c r="G49" s="9" t="s">
        <v>483</v>
      </c>
      <c r="H49" s="9" t="s">
        <v>562</v>
      </c>
      <c r="I49" s="9" t="s">
        <v>619</v>
      </c>
      <c r="J49" s="9" t="s">
        <v>480</v>
      </c>
    </row>
    <row r="50" customFormat="false" ht="15" hidden="false" customHeight="true" outlineLevel="0" collapsed="false">
      <c r="A50" s="9" t="s">
        <v>365</v>
      </c>
      <c r="B50" s="9" t="s">
        <v>620</v>
      </c>
      <c r="C50" s="9" t="s">
        <v>604</v>
      </c>
      <c r="D50" s="9" t="s">
        <v>482</v>
      </c>
      <c r="E50" s="9" t="s">
        <v>366</v>
      </c>
      <c r="F50" s="9" t="n">
        <v>5</v>
      </c>
      <c r="G50" s="9" t="s">
        <v>483</v>
      </c>
      <c r="H50" s="9" t="s">
        <v>562</v>
      </c>
      <c r="I50" s="9" t="s">
        <v>621</v>
      </c>
      <c r="J50" s="9" t="s">
        <v>622</v>
      </c>
    </row>
    <row r="51" customFormat="false" ht="15" hidden="false" customHeight="true" outlineLevel="0" collapsed="false">
      <c r="A51" s="9" t="s">
        <v>378</v>
      </c>
      <c r="B51" s="9" t="s">
        <v>623</v>
      </c>
      <c r="C51" s="9" t="s">
        <v>604</v>
      </c>
      <c r="D51" s="9" t="s">
        <v>482</v>
      </c>
      <c r="E51" s="9" t="s">
        <v>379</v>
      </c>
      <c r="F51" s="9" t="n">
        <v>5</v>
      </c>
      <c r="G51" s="9" t="s">
        <v>487</v>
      </c>
      <c r="H51" s="9" t="s">
        <v>562</v>
      </c>
      <c r="I51" s="9" t="s">
        <v>624</v>
      </c>
      <c r="J51" s="9" t="s">
        <v>625</v>
      </c>
    </row>
    <row r="52" customFormat="false" ht="79.5" hidden="false" customHeight="true" outlineLevel="0" collapsed="false">
      <c r="A52" s="9" t="s">
        <v>385</v>
      </c>
      <c r="B52" s="9" t="s">
        <v>626</v>
      </c>
      <c r="C52" s="9" t="s">
        <v>604</v>
      </c>
      <c r="D52" s="9" t="s">
        <v>476</v>
      </c>
      <c r="E52" s="9" t="s">
        <v>386</v>
      </c>
      <c r="F52" s="9" t="n">
        <v>10</v>
      </c>
      <c r="G52" s="9" t="s">
        <v>483</v>
      </c>
      <c r="H52" s="9" t="s">
        <v>562</v>
      </c>
      <c r="I52" s="13" t="s">
        <v>627</v>
      </c>
      <c r="J52" s="9" t="s">
        <v>628</v>
      </c>
    </row>
    <row r="53" customFormat="false" ht="57" hidden="false" customHeight="true" outlineLevel="0" collapsed="false">
      <c r="A53" s="9" t="s">
        <v>398</v>
      </c>
      <c r="B53" s="9" t="s">
        <v>629</v>
      </c>
      <c r="C53" s="9" t="s">
        <v>604</v>
      </c>
      <c r="D53" s="9" t="s">
        <v>476</v>
      </c>
      <c r="E53" s="9" t="s">
        <v>399</v>
      </c>
      <c r="F53" s="9" t="n">
        <v>10</v>
      </c>
      <c r="G53" s="9" t="s">
        <v>605</v>
      </c>
      <c r="H53" s="9" t="s">
        <v>630</v>
      </c>
      <c r="I53" s="13" t="s">
        <v>631</v>
      </c>
      <c r="J53" s="9" t="s">
        <v>632</v>
      </c>
    </row>
    <row r="54" customFormat="false" ht="15" hidden="false" customHeight="true" outlineLevel="0" collapsed="false">
      <c r="A54" s="9" t="s">
        <v>455</v>
      </c>
      <c r="B54" s="9" t="s">
        <v>633</v>
      </c>
      <c r="C54" s="9" t="s">
        <v>604</v>
      </c>
      <c r="D54" s="9" t="s">
        <v>476</v>
      </c>
      <c r="E54" s="9" t="s">
        <v>634</v>
      </c>
      <c r="F54" s="9" t="n">
        <v>10</v>
      </c>
      <c r="G54" s="9" t="s">
        <v>605</v>
      </c>
      <c r="H54" s="9" t="s">
        <v>478</v>
      </c>
      <c r="I54" s="9" t="s">
        <v>635</v>
      </c>
      <c r="J54" s="9" t="s">
        <v>636</v>
      </c>
    </row>
    <row r="55" customFormat="false" ht="90.75" hidden="false" customHeight="true" outlineLevel="0" collapsed="false">
      <c r="A55" s="9" t="s">
        <v>406</v>
      </c>
      <c r="B55" s="9" t="s">
        <v>637</v>
      </c>
      <c r="C55" s="9" t="s">
        <v>604</v>
      </c>
      <c r="D55" s="9" t="s">
        <v>482</v>
      </c>
      <c r="E55" s="9" t="s">
        <v>407</v>
      </c>
      <c r="F55" s="9" t="n">
        <v>5</v>
      </c>
      <c r="G55" s="9" t="s">
        <v>605</v>
      </c>
      <c r="H55" s="9" t="s">
        <v>478</v>
      </c>
      <c r="I55" s="13" t="s">
        <v>638</v>
      </c>
      <c r="J55" s="9" t="s">
        <v>639</v>
      </c>
    </row>
    <row r="56" customFormat="false" ht="102" hidden="false" customHeight="true" outlineLevel="0" collapsed="false">
      <c r="A56" s="9" t="s">
        <v>415</v>
      </c>
      <c r="B56" s="9" t="s">
        <v>640</v>
      </c>
      <c r="C56" s="9" t="s">
        <v>604</v>
      </c>
      <c r="D56" s="9" t="s">
        <v>482</v>
      </c>
      <c r="E56" s="9" t="s">
        <v>416</v>
      </c>
      <c r="F56" s="9" t="n">
        <v>5</v>
      </c>
      <c r="G56" s="9" t="s">
        <v>605</v>
      </c>
      <c r="H56" s="9" t="s">
        <v>478</v>
      </c>
      <c r="I56" s="13" t="s">
        <v>641</v>
      </c>
      <c r="J56" s="9" t="s">
        <v>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18</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1a</v>
      </c>
    </row>
    <row r="4" customFormat="false" ht="15" hidden="false" customHeight="true" outlineLevel="0" collapsed="false">
      <c r="A4" s="11" t="s">
        <v>436</v>
      </c>
      <c r="B4" s="4" t="str">
        <f aca="false">VLOOKUP($B$1,'PARASTATAL Questions'!$A:$J,4,0)&amp;""</f>
        <v>SQ</v>
      </c>
    </row>
    <row r="5" customFormat="false" ht="157.5" hidden="false" customHeight="true" outlineLevel="0" collapsed="false">
      <c r="A5" s="11" t="s">
        <v>0</v>
      </c>
      <c r="B5" s="4"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45.75" hidden="false" customHeight="true" outlineLevel="0" collapsed="false">
      <c r="A8" s="11" t="s">
        <v>471</v>
      </c>
      <c r="B8" s="4" t="str">
        <f aca="false">VLOOKUP($B$1,'PARASTATAL Questions'!$A:$J,8,0)&amp;""</f>
        <v>Common — all parastatal types.</v>
      </c>
    </row>
    <row r="9" customFormat="false" ht="504.75" hidden="false" customHeight="true" outlineLevel="0" collapsed="false">
      <c r="A9" s="11" t="s">
        <v>472</v>
      </c>
      <c r="B9" s="4"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11" t="s">
        <v>473</v>
      </c>
      <c r="B10" s="4" t="str">
        <f aca="false">VLOOKUP($B$1,'PARASTATAL Questions'!$A:$J,10,0)&amp;""</f>
        <v>Relevant Parastatal Act; applicable Town and Country Planning (T&amp;CP) Act.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270" hidden="false" customHeight="true" outlineLevel="0" collapsed="false">
      <c r="A13" s="9" t="s">
        <v>19</v>
      </c>
      <c r="B13" s="9" t="s">
        <v>659</v>
      </c>
      <c r="C13" s="9" t="s">
        <v>25</v>
      </c>
      <c r="D13" s="9" t="s">
        <v>660</v>
      </c>
      <c r="E13" s="9" t="s">
        <v>661</v>
      </c>
      <c r="F13" s="9" t="s">
        <v>662</v>
      </c>
      <c r="G13" s="9" t="s">
        <v>663</v>
      </c>
      <c r="H13" s="9" t="s">
        <v>26</v>
      </c>
      <c r="I13" s="16" t="n">
        <v>1.25</v>
      </c>
      <c r="J13" s="9" t="n">
        <f aca="false">IF(COUNTIFS('Scores (start here)'!$A:$A,$B$1,'Scores (start here)'!$B:$B,$A13,'Scores (start here)'!$F:$F,"&gt;=0")&gt;0,SUMIFS('Scores (start here)'!$F:$F,'Scores (start here)'!$A:$A,$B$1,'Scores (start here)'!$B:$B,$A13),L13)</f>
        <v>1.25</v>
      </c>
      <c r="K13" s="13" t="s">
        <v>664</v>
      </c>
      <c r="L13" s="9" t="n">
        <f aca="false">IF($B13="NO","NA",IF(I13="","",MIN(I13,$B$6)))</f>
        <v>1.25</v>
      </c>
    </row>
    <row r="14" customFormat="false" ht="15" hidden="false" customHeight="true" outlineLevel="0" collapsed="false">
      <c r="A14" s="9" t="s">
        <v>30</v>
      </c>
      <c r="B14" s="9" t="s">
        <v>659</v>
      </c>
      <c r="C14" s="9" t="s">
        <v>70</v>
      </c>
      <c r="D14" s="9" t="s">
        <v>665</v>
      </c>
      <c r="E14" s="9" t="s">
        <v>666</v>
      </c>
      <c r="F14" s="9" t="s">
        <v>667</v>
      </c>
      <c r="G14" s="9" t="s">
        <v>668</v>
      </c>
      <c r="H14" s="9" t="s">
        <v>71</v>
      </c>
      <c r="I14" s="16"/>
      <c r="J14" s="9" t="str">
        <f aca="false">IF(COUNTIFS('Scores (start here)'!$A:$A,$B$1,'Scores (start here)'!$B:$B,$A14,'Scores (start here)'!$F:$F,"&gt;=0")&gt;0,SUMIFS('Scores (start here)'!$F:$F,'Scores (start here)'!$A:$A,$B$1,'Scores (start here)'!$B:$B,$A14),L14)</f>
        <v/>
      </c>
      <c r="K14" s="13" t="s">
        <v>669</v>
      </c>
      <c r="L14" s="9" t="str">
        <f aca="false">IF($B14="NO","NA",IF(I14="","",MIN(I14,$B$6)))</f>
        <v/>
      </c>
    </row>
    <row r="15" customFormat="false" ht="258.75" hidden="false" customHeight="true" outlineLevel="0" collapsed="false">
      <c r="A15" s="9" t="s">
        <v>33</v>
      </c>
      <c r="B15" s="9" t="s">
        <v>659</v>
      </c>
      <c r="C15" s="9" t="s">
        <v>35</v>
      </c>
      <c r="D15" s="9" t="s">
        <v>670</v>
      </c>
      <c r="E15" s="9" t="s">
        <v>671</v>
      </c>
      <c r="F15" s="9" t="s">
        <v>672</v>
      </c>
      <c r="G15" s="9" t="s">
        <v>673</v>
      </c>
      <c r="H15" s="9" t="s">
        <v>36</v>
      </c>
      <c r="I15" s="16" t="n">
        <v>3.75</v>
      </c>
      <c r="J15" s="9" t="n">
        <f aca="false">IF(COUNTIFS('Scores (start here)'!$A:$A,$B$1,'Scores (start here)'!$B:$B,$A15,'Scores (start here)'!$F:$F,"&gt;=0")&gt;0,SUMIFS('Scores (start here)'!$F:$F,'Scores (start here)'!$A:$A,$B$1,'Scores (start here)'!$B:$B,$A15),L15)</f>
        <v>3.75</v>
      </c>
      <c r="K15" s="13" t="s">
        <v>674</v>
      </c>
      <c r="L15" s="9" t="n">
        <f aca="false">IF($B15="NO","NA",IF(I15="","",MIN(I15,$B$6)))</f>
        <v>3.75</v>
      </c>
    </row>
    <row r="16" customFormat="false" ht="124.5" hidden="false" customHeight="true" outlineLevel="0" collapsed="false">
      <c r="A16" s="9" t="s">
        <v>39</v>
      </c>
      <c r="B16" s="9" t="s">
        <v>659</v>
      </c>
      <c r="C16" s="9" t="s">
        <v>133</v>
      </c>
      <c r="D16" s="9" t="s">
        <v>675</v>
      </c>
      <c r="E16" s="9" t="s">
        <v>676</v>
      </c>
      <c r="F16" s="9" t="s">
        <v>677</v>
      </c>
      <c r="G16" s="9" t="s">
        <v>678</v>
      </c>
      <c r="H16" s="9" t="s">
        <v>124</v>
      </c>
      <c r="I16" s="16" t="n">
        <v>0</v>
      </c>
      <c r="J16" s="9" t="n">
        <f aca="false">IF(COUNTIFS('Scores (start here)'!$A:$A,$B$1,'Scores (start here)'!$B:$B,$A16,'Scores (start here)'!$F:$F,"&gt;=0")&gt;0,SUMIFS('Scores (start here)'!$F:$F,'Scores (start here)'!$A:$A,$B$1,'Scores (start here)'!$B:$B,$A16),L16)</f>
        <v>0</v>
      </c>
      <c r="K16" s="13" t="s">
        <v>679</v>
      </c>
      <c r="L16" s="9" t="n">
        <f aca="false">IF($B16="NO","NA",IF(I16="","",MIN(I16,$B$6)))</f>
        <v>0</v>
      </c>
    </row>
    <row r="17" customFormat="false" ht="45.75" hidden="false" customHeight="true" outlineLevel="0" collapsed="false">
      <c r="A17" s="9" t="s">
        <v>41</v>
      </c>
      <c r="B17" s="9" t="s">
        <v>659</v>
      </c>
      <c r="C17" s="9" t="s">
        <v>43</v>
      </c>
      <c r="D17" s="9" t="s">
        <v>680</v>
      </c>
      <c r="E17" s="9" t="s">
        <v>681</v>
      </c>
      <c r="F17" s="9" t="s">
        <v>682</v>
      </c>
      <c r="G17" s="9" t="s">
        <v>186</v>
      </c>
      <c r="H17" s="9" t="s">
        <v>44</v>
      </c>
      <c r="I17" s="16" t="n">
        <v>0</v>
      </c>
      <c r="J17" s="9" t="n">
        <f aca="false">IF(COUNTIFS('Scores (start here)'!$A:$A,$B$1,'Scores (start here)'!$B:$B,$A17,'Scores (start here)'!$F:$F,"&gt;=0")&gt;0,SUMIFS('Scores (start here)'!$F:$F,'Scores (start here)'!$A:$A,$B$1,'Scores (start here)'!$B:$B,$A17),L17)</f>
        <v>0</v>
      </c>
      <c r="K17" s="13" t="s">
        <v>683</v>
      </c>
      <c r="L17" s="9" t="n">
        <f aca="false">IF($B17="NO","NA",IF(I17="","",MIN(I17,$B$6)))</f>
        <v>0</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47</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1b</v>
      </c>
    </row>
    <row r="4" customFormat="false" ht="15" hidden="false" customHeight="true" outlineLevel="0" collapsed="false">
      <c r="A4" s="11" t="s">
        <v>436</v>
      </c>
      <c r="B4" s="4" t="str">
        <f aca="false">VLOOKUP($B$1,'PARASTATAL Questions'!$A:$J,4,0)&amp;""</f>
        <v>SQ</v>
      </c>
    </row>
    <row r="5" customFormat="false" ht="90.75" hidden="false" customHeight="true" outlineLevel="0" collapsed="false">
      <c r="A5" s="11" t="s">
        <v>0</v>
      </c>
      <c r="B5" s="4" t="str">
        <f aca="false">VLOOKUP($B$1,'PARASTATAL Questions'!$A:$J,5,0)&amp;""</f>
        <v>Has the ULG participated in the parastatal’s plan-making process?</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45.75" hidden="false" customHeight="true" outlineLevel="0" collapsed="false">
      <c r="A8" s="11" t="s">
        <v>471</v>
      </c>
      <c r="B8" s="4" t="str">
        <f aca="false">VLOOKUP($B$1,'PARASTATAL Questions'!$A:$J,8,0)&amp;""</f>
        <v>Common — all parastatal types.</v>
      </c>
    </row>
    <row r="9" customFormat="false" ht="1098" hidden="false" customHeight="true" outlineLevel="0" collapsed="false">
      <c r="A9" s="11" t="s">
        <v>472</v>
      </c>
      <c r="B9" s="4"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11" t="s">
        <v>473</v>
      </c>
      <c r="B10" s="4"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68.75" hidden="false" customHeight="true" outlineLevel="0" collapsed="false">
      <c r="A13" s="9" t="s">
        <v>19</v>
      </c>
      <c r="B13" s="9" t="s">
        <v>659</v>
      </c>
      <c r="C13" s="9" t="s">
        <v>342</v>
      </c>
      <c r="D13" s="9" t="s">
        <v>684</v>
      </c>
      <c r="E13" s="9" t="s">
        <v>685</v>
      </c>
      <c r="F13" s="9" t="s">
        <v>686</v>
      </c>
      <c r="G13" s="9" t="s">
        <v>687</v>
      </c>
      <c r="H13" s="9" t="s">
        <v>343</v>
      </c>
      <c r="I13" s="16" t="n">
        <v>5</v>
      </c>
      <c r="J13" s="9" t="n">
        <f aca="false">IF(COUNTIFS('Scores (start here)'!$A:$A,$B$1,'Scores (start here)'!$B:$B,$A13,'Scores (start here)'!$F:$F,"&gt;=0")&gt;0,SUMIFS('Scores (start here)'!$F:$F,'Scores (start here)'!$A:$A,$B$1,'Scores (start here)'!$B:$B,$A13),L13)</f>
        <v>5</v>
      </c>
      <c r="K13" s="13" t="s">
        <v>688</v>
      </c>
      <c r="L13" s="9" t="n">
        <f aca="false">IF($B13="NO","NA",IF(I13="","",MIN(I13,$B$6)))</f>
        <v>5</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689</v>
      </c>
      <c r="L14" s="9" t="str">
        <f aca="false">IF($B14="NO","NA",IF(I14="","",MIN(I14,$B$6)))</f>
        <v/>
      </c>
    </row>
    <row r="15" customFormat="false" ht="68.2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13" t="s">
        <v>690</v>
      </c>
      <c r="L15" s="9" t="str">
        <f aca="false">IF($B15="NO","NA",IF(I15="","",MIN(I15,$B$6)))</f>
        <v/>
      </c>
    </row>
    <row r="16" customFormat="false" ht="68.2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13" t="s">
        <v>691</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692</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54</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2a</v>
      </c>
    </row>
    <row r="4" customFormat="false" ht="15" hidden="false" customHeight="true" outlineLevel="0" collapsed="false">
      <c r="A4" s="11" t="s">
        <v>436</v>
      </c>
      <c r="B4" s="4" t="str">
        <f aca="false">VLOOKUP($B$1,'PARASTATAL Questions'!$A:$J,4,0)&amp;""</f>
        <v>SQ</v>
      </c>
    </row>
    <row r="5" customFormat="false" ht="247.5" hidden="false" customHeight="true" outlineLevel="0" collapsed="false">
      <c r="A5" s="11" t="s">
        <v>0</v>
      </c>
      <c r="B5" s="4"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11" t="s">
        <v>438</v>
      </c>
      <c r="B6" s="4" t="n">
        <f aca="false">VLOOKUP($B$1,'PARASTATAL Questions'!$A:$J,6,0)</f>
        <v>2.5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Water supply board</v>
      </c>
    </row>
    <row r="9" customFormat="false" ht="784.5" hidden="false" customHeight="true" outlineLevel="0" collapsed="false">
      <c r="A9" s="11" t="s">
        <v>472</v>
      </c>
      <c r="B9" s="4"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1" t="s">
        <v>473</v>
      </c>
      <c r="B10" s="4" t="str">
        <f aca="false">VLOOKUP($B$1,'PARASTATAL Questions'!$A:$J,10,0)&amp;""</f>
        <v>Relevant Parastatal Act; applicable Town and Country Planning (T&amp;CP) Act.</v>
      </c>
    </row>
    <row r="11" customFormat="false" ht="15" hidden="false" customHeight="true" outlineLevel="0" collapsed="false">
      <c r="B11" s="15" t="s">
        <v>645</v>
      </c>
      <c r="I11" s="15" t="s">
        <v>693</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C13" s="9" t="s">
        <v>25</v>
      </c>
      <c r="D13" s="9" t="s">
        <v>694</v>
      </c>
      <c r="E13" s="9" t="s">
        <v>695</v>
      </c>
      <c r="F13" s="9" t="s">
        <v>696</v>
      </c>
      <c r="G13" s="9" t="s">
        <v>663</v>
      </c>
      <c r="H13" s="9" t="s">
        <v>26</v>
      </c>
      <c r="I13" s="16" t="n">
        <v>0</v>
      </c>
      <c r="J13" s="9" t="n">
        <f aca="false">IF(COUNTIFS('Scores (start here)'!$A:$A,$B$1,'Scores (start here)'!$B:$B,$A13,'Scores (start here)'!$F:$F,"&gt;=0")&gt;0,SUMIFS('Scores (start here)'!$F:$F,'Scores (start here)'!$A:$A,$B$1,'Scores (start here)'!$B:$B,$A13),L13)</f>
        <v>0</v>
      </c>
      <c r="K13" s="13" t="s">
        <v>697</v>
      </c>
      <c r="L13" s="9" t="n">
        <f aca="false">IF($B13="NO","NA",IF(I13="","",MIN(I13,$B$6)))</f>
        <v>0</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60</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2b</v>
      </c>
    </row>
    <row r="4" customFormat="false" ht="15" hidden="false" customHeight="true" outlineLevel="0" collapsed="false">
      <c r="A4" s="11" t="s">
        <v>436</v>
      </c>
      <c r="B4" s="4" t="str">
        <f aca="false">VLOOKUP($B$1,'PARASTATAL Questions'!$A:$J,4,0)&amp;""</f>
        <v>SQ</v>
      </c>
    </row>
    <row r="5" customFormat="false" ht="258.75" hidden="false" customHeight="true" outlineLevel="0" collapsed="false">
      <c r="A5" s="11" t="s">
        <v>0</v>
      </c>
      <c r="B5" s="4"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11" t="s">
        <v>438</v>
      </c>
      <c r="B6" s="4" t="n">
        <f aca="false">VLOOKUP($B$1,'PARASTATAL Questions'!$A:$J,6,0)</f>
        <v>2.5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Water supply board</v>
      </c>
    </row>
    <row r="9" customFormat="false" ht="1960.5" hidden="false" customHeight="true" outlineLevel="0" collapsed="false">
      <c r="A9" s="11" t="s">
        <v>472</v>
      </c>
      <c r="B9" s="4"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11" t="s">
        <v>473</v>
      </c>
      <c r="B10" s="4"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5" t="s">
        <v>645</v>
      </c>
      <c r="I11" s="15" t="s">
        <v>693</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C13" s="9" t="s">
        <v>63</v>
      </c>
      <c r="D13" s="9" t="s">
        <v>699</v>
      </c>
      <c r="E13" s="9" t="s">
        <v>700</v>
      </c>
      <c r="F13" s="9" t="s">
        <v>701</v>
      </c>
      <c r="G13" s="9" t="s">
        <v>702</v>
      </c>
      <c r="H13" s="9" t="s">
        <v>64</v>
      </c>
      <c r="I13" s="16"/>
      <c r="J13" s="9" t="str">
        <f aca="false">IF(COUNTIFS('Scores (start here)'!$A:$A,$B$1,'Scores (start here)'!$B:$B,$A13,'Scores (start here)'!$F:$F,"&gt;=0")&gt;0,SUMIFS('Scores (start here)'!$F:$F,'Scores (start here)'!$A:$A,$B$1,'Scores (start here)'!$B:$B,$A13),L13)</f>
        <v/>
      </c>
      <c r="K13" s="13" t="s">
        <v>703</v>
      </c>
      <c r="L13" s="9" t="str">
        <f aca="false">IF($B13="NO","NA",IF(I13="","",MIN(I13,$B$6)))</f>
        <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67</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2c</v>
      </c>
    </row>
    <row r="4" customFormat="false" ht="15" hidden="false" customHeight="true" outlineLevel="0" collapsed="false">
      <c r="A4" s="11" t="s">
        <v>436</v>
      </c>
      <c r="B4" s="4" t="str">
        <f aca="false">VLOOKUP($B$1,'PARASTATAL Questions'!$A:$J,4,0)&amp;""</f>
        <v>SQ</v>
      </c>
    </row>
    <row r="5" customFormat="false" ht="270" hidden="false" customHeight="true" outlineLevel="0" collapsed="false">
      <c r="A5" s="11" t="s">
        <v>0</v>
      </c>
      <c r="B5" s="4"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11" t="s">
        <v>438</v>
      </c>
      <c r="B6" s="4" t="n">
        <f aca="false">VLOOKUP($B$1,'PARASTATAL Questions'!$A:$J,6,0)</f>
        <v>2.5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Transport Corporation</v>
      </c>
    </row>
    <row r="9" customFormat="false" ht="773.25" hidden="false" customHeight="true" outlineLevel="0" collapsed="false">
      <c r="A9" s="11" t="s">
        <v>472</v>
      </c>
      <c r="B9" s="4"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11" t="s">
        <v>473</v>
      </c>
      <c r="B10" s="4" t="str">
        <f aca="false">VLOOKUP($B$1,'PARASTATAL Questions'!$A:$J,10,0)&amp;""</f>
        <v>Relevant Parastatal Act; applicable Town and Country Planning (T&amp;CP) Act.</v>
      </c>
    </row>
    <row r="11" customFormat="false" ht="15" hidden="false" customHeight="true" outlineLevel="0" collapsed="false">
      <c r="B11" s="15" t="s">
        <v>645</v>
      </c>
      <c r="I11" s="15" t="s">
        <v>693</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303" hidden="false" customHeight="true" outlineLevel="0" collapsed="false">
      <c r="A14" s="9" t="s">
        <v>30</v>
      </c>
      <c r="B14" s="9" t="s">
        <v>659</v>
      </c>
      <c r="C14" s="9" t="s">
        <v>70</v>
      </c>
      <c r="D14" s="9" t="s">
        <v>704</v>
      </c>
      <c r="E14" s="9" t="s">
        <v>705</v>
      </c>
      <c r="F14" s="9" t="s">
        <v>706</v>
      </c>
      <c r="G14" s="9" t="s">
        <v>707</v>
      </c>
      <c r="H14" s="9" t="s">
        <v>71</v>
      </c>
      <c r="I14" s="16" t="n">
        <v>2.5</v>
      </c>
      <c r="J14" s="9" t="n">
        <f aca="false">IF(COUNTIFS('Scores (start here)'!$A:$A,$B$1,'Scores (start here)'!$B:$B,$A14,'Scores (start here)'!$F:$F,"&gt;=0")&gt;0,SUMIFS('Scores (start here)'!$F:$F,'Scores (start here)'!$A:$A,$B$1,'Scores (start here)'!$B:$B,$A14),L14)</f>
        <v>2.5</v>
      </c>
      <c r="K14" s="13" t="s">
        <v>708</v>
      </c>
      <c r="L14" s="9" t="n">
        <f aca="false">IF($B14="NO","NA",IF(I14="","",MIN(I14,$B$6)))</f>
        <v>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74</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2d</v>
      </c>
    </row>
    <row r="4" customFormat="false" ht="15" hidden="false" customHeight="true" outlineLevel="0" collapsed="false">
      <c r="A4" s="11" t="s">
        <v>436</v>
      </c>
      <c r="B4" s="4" t="str">
        <f aca="false">VLOOKUP($B$1,'PARASTATAL Questions'!$A:$J,4,0)&amp;""</f>
        <v>SQ</v>
      </c>
    </row>
    <row r="5" customFormat="false" ht="247.5" hidden="false" customHeight="true" outlineLevel="0" collapsed="false">
      <c r="A5" s="11" t="s">
        <v>0</v>
      </c>
      <c r="B5" s="4"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11" t="s">
        <v>438</v>
      </c>
      <c r="B6" s="4" t="n">
        <f aca="false">VLOOKUP($B$1,'PARASTATAL Questions'!$A:$J,6,0)</f>
        <v>2.5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Transport Corporation</v>
      </c>
    </row>
    <row r="9" customFormat="false" ht="1983" hidden="false" customHeight="true" outlineLevel="0" collapsed="false">
      <c r="A9" s="11" t="s">
        <v>472</v>
      </c>
      <c r="B9" s="4"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11" t="s">
        <v>473</v>
      </c>
      <c r="B10" s="4"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5" t="s">
        <v>645</v>
      </c>
      <c r="I11" s="15" t="s">
        <v>693</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68.2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709</v>
      </c>
      <c r="L14" s="9" t="str">
        <f aca="false">IF($B14="NO","NA",IF(I14="","",MIN(I14,$B$6)))</f>
        <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77</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3a</v>
      </c>
    </row>
    <row r="4" customFormat="false" ht="15" hidden="false" customHeight="true" outlineLevel="0" collapsed="false">
      <c r="A4" s="11" t="s">
        <v>436</v>
      </c>
      <c r="B4" s="4" t="str">
        <f aca="false">VLOOKUP($B$1,'PARASTATAL Questions'!$A:$J,4,0)&amp;""</f>
        <v>SQ</v>
      </c>
    </row>
    <row r="5" customFormat="false" ht="258.75" hidden="false" customHeight="true" outlineLevel="0" collapsed="false">
      <c r="A5" s="11" t="s">
        <v>0</v>
      </c>
      <c r="B5" s="4"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Water supply board</v>
      </c>
    </row>
    <row r="9" customFormat="false" ht="840.75" hidden="false" customHeight="true" outlineLevel="0" collapsed="false">
      <c r="A9" s="11" t="s">
        <v>472</v>
      </c>
      <c r="B9" s="4"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11" t="s">
        <v>473</v>
      </c>
      <c r="B10" s="4"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57" hidden="false" customHeight="true" outlineLevel="0" collapsed="false">
      <c r="A13" s="9" t="s">
        <v>19</v>
      </c>
      <c r="B13" s="9" t="s">
        <v>659</v>
      </c>
      <c r="C13" s="9" t="s">
        <v>80</v>
      </c>
      <c r="D13" s="9" t="s">
        <v>710</v>
      </c>
      <c r="E13" s="9" t="s">
        <v>711</v>
      </c>
      <c r="F13" s="9" t="s">
        <v>712</v>
      </c>
      <c r="G13" s="9" t="s">
        <v>713</v>
      </c>
      <c r="H13" s="9" t="s">
        <v>81</v>
      </c>
      <c r="I13" s="16" t="n">
        <v>2.5</v>
      </c>
      <c r="J13" s="9" t="n">
        <f aca="false">IF(COUNTIFS('Scores (start here)'!$A:$A,$B$1,'Scores (start here)'!$B:$B,$A13,'Scores (start here)'!$F:$F,"&gt;=0")&gt;0,SUMIFS('Scores (start here)'!$F:$F,'Scores (start here)'!$A:$A,$B$1,'Scores (start here)'!$B:$B,$A13),L13)</f>
        <v>2.5</v>
      </c>
      <c r="K13" s="13" t="s">
        <v>714</v>
      </c>
      <c r="L13" s="9" t="n">
        <f aca="false">IF($B13="NO","NA",IF(I13="","",MIN(I13,$B$6)))</f>
        <v>2.5</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84</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3b</v>
      </c>
    </row>
    <row r="4" customFormat="false" ht="15" hidden="false" customHeight="true" outlineLevel="0" collapsed="false">
      <c r="A4" s="11" t="s">
        <v>436</v>
      </c>
      <c r="B4" s="4" t="str">
        <f aca="false">VLOOKUP($B$1,'PARASTATAL Questions'!$A:$J,4,0)&amp;""</f>
        <v>SQ</v>
      </c>
    </row>
    <row r="5" customFormat="false" ht="247.5" hidden="false" customHeight="true" outlineLevel="0" collapsed="false">
      <c r="A5" s="11" t="s">
        <v>0</v>
      </c>
      <c r="B5" s="4"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Water supply board</v>
      </c>
    </row>
    <row r="9" customFormat="false" ht="3276.75" hidden="false" customHeight="true" outlineLevel="0" collapsed="false">
      <c r="A9" s="11" t="s">
        <v>472</v>
      </c>
      <c r="B9" s="4"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11" t="s">
        <v>473</v>
      </c>
      <c r="B10" s="4"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236.25" hidden="false" customHeight="true" outlineLevel="0" collapsed="false">
      <c r="A13" s="9" t="s">
        <v>19</v>
      </c>
      <c r="B13" s="9" t="s">
        <v>659</v>
      </c>
      <c r="C13" s="9" t="s">
        <v>342</v>
      </c>
      <c r="D13" s="9" t="s">
        <v>715</v>
      </c>
      <c r="E13" s="9" t="s">
        <v>716</v>
      </c>
      <c r="F13" s="9" t="s">
        <v>717</v>
      </c>
      <c r="G13" s="9" t="s">
        <v>718</v>
      </c>
      <c r="H13" s="9" t="s">
        <v>343</v>
      </c>
      <c r="I13" s="16" t="n">
        <v>2.5</v>
      </c>
      <c r="J13" s="9" t="n">
        <f aca="false">IF(COUNTIFS('Scores (start here)'!$A:$A,$B$1,'Scores (start here)'!$B:$B,$A13,'Scores (start here)'!$F:$F,"&gt;=0")&gt;0,SUMIFS('Scores (start here)'!$F:$F,'Scores (start here)'!$A:$A,$B$1,'Scores (start here)'!$B:$B,$A13),L13)</f>
        <v>2.5</v>
      </c>
      <c r="K13" s="13" t="s">
        <v>719</v>
      </c>
      <c r="L13" s="9" t="n">
        <f aca="false">IF($B13="NO","NA",IF(I13="","",MIN(I13,$B$6)))</f>
        <v>2.5</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87</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4a</v>
      </c>
    </row>
    <row r="4" customFormat="false" ht="15" hidden="false" customHeight="true" outlineLevel="0" collapsed="false">
      <c r="A4" s="11" t="s">
        <v>436</v>
      </c>
      <c r="B4" s="4" t="str">
        <f aca="false">VLOOKUP($B$1,'PARASTATAL Questions'!$A:$J,4,0)&amp;""</f>
        <v>SQ</v>
      </c>
    </row>
    <row r="5" customFormat="false" ht="247.5" hidden="false" customHeight="true" outlineLevel="0" collapsed="false">
      <c r="A5" s="11" t="s">
        <v>0</v>
      </c>
      <c r="B5" s="4"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Transport Corporation</v>
      </c>
    </row>
    <row r="9" customFormat="false" ht="750.75" hidden="false" customHeight="true" outlineLevel="0" collapsed="false">
      <c r="A9" s="11" t="s">
        <v>472</v>
      </c>
      <c r="B9" s="4"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11" t="s">
        <v>473</v>
      </c>
      <c r="B10" s="4"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236.25" hidden="false" customHeight="true" outlineLevel="0" collapsed="false">
      <c r="A14" s="9" t="s">
        <v>30</v>
      </c>
      <c r="B14" s="9" t="s">
        <v>659</v>
      </c>
      <c r="C14" s="9" t="s">
        <v>70</v>
      </c>
      <c r="D14" s="9" t="s">
        <v>720</v>
      </c>
      <c r="E14" s="9" t="s">
        <v>721</v>
      </c>
      <c r="F14" s="9" t="s">
        <v>722</v>
      </c>
      <c r="G14" s="9" t="s">
        <v>707</v>
      </c>
      <c r="H14" s="9" t="s">
        <v>71</v>
      </c>
      <c r="I14" s="16" t="n">
        <v>2.5</v>
      </c>
      <c r="J14" s="9" t="n">
        <f aca="false">IF(COUNTIFS('Scores (start here)'!$A:$A,$B$1,'Scores (start here)'!$B:$B,$A14,'Scores (start here)'!$F:$F,"&gt;=0")&gt;0,SUMIFS('Scores (start here)'!$F:$F,'Scores (start here)'!$A:$A,$B$1,'Scores (start here)'!$B:$B,$A14),L14)</f>
        <v>2.5</v>
      </c>
      <c r="K14" s="13" t="s">
        <v>723</v>
      </c>
      <c r="L14" s="9" t="n">
        <f aca="false">IF($B14="NO","NA",IF(I14="","",MIN(I14,$B$6)))</f>
        <v>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93</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4b</v>
      </c>
    </row>
    <row r="4" customFormat="false" ht="15" hidden="false" customHeight="true" outlineLevel="0" collapsed="false">
      <c r="A4" s="11" t="s">
        <v>436</v>
      </c>
      <c r="B4" s="4" t="str">
        <f aca="false">VLOOKUP($B$1,'PARASTATAL Questions'!$A:$J,4,0)&amp;""</f>
        <v>SQ</v>
      </c>
    </row>
    <row r="5" customFormat="false" ht="236.25" hidden="false" customHeight="true" outlineLevel="0" collapsed="false">
      <c r="A5" s="11" t="s">
        <v>0</v>
      </c>
      <c r="B5" s="4"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Transport Corporation</v>
      </c>
    </row>
    <row r="9" customFormat="false" ht="2184.75" hidden="false" customHeight="true" outlineLevel="0" collapsed="false">
      <c r="A9" s="11" t="s">
        <v>472</v>
      </c>
      <c r="B9" s="4"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11" t="s">
        <v>473</v>
      </c>
      <c r="B10" s="4"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113.25" hidden="false" customHeight="true" outlineLevel="0" collapsed="false">
      <c r="A14" s="9" t="s">
        <v>30</v>
      </c>
      <c r="B14" s="9" t="s">
        <v>659</v>
      </c>
      <c r="C14" s="9" t="s">
        <v>96</v>
      </c>
      <c r="D14" s="9" t="s">
        <v>724</v>
      </c>
      <c r="E14" s="9" t="s">
        <v>725</v>
      </c>
      <c r="F14" s="9" t="s">
        <v>726</v>
      </c>
      <c r="H14" s="9" t="s">
        <v>97</v>
      </c>
      <c r="I14" s="16" t="n">
        <v>1.25</v>
      </c>
      <c r="J14" s="9" t="n">
        <f aca="false">IF(COUNTIFS('Scores (start here)'!$A:$A,$B$1,'Scores (start here)'!$B:$B,$A14,'Scores (start here)'!$F:$F,"&gt;=0")&gt;0,SUMIFS('Scores (start here)'!$F:$F,'Scores (start here)'!$A:$A,$B$1,'Scores (start here)'!$B:$B,$A14),L14)</f>
        <v>1.25</v>
      </c>
      <c r="K14" s="13" t="s">
        <v>727</v>
      </c>
      <c r="L14" s="9" t="n">
        <f aca="false">IF($B14="NO","NA",IF(I14="","",MIN(I14,$B$6)))</f>
        <v>1.25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100</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5a</v>
      </c>
    </row>
    <row r="4" customFormat="false" ht="15" hidden="false" customHeight="true" outlineLevel="0" collapsed="false">
      <c r="A4" s="11" t="s">
        <v>436</v>
      </c>
      <c r="B4" s="4" t="str">
        <f aca="false">VLOOKUP($B$1,'PARASTATAL Questions'!$A:$J,4,0)&amp;""</f>
        <v>SQ</v>
      </c>
    </row>
    <row r="5" customFormat="false" ht="191.25" hidden="false" customHeight="true" outlineLevel="0" collapsed="false">
      <c r="A5" s="11" t="s">
        <v>0</v>
      </c>
      <c r="B5" s="4"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Water supply board</v>
      </c>
    </row>
    <row r="9" customFormat="false" ht="975" hidden="false" customHeight="true" outlineLevel="0" collapsed="false">
      <c r="A9" s="11" t="s">
        <v>472</v>
      </c>
      <c r="B9" s="4"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11" t="s">
        <v>473</v>
      </c>
      <c r="B10" s="4"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236.25" hidden="false" customHeight="true" outlineLevel="0" collapsed="false">
      <c r="A13" s="9" t="s">
        <v>19</v>
      </c>
      <c r="B13" s="9" t="s">
        <v>659</v>
      </c>
      <c r="C13" s="9" t="s">
        <v>25</v>
      </c>
      <c r="D13" s="9" t="s">
        <v>728</v>
      </c>
      <c r="E13" s="9" t="s">
        <v>729</v>
      </c>
      <c r="F13" s="9" t="s">
        <v>730</v>
      </c>
      <c r="G13" s="9" t="s">
        <v>731</v>
      </c>
      <c r="H13" s="9" t="s">
        <v>26</v>
      </c>
      <c r="I13" s="16" t="n">
        <v>2.5</v>
      </c>
      <c r="J13" s="9" t="n">
        <f aca="false">IF(COUNTIFS('Scores (start here)'!$A:$A,$B$1,'Scores (start here)'!$B:$B,$A13,'Scores (start here)'!$F:$F,"&gt;=0")&gt;0,SUMIFS('Scores (start here)'!$F:$F,'Scores (start here)'!$A:$A,$B$1,'Scores (start here)'!$B:$B,$A13),L13)</f>
        <v>2.5</v>
      </c>
      <c r="K13" s="13" t="s">
        <v>732</v>
      </c>
      <c r="L13" s="9" t="n">
        <f aca="false">IF($B13="NO","NA",IF(I13="","",MIN(I13,$B$6)))</f>
        <v>2.5</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105</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5b</v>
      </c>
    </row>
    <row r="4" customFormat="false" ht="15" hidden="false" customHeight="true" outlineLevel="0" collapsed="false">
      <c r="A4" s="11" t="s">
        <v>436</v>
      </c>
      <c r="B4" s="4" t="str">
        <f aca="false">VLOOKUP($B$1,'PARASTATAL Questions'!$A:$J,4,0)&amp;""</f>
        <v>SQ</v>
      </c>
    </row>
    <row r="5" customFormat="false" ht="180" hidden="false" customHeight="true" outlineLevel="0" collapsed="false">
      <c r="A5" s="11" t="s">
        <v>0</v>
      </c>
      <c r="B5" s="4"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Water supply board</v>
      </c>
    </row>
    <row r="9" customFormat="false" ht="3276.75" hidden="false" customHeight="true" outlineLevel="0" collapsed="false">
      <c r="A9" s="11" t="s">
        <v>472</v>
      </c>
      <c r="B9" s="4"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11" t="s">
        <v>473</v>
      </c>
      <c r="B10" s="4"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213.75" hidden="false" customHeight="true" outlineLevel="0" collapsed="false">
      <c r="A13" s="9" t="s">
        <v>19</v>
      </c>
      <c r="B13" s="9" t="s">
        <v>659</v>
      </c>
      <c r="C13" s="9" t="s">
        <v>108</v>
      </c>
      <c r="D13" s="9" t="s">
        <v>733</v>
      </c>
      <c r="E13" s="9" t="s">
        <v>734</v>
      </c>
      <c r="F13" s="9" t="s">
        <v>735</v>
      </c>
      <c r="G13" s="9" t="s">
        <v>736</v>
      </c>
      <c r="H13" s="9" t="s">
        <v>109</v>
      </c>
      <c r="I13" s="16" t="n">
        <v>3.75</v>
      </c>
      <c r="J13" s="9" t="n">
        <f aca="false">IF(COUNTIFS('Scores (start here)'!$A:$A,$B$1,'Scores (start here)'!$B:$B,$A13,'Scores (start here)'!$F:$F,"&gt;=0")&gt;0,SUMIFS('Scores (start here)'!$F:$F,'Scores (start here)'!$A:$A,$B$1,'Scores (start here)'!$B:$B,$A13),L13)</f>
        <v>3.75</v>
      </c>
      <c r="K13" s="13" t="s">
        <v>737</v>
      </c>
      <c r="L13" s="9" t="n">
        <f aca="false">IF($B13="NO","NA",IF(I13="","",MIN(I13,$B$6)))</f>
        <v>3.75</v>
      </c>
    </row>
    <row r="14" customFormat="false" ht="15" hidden="false" customHeight="true" outlineLevel="0" collapsed="false">
      <c r="A14" s="17" t="s">
        <v>30</v>
      </c>
      <c r="B14" s="17" t="s">
        <v>698</v>
      </c>
      <c r="C14" s="17"/>
      <c r="D14" s="17"/>
      <c r="E14" s="17"/>
      <c r="F14" s="17"/>
      <c r="G14" s="17"/>
      <c r="H14" s="17"/>
      <c r="I14" s="18"/>
      <c r="J14" s="17" t="str">
        <f aca="false">IF(COUNTIFS('Scores (start here)'!$A:$A,$B$1,'Scores (start here)'!$B:$B,$A14,'Scores (start here)'!$F:$F,"&gt;=0")&gt;0,SUMIFS('Scores (start here)'!$F:$F,'Scores (start here)'!$A:$A,$B$1,'Scores (start here)'!$B:$B,$A14),L14)</f>
        <v>NA</v>
      </c>
      <c r="K14" s="17"/>
      <c r="L14" s="9" t="str">
        <f aca="false">IF($B14="NO","NA",IF(I14="","",MIN(I14,$B$6)))</f>
        <v>NA</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112</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6a</v>
      </c>
    </row>
    <row r="4" customFormat="false" ht="15" hidden="false" customHeight="true" outlineLevel="0" collapsed="false">
      <c r="A4" s="11" t="s">
        <v>436</v>
      </c>
      <c r="B4" s="4" t="str">
        <f aca="false">VLOOKUP($B$1,'PARASTATAL Questions'!$A:$J,4,0)&amp;""</f>
        <v>SQ</v>
      </c>
    </row>
    <row r="5" customFormat="false" ht="225" hidden="false" customHeight="true" outlineLevel="0" collapsed="false">
      <c r="A5" s="11" t="s">
        <v>0</v>
      </c>
      <c r="B5" s="4"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34.5" hidden="false" customHeight="true" outlineLevel="0" collapsed="false">
      <c r="A8" s="11" t="s">
        <v>471</v>
      </c>
      <c r="B8" s="4" t="str">
        <f aca="false">VLOOKUP($B$1,'PARASTATAL Questions'!$A:$J,8,0)&amp;""</f>
        <v>Transport Corporation</v>
      </c>
    </row>
    <row r="9" customFormat="false" ht="907.5" hidden="false" customHeight="true" outlineLevel="0" collapsed="false">
      <c r="A9" s="11" t="s">
        <v>472</v>
      </c>
      <c r="B9" s="4"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11" t="s">
        <v>473</v>
      </c>
      <c r="B10" s="4"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258.75" hidden="false" customHeight="true" outlineLevel="0" collapsed="false">
      <c r="A14" s="9" t="s">
        <v>30</v>
      </c>
      <c r="B14" s="9" t="s">
        <v>659</v>
      </c>
      <c r="C14" s="9" t="s">
        <v>70</v>
      </c>
      <c r="D14" s="9" t="s">
        <v>665</v>
      </c>
      <c r="E14" s="9" t="s">
        <v>738</v>
      </c>
      <c r="F14" s="9" t="s">
        <v>739</v>
      </c>
      <c r="G14" s="9" t="s">
        <v>668</v>
      </c>
      <c r="H14" s="9" t="s">
        <v>71</v>
      </c>
      <c r="I14" s="16" t="n">
        <v>2.5</v>
      </c>
      <c r="J14" s="9" t="n">
        <f aca="false">IF(COUNTIFS('Scores (start here)'!$A:$A,$B$1,'Scores (start here)'!$B:$B,$A14,'Scores (start here)'!$F:$F,"&gt;=0")&gt;0,SUMIFS('Scores (start here)'!$F:$F,'Scores (start here)'!$A:$A,$B$1,'Scores (start here)'!$B:$B,$A14),L14)</f>
        <v>2.5</v>
      </c>
      <c r="K14" s="13" t="s">
        <v>740</v>
      </c>
      <c r="L14" s="9" t="n">
        <f aca="false">IF($B14="NO","NA",IF(I14="","",MIN(I14,$B$6)))</f>
        <v>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117</v>
      </c>
      <c r="C1" s="9" t="s">
        <v>643</v>
      </c>
      <c r="J1" s="14" t="s">
        <v>644</v>
      </c>
    </row>
    <row r="2" customFormat="false" ht="45.75" hidden="false" customHeight="true" outlineLevel="0" collapsed="false">
      <c r="A2" s="11" t="s">
        <v>435</v>
      </c>
      <c r="B2" s="4" t="str">
        <f aca="false">VLOOKUP($B$1,'PARASTATAL Questions'!$A:$J,3,0)&amp;""</f>
        <v>Urban Planning &amp; Design (UPD)</v>
      </c>
    </row>
    <row r="3" customFormat="false" ht="15" hidden="false" customHeight="true" outlineLevel="0" collapsed="false">
      <c r="A3" s="11" t="s">
        <v>470</v>
      </c>
      <c r="B3" s="4" t="str">
        <f aca="false">VLOOKUP($B$1,'PARASTATAL Questions'!$A:$J,2,0)&amp;""</f>
        <v>UPD 6b</v>
      </c>
    </row>
    <row r="4" customFormat="false" ht="15" hidden="false" customHeight="true" outlineLevel="0" collapsed="false">
      <c r="A4" s="11" t="s">
        <v>436</v>
      </c>
      <c r="B4" s="4" t="str">
        <f aca="false">VLOOKUP($B$1,'PARASTATAL Questions'!$A:$J,4,0)&amp;""</f>
        <v>SQ</v>
      </c>
    </row>
    <row r="5" customFormat="false" ht="202.5" hidden="false" customHeight="true" outlineLevel="0" collapsed="false">
      <c r="A5" s="11" t="s">
        <v>0</v>
      </c>
      <c r="B5" s="4"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34.5" hidden="false" customHeight="true" outlineLevel="0" collapsed="false">
      <c r="A8" s="11" t="s">
        <v>471</v>
      </c>
      <c r="B8" s="4" t="str">
        <f aca="false">VLOOKUP($B$1,'PARASTATAL Questions'!$A:$J,8,0)&amp;""</f>
        <v>Transport Corporation</v>
      </c>
    </row>
    <row r="9" customFormat="false" ht="1714.5" hidden="false" customHeight="true" outlineLevel="0" collapsed="false">
      <c r="A9" s="11" t="s">
        <v>472</v>
      </c>
      <c r="B9" s="4"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11" t="s">
        <v>473</v>
      </c>
      <c r="B10" s="4" t="str">
        <f aca="false">VLOOKUP($B$1,'PARASTATAL Questions'!$A:$J,10,0)&amp;""</f>
        <v>Transport Corporation's fleet plan; route/network plan; environmental/sustainability policy; annual report.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17" t="s">
        <v>19</v>
      </c>
      <c r="B13" s="17" t="s">
        <v>698</v>
      </c>
      <c r="C13" s="17"/>
      <c r="D13" s="17"/>
      <c r="E13" s="17"/>
      <c r="F13" s="17"/>
      <c r="G13" s="17"/>
      <c r="H13" s="17"/>
      <c r="I13" s="18"/>
      <c r="J13" s="17" t="str">
        <f aca="false">IF(COUNTIFS('Scores (start here)'!$A:$A,$B$1,'Scores (start here)'!$B:$B,$A13,'Scores (start here)'!$F:$F,"&gt;=0")&gt;0,SUMIFS('Scores (start here)'!$F:$F,'Scores (start here)'!$A:$A,$B$1,'Scores (start here)'!$B:$B,$A13),L13)</f>
        <v>NA</v>
      </c>
      <c r="K13" s="17"/>
      <c r="L13" s="9" t="str">
        <f aca="false">IF($B13="NO","NA",IF(I13="","",MIN(I13,$B$6)))</f>
        <v>NA</v>
      </c>
    </row>
    <row r="14" customFormat="false" ht="57" hidden="false" customHeight="true" outlineLevel="0" collapsed="false">
      <c r="A14" s="9" t="s">
        <v>30</v>
      </c>
      <c r="B14" s="9" t="s">
        <v>659</v>
      </c>
      <c r="C14" s="9" t="s">
        <v>741</v>
      </c>
      <c r="D14" s="9" t="s">
        <v>742</v>
      </c>
      <c r="E14" s="9" t="s">
        <v>743</v>
      </c>
      <c r="F14" s="9" t="s">
        <v>744</v>
      </c>
      <c r="G14" s="9" t="s">
        <v>745</v>
      </c>
      <c r="H14" s="9" t="s">
        <v>746</v>
      </c>
      <c r="I14" s="16" t="n">
        <v>1.25</v>
      </c>
      <c r="J14" s="9" t="n">
        <f aca="false">IF(COUNTIFS('Scores (start here)'!$A:$A,$B$1,'Scores (start here)'!$B:$B,$A14,'Scores (start here)'!$F:$F,"&gt;=0")&gt;0,SUMIFS('Scores (start here)'!$F:$F,'Scores (start here)'!$A:$A,$B$1,'Scores (start here)'!$B:$B,$A14),L14)</f>
        <v>1.25</v>
      </c>
      <c r="K14" s="13" t="s">
        <v>747</v>
      </c>
      <c r="L14" s="9" t="n">
        <f aca="false">IF($B14="NO","NA",IF(I14="","",MIN(I14,$B$6)))</f>
        <v>1.25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120</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1a</v>
      </c>
    </row>
    <row r="4" customFormat="false" ht="15" hidden="false" customHeight="true" outlineLevel="0" collapsed="false">
      <c r="A4" s="11" t="s">
        <v>436</v>
      </c>
      <c r="B4" s="4" t="str">
        <f aca="false">VLOOKUP($B$1,'PARASTATAL Questions'!$A:$J,4,0)&amp;""</f>
        <v>SQ</v>
      </c>
    </row>
    <row r="5" customFormat="false" ht="135.75" hidden="false" customHeight="true" outlineLevel="0" collapsed="false">
      <c r="A5" s="11" t="s">
        <v>0</v>
      </c>
      <c r="B5" s="4" t="str">
        <f aca="false">VLOOKUP($B$1,'PARASTATAL Questions'!$A:$J,5,0)&amp;""</f>
        <v>Does the legal framework clearly demarcate the functions/responsibilities of the parastatal vis-à-vis the ULG?</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Institutional Design</v>
      </c>
    </row>
    <row r="8" customFormat="false" ht="45.75" hidden="false" customHeight="true" outlineLevel="0" collapsed="false">
      <c r="A8" s="11" t="s">
        <v>471</v>
      </c>
      <c r="B8" s="4" t="str">
        <f aca="false">VLOOKUP($B$1,'PARASTATAL Questions'!$A:$J,8,0)&amp;""</f>
        <v>Common — all parastatal types.</v>
      </c>
    </row>
    <row r="9" customFormat="false" ht="2173.5" hidden="false" customHeight="true" outlineLevel="0" collapsed="false">
      <c r="A9" s="11" t="s">
        <v>472</v>
      </c>
      <c r="B9" s="4"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11" t="s">
        <v>473</v>
      </c>
      <c r="B10" s="4"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91.25" hidden="false" customHeight="true" outlineLevel="0" collapsed="false">
      <c r="A13" s="9" t="s">
        <v>19</v>
      </c>
      <c r="B13" s="9" t="s">
        <v>659</v>
      </c>
      <c r="C13" s="9" t="s">
        <v>123</v>
      </c>
      <c r="D13" s="9" t="s">
        <v>748</v>
      </c>
      <c r="E13" s="9" t="s">
        <v>749</v>
      </c>
      <c r="F13" s="9" t="s">
        <v>750</v>
      </c>
      <c r="G13" s="9" t="s">
        <v>751</v>
      </c>
      <c r="H13" s="9" t="s">
        <v>124</v>
      </c>
      <c r="I13" s="16" t="n">
        <v>0</v>
      </c>
      <c r="J13" s="9" t="n">
        <f aca="false">IF(COUNTIFS('Scores (start here)'!$A:$A,$B$1,'Scores (start here)'!$B:$B,$A13,'Scores (start here)'!$F:$F,"&gt;=0")&gt;0,SUMIFS('Scores (start here)'!$F:$F,'Scores (start here)'!$A:$A,$B$1,'Scores (start here)'!$B:$B,$A13),L13)</f>
        <v>0</v>
      </c>
      <c r="K13" s="13" t="s">
        <v>752</v>
      </c>
      <c r="L13" s="9" t="n">
        <f aca="false">IF($B13="NO","NA",IF(I13="","",MIN(I13,$B$6)))</f>
        <v>0</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753</v>
      </c>
      <c r="L14" s="9" t="str">
        <f aca="false">IF($B14="NO","NA",IF(I14="","",MIN(I14,$B$6)))</f>
        <v/>
      </c>
    </row>
    <row r="15" customFormat="false" ht="258.75" hidden="false" customHeight="true" outlineLevel="0" collapsed="false">
      <c r="A15" s="9" t="s">
        <v>33</v>
      </c>
      <c r="B15" s="9" t="s">
        <v>659</v>
      </c>
      <c r="C15" s="9" t="s">
        <v>129</v>
      </c>
      <c r="D15" s="9" t="s">
        <v>754</v>
      </c>
      <c r="E15" s="9" t="s">
        <v>755</v>
      </c>
      <c r="F15" s="9" t="s">
        <v>756</v>
      </c>
      <c r="G15" s="9" t="s">
        <v>757</v>
      </c>
      <c r="H15" s="9" t="s">
        <v>124</v>
      </c>
      <c r="I15" s="16" t="n">
        <v>0</v>
      </c>
      <c r="J15" s="9" t="n">
        <f aca="false">IF(COUNTIFS('Scores (start here)'!$A:$A,$B$1,'Scores (start here)'!$B:$B,$A15,'Scores (start here)'!$F:$F,"&gt;=0")&gt;0,SUMIFS('Scores (start here)'!$F:$F,'Scores (start here)'!$A:$A,$B$1,'Scores (start here)'!$B:$B,$A15),L15)</f>
        <v>0</v>
      </c>
      <c r="K15" s="13" t="s">
        <v>758</v>
      </c>
      <c r="L15" s="9" t="n">
        <f aca="false">IF($B15="NO","NA",IF(I15="","",MIN(I15,$B$6)))</f>
        <v>0</v>
      </c>
    </row>
    <row r="16" customFormat="false" ht="45.75" hidden="false" customHeight="true" outlineLevel="0" collapsed="false">
      <c r="A16" s="9" t="s">
        <v>39</v>
      </c>
      <c r="B16" s="9" t="s">
        <v>659</v>
      </c>
      <c r="C16" s="9" t="s">
        <v>133</v>
      </c>
      <c r="D16" s="9" t="s">
        <v>759</v>
      </c>
      <c r="E16" s="9" t="s">
        <v>760</v>
      </c>
      <c r="F16" s="9" t="s">
        <v>761</v>
      </c>
      <c r="G16" s="9" t="s">
        <v>736</v>
      </c>
      <c r="H16" s="9" t="s">
        <v>124</v>
      </c>
      <c r="I16" s="16" t="n">
        <v>5</v>
      </c>
      <c r="J16" s="9" t="n">
        <f aca="false">IF(COUNTIFS('Scores (start here)'!$A:$A,$B$1,'Scores (start here)'!$B:$B,$A16,'Scores (start here)'!$F:$F,"&gt;=0")&gt;0,SUMIFS('Scores (start here)'!$F:$F,'Scores (start here)'!$A:$A,$B$1,'Scores (start here)'!$B:$B,$A16),L16)</f>
        <v>5</v>
      </c>
      <c r="K16" s="13" t="s">
        <v>762</v>
      </c>
      <c r="L16" s="9" t="n">
        <f aca="false">IF($B16="NO","NA",IF(I16="","",MIN(I16,$B$6)))</f>
        <v>5</v>
      </c>
    </row>
    <row r="17" customFormat="false" ht="45.75" hidden="false" customHeight="true" outlineLevel="0" collapsed="false">
      <c r="A17" s="9" t="s">
        <v>41</v>
      </c>
      <c r="B17" s="9" t="s">
        <v>659</v>
      </c>
      <c r="C17" s="9" t="s">
        <v>43</v>
      </c>
      <c r="D17" s="9" t="s">
        <v>763</v>
      </c>
      <c r="E17" s="9" t="s">
        <v>764</v>
      </c>
      <c r="F17" s="9" t="s">
        <v>765</v>
      </c>
      <c r="G17" s="9" t="s">
        <v>766</v>
      </c>
      <c r="H17" s="9" t="s">
        <v>44</v>
      </c>
      <c r="I17" s="16"/>
      <c r="J17" s="9" t="str">
        <f aca="false">IF(COUNTIFS('Scores (start here)'!$A:$A,$B$1,'Scores (start here)'!$B:$B,$A17,'Scores (start here)'!$F:$F,"&gt;=0")&gt;0,SUMIFS('Scores (start here)'!$F:$F,'Scores (start here)'!$A:$A,$B$1,'Scores (start here)'!$B:$B,$A17),L17)</f>
        <v/>
      </c>
      <c r="K17" s="13" t="s">
        <v>767</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139</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1b</v>
      </c>
    </row>
    <row r="4" customFormat="false" ht="15" hidden="false" customHeight="true" outlineLevel="0" collapsed="false">
      <c r="A4" s="11" t="s">
        <v>436</v>
      </c>
      <c r="B4" s="4" t="str">
        <f aca="false">VLOOKUP($B$1,'PARASTATAL Questions'!$A:$J,4,0)&amp;""</f>
        <v>SQ</v>
      </c>
    </row>
    <row r="5" customFormat="false" ht="157.5" hidden="false" customHeight="true" outlineLevel="0" collapsed="false">
      <c r="A5" s="11" t="s">
        <v>0</v>
      </c>
      <c r="B5" s="4" t="str">
        <f aca="false">VLOOKUP($B$1,'PARASTATAL Questions'!$A:$J,5,0)&amp;""</f>
        <v>Is the parastatal's territorial/geographic jurisdiction clearly and specifically defined in its enabling legal framework?</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Institutional Design</v>
      </c>
    </row>
    <row r="8" customFormat="false" ht="45.75" hidden="false" customHeight="true" outlineLevel="0" collapsed="false">
      <c r="A8" s="11" t="s">
        <v>471</v>
      </c>
      <c r="B8" s="4" t="str">
        <f aca="false">VLOOKUP($B$1,'PARASTATAL Questions'!$A:$J,8,0)&amp;""</f>
        <v>Common — all parastatal types.</v>
      </c>
    </row>
    <row r="9" customFormat="false" ht="863.25" hidden="false" customHeight="true" outlineLevel="0" collapsed="false">
      <c r="A9" s="11" t="s">
        <v>472</v>
      </c>
      <c r="B9" s="4"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11" t="s">
        <v>473</v>
      </c>
      <c r="B10" s="4" t="str">
        <f aca="false">VLOOKUP($B$1,'PARASTATAL Questions'!$A:$J,10,0)&amp;""</f>
        <v>Enabling Act, 12th Schedule mapping exercise</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91.25" hidden="false" customHeight="true" outlineLevel="0" collapsed="false">
      <c r="A13" s="9" t="s">
        <v>19</v>
      </c>
      <c r="B13" s="9" t="s">
        <v>659</v>
      </c>
      <c r="C13" s="9" t="s">
        <v>25</v>
      </c>
      <c r="D13" s="9" t="s">
        <v>768</v>
      </c>
      <c r="E13" s="9" t="s">
        <v>769</v>
      </c>
      <c r="F13" s="9" t="s">
        <v>770</v>
      </c>
      <c r="G13" s="9" t="s">
        <v>771</v>
      </c>
      <c r="H13" s="9" t="s">
        <v>26</v>
      </c>
      <c r="I13" s="16" t="n">
        <v>2.5</v>
      </c>
      <c r="J13" s="9" t="n">
        <f aca="false">IF(COUNTIFS('Scores (start here)'!$A:$A,$B$1,'Scores (start here)'!$B:$B,$A13,'Scores (start here)'!$F:$F,"&gt;=0")&gt;0,SUMIFS('Scores (start here)'!$F:$F,'Scores (start here)'!$A:$A,$B$1,'Scores (start here)'!$B:$B,$A13),L13)</f>
        <v>2.5</v>
      </c>
      <c r="K13" s="13" t="s">
        <v>772</v>
      </c>
      <c r="L13" s="9" t="n">
        <f aca="false">IF($B13="NO","NA",IF(I13="","",MIN(I13,$B$6)))</f>
        <v>2.5</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773</v>
      </c>
      <c r="L14" s="9" t="str">
        <f aca="false">IF($B14="NO","NA",IF(I14="","",MIN(I14,$B$6)))</f>
        <v/>
      </c>
    </row>
    <row r="15" customFormat="false" ht="213.75" hidden="false" customHeight="true" outlineLevel="0" collapsed="false">
      <c r="A15" s="9" t="s">
        <v>33</v>
      </c>
      <c r="B15" s="9" t="s">
        <v>659</v>
      </c>
      <c r="C15" s="9" t="s">
        <v>35</v>
      </c>
      <c r="D15" s="9" t="s">
        <v>768</v>
      </c>
      <c r="E15" s="9" t="s">
        <v>774</v>
      </c>
      <c r="F15" s="9" t="s">
        <v>775</v>
      </c>
      <c r="G15" s="9" t="s">
        <v>678</v>
      </c>
      <c r="H15" s="9" t="s">
        <v>36</v>
      </c>
      <c r="I15" s="16" t="n">
        <v>2.5</v>
      </c>
      <c r="J15" s="9" t="n">
        <f aca="false">IF(COUNTIFS('Scores (start here)'!$A:$A,$B$1,'Scores (start here)'!$B:$B,$A15,'Scores (start here)'!$F:$F,"&gt;=0")&gt;0,SUMIFS('Scores (start here)'!$F:$F,'Scores (start here)'!$A:$A,$B$1,'Scores (start here)'!$B:$B,$A15),L15)</f>
        <v>2.5</v>
      </c>
      <c r="K15" s="13" t="s">
        <v>776</v>
      </c>
      <c r="L15" s="9" t="n">
        <f aca="false">IF($B15="NO","NA",IF(I15="","",MIN(I15,$B$6)))</f>
        <v>2.5</v>
      </c>
    </row>
    <row r="16" customFormat="false" ht="15" hidden="false" customHeight="true" outlineLevel="0" collapsed="false">
      <c r="A16" s="9" t="s">
        <v>39</v>
      </c>
      <c r="B16" s="9" t="s">
        <v>659</v>
      </c>
      <c r="C16" s="9" t="s">
        <v>777</v>
      </c>
      <c r="D16" s="9" t="s">
        <v>778</v>
      </c>
      <c r="E16" s="9" t="s">
        <v>779</v>
      </c>
      <c r="F16" s="9" t="s">
        <v>780</v>
      </c>
      <c r="G16" s="9" t="s">
        <v>21</v>
      </c>
      <c r="H16" s="9" t="s">
        <v>781</v>
      </c>
      <c r="I16" s="16" t="n">
        <v>2.5</v>
      </c>
      <c r="J16" s="9" t="n">
        <f aca="false">IF(COUNTIFS('Scores (start here)'!$A:$A,$B$1,'Scores (start here)'!$B:$B,$A16,'Scores (start here)'!$F:$F,"&gt;=0")&gt;0,SUMIFS('Scores (start here)'!$F:$F,'Scores (start here)'!$A:$A,$B$1,'Scores (start here)'!$B:$B,$A16),L16)</f>
        <v>2.5</v>
      </c>
      <c r="K16" s="13" t="s">
        <v>782</v>
      </c>
      <c r="L16" s="9" t="n">
        <f aca="false">IF($B16="NO","NA",IF(I16="","",MIN(I16,$B$6)))</f>
        <v>2.5</v>
      </c>
    </row>
    <row r="17" customFormat="false" ht="45.75" hidden="false" customHeight="true" outlineLevel="0" collapsed="false">
      <c r="A17" s="9" t="s">
        <v>41</v>
      </c>
      <c r="B17" s="9" t="s">
        <v>659</v>
      </c>
      <c r="C17" s="9" t="s">
        <v>43</v>
      </c>
      <c r="D17" s="9" t="s">
        <v>783</v>
      </c>
      <c r="E17" s="9" t="s">
        <v>784</v>
      </c>
      <c r="F17" s="9" t="s">
        <v>785</v>
      </c>
      <c r="G17" s="9" t="s">
        <v>21</v>
      </c>
      <c r="H17" s="9" t="s">
        <v>44</v>
      </c>
      <c r="I17" s="16" t="n">
        <v>5</v>
      </c>
      <c r="J17" s="9" t="n">
        <f aca="false">IF(COUNTIFS('Scores (start here)'!$A:$A,$B$1,'Scores (start here)'!$B:$B,$A17,'Scores (start here)'!$F:$F,"&gt;=0")&gt;0,SUMIFS('Scores (start here)'!$F:$F,'Scores (start here)'!$A:$A,$B$1,'Scores (start here)'!$B:$B,$A17),L17)</f>
        <v>5</v>
      </c>
      <c r="K17" s="13" t="s">
        <v>786</v>
      </c>
      <c r="L17" s="9" t="n">
        <f aca="false">IF($B17="NO","NA",IF(I17="","",MIN(I17,$B$6)))</f>
        <v>5</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152</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2a</v>
      </c>
    </row>
    <row r="4" customFormat="false" ht="15" hidden="false" customHeight="true" outlineLevel="0" collapsed="false">
      <c r="A4" s="11" t="s">
        <v>436</v>
      </c>
      <c r="B4" s="4" t="str">
        <f aca="false">VLOOKUP($B$1,'PARASTATAL Questions'!$A:$J,4,0)&amp;""</f>
        <v>SQ</v>
      </c>
    </row>
    <row r="5" customFormat="false" ht="90.75" hidden="false" customHeight="true" outlineLevel="0" collapsed="false">
      <c r="A5" s="11" t="s">
        <v>0</v>
      </c>
      <c r="B5" s="4" t="str">
        <f aca="false">VLOOKUP($B$1,'PARASTATAL Questions'!$A:$J,5,0)&amp;""</f>
        <v>Does the ULG have representation on the parastatal's governing board?</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Institutional Design</v>
      </c>
    </row>
    <row r="8" customFormat="false" ht="45.75" hidden="false" customHeight="true" outlineLevel="0" collapsed="false">
      <c r="A8" s="11" t="s">
        <v>471</v>
      </c>
      <c r="B8" s="4" t="str">
        <f aca="false">VLOOKUP($B$1,'PARASTATAL Questions'!$A:$J,8,0)&amp;""</f>
        <v>Common — all parastatal types.</v>
      </c>
    </row>
    <row r="9" customFormat="false" ht="303" hidden="false" customHeight="true" outlineLevel="0" collapsed="false">
      <c r="A9" s="11" t="s">
        <v>472</v>
      </c>
      <c r="B9" s="4"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11" t="s">
        <v>473</v>
      </c>
      <c r="B10" s="4" t="str">
        <f aca="false">VLOOKUP($B$1,'PARASTATAL Questions'!$A:$J,10,0)&amp;""</f>
        <v>Composition clause of enabling Act; current board member list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236.25" hidden="false" customHeight="true" outlineLevel="0" collapsed="false">
      <c r="A13" s="9" t="s">
        <v>19</v>
      </c>
      <c r="B13" s="9" t="s">
        <v>659</v>
      </c>
      <c r="C13" s="9" t="s">
        <v>25</v>
      </c>
      <c r="D13" s="9" t="s">
        <v>787</v>
      </c>
      <c r="E13" s="9" t="s">
        <v>788</v>
      </c>
      <c r="F13" s="9" t="s">
        <v>789</v>
      </c>
      <c r="G13" s="9" t="s">
        <v>186</v>
      </c>
      <c r="H13" s="9" t="s">
        <v>26</v>
      </c>
      <c r="I13" s="16" t="n">
        <v>0</v>
      </c>
      <c r="J13" s="9" t="n">
        <f aca="false">IF(COUNTIFS('Scores (start here)'!$A:$A,$B$1,'Scores (start here)'!$B:$B,$A13,'Scores (start here)'!$F:$F,"&gt;=0")&gt;0,SUMIFS('Scores (start here)'!$F:$F,'Scores (start here)'!$A:$A,$B$1,'Scores (start here)'!$B:$B,$A13),L13)</f>
        <v>0</v>
      </c>
      <c r="K13" s="13" t="s">
        <v>790</v>
      </c>
      <c r="L13" s="9" t="n">
        <f aca="false">IF($B13="NO","NA",IF(I13="","",MIN(I13,$B$6)))</f>
        <v>0</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791</v>
      </c>
      <c r="L14" s="9" t="str">
        <f aca="false">IF($B14="NO","NA",IF(I14="","",MIN(I14,$B$6)))</f>
        <v/>
      </c>
    </row>
    <row r="15" customFormat="false" ht="202.5" hidden="false" customHeight="true" outlineLevel="0" collapsed="false">
      <c r="A15" s="9" t="s">
        <v>33</v>
      </c>
      <c r="B15" s="9" t="s">
        <v>659</v>
      </c>
      <c r="C15" s="9" t="s">
        <v>35</v>
      </c>
      <c r="D15" s="9" t="s">
        <v>792</v>
      </c>
      <c r="E15" s="9" t="s">
        <v>793</v>
      </c>
      <c r="F15" s="9" t="s">
        <v>794</v>
      </c>
      <c r="G15" s="9" t="s">
        <v>668</v>
      </c>
      <c r="H15" s="9" t="s">
        <v>36</v>
      </c>
      <c r="I15" s="16" t="n">
        <v>5</v>
      </c>
      <c r="J15" s="9" t="n">
        <f aca="false">IF(COUNTIFS('Scores (start here)'!$A:$A,$B$1,'Scores (start here)'!$B:$B,$A15,'Scores (start here)'!$F:$F,"&gt;=0")&gt;0,SUMIFS('Scores (start here)'!$F:$F,'Scores (start here)'!$A:$A,$B$1,'Scores (start here)'!$B:$B,$A15),L15)</f>
        <v>5</v>
      </c>
      <c r="K15" s="13" t="s">
        <v>795</v>
      </c>
      <c r="L15" s="9" t="n">
        <f aca="false">IF($B15="NO","NA",IF(I15="","",MIN(I15,$B$6)))</f>
        <v>5</v>
      </c>
    </row>
    <row r="16" customFormat="false" ht="57" hidden="false" customHeight="true" outlineLevel="0" collapsed="false">
      <c r="A16" s="9" t="s">
        <v>39</v>
      </c>
      <c r="B16" s="9" t="s">
        <v>659</v>
      </c>
      <c r="C16" s="9" t="s">
        <v>162</v>
      </c>
      <c r="D16" s="9" t="s">
        <v>796</v>
      </c>
      <c r="E16" s="9" t="s">
        <v>797</v>
      </c>
      <c r="F16" s="9" t="s">
        <v>798</v>
      </c>
      <c r="G16" s="9" t="s">
        <v>799</v>
      </c>
      <c r="H16" s="9" t="s">
        <v>163</v>
      </c>
      <c r="I16" s="16" t="n">
        <v>0</v>
      </c>
      <c r="J16" s="9" t="n">
        <f aca="false">IF(COUNTIFS('Scores (start here)'!$A:$A,$B$1,'Scores (start here)'!$B:$B,$A16,'Scores (start here)'!$F:$F,"&gt;=0")&gt;0,SUMIFS('Scores (start here)'!$F:$F,'Scores (start here)'!$A:$A,$B$1,'Scores (start here)'!$B:$B,$A16),L16)</f>
        <v>0</v>
      </c>
      <c r="K16" s="13" t="s">
        <v>800</v>
      </c>
      <c r="L16" s="9" t="n">
        <f aca="false">IF($B16="NO","NA",IF(I16="","",MIN(I16,$B$6)))</f>
        <v>0</v>
      </c>
    </row>
    <row r="17" customFormat="false" ht="45.75" hidden="false" customHeight="true" outlineLevel="0" collapsed="false">
      <c r="A17" s="9" t="s">
        <v>41</v>
      </c>
      <c r="B17" s="9" t="s">
        <v>659</v>
      </c>
      <c r="C17" s="9" t="s">
        <v>43</v>
      </c>
      <c r="D17" s="9" t="s">
        <v>801</v>
      </c>
      <c r="E17" s="9" t="s">
        <v>802</v>
      </c>
      <c r="F17" s="9" t="s">
        <v>803</v>
      </c>
      <c r="G17" s="9" t="s">
        <v>804</v>
      </c>
      <c r="H17" s="9" t="s">
        <v>44</v>
      </c>
      <c r="I17" s="16" t="n">
        <v>5</v>
      </c>
      <c r="J17" s="9" t="n">
        <f aca="false">IF(COUNTIFS('Scores (start here)'!$A:$A,$B$1,'Scores (start here)'!$B:$B,$A17,'Scores (start here)'!$F:$F,"&gt;=0")&gt;0,SUMIFS('Scores (start here)'!$F:$F,'Scores (start here)'!$A:$A,$B$1,'Scores (start here)'!$B:$B,$A17),L17)</f>
        <v>5</v>
      </c>
      <c r="K17" s="13" t="s">
        <v>805</v>
      </c>
      <c r="L17" s="9" t="n">
        <f aca="false">IF($B17="NO","NA",IF(I17="","",MIN(I17,$B$6)))</f>
        <v>5</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169</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DPG-2b</v>
      </c>
    </row>
    <row r="4" customFormat="false" ht="15" hidden="false" customHeight="true" outlineLevel="0" collapsed="false">
      <c r="A4" s="11" t="s">
        <v>436</v>
      </c>
      <c r="B4" s="4" t="str">
        <f aca="false">VLOOKUP($B$1,'PARASTATAL Questions'!$A:$J,4,0)&amp;""</f>
        <v>SQ</v>
      </c>
    </row>
    <row r="5" customFormat="false" ht="113.25" hidden="false" customHeight="true" outlineLevel="0" collapsed="false">
      <c r="A5" s="11" t="s">
        <v>0</v>
      </c>
      <c r="B5" s="4" t="str">
        <f aca="false">VLOOKUP($B$1,'PARASTATAL Questions'!$A:$J,5,0)&amp;""</f>
        <v>Is the parastatal mandated to submit its plans, budgets or reports to the ULG/council?</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45.75" hidden="false" customHeight="true" outlineLevel="0" collapsed="false">
      <c r="A8" s="11" t="s">
        <v>471</v>
      </c>
      <c r="B8" s="4" t="str">
        <f aca="false">VLOOKUP($B$1,'PARASTATAL Questions'!$A:$J,8,0)&amp;""</f>
        <v>Common — all parastatal types.</v>
      </c>
    </row>
    <row r="9" customFormat="false" ht="1053" hidden="false" customHeight="true" outlineLevel="0" collapsed="false">
      <c r="A9" s="11" t="s">
        <v>472</v>
      </c>
      <c r="B9" s="4"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11" t="s">
        <v>473</v>
      </c>
      <c r="B10" s="4" t="str">
        <f aca="false">VLOOKUP($B$1,'PARASTATAL Questions'!$A:$J,10,0)&amp;""</f>
        <v>Plan/Budget preparation/Annual report preparation clause of the enabling Act of the relevant parastatal</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68.75" hidden="false" customHeight="true" outlineLevel="0" collapsed="false">
      <c r="A13" s="9" t="s">
        <v>19</v>
      </c>
      <c r="B13" s="9" t="s">
        <v>659</v>
      </c>
      <c r="C13" s="9" t="s">
        <v>25</v>
      </c>
      <c r="D13" s="9" t="s">
        <v>806</v>
      </c>
      <c r="E13" s="9" t="s">
        <v>807</v>
      </c>
      <c r="F13" s="9" t="s">
        <v>808</v>
      </c>
      <c r="G13" s="9" t="s">
        <v>757</v>
      </c>
      <c r="H13" s="9" t="s">
        <v>26</v>
      </c>
      <c r="I13" s="16" t="n">
        <v>0</v>
      </c>
      <c r="J13" s="9" t="n">
        <f aca="false">IF(COUNTIFS('Scores (start here)'!$A:$A,$B$1,'Scores (start here)'!$B:$B,$A13,'Scores (start here)'!$F:$F,"&gt;=0")&gt;0,SUMIFS('Scores (start here)'!$F:$F,'Scores (start here)'!$A:$A,$B$1,'Scores (start here)'!$B:$B,$A13),L13)</f>
        <v>0</v>
      </c>
      <c r="K13" s="13" t="s">
        <v>809</v>
      </c>
      <c r="L13" s="9" t="n">
        <f aca="false">IF($B13="NO","NA",IF(I13="","",MIN(I13,$B$6)))</f>
        <v>0</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810</v>
      </c>
      <c r="L14" s="9" t="str">
        <f aca="false">IF($B14="NO","NA",IF(I14="","",MIN(I14,$B$6)))</f>
        <v/>
      </c>
    </row>
    <row r="15" customFormat="false" ht="15" hidden="false" customHeight="true" outlineLevel="0" collapsed="false">
      <c r="A15" s="9" t="s">
        <v>33</v>
      </c>
      <c r="B15" s="9" t="s">
        <v>659</v>
      </c>
      <c r="C15" s="9" t="s">
        <v>35</v>
      </c>
      <c r="D15" s="9" t="s">
        <v>811</v>
      </c>
      <c r="E15" s="9" t="s">
        <v>812</v>
      </c>
      <c r="F15" s="9" t="s">
        <v>813</v>
      </c>
      <c r="G15" s="9" t="s">
        <v>814</v>
      </c>
      <c r="H15" s="9" t="s">
        <v>36</v>
      </c>
      <c r="I15" s="16" t="n">
        <v>0</v>
      </c>
      <c r="J15" s="9" t="n">
        <f aca="false">IF(COUNTIFS('Scores (start here)'!$A:$A,$B$1,'Scores (start here)'!$B:$B,$A15,'Scores (start here)'!$F:$F,"&gt;=0")&gt;0,SUMIFS('Scores (start here)'!$F:$F,'Scores (start here)'!$A:$A,$B$1,'Scores (start here)'!$B:$B,$A15),L15)</f>
        <v>0</v>
      </c>
      <c r="K15" s="13" t="s">
        <v>815</v>
      </c>
      <c r="L15" s="9" t="n">
        <f aca="false">IF($B15="NO","NA",IF(I15="","",MIN(I15,$B$6)))</f>
        <v>0</v>
      </c>
    </row>
    <row r="16" customFormat="false" ht="157.5" hidden="false" customHeight="true" outlineLevel="0" collapsed="false">
      <c r="A16" s="9" t="s">
        <v>39</v>
      </c>
      <c r="B16" s="9" t="s">
        <v>659</v>
      </c>
      <c r="C16" s="9" t="s">
        <v>133</v>
      </c>
      <c r="D16" s="9" t="s">
        <v>816</v>
      </c>
      <c r="E16" s="9" t="s">
        <v>817</v>
      </c>
      <c r="F16" s="9" t="s">
        <v>818</v>
      </c>
      <c r="G16" s="9" t="s">
        <v>707</v>
      </c>
      <c r="H16" s="9" t="s">
        <v>124</v>
      </c>
      <c r="I16" s="16" t="n">
        <v>0</v>
      </c>
      <c r="J16" s="9" t="n">
        <f aca="false">IF(COUNTIFS('Scores (start here)'!$A:$A,$B$1,'Scores (start here)'!$B:$B,$A16,'Scores (start here)'!$F:$F,"&gt;=0")&gt;0,SUMIFS('Scores (start here)'!$F:$F,'Scores (start here)'!$A:$A,$B$1,'Scores (start here)'!$B:$B,$A16),L16)</f>
        <v>0</v>
      </c>
      <c r="K16" s="13" t="s">
        <v>819</v>
      </c>
      <c r="L16" s="9" t="n">
        <f aca="false">IF($B16="NO","NA",IF(I16="","",MIN(I16,$B$6)))</f>
        <v>0</v>
      </c>
    </row>
    <row r="17" customFormat="false" ht="15" hidden="false" customHeight="true" outlineLevel="0" collapsed="false">
      <c r="A17" s="9" t="s">
        <v>41</v>
      </c>
      <c r="B17" s="9" t="s">
        <v>659</v>
      </c>
      <c r="C17" s="9" t="s">
        <v>43</v>
      </c>
      <c r="D17" s="9" t="s">
        <v>820</v>
      </c>
      <c r="E17" s="9" t="s">
        <v>821</v>
      </c>
      <c r="F17" s="9" t="s">
        <v>822</v>
      </c>
      <c r="G17" s="9" t="s">
        <v>823</v>
      </c>
      <c r="H17" s="9" t="s">
        <v>44</v>
      </c>
      <c r="I17" s="16" t="n">
        <v>0</v>
      </c>
      <c r="J17" s="9" t="n">
        <f aca="false">IF(COUNTIFS('Scores (start here)'!$A:$A,$B$1,'Scores (start here)'!$B:$B,$A17,'Scores (start here)'!$F:$F,"&gt;=0")&gt;0,SUMIFS('Scores (start here)'!$F:$F,'Scores (start here)'!$A:$A,$B$1,'Scores (start here)'!$B:$B,$A17),L17)</f>
        <v>0</v>
      </c>
      <c r="K17" s="13" t="s">
        <v>824</v>
      </c>
      <c r="L17" s="9" t="n">
        <f aca="false">IF($B17="NO","NA",IF(I17="","",MIN(I17,$B$6)))</f>
        <v>0</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184</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4</v>
      </c>
    </row>
    <row r="4" customFormat="false" ht="15" hidden="false" customHeight="true" outlineLevel="0" collapsed="false">
      <c r="A4" s="11" t="s">
        <v>436</v>
      </c>
      <c r="B4" s="4" t="str">
        <f aca="false">VLOOKUP($B$1,'PARASTATAL Questions'!$A:$J,4,0)&amp;""</f>
        <v>MQ</v>
      </c>
    </row>
    <row r="5" customFormat="false" ht="79.5" hidden="false" customHeight="true" outlineLevel="0" collapsed="false">
      <c r="A5" s="11" t="s">
        <v>0</v>
      </c>
      <c r="B5" s="4" t="str">
        <f aca="false">VLOOKUP($B$1,'PARASTATAL Questions'!$A:$J,5,0)&amp;""</f>
        <v>Does the parastatal maintain an active and functional website?</v>
      </c>
    </row>
    <row r="6" customFormat="false" ht="15" hidden="false" customHeight="true" outlineLevel="0" collapsed="false">
      <c r="A6" s="11" t="s">
        <v>438</v>
      </c>
      <c r="B6" s="4" t="n">
        <f aca="false">VLOOKUP($B$1,'PARASTATAL Questions'!$A:$J,6,0)</f>
        <v>10</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572.25" hidden="false" customHeight="true" outlineLevel="0" collapsed="false">
      <c r="A9" s="11" t="s">
        <v>472</v>
      </c>
      <c r="B9" s="4"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11" t="s">
        <v>473</v>
      </c>
      <c r="B10" s="4" t="str">
        <f aca="false">VLOOKUP($B$1,'PARASTATAL Questions'!$A:$J,10,0)&amp;""</f>
        <v>Live URL, screenshot/web-archive capture, date of check of the website of the relevant parastatal</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C13" s="9" t="s">
        <v>188</v>
      </c>
      <c r="D13" s="9" t="s">
        <v>826</v>
      </c>
      <c r="E13" s="9" t="s">
        <v>827</v>
      </c>
      <c r="F13" s="9" t="s">
        <v>828</v>
      </c>
      <c r="H13" s="9" t="s">
        <v>189</v>
      </c>
      <c r="I13" s="16"/>
      <c r="J13" s="9" t="str">
        <f aca="false">IF(COUNTIFS('Scores (start here)'!$A:$A,$B$1,'Scores (start here)'!$B:$B,$A13,'Scores (start here)'!$F:$F,"&gt;=0")&gt;0,SUMIFS('Scores (start here)'!$F:$F,'Scores (start here)'!$A:$A,$B$1,'Scores (start here)'!$B:$B,$A13),L13)</f>
        <v/>
      </c>
      <c r="K13" s="13" t="s">
        <v>829</v>
      </c>
      <c r="L13" s="9" t="str">
        <f aca="false">IF($B13="NO","NA",IF(I13="","",MIN(I13,$B$6)))</f>
        <v/>
      </c>
    </row>
    <row r="14" customFormat="false" ht="15" hidden="false" customHeight="true" outlineLevel="0" collapsed="false">
      <c r="A14" s="9" t="s">
        <v>30</v>
      </c>
      <c r="B14" s="9" t="s">
        <v>659</v>
      </c>
      <c r="C14" s="9" t="s">
        <v>194</v>
      </c>
      <c r="D14" s="9" t="s">
        <v>830</v>
      </c>
      <c r="E14" s="9" t="s">
        <v>831</v>
      </c>
      <c r="F14" s="9" t="s">
        <v>832</v>
      </c>
      <c r="H14" s="9" t="s">
        <v>195</v>
      </c>
      <c r="I14" s="16" t="n">
        <v>10</v>
      </c>
      <c r="J14" s="9" t="n">
        <f aca="false">IF(COUNTIFS('Scores (start here)'!$A:$A,$B$1,'Scores (start here)'!$B:$B,$A14,'Scores (start here)'!$F:$F,"&gt;=0")&gt;0,SUMIFS('Scores (start here)'!$F:$F,'Scores (start here)'!$A:$A,$B$1,'Scores (start here)'!$B:$B,$A14),L14)</f>
        <v>10</v>
      </c>
      <c r="K14" s="13" t="s">
        <v>833</v>
      </c>
      <c r="L14" s="9" t="n">
        <f aca="false">IF($B14="NO","NA",IF(I14="","",MIN(I14,$B$6)))</f>
        <v>10</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834</v>
      </c>
      <c r="L15" s="9" t="str">
        <f aca="false">IF($B15="NO","NA",IF(I15="","",MIN(I15,$B$6)))</f>
        <v/>
      </c>
    </row>
    <row r="16" customFormat="false" ht="15" hidden="false" customHeight="true" outlineLevel="0" collapsed="false">
      <c r="A16" s="9" t="s">
        <v>39</v>
      </c>
      <c r="B16" s="9" t="s">
        <v>659</v>
      </c>
      <c r="C16" s="9" t="s">
        <v>200</v>
      </c>
      <c r="D16" s="9" t="s">
        <v>835</v>
      </c>
      <c r="E16" s="9" t="s">
        <v>836</v>
      </c>
      <c r="F16" s="9" t="s">
        <v>837</v>
      </c>
      <c r="G16" s="9" t="s">
        <v>838</v>
      </c>
      <c r="H16" s="9" t="s">
        <v>201</v>
      </c>
      <c r="I16" s="16"/>
      <c r="J16" s="9" t="str">
        <f aca="false">IF(COUNTIFS('Scores (start here)'!$A:$A,$B$1,'Scores (start here)'!$B:$B,$A16,'Scores (start here)'!$F:$F,"&gt;=0")&gt;0,SUMIFS('Scores (start here)'!$F:$F,'Scores (start here)'!$A:$A,$B$1,'Scores (start here)'!$B:$B,$A16),L16)</f>
        <v/>
      </c>
      <c r="K16" s="13" t="s">
        <v>839</v>
      </c>
      <c r="L16" s="9" t="str">
        <f aca="false">IF($B16="NO","NA",IF(I16="","",MIN(I16,$B$6)))</f>
        <v/>
      </c>
    </row>
    <row r="17" customFormat="false" ht="232.5" hidden="false" customHeight="true" outlineLevel="0" collapsed="false">
      <c r="A17" s="9" t="s">
        <v>41</v>
      </c>
      <c r="B17" s="9" t="s">
        <v>659</v>
      </c>
      <c r="C17" s="19" t="s">
        <v>205</v>
      </c>
      <c r="D17" s="9" t="s">
        <v>840</v>
      </c>
      <c r="E17" s="9" t="s">
        <v>841</v>
      </c>
      <c r="F17" s="9" t="s">
        <v>842</v>
      </c>
      <c r="H17" s="9" t="s">
        <v>206</v>
      </c>
      <c r="I17" s="16" t="n">
        <v>10</v>
      </c>
      <c r="J17" s="9" t="n">
        <f aca="false">IF(COUNTIFS('Scores (start here)'!$A:$A,$B$1,'Scores (start here)'!$B:$B,$A17,'Scores (start here)'!$F:$F,"&gt;=0")&gt;0,SUMIFS('Scores (start here)'!$F:$F,'Scores (start here)'!$A:$A,$B$1,'Scores (start here)'!$B:$B,$A17),L17)</f>
        <v>10</v>
      </c>
      <c r="K17" s="13" t="s">
        <v>843</v>
      </c>
      <c r="L17" s="9" t="n">
        <f aca="false">IF($B17="NO","NA",IF(I17="","",MIN(I17,$B$6)))</f>
        <v>10</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209</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DPG5a</v>
      </c>
    </row>
    <row r="4" customFormat="false" ht="15" hidden="false" customHeight="true" outlineLevel="0" collapsed="false">
      <c r="A4" s="11" t="s">
        <v>436</v>
      </c>
      <c r="B4" s="4" t="str">
        <f aca="false">VLOOKUP($B$1,'PARASTATAL Questions'!$A:$J,4,0)&amp;""</f>
        <v>SQ</v>
      </c>
    </row>
    <row r="5" customFormat="false" ht="23.25" hidden="false" customHeight="true" outlineLevel="0" collapsed="false">
      <c r="A5" s="11" t="s">
        <v>0</v>
      </c>
      <c r="B5" s="4" t="str">
        <f aca="false">VLOOKUP($B$1,'PARASTATAL Questions'!$A:$J,5,0)&amp;""</f>
        <v>Annual budget</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829.5" hidden="false" customHeight="true" outlineLevel="0" collapsed="false">
      <c r="A9" s="11" t="s">
        <v>472</v>
      </c>
      <c r="B9" s="4"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845</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846</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847</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848</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849</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217</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5b</v>
      </c>
    </row>
    <row r="4" customFormat="false" ht="15" hidden="false" customHeight="true" outlineLevel="0" collapsed="false">
      <c r="A4" s="11" t="s">
        <v>436</v>
      </c>
      <c r="B4" s="4" t="str">
        <f aca="false">VLOOKUP($B$1,'PARASTATAL Questions'!$A:$J,4,0)&amp;""</f>
        <v>SQ</v>
      </c>
    </row>
    <row r="5" customFormat="false" ht="34.5" hidden="false" customHeight="true" outlineLevel="0" collapsed="false">
      <c r="A5" s="11" t="s">
        <v>0</v>
      </c>
      <c r="B5" s="4" t="str">
        <f aca="false">VLOOKUP($B$1,'PARASTATAL Questions'!$A:$J,5,0)&amp;""</f>
        <v>Audited annual accounts</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1086.75" hidden="false" customHeight="true" outlineLevel="0" collapsed="false">
      <c r="A9" s="11" t="s">
        <v>472</v>
      </c>
      <c r="B9" s="4"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850</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851</v>
      </c>
      <c r="L14" s="9" t="str">
        <f aca="false">IF($B14="NO","NA",IF(I14="","",MIN(I14,$B$6)))</f>
        <v/>
      </c>
    </row>
    <row r="15" customFormat="false" ht="15" hidden="false" customHeight="true" outlineLevel="0" collapsed="false">
      <c r="A15" s="9" t="s">
        <v>33</v>
      </c>
      <c r="B15" s="9" t="s">
        <v>659</v>
      </c>
      <c r="C15" s="9" t="s">
        <v>35</v>
      </c>
      <c r="D15" s="9" t="s">
        <v>852</v>
      </c>
      <c r="E15" s="9" t="s">
        <v>853</v>
      </c>
      <c r="F15" s="9" t="s">
        <v>854</v>
      </c>
      <c r="G15" s="9" t="s">
        <v>855</v>
      </c>
      <c r="H15" s="9" t="s">
        <v>36</v>
      </c>
      <c r="I15" s="16"/>
      <c r="J15" s="9" t="str">
        <f aca="false">IF(COUNTIFS('Scores (start here)'!$A:$A,$B$1,'Scores (start here)'!$B:$B,$A15,'Scores (start here)'!$F:$F,"&gt;=0")&gt;0,SUMIFS('Scores (start here)'!$F:$F,'Scores (start here)'!$A:$A,$B$1,'Scores (start here)'!$B:$B,$A15),L15)</f>
        <v/>
      </c>
      <c r="K15" s="13" t="s">
        <v>856</v>
      </c>
      <c r="L15" s="9" t="str">
        <f aca="false">IF($B15="NO","NA",IF(I15="","",MIN(I15,$B$6)))</f>
        <v/>
      </c>
    </row>
    <row r="16" customFormat="false" ht="15" hidden="false" customHeight="true" outlineLevel="0" collapsed="false">
      <c r="A16" s="9" t="s">
        <v>39</v>
      </c>
      <c r="B16" s="9" t="s">
        <v>659</v>
      </c>
      <c r="C16" s="9" t="s">
        <v>162</v>
      </c>
      <c r="D16" s="9" t="s">
        <v>857</v>
      </c>
      <c r="E16" s="9" t="s">
        <v>858</v>
      </c>
      <c r="F16" s="9" t="s">
        <v>859</v>
      </c>
      <c r="G16" s="9" t="s">
        <v>860</v>
      </c>
      <c r="H16" s="9" t="s">
        <v>163</v>
      </c>
      <c r="I16" s="16" t="n">
        <v>0</v>
      </c>
      <c r="J16" s="9" t="n">
        <f aca="false">IF(COUNTIFS('Scores (start here)'!$A:$A,$B$1,'Scores (start here)'!$B:$B,$A16,'Scores (start here)'!$F:$F,"&gt;=0")&gt;0,SUMIFS('Scores (start here)'!$F:$F,'Scores (start here)'!$A:$A,$B$1,'Scores (start here)'!$B:$B,$A16),L16)</f>
        <v>0</v>
      </c>
      <c r="K16" s="13" t="s">
        <v>861</v>
      </c>
      <c r="L16" s="9" t="n">
        <f aca="false">IF($B16="NO","NA",IF(I16="","",MIN(I16,$B$6)))</f>
        <v>0</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862</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226</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5c</v>
      </c>
    </row>
    <row r="4" customFormat="false" ht="15" hidden="false" customHeight="true" outlineLevel="0" collapsed="false">
      <c r="A4" s="11" t="s">
        <v>436</v>
      </c>
      <c r="B4" s="4" t="str">
        <f aca="false">VLOOKUP($B$1,'PARASTATAL Questions'!$A:$J,4,0)&amp;""</f>
        <v>SQ</v>
      </c>
    </row>
    <row r="5" customFormat="false" ht="23.25" hidden="false" customHeight="true" outlineLevel="0" collapsed="false">
      <c r="A5" s="11" t="s">
        <v>0</v>
      </c>
      <c r="B5" s="4" t="str">
        <f aca="false">VLOOKUP($B$1,'PARASTATAL Questions'!$A:$J,5,0)&amp;""</f>
        <v>Annual report</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907.5" hidden="false" customHeight="true" outlineLevel="0" collapsed="false">
      <c r="A9" s="11" t="s">
        <v>472</v>
      </c>
      <c r="B9" s="4"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13" t="s">
        <v>863</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864</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865</v>
      </c>
      <c r="L15" s="9" t="str">
        <f aca="false">IF($B15="NO","NA",IF(I15="","",MIN(I15,$B$6)))</f>
        <v/>
      </c>
    </row>
    <row r="16" customFormat="false" ht="15" hidden="false" customHeight="true" outlineLevel="0" collapsed="false">
      <c r="A16" s="9" t="s">
        <v>39</v>
      </c>
      <c r="B16" s="9" t="s">
        <v>659</v>
      </c>
      <c r="C16" s="9" t="s">
        <v>162</v>
      </c>
      <c r="D16" s="9" t="s">
        <v>866</v>
      </c>
      <c r="E16" s="9" t="s">
        <v>867</v>
      </c>
      <c r="F16" s="9" t="s">
        <v>868</v>
      </c>
      <c r="G16" s="9" t="s">
        <v>869</v>
      </c>
      <c r="H16" s="9" t="s">
        <v>163</v>
      </c>
      <c r="I16" s="16"/>
      <c r="J16" s="9" t="str">
        <f aca="false">IF(COUNTIFS('Scores (start here)'!$A:$A,$B$1,'Scores (start here)'!$B:$B,$A16,'Scores (start here)'!$F:$F,"&gt;=0")&gt;0,SUMIFS('Scores (start here)'!$F:$F,'Scores (start here)'!$A:$A,$B$1,'Scores (start here)'!$B:$B,$A16),L16)</f>
        <v/>
      </c>
      <c r="K16" s="9" t="s">
        <v>870</v>
      </c>
      <c r="L16" s="9" t="str">
        <f aca="false">IF($B16="NO","NA",IF(I16="","",MIN(I16,$B$6)))</f>
        <v/>
      </c>
    </row>
    <row r="17" customFormat="false" ht="34.5" hidden="false" customHeight="true" outlineLevel="0" collapsed="false">
      <c r="A17" s="9" t="s">
        <v>41</v>
      </c>
      <c r="B17" s="9" t="s">
        <v>659</v>
      </c>
      <c r="C17" s="9" t="s">
        <v>205</v>
      </c>
      <c r="D17" s="9" t="s">
        <v>871</v>
      </c>
      <c r="E17" s="9" t="s">
        <v>872</v>
      </c>
      <c r="F17" s="9" t="s">
        <v>873</v>
      </c>
      <c r="H17" s="9" t="s">
        <v>206</v>
      </c>
      <c r="I17" s="16"/>
      <c r="J17" s="9" t="str">
        <f aca="false">IF(COUNTIFS('Scores (start here)'!$A:$A,$B$1,'Scores (start here)'!$B:$B,$A17,'Scores (start here)'!$F:$F,"&gt;=0")&gt;0,SUMIFS('Scores (start here)'!$F:$F,'Scores (start here)'!$A:$A,$B$1,'Scores (start here)'!$B:$B,$A17),L17)</f>
        <v/>
      </c>
      <c r="K17" s="13" t="s">
        <v>874</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235</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d</v>
      </c>
    </row>
    <row r="4" customFormat="false" ht="15" hidden="false" customHeight="true" outlineLevel="0" collapsed="false">
      <c r="A4" s="11" t="s">
        <v>436</v>
      </c>
      <c r="B4" s="4" t="str">
        <f aca="false">VLOOKUP($B$1,'PARASTATAL Questions'!$A:$J,4,0)&amp;""</f>
        <v>SQ</v>
      </c>
    </row>
    <row r="5" customFormat="false" ht="45.75" hidden="false" customHeight="true" outlineLevel="0" collapsed="false">
      <c r="A5" s="11" t="s">
        <v>0</v>
      </c>
      <c r="B5" s="4" t="str">
        <f aca="false">VLOOKUP($B$1,'PARASTATAL Questions'!$A:$J,5,0)&amp;""</f>
        <v>Meeting minutes of governing board</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840.75" hidden="false" customHeight="true" outlineLevel="0" collapsed="false">
      <c r="A9" s="11" t="s">
        <v>472</v>
      </c>
      <c r="B9" s="4"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875</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876</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877</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878</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879</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242</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f</v>
      </c>
    </row>
    <row r="4" customFormat="false" ht="15" hidden="false" customHeight="true" outlineLevel="0" collapsed="false">
      <c r="A4" s="11" t="s">
        <v>436</v>
      </c>
      <c r="B4" s="4" t="str">
        <f aca="false">VLOOKUP($B$1,'PARASTATAL Questions'!$A:$J,4,0)&amp;""</f>
        <v>SQ</v>
      </c>
    </row>
    <row r="5" customFormat="false" ht="57" hidden="false" customHeight="true" outlineLevel="0" collapsed="false">
      <c r="A5" s="11" t="s">
        <v>0</v>
      </c>
      <c r="B5" s="4" t="str">
        <f aca="false">VLOOKUP($B$1,'PARASTATAL Questions'!$A:$J,5,0)&amp;""</f>
        <v>Organisation and staffing information</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1098" hidden="false" customHeight="true" outlineLevel="0" collapsed="false">
      <c r="A9" s="11" t="s">
        <v>472</v>
      </c>
      <c r="B9" s="4"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880</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881</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882</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883</v>
      </c>
      <c r="L16" s="9" t="str">
        <f aca="false">IF($B16="NO","NA",IF(I16="","",MIN(I16,$B$6)))</f>
        <v/>
      </c>
    </row>
    <row r="17" customFormat="false" ht="191.25" hidden="false" customHeight="true" outlineLevel="0" collapsed="false">
      <c r="A17" s="9" t="s">
        <v>41</v>
      </c>
      <c r="B17" s="9" t="s">
        <v>659</v>
      </c>
      <c r="C17" s="9" t="s">
        <v>205</v>
      </c>
      <c r="D17" s="9" t="s">
        <v>884</v>
      </c>
      <c r="E17" s="9" t="s">
        <v>885</v>
      </c>
      <c r="H17" s="9" t="s">
        <v>206</v>
      </c>
      <c r="I17" s="16" t="n">
        <v>1</v>
      </c>
      <c r="J17" s="9" t="n">
        <f aca="false">IF(COUNTIFS('Scores (start here)'!$A:$A,$B$1,'Scores (start here)'!$B:$B,$A17,'Scores (start here)'!$F:$F,"&gt;=0")&gt;0,SUMIFS('Scores (start here)'!$F:$F,'Scores (start here)'!$A:$A,$B$1,'Scores (start here)'!$B:$B,$A17),L17)</f>
        <v>1</v>
      </c>
      <c r="K17" s="13" t="s">
        <v>886</v>
      </c>
      <c r="L17" s="9" t="n">
        <f aca="false">IF($B17="NO","NA",IF(I17="","",MIN(I17,$B$6)))</f>
        <v>1</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251</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DPG5g</v>
      </c>
    </row>
    <row r="4" customFormat="false" ht="15" hidden="false" customHeight="true" outlineLevel="0" collapsed="false">
      <c r="A4" s="11" t="s">
        <v>436</v>
      </c>
      <c r="B4" s="4" t="str">
        <f aca="false">VLOOKUP($B$1,'PARASTATAL Questions'!$A:$J,4,0)&amp;""</f>
        <v>SQ</v>
      </c>
    </row>
    <row r="5" customFormat="false" ht="34.5" hidden="false" customHeight="true" outlineLevel="0" collapsed="false">
      <c r="A5" s="11" t="s">
        <v>0</v>
      </c>
      <c r="B5" s="4" t="str">
        <f aca="false">VLOOKUP($B$1,'PARASTATAL Questions'!$A:$J,5,0)&amp;""</f>
        <v>Major plans / projects</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1233" hidden="false" customHeight="true" outlineLevel="0" collapsed="false">
      <c r="A9" s="11" t="s">
        <v>472</v>
      </c>
      <c r="B9" s="4"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13" t="s">
        <v>887</v>
      </c>
      <c r="L13" s="9" t="str">
        <f aca="false">IF($B13="NO","NA",IF(I13="","",MIN(I13,$B$6)))</f>
        <v/>
      </c>
    </row>
    <row r="14" customFormat="false" ht="45.7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888</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889</v>
      </c>
      <c r="L15" s="9" t="str">
        <f aca="false">IF($B15="NO","NA",IF(I15="","",MIN(I15,$B$6)))</f>
        <v/>
      </c>
    </row>
    <row r="16" customFormat="false" ht="57" hidden="false" customHeight="true" outlineLevel="0" collapsed="false">
      <c r="A16" s="9" t="s">
        <v>39</v>
      </c>
      <c r="B16" s="9" t="s">
        <v>659</v>
      </c>
      <c r="C16" s="9" t="s">
        <v>162</v>
      </c>
      <c r="D16" s="9" t="s">
        <v>890</v>
      </c>
      <c r="E16" s="9" t="s">
        <v>891</v>
      </c>
      <c r="F16" s="9" t="s">
        <v>892</v>
      </c>
      <c r="G16" s="9" t="s">
        <v>893</v>
      </c>
      <c r="H16" s="9" t="s">
        <v>163</v>
      </c>
      <c r="I16" s="16"/>
      <c r="J16" s="9" t="str">
        <f aca="false">IF(COUNTIFS('Scores (start here)'!$A:$A,$B$1,'Scores (start here)'!$B:$B,$A16,'Scores (start here)'!$F:$F,"&gt;=0")&gt;0,SUMIFS('Scores (start here)'!$F:$F,'Scores (start here)'!$A:$A,$B$1,'Scores (start here)'!$B:$B,$A16),L16)</f>
        <v/>
      </c>
      <c r="K16" s="13" t="s">
        <v>894</v>
      </c>
      <c r="L16" s="9" t="str">
        <f aca="false">IF($B16="NO","NA",IF(I16="","",MIN(I16,$B$6)))</f>
        <v/>
      </c>
    </row>
    <row r="17" customFormat="false" ht="157.5" hidden="false" customHeight="true" outlineLevel="0" collapsed="false">
      <c r="A17" s="9" t="s">
        <v>41</v>
      </c>
      <c r="B17" s="9" t="s">
        <v>659</v>
      </c>
      <c r="C17" s="9" t="s">
        <v>205</v>
      </c>
      <c r="D17" s="9" t="s">
        <v>895</v>
      </c>
      <c r="E17" s="9" t="s">
        <v>896</v>
      </c>
      <c r="H17" s="9" t="s">
        <v>206</v>
      </c>
      <c r="I17" s="16"/>
      <c r="J17" s="9" t="str">
        <f aca="false">IF(COUNTIFS('Scores (start here)'!$A:$A,$B$1,'Scores (start here)'!$B:$B,$A17,'Scores (start here)'!$F:$F,"&gt;=0")&gt;0,SUMIFS('Scores (start here)'!$F:$F,'Scores (start here)'!$A:$A,$B$1,'Scores (start here)'!$B:$B,$A17),L17)</f>
        <v/>
      </c>
      <c r="K17" s="13" t="s">
        <v>897</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258</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h</v>
      </c>
    </row>
    <row r="4" customFormat="false" ht="15" hidden="false" customHeight="true" outlineLevel="0" collapsed="false">
      <c r="A4" s="11" t="s">
        <v>436</v>
      </c>
      <c r="B4" s="4" t="str">
        <f aca="false">VLOOKUP($B$1,'PARASTATAL Questions'!$A:$J,4,0)&amp;""</f>
        <v>SQ</v>
      </c>
    </row>
    <row r="5" customFormat="false" ht="68.25" hidden="false" customHeight="true" outlineLevel="0" collapsed="false">
      <c r="A5" s="11" t="s">
        <v>0</v>
      </c>
      <c r="B5" s="4" t="str">
        <f aca="false">VLOOKUP($B$1,'PARASTATAL Questions'!$A:$J,5,0)&amp;""</f>
        <v>Service-level benchmarks and performance reports</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986.25" hidden="false" customHeight="true" outlineLevel="0" collapsed="false">
      <c r="A9" s="11" t="s">
        <v>472</v>
      </c>
      <c r="B9" s="4"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898</v>
      </c>
      <c r="L13" s="9" t="str">
        <f aca="false">IF($B13="NO","NA",IF(I13="","",MIN(I13,$B$6)))</f>
        <v/>
      </c>
    </row>
    <row r="14" customFormat="false" ht="34.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899</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900</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901</v>
      </c>
      <c r="L16" s="9" t="str">
        <f aca="false">IF($B16="NO","NA",IF(I16="","",MIN(I16,$B$6)))</f>
        <v/>
      </c>
    </row>
    <row r="17" customFormat="false" ht="128.25" hidden="false" customHeight="true" outlineLevel="0" collapsed="false">
      <c r="A17" s="9" t="s">
        <v>41</v>
      </c>
      <c r="B17" s="9" t="s">
        <v>659</v>
      </c>
      <c r="C17" s="19" t="s">
        <v>205</v>
      </c>
      <c r="D17" s="9" t="s">
        <v>902</v>
      </c>
      <c r="E17" s="9" t="s">
        <v>903</v>
      </c>
      <c r="F17" s="9" t="s">
        <v>904</v>
      </c>
      <c r="H17" s="9" t="s">
        <v>206</v>
      </c>
      <c r="I17" s="16" t="n">
        <v>0</v>
      </c>
      <c r="J17" s="9" t="n">
        <f aca="false">IF(COUNTIFS('Scores (start here)'!$A:$A,$B$1,'Scores (start here)'!$B:$B,$A17,'Scores (start here)'!$F:$F,"&gt;=0")&gt;0,SUMIFS('Scores (start here)'!$F:$F,'Scores (start here)'!$A:$A,$B$1,'Scores (start here)'!$B:$B,$A17),L17)</f>
        <v>0</v>
      </c>
      <c r="K17" s="13" t="s">
        <v>905</v>
      </c>
      <c r="L17" s="9" t="n">
        <f aca="false">IF($B17="NO","NA",IF(I17="","",MIN(I17,$B$6)))</f>
        <v>0</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267</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DPG5i</v>
      </c>
    </row>
    <row r="4" customFormat="false" ht="15" hidden="false" customHeight="true" outlineLevel="0" collapsed="false">
      <c r="A4" s="11" t="s">
        <v>436</v>
      </c>
      <c r="B4" s="4" t="str">
        <f aca="false">VLOOKUP($B$1,'PARASTATAL Questions'!$A:$J,4,0)&amp;""</f>
        <v>SQ</v>
      </c>
    </row>
    <row r="5" customFormat="false" ht="34.5" hidden="false" customHeight="true" outlineLevel="0" collapsed="false">
      <c r="A5" s="11" t="s">
        <v>0</v>
      </c>
      <c r="B5" s="4" t="str">
        <f aca="false">VLOOKUP($B$1,'PARASTATAL Questions'!$A:$J,5,0)&amp;""</f>
        <v>Citizen / Service Charter</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885.75" hidden="false" customHeight="true" outlineLevel="0" collapsed="false">
      <c r="A9" s="11" t="s">
        <v>472</v>
      </c>
      <c r="B9" s="4"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34.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13" t="s">
        <v>906</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907</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908</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909</v>
      </c>
      <c r="L16" s="9" t="str">
        <f aca="false">IF($B16="NO","NA",IF(I16="","",MIN(I16,$B$6)))</f>
        <v/>
      </c>
    </row>
    <row r="17" customFormat="false" ht="236.25" hidden="false" customHeight="true" outlineLevel="0" collapsed="false">
      <c r="A17" s="9" t="s">
        <v>41</v>
      </c>
      <c r="B17" s="9" t="s">
        <v>659</v>
      </c>
      <c r="C17" s="9" t="s">
        <v>205</v>
      </c>
      <c r="D17" s="9" t="s">
        <v>910</v>
      </c>
      <c r="E17" s="9" t="s">
        <v>911</v>
      </c>
      <c r="F17" s="9" t="s">
        <v>912</v>
      </c>
      <c r="H17" s="9" t="s">
        <v>206</v>
      </c>
      <c r="I17" s="16"/>
      <c r="J17" s="9" t="str">
        <f aca="false">IF(COUNTIFS('Scores (start here)'!$A:$A,$B$1,'Scores (start here)'!$B:$B,$A17,'Scores (start here)'!$F:$F,"&gt;=0")&gt;0,SUMIFS('Scores (start here)'!$F:$F,'Scores (start here)'!$A:$A,$B$1,'Scores (start here)'!$B:$B,$A17),L17)</f>
        <v/>
      </c>
      <c r="K17" s="13" t="s">
        <v>913</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276</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DPG5j</v>
      </c>
    </row>
    <row r="4" customFormat="false" ht="15" hidden="false" customHeight="true" outlineLevel="0" collapsed="false">
      <c r="A4" s="11" t="s">
        <v>436</v>
      </c>
      <c r="B4" s="4" t="str">
        <f aca="false">VLOOKUP($B$1,'PARASTATAL Questions'!$A:$J,4,0)&amp;""</f>
        <v>SQ</v>
      </c>
    </row>
    <row r="5" customFormat="false" ht="90.75" hidden="false" customHeight="true" outlineLevel="0" collapsed="false">
      <c r="A5" s="11" t="s">
        <v>0</v>
      </c>
      <c r="B5" s="4" t="str">
        <f aca="false">VLOOKUP($B$1,'PARASTATAL Questions'!$A:$J,5,0)&amp;""</f>
        <v>RTI details and designated Public Information Officer contact/procedure</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975" hidden="false" customHeight="true" outlineLevel="0" collapsed="false">
      <c r="A9" s="11" t="s">
        <v>472</v>
      </c>
      <c r="B9" s="4"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914</v>
      </c>
      <c r="L13" s="9" t="str">
        <f aca="false">IF($B13="NO","NA",IF(I13="","",MIN(I13,$B$6)))</f>
        <v/>
      </c>
    </row>
    <row r="14" customFormat="false" ht="15" hidden="false" customHeight="true" outlineLevel="0" collapsed="false">
      <c r="A14" s="9" t="s">
        <v>30</v>
      </c>
      <c r="B14" s="9" t="s">
        <v>659</v>
      </c>
      <c r="C14" s="9" t="s">
        <v>280</v>
      </c>
      <c r="E14" s="9" t="s">
        <v>915</v>
      </c>
      <c r="H14" s="9" t="s">
        <v>281</v>
      </c>
      <c r="I14" s="16"/>
      <c r="J14" s="9" t="str">
        <f aca="false">IF(COUNTIFS('Scores (start here)'!$A:$A,$B$1,'Scores (start here)'!$B:$B,$A14,'Scores (start here)'!$F:$F,"&gt;=0")&gt;0,SUMIFS('Scores (start here)'!$F:$F,'Scores (start here)'!$A:$A,$B$1,'Scores (start here)'!$B:$B,$A14),L14)</f>
        <v/>
      </c>
      <c r="K14" s="13" t="s">
        <v>916</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917</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918</v>
      </c>
      <c r="L16" s="9" t="str">
        <f aca="false">IF($B16="NO","NA",IF(I16="","",MIN(I16,$B$6)))</f>
        <v/>
      </c>
    </row>
    <row r="17" customFormat="false" ht="213.75" hidden="false" customHeight="true" outlineLevel="0" collapsed="false">
      <c r="A17" s="9" t="s">
        <v>41</v>
      </c>
      <c r="B17" s="9" t="s">
        <v>659</v>
      </c>
      <c r="C17" s="9" t="s">
        <v>287</v>
      </c>
      <c r="D17" s="9" t="s">
        <v>919</v>
      </c>
      <c r="E17" s="9" t="s">
        <v>920</v>
      </c>
      <c r="H17" s="9" t="s">
        <v>288</v>
      </c>
      <c r="I17" s="16"/>
      <c r="J17" s="9" t="str">
        <f aca="false">IF(COUNTIFS('Scores (start here)'!$A:$A,$B$1,'Scores (start here)'!$B:$B,$A17,'Scores (start here)'!$F:$F,"&gt;=0")&gt;0,SUMIFS('Scores (start here)'!$F:$F,'Scores (start here)'!$A:$A,$B$1,'Scores (start here)'!$B:$B,$A17),L17)</f>
        <v/>
      </c>
      <c r="K17" s="13" t="s">
        <v>921</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291</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DPG5k</v>
      </c>
    </row>
    <row r="4" customFormat="false" ht="15" hidden="false" customHeight="true" outlineLevel="0" collapsed="false">
      <c r="A4" s="11" t="s">
        <v>436</v>
      </c>
      <c r="B4" s="4" t="str">
        <f aca="false">VLOOKUP($B$1,'PARASTATAL Questions'!$A:$J,4,0)&amp;""</f>
        <v>SQ</v>
      </c>
    </row>
    <row r="5" customFormat="false" ht="79.5" hidden="false" customHeight="true" outlineLevel="0" collapsed="false">
      <c r="A5" s="11" t="s">
        <v>0</v>
      </c>
      <c r="B5" s="4" t="str">
        <f aca="false">VLOOKUP($B$1,'PARASTATAL Questions'!$A:$J,5,0)&amp;""</f>
        <v>Procurement / tender notices and awarded-contract details</v>
      </c>
    </row>
    <row r="6" customFormat="false" ht="15" hidden="false" customHeight="true" outlineLevel="0" collapsed="false">
      <c r="A6" s="11" t="s">
        <v>438</v>
      </c>
      <c r="B6" s="4" t="n">
        <f aca="false">VLOOKUP($B$1,'PARASTATAL Questions'!$A:$J,6,0)</f>
        <v>1</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1008.75" hidden="false" customHeight="true" outlineLevel="0" collapsed="false">
      <c r="A9" s="11" t="s">
        <v>472</v>
      </c>
      <c r="B9" s="4"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11" t="s">
        <v>473</v>
      </c>
      <c r="B10" s="4" t="str">
        <f aca="false">VLOOKUP($B$1,'PARASTATAL Questions'!$A:$J,10,0)&amp;""</f>
        <v>Website screenshots/archived URLs with date of access, for each document type</v>
      </c>
    </row>
    <row r="11" customFormat="false" ht="15" hidden="false" customHeight="true" outlineLevel="0" collapsed="false">
      <c r="B11" s="15" t="s">
        <v>645</v>
      </c>
      <c r="I11" s="15" t="s">
        <v>844</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922</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923</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924</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925</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926</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298</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6a</v>
      </c>
    </row>
    <row r="4" customFormat="false" ht="15" hidden="false" customHeight="true" outlineLevel="0" collapsed="false">
      <c r="A4" s="11" t="s">
        <v>436</v>
      </c>
      <c r="B4" s="4" t="str">
        <f aca="false">VLOOKUP($B$1,'PARASTATAL Questions'!$A:$J,4,0)&amp;""</f>
        <v>SQ</v>
      </c>
    </row>
    <row r="5" customFormat="false" ht="102" hidden="false" customHeight="true" outlineLevel="0" collapsed="false">
      <c r="A5" s="11" t="s">
        <v>0</v>
      </c>
      <c r="B5" s="4" t="str">
        <f aca="false">VLOOKUP($B$1,'PARASTATAL Questions'!$A:$J,5,0)&amp;""</f>
        <v>Is the parastatal mandated to provide a grievance-redressal mechanism?</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15" hidden="false" customHeight="true" outlineLevel="0" collapsed="false">
      <c r="A8" s="11" t="s">
        <v>471</v>
      </c>
      <c r="B8" s="4" t="str">
        <f aca="false">VLOOKUP($B$1,'PARASTATAL Questions'!$A:$J,8,0)&amp;""</f>
        <v>Common.</v>
      </c>
    </row>
    <row r="9" customFormat="false" ht="213.75" hidden="false" customHeight="true" outlineLevel="0" collapsed="false">
      <c r="A9" s="11" t="s">
        <v>472</v>
      </c>
      <c r="B9" s="4"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11" t="s">
        <v>473</v>
      </c>
      <c r="B10" s="4" t="str">
        <f aca="false">VLOOKUP($B$1,'PARASTATAL Questions'!$A:$J,10,0)&amp;""</f>
        <v>Parastatal Act/ corresponding subordinate legislation/ citizen or service charter</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C13" s="9" t="s">
        <v>25</v>
      </c>
      <c r="D13" s="9" t="s">
        <v>927</v>
      </c>
      <c r="E13" s="9" t="s">
        <v>928</v>
      </c>
      <c r="F13" s="9" t="s">
        <v>929</v>
      </c>
      <c r="G13" s="9" t="s">
        <v>799</v>
      </c>
      <c r="H13" s="9" t="s">
        <v>26</v>
      </c>
      <c r="I13" s="16" t="n">
        <v>5</v>
      </c>
      <c r="J13" s="9" t="n">
        <f aca="false">IF(COUNTIFS('Scores (start here)'!$A:$A,$B$1,'Scores (start here)'!$B:$B,$A13,'Scores (start here)'!$F:$F,"&gt;=0")&gt;0,SUMIFS('Scores (start here)'!$F:$F,'Scores (start here)'!$A:$A,$B$1,'Scores (start here)'!$B:$B,$A13),L13)</f>
        <v>5</v>
      </c>
      <c r="K13" s="13" t="s">
        <v>930</v>
      </c>
      <c r="L13" s="9" t="n">
        <f aca="false">IF($B13="NO","NA",IF(I13="","",MIN(I13,$B$6)))</f>
        <v>5</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931</v>
      </c>
      <c r="L14" s="9" t="str">
        <f aca="false">IF($B14="NO","NA",IF(I14="","",MIN(I14,$B$6)))</f>
        <v/>
      </c>
    </row>
    <row r="15" customFormat="false" ht="57" hidden="false" customHeight="true" outlineLevel="0" collapsed="false">
      <c r="A15" s="9" t="s">
        <v>33</v>
      </c>
      <c r="B15" s="9" t="s">
        <v>659</v>
      </c>
      <c r="C15" s="9" t="s">
        <v>35</v>
      </c>
      <c r="D15" s="9" t="s">
        <v>932</v>
      </c>
      <c r="E15" s="9" t="s">
        <v>933</v>
      </c>
      <c r="F15" s="9" t="s">
        <v>934</v>
      </c>
      <c r="G15" s="9" t="s">
        <v>935</v>
      </c>
      <c r="H15" s="9" t="s">
        <v>36</v>
      </c>
      <c r="I15" s="16" t="n">
        <v>0</v>
      </c>
      <c r="J15" s="9" t="n">
        <f aca="false">IF(COUNTIFS('Scores (start here)'!$A:$A,$B$1,'Scores (start here)'!$B:$B,$A15,'Scores (start here)'!$F:$F,"&gt;=0")&gt;0,SUMIFS('Scores (start here)'!$F:$F,'Scores (start here)'!$A:$A,$B$1,'Scores (start here)'!$B:$B,$A15),L15)</f>
        <v>0</v>
      </c>
      <c r="K15" s="13" t="s">
        <v>936</v>
      </c>
      <c r="L15" s="9" t="n">
        <f aca="false">IF($B15="NO","NA",IF(I15="","",MIN(I15,$B$6)))</f>
        <v>0</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937</v>
      </c>
      <c r="L16" s="9" t="str">
        <f aca="false">IF($B16="NO","NA",IF(I16="","",MIN(I16,$B$6)))</f>
        <v/>
      </c>
    </row>
    <row r="17" customFormat="false" ht="45.75" hidden="false" customHeight="true" outlineLevel="0" collapsed="false">
      <c r="A17" s="9" t="s">
        <v>41</v>
      </c>
      <c r="B17" s="9" t="s">
        <v>659</v>
      </c>
      <c r="C17" s="9" t="s">
        <v>43</v>
      </c>
      <c r="D17" s="9" t="s">
        <v>938</v>
      </c>
      <c r="E17" s="9" t="s">
        <v>939</v>
      </c>
      <c r="F17" s="9" t="s">
        <v>940</v>
      </c>
      <c r="G17" s="9" t="s">
        <v>766</v>
      </c>
      <c r="H17" s="9" t="s">
        <v>44</v>
      </c>
      <c r="I17" s="16"/>
      <c r="J17" s="9" t="str">
        <f aca="false">IF(COUNTIFS('Scores (start here)'!$A:$A,$B$1,'Scores (start here)'!$B:$B,$A17,'Scores (start here)'!$F:$F,"&gt;=0")&gt;0,SUMIFS('Scores (start here)'!$F:$F,'Scores (start here)'!$A:$A,$B$1,'Scores (start here)'!$B:$B,$A17),L17)</f>
        <v/>
      </c>
      <c r="K17" s="13" t="s">
        <v>941</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309</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6b</v>
      </c>
    </row>
    <row r="4" customFormat="false" ht="15" hidden="false" customHeight="true" outlineLevel="0" collapsed="false">
      <c r="A4" s="11" t="s">
        <v>436</v>
      </c>
      <c r="B4" s="4" t="str">
        <f aca="false">VLOOKUP($B$1,'PARASTATAL Questions'!$A:$J,4,0)&amp;""</f>
        <v>SQ</v>
      </c>
    </row>
    <row r="5" customFormat="false" ht="113.25" hidden="false" customHeight="true" outlineLevel="0" collapsed="false">
      <c r="A5" s="11" t="s">
        <v>0</v>
      </c>
      <c r="B5" s="4" t="str">
        <f aca="false">VLOOKUP($B$1,'PARASTATAL Questions'!$A:$J,5,0)&amp;""</f>
        <v>Are accessible grievance-redressal channels available and functional in practice?</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2397.75" hidden="false" customHeight="true" outlineLevel="0" collapsed="false">
      <c r="A9" s="11" t="s">
        <v>472</v>
      </c>
      <c r="B9" s="4"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11" t="s">
        <v>473</v>
      </c>
      <c r="B10" s="4" t="str">
        <f aca="false">VLOOKUP($B$1,'PARASTATAL Questions'!$A:$J,10,0)&amp;""</f>
        <v>Relevant parastatal's official website Detailed evidence information provided in the methodology column (I 33)</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79.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13" t="s">
        <v>942</v>
      </c>
      <c r="L13" s="9" t="str">
        <f aca="false">IF($B13="NO","NA",IF(I13="","",MIN(I13,$B$6)))</f>
        <v/>
      </c>
    </row>
    <row r="14" customFormat="false" ht="68.25" hidden="false" customHeight="true" outlineLevel="0" collapsed="false">
      <c r="A14" s="9" t="s">
        <v>30</v>
      </c>
      <c r="B14" s="9" t="s">
        <v>659</v>
      </c>
      <c r="C14" s="9" t="s">
        <v>194</v>
      </c>
      <c r="D14" s="9" t="s">
        <v>313</v>
      </c>
      <c r="E14" s="9" t="s">
        <v>943</v>
      </c>
      <c r="F14" s="9" t="s">
        <v>944</v>
      </c>
      <c r="H14" s="9" t="s">
        <v>195</v>
      </c>
      <c r="I14" s="16"/>
      <c r="J14" s="9" t="str">
        <f aca="false">IF(COUNTIFS('Scores (start here)'!$A:$A,$B$1,'Scores (start here)'!$B:$B,$A14,'Scores (start here)'!$F:$F,"&gt;=0")&gt;0,SUMIFS('Scores (start here)'!$F:$F,'Scores (start here)'!$A:$A,$B$1,'Scores (start here)'!$B:$B,$A14),L14)</f>
        <v/>
      </c>
      <c r="K14" s="13" t="s">
        <v>945</v>
      </c>
      <c r="L14" s="9" t="str">
        <f aca="false">IF($B14="NO","NA",IF(I14="","",MIN(I14,$B$6)))</f>
        <v/>
      </c>
    </row>
    <row r="15" customFormat="false" ht="79.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13" t="s">
        <v>946</v>
      </c>
      <c r="L15" s="9" t="str">
        <f aca="false">IF($B15="NO","NA",IF(I15="","",MIN(I15,$B$6)))</f>
        <v/>
      </c>
    </row>
    <row r="16" customFormat="false" ht="79.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13" t="s">
        <v>947</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948</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318</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7a</v>
      </c>
    </row>
    <row r="4" customFormat="false" ht="15" hidden="false" customHeight="true" outlineLevel="0" collapsed="false">
      <c r="A4" s="11" t="s">
        <v>436</v>
      </c>
      <c r="B4" s="4" t="str">
        <f aca="false">VLOOKUP($B$1,'PARASTATAL Questions'!$A:$J,4,0)&amp;""</f>
        <v>SQ</v>
      </c>
    </row>
    <row r="5" customFormat="false" ht="102" hidden="false" customHeight="true" outlineLevel="0" collapsed="false">
      <c r="A5" s="11" t="s">
        <v>0</v>
      </c>
      <c r="B5" s="4" t="str">
        <f aca="false">VLOOKUP($B$1,'PARASTATAL Questions'!$A:$J,5,0)&amp;""</f>
        <v>Is citizen participation in the preparation of the parastatal's plans mandated?</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68.25" hidden="false" customHeight="true" outlineLevel="0" collapsed="false">
      <c r="A8" s="11" t="s">
        <v>471</v>
      </c>
      <c r="B8" s="4" t="str">
        <f aca="false">VLOOKUP($B$1,'PARASTATAL Questions'!$A:$J,8,0)&amp;""</f>
        <v>All parastatals excluding Development Authorities</v>
      </c>
    </row>
    <row r="9" customFormat="false" ht="1031.25" hidden="false" customHeight="true" outlineLevel="0" collapsed="false">
      <c r="A9" s="11" t="s">
        <v>472</v>
      </c>
      <c r="B9" s="4"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11" t="s">
        <v>473</v>
      </c>
      <c r="B10" s="4" t="str">
        <f aca="false">VLOOKUP($B$1,'PARASTATAL Questions'!$A:$J,10,0)&amp;""</f>
        <v>Parastatal Act and rules; applicable T&amp;CP Act; State Municipal Act.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C13" s="9" t="s">
        <v>25</v>
      </c>
      <c r="D13" s="9" t="s">
        <v>787</v>
      </c>
      <c r="E13" s="9" t="s">
        <v>949</v>
      </c>
      <c r="F13" s="9" t="s">
        <v>950</v>
      </c>
      <c r="G13" s="9" t="s">
        <v>663</v>
      </c>
      <c r="H13" s="9" t="s">
        <v>26</v>
      </c>
      <c r="I13" s="16" t="n">
        <v>0</v>
      </c>
      <c r="J13" s="9" t="n">
        <f aca="false">IF(COUNTIFS('Scores (start here)'!$A:$A,$B$1,'Scores (start here)'!$B:$B,$A13,'Scores (start here)'!$F:$F,"&gt;=0")&gt;0,SUMIFS('Scores (start here)'!$F:$F,'Scores (start here)'!$A:$A,$B$1,'Scores (start here)'!$B:$B,$A13),L13)</f>
        <v>0</v>
      </c>
      <c r="K13" s="13" t="s">
        <v>951</v>
      </c>
      <c r="L13" s="9" t="n">
        <f aca="false">IF($B13="NO","NA",IF(I13="","",MIN(I13,$B$6)))</f>
        <v>0</v>
      </c>
    </row>
    <row r="14" customFormat="false" ht="236.25" hidden="false" customHeight="true" outlineLevel="0" collapsed="false">
      <c r="A14" s="9" t="s">
        <v>30</v>
      </c>
      <c r="B14" s="9" t="s">
        <v>659</v>
      </c>
      <c r="C14" s="9" t="s">
        <v>70</v>
      </c>
      <c r="D14" s="9" t="s">
        <v>952</v>
      </c>
      <c r="E14" s="9" t="s">
        <v>953</v>
      </c>
      <c r="F14" s="9" t="s">
        <v>954</v>
      </c>
      <c r="G14" s="9" t="s">
        <v>707</v>
      </c>
      <c r="H14" s="9" t="s">
        <v>71</v>
      </c>
      <c r="I14" s="16" t="n">
        <v>2.5</v>
      </c>
      <c r="J14" s="9" t="n">
        <f aca="false">IF(COUNTIFS('Scores (start here)'!$A:$A,$B$1,'Scores (start here)'!$B:$B,$A14,'Scores (start here)'!$F:$F,"&gt;=0")&gt;0,SUMIFS('Scores (start here)'!$F:$F,'Scores (start here)'!$A:$A,$B$1,'Scores (start here)'!$B:$B,$A14),L14)</f>
        <v>2.5</v>
      </c>
      <c r="K14" s="13" t="s">
        <v>955</v>
      </c>
      <c r="L14" s="9" t="n">
        <f aca="false">IF($B14="NO","NA",IF(I14="","",MIN(I14,$B$6)))</f>
        <v>2.5</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68.75" hidden="false" customHeight="true" outlineLevel="0" collapsed="false">
      <c r="A16" s="9" t="s">
        <v>39</v>
      </c>
      <c r="B16" s="9" t="s">
        <v>659</v>
      </c>
      <c r="C16" s="9" t="s">
        <v>327</v>
      </c>
      <c r="D16" s="9" t="s">
        <v>952</v>
      </c>
      <c r="E16" s="9" t="s">
        <v>956</v>
      </c>
      <c r="F16" s="9" t="s">
        <v>957</v>
      </c>
      <c r="G16" s="9" t="s">
        <v>707</v>
      </c>
      <c r="H16" s="9" t="s">
        <v>71</v>
      </c>
      <c r="I16" s="16" t="n">
        <v>2.5</v>
      </c>
      <c r="J16" s="9" t="n">
        <f aca="false">IF(COUNTIFS('Scores (start here)'!$A:$A,$B$1,'Scores (start here)'!$B:$B,$A16,'Scores (start here)'!$F:$F,"&gt;=0")&gt;0,SUMIFS('Scores (start here)'!$F:$F,'Scores (start here)'!$A:$A,$B$1,'Scores (start here)'!$B:$B,$A16),L16)</f>
        <v>2.5</v>
      </c>
      <c r="K16" s="13" t="s">
        <v>958</v>
      </c>
      <c r="L16" s="9" t="n">
        <f aca="false">IF($B16="NO","NA",IF(I16="","",MIN(I16,$B$6)))</f>
        <v>2.5</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330</v>
      </c>
      <c r="C1" s="9" t="s">
        <v>643</v>
      </c>
      <c r="J1" s="14" t="s">
        <v>644</v>
      </c>
    </row>
    <row r="2" customFormat="false" ht="68.25" hidden="false" customHeight="true" outlineLevel="0" collapsed="false">
      <c r="A2" s="11" t="s">
        <v>435</v>
      </c>
      <c r="B2" s="4" t="str">
        <f aca="false">VLOOKUP($B$1,'PARASTATAL Questions'!$A:$J,3,0)&amp;""</f>
        <v>Decentralised Participatory Governance</v>
      </c>
    </row>
    <row r="3" customFormat="false" ht="15" hidden="false" customHeight="true" outlineLevel="0" collapsed="false">
      <c r="A3" s="11" t="s">
        <v>470</v>
      </c>
      <c r="B3" s="4" t="str">
        <f aca="false">VLOOKUP($B$1,'PARASTATAL Questions'!$A:$J,2,0)&amp;""</f>
        <v>DPG 7b</v>
      </c>
    </row>
    <row r="4" customFormat="false" ht="15" hidden="false" customHeight="true" outlineLevel="0" collapsed="false">
      <c r="A4" s="11" t="s">
        <v>436</v>
      </c>
      <c r="B4" s="4" t="str">
        <f aca="false">VLOOKUP($B$1,'PARASTATAL Questions'!$A:$J,4,0)&amp;""</f>
        <v>SQ</v>
      </c>
    </row>
    <row r="5" customFormat="false" ht="113.25" hidden="false" customHeight="true" outlineLevel="0" collapsed="false">
      <c r="A5" s="11" t="s">
        <v>0</v>
      </c>
      <c r="B5" s="4" t="str">
        <f aca="false">VLOOKUP($B$1,'PARASTATAL Questions'!$A:$J,5,0)&amp;""</f>
        <v>Are citizens consulted in practice in the preparation of plans by the parastatal?</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68.25" hidden="false" customHeight="true" outlineLevel="0" collapsed="false">
      <c r="A8" s="11" t="s">
        <v>471</v>
      </c>
      <c r="B8" s="4" t="str">
        <f aca="false">VLOOKUP($B$1,'PARASTATAL Questions'!$A:$J,8,0)&amp;""</f>
        <v>All parastatals excluding Development Authorities</v>
      </c>
    </row>
    <row r="9" customFormat="false" ht="1008.75" hidden="false" customHeight="true" outlineLevel="0" collapsed="false">
      <c r="A9" s="11" t="s">
        <v>472</v>
      </c>
      <c r="B9" s="4"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11" t="s">
        <v>473</v>
      </c>
      <c r="B10" s="4"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C13" s="9" t="s">
        <v>342</v>
      </c>
      <c r="D13" s="9" t="s">
        <v>959</v>
      </c>
      <c r="E13" s="9" t="s">
        <v>685</v>
      </c>
      <c r="F13" s="9" t="s">
        <v>960</v>
      </c>
      <c r="G13" s="9" t="s">
        <v>687</v>
      </c>
      <c r="H13" s="9" t="s">
        <v>343</v>
      </c>
      <c r="I13" s="16" t="n">
        <v>2.5</v>
      </c>
      <c r="J13" s="9" t="n">
        <f aca="false">IF(COUNTIFS('Scores (start here)'!$A:$A,$B$1,'Scores (start here)'!$B:$B,$A13,'Scores (start here)'!$F:$F,"&gt;=0")&gt;0,SUMIFS('Scores (start here)'!$F:$F,'Scores (start here)'!$A:$A,$B$1,'Scores (start here)'!$B:$B,$A13),L13)</f>
        <v>2.5</v>
      </c>
      <c r="K13" s="13" t="s">
        <v>961</v>
      </c>
      <c r="L13" s="9" t="n">
        <f aca="false">IF($B13="NO","NA",IF(I13="","",MIN(I13,$B$6)))</f>
        <v>2.5</v>
      </c>
    </row>
    <row r="14" customFormat="false" ht="68.2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962</v>
      </c>
      <c r="L14" s="9" t="str">
        <f aca="false">IF($B14="NO","NA",IF(I14="","",MIN(I14,$B$6)))</f>
        <v/>
      </c>
    </row>
    <row r="15" customFormat="false" ht="15" hidden="false" customHeight="true" outlineLevel="0" collapsed="false">
      <c r="A15" s="17" t="s">
        <v>33</v>
      </c>
      <c r="B15" s="17" t="s">
        <v>698</v>
      </c>
      <c r="C15" s="17"/>
      <c r="D15" s="17"/>
      <c r="E15" s="17"/>
      <c r="F15" s="17"/>
      <c r="G15" s="17"/>
      <c r="H15" s="17"/>
      <c r="I15" s="18"/>
      <c r="J15" s="17" t="str">
        <f aca="false">IF(COUNTIFS('Scores (start here)'!$A:$A,$B$1,'Scores (start here)'!$B:$B,$A15,'Scores (start here)'!$F:$F,"&gt;=0")&gt;0,SUMIFS('Scores (start here)'!$F:$F,'Scores (start here)'!$A:$A,$B$1,'Scores (start here)'!$B:$B,$A15),L15)</f>
        <v>NA</v>
      </c>
      <c r="K15" s="17"/>
      <c r="L15" s="9" t="str">
        <f aca="false">IF($B15="NO","NA",IF(I15="","",MIN(I15,$B$6)))</f>
        <v>NA</v>
      </c>
    </row>
    <row r="16" customFormat="false" ht="191.25" hidden="false" customHeight="true" outlineLevel="0" collapsed="false">
      <c r="A16" s="9" t="s">
        <v>39</v>
      </c>
      <c r="B16" s="9" t="s">
        <v>659</v>
      </c>
      <c r="C16" s="9" t="s">
        <v>335</v>
      </c>
      <c r="D16" s="9" t="s">
        <v>963</v>
      </c>
      <c r="E16" s="9" t="s">
        <v>964</v>
      </c>
      <c r="F16" s="9" t="s">
        <v>965</v>
      </c>
      <c r="G16" s="9" t="s">
        <v>966</v>
      </c>
      <c r="H16" s="9" t="s">
        <v>336</v>
      </c>
      <c r="I16" s="16" t="n">
        <v>2.5</v>
      </c>
      <c r="J16" s="9" t="n">
        <f aca="false">IF(COUNTIFS('Scores (start here)'!$A:$A,$B$1,'Scores (start here)'!$B:$B,$A16,'Scores (start here)'!$F:$F,"&gt;=0")&gt;0,SUMIFS('Scores (start here)'!$F:$F,'Scores (start here)'!$A:$A,$B$1,'Scores (start here)'!$B:$B,$A16),L16)</f>
        <v>2.5</v>
      </c>
      <c r="K16" s="13" t="s">
        <v>967</v>
      </c>
      <c r="L16" s="9" t="n">
        <f aca="false">IF($B16="NO","NA",IF(I16="","",MIN(I16,$B$6)))</f>
        <v>2.5</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339</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SC-1</v>
      </c>
    </row>
    <row r="4" customFormat="false" ht="15" hidden="false" customHeight="true" outlineLevel="0" collapsed="false">
      <c r="A4" s="11" t="s">
        <v>436</v>
      </c>
      <c r="B4" s="4" t="str">
        <f aca="false">VLOOKUP($B$1,'PARASTATAL Questions'!$A:$J,4,0)&amp;""</f>
        <v>MQ</v>
      </c>
    </row>
    <row r="5" customFormat="false" ht="124.5" hidden="false" customHeight="true" outlineLevel="0" collapsed="false">
      <c r="A5" s="11" t="s">
        <v>0</v>
      </c>
      <c r="B5" s="4" t="str">
        <f aca="false">VLOOKUP($B$1,'PARASTATAL Questions'!$A:$J,5,0)&amp;""</f>
        <v>What proportion of the parastatal's total expenditure is financed through its own revenues?</v>
      </c>
    </row>
    <row r="6" customFormat="false" ht="15" hidden="false" customHeight="true" outlineLevel="0" collapsed="false">
      <c r="A6" s="11" t="s">
        <v>438</v>
      </c>
      <c r="B6" s="4" t="n">
        <f aca="false">VLOOKUP($B$1,'PARASTATAL Questions'!$A:$J,6,0)</f>
        <v>10</v>
      </c>
    </row>
    <row r="7" customFormat="false" ht="34.5" hidden="false" customHeight="true" outlineLevel="0" collapsed="false">
      <c r="A7" s="11" t="s">
        <v>437</v>
      </c>
      <c r="B7" s="4" t="str">
        <f aca="false">VLOOKUP($B$1,'PARASTATAL Questions'!$A:$J,7,0)&amp;""</f>
        <v>Implementation (Numeric)</v>
      </c>
    </row>
    <row r="8" customFormat="false" ht="45.75" hidden="false" customHeight="true" outlineLevel="0" collapsed="false">
      <c r="A8" s="11" t="s">
        <v>471</v>
      </c>
      <c r="B8" s="4" t="str">
        <f aca="false">VLOOKUP($B$1,'PARASTATAL Questions'!$A:$J,8,0)&amp;""</f>
        <v>Revenue-raising parastatals only</v>
      </c>
    </row>
    <row r="9" customFormat="false" ht="336.75" hidden="false" customHeight="true" outlineLevel="0" collapsed="false">
      <c r="A9" s="11" t="s">
        <v>472</v>
      </c>
      <c r="B9" s="4"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11" t="s">
        <v>473</v>
      </c>
      <c r="B10" s="4" t="str">
        <f aca="false">VLOOKUP($B$1,'PARASTATAL Questions'!$A:$J,10,0)&amp;""</f>
        <v>Annual budget of the last three financial years of the relevant parastatal.</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45.75" hidden="false" customHeight="true" outlineLevel="0" collapsed="false">
      <c r="A13" s="9" t="s">
        <v>19</v>
      </c>
      <c r="B13" s="9" t="s">
        <v>659</v>
      </c>
      <c r="C13" s="9" t="s">
        <v>342</v>
      </c>
      <c r="D13" s="9" t="s">
        <v>968</v>
      </c>
      <c r="E13" s="9" t="s">
        <v>969</v>
      </c>
      <c r="F13" s="9" t="s">
        <v>970</v>
      </c>
      <c r="G13" s="9" t="s">
        <v>971</v>
      </c>
      <c r="H13" s="9" t="s">
        <v>343</v>
      </c>
      <c r="I13" s="16"/>
      <c r="J13" s="9" t="str">
        <f aca="false">IF(COUNTIFS('Scores (start here)'!$A:$A,$B$1,'Scores (start here)'!$B:$B,$A13,'Scores (start here)'!$F:$F,"&gt;=0")&gt;0,SUMIFS('Scores (start here)'!$F:$F,'Scores (start here)'!$A:$A,$B$1,'Scores (start here)'!$B:$B,$A13),L13)</f>
        <v/>
      </c>
      <c r="K13" s="13" t="s">
        <v>972</v>
      </c>
      <c r="L13" s="9" t="str">
        <f aca="false">IF($B13="NO","NA",IF(I13="","",MIN(I13,$B$6)))</f>
        <v/>
      </c>
    </row>
    <row r="14" customFormat="false" ht="57"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973</v>
      </c>
      <c r="L14" s="9" t="str">
        <f aca="false">IF($B14="NO","NA",IF(I14="","",MIN(I14,$B$6)))</f>
        <v/>
      </c>
    </row>
    <row r="15" customFormat="false" ht="15" hidden="false" customHeight="true" outlineLevel="0" collapsed="false">
      <c r="A15" s="9" t="s">
        <v>33</v>
      </c>
      <c r="B15" s="9" t="s">
        <v>659</v>
      </c>
      <c r="C15" s="19" t="s">
        <v>974</v>
      </c>
      <c r="D15" s="9" t="s">
        <v>975</v>
      </c>
      <c r="E15" s="9" t="s">
        <v>976</v>
      </c>
      <c r="F15" s="9" t="s">
        <v>977</v>
      </c>
      <c r="G15" s="9" t="s">
        <v>978</v>
      </c>
      <c r="H15" s="9" t="s">
        <v>349</v>
      </c>
      <c r="I15" s="16"/>
      <c r="J15" s="9" t="str">
        <f aca="false">IF(COUNTIFS('Scores (start here)'!$A:$A,$B$1,'Scores (start here)'!$B:$B,$A15,'Scores (start here)'!$F:$F,"&gt;=0")&gt;0,SUMIFS('Scores (start here)'!$F:$F,'Scores (start here)'!$A:$A,$B$1,'Scores (start here)'!$B:$B,$A15),L15)</f>
        <v/>
      </c>
      <c r="K15" s="13" t="s">
        <v>979</v>
      </c>
      <c r="L15" s="9" t="str">
        <f aca="false">IF($B15="NO","NA",IF(I15="","",MIN(I15,$B$6)))</f>
        <v/>
      </c>
    </row>
    <row r="16" customFormat="false" ht="15" hidden="false" customHeight="true" outlineLevel="0" collapsed="false">
      <c r="A16" s="17" t="s">
        <v>39</v>
      </c>
      <c r="B16" s="17" t="s">
        <v>698</v>
      </c>
      <c r="C16" s="17"/>
      <c r="D16" s="17"/>
      <c r="E16" s="17"/>
      <c r="F16" s="17"/>
      <c r="G16" s="17"/>
      <c r="H16" s="17"/>
      <c r="I16" s="18"/>
      <c r="J16" s="17" t="str">
        <f aca="false">IF(COUNTIFS('Scores (start here)'!$A:$A,$B$1,'Scores (start here)'!$B:$B,$A16,'Scores (start here)'!$F:$F,"&gt;=0")&gt;0,SUMIFS('Scores (start here)'!$F:$F,'Scores (start here)'!$A:$A,$B$1,'Scores (start here)'!$B:$B,$A16),L16)</f>
        <v>NA</v>
      </c>
      <c r="K16" s="17"/>
      <c r="L16" s="9" t="str">
        <f aca="false">IF($B16="NO","NA",IF(I16="","",MIN(I16,$B$6)))</f>
        <v>NA</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17" t="s">
        <v>440</v>
      </c>
      <c r="B19" s="17" t="s">
        <v>698</v>
      </c>
      <c r="C19" s="17"/>
      <c r="D19" s="17"/>
      <c r="E19" s="17"/>
      <c r="F19" s="17"/>
      <c r="G19" s="17"/>
      <c r="H19" s="17"/>
      <c r="I19" s="18"/>
      <c r="J19" s="17" t="str">
        <f aca="false">IF(COUNTIFS('Scores (start here)'!$A:$A,$B$1,'Scores (start here)'!$B:$B,$A19,'Scores (start here)'!$F:$F,"&gt;=0")&gt;0,SUMIFS('Scores (start here)'!$F:$F,'Scores (start here)'!$A:$A,$B$1,'Scores (start here)'!$B:$B,$A19),L19)</f>
        <v>NA</v>
      </c>
      <c r="K19" s="17"/>
      <c r="L19" s="9" t="str">
        <f aca="false">IF($B19="NO","NA",IF(I19="","",MIN(I19,$B$6)))</f>
        <v>NA</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352</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SC-2</v>
      </c>
    </row>
    <row r="4" customFormat="false" ht="15" hidden="false" customHeight="true" outlineLevel="0" collapsed="false">
      <c r="A4" s="11" t="s">
        <v>436</v>
      </c>
      <c r="B4" s="4" t="str">
        <f aca="false">VLOOKUP($B$1,'PARASTATAL Questions'!$A:$J,4,0)&amp;""</f>
        <v>MQ</v>
      </c>
    </row>
    <row r="5" customFormat="false" ht="90.75" hidden="false" customHeight="true" outlineLevel="0" collapsed="false">
      <c r="A5" s="11" t="s">
        <v>0</v>
      </c>
      <c r="B5" s="4" t="str">
        <f aca="false">VLOOKUP($B$1,'PARASTATAL Questions'!$A:$J,5,0)&amp;""</f>
        <v>What is the parastatal's per-capita capital expenditure?</v>
      </c>
    </row>
    <row r="6" customFormat="false" ht="15" hidden="false" customHeight="true" outlineLevel="0" collapsed="false">
      <c r="A6" s="11" t="s">
        <v>438</v>
      </c>
      <c r="B6" s="4" t="n">
        <f aca="false">VLOOKUP($B$1,'PARASTATAL Questions'!$A:$J,6,0)</f>
        <v>10</v>
      </c>
    </row>
    <row r="7" customFormat="false" ht="34.5" hidden="false" customHeight="true" outlineLevel="0" collapsed="false">
      <c r="A7" s="11" t="s">
        <v>437</v>
      </c>
      <c r="B7" s="4" t="str">
        <f aca="false">VLOOKUP($B$1,'PARASTATAL Questions'!$A:$J,7,0)&amp;""</f>
        <v>Implementation (Numeric)</v>
      </c>
    </row>
    <row r="8" customFormat="false" ht="102" hidden="false" customHeight="true" outlineLevel="0" collapsed="false">
      <c r="A8" s="11" t="s">
        <v>471</v>
      </c>
      <c r="B8" s="4" t="str">
        <f aca="false">VLOOKUP($B$1,'PARASTATAL Questions'!$A:$J,8,0)&amp;""</f>
        <v>Parastatals with an infrastructure-delivery/capital-expenditure mandate.</v>
      </c>
    </row>
    <row r="9" customFormat="false" ht="605.25" hidden="false" customHeight="true" outlineLevel="0" collapsed="false">
      <c r="A9" s="11" t="s">
        <v>472</v>
      </c>
      <c r="B9" s="4"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11" t="s">
        <v>473</v>
      </c>
      <c r="B10" s="4" t="str">
        <f aca="false">VLOOKUP($B$1,'PARASTATAL Questions'!$A:$J,10,0)&amp;""</f>
        <v>Latest annual budget and capital-expenditure accounts of the relevant parastatal; population figure with source.</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980</v>
      </c>
      <c r="L13" s="9" t="str">
        <f aca="false">IF($B13="NO","NA",IF(I13="","",MIN(I13,$B$6)))</f>
        <v/>
      </c>
    </row>
    <row r="14" customFormat="false" ht="68.2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981</v>
      </c>
      <c r="L14" s="9" t="str">
        <f aca="false">IF($B14="NO","NA",IF(I14="","",MIN(I14,$B$6)))</f>
        <v/>
      </c>
    </row>
    <row r="15" customFormat="false" ht="45.7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13" t="s">
        <v>982</v>
      </c>
      <c r="L15" s="9" t="str">
        <f aca="false">IF($B15="NO","NA",IF(I15="","",MIN(I15,$B$6)))</f>
        <v/>
      </c>
    </row>
    <row r="16" customFormat="false" ht="15" hidden="false" customHeight="true" outlineLevel="0" collapsed="false">
      <c r="A16" s="9" t="s">
        <v>39</v>
      </c>
      <c r="B16" s="9" t="s">
        <v>659</v>
      </c>
      <c r="C16" s="9" t="s">
        <v>162</v>
      </c>
      <c r="D16" s="9" t="s">
        <v>983</v>
      </c>
      <c r="E16" s="9" t="s">
        <v>984</v>
      </c>
      <c r="F16" s="9" t="s">
        <v>985</v>
      </c>
      <c r="G16" s="9" t="s">
        <v>986</v>
      </c>
      <c r="H16" s="9" t="s">
        <v>163</v>
      </c>
      <c r="I16" s="16"/>
      <c r="J16" s="9" t="str">
        <f aca="false">IF(COUNTIFS('Scores (start here)'!$A:$A,$B$1,'Scores (start here)'!$B:$B,$A16,'Scores (start here)'!$F:$F,"&gt;=0")&gt;0,SUMIFS('Scores (start here)'!$F:$F,'Scores (start here)'!$A:$A,$B$1,'Scores (start here)'!$B:$B,$A16),L16)</f>
        <v/>
      </c>
      <c r="K16" s="13" t="s">
        <v>987</v>
      </c>
      <c r="L16" s="9" t="str">
        <f aca="false">IF($B16="NO","NA",IF(I16="","",MIN(I16,$B$6)))</f>
        <v/>
      </c>
    </row>
    <row r="17" customFormat="false" ht="15" hidden="false" customHeight="true" outlineLevel="0" collapsed="false">
      <c r="A17" s="17" t="s">
        <v>41</v>
      </c>
      <c r="B17" s="17" t="s">
        <v>698</v>
      </c>
      <c r="C17" s="17"/>
      <c r="D17" s="17"/>
      <c r="E17" s="17"/>
      <c r="F17" s="17"/>
      <c r="G17" s="17"/>
      <c r="H17" s="17"/>
      <c r="I17" s="18"/>
      <c r="J17" s="17" t="str">
        <f aca="false">IF(COUNTIFS('Scores (start here)'!$A:$A,$B$1,'Scores (start here)'!$B:$B,$A17,'Scores (start here)'!$F:$F,"&gt;=0")&gt;0,SUMIFS('Scores (start here)'!$F:$F,'Scores (start here)'!$A:$A,$B$1,'Scores (start here)'!$B:$B,$A17),L17)</f>
        <v>NA</v>
      </c>
      <c r="K17" s="17"/>
      <c r="L17" s="9" t="str">
        <f aca="false">IF($B17="NO","NA",IF(I17="","",MIN(I17,$B$6)))</f>
        <v>NA</v>
      </c>
    </row>
    <row r="18" customFormat="false" ht="15" hidden="false" customHeight="true" outlineLevel="0" collapsed="false">
      <c r="A18" s="17" t="s">
        <v>439</v>
      </c>
      <c r="B18" s="17" t="s">
        <v>698</v>
      </c>
      <c r="C18" s="17"/>
      <c r="D18" s="17"/>
      <c r="E18" s="17"/>
      <c r="F18" s="17"/>
      <c r="G18" s="17"/>
      <c r="H18" s="17"/>
      <c r="I18" s="18"/>
      <c r="J18" s="17" t="str">
        <f aca="false">IF(COUNTIFS('Scores (start here)'!$A:$A,$B$1,'Scores (start here)'!$B:$B,$A18,'Scores (start here)'!$F:$F,"&gt;=0")&gt;0,SUMIFS('Scores (start here)'!$F:$F,'Scores (start here)'!$A:$A,$B$1,'Scores (start here)'!$B:$B,$A18),L18)</f>
        <v>NA</v>
      </c>
      <c r="K18" s="17"/>
      <c r="L18" s="9" t="str">
        <f aca="false">IF($B18="NO","NA",IF(I18="","",MIN(I18,$B$6)))</f>
        <v>NA</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358</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SC-3</v>
      </c>
    </row>
    <row r="4" customFormat="false" ht="15" hidden="false" customHeight="true" outlineLevel="0" collapsed="false">
      <c r="A4" s="11" t="s">
        <v>436</v>
      </c>
      <c r="B4" s="4" t="str">
        <f aca="false">VLOOKUP($B$1,'PARASTATAL Questions'!$A:$J,4,0)&amp;""</f>
        <v>MQ</v>
      </c>
    </row>
    <row r="5" customFormat="false" ht="68.25" hidden="false" customHeight="true" outlineLevel="0" collapsed="false">
      <c r="A5" s="11" t="s">
        <v>0</v>
      </c>
      <c r="B5" s="4" t="str">
        <f aca="false">VLOOKUP($B$1,'PARASTATAL Questions'!$A:$J,5,0)&amp;""</f>
        <v>How realistic is the parastatal's annual budget?</v>
      </c>
    </row>
    <row r="6" customFormat="false" ht="15" hidden="false" customHeight="true" outlineLevel="0" collapsed="false">
      <c r="A6" s="11" t="s">
        <v>438</v>
      </c>
      <c r="B6" s="4" t="n">
        <f aca="false">VLOOKUP($B$1,'PARASTATAL Questions'!$A:$J,6,0)</f>
        <v>10</v>
      </c>
    </row>
    <row r="7" customFormat="false" ht="34.5" hidden="false" customHeight="true" outlineLevel="0" collapsed="false">
      <c r="A7" s="11" t="s">
        <v>437</v>
      </c>
      <c r="B7" s="4" t="str">
        <f aca="false">VLOOKUP($B$1,'PARASTATAL Questions'!$A:$J,7,0)&amp;""</f>
        <v>Implementation (Numeric)</v>
      </c>
    </row>
    <row r="8" customFormat="false" ht="68.25" hidden="false" customHeight="true" outlineLevel="0" collapsed="false">
      <c r="A8" s="11" t="s">
        <v>471</v>
      </c>
      <c r="B8" s="4" t="str">
        <f aca="false">VLOOKUP($B$1,'PARASTATAL Questions'!$A:$J,8,0)&amp;""</f>
        <v>Common — all parastatal types with an annual budget.</v>
      </c>
    </row>
    <row r="9" customFormat="false" ht="225" hidden="false" customHeight="true" outlineLevel="0" collapsed="false">
      <c r="A9" s="11" t="s">
        <v>472</v>
      </c>
      <c r="B9" s="4"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11" t="s">
        <v>473</v>
      </c>
      <c r="B10" s="4" t="str">
        <f aca="false">VLOOKUP($B$1,'PARASTATAL Questions'!$A:$J,10,0)&amp;""</f>
        <v>Budget documents and audited accounts for the same financial year, compared side by side</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988</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989</v>
      </c>
      <c r="L14" s="9" t="str">
        <f aca="false">IF($B14="NO","NA",IF(I14="","",MIN(I14,$B$6)))</f>
        <v/>
      </c>
    </row>
    <row r="15" customFormat="false" ht="45.7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13" t="s">
        <v>990</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991</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992</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365</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SC-4a</v>
      </c>
    </row>
    <row r="4" customFormat="false" ht="15" hidden="false" customHeight="true" outlineLevel="0" collapsed="false">
      <c r="A4" s="11" t="s">
        <v>436</v>
      </c>
      <c r="B4" s="4" t="str">
        <f aca="false">VLOOKUP($B$1,'PARASTATAL Questions'!$A:$J,4,0)&amp;""</f>
        <v>SQ</v>
      </c>
    </row>
    <row r="5" customFormat="false" ht="124.5" hidden="false" customHeight="true" outlineLevel="0" collapsed="false">
      <c r="A5" s="11" t="s">
        <v>0</v>
      </c>
      <c r="B5" s="4" t="str">
        <f aca="false">VLOOKUP($B$1,'PARASTATAL Questions'!$A:$J,5,0)&amp;""</f>
        <v>Is a medium-term (3-5 year) and/or long-term (&gt;5 year) fiscal plan legally mandated?</v>
      </c>
    </row>
    <row r="6" customFormat="false" ht="15" hidden="false" customHeight="true" outlineLevel="0" collapsed="false">
      <c r="A6" s="11" t="s">
        <v>438</v>
      </c>
      <c r="B6" s="4" t="n">
        <f aca="false">VLOOKUP($B$1,'PARASTATAL Questions'!$A:$J,6,0)</f>
        <v>5</v>
      </c>
    </row>
    <row r="7" customFormat="false" ht="15" hidden="false" customHeight="true" outlineLevel="0" collapsed="false">
      <c r="A7" s="11" t="s">
        <v>437</v>
      </c>
      <c r="B7" s="4" t="str">
        <f aca="false">VLOOKUP($B$1,'PARASTATAL Questions'!$A:$J,7,0)&amp;""</f>
        <v>Law/Policy</v>
      </c>
    </row>
    <row r="8" customFormat="false" ht="15" hidden="false" customHeight="true" outlineLevel="0" collapsed="false">
      <c r="A8" s="11" t="s">
        <v>471</v>
      </c>
      <c r="B8" s="4" t="str">
        <f aca="false">VLOOKUP($B$1,'PARASTATAL Questions'!$A:$J,8,0)&amp;""</f>
        <v>Common.</v>
      </c>
    </row>
    <row r="9" customFormat="false" ht="213.75" hidden="false" customHeight="true" outlineLevel="0" collapsed="false">
      <c r="A9" s="11" t="s">
        <v>472</v>
      </c>
      <c r="B9" s="4"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11" t="s">
        <v>473</v>
      </c>
      <c r="B10" s="4" t="str">
        <f aca="false">VLOOKUP($B$1,'PARASTATAL Questions'!$A:$J,10,0)&amp;""</f>
        <v>Enabling act of the relevant parastatal</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79.5" hidden="false" customHeight="true" outlineLevel="0" collapsed="false">
      <c r="A13" s="9" t="s">
        <v>19</v>
      </c>
      <c r="B13" s="9" t="s">
        <v>659</v>
      </c>
      <c r="C13" s="9" t="s">
        <v>25</v>
      </c>
      <c r="D13" s="9" t="s">
        <v>993</v>
      </c>
      <c r="E13" s="9" t="s">
        <v>994</v>
      </c>
      <c r="F13" s="9" t="s">
        <v>995</v>
      </c>
      <c r="G13" s="9" t="s">
        <v>757</v>
      </c>
      <c r="H13" s="9" t="s">
        <v>26</v>
      </c>
      <c r="I13" s="16" t="n">
        <v>0</v>
      </c>
      <c r="J13" s="9" t="n">
        <f aca="false">IF(COUNTIFS('Scores (start here)'!$A:$A,$B$1,'Scores (start here)'!$B:$B,$A13,'Scores (start here)'!$F:$F,"&gt;=0")&gt;0,SUMIFS('Scores (start here)'!$F:$F,'Scores (start here)'!$A:$A,$B$1,'Scores (start here)'!$B:$B,$A13),L13)</f>
        <v>0</v>
      </c>
      <c r="K13" s="13" t="s">
        <v>996</v>
      </c>
      <c r="L13" s="9" t="n">
        <f aca="false">IF($B13="NO","NA",IF(I13="","",MIN(I13,$B$6)))</f>
        <v>0</v>
      </c>
    </row>
    <row r="14" customFormat="false" ht="23.25" hidden="false" customHeight="true" outlineLevel="0" collapsed="false">
      <c r="A14" s="9" t="s">
        <v>30</v>
      </c>
      <c r="B14" s="9" t="s">
        <v>659</v>
      </c>
      <c r="C14" s="9" t="s">
        <v>997</v>
      </c>
      <c r="D14" s="9" t="s">
        <v>998</v>
      </c>
      <c r="E14" s="9" t="s">
        <v>999</v>
      </c>
      <c r="G14" s="9" t="s">
        <v>745</v>
      </c>
      <c r="H14" s="9" t="s">
        <v>1000</v>
      </c>
      <c r="I14" s="16" t="n">
        <v>0</v>
      </c>
      <c r="J14" s="9" t="n">
        <f aca="false">IF(COUNTIFS('Scores (start here)'!$A:$A,$B$1,'Scores (start here)'!$B:$B,$A14,'Scores (start here)'!$F:$F,"&gt;=0")&gt;0,SUMIFS('Scores (start here)'!$F:$F,'Scores (start here)'!$A:$A,$B$1,'Scores (start here)'!$B:$B,$A14),L14)</f>
        <v>0</v>
      </c>
      <c r="K14" s="13" t="s">
        <v>1001</v>
      </c>
      <c r="L14" s="9" t="n">
        <f aca="false">IF($B14="NO","NA",IF(I14="","",MIN(I14,$B$6)))</f>
        <v>0</v>
      </c>
    </row>
    <row r="15" customFormat="false" ht="23.25" hidden="false" customHeight="true" outlineLevel="0" collapsed="false">
      <c r="A15" s="9" t="s">
        <v>33</v>
      </c>
      <c r="B15" s="9" t="s">
        <v>659</v>
      </c>
      <c r="C15" s="9" t="s">
        <v>35</v>
      </c>
      <c r="D15" s="9" t="s">
        <v>1002</v>
      </c>
      <c r="E15" s="9" t="s">
        <v>1003</v>
      </c>
      <c r="F15" s="9" t="s">
        <v>1004</v>
      </c>
      <c r="G15" s="9" t="s">
        <v>814</v>
      </c>
      <c r="H15" s="9" t="s">
        <v>36</v>
      </c>
      <c r="I15" s="16" t="n">
        <v>0</v>
      </c>
      <c r="J15" s="9" t="n">
        <f aca="false">IF(COUNTIFS('Scores (start here)'!$A:$A,$B$1,'Scores (start here)'!$B:$B,$A15,'Scores (start here)'!$F:$F,"&gt;=0")&gt;0,SUMIFS('Scores (start here)'!$F:$F,'Scores (start here)'!$A:$A,$B$1,'Scores (start here)'!$B:$B,$A15),L15)</f>
        <v>0</v>
      </c>
      <c r="K15" s="13" t="s">
        <v>1005</v>
      </c>
      <c r="L15" s="9" t="n">
        <f aca="false">IF($B15="NO","NA",IF(I15="","",MIN(I15,$B$6)))</f>
        <v>0</v>
      </c>
    </row>
    <row r="16" customFormat="false" ht="236.25" hidden="false" customHeight="true" outlineLevel="0" collapsed="false">
      <c r="A16" s="9" t="s">
        <v>39</v>
      </c>
      <c r="B16" s="9" t="s">
        <v>659</v>
      </c>
      <c r="C16" s="9" t="s">
        <v>327</v>
      </c>
      <c r="D16" s="9" t="s">
        <v>1006</v>
      </c>
      <c r="E16" s="9" t="s">
        <v>1007</v>
      </c>
      <c r="F16" s="9" t="s">
        <v>1008</v>
      </c>
      <c r="G16" s="9" t="s">
        <v>668</v>
      </c>
      <c r="H16" s="9" t="s">
        <v>71</v>
      </c>
      <c r="I16" s="16" t="n">
        <v>0</v>
      </c>
      <c r="J16" s="9" t="n">
        <f aca="false">IF(COUNTIFS('Scores (start here)'!$A:$A,$B$1,'Scores (start here)'!$B:$B,$A16,'Scores (start here)'!$F:$F,"&gt;=0")&gt;0,SUMIFS('Scores (start here)'!$F:$F,'Scores (start here)'!$A:$A,$B$1,'Scores (start here)'!$B:$B,$A16),L16)</f>
        <v>0</v>
      </c>
      <c r="K16" s="13" t="s">
        <v>1009</v>
      </c>
      <c r="L16" s="9" t="n">
        <f aca="false">IF($B16="NO","NA",IF(I16="","",MIN(I16,$B$6)))</f>
        <v>0</v>
      </c>
    </row>
    <row r="17" customFormat="false" ht="15" hidden="false" customHeight="true" outlineLevel="0" collapsed="false">
      <c r="A17" s="9" t="s">
        <v>41</v>
      </c>
      <c r="B17" s="9" t="s">
        <v>659</v>
      </c>
      <c r="C17" s="9" t="s">
        <v>43</v>
      </c>
      <c r="D17" s="9" t="s">
        <v>1010</v>
      </c>
      <c r="E17" s="9" t="s">
        <v>1011</v>
      </c>
      <c r="G17" s="9" t="s">
        <v>823</v>
      </c>
      <c r="H17" s="9" t="s">
        <v>44</v>
      </c>
      <c r="I17" s="16" t="n">
        <v>0</v>
      </c>
      <c r="J17" s="9" t="n">
        <f aca="false">IF(COUNTIFS('Scores (start here)'!$A:$A,$B$1,'Scores (start here)'!$B:$B,$A17,'Scores (start here)'!$F:$F,"&gt;=0")&gt;0,SUMIFS('Scores (start here)'!$F:$F,'Scores (start here)'!$A:$A,$B$1,'Scores (start here)'!$B:$B,$A17),L17)</f>
        <v>0</v>
      </c>
      <c r="K17" s="13" t="s">
        <v>1012</v>
      </c>
      <c r="L17" s="9" t="n">
        <f aca="false">IF($B17="NO","NA",IF(I17="","",MIN(I17,$B$6)))</f>
        <v>0</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378</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SC-4b</v>
      </c>
    </row>
    <row r="4" customFormat="false" ht="15" hidden="false" customHeight="true" outlineLevel="0" collapsed="false">
      <c r="A4" s="11" t="s">
        <v>436</v>
      </c>
      <c r="B4" s="4" t="str">
        <f aca="false">VLOOKUP($B$1,'PARASTATAL Questions'!$A:$J,4,0)&amp;""</f>
        <v>SQ</v>
      </c>
    </row>
    <row r="5" customFormat="false" ht="68.25" hidden="false" customHeight="true" outlineLevel="0" collapsed="false">
      <c r="A5" s="11" t="s">
        <v>0</v>
      </c>
      <c r="B5" s="4" t="str">
        <f aca="false">VLOOKUP($B$1,'PARASTATAL Questions'!$A:$J,5,0)&amp;""</f>
        <v>Is the medium/long-term fiscal plan publicly available?</v>
      </c>
    </row>
    <row r="6" customFormat="false" ht="15" hidden="false" customHeight="true" outlineLevel="0" collapsed="false">
      <c r="A6" s="11" t="s">
        <v>438</v>
      </c>
      <c r="B6" s="4" t="n">
        <f aca="false">VLOOKUP($B$1,'PARASTATAL Questions'!$A:$J,6,0)</f>
        <v>5</v>
      </c>
    </row>
    <row r="7" customFormat="false" ht="23.25" hidden="false" customHeight="true" outlineLevel="0" collapsed="false">
      <c r="A7" s="11" t="s">
        <v>437</v>
      </c>
      <c r="B7" s="4" t="str">
        <f aca="false">VLOOKUP($B$1,'PARASTATAL Questions'!$A:$J,7,0)&amp;""</f>
        <v>Implementation</v>
      </c>
    </row>
    <row r="8" customFormat="false" ht="15" hidden="false" customHeight="true" outlineLevel="0" collapsed="false">
      <c r="A8" s="11" t="s">
        <v>471</v>
      </c>
      <c r="B8" s="4" t="str">
        <f aca="false">VLOOKUP($B$1,'PARASTATAL Questions'!$A:$J,8,0)&amp;""</f>
        <v>Common.</v>
      </c>
    </row>
    <row r="9" customFormat="false" ht="135.75" hidden="false" customHeight="true" outlineLevel="0" collapsed="false">
      <c r="A9" s="11" t="s">
        <v>472</v>
      </c>
      <c r="B9" s="4" t="str">
        <f aca="false">VLOOKUP($B$1,'PARASTATAL Questions'!$A:$J,9,0)&amp;""</f>
        <v>Score 5 if the fiscal plan is published online on the relevant parastatal's website. Score 0 if not available.</v>
      </c>
    </row>
    <row r="10" customFormat="false" ht="45.75" hidden="false" customHeight="true" outlineLevel="0" collapsed="false">
      <c r="A10" s="11" t="s">
        <v>473</v>
      </c>
      <c r="B10" s="4" t="str">
        <f aca="false">VLOOKUP($B$1,'PARASTATAL Questions'!$A:$J,10,0)&amp;""</f>
        <v>Website of the relevant parastatal</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1013</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1014</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1015</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1016</v>
      </c>
      <c r="L16" s="9" t="str">
        <f aca="false">IF($B16="NO","NA",IF(I16="","",MIN(I16,$B$6)))</f>
        <v/>
      </c>
    </row>
    <row r="17" customFormat="false" ht="15" hidden="false" customHeight="true" outlineLevel="0" collapsed="false">
      <c r="A17" s="9" t="s">
        <v>41</v>
      </c>
      <c r="B17" s="9" t="s">
        <v>659</v>
      </c>
      <c r="C17" s="9" t="s">
        <v>205</v>
      </c>
      <c r="D17" s="9" t="s">
        <v>1017</v>
      </c>
      <c r="E17" s="9" t="s">
        <v>1018</v>
      </c>
      <c r="H17" s="9" t="s">
        <v>206</v>
      </c>
      <c r="I17" s="16"/>
      <c r="J17" s="9" t="str">
        <f aca="false">IF(COUNTIFS('Scores (start here)'!$A:$A,$B$1,'Scores (start here)'!$B:$B,$A17,'Scores (start here)'!$F:$F,"&gt;=0")&gt;0,SUMIFS('Scores (start here)'!$F:$F,'Scores (start here)'!$A:$A,$B$1,'Scores (start here)'!$B:$B,$A17),L17)</f>
        <v/>
      </c>
      <c r="K17" s="13" t="s">
        <v>1019</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385</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SC-5</v>
      </c>
    </row>
    <row r="4" customFormat="false" ht="15" hidden="false" customHeight="true" outlineLevel="0" collapsed="false">
      <c r="A4" s="11" t="s">
        <v>436</v>
      </c>
      <c r="B4" s="4" t="str">
        <f aca="false">VLOOKUP($B$1,'PARASTATAL Questions'!$A:$J,4,0)&amp;""</f>
        <v>MQ</v>
      </c>
    </row>
    <row r="5" customFormat="false" ht="124.5" hidden="false" customHeight="true" outlineLevel="0" collapsed="false">
      <c r="A5" s="11" t="s">
        <v>0</v>
      </c>
      <c r="B5" s="4" t="str">
        <f aca="false">VLOOKUP($B$1,'PARASTATAL Questions'!$A:$J,5,0)&amp;""</f>
        <v>Does the law mandate a minimum tenure for the executive authority of the parastatal?</v>
      </c>
    </row>
    <row r="6" customFormat="false" ht="15" hidden="false" customHeight="true" outlineLevel="0" collapsed="false">
      <c r="A6" s="11" t="s">
        <v>438</v>
      </c>
      <c r="B6" s="4" t="n">
        <f aca="false">VLOOKUP($B$1,'PARASTATAL Questions'!$A:$J,6,0)</f>
        <v>10</v>
      </c>
    </row>
    <row r="7" customFormat="false" ht="15" hidden="false" customHeight="true" outlineLevel="0" collapsed="false">
      <c r="A7" s="11" t="s">
        <v>437</v>
      </c>
      <c r="B7" s="4" t="str">
        <f aca="false">VLOOKUP($B$1,'PARASTATAL Questions'!$A:$J,7,0)&amp;""</f>
        <v>Law/Policy</v>
      </c>
    </row>
    <row r="8" customFormat="false" ht="15" hidden="false" customHeight="true" outlineLevel="0" collapsed="false">
      <c r="A8" s="11" t="s">
        <v>471</v>
      </c>
      <c r="B8" s="4" t="str">
        <f aca="false">VLOOKUP($B$1,'PARASTATAL Questions'!$A:$J,8,0)&amp;""</f>
        <v>Common.</v>
      </c>
    </row>
    <row r="9" customFormat="false" ht="885.75" hidden="false" customHeight="true" outlineLevel="0" collapsed="false">
      <c r="A9" s="11" t="s">
        <v>472</v>
      </c>
      <c r="B9" s="4"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11" t="s">
        <v>473</v>
      </c>
      <c r="B10" s="4" t="str">
        <f aca="false">VLOOKUP($B$1,'PARASTATAL Questions'!$A:$J,10,0)&amp;""</f>
        <v>Relevant Parastatal Act; rules governing appointment, tenure and removal of the executive authority/chief executive.</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C13" s="9" t="s">
        <v>25</v>
      </c>
      <c r="D13" s="9" t="s">
        <v>787</v>
      </c>
      <c r="E13" s="9" t="s">
        <v>1020</v>
      </c>
      <c r="F13" s="9" t="s">
        <v>1021</v>
      </c>
      <c r="G13" s="9" t="s">
        <v>186</v>
      </c>
      <c r="H13" s="9" t="s">
        <v>26</v>
      </c>
      <c r="I13" s="16" t="n">
        <v>0</v>
      </c>
      <c r="J13" s="9" t="n">
        <f aca="false">IF(COUNTIFS('Scores (start here)'!$A:$A,$B$1,'Scores (start here)'!$B:$B,$A13,'Scores (start here)'!$F:$F,"&gt;=0")&gt;0,SUMIFS('Scores (start here)'!$F:$F,'Scores (start here)'!$A:$A,$B$1,'Scores (start here)'!$B:$B,$A13),L13)</f>
        <v>0</v>
      </c>
      <c r="K13" s="13" t="s">
        <v>1022</v>
      </c>
      <c r="L13" s="9" t="n">
        <f aca="false">IF($B13="NO","NA",IF(I13="","",MIN(I13,$B$6)))</f>
        <v>0</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1023</v>
      </c>
      <c r="L14" s="9" t="str">
        <f aca="false">IF($B14="NO","NA",IF(I14="","",MIN(I14,$B$6)))</f>
        <v/>
      </c>
    </row>
    <row r="15" customFormat="false" ht="303" hidden="false" customHeight="true" outlineLevel="0" collapsed="false">
      <c r="A15" s="9" t="s">
        <v>33</v>
      </c>
      <c r="B15" s="9" t="s">
        <v>659</v>
      </c>
      <c r="C15" s="9" t="s">
        <v>35</v>
      </c>
      <c r="D15" s="9" t="s">
        <v>1024</v>
      </c>
      <c r="E15" s="9" t="s">
        <v>1025</v>
      </c>
      <c r="F15" s="9" t="s">
        <v>1026</v>
      </c>
      <c r="G15" s="9" t="s">
        <v>1027</v>
      </c>
      <c r="H15" s="9" t="s">
        <v>36</v>
      </c>
      <c r="I15" s="16" t="n">
        <v>0</v>
      </c>
      <c r="J15" s="9" t="n">
        <f aca="false">IF(COUNTIFS('Scores (start here)'!$A:$A,$B$1,'Scores (start here)'!$B:$B,$A15,'Scores (start here)'!$F:$F,"&gt;=0")&gt;0,SUMIFS('Scores (start here)'!$F:$F,'Scores (start here)'!$A:$A,$B$1,'Scores (start here)'!$B:$B,$A15),L15)</f>
        <v>0</v>
      </c>
      <c r="K15" s="13" t="s">
        <v>1028</v>
      </c>
      <c r="L15" s="9" t="n">
        <f aca="false">IF($B15="NO","NA",IF(I15="","",MIN(I15,$B$6)))</f>
        <v>0</v>
      </c>
    </row>
    <row r="16" customFormat="false" ht="202.5" hidden="false" customHeight="true" outlineLevel="0" collapsed="false">
      <c r="A16" s="9" t="s">
        <v>39</v>
      </c>
      <c r="B16" s="9" t="s">
        <v>659</v>
      </c>
      <c r="C16" s="9" t="s">
        <v>162</v>
      </c>
      <c r="D16" s="9" t="s">
        <v>1029</v>
      </c>
      <c r="E16" s="9" t="s">
        <v>1030</v>
      </c>
      <c r="F16" s="9" t="s">
        <v>1031</v>
      </c>
      <c r="G16" s="9" t="s">
        <v>799</v>
      </c>
      <c r="H16" s="9" t="s">
        <v>163</v>
      </c>
      <c r="I16" s="16" t="n">
        <v>0</v>
      </c>
      <c r="J16" s="9" t="n">
        <f aca="false">IF(COUNTIFS('Scores (start here)'!$A:$A,$B$1,'Scores (start here)'!$B:$B,$A16,'Scores (start here)'!$F:$F,"&gt;=0")&gt;0,SUMIFS('Scores (start here)'!$F:$F,'Scores (start here)'!$A:$A,$B$1,'Scores (start here)'!$B:$B,$A16),L16)</f>
        <v>0</v>
      </c>
      <c r="K16" s="13" t="s">
        <v>1032</v>
      </c>
      <c r="L16" s="9" t="n">
        <f aca="false">IF($B16="NO","NA",IF(I16="","",MIN(I16,$B$6)))</f>
        <v>0</v>
      </c>
    </row>
    <row r="17" customFormat="false" ht="15" hidden="false" customHeight="true" outlineLevel="0" collapsed="false">
      <c r="A17" s="9" t="s">
        <v>41</v>
      </c>
      <c r="B17" s="9" t="s">
        <v>659</v>
      </c>
      <c r="C17" s="9" t="s">
        <v>43</v>
      </c>
      <c r="D17" s="9" t="s">
        <v>801</v>
      </c>
      <c r="E17" s="9" t="s">
        <v>1033</v>
      </c>
      <c r="F17" s="9" t="s">
        <v>1034</v>
      </c>
      <c r="G17" s="9" t="s">
        <v>1035</v>
      </c>
      <c r="H17" s="9" t="s">
        <v>44</v>
      </c>
      <c r="I17" s="16"/>
      <c r="J17" s="9" t="str">
        <f aca="false">IF(COUNTIFS('Scores (start here)'!$A:$A,$B$1,'Scores (start here)'!$B:$B,$A17,'Scores (start here)'!$F:$F,"&gt;=0")&gt;0,SUMIFS('Scores (start here)'!$F:$F,'Scores (start here)'!$A:$A,$B$1,'Scores (start here)'!$B:$B,$A17),L17)</f>
        <v/>
      </c>
      <c r="K17" s="9" t="s">
        <v>1036</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398</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SC-6</v>
      </c>
    </row>
    <row r="4" customFormat="false" ht="15" hidden="false" customHeight="true" outlineLevel="0" collapsed="false">
      <c r="A4" s="11" t="s">
        <v>436</v>
      </c>
      <c r="B4" s="4" t="str">
        <f aca="false">VLOOKUP($B$1,'PARASTATAL Questions'!$A:$J,4,0)&amp;""</f>
        <v>MQ</v>
      </c>
    </row>
    <row r="5" customFormat="false" ht="124.5" hidden="false" customHeight="true" outlineLevel="0" collapsed="false">
      <c r="A5" s="11" t="s">
        <v>0</v>
      </c>
      <c r="B5" s="4" t="str">
        <f aca="false">VLOOKUP($B$1,'PARASTATAL Questions'!$A:$J,5,0)&amp;""</f>
        <v>What is the average tenure of the chief executive/executive authority of the parastatal?</v>
      </c>
    </row>
    <row r="6" customFormat="false" ht="15" hidden="false" customHeight="true" outlineLevel="0" collapsed="false">
      <c r="A6" s="11" t="s">
        <v>438</v>
      </c>
      <c r="B6" s="4" t="n">
        <f aca="false">VLOOKUP($B$1,'PARASTATAL Questions'!$A:$J,6,0)</f>
        <v>10</v>
      </c>
    </row>
    <row r="7" customFormat="false" ht="34.5" hidden="false" customHeight="true" outlineLevel="0" collapsed="false">
      <c r="A7" s="11" t="s">
        <v>437</v>
      </c>
      <c r="B7" s="4" t="str">
        <f aca="false">VLOOKUP($B$1,'PARASTATAL Questions'!$A:$J,7,0)&amp;""</f>
        <v>Implementation (Numeric)</v>
      </c>
    </row>
    <row r="8" customFormat="false" ht="124.5" hidden="false" customHeight="true" outlineLevel="0" collapsed="false">
      <c r="A8" s="11" t="s">
        <v>471</v>
      </c>
      <c r="B8" s="4" t="str">
        <f aca="false">VLOOKUP($B$1,'PARASTATAL Questions'!$A:$J,8,0)&amp;""</f>
        <v>Common — all parastatal types with a designated chief executive/executive authority post.</v>
      </c>
    </row>
    <row r="9" customFormat="false" ht="415.5" hidden="false" customHeight="true" outlineLevel="0" collapsed="false">
      <c r="A9" s="11" t="s">
        <v>472</v>
      </c>
      <c r="B9" s="4"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11" t="s">
        <v>473</v>
      </c>
      <c r="B10" s="4" t="str">
        <f aca="false">VLOOKUP($B$1,'PARASTATAL Questions'!$A:$J,10,0)&amp;""</f>
        <v>Newspaper reports, Gazette notifications of appointment/transfer and website of relevant parastatal</v>
      </c>
    </row>
    <row r="11" customFormat="false" ht="15" hidden="false" customHeight="true" outlineLevel="0" collapsed="false">
      <c r="B11" s="15" t="s">
        <v>645</v>
      </c>
      <c r="I11" s="15" t="s">
        <v>825</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1037</v>
      </c>
      <c r="L13" s="9" t="str">
        <f aca="false">IF($B13="NO","NA",IF(I13="","",MIN(I13,$B$6)))</f>
        <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1038</v>
      </c>
      <c r="L14" s="9" t="str">
        <f aca="false">IF($B14="NO","NA",IF(I14="","",MIN(I14,$B$6)))</f>
        <v/>
      </c>
    </row>
    <row r="15" customFormat="false" ht="57"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13" t="s">
        <v>1039</v>
      </c>
      <c r="L15" s="9" t="str">
        <f aca="false">IF($B15="NO","NA",IF(I15="","",MIN(I15,$B$6)))</f>
        <v/>
      </c>
    </row>
    <row r="16" customFormat="false" ht="15" hidden="false" customHeight="true" outlineLevel="0" collapsed="false">
      <c r="A16" s="9" t="s">
        <v>39</v>
      </c>
      <c r="B16" s="9" t="s">
        <v>659</v>
      </c>
      <c r="C16" s="9" t="s">
        <v>162</v>
      </c>
      <c r="D16" s="9" t="s">
        <v>1040</v>
      </c>
      <c r="E16" s="9" t="s">
        <v>1041</v>
      </c>
      <c r="F16" s="9" t="s">
        <v>1042</v>
      </c>
      <c r="G16" s="9" t="s">
        <v>1043</v>
      </c>
      <c r="H16" s="9" t="s">
        <v>163</v>
      </c>
      <c r="I16" s="16"/>
      <c r="J16" s="9" t="str">
        <f aca="false">IF(COUNTIFS('Scores (start here)'!$A:$A,$B$1,'Scores (start here)'!$B:$B,$A16,'Scores (start here)'!$F:$F,"&gt;=0")&gt;0,SUMIFS('Scores (start here)'!$F:$F,'Scores (start here)'!$A:$A,$B$1,'Scores (start here)'!$B:$B,$A16),L16)</f>
        <v/>
      </c>
      <c r="K16" s="13" t="s">
        <v>1044</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1045</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406</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SC-7a</v>
      </c>
    </row>
    <row r="4" customFormat="false" ht="15" hidden="false" customHeight="true" outlineLevel="0" collapsed="false">
      <c r="A4" s="11" t="s">
        <v>436</v>
      </c>
      <c r="B4" s="4" t="str">
        <f aca="false">VLOOKUP($B$1,'PARASTATAL Questions'!$A:$J,4,0)&amp;""</f>
        <v>SQ</v>
      </c>
    </row>
    <row r="5" customFormat="false" ht="102" hidden="false" customHeight="true" outlineLevel="0" collapsed="false">
      <c r="A5" s="11" t="s">
        <v>0</v>
      </c>
      <c r="B5" s="4" t="str">
        <f aca="false">VLOOKUP($B$1,'PARASTATAL Questions'!$A:$J,5,0)&amp;""</f>
        <v>Does the parastatal have adequate staffing capacity to discharge its mandate?</v>
      </c>
    </row>
    <row r="6" customFormat="false" ht="15" hidden="false" customHeight="true" outlineLevel="0" collapsed="false">
      <c r="A6" s="11" t="s">
        <v>438</v>
      </c>
      <c r="B6" s="4" t="n">
        <f aca="false">VLOOKUP($B$1,'PARASTATAL Questions'!$A:$J,6,0)</f>
        <v>5</v>
      </c>
    </row>
    <row r="7" customFormat="false" ht="34.5" hidden="false" customHeight="true" outlineLevel="0" collapsed="false">
      <c r="A7" s="11" t="s">
        <v>437</v>
      </c>
      <c r="B7" s="4" t="str">
        <f aca="false">VLOOKUP($B$1,'PARASTATAL Questions'!$A:$J,7,0)&amp;""</f>
        <v>Implementation (Numeric)</v>
      </c>
    </row>
    <row r="8" customFormat="false" ht="45.75" hidden="false" customHeight="true" outlineLevel="0" collapsed="false">
      <c r="A8" s="11" t="s">
        <v>471</v>
      </c>
      <c r="B8" s="4" t="str">
        <f aca="false">VLOOKUP($B$1,'PARASTATAL Questions'!$A:$J,8,0)&amp;""</f>
        <v>Common — all parastatal types.</v>
      </c>
    </row>
    <row r="9" customFormat="false" ht="538.5" hidden="false" customHeight="true" outlineLevel="0" collapsed="false">
      <c r="A9" s="11" t="s">
        <v>472</v>
      </c>
      <c r="B9" s="4"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11" t="s">
        <v>473</v>
      </c>
      <c r="B10" s="4" t="str">
        <f aca="false">VLOOKUP($B$1,'PARASTATAL Questions'!$A:$J,10,0)&amp;""</f>
        <v>Staffing records on the website/ RTI  and/or formal data request with the parastatal/ annual report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79.5" hidden="false" customHeight="true" outlineLevel="0" collapsed="false">
      <c r="A13" s="9" t="s">
        <v>19</v>
      </c>
      <c r="B13" s="9" t="s">
        <v>659</v>
      </c>
      <c r="C13" s="9" t="s">
        <v>63</v>
      </c>
      <c r="D13" s="9" t="s">
        <v>1046</v>
      </c>
      <c r="E13" s="9" t="s">
        <v>1047</v>
      </c>
      <c r="F13" s="9" t="s">
        <v>1048</v>
      </c>
      <c r="G13" s="9" t="s">
        <v>1049</v>
      </c>
      <c r="H13" s="9" t="s">
        <v>64</v>
      </c>
      <c r="I13" s="16" t="n">
        <v>3</v>
      </c>
      <c r="J13" s="9" t="n">
        <f aca="false">IF(COUNTIFS('Scores (start here)'!$A:$A,$B$1,'Scores (start here)'!$B:$B,$A13,'Scores (start here)'!$F:$F,"&gt;=0")&gt;0,SUMIFS('Scores (start here)'!$F:$F,'Scores (start here)'!$A:$A,$B$1,'Scores (start here)'!$B:$B,$A13),L13)</f>
        <v>3</v>
      </c>
      <c r="K13" s="13" t="s">
        <v>1050</v>
      </c>
      <c r="L13" s="9" t="n">
        <f aca="false">IF($B13="NO","NA",IF(I13="","",MIN(I13,$B$6)))</f>
        <v>3</v>
      </c>
    </row>
    <row r="14" customFormat="false" ht="1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9" t="s">
        <v>1051</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1052</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1053</v>
      </c>
      <c r="L16" s="9" t="str">
        <f aca="false">IF($B16="NO","NA",IF(I16="","",MIN(I16,$B$6)))</f>
        <v/>
      </c>
    </row>
    <row r="17" customFormat="false" ht="258.75" hidden="false" customHeight="true" outlineLevel="0" collapsed="false">
      <c r="A17" s="9" t="s">
        <v>41</v>
      </c>
      <c r="B17" s="9" t="s">
        <v>659</v>
      </c>
      <c r="C17" s="9" t="s">
        <v>287</v>
      </c>
      <c r="D17" s="9" t="s">
        <v>1054</v>
      </c>
      <c r="E17" s="9" t="s">
        <v>1055</v>
      </c>
      <c r="H17" s="9" t="s">
        <v>288</v>
      </c>
      <c r="I17" s="16"/>
      <c r="J17" s="9" t="str">
        <f aca="false">IF(COUNTIFS('Scores (start here)'!$A:$A,$B$1,'Scores (start here)'!$B:$B,$A17,'Scores (start here)'!$F:$F,"&gt;=0")&gt;0,SUMIFS('Scores (start here)'!$F:$F,'Scores (start here)'!$A:$A,$B$1,'Scores (start here)'!$B:$B,$A17),L17)</f>
        <v/>
      </c>
      <c r="K17" s="13" t="s">
        <v>1056</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9" width="28"/>
    <col collapsed="false" customWidth="true" hidden="false" outlineLevel="0" max="2" min="2" style="9" width="10"/>
    <col collapsed="false" customWidth="true" hidden="false" outlineLevel="0" max="3" min="3" style="9" width="30"/>
    <col collapsed="false" customWidth="true" hidden="false" outlineLevel="0" max="8" min="8" style="9" width="10"/>
    <col collapsed="false" customWidth="true" hidden="false" outlineLevel="0" max="9" min="9" style="9" width="40"/>
  </cols>
  <sheetData>
    <row r="1" customFormat="false" ht="15" hidden="false" customHeight="true" outlineLevel="0" collapsed="false">
      <c r="A1" s="9" t="s">
        <v>642</v>
      </c>
      <c r="B1" s="9" t="s">
        <v>415</v>
      </c>
      <c r="C1" s="9" t="s">
        <v>643</v>
      </c>
      <c r="J1" s="14" t="s">
        <v>644</v>
      </c>
    </row>
    <row r="2" customFormat="false" ht="23.25" hidden="false" customHeight="true" outlineLevel="0" collapsed="false">
      <c r="A2" s="11" t="s">
        <v>435</v>
      </c>
      <c r="B2" s="4" t="str">
        <f aca="false">VLOOKUP($B$1,'PARASTATAL Questions'!$A:$J,3,0)&amp;""</f>
        <v>State Capacities</v>
      </c>
    </row>
    <row r="3" customFormat="false" ht="15" hidden="false" customHeight="true" outlineLevel="0" collapsed="false">
      <c r="A3" s="11" t="s">
        <v>470</v>
      </c>
      <c r="B3" s="4" t="str">
        <f aca="false">VLOOKUP($B$1,'PARASTATAL Questions'!$A:$J,2,0)&amp;""</f>
        <v>SC-7b</v>
      </c>
    </row>
    <row r="4" customFormat="false" ht="15" hidden="false" customHeight="true" outlineLevel="0" collapsed="false">
      <c r="A4" s="11" t="s">
        <v>436</v>
      </c>
      <c r="B4" s="4" t="str">
        <f aca="false">VLOOKUP($B$1,'PARASTATAL Questions'!$A:$J,4,0)&amp;""</f>
        <v>SQ</v>
      </c>
    </row>
    <row r="5" customFormat="false" ht="79.5" hidden="false" customHeight="true" outlineLevel="0" collapsed="false">
      <c r="A5" s="11" t="s">
        <v>0</v>
      </c>
      <c r="B5" s="4" t="str">
        <f aca="false">VLOOKUP($B$1,'PARASTATAL Questions'!$A:$J,5,0)&amp;""</f>
        <v>What proportion of the parastatal's workforce is women?</v>
      </c>
    </row>
    <row r="6" customFormat="false" ht="15" hidden="false" customHeight="true" outlineLevel="0" collapsed="false">
      <c r="A6" s="11" t="s">
        <v>438</v>
      </c>
      <c r="B6" s="4" t="n">
        <f aca="false">VLOOKUP($B$1,'PARASTATAL Questions'!$A:$J,6,0)</f>
        <v>5</v>
      </c>
    </row>
    <row r="7" customFormat="false" ht="34.5" hidden="false" customHeight="true" outlineLevel="0" collapsed="false">
      <c r="A7" s="11" t="s">
        <v>437</v>
      </c>
      <c r="B7" s="4" t="str">
        <f aca="false">VLOOKUP($B$1,'PARASTATAL Questions'!$A:$J,7,0)&amp;""</f>
        <v>Implementation (Numeric)</v>
      </c>
    </row>
    <row r="8" customFormat="false" ht="45.75" hidden="false" customHeight="true" outlineLevel="0" collapsed="false">
      <c r="A8" s="11" t="s">
        <v>471</v>
      </c>
      <c r="B8" s="4" t="str">
        <f aca="false">VLOOKUP($B$1,'PARASTATAL Questions'!$A:$J,8,0)&amp;""</f>
        <v>Common — all parastatal types.</v>
      </c>
    </row>
    <row r="9" customFormat="false" ht="684" hidden="false" customHeight="true" outlineLevel="0" collapsed="false">
      <c r="A9" s="11" t="s">
        <v>472</v>
      </c>
      <c r="B9" s="4"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11" t="s">
        <v>473</v>
      </c>
      <c r="B10" s="4" t="str">
        <f aca="false">VLOOKUP($B$1,'PARASTATAL Questions'!$A:$J,10,0)&amp;""</f>
        <v>Staffing records on the website/ RTI  and/or formal data request with the parastatal/ annual report</v>
      </c>
    </row>
    <row r="11" customFormat="false" ht="15" hidden="false" customHeight="true" outlineLevel="0" collapsed="false">
      <c r="B11" s="15" t="s">
        <v>645</v>
      </c>
      <c r="I11" s="15" t="s">
        <v>646</v>
      </c>
      <c r="J11" s="15" t="s">
        <v>647</v>
      </c>
      <c r="L11" s="9" t="s">
        <v>648</v>
      </c>
    </row>
    <row r="12" customFormat="false" ht="51.75" hidden="false" customHeight="true" outlineLevel="0" collapsed="false">
      <c r="A12" s="1" t="s">
        <v>460</v>
      </c>
      <c r="B12" s="1" t="s">
        <v>649</v>
      </c>
      <c r="C12" s="1" t="s">
        <v>650</v>
      </c>
      <c r="D12" s="1" t="s">
        <v>651</v>
      </c>
      <c r="E12" s="1" t="s">
        <v>652</v>
      </c>
      <c r="F12" s="1" t="s">
        <v>653</v>
      </c>
      <c r="G12" s="1" t="s">
        <v>654</v>
      </c>
      <c r="H12" s="1" t="s">
        <v>14</v>
      </c>
      <c r="I12" s="1" t="s">
        <v>655</v>
      </c>
      <c r="J12" s="1" t="s">
        <v>656</v>
      </c>
      <c r="K12" s="1" t="s">
        <v>657</v>
      </c>
      <c r="L12" s="9" t="s">
        <v>658</v>
      </c>
    </row>
    <row r="13" customFormat="false" ht="15" hidden="false" customHeight="true" outlineLevel="0" collapsed="false">
      <c r="A13" s="9" t="s">
        <v>19</v>
      </c>
      <c r="B13" s="9" t="s">
        <v>659</v>
      </c>
      <c r="I13" s="16"/>
      <c r="J13" s="9" t="str">
        <f aca="false">IF(COUNTIFS('Scores (start here)'!$A:$A,$B$1,'Scores (start here)'!$B:$B,$A13,'Scores (start here)'!$F:$F,"&gt;=0")&gt;0,SUMIFS('Scores (start here)'!$F:$F,'Scores (start here)'!$A:$A,$B$1,'Scores (start here)'!$B:$B,$A13),L13)</f>
        <v/>
      </c>
      <c r="K13" s="9" t="s">
        <v>1057</v>
      </c>
      <c r="L13" s="9" t="str">
        <f aca="false">IF($B13="NO","NA",IF(I13="","",MIN(I13,$B$6)))</f>
        <v/>
      </c>
    </row>
    <row r="14" customFormat="false" ht="68.25" hidden="false" customHeight="true" outlineLevel="0" collapsed="false">
      <c r="A14" s="9" t="s">
        <v>30</v>
      </c>
      <c r="B14" s="9" t="s">
        <v>659</v>
      </c>
      <c r="I14" s="16"/>
      <c r="J14" s="9" t="str">
        <f aca="false">IF(COUNTIFS('Scores (start here)'!$A:$A,$B$1,'Scores (start here)'!$B:$B,$A14,'Scores (start here)'!$F:$F,"&gt;=0")&gt;0,SUMIFS('Scores (start here)'!$F:$F,'Scores (start here)'!$A:$A,$B$1,'Scores (start here)'!$B:$B,$A14),L14)</f>
        <v/>
      </c>
      <c r="K14" s="13" t="s">
        <v>1058</v>
      </c>
      <c r="L14" s="9" t="str">
        <f aca="false">IF($B14="NO","NA",IF(I14="","",MIN(I14,$B$6)))</f>
        <v/>
      </c>
    </row>
    <row r="15" customFormat="false" ht="15" hidden="false" customHeight="true" outlineLevel="0" collapsed="false">
      <c r="A15" s="9" t="s">
        <v>33</v>
      </c>
      <c r="B15" s="9" t="s">
        <v>659</v>
      </c>
      <c r="I15" s="16"/>
      <c r="J15" s="9" t="str">
        <f aca="false">IF(COUNTIFS('Scores (start here)'!$A:$A,$B$1,'Scores (start here)'!$B:$B,$A15,'Scores (start here)'!$F:$F,"&gt;=0")&gt;0,SUMIFS('Scores (start here)'!$F:$F,'Scores (start here)'!$A:$A,$B$1,'Scores (start here)'!$B:$B,$A15),L15)</f>
        <v/>
      </c>
      <c r="K15" s="9" t="s">
        <v>1059</v>
      </c>
      <c r="L15" s="9" t="str">
        <f aca="false">IF($B15="NO","NA",IF(I15="","",MIN(I15,$B$6)))</f>
        <v/>
      </c>
    </row>
    <row r="16" customFormat="false" ht="15" hidden="false" customHeight="true" outlineLevel="0" collapsed="false">
      <c r="A16" s="9" t="s">
        <v>39</v>
      </c>
      <c r="B16" s="9" t="s">
        <v>659</v>
      </c>
      <c r="I16" s="16"/>
      <c r="J16" s="9" t="str">
        <f aca="false">IF(COUNTIFS('Scores (start here)'!$A:$A,$B$1,'Scores (start here)'!$B:$B,$A16,'Scores (start here)'!$F:$F,"&gt;=0")&gt;0,SUMIFS('Scores (start here)'!$F:$F,'Scores (start here)'!$A:$A,$B$1,'Scores (start here)'!$B:$B,$A16),L16)</f>
        <v/>
      </c>
      <c r="K16" s="9" t="s">
        <v>1060</v>
      </c>
      <c r="L16" s="9" t="str">
        <f aca="false">IF($B16="NO","NA",IF(I16="","",MIN(I16,$B$6)))</f>
        <v/>
      </c>
    </row>
    <row r="17" customFormat="false" ht="15" hidden="false" customHeight="true" outlineLevel="0" collapsed="false">
      <c r="A17" s="9" t="s">
        <v>41</v>
      </c>
      <c r="B17" s="9" t="s">
        <v>659</v>
      </c>
      <c r="I17" s="16"/>
      <c r="J17" s="9" t="str">
        <f aca="false">IF(COUNTIFS('Scores (start here)'!$A:$A,$B$1,'Scores (start here)'!$B:$B,$A17,'Scores (start here)'!$F:$F,"&gt;=0")&gt;0,SUMIFS('Scores (start here)'!$F:$F,'Scores (start here)'!$A:$A,$B$1,'Scores (start here)'!$B:$B,$A17),L17)</f>
        <v/>
      </c>
      <c r="K17" s="9" t="s">
        <v>1061</v>
      </c>
      <c r="L17" s="9" t="str">
        <f aca="false">IF($B17="NO","NA",IF(I17="","",MIN(I17,$B$6)))</f>
        <v/>
      </c>
    </row>
    <row r="18" customFormat="false" ht="15" hidden="false" customHeight="true" outlineLevel="0" collapsed="false">
      <c r="A18" s="9" t="s">
        <v>439</v>
      </c>
      <c r="B18" s="9" t="s">
        <v>659</v>
      </c>
      <c r="I18" s="16"/>
      <c r="J18" s="9" t="str">
        <f aca="false">IF(COUNTIFS('Scores (start here)'!$A:$A,$B$1,'Scores (start here)'!$B:$B,$A18,'Scores (start here)'!$F:$F,"&gt;=0")&gt;0,SUMIFS('Scores (start here)'!$F:$F,'Scores (start here)'!$A:$A,$B$1,'Scores (start here)'!$B:$B,$A18),L18)</f>
        <v/>
      </c>
      <c r="L18" s="9" t="str">
        <f aca="false">IF($B18="NO","NA",IF(I18="","",MIN(I18,$B$6)))</f>
        <v/>
      </c>
    </row>
    <row r="19" customFormat="false" ht="15" hidden="false" customHeight="true" outlineLevel="0" collapsed="false">
      <c r="A19" s="9" t="s">
        <v>440</v>
      </c>
      <c r="B19" s="9" t="s">
        <v>659</v>
      </c>
      <c r="I19" s="16"/>
      <c r="J19" s="9" t="str">
        <f aca="false">IF(COUNTIFS('Scores (start here)'!$A:$A,$B$1,'Scores (start here)'!$B:$B,$A19,'Scores (start here)'!$F:$F,"&gt;=0")&gt;0,SUMIFS('Scores (start here)'!$F:$F,'Scores (start here)'!$A:$A,$B$1,'Scores (start here)'!$B:$B,$A19),L19)</f>
        <v/>
      </c>
      <c r="L19" s="9" t="str">
        <f aca="false">IF($B19="NO","NA",IF(I19="","",MIN(I19,$B$6)))</f>
        <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2026-10-13T17:48:09Z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