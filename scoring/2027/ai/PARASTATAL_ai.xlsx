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here)'!$A$1:$P$156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<sst xmlns="http://schemas.openxmlformats.org/spreadsheetml/2006/main" count="4043" uniqueCount="1129">
  <si>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</si>
  <si>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</si>
  <si>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</si>
  <si>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</si>
  <si>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</si>
  <si>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</si>
  <si>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</si>
  <si>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</si>
  <si>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</si>
  <si>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</si>
  <si>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</si>
  <si>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</si>
  <si>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</si>
  <si>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</si>
  <si>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</si>
  <si>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</si>
  <si>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</si>
  <si>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</si>
  <si>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Left for a person</t>
  </si>
  <si>
    <t xml:space="preserve">Partially Answered</t>
  </si>
  <si>
    <t xml:space="preserve">ANSWER: The BWSSB Act sources in the Citation Sheet do not require BWSSB to prepare its water-supply or sewerage schemes or plans in coordination with the ULG. The Board prepares them itself. The only outside approval is from the State Government, for schemes costing more than Rs 1 crore. The ULG has no approval, concurrence, joint-preparation or mandatory-consultation role in BWSSB's plans. The only links found are: (i) a statutory advisory Consultative Committee that advises on major schemes; and (ii) under the city government's own Act (the Greater Bengaluru Governance Act), general powers for the Greater Bengaluru Authority (GBA) to coordinate and supervise public authorities named in it, including BWSSB, and to issue binding directions to them. Those GBA powers are not specific to BWSSB's plan preparation. Whether they count as 'coordination' for this question needs a team decision. The Karnataka Town and Country Planning (T&amp;CP) Act is not in the Citation Sheet, so I cannot confirm that the ULG has no formal role, and I propose no score. | EVIDENCE: Parastatal side, BWSSB Act 1964 as amended (PRS text, BWSSB-02): (1) s.15(2)(b),(c): it is the Board's duty to take steps 'for preparing and carrying out schemes' for water supply and for sewerage and sewage disposal. The proviso says no scheme costing more than a crore 'shall be carried out by the Board except with the approval of the State Government'. This is State approval, not ULG approval, and no ULG consultation is men</t>
  </si>
  <si>
    <t xml:space="preserve">The Bangalore Water Supply and Sewerage Act, 1964 [BWSSB-02]</t>
  </si>
  <si>
    <t xml:space="preserve">https://prsindia.org/files/bills_acts/acts_states/karnataka/1964/1964KR36.pdf</t>
  </si>
  <si>
    <t xml:space="preserve">Provided that no scheme under clause (b ) or (c) estimated to cost more than a crore of rupees shall be carried out by the Board except with the approval of the State Government.</t>
  </si>
  <si>
    <t xml:space="preserve">I have left the score blank for three reasons.
(1) SCALE-MISMATCH: Step 2 reports that the UPD1a rubric bands run 0/2.5/5/7.5/10, but the Max Score is 5. The question's rubric text was not given to me, so I cannot confirm how the bands map to the scale. The team needs to confirm before any band is entered.
(2) The BWSSB Act gives the ULG no formal role in BWSSB's plans. I checked this against BWSSB-02 (PRS consolidation, amended up to Act 32 of 2010):
- s.15(2)(b),(c): the Board itself prepares and carries out water-supply and sewerage schemes. The only outside approval is the State Government's, for schemes costing more than Rs 1 crore. There is no ULG approval, concurrence or consultation.
- s.14: an advisory Consultative Committee advises on 'major schemes'. Its non-Board members are State appointees chosen after consulting bodies representing the interests of the BBMP (the former city corporation), so the ULG has no seat as of right.
- s.38(2): the Water-Supply Engineer 'may' close a public hydrant in consultation with the BBMP Commissioner. This is operational, not planning.
- s.3(5): members of any local authority are disqualified from the Board.
(3) The ULG side is a judgement call. I confirmed in BWSSB-04 (GBA Act 2024, Act 36 of 2025, PRS text, GBA era):
- s.14(4) names BWSSB among the public authorities whose activities GBA integrates and supervises. GBA's directions 'shall be binding', and the authorities 'shall cooperate ... and obey its directions'.
- s.14(3)(b) gives GBA binding coordination over schemes that implement plans GBA itself prepares.
- s.14(2)(a) makes GBA the Planning Authority under the Karnataka Town and Country Planning (T&amp;CP) Act 1961.
- s.15(1) makes GBA responsible for master plans and mobility plans for infrastructure.
These are general powers to coordinate, supervise and direct. None of them requires BWSSB to prepare its own plans jointly with the ULG, after consulting it, or with its concurrence. Whether they count as 'coordination' in plan preparation needs a team decision.
A 0 ('no formal role') cannot be justified as affirmative absence. Searching the Citation Sheet for the Karnataka T&amp;CP Act 1961 found only GBA Act s.14(2)(a)'s reference to it; its text is not in the sheet. The sheet also has no Rules or Regulations under the BWSSB Act, and no GO constituting the Consultative Committee or the Bengaluru Metropolitan Planning Committee. The BWSSB Act still names the BBMP. No official instrument in the sheet shows GBA or the City Corporations substituted for it.
To be confirmed by the team:
- the rubric scale;
- whether GBA s.14(4) and s.15 count as plan coordination;
- whether the s.14 Consultative Committee counts as consultation with the ULG;
- a fetch of the T&amp;CP Act text.</t>
  </si>
  <si>
    <t xml:space="preserve">The citation didn't settle every input. "Score" left blank: the Citation Sheet doesn't decide it.</t>
  </si>
  <si>
    <t xml:space="preserve">Bengaluru – BMTC</t>
  </si>
  <si>
    <t xml:space="preserve">ANSWER: In the sources read, no provision requires BMTC to prepare its own spatial or sectoral plans jointly with, in consultation with, or with the approval of the Greater Bengaluru Authority (GBA) or its City Corporations. The link between them runs the other way. GBA has a legal power over BMTC: it can integrate and supervise BMTC and issue binding directions, and BMTC must cooperate and obey. GBA also prepares the master plan and the mobility plans itself, and may give BMTC the job of planning major infrastructure projects. The only consultation duty on transport planning is owed to BMLTA, a state transport authority, not to the ULG. Whether any of this counts as BMTC preparing plans 'in coordination with the ULG' is a judgement for the team. The search was not complete, so this is not proof that no such duty exists. | EVIDENCE: (1) What BMTC's own law says. Road Transport Corporations Act 1950 (BMTC-02) s.18: BMTC's general duty is to provide 'an efficient, adequate, economical and properly co-ordinated system of road transport services'. Nothing in it gives a ULG any role in BMTC's plans. s.17(2)(f) has subsidiaries send their annual development plans to the parent Corporation and, if in deficit, to the State Government, not to a ULG. s.44 lets the State make Rules, but no Rules are in the sheet. (2) What the ULG's law says. Greater Bengaluru Governance Act 2024 (BMTC-04): s.14(4) names Bangalore Metropolitan Transport Corporation. GBA integrates and supervises such pub</t>
  </si>
  <si>
    <t xml:space="preserve">The Greater Bengaluru Governance Act, 2024 Act No. 36 of 2025 [BMTC-04]</t>
  </si>
  <si>
    <t xml:space="preserve">https://prsindia.org/files/bills_acts/acts_states/karnataka/2025/Act36of2025KA.pdf</t>
  </si>
  <si>
    <t xml:space="preserve">issuing directions for the same which shall be binding; and all the public authorities shall cooperate with the Greater Bengaluru Authority for successful coordination and obey its directions issued, in discharge of functions assigned in this Act.</t>
  </si>
  <si>
    <t xml:space="preserve">Score left blank for three separate reasons.
(1) SCALE-MISMATCH. As the Step 2 notes record, the rubric bands run 10 / 7.5 / 5 / 2.5 / 0, but the Max Score input is 0 to 5. That top band is neither the Max Score nor a sum of parts. The team needs to confirm the scale before any number is entered.
(2) RUBRIC-GAP. The rubric bands are: ULG approval or joint preparation; mandatory consultation plus ULG response; mandatory consultation; discretionary consultation. None of the instruments read requires BMTC to prepare its own plans in any of these ways with the ULG (the Greater Bengaluru Authority (GBA) or the City Corporations). What I found instead:
- GBA Act 2024 (Act 36 of 2025), s.14(4): GBA integrates and supervises BMTC, and its directions are binding. BMTC must cooperate and obey, and must write GBA's coordinating role into its Memorandum of Association. This is supervision by the ULG, not consultation or concurrence on BMTC's own plans.
- s.15(1): GBA itself 'shall' make the master plan and mobility plans.
- s.15(5): GBA 'may' give public authorities the job of planning major infrastructure projects. This is optional, and covers assigned projects only.
- BMLTA Act 2022 (BMTC-06), s.21(2) proviso and s.24(b): BMTC is an Urban Transport Agency. It must prepare its Sectoral Mobility Investment Program 'in consultation with the Authority', meaning BMLTA. Under s.25(2), BMLTA reviews and approves BMTC's Annual Implementation Plan. BMLTA is a state authority, not the ULG. The ULG takes part only through the seats the BMTC-24 bill proposes for Mayors, Commissioners and the GBA Chief Commissioner; that bill's commencement is not verified.
Whether GBA's binding-direction power counts as 'coordination with the ULG', and at which band, is a judgement the team must make. I have not created or interpolated a band.
(3) A 0 is not established, because absence of a duty is not proven. I did not read the KSRTC Rules, 1961 (BMTC-20, the BMTC Rules page, lists that file but its text is not in the sheet). Also missing from the sheet: Karnataka Rules under the Road Transport Corporations (RTC) Act; BMTC's establishment notification and Memorandum of Association; BMLTA regulations specifying the Urban Transport Agencies.
What I checked: BMTC-02 (RTC Act ss.17, 18, 44), BMTC-04 (ss.14, 15, 19), BMTC-06 (ss.2, 21, 24, 25), BMTC-07 (KTCP Act s.9), BMTC-22, BMTC-24, and BMTC-20 (list of regulations only, all HR/service regulations).
For the team to check:
(a) the scale;
(b) whether GBA Act s.14(4) or s.15(5) earns any band;
(c) BMTC's legal form (RTC Act corporation, or 'Corporation Limited' with an MoA);
(d) commencement of BMTC-24 and BMTC-22.</t>
  </si>
  <si>
    <t xml:space="preserve">Bengaluru – BDA</t>
  </si>
  <si>
    <t xml:space="preserve">ANSWER: The law requires BDA to involve the city corporation for one kind of plan only: development schemes. No ULG role was found for master plans in the parts of the sources that were read. (1) Development schemes, BDA Act ss.17-18: this involvement is mandatory and sits between consultation and concurrence. BDA must send the scheme notification to the 'Corporation'. The Corporation may send representations within 30 days. If it sends none, it is deemed to have concurred. BDA must consider any representations before submitting the scheme, and must forward them to the Government, which sanctions the scheme. (2) Master plan, KTCP Act ss.9 and 13 (read in part): there is only a public-comment process and State approval. No specific role for the ULG was found. (3) Since the Greater Bengaluru Governance (GBG) Act, inside the Greater Bengaluru Area the ULG itself is the Planning Authority and makes the master plan and mobility plans. It also supervises BDA and can give it binding directions. This is ULG control over BDA, not a duty on BDA to plan jointly with the ULG. On a 0-10 reading, the scheme-level mechanism best fits the 7.5 band (consultation is mandatory and representations must be considered). Whether a scheme-level mechanism counts as 'spatial and/or sectoral plans' needs team confirmation. The master-plan level fits no band so far. | EVIDENCE: Parastatal side, BDA Act 1976 (PRS copy, amendments up to Act 42 of 2026): s.17(2) 'A copy of the said notification shall be se</t>
  </si>
  <si>
    <t xml:space="preserve">The Bangalore Development Authority Act, 1976 (Act 12 of 1976) – PRS copy, 'Amendments appended: 19 of 2002, 19 of 2005, 27 of 2020, 42 of 2026' [BDA-02]</t>
  </si>
  <si>
    <t xml:space="preserve">https://prsindia.org/files/bills_acts/acts_states/karnataka/1976/1976Karnataka12.pdf</t>
  </si>
  <si>
    <t xml:space="preserve">(4) If no representation is received from the Corporation within the time specified in sub-section  (2), the concurrence of  the Corporation to the scheme shall be deemed to have been given.</t>
  </si>
  <si>
    <t xml:space="preserve">I left the Score blank for three reasons.
(1) SCALE-MISMATCH. The Step 2 answer reads this question on a 0-10 rubric with a 7.5 band, but the Max Score is 5. 7.5 cannot be entered, and I may not rescale it myself. The team needs to confirm which rubric applies.
(2) The plan-scope question is open. The only ULG-involvement mechanism the source supports is at the level of development schemes, under the BDA Act (PRS copy, amended up to Act 42 of 2026):
- s.17(2): BDA must send a copy of the scheme notification to the 'Corporation', which may send representations within 30 days.
- s.17(3): the notification must also be posted in the Corporation's office.
- s.17(4): if the Corporation sends nothing, its concurrence is 'deemed'.
- s.18(1): BDA submits the scheme 'after consideration of representations' and must forward them to the Government (s.18(1)(d)). The Government sanctions the scheme (s.18(3), 'may').
The source supports the Step 2 reading: this is mandatory consultation with consideration and deemed concurrence. It is not a real concurrence or veto. Other provisions involve the Corporation but are about works or functions, not plans:
- s.25(1) proviso: the Corporation 'shall be consulted' on further-development works.
- s.29(1) proviso: consultation before BDA takes over Corporation functions.
- s.30: consultation before streets vest in the Corporation.
Whether a scheme-level mechanism counts as 'spatial and/or sectoral plans' needs team confirmation.
(3) Master-plan level. I read the KTCP Act (BDA-06, PRS copy with amendments up to 2015). The amended s.10(1) and s.13(2)-(3) set out a call for public suggestions and comments, resubmission through the Director, and final State approval. The only reference to a local authority is s.10(3): the boundary plan must be open to the public 'at the office of the Planning Authority or Local Authority'. That is public inspection, not ULG consultation. s.81 lets the State delegate Planning Authority powers to a local authority; that is a 'may' provision, not joint planning. However, the consolidated current text of KTCP ss.9-13 and 81-B was not fully available. No Rules under either Act are in the Sheet. BDA-05 (the 2025 KTCP amendment Bill) has not been shown to be in force. So there is no affirmative absence, and a 0 cannot be given for the master-plan layer.
ULG side (BDA-03, GBG Act, Act 36 of 2025):
- s.14(2)(a) makes GBA the Planning Authority for the Greater Bengaluru Area.
- s.15(1) makes GBA responsible for master and mobility plans.
- s.14(4) gives GBA binding directions over BDA.
- s.14(2)(c) sets up a Bengaluru Metropolitan Planning Committee (BMPC), with GBA's Chief Commissioner as Member Secretary.
These are ULG control and plan-making powers, not a duty on BDA to plan jointly with the ULG. They also change BDA's planning area. The BDA Act still names the 'Corporation' (the old Bangalore City Corporation). No official source in the Sheet shows GBA or the City Corporations substituted for it.
All Acts in the Sheet are PRS copies (secondary sources).
To do for a person: confirm the rubric scale; confirm whether scheme-level consultation counts as plan-level; check the current KTCP text and Rules, and whether the 2025 KTCP amendment has commenced.</t>
  </si>
  <si>
    <t xml:space="preserve">Bengaluru – BMRCL</t>
  </si>
  <si>
    <t xml:space="preserve">ANSWER: None of the sources read in the Citation Sheet requires BMRCL to prepare its own spatial or sectoral plans together with the ULG (the Greater Bengaluru Authority, GBA, and its City Corporations). No source requires ULG approval or concurrence, joint preparation, or consultation with the ULG on BMRCL's plans. The relationship found runs the other way: the Greater Bengaluru Governance Act gives GBA powers to integrate and supervise BMRCL's activities and to issue binding directions. GBA may also assign BMRCL the planning of major infrastructure projects, and BMRCL must then assist. Separately, BMRCL's investment programme must be prepared in consultation with the Bengaluru Metropolitan Land Transport Authority (BMLTA), which is a state transport authority, not the ULG. Whether GBA's supervision and binding-direction powers count as planning 'in coordination with the ULG' is a judgement for the team. Two layers were not in the Citation Sheet (listed under LIMITS), so a score of 0 ('no formal role') cannot be confirmed either. | EVIDENCE: (1) Parastatal side, BMRCL's legal form: BMRCL-09 (Annual Report FY2020-21, Corporate Governance Report) says BMRCL is a 'Government Company within the meaning of Section 2(45) of the Companies Act, 2013' and a 50:50 joint venture of the Government of India and the Government of Karnataka. No state Act creates it, so it has no parastatal Act with planning provisions. BMRCL-06 (Companies Act, 2013): only the financial-statement sections (</t>
  </si>
  <si>
    <t xml:space="preserve">The Greater Bengaluru Governance Act, 2024 Act No. 36 of 2025 [BMRCL-02]</t>
  </si>
  <si>
    <t xml:space="preserve">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t>
  </si>
  <si>
    <t xml:space="preserve">SCORE LEFT BLANK, for three reasons.
(1) SCALE-MISMATCH. The Step 2 record says the UPD1a rubric bands run 0-10 but the Max Score is 5. The question's detailed methodology and bands were not given to me in this task, so I cannot check or map a band. The team needs to confirm the scale.
(2) RUBRIC-GAP / interpretation. I checked the Step 2 answer against BMRCL-02 and it is supported. The ULG-side law, the Greater Bengaluru Governance Act 2024 (Act 36 of 2025), gives the following:
- s.14(4): GBA integrates and supervises 'Bengaluru Metro Rail Corporation Limited' and issues directions 'which shall be binding'. All public authorities 'shall cooperate... and obey its directions'.
- s.15(1): GBA 'shall be responsible to make master plan and mobility plans'.
- s.15(5): GBA 'may' assign planning of major infrastructure projects to public authorities, which 'shall be bound to assist'.
- s.8(3): GBA is 'coordinator among all the City Corporations and other agencies'.
- s.9(3)(j) and s.13(1)(j): BMRCL's Managing Director sits on GBA and on its Executive Committee.
None of these is a stated duty on BMRCL to prepare its own spatial or sectoral plans with the ULG, or to get the ULG's consultation or approval. They are general supervision and direction powers, plus a discretionary ('may') power to assign project planning. Whether that counts as planning 'in coordination with the ULG', and at which band, is a judgement for the team.
BMRCL's 'shall' duties to consult BMLTA (BMLTA Act s.24(b)) and to get BMLTA approval of its Annual Implementation Plan (s.25) are owed to a state authority, not the ULG. I treat them as not counting.
(3) No affirmative absence, so I cannot give 0. These layers are not in the Citation Sheet:
- Metro Railways (Construction of Works) Act 1978
- BMRCL's Memorandum and Articles of Association
- GBA Rules or Regulations under the GBG Act
- BMLTA regulations
- BMLTA Amendment Act 10 of 2026
Also, BMRCL-03 (Amendment Bill 2025) amends only s.8(2) and s.14(1), so s.14(4) and s.15 stand as quoted.
What I checked: BMRCL-02 (s.8, 9, 13, 14, 15), plus the Step 2 review of BMRCL-03, -04, -06, -07, -08 and -09.
Period: GBG Act 2024 as enacted (Act 36 of 2025), GBA era.
For the team to confirm:
- the UPD1a scale
- whether s.14(4) and s.15(5) earn credit, and at what band
- whether BBMP officials named in the BMLTA Act have been replaced by GBA officials</t>
  </si>
  <si>
    <t xml:space="preserve">Bengaluru – BMRDA</t>
  </si>
  <si>
    <t xml:space="preserve">Insufficient Evidence</t>
  </si>
  <si>
    <t xml:space="preserve">Step 2 found no evidence: a source needs to be found and added. Step 2 found no evidence (Insufficient Evidence). Source needed: The official full text (current, as amended) of the Bangalore Metropolitan Region Development Authority Act, 1985, especially the sections on preparing, publishing and approving the Structure Plan and schemes, and any consultation with or concurrence of local authorities. Also: any Rules under that Act, the text of the BMRDA Regulations, the full current KTCP Act, and any GO or notification substituting GBA or the City Corporations for 'Corporation of the City of Bangalore' in the BMRDA Act.</t>
  </si>
  <si>
    <t xml:space="preserve">UPD1b</t>
  </si>
  <si>
    <t xml:space="preserve">Step 2 found no evidence: a source needs to be found and added. Step 2 found no evidence (Insufficient Evidence). Source needed: Any of these would answer it: the BWSSB Vision Document/Strategic Master Plan 2050 (or the latest water and sewerage master plan), including its stakeholder-consultation chapter; BWSSB Board minutes approving the plan; letters or meeting minutes showing BBMP, GBA or City Corporation inputs and BWSSB's responses; GBA coordination-meeting proceedings under GBA Act s.14(4) that deal with BWSSB plans.</t>
  </si>
  <si>
    <t xml:space="preserve">Step 2 found no evidence: a source needs to be found and added. Step 2 found no evidence (Insufficient Evidence). Source needed: Any of these would answer it: BMTC's latest plan document (e.g. route rationalisation, fleet or depot expansion, or a bus-priority-lane plan) showing who was consulted; minutes of BMTC board or planning meetings with GBA, City Corporation or BBMP participation; GBA, City Corporation or BBMP resolutions, letters or comments on BMTC proposals and BMTC's responses; joint BMTC-ULG project records for bus-priority lanes on ORR or high-density corridors; BMLTA/DULT consultation records for the Bengaluru Comprehensive Mobility Plan that show joint BMTC and ULG input.</t>
  </si>
  <si>
    <t xml:space="preserve">Step 2 found no evidence: a source needs to be found and added. Step 2 found no evidence (Insufficient Evidence). Source needed: Records from BDA's latest plan-making cycle, for example the draft or approved Revised Master Plan and its reports, which may say which bodies were consulted. Also BDA Board minutes or consultation records showing the plan was referred to BBMP or the GBA and its City Corporations, ULG council or committee resolutions or comments on the draft plan, and any BDA response to those comments. If the current cycle sits with the GBA or the BMPC, the team must first decide which body's plan counts as the parastatal's plan for BDA. Official evidence that the KTCP (Amendment) Bill, 2025 was enacted and brought into force is also needed.</t>
  </si>
  <si>
    <t xml:space="preserve">Step 2 found no evidence: a source needs to be found and added. Step 2 found no evidence (Insufficient Evidence). Source needed: Any of these would answer it: the DPR for BMRCL's latest metro phase (e.g. Phase-3 or the latest extension) showing stakeholder or ULG consultation; minutes of the meetings that prepared or approved that DPR, with BBMP/GBA comments and BMRCL's replies; BBMP/GBA council or standing committee resolutions on metro alignments or station-area/TOD plans; any BMLTA CMP consultation record covering BMRCL plans; or a recent BMRCL annual report describing ULG involvement in planning.</t>
  </si>
  <si>
    <t xml:space="preserve">Step 2 found no evidence: a source needs to be found and added. Step 2 found no evidence (Insufficient Evidence). Source needed: Any of these would answer it: the Revised Structure Plan-2031 report, especially its stakeholder or consultation chapter and annexures; minutes of the BMRDA Authority or Executive Committee meetings that considered or approved the draft RSP-2031 (2014-2017); BBMP council or standing committee resolutions, or BBMP's written comments, on the draft RSP; BMRDA correspondence answering BBMP inputs. If a GBA-era revision of the Structure Plan has begun, the same records for that cycle from GBA or the City Corporations.</t>
  </si>
  <si>
    <t xml:space="preserve">UPD2a</t>
  </si>
  <si>
    <t xml:space="preserve">ANSWER: Not found. The two laws in the Citation Sheet do not require BWSSB to make its water supply or sewerage schemes consistent with the master plan, development plan or metropolitan plan. Neither law has a 'may' version of such a duty either. The Greater Bengaluru Governance Act, 2024 (GBG Act) does give the Greater Bengaluru Authority (GBA) binding powers to coordinate and direct BWSSB. That is a power of the city government to direct the Board, not a duty on the Board to conform its plans. The Karnataka Town and Country Planning Act, 1961 (KTCP Act), which the methodology says must be reviewed, is not in the Citation Sheet. So no score can be given, including 0. | EVIDENCE: (1) BWSSB's own law, the Bangalore Water Supply and Sewerage Act, 1964 as amended to 2021 (BWSSB-02, PRS copy). s.15(1) gives the general duty of supplying water and providing sewerage in the 'Bangalore Metropolitan Area'. s.15(2)(b)-(c) say it is the Board's duty to take steps 'for preparing and carrying out schemes' for water supply and sewerage. The only approval is the proviso: schemes costing more than Rs 1 crore need State Government approval. That is a cost approval, not a plan-consistency test. s.14 sets up a Consultative Committee, which only advises on 'major questions of policy and major schemes'. s.89 says 'The State Government may, issue to the Board such directions ... and the Board shall comply'. s.89A covers directions on project funding. s.88 covers Regulations. In the parts I read a</t>
  </si>
  <si>
    <t xml:space="preserve">The Greater Bengaluru Governance Act, 2024 Act No. 36 of 2025 [BWSSB-04]</t>
  </si>
  <si>
    <t xml:space="preserve">Co-ordinating the execution of schemes made for the implementation of plans prepared by the Greater Bengaluru Authority and issuing directions for the same which shall be binding;</t>
  </si>
  <si>
    <t xml:space="preserve">I left the score blank because the Citation Sheet is missing a law the methodology needs. It does not hold the Karnataka Town and Country Planning Act, 1961 (KTCP Act), so a 0 cannot be backed by affirmative absence.
I checked the Step 2 answer against the sources and agree with it.
(1) BWSSB's own law, the BWSSB Act, 1964 as amended to 2021 (BWSSB-02, PRS copy):
- s.15 gives the Board's duty to prepare and carry out water and sewerage schemes.
- The only approval in it is cost-based: the State must approve schemes over Rs 1 crore.
- s.14 sets up a Consultative Committee, which is only advisory.
- s.89 lets the State give directions.
- None of these sections mentions the master plan, development plan or metropolitan plan.
(2) The city government's law, the Greater Bengaluru Governance Act, 2024 (GBG Act), Act 36 of 2025 (BWSSB-04, GBA era):
- s.14(2)(a) makes the Greater Bengaluru Authority (GBA) the Planning Authority under the KTCP Act.
- s.14(2)(b) requires conformity with the master plan, but only for layout approvals by GBA and KIADB, not for BWSSB.
- s.14(2)(c) sets up the Bengaluru Metropolitan Planning Committee and a draft development plan. The text is cut off and puts no duty on BWSSB.
- s.14(3)(b) and s.14(4) give GBA binding powers to coordinate and direct, naming BWSSB. That is a direction power held by GBA, not a provision that BWSSB 'shall ensure' its schemes are consistent with the plan.
- s.15(1) puts the duty to incorporate GBA's infrastructure plan on the City Corporations only.
- s.15(5) only says agencies are 'bound to assist' GBA.
- s.103(1)(b) binds Ward Committees, not BWSSB.
(3) Other sources:
- The 2025 Amendment Bill (BWSSB-23, kla.kar.nic.in) only changes s.8(2) and s.14(1). It does not touch planning consistency.
- The BWSSB website pages (BWSSB-07, BWSSB-13) are general descriptions, not law.
Result: no mandatory 'shall' provision for the 2.5 band and no discretionary 'may' provision for the 1.25 band was found in the instruments in the Sheet.
Still missing, needed before a 0 or a positive band:
- the KTCP Act 1961, especially any duty for government or statutory bodies' development to conform to the master plan, and any rules for the Metropolitan Planning Committee;
- Rules and Regulations under the BWSSB Act;
- any Metropolitan Planning Committee or GBA notification;
- the full text of s.14(2)(c).
For the team to confirm:
- Can GBA's binding direction power in GBG Act s.14(3)(b) and s.14(4) count as a mandate for plan consistency? My reading is that it cannot.
- The BWSSB Act still uses the old body names. No source in the Sheet shows GBA or the City Corporations substituted for them.</t>
  </si>
  <si>
    <t xml:space="preserve">UPD2b</t>
  </si>
  <si>
    <t xml:space="preserve">Step 2 found no evidence: a source needs to be found and added. Step 2 found no evidence (Insufficient Evidence). Source needed: BWSSB's current water supply or sewerage master plan, or its Vision Document up to 2050, showing where its population and demand projections come from and how service areas and the siting of treatment plants and trunk mains were decided. The statutory master plan or development plan in force for the Greater Bengaluru area (the BDA Revised Master Plan or any successor plan under the GBA Act or the BMPC), and the BMRDA regional plan, so the two can be compared. Optionally, land-use change or conversion records for major BWSSB treatment plants and pumping stations.</t>
  </si>
  <si>
    <t xml:space="preserve">UPD2c</t>
  </si>
  <si>
    <t xml:space="preserve">ANSWER: The Citation Sheet shows no provision that requires BMTC to make its own plans consistent with the city or metropolitan Master Plan / development plan. The closest binding duty runs to a sectoral transport plan instead. Under the BMLTA Act, plans made by an 'Urban Transport Agency' must align with BMLTA's Comprehensive Mobility Plan (CMP). The 'Sectoral Mobility Investment Program' (SMIP) 'shall be aligned with the goals of' the CMP (s.24(a)). Any additional projects in an Annual Implementation Plan 'shall align with the Comprehensive Mobility Plan goals' (s.25(1)(c)). Only the CMP itself is tied to land use: BMLTA must prepare it 'in conjunction with ... the land use plan applicable to the Urban Mobility Region' (s.21(2)). So BMTC reaches the Master Plan only indirectly, through the CMP, and the land-use duty falls on BMLTA, not BMTC. Whether that counts as 'consistency with the ... city master plan/strategic plan' is a methodology question, so I have not scored it. | EVIDENCE: (1) Parastatal Act, Road Transport Corporations Act 1950 (BMTC-02): s.18 sets a general duty to provide 'an efficient, adequate, economical and properly co-ordinated system of road transport services'. Sections 32 (budget) and 35 (returns and reports) were also read. None of the passages I read mention a Master Plan, development plan or land-use plan, and none require plan consistency. (2) BMLTA Act 2022, with the appended Amendment Act 10 of 2026 (BMTC-06). s.2(ff) defines 'Urban Transport Ag</t>
  </si>
  <si>
    <t xml:space="preserve">The Bengaluru Metropolitan Land Transport Authority Act, 2022 Act No. 6 of 2023 (Amendment appended: 10 of 2026) [BMTC-06]</t>
  </si>
  <si>
    <t xml:space="preserve">https://prsindia.org/files/bills_acts/acts_states/karnataka/2023/Act6of2023Karnataka.pdf</t>
  </si>
  <si>
    <t xml:space="preserve">(a) The Sectoral Mobility Investment Program shall be aligned with the goals of the Comprehensive Mobility Plan;</t>
  </si>
  <si>
    <t xml:space="preserve">I left the score blank and need the team to confirm how this question should be scored. The question's Detailed Methodology and rubric bands were not in my task input, so I worked only from the Step 2 summary. My checks support the Step 2 reading.
(1) BMLTA Act 2022 (Karnataka Act 6 of 2023, PRS secondary text, with Act 10 of 2026 appended):
- There is a mandatory duty for an 'Urban Transport Agency' to align its plans with BMLTA's Comprehensive Mobility Plan (CMP). The Sectoral Mobility Investment Program 'shall be aligned with the goals of' the CMP (s.24(a)). Additional projects in the Annual Implementation Plan 'shall align with the Comprehensive Mobility Plan goals' (s.25(1)(c)).
- The duty is to align with the CMP, not with the statutory Master Plan. The CMP itself is a land-use-integrated 'policy document outlining the policies, strategies…' (s.2(h)), prepared 'in conjunction with… the land use plan' (s.21(2)).
- Whether the CMP counts as the city 'strategic plan' is a methodology question (CONFIRM: plan-scope). If it does, 2.5 may be supportable. If only the Master Plan counts, no direct provision was found.
- The Act does not name BMTC as an 'Urban Transport Agency'. s.2(ff) is generic; BMTC is named only in the Statement of Objects and Reasons.
- Under s.1(3), the Act commences only by gazette notification. The Citation Sheet contains no commencement notification and no notification constituting BMLTA.
(2) Greater Bengaluru Governance Act 2024 (BMTC-04):
- GBA integrates and supervises BMTC and issues binding directions (s.14(4)), and coordinates schemes that implement GBA plans (s.14(3)(b)).
- s.15(1) requires the City Corporations, not BMTC, to incorporate GBA's infrastructure plan.
- This is coordination and direction, not a plan-consistency requirement on BMTC.
(3) Karnataka Town and Country Planning Act s.14 (BMTC-07): requires physical development to conform to the Master Plan. That works at project level, not plan level.
(4) RTC Act 1950 s.18 (BMTC-02): no mention of a Master Plan or plan consistency.
Why I cannot score 0: there is no affirmative absence. The Citation Sheet does not contain Karnataka rules under the RTC Act, BMTC's regulations or Memorandum of Association, BMLTA Rules or Regulations, or the GBA Act's full provisions on the Bengaluru Metropolitan Planning Committee and its development plan.
Also: the BMLTA Act and KTCP texts are PRS secondary copies.</t>
  </si>
  <si>
    <t xml:space="preserve">UPD2d</t>
  </si>
  <si>
    <t xml:space="preserve">Step 2 found no evidence: a source needs to be found and added. Step 2 found no evidence (Insufficient Evidence). Source needed: The documents that would answer this: (a) BMTC's current transport, network-expansion or route-rationalisation plan, or the BMTC Vision 2025 document itself (it is listed on the DULT page but its text is not in the sheet), or BMTC's Sectoral Mobility Investment Program or Annual Implementation Plan under the BMLTA Act ss.24-25. Any of these would need to show whether it cites the master plan or uses its growth corridors, land use or population projections for routes and depot siting. (b) The applicable statutory master plan for Bengaluru (Revised Master Plan, or any GBA-era plan) and the Bengaluru Comprehensive Mobility Plan. (c) Where available, land-use conversion or regularisation records for major BMTC depots, TTMCs or terminals.</t>
  </si>
  <si>
    <t xml:space="preserve">UPD3a</t>
  </si>
  <si>
    <t xml:space="preserve">ANSWER: In the sources available, the law requires near-universal access to piped domestic water, but it does not require BWSSB to consider women, the urban poor, slum dwellers, persons with disabilities or other vulnerable groups. The BWSSB Act, 1964, s.15(3), says each water-supply scheme 'shall' provide piped water to every part of the Bangalore Metropolitan Area where there are houses, so far as this is practicable at reasonable cost. Where piping is not practicable and existing supply is a health risk, it must provide non-piped supply within reasonable distance of every house. Section 15(5) adds a duty to secure, as far as reasonably practicable, a sufficient supply to every house. These duties cover access to water only. They do not cover sewerage or affordability, and they name no vulnerable group. The other equity-related provisions are only 'may' powers. Affordability provisions for poor households (concessional connection rates for small slum houses, and acceptance of any proof of residence) appear only in an undated website description, not in a binding instrument found in the sheet. Whether s.15(3) is enough for the 2.5 band, and whether BWSSB's Regulations contain concessional tariffs, cannot be settled from the sheet. | EVIDENCE: BWSSB Act 1964 (BWSSB-02, PRS text): s.15(2)(b),(c) (it 'shall be the duty of the Board' to prepare and carry out water-supply and sewerage schemes); s.15(3)(a) (a scheme 'shall inter alia make provision ... for a supply of wholesome wa</t>
  </si>
  <si>
    <t xml:space="preserve">(3) A scheme under clause (b) of sub-section (2) shall inter alia make provision,— (a) for a supply of wholesome water in pipes to every part of the Bangalore Metropolitan Area in which there are houses, for the domestic purposes of the occupants thereof</t>
  </si>
  <si>
    <t xml:space="preserve">I left the score blank. The detailed methodology and scoring bands for UPD3a were not in my task input. The 0 / 2.5 / 5 bands come only from the Step 2 notes, so I could not apply the rubric directly. Treat this as a RUBRIC-GAP until a person confirms the methodology.
What the sources say:
(1) BWSSB Act 1964 (BWSSB-02, PRS text, amended up to Acts 15 and 32 of 2010). Section 15(3)(a) is a 'shall' duty: each water-supply scheme must provide piped domestic water to every part of the Bangalore Metropolitan Area where there are houses. It applies only where this is practicable at a reasonable cost, and the State Government decides that question (s.15(4)). Section 15(3)(b) adds non-piped supply 'as far as possible' where piping is not practicable and there is a health danger. Section 15(5) requires a sufficient supply to every house 'as far as is reasonably practicable'.
(2) These duties cover water only. There is no matching coverage duty for sewerage in s.15(2)(c). No vulnerable group (women, the poor, slum dwellers, persons with disabilities) is named, and affordability is not mentioned.
(3) The other equity-related provisions are only 'may' powers: s.38(1) (free public supply and hydrants), s.61A(d) (bye-laws on 'equitable distribution of water supplied to occupiers') and s.31 (different rates 'may' be prescribed for different purposes).
(4) BWSSB-13 is the official site's 'Our Services' page. It is undated and is not a binding instrument. It describes lower connection charges for small slum houses (Rs.550 / Rs.800), payment in two instalments, simpler residence-proof rules and shared connections for communities without security of tenure. These come from programmes of 2000-2006 plus a JICA phase, and the page cites no regulation or order behind them. It is evidence of a programme, not of a legal requirement.
(5) BWSSB-04 (GBA Act, Schedule I) gives slum improvement, urban poverty alleviation and protecting the interests of persons with disabilities to the city government, not to BWSSB.
Why no 0: a 0 needs affirmative absence, and that is not met. The Citation Sheet does not contain the Rules made under the BWSSB Act, the Water Supply/Sewerage Regulations (BWSSB-13 cites 'regulation 5.1'), the bye-laws under s.61A, the current tariff regulation or notification, or any Karnataka policy or GO on slum or concessional connections. A search of the sheet ('slum urban poor concessional connection weaker sections') found only BWSSB-13 and BWSSB-02.
Why no 2.5 or 5: I cannot tell from the sheet whether a coverage duty that names no group and depends on reasonable cost counts as an 'equity requirement', or which band it would fall in.
For a person to check:
(a) Confirm the UPD3a methodology and how it treats the s.15(3) universal-coverage duty.
(b) Get the current BWSSB Regulations and tariff notification (2025-26) to see whether the slum/EWS concessional connection rates are binding.
(c) The Act still names Bruhat Bangalore Mahanagara Palike. No source in the sheet shows GBA or the City Corporations substituted.</t>
  </si>
  <si>
    <t xml:space="preserve">UPD3b</t>
  </si>
  <si>
    <t xml:space="preserve">ANSWER: Only in part, and the evidence is old. BWSSB's own website describes measures for slum residents and the urban poor: lower connection charges for small slum houses, payment in instalments, simpler identity requirements, shared connections for households without tenure or space, and two JICA-funded phases of slum water and sanitation work. These are past or undated programmes. None of the sources is the Board's current water supply plan. No source shows any measure for women, persons with disabilities or the elderly, or any gender or accessible-design measure. It cannot be shown from these sources that the Board considers these groups in its current decisions. | EVIDENCE: (1) BWSSB-13 'Our Services – Services for Urban Poor': (a) Affordability: 'BWSSB has offered a rationalized reduction in the connection rates'. A house of 150 sq.ft. pays only the meter cost of Rs.550. A house of 151-600 sq.ft. pays Rs.800. 'The slum dwellers are allowed to pay the connection charges in two installments'. A slum dweller can apply with hakku patras or any proof of residence such as a ration card. (b) Access for households without tenure: shared metered connections 'for those communities, having land tenure but not adequate space and communities without security of tenure'. (c) Coverage: the AusAID pilots in three slums ran 2000-2002. The Social Development Unit worked in slums under the 'Package Programme' 2003-2006, in 43 slum areas. A JBIC/JICA 'Slum Development' component aimed 'to </t>
  </si>
  <si>
    <t xml:space="preserve">Our Services - Bangalore Water Supply and Sewerage Board [BWSSB-13]</t>
  </si>
  <si>
    <t xml:space="preserve">https://bwssb.karnataka.gov.in/info-1/Our+Services/en</t>
  </si>
  <si>
    <t xml:space="preserve">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t>
  </si>
  <si>
    <t xml:space="preserve">Score left blank. This Implementation question needs current, dated evidence that BWSSB considers vulnerable groups in its decisions. The Citation Sheet does not have it.
Component 1 (urban poor / slum dwellers), checked against BWSSB-13:
- The 'Services for Urban Poor' page lists lower connection charges by house size (Rs.550 / Rs.800), payment in two instalments, simpler identity proof (hakku patras, ration card) and shared metered connections for households without tenure or space.
- The page is undated. Its programme history covers the AusAID pilots (2000-2002), the Package Programme (2003-2006, 43 slums) and the JBIC/JICA slum component. It calls the JICA component 'currently under implementation', but BWSSB-07 reports Phases I and II as 100% complete.
- So the measures exist on the current website, but nothing shows they are current practice or part of a current plan. They would fit a partial band (about 2.5) only if a reviewer confirms they are still in force.
Component 2 (women, persons with disabilities, elderly; gender or accessible design): nothing was found.
- I searched BWSSB-13, BWSSB-25 (press releases: Safai Mitra 2021, manual scavenging, summer supply 2023; nothing about vulnerable groups), BWSSB-01, BWSSB-07, BWSSB-12, BWSSB-11 and BWSSB-02.
- BWSSB-04 (GBA Act, Schedule I) gives welfare of the urban poor and persons with disability to the city government (ULG), not to BWSSB.
- The website's WCAG 2.0 AA statement is generic Centre for e-Governance (CeG) portal text, not a service-delivery measure, so I did not credit it.
- A 0 cannot be given for this component. Not found is not absence: the documents that would show it were not in the Citation Sheet (current master plan or Vision 2050, current tariff and connection-charge orders including the Revised Water Tariff Ready Reckoner 2025, design standards).
What a reviewer needs to do:
- Confirm whether the slum connection concession is in force today. Check the current tariff and connection-charge orders.
- Get the current plan (Vision 2050 or equivalent) to check slum coverage and any gender or accessibility measures. Possible RTI request to the BWSSB PIO (Social Development Unit).
- I did not have the full methodology rubric bands. A reviewer should check the band mapping once current evidence is available.
The Step 2 answer ('Partially Answered', score blank) matches what the source says.</t>
  </si>
  <si>
    <t xml:space="preserve">UPD4a</t>
  </si>
  <si>
    <t xml:space="preserve">ANSWER: The Citation Sheet holds no binding instrument that requires BMTC itself to consider the mobility needs of women, the urban poor or other vulnerable groups when it plans and runs its services. Two provisions come close, and neither sets a direct mandate on BMTC. (1) BMTC's parent Act lets it issue free or concessional passes, but this is a 'may' power with no named groups. (2) The Bengaluru Metropolitan Land Transport Authority (BMLTA) Act says BMLTA's Comprehensive Mobility Plan 'shall include' accessible mobility for persons with disabilities. That duty falls on BMLTA, not BMTC. It reaches BMTC only indirectly, because BMTC's major projects must be consistent with that plan. This would at most support the 'limited to specific groups' band, and only if this indirect, plan-level duty counts as BMTC's mandate. I found no provision on women, low-income people, peripheral areas or last-mile access. | EVIDENCE: (a) Road Transport Corporations Act, 1950 (BMTC-02). s.18 sets a general duty to provide 'an efficient, adequate, economical and properly co-ordinated system of road transport services'. This is generic wording, names no vulnerable group, and its proviso says it creates no enforceable duty. s.19(1)(d) gives the power 'to authorise the issue of passes to its employees and other persons either free of cost or at concessional rates and on such conditions as it may deem fit'. This is a discretionary power, not a requirement, and names no group. s.17 lets the State set </t>
  </si>
  <si>
    <t xml:space="preserve">(h) accessible mobility and transport for persons who are persons with benchmark disability and p erson with disability as defined under the Rights of persons with Disabilities Act, 2016 (Central Act 49 of 2016);</t>
  </si>
  <si>
    <t xml:space="preserve">I left the score blank because the Citation Sheet does not settle whether BMTC itself is mandated. A provisional 2.5 is suggested below for the team to confirm.
1. The only binding provision naming a vulnerable group is BMLTA Act s.21(2)(h). The Comprehensive Mobility Plan 'shall include' accessible mobility for persons with disabilities. That duty falls on BMLTA, not BMTC. It reaches BMTC only indirectly:
- s.21(2) proviso: other authorities' plans 'shall be in compliance with the Urban Mobility policies of the Authority'.
- s.19: major urban transport projects must be consistent with the Comprehensive Mobility Plan.
- s.18: BMLTA's directions bind urban transport agencies.
- s.20: the list of Urban Mobility policies names no vulnerable group.
- s.28(1)(b): mentions differently abled people, senior citizens and children, but only in the Traffic Management Plan, which covers traffic agencies and not bus service planning.
2. BMTC's own law (Road Transport Corporations Act, BMTC-02):
- s.18: a generic duty to provide efficient transport, and the proviso says it creates no enforceable duty.
- s.19(1)(d): free or concessional passes are a 'may' power that names no group.
- GBA Act s.14(4) (BMTC-04): the 'citizen-friendly' wording is generic. Neither is credited.
3. I checked BMTC-27 (Student Pass page), which Step 2 did not review. It says BMTC issues free student passes 'As per the directions of the Government of Karnataka'. That points to a State direction for one specific group (students). But the direction itself is not in the Citation Sheet, the page is website text, and students are not clearly a 'vulnerable group'.
4. Other website items are one-off or practice evidence, not mandates: free travel for women on Women's Day 2023 (BMTC-28) and the Nirbhaya women-safety tenders (BMTC-10).
Why no band can be fixed now:
- 5 is not supported: no requirement is built into BMTC's core service-planning and delivery functions.
- 0 cannot be given: there is no affirmative absence. These are missing from the Citation Sheet: the State GO for women's free travel; the student, senior-citizen and disability concession GOs; the Karnataka Motor Vehicles Rules; accessibility standards under the RPwD Act/Rules; any BMLTA Rules or Regulations; any Comprehensive Mobility Plan in force; the 2026 BMLTA amendment (not checked).
- 2.5 ('limited to specific groups') holds only if the team accepts the indirect BMLTA duty on the mobility plan (and/or the cited GoK student-pass direction) as BMTC being 'mandated'.
The Detailed Methodology text was not in my input. The band labels used here come from Step 2's notes, so the team should check them against the rubric.
CONFIRM:
(a) whether a duty that reaches BMTC only through the plan and project-approval link counts as a mandate on BMTC;
(b) get the State women's free-travel and concession GOs, which may decide between 2.5 and 5.
Also flag: BMLTA Act s.2(cc) still names BBMP, and it is not verified whether the GBA has been substituted.</t>
  </si>
  <si>
    <t xml:space="preserve">UPD4b</t>
  </si>
  <si>
    <t xml:space="preserve">ANSWER: In part. The Citation Sheet shows one current affordability measure in practice: BMTC issues free student passes, with an application cycle for 2026-27. It also links two 2026 write-ups, the Shakthi Scheme and the Physically Challenged Scheme, but their text is not in the Sheet. For women's safety, the only evidence is tender listings from 2020 to 2023 for a women-safety mobile app and in-bus surveillance under the Nirbhaya scheme, and these show procurement only. No route or coverage measure aimed at an identified vulnerable group was found. No accessible-design measure (low-floor buses, ramps, priority seating) was found either. BMTC's current mobility plan or service-design framework is not in the Sheet. The full rubric therefore cannot be scored. | EVIDENCE: (1) BMTC-27, the BMTC Student Pass page (Student Pass 2026-27; site last updated 30-09-2026): 'Bangalore Metropolitan Transport Corporation is issuing student passes at a free from the date of its formation for the benefit of students community'. Applications go through the BMTC website, Bangalore One counters and Seva Sindhu. This counts as a fare-concession measure for students under Component 1(i). (2) BMTC-01, the BMTC home page 'Latest News', lists 'Physically Challenged Scheme' (4 months ago), 'Shakthi Scheme' (4 months ago) and a Kannada notice on issuing 2026 bus passes for persons with disabilities (9 months ago). Only these titles are in the Sheet; the scheme terms (eligibility, fare level, coverage)</t>
  </si>
  <si>
    <t xml:space="preserve">Student Pass - Bengaluru Metropolitan Transport Corporation [BMTC-27]</t>
  </si>
  <si>
    <t xml:space="preserve">https://mybmtc.karnataka.gov.in/info-3/Student+Pass/en</t>
  </si>
  <si>
    <t xml:space="preserve">As per the directions of the Government of Karnataka Bangalore Metropolitan Transport Corporation is issuing student passes at a free from the date of its formation for the benefit of students community.</t>
  </si>
  <si>
    <t xml:space="preserve">I left the score blank because the Citation Sheet does not support a full 0-5 score, and a partial total would be a guess. The Step 2 answer matches the sources I checked.
What the evidence supports:
(a) Fare concession (Component 1(i)) is supported. BMTC-27 shows free student passes are currently issued, with an application cycle for academic year 2026-27. This is a state direction that BMTC carries out. BMTC-01 lists 'Physically Challenged Scheme' and 'Shakthi Scheme' write-ups under Latest News, but only the titles are in the Sheet, so their terms (who qualifies, fare level, coverage) were not read.
What is undetermined:
(b) Route or coverage measures for a vulnerable group (Component 1(ii)). BMTC-28's press releases (2022-24) cover new routes and Metro Feeder services, but none names a vulnerable group or an underserved area. The International Women's Day free travel (8/3/2023) and the PUC exam travel were one-off events.
(c) Women's safety and accessible design (Component 2). BMTC-10 has only tender titles from 2020-23 for a women-safety mobile app and in-bus surveillance under the Nirbhaya scheme, plus functional-audit tenders from 2023. These show procurement, not current operation. My searches of the whole Sheet for low-floor buses, wheelchair access, ramps and priority seating found nothing about BMTC buses. The only hit, BMTC-06 (the BMLTA Act's CMP clause), is the Authority's planning mandate, not BMTC's practice. BMTC-15 (BMTC Glance) gives fleet, depot and staff counts but nothing on accessibility.
Why no score of 0 is possible: there is no affirmative absence. Several documents were never in the Sheet: the Shakthi and PH scheme write-ups, the Annual Administrative Report, bus or fleet specifications, and any BMTC route-planning or mobility document. So 'not found' cannot be treated as absent for Component 1(ii) or Component 2.
Other gaps:
- The question's full Detailed Methodology and rubric text were not in my input. The band values (1.25 / 2.5 per component) come from the Step 2 notes, so a reviewer should check them against the question bank.
- I can't confirm a minimum of 1.25 for Component 1 alone without the rubric text.
To do: a person should open the Shakthi and PH write-ups linked from BMTC-01, look for BMTC fleet accessibility specs and Nirbhaya system operating status, and capture dated screenshots.</t>
  </si>
  <si>
    <t xml:space="preserve">UPD5a</t>
  </si>
  <si>
    <t xml:space="preserve">ANSWER: Yes, but only for some functions and concerns. The BWSSB Act's general duties (s.15(1)-(3)) are about sufficient and wholesome water supply and adequate sewerage and sewage disposal. The Act sets no general requirement to consider environmental sustainability in the Board's planning or service delivery. It does contain specific provisions on (i) water conservation through rainwater harvesting and wastewater recycling by building owners, (ii) groundwater recharge, (iii) keeping water works and sewers free of pollution, including trade effluent, and (iv) waste of water. Some of these are mandatory and some are discretionary. These fit the methodology's 'limited to particular functions, schemes or environmental concerns' description. However, State water policy, BWSSB regulations and the groundwater-law layers are not in the Citation Sheet, so it cannot be ruled out that wider, cross-cutting requirements exist (the 5-point band). No score is proposed. | EVIDENCE: The Act is BWSSB-02 (BWSSB Act 1964, consolidated PRS text with amending Acts). (1) s.15(1)-(3) sets the general duties: supply and improve water supply, make 'adequate provision for the sewerage and the disposal of the sewage', ascertain 'sufficiency and wholesomeness', and prepare schemes for wholesome water and proper sewerage. There is no environmental or sustainability wording. (2) s.15(6), inserted by Act 15 of 2010, is a power, not a duty: 'The Board shall also have power to insist on owner, occupier or b</t>
  </si>
  <si>
    <t xml:space="preserve">Every owner who proposes to construct a building on a sital area of not less than 108 square meter shall provide rain water harvesting structure for storage, for use or for ground water recharge in such manner and subject to such conditions as may be provided in the regulations and guidelines issued by the Board.</t>
  </si>
  <si>
    <t xml:space="preserve">Score left blank because only the parent Act is in the Citation Sheet. The Act alone cannot settle whether the 2.5 or the 5 band applies. I checked BWSSB-02 (BWSSB Act 1964, amended up to Act 29 of 2021) myself. The Step 2 summary matches the source. (1) s.15(1)-(3), the Board's general duties, cover water supply, sufficient and wholesome water, and sewerage and sewage disposal. They contain no environmental or sustainability wording. (2) s.15(6), added by Act 15 of 2010, is a power, not a duty: 'The Board shall also have power to insist on owner, occupier or builder to adopt water conservation methods like rain water harvesting and recycling of waste water'. (3) s.61(2)(a)(iii) says regulations 'may' provide for the Board 'to insist on rain water harvesting system for conservation of water'. (4) s.72A, as amended in 2021, says owners 'shall provide' rainwater harvesting. Plots of 1000 sq m or more must also have dual piping. The details are left to Board regulations and guidelines. (5) s.72 lets the Board require separate drains, with rainwater going to a harvesting system. (6) Pollution and waste provisions: s.49 (waste or misuse of water), s.52 and s.60 (pollution of water works), s.74 proviso (sewage to be treated before discharge, as set in bye-laws), and s.84A (trade effluent bye-laws, 'may'). These provisions are clear but cover only some concerns: rainwater harvesting and conservation, groundwater recharge, pollution and waste. Most of them put obligations on building owners or give the Board enforcement powers. None requires the Board to build sustainability into its own planning or service delivery. On the Act alone, this fits the 'limited to particular functions/schemes/concerns' band, which provisionally means 2.5. A score of 0 is ruled out because explicit provisions exist. I am not entering 2.5 because that would mean 'not cross-cutting', which needs every layer of the law to be checked. The following are not in the Citation Sheet: BWSSB Water Supply, Sewerage and Rainwater Harvesting Regulations; Rules under the BWSSB Act; the Karnataka Ground Water (Regulation for Protection of Sources of Drinking Water) Act, 1999 (Act 15 of 2010 made a BWSSB officer its 'appropriate authority' for Bangalore); any Karnataka State Water Policy or urban water/sanitation policy; GOs on treated-wastewater reuse or loss reduction. Any of these could show cross-cutting requirements, which would score 5. Other sources checked: BWSSB-13 (website list of rainwater harvesting and STP/dual-piping connection requirements, which is not law), BWSSB-07 (mandate page, no sustainability wording), and BWSSB-04 (the GBA Act, which gives 'protection of the environment' to the city corporations, not BWSSB). A citation-sheet search for 'environmental sustainability water conservation' found only BWSSB-02 passages. Action for the reviewer: add and read the regulations, the groundwater Act and the state water policy, then choose between 2.5 and 5. Also confirm whether obligations on building owners and enforcement powers (s.72A, s.15(6)) count as requirements on the board under the UPD 5 guidance. The question's own Detailed Methodology text was not supplied to me. The band values (0/2.5/5) come from the Step 2 answer and should be checked.</t>
  </si>
  <si>
    <t xml:space="preserve">UPD5b</t>
  </si>
  <si>
    <t xml:space="preserve">ANSWER: The Citation Sheet shows that BWSSB has described environmental sustainability measures, but not that it is considering them in its current planning. There is no dated, current water supply or sanitation plan in the sheet. The only substantive source is the Board's own undated 'About BWSSB' web page. Its content is from the BBMP era (Census 2011 projections, the 2014-15 Schedule of Rates, the BBMP jurisdiction). The page does describe specific measures for both components. (1) Source and loss: a programme to cut unaccounted-for water across about 50% of the core area, with a target of 16% overall losses; leak-detection work (JICA L-sign system; helium-based detection said to be finished in 4 subdivisions at Rs 25 crore); and rainwater harvesting and lake rejuvenation for groundwater recharge. (2) Wastewater: 6 new treatment plants totalling 520 MLD with DPRs prepared; treatment plants upstream to prevent pollution of Bellandur and Varthur lakes; and about 30% of treated effluent led to lakes. Because the page has no date and the question asks about the Board's latest plan, the evidence cannot show current practice. | EVIDENCE: BWSSB-07 (About BWSSB, official site, undated): 'Water supply improvement works' says losses are 'envisaged to reduce the overall water losses to 16%'. 'Exclusive leak detection works' lists the JICA L-sign system and helium leak detection. 'Proposed Sewerage System works' lists 6 new treatment plants of 520 MLD ('The DPRs for these projects hav</t>
  </si>
  <si>
    <t xml:space="preserve">About BWSSB - Bangalore Water Supply and Sewerage Board [BWSSB-07]</t>
  </si>
  <si>
    <t xml:space="preserve">https://bwssb.karnataka.gov.in/info-1/About+BWSSB/en</t>
  </si>
  <si>
    <t xml:space="preserve">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t>
  </si>
  <si>
    <t xml:space="preserve">SCORE LEFT BLANK. This needs a reviewer to decide.
Why blank:
(1) UPD5b is an Implementation question about BWSSB's latest water supply and sanitation plan. The only source with real content is BWSSB-07, the Board's own 'About BWSSB' page, and it has no date. Its content is from the BBMP era:
- population figures from the 2011 Census;
- a DPR priced on the 2014-15 Schedule of Rates;
- plants 'planned to be completed in 2016' and 'proposed to be commissioned in 2016';
- the jurisdiction described as the BBMP area of 800 sq km.
So it cannot show the Board's current planning in the GBA era. At most it is partial evidence of past practice.
(2) I was not given the full UPD5b rubric text. I could only see the C1/C2 band references in the Step 2 notes, so I cannot apply the bands myself.
I checked the Step 2 answer against the source. BWSSB-07 does describe specific measures, in two groups.
Source and loss (C1):
- UFW/leakage works covering about 50% of the core area, with a target of 16% overall water losses;
- the JICA L-sign leak detection system, and helium leak detection completed in 4 subdivisions at Rs 25 crore;
- rainwater harvesting and lake recharge.
Wastewater (C2):
- 6 new STPs totalling 520 MLD, with DPRs prepared;
- upstream STPs to protect Bellandur and Varthur lakes (Rs 585 crore);
- Environmental Action Plans A, B and C;
- about 30% of treated effluent led to lakes;
- 'Water reuse for multipurpose usages' listed under the future outlook, but only in general terms.
The STP table lists one 60 MLD K&amp;C plant using 'Activated Sludge Process with BNR Removal and Power generation'. This is a mention of a technology, not an energy-efficiency plan.
The page contradicts itself:
- 133 vs 116 sq km for the loss-reduction coverage;
- Rs 655 crore vs Rs 821 crore for its cost;
- 721 MLD from 14 plants vs 1372.5 MLD from 33 STPs for treatment capacity.
This suggests it was updated piecemeal at different times.
Other sources checked:
- BWSSB-25 (press releases, 2021-2023): shutdowns, Water Adalaths and recruitment only; no sustainability plan.
- BWSSB-01: link titles only, with no content.
- BWSSB-13: services only.
- BWSSB-02 (BWSS Act, s.16(6) power to insist on RWH and recycling; s.72A) and BWSSB-04 (GBG Act 2024): these are law, not implementation evidence.
Not a 0. The undated page shows measures exist, and the absence of a current plan in the sheet is 'not found', not affirmative absence.
Missing evidence: a dated current BWSSB water supply/sanitation plan, annual report, NRW programme, treated-water reuse scheme, or dated STP capacity and quality records.
Two things for the reviewer:
- If the team accepts BWSSB-07 as the 'latest plan', Step 2's provisional view is C1 about 2.5 and C2 between 1.25 and 2.5. That needs the rubric to be confirmed.
- Capture a dated screenshot as the question bank's evidence requirement asks.</t>
  </si>
  <si>
    <t xml:space="preserve">UPD6a</t>
  </si>
  <si>
    <t xml:space="preserve">ANSWER: BMTC's own Act places no explicit environmental duty on it. Some environmental requirements reach BMTC indirectly, through the Bengaluru Metropolitan Land Transport Authority (BMLTA) Act, 2022 (as amended by Act 10 of 2026). That Act covers BMTC as one of the 'Urban Transport Agencies'. BMTC's sectoral investment programme must be aligned with the goals of the Comprehensive Mobility Plan (CMP), which is defined as a plan for 'safe, clean and efficient urban transport' under integrated land-use and transport planning. Any additional projects BMTC adds to its Annual Implementation Plan 'shall' promote 'sustainable urban transport', meaning less use of private vehicles and more public transport, walking and cycling. BMLTA must also approve BMTC's major projects for consistency with the CMP. These duties cover only BMTC's investment and project planning and mainly one goal: shifting people from cars to public transport and walking/cycling. No source in the sheet requires BMTC to reduce emissions, switch to cleaner vehicles or fuels, improve energy efficiency, plan for climate resilience, or assess the environmental impact of its own operations. If the BMLTA Act is in force, this fits the 2.5 band (limited objectives). No score is given because the Act's commencement is not confirmed and some layers of law are missing. | EVIDENCE: (1) Road Transport Corporations Act, 1950 (BMTC-02), s.18, BMTC's general duty: to provide 'an efficient, adequate, economical and properly co-o</t>
  </si>
  <si>
    <t xml:space="preserve">These additional projects shall align with the Comprehensive Mobility Plan goals and promote sustainable urban transport.</t>
  </si>
  <si>
    <t xml:space="preserve">I left the Score blank. A person needs to make the call.
Why it is blank:
(1) The Detailed Methodology and band wording for UPD6a were not in my task input. All I had was the input column (0 to 5). The bands I mention (0, 2.5, 5) come only from the Step 2 notes, so I cannot apply the rubric exactly. RUBRIC-GAP until the methodology is supplied.
(2) Commencement is not proven. BMTC-06 s.1(3) says the BMLTA Act 'shall come into force on such date as the State Government may by notification in the official Gazette, appoint'. The sheet has no commencement notification and no notification constituting BMLTA under s.4. The amending Act (Karnataka Act 10 of 2026, gazetted 8 Jan 2026) says it 'shall come into force at once', but that covers only the amending Act. It shows the principal Act is still on the statute book, not that it is in force.
(3) The only environmental duties reaching BMTC are indirect. They come from another body's law: BMLTA's CMP-alignment rule (s.24(a)), the rule that additional AIP projects must promote 'sustainable urban transport' (s.25(1)(c)), and BMLTA's project-approval power (s.19). 'Sustainable Urban Transport' (s.2(aa)) means shifting people away from private vehicles towards public transport and walking/cycling. The CMP definition (s.2(h)) says 'safe, clean and efficient'. Whether this indirect, investment-planning-only duty counts as BMTC being 'mandated' is a judgement call for the team.
(4) The BMLTA Act text is PRS secondary only.
What I checked:
- BMTC-02 (RTC Act 1950): s.18, BMTC's general duty ('efficient, adequate, economical and properly co-ordinated') has no environmental objective.
- BMTC-04 (GBG Act 2024): s.17, the Climate Action Cell duty falls on the GBA, not BMTC.
- BMTC-01: the vision statement 'Make BMTC sustainable' and the BS-VI and electric-bus press items are descriptive or practice evidence, not a mandate.
- Sheet-wide search for environment, pollution, emission, electric and clean fuel: no binding environmental instrument on BMTC.
The sheet does not contain BMLTA Rules or Regulations, any notified CMP or NMT/TOD policy, BMTC's regulations, or any state EV or clean-fleet GO. So 0 cannot be affirmed, and a higher band cannot be ruled out.
Tentative view: if the BMLTA Act is confirmed in force and indirect duties count, the evidence fits a 'limited/specific objectives' band (2.5 per the Step 2 notes). The duties cover only investment and project planning and mainly the shift to public transport, not fleet, fuel or emissions in operations. To confirm: the commencement notification under s.1(3), the UPD6a methodology bands, and the gazette copy of Act 6 of 2023.</t>
  </si>
  <si>
    <t xml:space="preserve">UPD6b</t>
  </si>
  <si>
    <t xml:space="preserve">Step 2 found no evidence: a source needs to be found and added. Step 2 found no evidence (Insufficient Evidence). Source needed: BMTC's latest Annual Administrative Report (fleet composition by fuel type, e-bus induction targets, fuel efficiency or emissions figures, depot energy measures); BMTC fleet augmentation or electrification plan with targets and a scrapping or phase-out schedule; BMTC route rationalisation or network plan showing metro feeder, interchange and common-ticketing measures; BMTC's environmental or sustainability policy document; the contents of the linked 'Real time monitoring the performance of electric buses' PDF and the Metro Feeder Service documents.</t>
  </si>
  <si>
    <t xml:space="preserve">DPG1a</t>
  </si>
  <si>
    <t xml:space="preserve">Answered — Verified Source</t>
  </si>
  <si>
    <t xml:space="preserve">ANSWER: No. Scenario B (fully devolved, and both bodies have the function in law). The Greater Bengaluru Governance Act gives the City Corporations water supply and sanitation, including liquid waste management, as core functions. The BWSSB Act gives the Board the general duty of supplying water and of sewerage and sewage disposal across the Bangalore Metropolitan Area, and vests all water works and sewers in the Board. The BWSSB Act does not set the Board's role apart from the City Corporations' role under the GBA Act by aspect, scale or area. Both Acts assign the same function. On top of that, the GBA has a binding power to coordinate and supervise BWSSB. The Board's own mandate is clear, but its responsibilities compared with the ULG's are not separated. | EVIDENCE: ULG side (BWSSB-04, GBA Act 2024, Karnataka Act 36 of 2025, PRS text): Schedule I (see s.111), Core Functions (1)(v) 'Water supply for domestic, industrial and commercial purposes'; (1)(vi) 'Public health, sanitation including storm water drains, conservancy and solid and liquid waste management'. Sector-wise function (3)(vii)(f) 'Maintenance of all public tanks and regulating the re excavation, repair and up-keep of all tanks, wells and other sources of water-supply and provision for unfiltered water supply for non-domestic uses'. These Schedule entries do not mention BWSSB. Under s.112(1), extra functions are taken on only with Government approval. s.8(3): GBA 'shall discharge the role of coordinator among al</t>
  </si>
  <si>
    <t xml:space="preserve">whether made at the cost of the Government, the Bruhat Bangalore Mahanagara Palike or otherwise and all bridges, buildings, machinery, works, materials and other things connected therewith and all land (not being private property) adjacent and appertaining to the same shall vest in the Board and be subject to its control.</t>
  </si>
  <si>
    <t xml:space="preserve">I left the score blank because Step 2's score of 0 is not supported. Reasons:
(1) I was not given the DPG1a Detailed Methodology or rubric bands. I only have the input column 'ENTER A NUMBER 0 TO 5'. So I cannot check that 'Scenario B with no explicit distinction in the Parastatal Act' gives 0, or what the other bands are. A person should apply the actual rubric.
(2) A 0 needs affirmative absence, and Step 2 admits it does not have it. It did not read GBA Act s.111 in full, or its repeal, savings and consequential-amendment provisions. No BWSSB Rules or Regulations and no GBA Rules are in the Citation Sheet. Amendments to the BWSSB Act after 2010 are not checked.
(3) The BWSSB Act itself has provisions that may set the Board's role apart from the municipal body's. A person should judge these against the rubric:
- s.26 vests all water works 'whether made at the cost of the Government, the Bruhat Bangalore Mahanagara Palike or otherwise' in the Board, under its control.
- s.63 and s.64 vest public sewers in the Board and give it control of them.
- s.72, as substituted by Act 15 of 2010, splits the work by aspect. Filth and polluted water go to a 'Board sewer'. Rain water goes to an 'entirely distinct drain' emptying into 'rain water harvesting system, Corporation drain or other suitable places'. This fits the GBA Act Schedule I(1)(vi), which gives the City Corporations 'storm water drains'.
- s.15(1) sets the Board's general duty for water supply, sewerage and sewage disposal across the Bangalore Metropolitan Area.
Taken together, these may count as a partial distinction: the Board handles piped water and sewerage, and the Corporation handles storm water drains and, under Schedule I(3)(vii)(f), tanks, wells and unfiltered non-domestic water. That would not be 'no distinction'. Step 2 did not deal with s.72.
(4) On the other side, the GBA Act (BWSSB-04) Schedule I(1)(v) gives the City Corporations 'Water supply for domestic, industrial and commercial purposes' without mentioning BWSSB. The BWSSB Act still names the BBMP, the predecessor body. Nothing in the Sheet shows the GBA or City Corporations were substituted into it. Under s.14(4) of the GBA Act, the GBA supervises BWSSB and its directions are binding. So the legal overlap is real.
(5) Both Acts are PRS secondary copies. Official gazette or e-legislation texts are still needed.
What the team needs to do: provide the DPG1a rubric; decide whether the s.26/63/72 aspect split counts as an explicit distinction; check whether the GBA Act makes consequential amendments to the BWSSB Act or has a savings clause for it; and check for BWSSB Act amendments after 2010.</t>
  </si>
  <si>
    <t xml:space="preserve">ANSWER: No clear separation is shown, so no score is given. This looks like Scenario C (partly devolved). The ULG law does not give the City Corporations public bus service as a core function. Urban transport appears only as a State function a City Corporation 'may' take on, if the Government approves and pays (GBA Act s.112(1)). But the ULG law does give the ULG several related parts of bus transport. Bus stops and waiting sheds for travellers are core City Corporation functions. The GBA must make mobility plans. The GBA also coordinates and supervises BMTC by name, and BMTC must obey its binding directions. Under this rule set, a ULG coordination or supervision role is enough to rule out Scenario A. On BMTC's side, the only parastatal law read (Road Transport Corporations Act, 1950, s.18) gives a general duty to provide road transport services. It does not separate BMTC's role from the ULG's bus-stop functions or from the GBA's supervision role. The one carve-out found (BMTC may put up bus-stop posts, passenger shelters and bus stands on City Corporation roads without a licence, with Government sanction, and pays ground rent) is in the ULG Act (s.234(2)-(3)), not in BMTC's Act. Provisionally: BMTC's operating mandate is defined, but its responsibilities vis-a-vis the ULG are not clearly separated, because the GBA Act gives the ULG bus stops and waiting sheds and gives the GBA binding supervision over BMTC. The score is left blank because of the CONFIRM items. | EVIDENCE: UL</t>
  </si>
  <si>
    <t xml:space="preserve">(xvii) Provision and maintenance of public amenities including street lighting, parking spaces for vehicles, bus stops and public conveniences like toilet facilities at public places; and</t>
  </si>
  <si>
    <t xml:space="preserve">I left the score blank. The Sheet does not show the full parastatal side of the comparison, and I could not see the full Detailed Methodology text for DPG1a. I checked Step 2 against the sources and it is accurate.
ULG side (BMTC-04, Greater Bengaluru Governance Act, Act 36 of 2025; PRS secondary text; GBA-era):
- Bus stops (Sch. I(1)(xvii)) and waiting sheds for travelers (Sch. I(1)(xii)) are core functions of the City Corporations.
- Under s.14(4), the GBA 'Integrat[es] and supervis[es]' BMTC by name, and its directions 'shall be binding'. The same section says 'Bangalore Metropolitan Transport Corporation Limited shall suitably incorporate in their Memorandum of Association the coordinating role' of the GBA.
- Under s.15(1), the GBA 'shall be responsible to make master plan and mobility plans'.
- Urban transport appears only as a discretionary function under s.112(1) ('may', subject to Government approval and funding).
- s.234(2)-(3) exempts the 'Bengaluru Metropolitan Transport City Corporation' from needing a licence for bus-stop posts, passenger shelters, ticket booths and bus stands on City Corporation land. This needs previous Government sanction and BMTC pays ground rent. The name looks like a drafting slip for BMTC, but no official source confirms this.
Parastatal side (BMTC-02, Road Transport Corporations Act, 1950, amended up to Act 63 of 1982):
- I re-read ss.34, 38, 42 and 43. They deal with State directions, supersession, entry and public servants. None of them mentions the ULG, bus stops or shelters.
- s.19 (powers of the Corporation) did not come up in the passages I could retrieve.
BMTC-20 (BMTC Rules and Regulations page) lists only KSRTC staff and service regulations and the KSRTC Rules, 1961. None of these defines functions in relation to the ULG.
Why no score:
1. The State notification that set up BMTC (RTC Act s.3) is not in the Sheet, and neither is BMTC's MoA. GBA s.14(4) refers to 'Corporation Limited' and a Memorandum of Association, so BMTC's legal form and its constituting instrument are unclear. Without these I cannot show that the parastatal's own law has no carve-out. A 0 would need that affirmative absence; what I have is 'not found'.
2. Step 2's provisional reading of Scenario C (functions partly devolved, with overlap on stops, shelters and planning, which would give 0) depends on a judgement the team should confirm. The open question is whether the s.234 carve-out, which sits in the ULG Act rather than BMTC's Act, counts.
3. Whether the GBA (Amendment) Bill 2025 (BMTC-05) was enacted is not confirmed. It does not touch s.14(4).
To do: get BMTC's constituting notification or MoA and RTC Act s.19, confirm that 'Bengaluru Metropolitan Transport City Corporation' in s.234 means BMTC, and then apply the DPG1a scenario bands.</t>
  </si>
  <si>
    <t xml:space="preserve">ANSWER: In the sources available, the law does not clearly separate BDA's role from the ULG's. The city government law gives the ULG urban planning, regulation of land use and planned development of new areas, and makes GBA the Planning Authority for the Greater Bengaluru Area. The BDA Act gives BDA a broad, unqualified mandate to 'promote and secure the development of the Bangalore Metropolitan Area' through development schemes and layouts. The two assignments look like the same function. In the text I read, the BDA Act does not carve out a specific aspect, area or scale for BDA. On the rubric this looks like Scenario B (fully devolved, both deliver it), which leans to a score of 0 (same function, no distinction). I have not proposed a score because of the open points under CAVEATS and LIMITS. | EVIDENCE: ULG side, Greater Bengaluru Governance Act, 2024 (Karnataka Act 36 of 2025), PRS copy: (a) s.111(1) says the City Corporation shall 'prepare and implement schemes for urban development' on First Schedule matters. The proviso makes it a duty to provide the services listed as core functions. (b) Schedule I(1), core functions: '(i) Urban planning including town planning; (ii) Regulation of land-use including protection of public land from encroachment and construction of buildings'. (c) Schedule I(3)(i)(a), sector-wise: 'Planned development of new areas for human settlement'. Schedule I(3)(iv)(a), housing: 'provision of house sites and houses'. (d) s.14(2)(a): GBA 'shall be th</t>
  </si>
  <si>
    <t xml:space="preserve">The Greater Bengaluru Governance Act, 2024 (Act No. 36 of 2025) [BDA-03]</t>
  </si>
  <si>
    <t xml:space="preserve">Co-ordination and Supervision of Public Authorities: Integrating and supervising the activities of public authorities like the Bangalore Development Authority, the Bengaluru Water Supply and Sewerage Board,</t>
  </si>
  <si>
    <t xml:space="preserve">I left the score blank for a human to decide. Leaning: if the BDA Act has no carve-out, this is Scenario B (the function is fully given to the city government and both bodies deliver it), which would score 0. That 0 is not safe yet, for four reasons.
(1) Affirmative absence is not shown. I re-read BDA-02, the BDA Act 1976 (PRS copy, amended up to Act 42 of 2026). I saw the table of contents and ss.2, 14-16, 25-28A, 32, 67-70. The Act gives BDA a broad mandate over the 'Bangalore Metropolitan Area'. That includes layouts and extensions under s.32 and its amendments to the KTCP Act under s.67. I found no limit on BDA by aspect, area or scale. But I have not read the whole Act, and no Rules or Regulations made under ss.69-70 are in the Citation Sheet.
(2) A carve-out may exist but is not shown to be in force. BDA-05 is LA Bill 55 of 2025, as passed by the Assembly. It would change KTCP s.2(7)(a) and s.81-B(i) so that BDA is Planning Authority only for the Bengaluru Metropolitan Area 'excluding the Greater Bengaluru Area'. New s.81-G would make GBA the planning authority for the Greater Bengaluru Area. However, s.1(2) says the Act 'shall come into force on such date as the State Government may by notification appoint'. Nothing in the sheet shows it was enacted or brought into force. Even if it is in force, it splits only planning-authority status under the KTCP Act. It does not touch BDA's development-scheme and layout powers under BDA Act ss.14-16.
(3) Both sides of the law do overlap. On the city side, the GBG Act (BDA-03) gives the City Corporations urban planning, land-use regulation and 'planned development of new areas' (s.111(1) and Schedule I). It makes GBA the Planning Authority 'notwithstanding anything contained in any other law' (s.14(2)(a)) and responsible for the master plan (s.15(1)). Under s.14(4), GBA supervises BDA and can give it binding directions. That is coordination, not a split of the function.
(4) Scenario D (the function is given to the city government in law but delivered by BDA in practice) has not been ruled out.
I could not see the DPG1a rubric bands in this task, so I cannot match the facts to a band myself.
To check: (a) whether Bill 55 of 2025 was enacted and its commencement notified; (b) the full BDA Act and any Rules or Regulations under it; (c) whether the city government is to be scored as GBA or as the City Corporations. Note also that the BDA Act still names the 'Corporation of the City of Bangalore', and no source in the sheet shows a successor body substituted.</t>
  </si>
  <si>
    <t xml:space="preserve">ANSWER: Not determined. On a provisional reading the case points to Scenario C (partially devolved) with an overlap, which would score 0. It cannot be scored because BMRCL's own constituting instruments are not in the Citation Sheet. Running the metro is not assigned to the city corporations: Schedule I core functions do not list urban transport or metro rail. The ULG law does give the Greater Bengaluru Authority (GBA) a planning and supervision role over BMRCL by name. The GBA may issue binding directions over BMRCL's 'activities', and the law gives no carve-out separating those from BMRCL's operating role. Under the section rule, a coordination/supervision assignment means Scenario B or C, not A. BMRCL's operating mandate is reasonably defined: s.5 of the Metro Railways (Operation and Maintenance) Act gives the metro administration the job to 'maintain and operate metro railway'. But nothing in the law separates BMRCL's responsibilities from the ULG's, because of GBA Act s.14(4) (binding supervision) and s.15(1) (mobility plans). | EVIDENCE: ULG side, Greater Bengaluru Governance Act, 2024 (Karnataka Act 36 of 2025) [BMRCL-02]: (1) s.111 and Schedule I: the core functions (i)-(xviii) include roads, flyovers, skywalks (iv), and 'parking spaces for vehicles, bus stops' (xvii), but not urban transport, mass transit or metro rail. The general functions and the sector-wise functions read (urban planning, environment, small industries, housing, education) also do not include them</t>
  </si>
  <si>
    <t xml:space="preserve">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t>
  </si>
  <si>
    <t xml:space="preserve">SCORE LEFT BLANK. A person needs to score this. Reasons: (1) The task did not give me the question's Detailed Methodology or rubric. The only rubric I have is the scenario logic paraphrased in the Step 2 answer: Scenario A gives 5; Scenario B or C gives 0 unless roles are explicit and do not overlap. I cannot check that paraphrase against the real bands, so I cannot apply them myself. (2) I checked the Step 2 reading against BMRCL-02 and it holds. Section 14(4) gives the Greater Bengaluru Authority (GBA, the city-level authority) power to integrate and supervise 'the activities of' public authorities, naming Bengaluru Metro Rail Corporation Limited. Its directions 'shall be binding', and public authorities shall 'obey its directions'. Section 15(1) says the GBA 'shall be responsible to make master plan and mobility plans'. Section 13(1)(j) puts BMRCL's Managing Director on the GBA Executive Committee. Section 14(4) requires only BESCOM and BMTC, not BMRCL, to write the GBA's coordinating role into their Memorandum of Association. Step 2 also reports that Schedule I core functions do not include metro or urban transport, and that s.112(1) is a conditional 'may'. That reading comes from BMRCL-02. I did not re-check it in the excerpt shown to me. (3) On the BMRCL side, I could not show a defined, non-overlapping mandate. BMRCL has no Act of its own. BMRCL-09 (Annual Report FY2020-21, historical) says only that BMRCL is a GoI–GoK joint-venture Government Company 'to implement the Metro Rail Project in the city of Bangalore'. The Memorandum of Association objects clause is not in the Citation Sheet; BMRCL-09 mentions only the Clause V share-capital amendment. BMRCL-04 (Metro Railways O&amp;M Act 2002, as amended to 2009) s.5 sets out operating functions. However, the sheet has no Central notification applying that Act to Bengaluru or naming BMRCL as the 'metro railway administration'. (4) On a provisional reading this is a partly devolved case with overlap (Scenario B/C), which would score 0. A 0 needs affirmative absence, and the parastatal-side instruments (MoA, extension/designation notifications, GBA Rules) were not in the sheet. On the other side, someone could read metro as not devolved at all, which would make it Scenario A and score 5. That is a methodology judgement for the team. Checked: BMRCL-02 (s.8, 9, 13, 14, 15; Schedule I via Step 2), BMRCL-03, BMRCL-04 (search for the 'metro railway administration' definition; the definition text itself was not returned), BMRCL-08 (BMLTA, a state-level body and not the city government; per Step 2), BMRCL-09 (searched for MoA objects; not found). Era: GBA era. GBA Act 2024 (Act 36 of 2025), with Amendment Act 60 of 2025, which does not change s.14(4) or s.15. RTI-TARGET: BMRCL Public Information Officer (PIO) for the current MoA/AoA and any GoI notification naming BMRCL as metro railway administration. CONFIRM: whether GBA supervision/binding directions plus the mobility-plan duty counts as partial devolution, and what the actual rubric bands for DPG1a are.</t>
  </si>
  <si>
    <t xml:space="preserve">ANSWER: The ULG law clearly gives planning functions to the city government. It is not possible to show from the Citation Sheet that the law separates BMRDA's role from the ULG's. On the ULG side, the Greater Bengaluru Governance Act (GBGA) gives the City Corporations 'Urban planning including town planning', land-use regulation and planning for economic and social development (Schedule I). It makes the Greater Bengaluru Authority (GBA) the KTCP 'Planning Authority' for the Greater Bengaluru Area 'notwithstanding anything contained in any other law'. It also lets GBA integrate and supervise public authorities through binding directions. So this is Scenario B or C, not A. BMRDA's role, as summarised in its annual report, is about the wider region: a Structure Plan for the Bangalore Metropolitan Region (8,005 sq km, including Bangalore Urban district) and coordinating BBMP and other agencies. That suggests a split by scale (region versus city), which would point to Scenario C. But the BMRDA Act, 1985 itself is not in the Citation Sheet, so no explicit carve-out can be verified. There are also visible overlaps. BMRDA's s.9 coordination role over BBMP sits alongside GBA's binding power to supervise public authorities. The GBGA also creates a Bengaluru Metropolitan Planning Committee (BMPC) to prepare a draft development plan for the Greater Bengaluru Area. On this evidence demarcation is not shown, but a score of 0 cannot be given without the Act's text. | EVIDENCE: ULG side - GB</t>
  </si>
  <si>
    <t xml:space="preserve">The Greater Bengaluru Governance Act, 2024 Act No. 36 of 2025 [BMRDA-10]</t>
  </si>
  <si>
    <t xml:space="preserve">(a) the Greater Bengaluru Authority shall be the “Planning Authority” as defined under the Karnataka Town and Country Planning Act, 1961, for the areas comprising of the Greater Bengaluru Area;</t>
  </si>
  <si>
    <t xml:space="preserve">I left the score blank because the Citation Sheet does not contain the BMRDA Act. A person needs to score this.
**What the ULG law says (BMRDA-10).** I checked the Step 2 answer against the source and confirmed the section numbers. The GBGA is Act 36 of 2025; the PRS copy also includes Amendment Act 60 of 2025 and Second Amendment Act 1 of 2026, and neither amendment touches s.14(2), s.14(4) or BMRDA. The law clearly gives planning to the city government:
- Schedule I(1), read with s.111, lists '(i) Urban planning including town planning', '(ii) Regulation of land-use' and '(iii) Planning for economic and social development' as core functions of the City Corporations.
- s.14(2)(a) makes GBA the KTCP Planning Authority for the Greater Bengaluru Area 'Notwithstanding anything contained in any other law'.
- s.15(1) makes GBA responsible for the master plan and mobility plans.
So this is not Scenario A (where the ULG law gives the city no planning role).
**What the GBGA says about BMRDA.** The Act names BMRDA's Metropolitan Commissioner only as an ex-officio member of GBA (s.9(3)(u)) and of its Executive Committee (s.13(1)(e)). BMRDA is not named in s.14(4), the GBA's binding power to supervise public authorities, but that sub-section also covers 'such other bodies connected with municipal activities'. Schedule I(3)(i)(c) requires the city's plans to be integrated 'with the district or regional development plan'. That points to a split by scale (region versus city), but it does not name BMRDA. No repeal or amendment of the BMRDA Act was found in the GBGA text I read.
**What the sheet says about BMRDA.** The only account of BMRDA's functions is a secondary summary of s.9 of the BMRDA Act, 1985, in the Annual Report for FY 2022-23 (BMRDA-03, page 10). That report is from the BBMP era, so it is historical for the current arrangement. The summary lists a Structure Plan for the 8,005 sq km Metropolitan Region, coordinating execution of town planning schemes, entrusting development plans to Local Authorities, and coordinating BDA, BBMP and other bodies. The Act's own text is not in the sheet, so I cannot check whether it carves BMRDA out to regional planning only or overlaps with city planning.
**Signs of overlap.**
- BMRDA's s.9 coordination role (which still names BBMP) sits alongside GBA's binding coordination and supervision powers in s.8(3) and s.14(4).
- The BMPC set up under s.14(2)(c) prepares a metropolitan draft development plan, which looks similar to BMRDA's Structure Plan role.
These overlaps argue against the top score. A low score would need affirmative absence of any demarcation, and that cannot be shown without the BMRDA Act and Rules.
**Also unknown:** I don't have the full question rubric text, so I could not map the scenario bands to points myself.
**For a person to check:**
1. Add the official text of the BMRDA Act, 1985 (Karnataka Act 39 of 1985) as currently amended, especially s.9 and any provision on local authorities, plus the BMRDA Rules.
2. Confirm whether any instrument substitutes GBA or the City Corporations for BBMP in the BMRDA Act, or limits BMRDA within the Greater Bengaluru Area.
3. Then apply the rubric:
   - Scenario C if the BMRDA Act explicitly limits BMRDA to regional structure planning.
   - Scenario B if it repeats general planning and coordination powers that overlap with the city's.
   - Also check for Scenario D (planning assigned to the ULG but delivered by parastatals).
The GBGA text in the sheet is the PRS republication only (secondary).</t>
  </si>
  <si>
    <t xml:space="preserve">DPG1b</t>
  </si>
  <si>
    <t xml:space="preserve">Scored by AI</t>
  </si>
  <si>
    <t xml:space="preserve">ANSWER: Yes, but only in general terms. The BWSSB Act defines BWSSB's area by pointing to another body's jurisdiction: the BBMP area plus any adjacent areas the State Government notifies. The Act gives no boundary description, schedule or map for this area. That matches the 2.5 band ('defined only in general terms'), not the 5 band. The definition is also out of date: it still names BBMP, a body the Greater Bengaluru Governance Act, 2024 provides to replace, and none of the sources here shows that BWSSB's Act has been changed to name the new body. | EVIDENCE: (1) BWSSB Act, 1964 (BWSSB-02, PRS text, amendments up to Act 29 of 2021). s.2(1a), substituted by Act 15 of 2010 from 16.04.2010: 'Bangalore Metropolitan Area' means 'the area falling within the jurisdiction of the Bruhat Bangalore Mahanagara Palike and includes such other areas adjacent thereto as the State Government may, by notification, from time to time specify'. s.2(3) defines 'Bruhat Bangalore Mahanagara' as the BBMP area 'constituted under the Karnataka Municipal Corporations Act, 1976'. The preamble and the operative sections (e.g. s.26 vesting of water works, s.63 vesting of sewers, s.64(2) duty to sewer the area) all use 'Bangalore Metropolitan Area'. The 2010 amendment (s.31) also replaced 'City of Bangalore' with 'Bruhat Bangalore Mahanagara' throughout. No schedule or map is cited in the definition. The 2021 amendment changes only s.72A (rainwater harvesting), not the area. (2) The city government's law (G</t>
  </si>
  <si>
    <t xml:space="preserve">(1a) ‘Bangalore Metropolitan Area’   means the area falling within the jurisdiction of the Bruhat Bangalore Mahanagara Palike and includes such other areas adjacent thereto as the State Government may, by notification, from time to time specify;]1</t>
  </si>
  <si>
    <t xml:space="preserve">Proposed score: 2.5. The law defines BWSSB's area only in general terms, not with a schedule, boundary description or map. The question details (methodology and bands) were not included in this task's input. I applied the bands as the Step 2 answer gives them: 5 = clearly defined with a schedule, boundary description or map; 2.5 = defined only in general terms. A person should check these against the question bank before accepting the score.
What I checked against the source: I re-read BWSSB-02, the PRS republished text of the BWSSB Act, 1964 as amended by Acts 6/1966, 10/1966, 18/1984, 19/2009, 15/2010, 32/2010 and 5/2011, with later amending Acts appended. The source supports Step 2.
- s.2(1a) defines the 'Bangalore Metropolitan Area' only by reference to another body: the area under BBMP's jurisdiction, plus any adjacent areas the State Government notifies.
- s.2(3) ties 'Bruhat Bangalore Mahanagara' to BBMP 'constituted under the Karnataka Municipal Corporations Act, 1976'.
- The definition refers to no schedule, map or boundary description, and I found none in the passages I searched. The preamble, s.39–40 (laying mains 'within or without the local limits'), s.63 and s.64(2) all rely on this general definition.
- A score of 0 is not right, because a definition does exist.
- The 5 band is not met whether or not the BBMP/GBA question below is settled. The Act would still lack a schedule or map either way.
Points for the team to check:
(1) The definition still names BBMP. The Greater Bengaluru Governance Act, 2024 (BWSSB-04) provides for BBMP to cease to exist once the final s.7 notification is issued, and s.361 repeals the BBMP Act, 2020. Nothing in the Citation Sheet shows that the BWSSB Act's s.2(1a) was amended to name the new body, or when BBMP actually ceased.
(2) The State's s.2(1a) notifications adding adjacent areas are not in the Citation Sheet. If those notifications carry schedules or maps, the team may want to look at them. Even so, the Act itself defines the area only generally.
(3) Both Acts are PRS republished text, not gazette copies.
(4) The website's figure of 800 sq km for the 'BBMP Area' (BWSSB-07) is undated, and I did not use it for the score.</t>
  </si>
  <si>
    <t xml:space="preserve">Step 2 found no evidence: a source needs to be found and added. Step 2 found no evidence (Insufficient Evidence). Source needed: The Karnataka Government's notification under s.3 of the Road Transport Corporations Act, 1950 establishing BMTC (Karnataka Gazette), showing how its area of operation is defined, plus any later notifications or orders extending or reducing that area. Alternatively, an official BMTC or Transport Department document that reproduces the notified area.</t>
  </si>
  <si>
    <t xml:space="preserve">ANSWER: Partly. The BDA Act, 1976 does define BDA's territory, but only in general terms. The 'Bangalore Metropolitan Area' (BMA) is described by reference to areas set by two older Acts (the City of Bangalore under the 1949 Corporation Act, and the area where the 1945 Improvement Act was in force), plus any adjacent areas the Government notifies 'from time to time'. The Act contains no schedule, no boundary description and no map reference. This fits the 2.5 band ('defined only in general terms'), not the 5 band. | EVIDENCE: (1) BDA Act, 1976, s.2(c), PRS text with amendments up to Act 42 of 2026: BMA 'means the area comprising the City of Bangalore as defined in the City of Bangalore Municipal Corporation Act, 1949 ... the areas where the City of Bangalore Improvement Act, 1945 ... was ... in force and such other areas adjacent to the aforesaid as the Government may from time to time by notification specify'. s.3(1): the Government 'shall, by notification, constitute for the Bangalore Metropolitan Area an Authority'. s.14: BDA's objects are to 'promote and secure the development of the Bangalore Metropolitan Area'. s.15: development schemes are for the BMA. The arrangement of sections and the text show no Schedule defining the area. Amending Act 42 of 2026 (7.9.2026) changes only s.10 and s.38D, not the jurisdiction. (2) Karnataka Town and Country Planning (KTCP) Act, 1961, s.81-B(i), PRS copy up to Act 38 of 2015: BDA is the Local Planning Authority for the City of Bangalo</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</si>
  <si>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</si>
  <si>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defines BDA's jurisdiction, but only in general terms. The Step 2 answer holds up against the source. I checked it in BDA-02 (PRS copy of the BDA Act, 1976, amendments appended up to Act 42 of 2026).
What the Act says:
- s.2(c) defines the Bangalore Metropolitan Area (BMA) by pointing to three things: the City of Bangalore as defined in the 1949 Corporation Act; the area where the 1945 Improvement Act was in force; and adjacent areas the Government 'may from time to time by notification specify'.
- s.3(1): the Government 'shall, by notification, constitute for the Bangalore Metropolitan Area an Authority'.
- s.14: BDA's objects are to 'promote and secure the development of the Bangalore Metropolitan Area'.
- The list of sections runs from s.1 to s.77 (Repeal of Ordinance 29 of 1975). There is no Schedule, no boundary description and no map defining the area.
- s.67 adds s.81-B to the KTCP Act. It makes BDA the planning authority for the area of the former City Planning Authority, which is again a cross-reference with no boundary description. BDA-06 says the same.
The ULG and pending-law side (BDA-03, BDA-05) also defines areas only by cross-reference or notification, as Step 2 reports. It does not change the band.
Things a person should check:
(1) The question's Detailed Methodology and Notes for scorers were not in my task input. I have relied on the bands as Step 2 describes them: 5 = schedule, boundary description or map; 2.5 = defined only in general terms; 0 = not defined. Please confirm these against the question bank before accepting 2.5. If the bands differ, treat this as RUBRIC-GAP.
(2) The Citation Sheet does not include the s.2(c) notifications that added adjacent areas, any Rules under the BDA Act, the Greater Bengaluru Area notification, or BDA's jurisdiction map. A notification that sets out the boundaries could matter if the methodology accepts notifications, not just the Act.
(3) It is not shown whether LA Bill 55 of 2025 (BDA-05) was enacted and is in force.
(4) The legal text is a PRS republication only. PRS's own disclaimer says it is not authoritative; a gazette copy is preferred.
(5) s.2(i) still names the 'Corporation of the City of Bangalore'. No source in the sheet shows a successor body substituted.
Confidence is medium because the evidence is PRS-only, the score relies on reading several instruments together, and the rubric text was not given to me directly.</t>
  </si>
  <si>
    <t xml:space="preserve">ANSWER: The Citation Sheet does not show that BMRCL's own enabling legal framework clearly and specifically defines its territorial jurisdiction. BMRCL is a company set up under the Companies Act. Its founding document, the Memorandum and Articles of Association, is not in the sheet. The only parastatal-side statute in the sheet is the Metro Railways (Operation and Maintenance) Act, 2002. That Act defines where it applies only in general terms: it covers the National Capital Region and any other metropolitan area or metropolitan city the Central Government notifies. It has no schedule, boundary description or map. The Central notification extending the Act to Bengaluru is also not in the sheet. The city government's law (the GBA Act) defines the Greater Bengaluru Area and the City Corporations. It names BMRCL's Managing Director as a member of the GBA and its Executive Committee, but it does not define a BMRCL jurisdiction. | EVIDENCE: (1) Parastatal side, BMRCL-04 (Metro Railways O&amp;M Act, 2002), s.1(2), substituted by Act 34 of 2009: 'It extends in the first instance to the National Capital Region and the Central Government may, by notification, ... extend this Act to such other metropolitan area and metropolitan city...'. s.2(1)(h): 'metropolitan area' has the meaning in Art. 243P(c) of the Constitution. s.2(1)(ha): 'metropolitan city' means Bombay, Calcutta, Delhi or Madras. s.3(1): the Central Government 'may... by notification, constitute' Government metro railways. s.2(</t>
  </si>
  <si>
    <t xml:space="preserve">THE METRO RAILWAYS (OPERATION AND MAINTENANCE) ACT, 2002 [BMRCL-04]</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</si>
  <si>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</si>
  <si>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 and thereupon the provisions of this Act shall apply  to that metropolitan area or metropolitan city accordingly.</t>
  </si>
  <si>
    <t xml:space="preserve">I left the Score blank. Score 0 needs proof of absence, and the sheet does not provide it.
I checked the Step 2 answer against the sources and agree with it.
(1) Metro Railways (O&amp;M) Act, 2002 (BMRCL-04), s.1(2):
- This Act applies to BMRCL. The FY2020-21 secretarial audit in BMRCL-09 (p.58) lists it, the Metro Railways (Construction of Works) Act, 1978 and several 2013-14 Metro Railway Rules as industry laws BMRCL complies with.
- But s.1(2) only covers the National Capital Region plus any metropolitan area or city the Central Government notifies. It has no schedule, boundary or map.
- Bengaluru is not among the 'metropolitan cities' listed in s.2(1)(ha) (Bombay, Calcutta, Delhi, Madras). So it could only be covered as a notified 'metropolitan area' under Art. 243P(c), and the extension notification is not in the sheet.
- Chapter II (s.3) covers 'Government metro railways', which s.2(1)(f) defines as owned by the Central Government. BMRCL is a GoI-GoK joint venture, so Chapter II may not apply to it.
(2) Other sources:
- Companies Act 2013 (BMRCL-06) is general company law with nothing on BMRCL's area.
- BMRCL-09 describes BMRCL as serving the 'city of Bangalore' / 'Bangalore City'. That is the company describing itself, not a legal boundary, and it is from FY2020-21 (BBMP era, historical).
- GBA Act 2024 (BMRCL-02) makes BMRCL's MD an ex-officio member of the GBA (s.9(3)) and of its Executive Committee (s.13(1)(j)). It defines the area of the GBA and the City Corporations, not BMRCL's.
- GBGA Amendment Bill 2025 (BMRCL-03) only changes ss.8 and 14.
- BMLTA Act (BMRCL-08) s.3 sets out the area of BMLTA (the Bengaluru Urban Mobility Region), not BMRCL's.
- KTCP Act (BMRCL-07) does not deal with BMRCL.
(3) RUBRIC-GAP / missing evidence: the question's Detailed Methodology text is not in this task. The Step 2 notes suggest bands of 5 (clearly defined), 2.5 (general 'notified area', no schedule) and 0. If the O&amp;M Act counts as the enabling instrument, the evidence points towards 2.5. But whether that band fits is unconfirmed, and it depends on which instrument counts as 'enabling'.
The sheet is missing:
- BMRCL's Memorandum and Articles of Association (objects clause, area of operation);
- the Central notification extending the O&amp;M Act to Bengaluru, and whatever area it describes;
- the Metro Railways (Construction of Works) Act, 1978 and its extension notification;
- any rules or regulations defining the area.
A reviewer should get these documents, decide which one is BMRCL's enabling framework, and then pick the band (probably 2.5 if only the general 'notified area' clause applies).</t>
  </si>
  <si>
    <t xml:space="preserve">Step 2 found no evidence: a source needs to be found and added. Step 2 found no evidence (Insufficient Evidence). Source needed: (1) The full official text of the Bangalore Metropolitan Region Development Authority Act, 1985 (Karnataka Act No. 39 of 1985), current amended version, especially the definition of 'Bangalore Metropolitan Region' and any Schedule. Sources: the Karnataka legislation portal or eGazette, or PRS as a secondary copy. (2) The 'Jurisdiction Notification' and 'Jurisdiction Map' PDFs linked from the BMRDA website, saved with readable text and dated. (3) Any later Government of Karnataka notifications changing the Region's limits.</t>
  </si>
  <si>
    <t xml:space="preserve">DPG2a</t>
  </si>
  <si>
    <t xml:space="preserve">ANSWER: Under the BWSSB Act, the ULG has no seat on the BWSSB Board. Elected ULG members are barred by law. Section 3(5) says a member of 'any local authority' cannot be appointed to the Board or remain on it, so the 5-point situation (ULG-elected representatives voting on the Board) cannot arise. The Act does not say whether a non-elected ULG official could be appointed, or whether ULG invitees attend Board meetings. Those details would be in the Rules, the Regulations or the current Board list, and none of these is in the Citation Sheet. The score is therefore left blank rather than set to 0. | EVIDENCE: (1) BWSSB Act 1964, as amended up to Act 29 of 2021 (PRS text, BWSSB-02). s.3(1)-(2): the State Government constitutes the Board, which has 'not less than three and not more than nine members appointed by the State Government' (substituted by Act 15 of 2010). s.3(3): set seats need experience in commerce/administration (1), civil/public health engineering (2), and accounting/finance (1). None is an ex-officio ULG seat. s.3(4): the State Government appoints the Chairman. s.3(5): no member of Parliament, a State Legislature 'or any local authority' may be appointed or remain a member. s.6(1)(d): the State Government may remove a member who 'becomes or seeks to become a member of ... any local authority'. s.14: a separate Consultative Committee, made up of Board members plus 3-9 State appointees chosen after consulting bodies representing the 'Municipal Bruhat Bangalore Mahana</t>
  </si>
  <si>
    <t xml:space="preserve">A person shall be disqualif ied for being appointed or being a member of the Board if he is a member of the Parliament or of any State Legislature or any local authority.</t>
  </si>
  <si>
    <t xml:space="preserve">SCORE LEFT BLANK: a 0 needs affirmative absence, and the Citation Sheet does not establish it.
What the sheet does show (BWSSB Act 1964, PRS consolidation as amended up to Act 29 of 2021, BWSSB-02):
- s.3(2): the State Government appoints all 3-9 Board members.
- s.3(3): the seats are defined by experience in commerce/administration, civil or public-health engineering, and accounts/finance. None is an ex-officio ULG seat.
- s.3(4): the State Government appoints the Chairman.
- s.3(5): a member of 'any local authority' cannot be appointed or remain a member. s.6(1)(d) allows removal of a member who becomes or seeks to become one.
So elected ULG councillors cannot sit on the Board, and the top band (ULG-elected voting members) is ruled out in law.
What the sheet does not show:
- s.3(5) bars members of a local authority, not its officials. Nothing in the Act stops the State from appointing a ULG official (e.g. a Corporation or GBA Commissioner) under s.3(2)-(3).
- s.11 and s.88(1)(b) leave Board meetings, and any invitees, to Regulations. Under s.4 and s.87(2)(a), Rules fix the members' terms.
- Neither the BWSSB Rules nor the Regulations are in the sheet. Nor is the gazette notification constituting the current Board, or a current Board member list.
- So a partial band (ULG official or invitee, non-voting) can be neither confirmed nor ruled out.
What I read:
- BWSSB-02: ss.3, 4, 5, 6, 11, 14, 87, 88, and the Act 15 of 2010 amendment text.
- BWSSB-04, the GBA Act 2024 (Act 36 of 2025), as reported in Step 2. The relationship runs the other way: the BWSSB Chairman sits on the GBA under s.9(3)(h) and s.13(1)(g). Nothing found gives the ULG a seat on the BWSSB Board.
- BWSSB-23, the GBA (Amendment) Bill 2025: it only amends GBA Act ss.8(2) and 14(1). Nothing on the BWSSB Board.
- BWSSB-25, the press release page: navigation only, no Board list.
- BWSSB-01, -07, -11, -12, -13, -16, as reported in Step 2: no Board list.
The s.14 Consultative Committee includes appointees chosen after consulting the 'Bruhat Bangalore Mahanagara Palike'. It only advises (s.14(4)) and is not the Board, so it is not counted. Its BBMP-era wording has no official GBA-era substitution in the sheet.
To decide the score, a person should obtain:
1. The current Board constitution notification or member list (BWSSB website 'Formation &amp; Functions of the Board' page, or an RTI to the BWSSB PIO).
2. The BWSSB Rules (s.4/s.87).
3. The Regulations on Board meetings and invitees (s.88(1)(b)).
If no ULG official or invitee is on the Board, a 0 would be supportable. Note the exact rubric text was not supplied with this task. I applied the band structure given in Step 2's notes (5 = ULG-elected voting members; 2.5 = non-voting/invitee; 0 = none), and it should be confirmed against the question bank.</t>
  </si>
  <si>
    <t xml:space="preserve">ANSWER: Nothing in the Citation Sheet shows that the city government (GBA or its City Corporations) has a seat on BMTC's Board of Directors, either by law or on the published board. Under the parent Act, the State Government appoints every director. The Act requires seats only for the Central and State Governments (and shareholders, if shares are issued to other parties). BMTC's published Directors List has a Chairman, a Vice-Chairman and nine 'DIRECTOR (Official)' seats. Those nine are state secretaries, managing directors of the state transport corporations, two BMTC functional directors and a Government of India officer. None is from GBA, a City Corporation or an elected councillor. The GBA Act sets up the opposite link: BMTC's Managing Director sits on GBA as a voting ex-officio member. It does not put GBA on BMTC's board. The Rules layer was not available to read, so the 'no representation' finding is not yet a confirmed absence. | EVIDENCE: (1) Road Transport Corporations Act, 1950 (BMTC-02). s.5(1): the board holds 'general superintendence, direction and management'. s.5(2): 'The Board shall consist of a Chairman and such other Directors, being not less than five and not more than seventeen, as the State Government may think fit to appoint.' s.5(4): 'Rules made under this Act shall provide for the representation, both of the Central Government and of the State Government concerned, on the Board ... and ... of such shareholders'. s.44(2)(a): Rules may deal with 'the con</t>
  </si>
  <si>
    <t xml:space="preserve">THE ROAD TRANSPORT CORPORATIONS ACT, 1950 [BMTC-02]</t>
  </si>
  <si>
    <t xml:space="preserve">https://www.transport.telangana.gov.in/html/pdf/The_Road_Transport_Corporations_Act_1950.pdf</t>
  </si>
  <si>
    <t xml:space="preserve">(2) The Board shall consist of a Chairman and such other Directors, being not less than five and not more than seventeen, as the State Government may think fit to appoint.</t>
  </si>
  <si>
    <t xml:space="preserve">SCORE LEFT BLANK. The evidence points towards 0 (no city government seat on BMTC's board), but absence across every layer is not confirmed. A 0 needs that, so the score is left for a person to decide.
WHAT WAS CHECKED:
(1) BMTC-02, the RTC Act, 1950:
- s.5(2): the State Government appoints the Chairman and every Director, as many 'as the State Government may think fit to appoint'.
- s.5(4): Rules 'shall provide for the representation' of the Central and State Governments only, plus shareholders if shares are issued to other parties.
- s.44(2)(a): leaves the 'conditions and manner of appointment of Directors' and the constitution of the Board to Rules.
- The Act creates no seat for a local authority or ULG.
(2) BMTC-09, the Directors List, re-read: 1 Chairman (V.S. Aaradhya), 1 Vice-Chairman (M. Niketh Raj) and 9 'DIRECTOR (Official)' seats.
- Those 9 are: the Transport Secretary; the Finance Secretary (Expenditure); the MDs of KSRTC, BMTC, KKRTC and NWKRTC; BMTC's Director (Security &amp; Vigilance); BMTC's Director (IT); and the Director (Transport), MoRTH.
- None is a GBA or City Corporation official or councillor.
- The page does not say in what capacity the Chairman and Vice-Chairman serve, and it is undated.
(3) BMTC-04, the GBA Act: s.9(3)(i) puts BMTC's MD on GBA. That is the opposite direction and does not count as city government representation on BMTC's board. s.14(4) gives GBA a coordination role and is not a board seat.
(4) BMTC-20, the Rules and Regulations page: it only links to 'KSRTC Rules, 1961'. The Rules text is not in the Citation Sheet.
(5) A search of the whole sheet found no Rules text and no board-constitution notification.
MISSING EVIDENCE, needed before scoring:
(a) The text of the KSRTC Rules, 1961, or any BMTC-specific Rules or Gazette notification constituting the board under RTC Act s.5(4)/s.44(2)(a).
(b) The capacity of the Chairman and Vice-Chairman: state political appointees, or people holding office in the city government?
(c) A date for the Directors List.
(d) BMTC's legal form: GBA Act s.14(4) calls it 'Limited' and mentions a Memorandum of Association.
The question's rubric text was not given to me. Step 2 refers to bands of 5, 2.5 and 0. A person should check these against the methodology.
If (a) and (b) confirm that no city government nominee exists, the likely score is 0.</t>
  </si>
  <si>
    <t xml:space="preserve">ANSWER: On the face of the BDA Act, the city government is represented on BDA's governing board by elected councillors who can vote. The Act gives seats to two councillors elected by the councillors of 'the Bangalore City Corporation' from among themselves (s.3(3)(l)), plus the Corporation's Commissioner as an ex-officio official (s.3(3)(f)). All questions are decided by majority vote of members present and voting (s.8(4)), and nothing removes the councillor members' vote. However, the Act still names the 'Corporation of the City of Bangalore' / 'Bangalore City Corporation'. No source in the Citation Sheet shows that the Greater Bengaluru Authority (GBA) or its City Corporations were put in place of that body on the BDA board. There is also no current board member list, so I cannot say whether the current city government actually holds these seats. | EVIDENCE: (1) BDA Act 1976, PRS copy with amendments appended up to Act 42 of 2026 (BDA-02): s.3(3)(f) 'the Commissioner, Corporation of the City of Bangalore, ex-officio' (substituted by Act 34 of 1986); s.3(3)(l) 'two persons elected by the councillors of the Bangalore City Corporation from among themselves in the prescribed manner'; s.3(3)(l) proviso: while the Corporation is superseded or run by an Administrator, the two persons 'shall be nominated by the Administrator from among the officers of the Corporations'; s.4(1)(f): an elected member who ceases to be a councillor of the Corporation is disqualified; s.5(1) proviso: th</t>
  </si>
  <si>
    <t xml:space="preserve">(l) two persons elected by the councillors of  the Bangalore  City Corporation from among themselves in the prescribed manner : Provided that during the period of supersession of the Corporation or where any Administrator has been appointed, the two persons shall be nominated by the Administrator from among the  officers of the Corporations.</t>
  </si>
  <si>
    <t xml:space="preserve">I left the score blank because the evidence fits no band. A person needs to decide it (RUBRIC-GAP / not found).
(1) What the BDA Act says. I checked the PRS copy (BDA-02), amended up to Act 42 of 2026, against Step 2. On the face of the Act, the city government sits on the board through elected councillors:
- s.3(3)(l): 'two persons elected by the councillors of the Bangalore City Corporation from among themselves'.
- s.3(3)(f): the Corporation's Commissioner is an ex-officio member.
- s.8(4): all questions are decided 'by a majority of the votes of the members present and voting'.
- Nothing in the Act takes away these members' vote.
(2) Why that does not settle the score.
- The Act still names the 'Bangalore City Corporation' / 'Corporation of the City of Bangalore'. The city government today is the Greater Bengaluru Authority and its City Corporations, set up under the Greater Bengaluru Governance Act 2024 (Karnataka Act 36 of 2025), BDA-03.
- In BDA-03 I read s.360 (transitory provisions) and s.361 (repeal of the BBMP Act 2020 and savings). Neither has a clause saying that references to the Corporation in other laws now mean the City Corporations or the Greater Bengaluru Authority. Nor does either amend s.3 of the BDA Act.
- The amending Acts in BDA-03 change other things only: Act 60 of 2025 amends ss.8 and 14, and Act 1 of 2026 amends ss.9, 13, 29, 30, 33 and 241.
- Act 42 of 2026 changes only s.10 and s.38D of the BDA Act.
- So no source shows which councillors, if any, now elect the s.3(3)(l) members.
(3) Practice is not shown either.
- Under the s.3(3)(l) proviso, while councils are superseded or run by an Administrator, the seats go to nominated Corporation officers. That would be officials, not elected representatives.
- The sheet has no notification of board names under s.3(6), no current board list, no Rules under s.69(2)(b), and no official record of City Corporation elections.
- Step 2 notes that the question bank asks for a current board list as evidence.
(4) Other sources that do not answer this question.
- BDA-13 puts the BDA Commissioner on the Greater Bengaluru Authority's board. That is the reverse direction.
- BDA-06 (KTCP Act s.4C) is not BDA's board clause.
- BDA-05 (the KTCP amendment bill) may move planning for the Greater Bengaluru Area to the Greater Bengaluru Authority. Its commencement is unconfirmed.
What the team should check:
- the latest BDA board notification under s.3(6), with each member's category;
- whether councillors of the new City Corporations elect the s.3(3)(l) members;
- whether those seats are now filled by Administrator-nominated officers.
If an official source confirms that sitting elected councillors hold the two voting seats, the top band (5) would fit on the Act's text. The BDA Act text here is the PRS secondary copy.</t>
  </si>
  <si>
    <t xml:space="preserve">ANSWER: The Citation Sheet does not show any seat for the ULG on BMRCL's Board of Directors. The ULG means the Greater Bengaluru Authority (GBA) and its City Corporations, or BBMP in the earlier era. Only the Government of India and the Government of Karnataka have the right to nominate directors. On 31.03.2021 every director was a GoI or GoK nominee or a full-time functional director. None is shown as an elected city representative or a BBMP official. The relationship actually runs the other way: the GBA Act makes BMRCL's Managing Director a member of the GBA and its Executive Committee, and gives the GBA power to issue binding coordination directions to BMRCL. Neither of these puts the ULG on BMRCL's board. This cannot be scored 0 yet, because the Articles of Association themselves and a current (GBA-era) board list are not in the Citation Sheet. | EVIDENCE: (1) BMRCL side: BMRCL is a company, so its board is set by its Articles of Association, not by a statute. The Articles are not in the Sheet; they are described only in Annual Report FY2020-21 (BMRCL-09, Corporate Governance Report, p.45-46): board of 3 to 15 directors, 'nominated by the Promoter Government(s)'; 'Both the Governments have the right to nominate five (5) Directors each on the Board of Directors.' GoI appoints the part-time Chairman; GoK appoints the MD and CEO. (2) Board list as on 31.03.2021 (BMRCL-09 p.46-49): 12 directors. Nominees of GoI: Mishra (Chairman), Jaideep (MoHUA Joint Secretary), Saberwal (DM</t>
  </si>
  <si>
    <t xml:space="preserve">Bangalore Metro Rail Corporation Limited Annual Report (15th AGM; Board's Report and Financial Statements for year ended 31st March, 2021) [BMRCL-09]</t>
  </si>
  <si>
    <t xml:space="preserve">https://kla.kar.nic.in/council/house/Paperlaid/146/33.pdf</t>
  </si>
  <si>
    <t xml:space="preserve">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</si>
  <si>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I left the Score blank because the Citation Sheet cannot show that the ULG is absent from BMRCL's board, and only that absence would support a 0. Also, this task did not include the question text, the Detailed Methodology or the rubric bands for DPG2a. I have assumed from the Step 2 answer that DPG2a asks whether the city government (BBMP in the earlier era; the GBA and its City Corporations now) is represented on BMRCL's board, so the rubric bands need checking.
What the Sheet shows:
(1) BMRCL-09 (FY2020-21, BBMP era) says the board is set by the Articles of Association: 3 to 15 directors, either whole-time functional directors or part-time directors 'nominated by the Promoter Government(s)'. GoI and GoK each nominate 5 directors.
(2) The board as on 31.03.2021 (printed p.46 and 49) had 12 directors: 5 GoI nominees, 5 GoK nominees (counting the Chairman and the MD), and 2 whole-time directors. The Step 2 caveat about M. Nagaraj is resolved on printed p.2 (Board of Directors page): he is 'Director (Corporate Planning), Housing &amp; Urban Development Corporation Limited (HUDCO)' and a GoI nominee, not a BBMP or GBA person. The GoK nominees are ACS/Principal Secretary-level officers from UDD, Finance, the Development Commissioner's office and the CM's office. None is a BBMP official or an elected councillor.
(3) The city-government side runs the other way. Under the GBA Act (BMRCL-02, Act 36 of 2025), BMRCL's MD sits on the GBA under s.9(3)(j) and on its Executive Committee under s.13(1)(j). Under s.14(4) the GBA can issue binding directions to BMRCL. s.14(4) requires only BESCOM and BMTC, not BMRCL, to write the GBA's role into their Memorandum of Association. None of this gives the city government a seat on BMRCL's board. Supervision and direction powers are not board representation.
(4) BMRCL-04 (Metro Railways O&amp;M Act 2002) and BMRCL-06 (Companies Act 2013) contain no BMRCL board-composition provision naming any local body.
Why a 0 is not justified: the Articles of Association, which actually set the board's composition, are not in the Sheet; they are known only through the annual report's summary. The only board list is from FY2020-21 (BBMP era), so it is historical. No GBA-era board list (FY2024-25 or later) is in the Sheet. Everything available points towards the no-representation band, but a person should obtain BMRCL's Memorandum and Articles of Association and a current board list, check the DPG2a rubric, and then score. A 0 looks likely if those confirm the picture.</t>
  </si>
  <si>
    <t xml:space="preserve">ANSWER: Not determined. The only source in the Citation Sheet that describes BMRDA's board is its own 2022-23 Annual Report. It says the Act allows the Government to nominate 'representatives of the Local Authorities from the Region' to the Authority (the board), but all of those nominated seats have been vacant since July 2005. The same report says the Mayor of Bangalore sits on the Executive Committee, not on the Authority. The Citation Sheet does not contain the composition clause of the BMRDA Act, 1985, so I cannot confirm from the law whether local-authority seats on the Authority are mandatory, who fills them or whether they vote. I also cannot confirm whether a seat for the 'Mayor of Bangalore' has passed to the Greater Bengaluru Authority (GBA) or the City Corporation Mayors. | EVIDENCE: (1) BMRDA-03, BMRDA Annual Report 2022-23 (legislature paper), s.3 'Composition of the Authority and its Executive Committee', p.10 (English part). On the Authority: the Chief Minister chairs it, the Urban Development Minister is Vice Chairman, and Secretaries to Government and heads of departments are members. 'The Act also provides for nomination by the Government of ... representatives of the Local Authorities from the Region. Such representations fell vacant since July 2005 due to removal / resignation of the nominees.' On the Executive Committee: 'the Mayor of Bangalore, the Secretaries to Government and heads of several related departments/ organisations are the Members.' The re</t>
  </si>
  <si>
    <t xml:space="preserve">Annual Report of Bangalore Metropolitan Region Development Authority for the year 2022-2023 [01-04-2022 to 31-03-2023] [BMRDA-03]</t>
  </si>
  <si>
    <t xml:space="preserve">https://kla.kar.nic.in/council/house/Paperlaid/152/37.pdf</t>
  </si>
  <si>
    <t xml:space="preserve">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t>
  </si>
  <si>
    <t xml:space="preserve">I left the score blank. The Citation Sheet does not contain the evidence needed to place this in a band.
What BMRDA-03 (Annual Report FY 2022-23, BBMP era) says:
(a) Authority: the Act lets the Government nominate 'representatives of the Local Authorities from the Region' to the Authority. All those nominated seats have been vacant since July 2005.
(b) Executive Committee: 'the Mayor of Bangalore' is a member.
(c) Voting: the report says nothing about whether either seat has a vote.
The report's summary also suggests that local-authority representation on the Authority is the Government's choice (its wording is 'provides for nomination by the Government'). It is not shown to be a guaranteed ULG seat.
My check of the Step 2 answer: it matches the source. I found nothing else in the Sheet.
What is missing:
(1) The composition section of the BMRDA Act, 1985 (Karnataka Act 39 of 1985). Its PDF is only linked from BMRDA-13 and BMRDA-05; the text is not in the Sheet.
(2) The BMRDA Regulations 1996 and 1999. These are also only linked from BMRDA-13 and not readable here.
(3) A current list of members of the Authority and of the Executive Committee.
(4) Whether the Mayor or nominated members can vote.
(5) Whether the 'Mayor of Bangalore' seat passed to the Greater Bengaluru Authority (GBA) or the City Corporation Mayors under the Greater Bengaluru Governance Act, 2024 (BMRDA-10). The excerpts I read do not show this. It is also not shown whether elected Corporation councils now exist.
(6) A methodology question: does the Executive Committee count as the 'governing board', or only the Authority?
Why not 5: there is no evidence that ULG-elected representatives currently sit on the board with votes. The Authority seats are vacant, and the Mayor's seat is on the Executive Committee with voting not stated.
Why not 2.5: voting status and the current position are unknown.
Why not 0: the evidence suggests representation is provided for, and the Act and Regulations were not read. There is no affirmative absence.
This needs human review. Please read the BMRDA Act 1985 composition sections and the 1996/1999 Regulations on bmrda.karnataka.gov.in. As an RTI target, ask the BMRDA Public Information Officer for the current membership of the Authority and the Executive Committee, including voting status.</t>
  </si>
  <si>
    <t xml:space="preserve">DPG2b</t>
  </si>
  <si>
    <t xml:space="preserve">ANSWER: I found no requirement for BWSSB to submit or table its plans, budgets or annual reports before the ULG (the Greater Bengaluru Authority or a City Corporation council). The BWSSB Act sends the budget, the annual reports and the audited accounts to the State Government and the State Legislature only. The GBA Act gives the GBA a power to supervise BWSSB and issue binding directions to it, and lets the State Government call for reports. Neither Act makes BWSSB file documents with the GBA or a Corporation. Components: (1) plans: none found; (2) budgets: none found; (3) annual/performance reports: none found. | EVIDENCE: BWSSB side (BWSSB-02, BWSSB Act 1964, PRS consolidated text): s.17(1): budget statement for the coming year goes 'to the State Government'. s.17(3): the State Government lays it before both Houses of the State Legislature. s.86(1): annual report 'submit to the State Government' and published in the Gazette. s.86(2): yearly activity report, including activities planned for the next year (the nearest thing to a plan), submitted to the State Government and laid before the State Legislature. s.86(3): statistics, returns and scheme details go to the State Government. s.25(4)-(5): audited accounts go to the State Government and are laid before the Legislature. s.14(5): the budget statement is placed before the Consultative Committee before it goes to the State Government. That Committee is a State-appointed advisory body: Board members plus persons the State app</t>
  </si>
  <si>
    <t xml:space="preserve">The Board shall, before such date and in such form as may be prescribed by rules, submit to the State Government an annual report upon such matters as may be prescribed by rules, and the State Government shall cause such report to be published in the official Gazette.</t>
  </si>
  <si>
    <t xml:space="preserve">I left the score blank. I found no provision requiring BWSSB to submit its plans, budgets or annual reports to the city government (the Greater Bengaluru Authority, GBA, or a City Corporation council). But I can't prove the absence across every layer of law, so this is 'not found', not 0.
What I checked:
(1) BWSSB Act 1964 (BWSSB-02, PRS consolidated text with amendments up to Act 29 of 2021). Every document goes to the State Government or the State Legislature only:
- s.17(1),(3): the budget statement goes to the State Government, which lays it before the Legislature.
- s.86(1): the annual report goes to the State Government and is published in the Gazette.
- s.86(2): the activity report, including activities planned for the next year (the nearest thing to a plan), goes to the State Government and is laid before the Legislature.
- s.86(3): statistics and scheme details go to the State Government.
- s.25(4)-(5): audited accounts go to the State Government and the Legislature.
- s.14(5): the budget statement is placed before the Consultative Committee first. That Committee is appointed by the State and is advisory. It is not the city government or its council, even though the State consults the Palike (the old city corporation) when appointing members.
(2) GBA Act 2024, Karnataka Act 36 of 2025 (BWSSB-04, GBA era). I read it through targeted searches:
- s.14(3)-(4): the GBA can coordinate and supervise public authorities, including BWSSB by name, and issue binding directions. That is a power, not a duty on BWSSB to submit anything.
- s.15(5): agencies must assist the GBA when it asks. This is not a document-submission duty.
- s.19(1): periodic reports from public authorities go to the State Government, not the city government.
- s.22(2): the GBA sends its OWN report and budget to the City Corporations. This is not about BWSSB.
(3) GBA (Amendment) Bill 2025 (BWSSB-23): amends only ss.8(2) and 14(1). Nothing relevant.
Why this is not a 0: the Rules made under BWSSB Act s.87 are not in the Citation Sheet. Under s.87(2)(c),(g) those Rules govern the form and particulars of the budget statement and the form and date of the annual report. Under s.14(4)(iv) Rules can also add matters for the Consultative Committee. BWSSB's Regulations and any GBA Rules or Regulations are also missing, and I did not read the GBA Act cover to cover.
For the team to check:
(a) Whether the two Acts alone are enough for affirmative absence. If you accept them as the full relevant stack, all three components (plans, budgets, reports) look like 0 and the total would be 0.
(b) Get and read the BWSSB Rules and Regulations.
(c) BWSSB Act s.14(1) still names the 'Municipal Bruhat Bangalore Mahanagara Palike'. No source in the Citation Sheet shows the GBA or the City Corporations substituted for it.
The full Detailed Methodology text was not in the task input. I relied on the components (plans, budgets, annual reports) and the rule stated in the Step 2 answer: documents sent only to the State or the Legislature do not count.</t>
  </si>
  <si>
    <t xml:space="preserve">ANSWER: I found no requirement for BMTC to submit or table its plans, budgets or annual reports before the ULG: the Greater Bengaluru Authority (GBA), its City Corporations or their councils. The Road Transport Corporations Act, 1950 sends BMTC's budget for approval to the State Government. It sends returns and the annual report to the State and Central Governments, and the report is laid before the State Legislature. The only plan-submission rule found applies to subsidiary corporations, which submit to their parent Corporation or the State Government. Under the methodology, none of these counts as submission to the ULG. The GBA Act gives the GBA power to supervise and direct BMTC. It does not, in the parts read, require BMTC to submit any document to the GBA or the City Corporations. The likely result is 0 for all three parts. I am not giving a score because some legal layers were not checked, and BMTC's legal form is unclear. | EVIDENCE: Parastatal side, Road Transport Corporations Act, 1950 (BMTC-02): (1) Plans: s.17(2)(f): 'the capital budget, the revenue budget and the annual development plans of a subsidiary corporation shall be submitted for approval to the parent Corporation and where such budget or plan involves any deficit, also to the State Government'. This only applies if BMTC is a subsidiary corporation, which the sheet does not show, and in any case it does not go to the ULG. (2) Budgets: s.32(1): 'prepare and submit to the State Government for approval a budg</t>
  </si>
  <si>
    <t xml:space="preserve">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t>
  </si>
  <si>
    <t xml:space="preserve">Score left blank. Nothing I found sends BMTC's plans, budgets or reports to the ULG (the Greater Bengaluru Authority, its City Corporations or their councils), but the sheet does not let me show that such a rule is absent everywhere. A 0 needs that proof.
What I checked:
(1) Road Transport Corporations Act, 1950 (BMTC-02), as amended up to Act 4 of 2005. s.32(1)-(2): the budget goes to the State Government for approval. s.33(4): audited accounts go to the State Government and are laid before the State Legislature. s.35(1): returns go to the State Government. s.35(2): the annual report goes to the Central and State Governments. s.35(3): the report is laid before the State Legislature. None of these mentions the ULG. s.17(2)(f) covers subsidiary corporations, which submit to their parent Corporation or the State Government.
(2) Greater Bengaluru Governance Act, 2024 (Act 36 of 2025) (BMTC-04), GBA era. s.14(4) lets the GBA supervise public authorities and give binding directions. That is a direction power, not a duty for BMTC to submit documents. s.19(1): it is the State Government that may call for periodic reports. s.22(2): the GBA sends its own Annual Report and Budget to the City Corporations. That duty is the GBA's, not the parastatals'.
(3) BMLTA Act, 2022 (BMTC-06): reports and implementation plans go to BMLTA or the State Government. BMLTA is not the ULG.
(4) BMTC Rules and Regulations page (BMTC-20) lists 'KSRTC Rules, 1961' and several KSRTC Regulations.
Why I cannot score 0:
(a) The Karnataka Rules under RTC Act s.44(2)(i) and (l) set the budget and report form and date. These may be the 'KSRTC Rules, 1961' listed on BMTC-20, but that text is not in the sheet.
(b) BMTC's establishment notification and any BMTC Regulations or Memorandum of Association are not in the sheet.
(c) The GBA Act and BMLTA Act were read only as excerpts.
(d) BMTC's legal form is unclear. GBA Act s.14(4) calls it 'Bangalore Metropolitan Transport Corporation Limited' with a Memorandum of Association, so the RTC Act may not be its only governing instrument.
The question's full Detailed Methodology text was not in the task input; I relied on the Step 2 description of it (plans, budgets and reports submitted to the ULG).
What a person should check: if the KSRTC Rules 1961, BMTC's constitution notification, its Regulations, its MoA and the full GBA Act all show no submission to the ULG, the evidence supports 0 (plans 0, budgets 0, reports 0). I agree with the Step 2 answer that the score should stay blank for now.</t>
  </si>
  <si>
    <t xml:space="preserve">ANSWER: Partly, and the plans part is uncertain. Budget: the BDA's estimate goes to the BDA board and then to the State Government, not to the ULG or its council. Annual reports and audited accounts go to the State Government and the State Legislature, not to the ULG. Plans: one provision does involve the ULG. For each development scheme, BDA Act s.17(2) says a copy of the notice announcing the scheme 'shall be sent to the Corporation', which may send comments, and s.17(4) treats silence as agreement. That covers scheme notices only, not the full scheme documents and not the Master Plan. The Act still names the 'Corporation of the City of Bangalore'. No source on the sheet shows the GBA or the City Corporations replacing it. The GBA Act does not require the BDA to submit its plans, budget or reports to the GBA or the City Corporations. | EVIDENCE: (1) BDA Act, 1976 (BDA-02): s.17(2) a copy of the scheme notice 'shall be sent to the Corporation', which may within 30 days 'forward to the Authority for transmission to the Government ... any representation'; s.17(3) the notice is also posted at the Corporation's office; s.17(4) if the Corporation does not respond, 'the concurrence of the Corporation to the scheme shall be deemed to have been given'; s.18 the scheme goes to the Government for sanction. s.2(i) 'Corporation' means the 'Corporation of the City of Bangalore'. Budget: s.42-43 the estimate is laid before and approved by the Authority; s.44 'The estimate, as approved by </t>
  </si>
  <si>
    <t xml:space="preserve">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</si>
  <si>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left the Score blank. This was a judgement call, explained below.
(1) Full question text not supplied. The task did not give me the question wording, Detailed Methodology or rubric bands for DPG2b. I relied on the Step 2 description of three parts: plans, budgets and annual/performance reports sent to or tabled before the city government (ULG), about 1.67 points each out of 5. A person should check this against the question bank.
(2) Plans: undecided. I checked the source myself. BDA Act s.17(2) says a copy of each development scheme notice 'shall be sent to the Corporation', which may send representations within 30 days. Under s.17(4), silence counts as agreement. Two things stop me crediting this:
- It is a notice of the scheme sent for comment. It is not the plan tabled before the council, and it does not cover the Master Plan. Under the Town Planning Act (KTCP Act, BDA-06), s.9, the Master Plan goes to the State Government.
- s.2(i) still defines 'Corporation' as the 'Corporation of the City of Bangalore' (substituted by Act 34 of 1986). Nothing on the sheet shows the Greater Bengaluru Authority (GBA) or the City Corporations legally replacing it. The GBA Act (BDA-03) s.14(4) gives the GBA a power to direct and coordinate bodies like the BDA. It does not put a duty on the BDA to submit plans, budgets or reports to the GBA or the City Corporations.
The team needs to decide whether s.17(2) earns the plans credit and whether a successor body takes the Corporation's place.
(3) Budgets and reports: not found, not confirmed absent. Under the Act:
- ss.42-43: the budget estimate is laid before and approved by the BDA board.
- s.44: the approved estimate 'shall be submitted to the Government'.
- s.45: supplementary estimates also go to the Government.
- s.47(5): audited accounts and the auditor's report go to the State Government and are laid before the State Legislature.
- s.47A: reports go to the State Government 'in such form and at such intervals as may be prescribed' and are laid before the Legislature.
None of these sends anything to the ULG. But s.47 and s.47A leave form, content and timing to the Rules, and the BDA Rules and Regulations (s.69 and s.70) are not on the Citation Sheet. So I cannot show AFFIRMATIVE ABSENCE, and these two parts cannot be scored 0.
(4) Other sources checked: BDA-02 in full via relevant passages; BDA-03 (GBA Act: s.14(4), s.19, s.21-22); BDA-06 (KTCP Act: s.9, s.68B-68D, s.4H); BDA-05 (2025 KTCP amendment bill, which would make the GBA the planning authority inside the Greater Bengaluru Area; whether it was enacted and has come into force is not verified); BDA-04 and BDA-13 (GBA amendment bills). I found no duty on the BDA to submit plans, budgets or reports to the GBA or the City Corporations.
(5) If the team confirms that s.17(2) counts, that the successor body takes the Corporation's place, and that the Rules have no ULG submission requirement, the likely score is 1.67. That is not a whole number, so the team must also check the rubric bands (possible SCALE-MISMATCH or RUBRIC-GAP).
(6) All legal texts on the sheet are secondary copies from PRS. The BDA Act copy is as amended up to Act 42 of 2026.
RTI target: BDA's Public Information Officer or the Urban Development Department, Government of Karnataka. Ask for the current BDA Rules on budget estimates and s.47A reports, and any order directing the BDA to send plans, budgets or reports to the GBA or the City Corporations.</t>
  </si>
  <si>
    <t xml:space="preserve">ANSWER: None of the instruments in the Citation Sheet requires BMRCL to submit or table its plans, budgets or annual/performance reports before the Greater Bengaluru Authority (GBA), a City Corporation or its council. Under GBA Act s.14(4), the GBA can supervise BMRCL and issue binding directions to it, but that is a direction power, not a duty to submit documents. Every reporting duty found runs to the State Government, Parliament or the State Legislature. The answer stays at 'partial', with no 0, because BMRCL's own constitutional documents (Memorandum and Articles of Association) and the Rules under the GBA Act are not in the Citation Sheet. | EVIDENCE: (1) Greater Bengaluru Governance Act, 2024 (Kar. Act 36 of 2025) [BMRCL-02, PRS copy, GBA-era]: s.14(4) gives GBA 'Co-ordination and Supervision of Public Authorities', naming 'Bengaluru Metro Rail Corporation Limited', with 'directions ... which shall be binding'. Only BESCOM and BMTC are told to amend their Memorandum of Association; BMRCL is not, and nothing requires it to submit plans, budgets or reports to GBA. s.19(1): it is 'the Government' (the State) that is 'entitled to call for periodic reports from such Public Authorities' (this goes to the State, not the ULG). s.13(1)(j): BMRCL's Managing Director sits on GBA's Executive Committee (a membership, not a submission duty). s.15(5): GBA 'may assign the task of planning' major projects to public authorities, and agencies 'shall be bound to assist'. This is assistance</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</si>
  <si>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</si>
  <si>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Score left blank. The sources read show no duty for BMRCL to submit plans, budgets or reports to the city government. They do not prove that no such duty exists.
What the sources say (I checked them against Step 2):
(1) GBA Act s.14(4) [BMRCL-02]: the Greater Bengaluru Authority (GBA) can integrate and supervise BMRCL ('Bengaluru Metro Rail Corporation Limited' in the Act) and issue binding directions to it. That is a power to give directions, not a standing duty to submit plans, budgets or annual reports. The Act tells only BESCOM and BMTC to amend their Memorandum of Association; BMRCL is not named in that sentence.
(2) GBA Act s.19(1): 'the Government' (the State, not the city government) may call for periodic reports.
(3) GBA Act ss.21 and 22(2): these concern GBA's OWN budget and annual report going to the Government and the City Corporations, not BMRCL's.
(4) GBA Act s.15(5): agencies must assist GBA when it asks. That is not a duty to submit documents.
(5) Companies Act s.394 [BMRCL-06]: the annual report goes to Parliament and the State Legislature, not the city government.
(6) Metro Railways (Operation and Maintenance) Act ss.12 and 46 [BMRCL-04]: reports go to the Central Government.
(7) Town and Country Planning Act [BMRCL-07] and BMLTA Act [BMRCL-08]: their reporting duties are not on BMRCL.
Why no 0: a 0 needs proof of absence across all of BMRCL's instruments. These are missing from the Citation Sheet: BMRCL's Memorandum and Articles of Association, any Rules or Regulations under the GBA Act, the Metro Railways (Construction of Works) Act 1978, and any Karnataka government order or GBA direction under s.14(4) requiring BMRCL to submit documents. Missing evidence is 'not found', not 'absent'.
Other gaps:
- RUBRIC: the question's band definitions were not given in this task, so I could not check whether 0–5 maps to the plans/budgets/annual-reports parts. A person should confirm against the question bank.
- PERIOD: the GBA Act copy is the PRS secondary text of Kar. Act 36 of 2025 (GBA era). Amendments are not verified; the 2025 Amendment Bill [BMRCL-03] changes only ss.8(2) and 14(1).
- NAME: the Act says 'Bengaluru Metro Rail Corporation Limited', while BMRCL's annual report [BMRCL-09] says 'Bangalore'. The team should confirm these are the same entity.
- ELIGIBILITY: whether BMRCL counts as a parastatal (it is a company) is still pending team confirmation.
If the missing instruments are added and are also silent, a 0 would be supported.
RTI targets:
- PIO, BMRCL: current Memorandum and Articles of Association, and any orders requiring BMRCL to submit to GBA or the City Corporations.
- PIO, GBA: any directions issued to BMRCL under s.14(4).</t>
  </si>
  <si>
    <t xml:space="preserve">Step 2 found no evidence: a source needs to be found and added. Step 2 found no evidence (Insufficient Evidence). Source needed: The full current text of the BMRDA Act, 1985 (Karnataka Act 39 of 1985), as amended: its structure-plan approval, budget, accounts/audit and annual-report sections. Also any Rules under it, the BMRDA Regulations 1996/1999 and the 2000 Amendment, preferably official copies from the Karnataka law department / e-Gazette or BMRDA's 'Acts and Rules' page. These would show whether BMRDA must submit or table its structure plan, budget or annual report before the GBA or City Corporation councils. A gazette notification on whether the GBA or City Corporations replace BBMP / 'Corporation of the City of Bangalore' in the BMRDA Act would also help.</t>
  </si>
  <si>
    <t xml:space="preserve">DPG4</t>
  </si>
  <si>
    <t xml:space="preserve">ANSWER: Yes. BWSSB has an official website at bwssb.karnataka.gov.in, a Karnataka government domain. The saved copies of its pages opened and show their full content. The site carries dated content from the last 12 months, including a 'Water Shutdown on 31-07-2026' press release dated 27.07.2026. | EVIDENCE: (1) BWSSB-01, homepage: the footer says 'Content Owned and maintained by: Bengaluru Water Supply and Sewerage Board' and 'Designed, Developed &amp; Hosted by: Centre for e-governance - Webportal karnataka government © 2026'. The News and Events / Latest News list shows 'Water Shutdown on 22-07-2026.' (3 days ago), 'Deployment of Officers/Employees after Re-Organisation 2026' (2 weeks ago), 'AMRUT MITRA - Expression of Interest' (4 weeks ago) and several Direct Recruitment-2025 document-verification notices (3 days ago). (2) BWSSB-25, Press Release page: the 'Water Related Press Release' table lists entry 1 'Water Shutdown on 31-07-2026.' dated 27.07.2026, with a downloadable PDF, and entry 2 'Water Shutdown on 22-07-2026.' dated 20.07.2026. (3) Inner pages BWSSB-07 (About), BWSSB-11 (Organisation Chart), BWSSB-12 (RTI) and BWSSB-13 (Our Services) were also saved with their full content, so these sections also load. Four components: Existence = yes; Accessibility = yes (saved copies show full content); Currency = yes (27.07.2026 press release; homepage items shown as days or weeks old); Functionality = pages load; the individual download links were not each tested. | CAVEATS: </t>
  </si>
  <si>
    <t xml:space="preserve">Press Release - Bangalore Water Supply and Sewerage Board [BWSSB-25]</t>
  </si>
  <si>
    <t xml:space="preserve">https://bwssb.karnataka.gov.in/info-4/Press+Release/en</t>
  </si>
  <si>
    <t xml:space="preserve">Water Shutdown on 31-07-2026.</t>
  </si>
  <si>
    <t xml:space="preserve">I score 10, the top band. My reading is that the top band needs three things: the site exists, it opens without error, and it has dated content from the last 12 months. I checked each one against the Citation Sheet.
(1) The site exists and is official. It is on bwssb.karnataka.gov.in, which is a gov.in domain. The footer of both BWSSB-01 and BWSSB-25 reads 'Content Owned and maintained by: Bengaluru Water Supply and Sewerage Board' and 'Designed, Developed &amp; Hosted by: Centre for e-governance - Webportal karnataka government © 2026'.
(2) The site opens. The saved copies of the homepage (BWSSB-01) and the Press Release page (BWSSB-25) show their full content, not an error page. Step 2 says the same is true of BWSSB-07, -11, -12 and -13.
(3) The site has current content. In the BWSSB-25 table, entry 1 is 'Water Shutdown on 31-07-2026.' dated 27.07.2026 and entry 2 is 'Water Shutdown on 22-07-2026.' dated 20.07.2026. The BWSSB-01 'Latest News' list supports this: 'Water Shutdown on 22-07-2026.' shows as 3 days ago, 'Deployment of Officers/Employees after Re-Organisation 2026' as 2 weeks ago, and 'AMRUT MITRA - Expression of Interest' as 4 weeks ago. These dates fall well inside 12 months of the rules version (September 2026).
I checked the Step 2 answer against both sources and it holds up.
Caveats for the reviewer:
(a) The question's full Detailed Methodology text was not shown in this task. I took the band (10 = exists + opens + updated within 12 months) from the Step 2 notes, so please confirm it against the question bank.
(b) The footer 'Last Updated:' field is blank. Currency therefore rests on dated items, not a site-wide update stamp.
(c) The Citation Sheet has no recorded date of check, no dated screenshot and no web-archive capture, although the question's evidence requirement asks for them. A reviewer should capture these.
(d) The individual download links were not each tested.
(e) Many older press-release entries date from 2021–2023. They do not affect the 12-month test.</t>
  </si>
  <si>
    <r>
      <rPr>
        <sz val="11"/>
        <color theme="1"/>
        <rFont val="Calibri"/>
        <family val="2"/>
        <charset val="1"/>
      </rPr>
      <t xml:space="preserve">ANSWER: Yes. BMTC has an official website on a Karnataka government domain (mybmtc.karnataka.gov.in). Its saved homepage loads as a readable page and carries content dated within the last 12 months. The most recent item is a notice dated 31/03/2026. That meets the condition for 10 points: the site exists, opens without error and has been updated in the last 12 months. | EVIDENCE: (1) BMTC-01, the official homepage. The footer reads 'Content Owned and maintained by: Bengaluru Metropolitan Transport Corporation, Government of Karnataka', 'Designed, Developed &amp; Hosted by: Centre for e-governance - Webportal karnataka government © 2026' and 'Last Updated: 30-09-2026'. The 'Latest News' box lists a recruitment notice for Conductor posts (3rd additional selection list) dated '</t>
    </r>
    <r>
      <rPr>
        <sz val="11"/>
        <color theme="1"/>
        <rFont val="Noto Sans"/>
        <family val="2"/>
      </rPr>
      <t xml:space="preserve">ದಿ</t>
    </r>
    <r>
      <rPr>
        <sz val="11"/>
        <color theme="1"/>
        <rFont val="Calibri"/>
        <family val="2"/>
        <charset val="1"/>
      </rPr>
      <t xml:space="preserve">: </t>
    </r>
    <r>
      <rPr>
        <sz val="11"/>
        <color theme="1"/>
        <rFont val="Noto Sans"/>
        <family val="2"/>
      </rPr>
      <t xml:space="preserve">೩೧</t>
    </r>
    <r>
      <rPr>
        <sz val="11"/>
        <color theme="1"/>
        <rFont val="Calibri"/>
        <family val="2"/>
        <charset val="1"/>
      </rPr>
      <t xml:space="preserve">/</t>
    </r>
    <r>
      <rPr>
        <sz val="11"/>
        <color theme="1"/>
        <rFont val="Noto Sans"/>
        <family val="2"/>
      </rPr>
      <t xml:space="preserve">೦೩</t>
    </r>
    <r>
      <rPr>
        <sz val="11"/>
        <color theme="1"/>
        <rFont val="Calibri"/>
        <family val="2"/>
        <charset val="1"/>
      </rPr>
      <t xml:space="preserve">/</t>
    </r>
    <r>
      <rPr>
        <sz val="11"/>
        <color theme="1"/>
        <rFont val="Noto Sans"/>
        <family val="2"/>
      </rPr>
      <t xml:space="preserve">೨೦೨೬</t>
    </r>
    <r>
      <rPr>
        <sz val="11"/>
        <color theme="1"/>
        <rFont val="Calibri"/>
        <family val="2"/>
        <charset val="1"/>
      </rPr>
      <t xml:space="preserve">' (31/03/2026), shown as '6 months ago'. It also lists a notice on issuing disability bus passes for 2026, shown as '9 months ago', and Student Pass, Physically Challenged Scheme and Shakthi Scheme items, each shown as '4 months ago'. (2) BMTC-10 (Tenders), BMTC-18 (Departments) and BMTC-28 (Press Releases) are other saved pages of the same domain. Each loaded with a readable body and the same footer. Four components: Existence = yes. Accessibility = yes, four pages were saved with readable content. Currency = yes, there is dated content from 31/03/2026 and a footer date of 30-09-2026. Functionality = pages load, but individual links and portals were not tested. | CAVEATS: The 'Last Updated' foot</t>
    </r>
  </si>
  <si>
    <t xml:space="preserve">Bangalore Metropolitan Transport Corporation — official website [BMTC-01]</t>
  </si>
  <si>
    <t xml:space="preserve">https://mybmtc.karnataka.gov.in/english</t>
  </si>
  <si>
    <r>
      <rPr>
        <sz val="11"/>
        <color theme="1"/>
        <rFont val="Noto Sans"/>
        <family val="2"/>
      </rPr>
      <t xml:space="preserve">ನಿರ್ವಾಹಕ </t>
    </r>
    <r>
      <rPr>
        <sz val="11"/>
        <color theme="1"/>
        <rFont val="Calibri"/>
        <family val="2"/>
        <charset val="1"/>
      </rPr>
      <t xml:space="preserve">(</t>
    </r>
    <r>
      <rPr>
        <sz val="11"/>
        <color theme="1"/>
        <rFont val="Noto Sans"/>
        <family val="2"/>
      </rPr>
      <t xml:space="preserve">ಉಳಿಕೆ ಮೂಲ ವೃಂದದ</t>
    </r>
    <r>
      <rPr>
        <sz val="11"/>
        <color theme="1"/>
        <rFont val="Calibri"/>
        <family val="2"/>
        <charset val="1"/>
      </rPr>
      <t xml:space="preserve">) </t>
    </r>
    <r>
      <rPr>
        <sz val="11"/>
        <color theme="1"/>
        <rFont val="Noto Sans"/>
        <family val="2"/>
      </rPr>
      <t xml:space="preserve">ಮೀಸಲಾತಿ ಹುದ್ದೆಯ ಪರೀಕ್ಷಣಾ ಪಟ್ಟಿಯಿಂದ ಆಯ್ಕೆಗೊಳಿಸಿರುವ ೩ ನೇ ಹೆಚ್ಚುವರಿ ಆಯ್ಕೆ ಪಟ್ಟಿ ದಿ</t>
    </r>
    <r>
      <rPr>
        <sz val="11"/>
        <color theme="1"/>
        <rFont val="Calibri"/>
        <family val="2"/>
        <charset val="1"/>
      </rPr>
      <t xml:space="preserve">: </t>
    </r>
    <r>
      <rPr>
        <sz val="11"/>
        <color theme="1"/>
        <rFont val="Noto Sans"/>
        <family val="2"/>
      </rPr>
      <t xml:space="preserve">೩೧</t>
    </r>
    <r>
      <rPr>
        <sz val="11"/>
        <color theme="1"/>
        <rFont val="Calibri"/>
        <family val="2"/>
        <charset val="1"/>
      </rPr>
      <t xml:space="preserve">/</t>
    </r>
    <r>
      <rPr>
        <sz val="11"/>
        <color theme="1"/>
        <rFont val="Noto Sans"/>
        <family val="2"/>
      </rPr>
      <t xml:space="preserve">೦೩</t>
    </r>
    <r>
      <rPr>
        <sz val="11"/>
        <color theme="1"/>
        <rFont val="Calibri"/>
        <family val="2"/>
        <charset val="1"/>
      </rPr>
      <t xml:space="preserve">/</t>
    </r>
    <r>
      <rPr>
        <sz val="11"/>
        <color theme="1"/>
        <rFont val="Noto Sans"/>
        <family val="2"/>
      </rPr>
      <t xml:space="preserve">೨೦೨೬</t>
    </r>
  </si>
  <si>
    <r>
      <rPr>
        <sz val="11"/>
        <color theme="1"/>
        <rFont val="Calibri"/>
        <family val="2"/>
        <charset val="1"/>
      </rPr>
      <t xml:space="preserve">I checked the Step 2 answer against BMTC-01 and the source supports it. (1) The site exists and is official. It is on a *.gov.in domain (allowed category A). The footer says the content is owned and maintained by BMTC, Government of Karnataka, and that the site is hosted by the state Centre for e-governance. (2) It opens. The saved homepage has a readable body, not an error page or empty shell. (3) It is current. The 'Latest News' box shows dated content. Item 4 is the 3rd additional selection list for Conductor posts, dated 31/03/2026 (I read the Kannada numerals </t>
    </r>
    <r>
      <rPr>
        <sz val="11"/>
        <color theme="1"/>
        <rFont val="Noto Sans"/>
        <family val="2"/>
      </rPr>
      <t xml:space="preserve">೩೧</t>
    </r>
    <r>
      <rPr>
        <sz val="11"/>
        <color theme="1"/>
        <rFont val="Calibri"/>
        <family val="2"/>
        <charset val="1"/>
      </rPr>
      <t xml:space="preserve">/</t>
    </r>
    <r>
      <rPr>
        <sz val="11"/>
        <color theme="1"/>
        <rFont val="Noto Sans"/>
        <family val="2"/>
      </rPr>
      <t xml:space="preserve">೦೩</t>
    </r>
    <r>
      <rPr>
        <sz val="11"/>
        <color theme="1"/>
        <rFont val="Calibri"/>
        <family val="2"/>
        <charset val="1"/>
      </rPr>
      <t xml:space="preserve">/</t>
    </r>
    <r>
      <rPr>
        <sz val="11"/>
        <color theme="1"/>
        <rFont val="Noto Sans"/>
        <family val="2"/>
      </rPr>
      <t xml:space="preserve">೨೦೨೬ </t>
    </r>
    <r>
      <rPr>
        <sz val="11"/>
        <color theme="1"/>
        <rFont val="Calibri"/>
        <family val="2"/>
        <charset val="1"/>
      </rPr>
      <t xml:space="preserve">myself). The file name of its link, media_to_upload1774957936.pdf, contains a Unix timestamp that also falls on about 31 March 2026. Item 7 is the 2026 disability bus pass notice, shown as '9 months ago'. Items 1–3 (Student Pass, Physically Challenged Scheme, Shakthi Scheme) are shown as '4 months ago'. The site was saved on or about 30-09-2026, judging by the footer, so the dated notice falls inside the 12-month window. I relied on the dated notice for currency, not the 'Last Updated' footer, because that footer may be generated automatically by the state template. On that basis I gave the top band of 10, as Step 2 described it: the official site exists, opens without error and was updated within 12 months. CHECK FOR THE REVIEWER: (a) The DPG4 Detailed Methodology and rubric text were not included in my task input. I scored on the band as Step 2 described it, so please confirm the rubric (10 = exists, opens, updated in the last 12 months) and that 10 is the Max Score. (b) The Citation Sheet has no separately recorded check date and no dated screenshot or web-archive capture. Please record both, as the question bank requires. (c) I did not test links or portals one by one. (d) Some sections are stale: the latest Press Releases (BMTC-28) date from 2022, as do the 'Recent Updates' items such as the 2020 balance sheet. That does not change this score but matters for DPG5.</t>
    </r>
  </si>
  <si>
    <t xml:space="preserve">Step 2 found no evidence: a source needs to be found and added. Step 2 found no evidence (Insufficient Evidence). Source needed: A saved, dated capture of BDA's official website (homepage plus a notices/circulars or tenders page) showing: that it opens without error, the exact URL, the date of check, and at least one notice, circular or 'last updated' date within the last 12 months. The site's official status should be proven by a link from a Karnataka government (.gov.in/.nic.in) page or by an official instrument naming it.</t>
  </si>
  <si>
    <t xml:space="preserve">Step 2 found no evidence: a source needs to be found and added. Step 2 found no evidence (Insufficient Evidence). Source needed: A dated check of BMRCL's official website made during the review: a saved copy or screenshot (or web-archive capture) showing the homepage loads without error, plus at least one dated item (notice, circular, tender, press release or 'last updated' stamp) from the last 12 months. Ideally the site should also be shown to be official through a link from a Karnataka or Government of India .gov.in/.nic.in page (e.g. the Urban Development Department or MoHUA).</t>
  </si>
  <si>
    <t xml:space="preserve">ANSWER: Yes, provisionally. BMRDA has an official website at bmrda.karnataka.gov.in. The saved copy of its homepage opened as readable content, and it has content dated within the last 12 months: a file named for the 29 July 2026 Times of India Bangalore edition and a news item labelled '2 months ago'. That meets the score-10 band if the date of check falls within 12 months of 29 July 2026. | EVIDENCE: (1) BMRDA-05, homepage saved copy. It loaded as a full page with menus, RTI links, Circulars, Change of Land Use Notification, Gallery and Latest News. 'News and Events'/'Latest News' lists 'CA Site Paper Notification' as '2 months ago'. Two other items say 'One year ago'. Under Satellite Town Ring Road Planning Authority there is a link to a file named 'TOI ● Bangalore ● 29‧07‧2026'. It sits next to 'Proposed Draft Mobility Plan' links for nine planning authorities. Galleries include 'INDEPENDENCE DAY 2025' and 'republic day 26/01/2025'. The footer reads 'Content Owned and maintained by: Bengaluru Metropolitan Region Development Authority(BMRDA), Government of Karnataka' and '© 2026'. (2) BMRDA-02, BMRDA-07, BMRDA-12: other pages on the same domain also loaded as readable content and carry the same ownership footer. (3) BMRDA-03, Annual Report 2022-23 tabled in the legislature, item 10 'Website': 'the website of the Authority is created on internet as &lt;bmrda.karnataka.gov.in&gt;'. This confirms the domain is official. It is also a .gov.in domain. | CAVEATS: The 'Last Updated:' fi</t>
  </si>
  <si>
    <t xml:space="preserve">Home - Bangalore Metropolitan Region Development Authority(BMRDA) [BMRDA-05]</t>
  </si>
  <si>
    <t xml:space="preserve">https://bmrda.karnataka.gov.in/english</t>
  </si>
  <si>
    <t xml:space="preserve">The Karnataka Planning Authorities (Allotment of Civic Amenity Sites within the Bengaluru Metropolitan Region) Rules, 2026.</t>
  </si>
  <si>
    <t xml:space="preserve">I propose a score of 10. Max Score is 10 and the score-10 band needs an official website with content from the last 12 months. I checked the Step 2 answer against BMRDA-05 and it holds, with stronger evidence than Step 2 used. (1) The site exists and is official. It is on bmrda.karnataka.gov.in, a .gov.in domain. The footer, as quoted in Step 2, says the content is owned by BMRDA, Government of Karnataka. Step 2 also says BMRDA-03, the Annual Report 2022-23, names this domain as the Authority's website; I did not re-read BMRDA-03 myself. (2) The saved homepage is a full readable page: menus, RTI section, Notifications, Circulars, Change of Land Use Notification, Gallery and Latest News. (3) It has current content, shown in text on the page and not only in file names. The 'Acts and Rules' list has a link titled 'The Karnataka Planning Authorities (Allotment of Civic Amenity Sites within the Bengaluru Metropolitan Region) Rules, 2026', which is a 2026 instrument. 'Latest News' lists 'CA Site Paper Notification' as '2 months ago'. The CA Site Paper Notification links point to newspaper files dated 29-07-2026 (DH, NIE, TOI) and 30-07-2026 (EPaper-Bangalore). There is also a new 'Proposed Draft Mobility Plan' section with links for nine planning authorities. One more point is my own inference and needs checking: the upload IDs in those file names look like Unix timestamps. For example, 1785320210 would be about 29 Jul 2026 and 1790675754 about 29 Sep 2026. If so, the saved copy was made on or after about late September 2026. That fits the '2 months ago' label on the 29 July notification and the rules version (v2, September 2026). On that basis the newest content is well within 12 months of the snapshot. Caveats for the reviewer: the date of check is not recorded in the Citation Sheet; the footer's 'Last Updated' field is blank; there is no dated screenshot or web-archive capture, which the question bank requires; links on the page were not tested; and being reachable by an automated fetch does not prove a person can open the page. Reviewer: please record the date of check and capture a dated screenshot. If the live check finds nothing from the last 12 months, leave the score blank (VERIFICATION-LIMIT); do not score 0. The detailed methodology text for DPG4 was not in my task input. I used the band described in the Step 2 answer (Max 10 = website exists with content from the last 12 months), so please confirm it matches the question bank.</t>
  </si>
  <si>
    <t xml:space="preserve">DPG5a</t>
  </si>
  <si>
    <t xml:space="preserve">Step 2 found no evidence: a source needs to be found and added. Step 2 found no evidence (Insufficient Evidence). Source needed: Saved, dated copies of (a) the BWSSB website's Accounts &gt; Budget page and every file linked from it, and (b) the 4(1)(b)(x) Budget PDF from the RTI page. These would show the latest FY covered (FY 2026-27 or 2025-26 needed for credit) and the file type: XLS/XLSX/CSV/ODS/structured HTML, text PDF, or scanned PDF. Another acceptable source is the s.17 annual financial statement as laid before the Karnataka Legislature and posted on the legislature's papers-laid page, if published online in a structured format.</t>
  </si>
  <si>
    <t xml:space="preserve">Step 2 found no evidence: a source needs to be found and added. Step 2 found no evidence (Insufficient Evidence). Source needed: Any of these would answer it: (a) BMTC's budget estimates for FY 2026-27 or FY 2025-26, published on its official website or a Government of Karnataka portal; (b) BMTC's RTI s.4(1)(b) proactive-disclosure page showing the budget allocated (item xi); (c) the Annual Administrative Report page and its documents. For each, record the file format (XLS/CSV/structured HTML vs text PDF vs scanned PDF) and keep a dated screenshot.</t>
  </si>
  <si>
    <t xml:space="preserve">Step 2 found no evidence: a source needs to be found and added. Step 2 found no evidence (Insufficient Evidence). Source needed: Needed: (1) A saved, dated copy of the BDA website page (or a state government page) carrying BDA's annual budget for FY 2026-27 or FY 2025-26, to settle availability and currency. (2) The budget file itself, with its actual type recorded (XLS/XLSX/CSV/structured HTML, text PDF or scanned PDF), to settle format. If BDA has not published it, an RTI request to BDA for its sanctioned budget would show whether the budget exists but is unpublished.</t>
  </si>
  <si>
    <t xml:space="preserve">Step 2 found no evidence: a source needs to be found and added. Step 2 found no evidence (Insufficient Evidence). Source needed: BMRCL's budget for FY 2026-27 or FY 2025-26 (budget estimates or an approved budget) published on BMRCL's official website or a Karnataka/GoI .gov.in portal. Examples: a finance or budget page, the RTI s.4(1)(b) proactive disclosure of budget allocated to each agency, or Karnataka budget papers / MoHUA documents showing BMRCL's budget. Each needs the file type recorded (XLS/CSV/HTML table vs text PDF vs scanned PDF) and a date of access.</t>
  </si>
  <si>
    <t xml:space="preserve">Step 2 found no evidence: a source needs to be found and added. Step 2 found no evidence (Insufficient Evidence). Source needed: A saved, dated copy of BMRDA's 'Budget' page and the budget document(s) linked from it, showing which FY they cover (FY 2026-27 or 2025-26 needed) and the file type (XLS/CSV/structured HTML vs text PDF vs scanned PDF). Alternatively, BMRDA's approved budget estimates for FY 2025-26/2026-27 published on an official Karnataka government (.gov.in) page.</t>
  </si>
  <si>
    <t xml:space="preserve">DPG5b</t>
  </si>
  <si>
    <t xml:space="preserve">Step 2 found no evidence: a source needs to be found and added. Step 2 found no evidence (Insufficient Evidence). Source needed: Any one of these would answer it: a saved, dated copy of BWSSB's 'Accounts' web page (linked from the official website menu) showing audited annual accounts / balance sheet with FY and file type; the Karnataka Legislature papers-laid record of BWSSB's audited accounts and audit report (s.25(5)(a)); or the State Audit and Accounts / CAG audit report on BWSSB's accounts for FY 2024-25 (or FY 2023-24 if one-year lag applies). For the format component, the actual downloaded file (XLSX/CSV/structured HTML vs text or scanned PDF).</t>
  </si>
  <si>
    <r>
      <rPr>
        <sz val="11"/>
        <color theme="1"/>
        <rFont val="Calibri"/>
        <family val="2"/>
        <charset val="1"/>
      </rPr>
      <t xml:space="preserve">ANSWER: No score can be given. The most recent BMTC financial statements found in the Citation Sheet are for FY 2019-20: a 'Balance Sheet and Profit and Loss Account for the Year ended 31st March 2020', linked as a PDF from BMTC's official homepage. FY 2019-20 is well outside the window for the 2026 assessment, which is FY 2025-26, or FY 2024-25 with the one-year lag. But the Citation Sheet does not show whether newer audited accounts are published elsewhere, so a 0 for availability would need proof that they are absent, and we do not have it. The PDF itself is not in the Citation Sheet. So we cannot confirm that it is audited, or what file format it is (text, scanned or tabular). | EVIDENCE: (1) BMTC-01, the English homepage of mybmtc.karnataka.gov.in, 'Recent Updates' block: a link to a PDF (storage/pdf-files/bs-eng.pdf) labelled 'Balance Sheet and Profit and Loss Account for the Year ended 31st March 2020'. The same block also links an 'Annual Administrative Report' page, which is not in the Citation Sheet. (2) BMTC-12, the Kannada homepage, has the same item: a PDF (bs-kan.pdf) labelled '</t>
    </r>
    <r>
      <rPr>
        <sz val="11"/>
        <color theme="1"/>
        <rFont val="Noto Sans"/>
        <family val="2"/>
      </rPr>
      <t xml:space="preserve">ಆಸ್ತಿ ಮತ್ತು ಜವಾಬ್ಧಾರಿ ಪಟ್ಟಿ ಮತ್ತು ಲಾಭ ಮತ್ತು ನಷ್ಟದ ತ ಖ್ತೆ </t>
    </r>
    <r>
      <rPr>
        <sz val="11"/>
        <color theme="1"/>
        <rFont val="Calibri"/>
        <family val="2"/>
        <charset val="1"/>
      </rPr>
      <t xml:space="preserve">2020</t>
    </r>
    <r>
      <rPr>
        <sz val="11"/>
        <color theme="1"/>
        <rFont val="Noto Sans"/>
        <family val="2"/>
      </rPr>
      <t xml:space="preserve">ರ ಮಾರ್ಚ್ </t>
    </r>
    <r>
      <rPr>
        <sz val="11"/>
        <color theme="1"/>
        <rFont val="Calibri"/>
        <family val="2"/>
        <charset val="1"/>
      </rPr>
      <t xml:space="preserve">31 </t>
    </r>
    <r>
      <rPr>
        <sz val="11"/>
        <color theme="1"/>
        <rFont val="Noto Sans"/>
        <family val="2"/>
      </rPr>
      <t xml:space="preserve">ರಂದು ಇದ್ದರಂತೆ</t>
    </r>
    <r>
      <rPr>
        <sz val="11"/>
        <color theme="1"/>
        <rFont val="Calibri"/>
        <family val="2"/>
        <charset val="1"/>
      </rPr>
      <t xml:space="preserve">' ('Balance sheet and profit and loss account as at 31 March 2020'). (3) BMTC-02, Road Transport Corporations Act, 1950, s.33(1)-(2): BMTC must prepare an annual statement of accounts 'including the profit and loss account and the balance sheet', and these 'shall be audited annually by the Comptroller an</t>
    </r>
  </si>
  <si>
    <t xml:space="preserve">Balance Sheet and Profit and Loss Account for the Year ended 31st March 2020</t>
  </si>
  <si>
    <t xml:space="preserve">Score left blank. The Detailed Methodology and band rules for DPG5b were not in this task, so I can't apply a rubric. Even with the rubric, the Citation Sheet doesn't support a score.
(1) What was found: on BMTC's official site (mybmtc.karnataka.gov.in), the newest financial statements linked are 'Balance Sheet and Profit and Loss Account for the Year ended 31st March 2020' (FY 2019-20). The English homepage (BMTC-01) and the Kannada homepage (BMTC-12) both link them. That year is far outside the assessment window: FY 2025-26, or FY 2024-25 with the one-year lag.
(2) Why not 0: a 0 needs proof that newer accounts are absent, and we don't have it. The homepage also links an 'Annual Administrative Report' page (/80/annual-administrative-report/en), and that page is not in the Citation Sheet. It may hold later accounts. The FY 2019-20 PDF itself was not saved, so we can't confirm it is audited (e.g. that it carries a CAG certificate) or what file format it is. The Citation Sheet has no CAG audit reports on BMTC and no Karnataka Legislature papers-laid pages.
(3) Other things checked: BMTC-14 (Performance Indicator page) links 'Performance Indicators from 2018-19 to 2025-26 (Estimated)', including 'Financial Performance'. These are summary indicators, some only estimates, not audited financial statements, so they don't count as audited accounts. BMTC-02 (Road Transport Corporations Act, 1950, s.33) requires annual accounts that 'shall be audited annually by the Comptroller and Auditor-General of India or his nominee'. That is a legal duty, not evidence of publication; this is an Implementation question. I searched the whole Citation Sheet for audited accounts or balance sheets for FY 2023-24 and 2024-25 and found none.
I checked the Step 2 answer against the sources and agree that the score should stay blank.
VERIFICATION-LIMIT: the Annual Administrative Report page and bs-eng.pdf were not opened or saved.
Reviewer to-do:
(a) Open the Annual Administrative Report page and bs-eng.pdf, and check whether audited accounts for FY 2023-24, 2024-25 or 2025-26 are published.
(b) Check the audit status and file format of whatever is latest.
(c) Apply the DPG5b methodology. If after a full check FY 2019-20 is still the latest, a currency-based 0 would then be justified.
(d) Take a dated screenshot.
RTI target: BMTC Public Information Officer (Accounts), for the audited annual accounts for FY 2020-21 to FY 2025-26.</t>
  </si>
  <si>
    <t xml:space="preserve">Step 2 found no evidence: a source needs to be found and added. Step 2 found no evidence (Insufficient Evidence). Source needed: Needed: (a) BDA's official website page where its audited annual accounts or annual report are posted, with the latest FY shown (FY 2024-25, or FY 2023-24 allowing the one-year lag) and the file type (XLSX/CSV/structured HTML, or text vs scanned PDF); (b) Karnataka Legislature records of BDA accounts and audit reports laid under s.47(5), if those are posted online on a .gov.in/.nic.in domain; (c) the BDA Rules that prescribe how accounts are published. Each needs a dated screenshot or archived URL.</t>
  </si>
  <si>
    <t xml:space="preserve">ANSWER: The latest audited accounts in the Citation Sheet are for FY 2020-21 (year ended 31 March 2021). They are in BMRCL's 15th AGM Annual Report, posted as a PDF on the Karnataka Legislative Council papers-laid site (kla.kar.nic.in). No source in the Citation Sheet shows audited accounts for FY 2025-26, the immediately preceding year. None shows FY 2024-25 either, the latest year allowed under the one-year lag. FY 2020-21 is outside the permitted window. But BMRCL's own website and any later annual reports are not in the Citation Sheet, so I cannot confirm that newer accounts are missing. The result is 'not found', not 0. The only copy found is a PDF, not XLS/CSV/structured HTML. Whether BMRCL publishes its statements in a structured format anywhere is unknown. | EVIDENCE: BMRCL-09 (Annual Report, 15th AGM). The index lists '5. Independent Auditor's Report ... 61', '6. Comments of the Comptroller and Auditor General of India ... 76', '7. Balance Sheet as at 31st March, 2021 ... 81', the Statement of Profit and Loss, the Cash Flow Statement and the Notes (pp. 83-88+). The statutory auditor's report (Badari, Madhusudhan &amp; Srinivasan) is dated 24-08-2021. The C&amp;AG covering letter under s.143(6)(b) Companies Act is dated 22 October 2021. The Board's Report (p.40) says the annual return 'is placed on the website of the Company'. That is a claim inside the document, not a verified copy of the site. The PDF's text layer can be extracted, though with spacing artefacts; pp.1-2 have</t>
  </si>
  <si>
    <t xml:space="preserve">I forward herewith the ‘Comments’ of Comptroller and Auditor General of India under Section 143(6)(b) of the Companies Act 2013 on the accounts of Bangalore Metro Rail Corporation Limited for the year ended on 31 March 2021.</t>
  </si>
  <si>
    <t xml:space="preserve">I left the score blank because the latest accounts in the Citation Sheet are outside the window, but I cannot show that newer ones don't exist. A person needs to score this.
1. What the sheet holds: The only audited accounts are in BMRCL-09, the 15th AGM Annual Report for the year ended 31 March 2021 (FY 2020-21). The statutory auditor's report is dated 24-08-2021 and the C&amp;AG comments under s.143(6)(b) are dated 22-10-2021. The copy is hosted at kla.kar.nic.in (papers laid before the Karnataka Legislative Council), not on BMRCL's own site. I searched the sheet for audited statements for FY 2024-25 or 2025-26 and found none.
2. The assessment window: This is September 2026 under rules v2. The question needs accounts for FY 2025-26, or FY 2024-25 if the one-year lag applies. FY 2020-21 is outside that window.
3. Why not 0: A 0 needs affirmative absence, and the sheet doesn't allow that. It has no saved copy of BMRCL's website (bmrc.co.in, which the Board's Report itself names as hosting the annual return). It also has no MCA or stock-exchange filings, and no annual reports for FY 2021-22 to FY 2025-26. That makes this 'not found', not absent. VERIFICATION-LIMIT for the agency website.
4. Format: The only copy found is a PDF whose tables extract as plain text, not XLS/CSV/structured data. I could not check what formats BMRCL itself publishes in.
5. Sources I checked: BMRCL-09 (read). BMRCL-02, 03, 04, 06, 07 and 08 are laws (ULG, BMLTA, metro O&amp;M, Companies Act, planning) and contain no published accounts. The Companies Act s.136 duty to put statements on the website is a legal mandate, not evidence that BMRCL does it, so it doesn't count for an Implementation question.
For the person scoring:
- Open BMRCL's official website and look for audited financial statements or annual reports for FY 2024-25 or FY 2025-26, and note their file format.
- Capture a dated screenshot.
- Confirm BMRCL's eligibility as a parastatal. BMRCL-09 describes it as a GoI-GoK joint-venture Government Company under the Companies Act.</t>
  </si>
  <si>
    <t xml:space="preserve">Step 2 found no evidence: a source needs to be found and added. Step 2 found no evidence (Insufficient Evidence). Source needed: BMRDA's audited annual statement of accounts (income and expenditure, balance sheet, with the auditor's certificate or audit report from the State Audit and Accounts Department) for FY 2024-25 or FY 2025-26, published online. It could be on BMRDA's 'Budget and Annual Reports' page or among the Karnataka Legislature's papers-laid documents. The 2023-24 Annual Report PDF linked from the BMRDA home page and the budget page should also be added to the Citation Sheet and read. Record the file type of each (XLSX/CSV/HTML table vs text PDF vs scanned PDF).</t>
  </si>
  <si>
    <t xml:space="preserve">DPG5c</t>
  </si>
  <si>
    <t xml:space="preserve">ANSWER: Not determined. On its RTI page, BWSSB lists items under the heading 'Annual report'. The newest is labelled '2022-23', and the older ones are labelled '2019' and '2017'. Nothing labelled FY 2023-24, 2024-25 or 2025-26 appears there. Under the September 2026 rules, the latest report due is probably FY 2024-25 or 2025-26, so the 2022-23 item looks out of date. Even so, I cannot score availability as 0 because I have not shown that no current report exists anywhere. The format half also cannot be decided because none of the linked files is in the Citation Sheet. Latest information found: an item labelled 2022-23. | EVIDENCE: (1) BWSSB-12, BWSSB RTI page on bwssb.karnataka.gov.in, 'Annual report' table: '2022-23' links to rti-YearlyReport-PROSec.pdf (view); '2019' and '2017' link to 'new-page/Annual Report 2019' and '2017' (HTML pages). The same page also lists RTI-specific yearly reports: 'RTI-Annual Report 2021-22' (YearlyReport-2021-22.PDF) and 'RTI Act 2005 Annual Report 2020-21' for individual divisions. (2) BWSSB-01, BWSSB home page menus. The Introduction, Documents, Accounts (incl. Budget), Public Relations and Administration menus show no separate 'Annual Report' entry. (3) BWSSB-02, BWSS Act 1964 as on PRS (amendments appended up to Act 29 of 2021), s.86(1): the Board 'shall' submit an annual report to the State Government, which 'shall cause such report to be published in the official Gazette'. s.86(2): an annual activity report must be laid before the State L</t>
  </si>
  <si>
    <t xml:space="preserve">Right to information Act - Bangalore Water Supply and Sewerage Board [BWSSB-12]</t>
  </si>
  <si>
    <t xml:space="preserve">https://bwssb.karnataka.gov.in/new-page/Right%20to%20information%20Act/en</t>
  </si>
  <si>
    <t xml:space="preserve">[https://bwssb.karnataka.gov.in/storage/pdf-files/rti-YearlyReport-PROSec.pdf] view</t>
  </si>
  <si>
    <t xml:space="preserve">I left the score blank. The Citation Sheet can't decide it either way, so a person needs to score it. What the sheet shows: BWSSB's RTI page (BWSSB-12, undated capture) has a table headed 'Annual report'. Its newest item is labelled '2022-23' and links to rti-YearlyReport-PROSec.pdf. The older items are labelled '2019' and '2017' and link to HTML pages. The same page also lists 'RTI-Annual Report 2021-22' (YearlyReport-2021-22.PDF) and RTI Act annual reports for 2020-21 from individual divisions. These are yearly returns under the RTI Act, not the Board's annual report. Why I didn't score: (1) The task did not include DPG5c's Detailed Methodology and rubric bands, so I can't map the evidence to a number between 0 and 1 (RUBRIC-GAP / needs confirmation). (2) None of the linked files is in the Citation Sheet: not the 2022-23 PDF, and not the 2019 or 2017 pages. So it isn't known whether the 2022-23 item is the Board's annual report under s.86 of the BWSS Act or just an RTI yearly return from the Public Relations Office section, which its file name 'PROSec' suggests. Its financial year and format (searchable PDF or scan) are also unknown. (3) A score of 0 needs proof of absence, and that isn't shown. I checked BWSSB-12 (RTI page) and BWSSB-01 (home page menus, where I found no separate Annual Report entry), and searched the whole sheet for 'annual report 2023-24 2024-25'. Nothing newer than 2022-23 turned up. But the Karnataka Gazette (where s.86(1) says the report shall be published) and the Legislature's papers-laid records (s.86(2)) are not in the sheet. So 'not found' does not mean the report is absent. VERIFICATION-LIMIT: the linked files have not been opened. BWSSB-02, s.86 (the 'shall' duty to report and publish), is background only and is not evidence that a report is published online. For the reviewer: (a) open rti-YearlyReport-PROSec.pdf and confirm whether it is the s.86 annual report, which FY it covers, and whether it is searchable; (b) confirm which FY counts as the latest report due in September 2026; (c) check the Karnataka eGazette and the Legislature's papers-laid records for reports after 2022-23; (d) take a dated screenshot.</t>
  </si>
  <si>
    <t xml:space="preserve">Step 2 found no evidence: a source needs to be found and added. Step 2 found no evidence (Insufficient Evidence). Source needed: A saved, dated copy of the BMTC 'Annual Administrative Report' page and the reports it links to. That would show (a) the latest FY covered, ideally 2024-25 or 2025-26 as the latest report due, and (b) the file format: searchable or text PDF versus scanned or image-only PDF. A copy of BMTC's annual report as laid before the Karnataka Legislature under RTC Act s.35(3) would also help, if it is published online.</t>
  </si>
  <si>
    <t xml:space="preserve">Step 2 found no evidence: a source needs to be found and added. Step 2 found no evidence (Insufficient Evidence). Source needed: One of these would answer it: BDA's latest annual report, or its audited accounts and administration report, taken from BDA's official website or a Karnataka government site, with the financial year it covers and its file type (searchable or scanned PDF). Alternatively, the Karnataka Legislature list of papers laid showing BDA's s.47A report with a link to the document. The prescribed BDA Rules setting the report's due date would also help fix the period allowed.</t>
  </si>
  <si>
    <t xml:space="preserve">ANSWER: The latest BMRCL annual report in the Citation Sheet covers FY 2020-21, the year ended 31 March 2021. It went to the 15th AGM on 17 November 2021. This copy is a paper laid before the Karnataka Legislature and is hosted on kla.kar.nic.in, not on BMRCL's own website. As of the September 2026 rules version, the report for the immediately preceding FY would be FY 2025-26, or FY 2024-25 if that is the latest one due. FY 2020-21 is about four years older than either, so this copy does not meet the currency test. However, BMRCL's own website (annual-report or investor page) is not in the Citation Sheet. I therefore cannot show that no later report exists online, which means the currency component is 'not found', not 0. On format, the FY 2020-21 copy has an extractable text layer in its English body. Index, Board's Report, auditor's report, C&amp;AG comments and financial statements all yield text, so it looks like a searchable, downloadable PDF and not image-only. That finding is about an out-of-date report, though, not the current one. | EVIDENCE: BMRCL-09 (Annual Report FY 2020-21, kla.kar.nic.in Paperlaid/146/33.pdf). p.6, Notice of the 15th AGM on 17 Nov 2021: 'To receive, consider and adopt the Audited Financial Statements of the Company for the Financial year ended March 31, 2021'. p.8: 'the 15th Annual General Meeting of the Company is being held through VC/OAVM.' p.3: index covering Board's Report, Independent Auditor's Report, C&amp;AG comments, Balance Sheet as at 31 Marc</t>
  </si>
  <si>
    <t xml:space="preserve">In accordance with the relevant MCA Circulars, provisions of the Companies Act, 2013, the 15th Annual General Meeting of the Company is being held through VC/OAVM.</t>
  </si>
  <si>
    <t xml:space="preserve">Score left blank because the Citation Sheet only has an annual report that is out of date. That is not proof the current report is missing. (1) What the sheet holds: the only annual report is BMRCL-09. It covers FY 2020-21 (year ended 31 Mar 2021) and was put to the 15th AGM on 17 Nov 2021. It is a paper laid before the Karnataka Legislature, hosted on kla.kar.nic.in. Under the Sept 2026 rules version the current report would be FY 2025-26, or FY 2024-25 if that is the latest one due. FY 2020-21 is about four years too old to count as current. (2) No affirmative absence: I searched the whole sheet for reports from 2021-22 to 2024-25 and found none. BMRCL-02, -03, -04, -06, -07 and -08 are legal texts and none is an annual report. But BMRCL's own website (www.bmrc.co.in, the investor or annual-report page) is not in the Citation Sheet. Not finding a later report there is a VERIFICATION-LIMIT, not a negative finding, so a 0 is not allowed. (3) Format: the English body of the FY 2020-21 PDF has a text layer you can extract. That covers the Board's Report, the Independent Auditor's Report, the C&amp;AG comments and the financial statements. Pages 1-2 and 128-143 are image-only, and the Kannada part from p.144 comes out as garbled text because of a legacy font. This suggests a downloadable, searchable PDF, but it says nothing about the current report. The detailed methodology for DPG5c was not given in this task, so I could not apply its bands or confirm whether a copy hosted by the legislature counts. A person should: (a) open bmrc.co.in, or the Karnataka Legislature papers-laid pages, to find the FY 2024-25 or FY 2025-26 annual report and capture a dated screenshot; (b) check whether it is a searchable, downloadable PDF; (c) confirm whether a copy hosted only by the legislature counts as 'publicly available' for this parastatal.</t>
  </si>
  <si>
    <t xml:space="preserve">ANSWER: The latest BMRDA annual report the Citation Sheet confirms is the report for FY 2022-23 (01-04-2022 to 31-03-2023). It is a PDF in the Karnataka Legislative Council's papers-laid series on kla.kar.nic.in, and its text can be extracted. The BMRDA homepage also links to a file labelled '2023-24 Anual Report.pdf' and to a 'Budget and Annual Reports' page. Neither the file nor that page is saved in the Citation Sheet, so the 2023-24 report's contents and format are unconfirmed. These rules date from September 2026, so the immediately preceding FY is 2025-26. Nothing in the sheet shows a report for 2024-25 or 2025-26. I cannot say whether the 2022-23 or 2023-24 report is too old, because the sheet has neither the deadline for BMRDA's annual report nor the contents of the agency's annual-reports page. | EVIDENCE: (1) BMRDA-03 (Legislature Paper, kla.kar.nic.in), p.10: 'Annual Report of Bangalore Metropolitan Region Development Authority for the year 2022-2023 [01-04-2022 to 31-03-2023]'. The report is bilingual: Kannada on pp.1-9, English from p.10. The text extracts as machine-readable text with page markers. The Kannada pages use an older non-Unicode font, so their extracted text is garbled, but the English pages read cleanly. On format, this points to a searchable/downloadable PDF, not a scanned image. (2) BMRDA-05 (BMRDA official homepage, bmrda.karnataka.gov.in), Department Documents menu: link 'Budget and Annual Reports' plus a link labelled 'Annual Report' to a file </t>
  </si>
  <si>
    <t xml:space="preserve">Annual Report of Bangalore Metropolitan Region Development Authority for the year 2022-2023 [01-04-2022 to 31-03-2023]</t>
  </si>
  <si>
    <t xml:space="preserve">Score left blank because the Citation Sheet cannot decide it.
(1) What the evidence shows. I checked the Step 2 answer against the sources and it holds up. BMRDA-03 is BMRDA's Annual Report for FY 2022-23 (01-04-2022 to 31-03-2023), a PDF hosted on kla.kar.nic.in. The English pages (from p.10) extract as clean text. The Kannada pages (pp.1-9 and the annexures) are in a legacy non-Unicode font and come out garbled. Pages 20-36 return no text at all, so they may be scanned images. That makes the format only partly searchable.
(2) VERIFICATION-LIMIT. BMRDA-05, the agency homepage saved with dates up to 2026, links to 'Budget and Annual Reports' (https://bmrda.karnataka.gov.in/40/budget-and-annual-reports/en) and to an 'Annual Report' file named '2023-24 Anual Report.pdf'. Neither page was saved in the sheet. I cannot confirm the 2023-24 report's contents, its format, or whether any report for FY 2024-25 or 2025-26 exists. This is a limit on what I could check, not a negative finding.
(3) Currency. The assessment is dated September 2026, so the report for FY 2024-25, and possibly FY 2025-26, would normally be the latest one due. The BMRDA Act 1985 is linked on the homepage, but its text (and any annual-report deadline in it or in the Regulations) is not in the sheet. So I cannot say which report was 'latest due'. KTCP Act s.68D (BMRDA-08) applies to Planning Authorities, not to BMRDA.
(4) No detailed methodology or band breakdown for DPG5c came with this task. I therefore cannot tell how the 0-1 score splits between availability/currency and format, and I have not created bands myself (RUBRIC-GAP).
A 0 would need proof of absence, which the sheet cannot give. A positive score would need confirmation that a report for the latest due FY is online.
For the human scorer:
- Open the BMRDA Budget and Annual Reports page and the 2023-24 PDF, and check whether 2024-25 or 2025-26 reports are posted.
- Confirm the annual-report deadline under the BMRDA Act/Regulations.
- Confirm whether a report hosted on the Legislature's site counts as 'publicly available online'.
- Apply the DPG5c rubric bands for searchable versus scanned format.</t>
  </si>
  <si>
    <t xml:space="preserve">DPG5d</t>
  </si>
  <si>
    <t xml:space="preserve">Step 2 found no evidence: a source needs to be found and added. Step 2 found no evidence (Insufficient Evidence). Source needed: Any of these would answer it: a saved, dated copy of a BWSSB official web page that publishes Board meeting minutes or proceedings from FY 2024-25 or FY 2025-26, with each document's date and file type (searchable PDF, HTML or DOC, versus scanned or image-only); or the BWSSB RTI s.4(1)(b)(viii) statement saying whether Board minutes are public and where; or a dated screenshot showing no such page exists.</t>
  </si>
  <si>
    <t xml:space="preserve">Step 2 found no evidence: a source needs to be found and added. Step 2 found no evidence (Insufficient Evidence). Source needed: Copies, saved during the research step, of the BMTC website pages most likely to carry Board minutes: the RTI Section 4(1)(b) proactive-disclosure page, Circulars, Sitemap and 'More about BMTC'. Also any BMTC Board of Directors meeting minutes or proceedings published for FY 2025-26 or FY 2026-27, with the file type recorded (searchable PDF/HTML/DOC or scanned). Failing that, an RTI reply giving the dates of Board meetings and whether minutes are published.</t>
  </si>
  <si>
    <t xml:space="preserve">Step 2 found no evidence: a source needs to be found and added. Step 2 found no evidence (Insufficient Evidence). Source needed: Pages from BDA's official website (e.g. a board-meeting or proceedings page, or its RTI section 4(1)(b) proactive-disclosure page) fetched this session that show at least one set of BDA board minutes from FY 2025-26 or FY 2026-27, with the date of the meeting and the file type (searchable PDF, HTML or DOC vs scanned image). The page must be shown to be official, e.g. via a link from a karnataka.gov.in page. Also a dated screenshot or archived URL of each document. The BDA Regulations under s.70(1)(a) would show how meetings are run, but they could not prove publication.</t>
  </si>
  <si>
    <t xml:space="preserve">Step 2 found no evidence: a source needs to be found and added. Step 2 found no evidence (Insufficient Evidence). Source needed: Pages saved from BMRCL's official website: a Board meetings, disclosures or proactive disclosure (RTI s.4(1)(b)) page listing minutes of Board of Directors' meetings, with dated documents from the current or immediately preceding FY. Also needed: the file type of each document (searchable PDF/HTML/DOC versus scanned image), the date of access, and screenshots. Alternatively, a fully read website section showing no minutes are posted, which would support a documented 0.</t>
  </si>
  <si>
    <t xml:space="preserve">Step 2 found no evidence: a source needs to be found and added. Step 2 found no evidence (Insufficient Evidence). Source needed: Three things would answer this: (a) a dated, saved copy of the BMRDA website section or sitemap showing whether minutes or proceedings of Authority or Executive Committee meetings are published, ideally the latest minutes for FY 2024-25 or FY 2025-26, with their file format (searchable PDF/HTML/DOC versus scanned image); (b) the BMRDA RTI s.4(1)(b) proactive-disclosure document for the current period, if it carries minutes or decisions of board meetings; (c) failing those, a written statement from BMRDA on whether it publishes board minutes.</t>
  </si>
  <si>
    <t xml:space="preserve">DPG5f</t>
  </si>
  <si>
    <t xml:space="preserve">ANSWER: Partly answered. BWSSB's official website has an 'Organization Chart' page. It offers a 2026 re-organisation chart and a 2026 office memo (OM) on where officers and employees were posted after the re-organisation. This points to the organisational structure being updated in 2026, which is in the current or immediately preceding FY. The chart PDF itself is not in the Citation Sheet, though. So I cannot confirm what it shows, its exact date, or whether it is searchable text or an image. That leaves the format/accessibility component undetermined. | EVIDENCE: (1) BWSSB-11, Organization Chart page (bwssb.karnataka.gov.in, BWSSB's own site under the Karnataka government portal). It lists eight downloads: 'Re-organization of BWSSB FA section 2026'; 'Re-Organisation Chart 2026' (PDF); 'OM-Deployment of Officers/Employees after Re-Organisation 2026'; 'Annexure-1 - Deployment of Officers/Employees after Re-Organisation 2026'; 'Annexure-2 -(Re-Organisation 2026)'; 'Organisation Chart - 2020'; 'Organisation Chart - 2016'; and a notification on renaming division offices. (2) BWSSB-01, home page news list. It shows 'Deployment of Officers/Employees after Re-Organisation 2026' as posted '2 weeks ago'. On the same capture, 'Water Shutdown on 22-07-2026' shows as '3 days ago', so the page was captured around late July 2026. It also shows 'Re-Organization of CE-(WWM) East &amp; West Zones' (11 months ago). (3) BWSSB-12, RTI page. Under Section 4(1)(b) it lists '4 (1) (b) i - Administrativ</t>
  </si>
  <si>
    <t xml:space="preserve">Organization Chart - Bangalore Water Supply and Sewerage Board [BWSSB-11]</t>
  </si>
  <si>
    <t xml:space="preserve">https://bwssb.karnataka.gov.in/info-1/Organization+Chart/en</t>
  </si>
  <si>
    <t xml:space="preserve">Re-Organisation Chart 2026</t>
  </si>
  <si>
    <t xml:space="preserve">I left the score blank because the Citation Sheet doesn't let me check every part of the question. This is a VERIFICATION-LIMIT, not a finding that the chart is missing.
What the sources show:
(1) BWSSB-11 is the Organization Chart page on BWSSB's own site (bwssb.karnataka.gov.in). It lists a 'Re-Organisation Chart 2026' PDF, the 2026 deployment OM, Annexures 1 and 2, a 2026 FA-section re-organisation page, and older charts from 2020 and 2016. The 2020 and 2016 charts are historical.
(2) BWSSB-01 and BWSSB-16 are homepage captures. Both show the 2026 deployment item as posted '2 weeks ago', and 'Water Shutdown on 22-07-2026' as '3 days ago'. That puts the capture around late July 2026, in FY 2026-27. The 2026 re-organisation documents therefore fall in the current or immediately preceding FY.
Why the score stays blank:
- None of the documents themselves is in the Citation Sheet: not the 2026 chart PDF, the OM or the annexures. So I can't confirm their content, exact date, or whether they show identifiable posts and officials.
- I also can't tell whether the chart is searchable text or a scanned image. That leaves the format/accessibility part of the score undetermined.
- The only other chart in the sheet is in BWSSB-12 (RTI page): '4 (1) (b) i - Administrative Organization Chart'. It is an undated .jpg and its content wasn't read.
- Step 2 said Contact Info wasn't in the sheet, but it is (BWSSB-16). However, the BWSSB-16 text I read is a Kannada homepage-style capture with news items and helpline numbers. It isn't a directory of officers, so it doesn't fill the gap.
- I searched the whole Citation Sheet for directory or organisation-chart content and found none.
Step 2's provisional 0.5 for being available and current is plausible, but it rests only on document titles and posting dates. I can't give a partial score while the other part is unknown.
For a reviewer:
- Open the 2026 Re-Organisation Chart PDF linked from BWSSB-11. Confirm that it is dated 2026, shows the current structure with named posts or officials, and is searchable text rather than a scanned image.
- Check whether the Senior Management page, or a text version of Contact Info, gives an HTML directory.
- Then apply the rubric for both parts. Take a dated screenshot.</t>
  </si>
  <si>
    <t xml:space="preserve">ANSWER: BMTC publishes its organisational structure online, in a format that can be searched. Its official website has a Departments page. This is an HTML page listing 16 departments, the post that heads each one and what each does. A separate Officers List page links three English PDFs of serving staff (management, officers, depot managers). The currency half cannot be decided from the Citation Sheet. The Departments page has no date of its own. The Officers List PDFs were not opened or saved, so their dates and file type are unknown. The only date shown is the site-wide footer 'Last Updated: 30-09-2026'. That is a template date for the whole site, not evidence of when the organisational information was updated. | EVIDENCE: (1) BMTC-18, Departments page (mybmtc.karnataka.gov.in): an HTML table with columns for department, head and description. Examples: Traffic Operations - 'Chief Traffic Manager (Operation)'; Law - 'Chief Law Officer and Public Information Officer'; Accounts - 'Chief Accounts Officer/ FA'; Administrative - 'Chief Personnel Manager'; Internal Audit - 'Dy CAO/ IA'; Board Secretariat - 'Board Secretary'; Stores and Purchases - 'Controller of Stores and Purchases'. The text is machine-readable, so this is a searchable webpage with identifiable posts and structure. The page has no date. (2) BMTC-11, Officers List page: links to 'List of Management', 'List of Officers Working in BMTC' and 'List of Depot Managers Working in BMTC'. The PDF file names contain 'worki</t>
  </si>
  <si>
    <t xml:space="preserve">Departments - Bengaluru Metropolitan Transport Corporation [BMTC-18]</t>
  </si>
  <si>
    <t xml:space="preserve">https://mybmtc.karnataka.gov.in/info-1/Departments/en</t>
  </si>
  <si>
    <t xml:space="preserve">Board Secretariat
Board Secretary
Responsible for activities relating to organizing Board Meetings of the corporation</t>
  </si>
  <si>
    <t xml:space="preserve">SCORE LEFT BLANK. I agree with the Step 2 answer.
PUBLICATION AND FORMAT: Met. BMTC-18 is BMTC's own Departments page on mybmtc.karnataka.gov.in. It is a searchable HTML table of 16 departments, each with the post that heads it and what it does, for example 'Board Secretariat / Board Secretary', 'Chief Accounts Officer/ FA' and 'Chief Personnel Manager'. BMTC-11 is the Officers List page. It links three PDFs: List of Management, List of Officers Working in BMTC and List of Depot Managers Working in BMTC.
CURRENCY: Cannot be decided from the Citation Sheet.
(a) The Departments page has no date of its own.
(b) The only date shown is the footer 'Last Updated: 30-09-2026'. The same footer appears on every BMTC page in the sheet (BMTC-01, -11, -18, -28), so it is a date for the whole site, not for this content.
(c) The three Officers List PDFs are not in the Citation Sheet. Their contents, date and file type (text or scanned) are unverified.
LEAD FOR THE REVIEWER, NOT USED TO SCORE: The PDF file names contain 'updated eng 3107', and the uploads end in suffixes such as '_1785482902'. If that suffix is an upload timestamp, it would point to about 31 July 2026 (FY 2026-27). That matches '3107' meaning 31-07. But this is my own reading of a file name, not a date shown in any document, so I have not counted it as evidence of currency.
No dated organisation chart is in the sheet, and neither is the content of the RTI 4(1)(b) disclosure pages. The legal sources (BMTC-02, -04, -06, -07) are not evidence of whether this information is published.
The detailed methodology text was not given to me beyond what the Step 2 notes say. Based on those notes, this would likely score 1.0 if a person opens the PDFs and confirms they are dated FY 2025-26 or FY 2026-27 and are text PDFs, or that the HTML page is current. A person should open the three PDFs, record their date and file type, and save a dated screenshot. Because I could not open them, this is a VERIFICATION-LIMIT and not a negative finding.</t>
  </si>
  <si>
    <t xml:space="preserve">Step 2 found no evidence: a source needs to be found and added. Step 2 found no evidence (Insufficient Evidence). Source needed: Any of these would answer it: a dated, saved copy of the organisation chart or officers/staff directory page on BDA's official website; BDA's RTI Act section 4(1)(b) proactive-disclosure document (the parts listing officers' and employees' directory and organisation structure); a BDA annual report or sanctioned-versus-working staff statement for FY 2025-26 or FY 2024-25. For each, the reviewer needs the date of access, the date of the content, and the file type (HTML, searchable PDF, XLS/CSV, image or scanned PDF). BDA's official domain must be shown to be official through a link from a .gov.in or .nic.in page.</t>
  </si>
  <si>
    <t xml:space="preserve">Step 2 found no evidence: a source needs to be found and added. Step 2 found no evidence (Insufficient Evidence). Source needed: Needed: a dated screenshot or archived copy of BMRCL's official website organisation chart, 'Who's who' or staff directory page. Or BMRCL's RTI Act s.4(1)(b) proactive-disclosure manual, with its organisation structure and directory of officers and employees, dated FY 2025-26 or 2026-27. Or a recent BMRCL annual report (FY 2024-25 or 2025-26) that describes the current organisational set-up. For each, record whether it is HTML, a searchable PDF, XLS/CSV, or an image-only or scanned file.</t>
  </si>
  <si>
    <t xml:space="preserve">ANSWER: BMRDA's website has a Contact Us page that works as a staff directory. It is searchable HTML text listing 18 senior posts by designation, with the officer's name and office phone number, and posts shown as 'Vacant' where unfilled. That meets the format standard. Whether it is current cannot be decided because the page carries no date. The format half looks met (0.5); the currency half is undetermined, so no score is proposed. | EVIDENCE: (1) BMRDA-06, BMRDA website, Contact Us page: an HTML table with columns Name / Designation / Office Number. It lists 'Sri. Rajendra P Cholan, Metropolitan Commissioner', 'Smt. Suma J, Metropolitan Planner and Director', 'Sri.Maruthi Prasanna B V, Additional Metropolitan Commissioner', Joint Metropolitan Commissioner, Joint Directors, Accounts Officer, and posts marked 'Vacant' (Deputy Metropolitan Commissioner, 4 Deputy Directors, 3 Assistant Directors, Additional Director, Account Superintendent). The page footer reads 'Last Updated:' with no date; the '© 2026' line is the hosting template's copyright. (2) BMRDA-05, BMRDA home page: links to an 'Organisation chart' PDF (ORGNenglish.pdf) and names 'SRI RAJENDRA CHOLAN P, IAS, Metropolitan Commissioner BMRDA', which matches the directory. The organisation chart PDF itself is not in the Citation Sheet, so its date and format are unknown. The home-page news items carry only relative dates ('2 months ago'). (3) BMRDA-03, Annual Report 2022-23 (Legislature Paper): s.11 says sanctioned sta</t>
  </si>
  <si>
    <t xml:space="preserve">Contact Us - Bangalore Metropolitan Region Development Authority(BMRDA) [BMRDA-06]</t>
  </si>
  <si>
    <t xml:space="preserve">https://bmrda.karnataka.gov.in/page/Contact+Us/en</t>
  </si>
  <si>
    <t xml:space="preserve">Sri. Rajendra P Cholan
Metropolitan Commissioner
080-22255493</t>
  </si>
  <si>
    <t xml:space="preserve">Score left blank because it cannot be decided from the Citation Sheet. The format half has some support, but nothing shows whether the directory is current.
(1) Format: BMRDA-06 is the Contact Us page at https://bmrda.karnataka.gov.in/page/Contact+Us/en. Its directory is plain HTML text you can search, not an image. It lists 18 posts in columns Name / Designation / Office Number, with unfilled posts marked 'Vacant'. Examples are the Metropolitan Commissioner (Rajendra P Cholan), the Metropolitan Planner and Director (Suma J) and the Additional Metropolitan Commissioner (Maruthi Prasanna B V). On format alone this supports the 0.5 that Step 2 gave provisionally. The full question text and Detailed Methodology were not in this task input, so I could not check the exact wording of the band myself.
(2) Currency: undetermined, so this is a RUBRIC-GAP. The page footer reads 'Last Updated:' with nothing after it. The footer on BMRDA-02, BMRDA-05 and BMRDA-13 is the same. The '© 2026' line is the copyright of the hosting template (Centre for e-Governance), not a date for this content. The home page (BMRDA-05) names the same Metropolitan Commissioner as the directory, but it also carries no date; its news items show only relative dates such as '2 months ago'. The only dated staffing record is the Annual Report 2022-23 (BMRDA-03, s.11 and Annexure-1), which gives the position as on 31.03.2023. It names N.S. Chidananda as Additional Metropolitan Commissioner from 03.03.2023 and J. Suma as Additional Director. The current directory shows different people in these roles, so it was revised at some point after March 2023. Nothing in the Citation Sheet dates that revision to the current or previous financial year.
(3) A 0 is not justified. A directory exists, and an undated web page is a verification limit, not proof that the information is missing.
For the reviewer:
(a) Open the Contact Us page and capture a dated screenshot, as the question bank's evidence rule requires. Also check for a revision date, or confirm one with BMRDA.
(b) Open the 'Organisation chart' PDF linked from the BMRDA-05 home page (https://bmrda.karnataka.gov.in/storage/pdf-files/ORGNenglish.pdf). It is not in the Citation Sheet. Record its date and whether its text is searchable or a scanned image.
(c) Decide whether a contact list of about 18 senior posts counts as the 'current organisational structure'. The sanctioned strength as on 31.03.2023 was 56 posts (BMRDA-03, s.11).
Checked: BMRDA-06, BMRDA-05, BMRDA-02, BMRDA-13 and BMRDA-03 (s.10–11 and Annexure-1), plus a search of the whole Citation Sheet for 'organisation chart staff directory last updated'.</t>
  </si>
  <si>
    <t xml:space="preserve">DPG5g</t>
  </si>
  <si>
    <t xml:space="preserve">ANSWER: I could not determine either component. The only project information in the Citation Sheet is old: BWSSB's 'About BWSSB' web page has an 'Ongoing Water Supply projects' section, but its latest dated reference is to works 'planned to be completed in 2016'. That is far older than the permitted window (FY 2025-26 or FY 2026-27). However, the BWSSB homepage links several pages that may hold plan or project information, and none of them is in the Citation Sheet. They are: a dedicated 'Projects' page, a 'Vision Document - 2050' PDF, pages for Cauvery Stages I-IV and the 110-village scheme, an Engineering 'Projects' page and a 'Budget' page. Because those pages were never captured or read, I cannot say that current plans or project information are absent. Availability/currency is therefore not found rather than 0. Format: the About page is text-readable HTML. The format of the plan document (the Vision 2050 PDF: text or scanned?) and of the Projects page is unknown. | EVIDENCE: (1) BWSSB-07, About BWSSB, section 'Ongoing Water Supply projects', items 1-7: several items are described as completed (e.g. GBWASP 'much of the Project was completed in 2012'; KMRP '100% work is completed'). The sewerage works item says 'The works are planned to be completed in 2016' and 'The plant is proposed to be commissioned in 2016'. The 'Proposed Water Supply works' section uses 2011 census figures. The 'Vision document upto 2050' section describes the vision document but gives no date or cont</t>
  </si>
  <si>
    <t xml:space="preserve">ISPS of 20 MLD at Sarakki &amp; 120 MLD at Agaram are under Progress. The works are planned to be completed in 2016.</t>
  </si>
  <si>
    <t xml:space="preserve">Score left blank because the main sources were never captured, so the information is not found. It is not a 0. I checked the Step 2 answer against the source, and BWSSB-07 supports it. The only project information captured is BWSSB-07's 'Ongoing Water Supply projects' section on the About BWSSB page. The page is undated. Most of its items are marked completed ('much of the Project was completed in 2012', '100% work is completed'). Its latest dated references are completion and commissioning targets for 2016, and its proposed works rest on 2011 census figures and 2014-15 rates. That is far outside the window allowed for currency. The live site appears to run to July 2026, so the window would be FY 2025-26 or FY 2026-27. On the format component, the About page is text-readable HTML. I read BWSSB-01 again. The homepage links pages that would decide both components, and none of them is in the Citation Sheet: 'Projects' (/34/projects/en), Engineering 'Projects' (/99/projects/en), 'Vision Document - 2050' (PDF), the Cauvery Stage I-IV pages, 'Cauvery Water Supply Scheme for 110 Villages', 'Achievements' and 'Budget'. The RTI 4(1)(a) 'Used Water Projects' page listed on BWSSB-12 was not captured either. Because these were never captured or read, I cannot show that current plans or project information are absent. A 0 is therefore not allowed, and neither component can be scored. I also searched the Citation Sheet for 'project status 2025 2026 Cauvery Stage V commissioned'. It returned only old BWSSB-07 passages and BWSSB-01 navigation text; BWSSB-25 holds service and shutdown notices, not project status. For the team: capture the Projects pages and the Vision 2050 PDF, with dates, file type (text or scanned) and a dated screenshot, then rescore. If the About page turns out to be the only project disclosure, availability/currency would be 0, with 2016 recorded as the latest date. The question's detailed rubric text was not in the materials given to me, so a reviewer should also confirm how the two components (availability/currency and format) combine into the Max Score of 1.</t>
  </si>
  <si>
    <t xml:space="preserve">Step 2 found no evidence: a source needs to be found and added. Step 2 found no evidence (Insufficient Evidence). Source needed: Any of these, captured from BMTC's official site and dated FY 2025-26 or FY 2026-27: a major plan document (e.g. a business, fleet or depot plan, an Annual Implementation Plan under BMLTA Act s.25, or the Annual Administrative Report with a projects section); or an ongoing-projects page, table or dashboard (e.g. depot or bus-station construction, e-bus induction status). Also the contents of the Annual Administrative Report and Presentations pages. Each should have its file format recorded (searchable PDF / HTML / XLS versus scanned or image).</t>
  </si>
  <si>
    <t xml:space="preserve">Step 2 found no evidence: a source needs to be found and added. Step 2 found no evidence (Insufficient Evidence). Source needed: Two things would answer this. First, dated captures of BDA's official website (domain shown to be official from a gov.in page) with its major plans (e.g. Master Plan or development scheme documents) and an ongoing-projects page or list, for the current or previous FY. Second, a record of the file type of each: searchable PDF vs scanned PDF for plans; HTML table, XLS or CSV vs images for project information. An official BDA annual report or a legislature-tabled report listing ongoing projects could support currency, but it would not prove online availability.</t>
  </si>
  <si>
    <t xml:space="preserve">Step 2 found no evidence: a source needs to be found and added. Step 2 found no evidence (Insufficient Evidence). Source needed: Saved, dated copies of BMRCL's official website pages showing major plans and ongoing-project information dated FY 2025-26 or FY 2026-27. Examples: the projects or project-status page, Phase-2/2A/2B/3 progress pages, DPR or plan PDFs, or a project dashboard or table. Each needs a recorded file type (HTML table, XLS/CSV, text PDF or scanned PDF) and a date of access. BMRCL's own domain should be shown to be official through a link from a .gov.in/.nic.in page. A recent BMRCL annual report (FY 2024-25 or later) would show the latest project status, but only the website shows online availability and format.</t>
  </si>
  <si>
    <t xml:space="preserve">Step 2 found no evidence: a source needs to be found and added. Step 2 found no evidence (Insufficient Evidence). Source needed: Saved, dated copies of the plan and project documents BMRDA has posted online, showing their date and whether they are text-readable or scanned. These include the Proposed Draft Mobility Plans for each planning authority, the Structure Plan/Reports PDF, the GBIT brochure and the Land Utilization Plan 2031 / Transport Networks 2031 pages. Also needed: any BMRDA web page or table listing ongoing projects with status for FY 2025-26 or FY 2026-27 (e.g. an annual report for FY 2025-26 posted on the website), and a dated screenshot of each.</t>
  </si>
  <si>
    <t xml:space="preserve">DPG5h</t>
  </si>
  <si>
    <t xml:space="preserve">Step 2 found no evidence: a source needs to be found and added. Step 2 found no evidence (Insufficient Evidence). Source needed: Any of these would answer the question: BWSSB's annual report or administration report for FY2024-25 or FY2025-26 (s.86 BWSS Act), whether on the BWSSB site, in the Karnataka Gazette or in the Legislature's papers-laid pages; a published service-level benchmark sheet (coverage, per-capita supply, NRW, continuity, metering, cost recovery, complaint redress), for example in a state or GoI SLB publication; a saved copy of the WQMS 'Water Quality Test Report' dashboard showing dated values and whether data can be downloaded; or BWSSB datasets on the state open-data portal in CSV or XLSX. Each needs the date it was accessed and its file format recorded.</t>
  </si>
  <si>
    <t xml:space="preserve">ANSWER: Partly answered. Availability and currency: BMTC publishes performance information for the current financial year on its official site. Its 'BMTC at a glance' page is dated 'As on 25 September, 2026' (FY 2026-27). Its 'Perfomance Indicator' page links 'Performance Indicators from 2018-19 to 2025-26( Estimated)'. That covers the year just before the current one, but the 2025-26 figures are only estimates. This part appears to meet the 0.5 condition. Format: not determined. The current figures sit in an HTML page as readable numbers. There is no download, and the saved text cannot show whether it is a structured HTML table. The multi-year indicators are linked as PDFs. Those PDFs are not in the Citation Sheet, so it is unknown whether they are text or scanned. Neither format clearly falls in a band. | EVIDENCE: BMTC-15 (BMTC Glance page, mybmtc.karnataka.gov.in): 'BMTC at a glance / As on 25 September, 2026', with: No of Schedules 6248; No. of Vehicles 6921 (Including EV); Daily Service kms (Lakhs) 12.39; No. of Trips 61740; Everyday Traffic Revenue (Rs. Crores) 7.28; Electric buses under GCC model 1771; Depots 50; Bus stations 48; Staff Employed 28382; Bus Staff Ratio 4.54. These are typed numbers on the page, not images. BMTC-14 (Perfomance Indicator page): 'Performance Indicators from 2018-19 to 2025-26( Estimated)', with a 'Click Here' PDF link for Physical performance and an entry for Financial Performance. Page footer: 'Last Updated: 30-09-2026'. BMTC-28 (Press Re</t>
  </si>
  <si>
    <t xml:space="preserve">BMTC Glance - Bengaluru Metropolitan Transport Corporation [BMTC-15]</t>
  </si>
  <si>
    <t xml:space="preserve">https://mybmtc.karnataka.gov.in/info-1/BMTC+Glance/en</t>
  </si>
  <si>
    <t xml:space="preserve">As on 25 September, 2026</t>
  </si>
  <si>
    <t xml:space="preserve">I left the score blank. The format part cannot be decided from the Citation Sheet, so no band fits for certain (RUBRIC-GAP / VERIFICATION-LIMIT).
What the sources do show:
(1) Availability and currency. BMTC-15 is a 'BMTC at a glance' page on the official site. It is dated 'As on 25 September, 2026' (FY 2026-27) and shows typed operating figures: schedules, fleet, service km, trips, daily revenue, depots, staff and bus-staff ratio. BMTC-14, which I re-read, is the 'Perfomance Indicator' page. It lists 'Performance Indicators from 2018-19 to 2025-26( Estimated)'. It has a 'Click Here' PDF link for Physical performance and an entry for Financial Performance. The footer says 'Last Updated: 30-09-2026'. So information for the current year and the previous year appears to exist. But the 2025-26 figures are marked 'Estimated', and the glance page has no benchmarks or targets.
(2) Format. The Step 2 answer says the 0.5 band names a 'structured HTML table/dashboard with downloadable data'. The figures on BMTC-15 are readable numbers in HTML. The saved text shows no download option and cannot confirm that they sit in a structured table. The Performance Indicators PDFs linked from BMTC-14 are not in the Citation Sheet. Whether they are text or scanned, and what years of actual figures they hold, is unverified. If they are text (not scanned) PDFs, they may fall into no band, because the 0 band lists only scanned reports and images.
(3) Other sources. I searched the Citation Sheet for downloadable data, CSV/XLS, open data or an annual report from BMTC and found none. BMTC-28 has only a 2022 line-checking report, which is outside the period. A score of 0 is not justified: affirmative absence is not shown, and the website evidence points to some availability.
Note: I worked from the band wording as quoted in the Step 2 answer. The full Detailed Methodology text was not provided to me.
For the reviewer:
(a) Open the Physical and Financial Performance Indicator PDFs from BMTC-14. Check whether they are text or scanned, and whether they hold actual (not estimated) figures for FY 2025-26.
(b) Check whether the BMTC-15 figures are in an HTML table and whether any download exists.
(c) Confirm whether the at-a-glance operating statistics count as 'performance information', and whether 'Estimated' figures meet the currency condition.
(d) Capture a dated screenshot of BMTC-14 and BMTC-15.
If you confirm a structured table with downloadable data, plus currency, the evidence points to 0.5. I cannot assign it now.</t>
  </si>
  <si>
    <t xml:space="preserve">Step 2 found no evidence: a source needs to be found and added. Step 2 found no evidence (Insufficient Evidence). Source needed: These sources would answer it: BDA's latest published annual or performance report, or a service-level/KPI dashboard on BDA's official website, dated in FY 2025-26 or 2026-27, saved with an access date and showing the file type (CSV/XLSX/structured HTML vs text or scanned PDF). Failing that, BDA's annual report as tabled in the Karnataka Legislature under BDA Act s.47A, or Sakala service-delivery statistics for BDA services, with a dated, human-readable copy.</t>
  </si>
  <si>
    <t xml:space="preserve">Step 2 found no evidence: a source needs to be found and added. Step 2 found no evidence (Insufficient Evidence). Source needed: Pages saved this session (with access dates) that show BMRCL performance information for FY 2025-26 or FY 2026-27. For example: BMRCL's official website pages on ridership, operations, punctuality or service levels; BMRCL's latest annual report (FY 2024-25 or FY 2025-26) from bmrc.co.in or tabled in the Karnataka Legislature; any downloadable dataset (CSV/XLS) or dashboard on BMRCL's site or a state or national open-data portal; any BMLTA service-level benchmark publication covering metro. For each, the file format must be recorded so the format component can be judged.</t>
  </si>
  <si>
    <t xml:space="preserve">Human Verification Required</t>
  </si>
  <si>
    <t xml:space="preserve">ANSWER: Not determined. The newest BMRDA performance information whose content I could read is the Annual Report for FY 2022-23. That is older than the permitted window, which I take to be FY 2026-27 or FY 2025-26. BMRDA's website also links a file labelled as the 2023-24 Annual Report, but its content is not in the Citation Sheet. Even if the label is right, it is also outside the window. The 'Budget and Annual Reports' and 'Budget' pages are not in the Citation Sheet, so I cannot rule out a newer report there. That means I cannot show the information is absent, and I cannot score 0. The only content I could read is a PDF annual report, not a CSV/XLS/ODS file or a structured, downloadable dataset. | EVIDENCE: (1) BMRDA-03, Annual Report 2022-23 (01-04-2022 to 31-03-2023), a paper laid before the Karnataka Legislative Council (kla.kar.nic.in). It is a PDF with activity and performance-type data: status of each Local Planning Area's master plan (p.13-14); RTI figures, 'Totally 86 applications under the RTI Act, have been received during this period' with a received/disposed table (p.15); staff position as on 31.03.2023, 56 sanctioned and 27 filled (p.15); monthly expenditure and receipts annexures (p.18-19). Much of the Kannada text uses a legacy font that does not extract as readable characters. Pages 20-36 have no text layer, so they may be scans. The report's own website section says RTI 4(1)(a)/(b) information on the site is 'as on 2019-20'. (2) BMRDA-05, the English homep</t>
  </si>
  <si>
    <t xml:space="preserve">Step 2 found no evidence: a source needs to be found and added. Step 2 found no evidence (Human Verification Required). Source needed: Needed: (a) a saved, dated copy of BMRDA's 'Budget and Annual Reports' page and every report listed there, showing whether reports for FY 2024-25, 2025-26 or 2026-27 exist; (b) the content of the linked 2023-24 annual report, to confirm its period and file type; (c) any BMRDA performance or service-level dashboard, or downloadable data (CSV/XLS), on its own site or on Karnataka's open-data or Sakala portals; (d) newer annual reports laid before the Karnataka Legislature.</t>
  </si>
  <si>
    <t xml:space="preserve">DPG5i</t>
  </si>
  <si>
    <r>
      <rPr>
        <sz val="11"/>
        <color theme="1"/>
        <rFont val="Calibri"/>
        <family val="2"/>
        <charset val="1"/>
      </rPr>
      <t xml:space="preserve">ANSWER: BWSSB's official website links to a Citizen Charter. Its RTI page has a 'Civil Charter' section with a download link to a file named 'Citizen charter.pdf'. So the charter exists online as a link. However, the PDF itself is not in the Citation Sheet. Its date, whether it is still in force, and whether it is searchable text or a scanned image are therefore all unknown. Neither component can be scored. | EVIDENCE: BWSSB-12 (BWSSB official website, RTI Act page, Kannada-language version, bwssb.karnataka.gov.in): the section headed '## Civil Charter' lists item 1 'Civil Charter' with a link to https://bwssb.karnataka.gov.in/storage/pdf-files/RTI ACT/Citizen charter.pdf and a '</t>
    </r>
    <r>
      <rPr>
        <sz val="11"/>
        <color theme="1"/>
        <rFont val="Noto Sans"/>
        <family val="2"/>
      </rPr>
      <t xml:space="preserve">ಡೌನ್‌ಲೋಡ್ ಮಾಡಿ</t>
    </r>
    <r>
      <rPr>
        <sz val="11"/>
        <color theme="1"/>
        <rFont val="Calibri"/>
        <family val="2"/>
        <charset val="1"/>
      </rPr>
      <t xml:space="preserve">' (Download) action. Other sources checked: BWSSB-01 (homepage), BWSSB-07 (About), BWSSB-13 (Our Services) and BWSSB-11/-25 (Organisation Chart, Press Release). None contains the charter text or a charter date. Searches for 'citizen charter', 'service charter' and 'Sakala time limit' found only the BWSSB-12 link. BWSSB-02 (BWSSB Act 1964) and BWSSB-04 (GBG Act 2024) are laws, not practice evidence, and do not answer this question. | CAVEATS: The link shows only that a document called a charter is listed. It does not show what is in it, when it was issued, whether it is in force or what file format it is. The link is on the Kannada page, so whether an English version exists was not checked. The question has no annual publication requirement, so an older charter can still earn credit if it</t>
    </r>
  </si>
  <si>
    <t xml:space="preserve">ANNEXURE: CITIZEN CHARTER FOR SERVICES</t>
  </si>
  <si>
    <t xml:space="preserve">I left the score blank because we cannot yet say whether the charter is current. One correction to the Step 2 answer: it says BWSSB-13 (Our Services) has no charter content, and that is wrong. BWSSB-13, from BWSSB's official site bwssb.karnataka.gov.in, has a 'Consumer Services' section headed 'ANNEXURE: CITIZEN CHARTER FOR SERVICES'. That section is plain web-page text you can select and search, not a scanned image. It lists services (water supply and sanitary connections, change of ownership or name), the documents and fees needed, and time limits: 14 days, 42 days and 3 working days. It says the connection time limits follow the Karnataka Sakala Services Act-2011. BWSSB-12 (RTI page) also links a separate file, 'Citizen charter.pdf', but that file is not in the Citation Sheet. So a charter is published online, and the web-page version on BWSSB-13 is searchable text. That is evidence for the format component; Step 2 says a text version earns 0.5. Availability and currency are still open: the BWSSB-13 charter text has no date, and nothing in the Citation Sheet (no Board resolution, GO or revision date) shows it is the version in force now. Other content on the same page is clearly old: it refers to JBIC-assisted slum work and a first phase covering 96 slums. Also, the full Detailed Methodology for DPG5i was not in my inputs, so I could not check the exact scoring rules. I only had the components described in the Step 2 notes. I did not give a partial 0.5, because that would treat the unknown availability/currency component as 0, and nothing shows it is absent. What a person should check: (1) the DPG5i methodology, including whether a web-page charter counts the same as a text PDF; (2) the date and in-force status of the BWSSB-13 charter and of 'Citizen charter.pdf' (linked on BWSSB-12), including whether the time limits match the current Sakala schedule; (3) whether the PDF is text or a scan. If the charter is confirmed current and an online text version counts for format, the likely score is 1. If it is not current but is in text, the likely score is 0.5. VERIFICATION-LIMIT: the charter PDF was not opened automatically.</t>
  </si>
  <si>
    <t xml:space="preserve">Step 2 found no evidence: a source needs to be found and added. Step 2 found no evidence (Insufficient Evidence). Source needed: A saved, dated copy of BMTC's Citizen's or Service Charter (a webpage or downloadable document on the BMTC site, or one linked from a Karnataka government page), showing its date or the period it applies to, and whether it is text-searchable or scanned. The BMTC sitemap and RTI 4(1)(b) disclosures would also help, since a charter is often listed there. The Sakala schedule entries for BMTC services would help too, as a related but separate check.</t>
  </si>
  <si>
    <t xml:space="preserve">Step 2 found no evidence: a source needs to be found and added. Step 2 found no evidence (Insufficient Evidence). Source needed: Needed: BDA's current Citizen or Service Charter, either as a page on BDA's official website or as a downloadable document. Being on BDA's official domain counts only if a .gov.in or .nic.in page links to that domain. Record the date of access, the charter's date or version, and the file type (HTML, searchable PDF, or scanned/image-only PDF). Also useful: the Karnataka Sakala service-guarantee schedule entry listing BDA services, to help judge whether the charter still applies.</t>
  </si>
  <si>
    <t xml:space="preserve">Step 2 found no evidence: a source needs to be found and added. Step 2 found no evidence (Insufficient Evidence). Source needed: BMRCL's current Citizen or Service Charter, opened from BMRCL's official website (proved official by a link from a .gov.in or .nic.in page) or from an official Karnataka or Government of India portal. It should be saved with the date of access and its date, version or FY. The record must also state whether it is an HTML page, a searchable PDF, DOC/DOCX, or a scanned image-only PDF.</t>
  </si>
  <si>
    <r>
      <rPr>
        <sz val="11"/>
        <color theme="1"/>
        <rFont val="Calibri"/>
        <family val="2"/>
        <charset val="1"/>
      </rPr>
      <t xml:space="preserve">ANSWER: BMRDA's official website links to a Citizen Charter in English and in Kannada. Both file names include "2020-21". The charter documents themselves are not in the Citation Sheet, so three things are unknown: whether the link opens, what the charter actually covers and when it is dated, and whether the file is searchable text or a scanned image. So neither part of the score can be set. Availability and currency (0.5): a charter is linked, but the sheet does not show whether it is still in force or whether it can be opened. The methodology does not treat a charter as outdated just because it predates the last financial year, if it is still in force. Format (0.5): unknown. | EVIDENCE: BMRDA-05 (English home page of BMRDA's official site, bmrda.karnataka.gov.in): in the Introduction menu, a link to the PDF 'CITIZEN CHARTER-2020-21 eng.pdf', labelled 'Citizen Charter'. BMRDA-01 (Kannada home page of the same site): a link to the PDF 'CITIZEN CHARTER-2020-21 ka.pdf', labelled '</t>
    </r>
    <r>
      <rPr>
        <sz val="11"/>
        <color theme="1"/>
        <rFont val="Noto Sans"/>
        <family val="2"/>
      </rPr>
      <t xml:space="preserve">ನಾಗರಿಕ ಸನ್ನದ್ದು</t>
    </r>
    <r>
      <rPr>
        <sz val="11"/>
        <color theme="1"/>
        <rFont val="Calibri"/>
        <family val="2"/>
        <charset val="1"/>
      </rPr>
      <t xml:space="preserve">' (Citizen Charter). I searched the whole Citation Sheet for 'citizen charter' and for charter, services and time limits. The only hits for the charter were these menu links. No charter text, date, list of services or approval or validity statement appears anywhere. The other sources in the sheet (BMRDA-02, -06, -07, -12, -13 site pages; BMRDA-08 Karnataka Town and Country Planning Act; BMRDA-10 Greater Bengaluru Governance Act; BMRDA-11 Bengaluru Metropolitan Land Transport Authority Ac</t>
    </r>
  </si>
  <si>
    <t xml:space="preserve">[https://bmrda.karnataka.gov.in/storage/pdf-files/CITIZEN CHARTER-2020-21 eng.pdf] Citizen Charter</t>
  </si>
  <si>
    <r>
      <rPr>
        <sz val="11"/>
        <color theme="1"/>
        <rFont val="Calibri"/>
        <family val="2"/>
        <charset val="1"/>
      </rPr>
      <t xml:space="preserve">I left Score blank because of a VERIFICATION-LIMIT. The Citation Sheet does not contain the charter document. The Step 2 answer is supported by the sources. BMRDA's official website links to a Citizen Charter PDF in English on the English home page (BMRDA-05) and in Kannada on the Kannada home page (BMRDA-01, labelled '</t>
    </r>
    <r>
      <rPr>
        <sz val="11"/>
        <color theme="1"/>
        <rFont val="Noto Sans"/>
        <family val="2"/>
      </rPr>
      <t xml:space="preserve">ನಾಗರಿಕ ಸನ್ನದ್ದು</t>
    </r>
    <r>
      <rPr>
        <sz val="11"/>
        <color theme="1"/>
        <rFont val="Calibri"/>
        <family val="2"/>
        <charset val="1"/>
      </rPr>
      <t xml:space="preserve">'). Both file names contain '2020-21'. The score has two parts. (a) Availability and currency (0.5): the charter is linked, but its content, date and validity cannot be checked from the sheet. We don't know whether it is still in force or has been replaced, and '2020-21' appears only in the file name. The methodology does not allow treating a charter as outdated just because of its age if it is still in force. (b) Format (0.5): we don't know whether the PDF is searchable text or a scanned image, or whether it opens at all. Because the website evidence was never opened, I cannot give 0 for either part, and I cannot give credit without seeing the document. What I checked: search_citation_sheet('citizen charter'), which found only the menu links in BMRDA-01, BMRDA-05 and BMRDA-13, plus unrelated hits in BMRDA-10. I also read BMRDA-03 (Annual Report 2022-23), whose section on the website (section 10) lists the site's contents and does not mention a Citizen Charter. Step 2 reported that BMRDA-02, -06, -07, -08, -10, -11 and -12 contain no BMRDA charter. To do: a reviewer should open the English and Kannada charter PDFs and check (1) that they open, (2) the charter's date or validity and whether a newer charter exists, and (3) whether the PDF is searchable text. They should also capture a dated screenshot.</t>
    </r>
  </si>
  <si>
    <t xml:space="preserve">DPG5j</t>
  </si>
  <si>
    <t xml:space="preserve">ANSWER: Can't be scored from the Citation Sheet. BWSSB's official website has an RTI page in searchable HTML. That page links to PIO lists, but the lists themselves are not in the Citation Sheet. So I can't confirm the current PIO/APIO names and contact details, whether they are still valid, when they were last updated, or whether the files are searchable or scanned. No RTI procedure text (how to apply, fees, time limits, appeal steps) was found on the captured pages. | EVIDENCE: (1) BWSSB-12, the RTI Act page on the BWSSB site. This is the right agency in the right city: the footer reads 'Content Owned and maintained by: Bengaluru Water Supply and Sewerage Board'. Under 'List of files under Section 4(1)(b)' it links to: item 15 '4 (1) (b) xvi List of First Appeal, Authority, Public Information Officers' (file KANNADA(1).pdf); item 17 'List of Public Information Officers' (file KM_226_03719.pdf); and item 18 'PIO for stores' (a .jpg image, 20190701_123241.jpg). It also lists section 4(1)(a) indexes by year, with the newest set headed 'RTI 4(1)(a) - 2025-26'. Those indexes cover document cataloguing, not PIO details. It also links a document headed 'Repeated Harassing RTI Application Cannot Be Entertained'. The page body itself gives no PIO name, phone number, email or address, and no fee or procedure text. (2) BWSSB-01, the BWSSB home page. Its menu links to RTI, RTI 4(1)(a), RTI 4(1)(b), the RTI Online portal (rtionline.gov.in) and Karnataka's Online RTI portal. These are li</t>
  </si>
  <si>
    <t xml:space="preserve">4 (1) (b) xvi List of First Appeal, Authority, Public Information Officers</t>
  </si>
  <si>
    <t xml:space="preserve">I left the score blank because of a VERIFICATION-LIMIT. This is not a finding that the information is missing.
**What I checked.** BWSSB-12 is the RTI page on BWSSB's official website (bwssb.karnataka.gov.in). Its footer says the content is owned and maintained by the Bengaluru Water Supply and Sewerage Board, and the page carries a © 2026 notice. The page lists and links three PIO items:
- item 15, the 4(1)(b) xvi list of first appellate authorities and PIOs (KANNADA(1).pdf);
- item 17, 'List of Public Information Officers' (KM_226_03719.pdf);
- item 18, 'PIO for stores', a .jpg image whose filename suggests 2019-07-01.
The page itself names no PIO and gives no phone, email or address. It also has no text on RTI fees, how to apply, time limits or appeals. Its 'Last Updated' field is blank.
I also read:
- BWSSB-01 (home page) and BWSSB-16 (Contact Info). Both only link to RTI, RTI 4(1)(a), RTI 4(1)(b), rtionline.gov.in and Karnataka's online RTI portal. Neither shows PIO details.
- BWSSB-07, -11, -13 and -25. Step 2 found only site boilerplate in these.
- BWSSB-02 (the 1964 Act) and BWSSB-04 (the GBA Act). These are laws, not evidence of what the website shows.
Searching the whole sheet for 'Public Information Officer' and for RTI fees and appeals found no PIO details.
**Why I can't score.**
- Availability/currency (0.5): the linked PIO files are not saved in the Citation Sheet. So I can't tell whether they name PIOs, assistant PIOs and appellate authorities with contact details, or whether those officers are still in post.
- Format (0.5): the RTI page is HTML. But the PIO details sit in the linked files, and their format is unknown. Filenames that look like scanner output (KM_226_03719.pdf) and the .jpg stores notice point to possible image-only files. That is only a guess from the filenames, so it can't support a 0.
A 0 needs proof of absence, which I don't have. Giving any credit would mean assuming what the files contain. Both would be guesses.
**I agree with Step 2:** the source supports exactly what Step 2 described.
**For the reviewer:**
1. Open KANNADA(1).pdf and KM_226_03719.pdf from the BWSSB RTI page. Record whether they give PIO, assistant PIO and appellate authority names with contact details, the date of each file, whether the named officers are current, and whether the text is searchable or a scanned image.
2. Check whether the site has any page explaining the RTI procedure.
3. Capture a dated screenshot.</t>
  </si>
  <si>
    <t xml:space="preserve">ANSWER: Undetermined. BMTC's official website has links to an RTI page, a section 4(1)(a) page, a section 4(1)(b) page, Karnataka's Online RTI portal and a PDF titled 'List of PIO-APIO-AA'. None of these pages or the PDF is saved in the Citation Sheet. I therefore cannot confirm the officer names and contact details, the RTI procedure, whether the details are still valid, or whether the PDF is searchable or a scan. | EVIDENCE: BMTC-11 (Officers List page, mybmtc.karnataka.gov.in), site navigation: links labelled 'RTI', 'Online RTI' (pointing to rtionline.karnataka.gov.in), 'RTI 4(1)A', 'RTI 4(1) B' and 'List of PIO-APIO-AA'. The last link points to a PDF whose file name is 'RTIPIOENGupdated04-6-24.pdf'. BMTC-09 and BMTC-10 show the same navigation links. A search of every source in the sheet for 'Public Information Officer', 'PIO', 'Appellate Authority', 'RTI' and 'application fee' found no list of officers, no contact details and no procedure text. The law sources (BMTC-02, -04, -06, -07) are not relevant to this Implementation question. | CAVEATS: The file name suggests the list was updated on 4 June 2024. That is a date taken from a file name, not from the document, so it is not proof the list is current. A link existing does not prove that the PDF opens or that its details are valid. | PERIOD: Navigation seen on BMTC web pages in the Citation Sheet (fetch date not recorded in the excerpts). Latest date found for the information: 04-6-24, from the file name only, unverifie</t>
  </si>
  <si>
    <t xml:space="preserve">Step 2 found no evidence: a source needs to be found and added. Step 2 found no evidence (Human Verification Required). Source needed: Saved copies of (1) BMTC's RTI page and its section 4(1)(b) page, showing the RTI procedure, and (2) the 'List of PIO-APIO-AA' PDF, showing officer names, offices, phone numbers or emails, and the date. Each needs a dated access record and a check of file type: searchable PDF or HTML versus a scanned or image-only file.</t>
  </si>
  <si>
    <t xml:space="preserve">Step 2 found no evidence: a source needs to be found and added. Step 2 found no evidence (Insufficient Evidence). Source needed: BDA's official RTI page, or its section 4(1)(b) proactive-disclosure document, from BDA's own domain. That domain must be shown to be official by a link from a .gov.in or .nic.in page. The page or document should name the current PIO/APIO and appellate authority, give their contact details and the RTI filing procedure, and show a date. Record whether it is an HTML page, a searchable PDF or a scanned PDF. A Karnataka government RTI listing of BDA's PIOs would also work.</t>
  </si>
  <si>
    <t xml:space="preserve">Step 2 found no evidence: a source needs to be found and added. Step 2 found no evidence (Insufficient Evidence). Source needed: Two things are needed: (a) a dated saved copy of BMRCL's official RTI webpage or proactive-disclosure page under RTI Act Section 4(1)(b), naming the current PIO(s), APIO(s) and First Appellate Authority with valid contact details and the application procedure and fees; (b) the file format of that page or document (HTML, searchable PDF, or scanned/image-only), so the format half can be scored. A dated screenshot or archived URL with the access date is required by the QB evidence rules.</t>
  </si>
  <si>
    <t xml:space="preserve">ANSWER: Not determined. BMRDA's official website links to a 'Right To Information' page, an 'RTI ONLINE SERVICES ARE AVAILABLE FOR BMRDA' page and the Karnataka Online RTI portal. The text of the RTI page is not in the Citation Sheet, so it cannot be confirmed that current PIO/APIO names, contact details or an RTI procedure are published online. The only list of PIOs in the sheet is in BMRDA's Annual Report for 2022-23. It gives job titles only, with no names, phone numbers or emails, and it covers a past year. | EVIDENCE: (1) BMRDA-03, Annual Report 2022-23, p.14 'RTI Act - Status and Report': PIOs under s.5(1), APIOs under s.5(2) and Appellate Authorities under s.19(1) are listed by section, by job title only. Admin &amp; Revenue: PIO Assistant Metropolitan Commissioner / APIO Tahasildar / AA Deputy Metropolitan Commissioner. Town &amp; Country Planning: PIO Deputy Director of T&amp;CP / APIO Assistant Directors of T&amp;CP 1-4 / AA Additional Director of T&amp;CP. Accounts: PIO Accounts Officer / APIO Account Superintendent / AA Deputy Metropolitan Commissioner. The Additional Metropolitan Commissioner is named as RTI Nodal Officer. Page 15 lists the website's contents, including '6. Details of Public Information officers' and RTI s.4(1)(a)/(b) information 'as on 2019-20'. It also gives 86 RTI applications received and 86 disposed in 2022-23. (2) BMRDA-05/06/12, BMRDA website pages: the menu links to 'Right To Information', 'RTI ONLINE SERVICES ARE AVAILABLE FOR BMRDA', 'Online R T I' (Karnat</t>
  </si>
  <si>
    <t xml:space="preserve">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t>
  </si>
  <si>
    <t xml:space="preserve">I left Score blank because the evidence isn't there yet. This is a VERIFICATION-LIMIT, not a finding that the information is absent.
The Step 2 answer matches the sources.
(1) Annual report (BMRDA-03, pp.14-15, FY2022-23): lists PIOs, APIOs and Appellate Authorities by job title only (e.g. Assistant Metropolitan Commissioner, Deputy Director of T&amp;CP, Accounts Officer). It gives no names, phones or emails. It also covers a past year and is a report, not an RTI webpage. Page 15 says the website holds 'Details of Public Information officers' and s.4(1)(a)/(b) information 'as on 2019-20'.
(2) Website pages (BMRDA-01/02/05/06/12): the menu links to a 'Right To Information' page, an 'RTI ONLINE SERVICES ARE AVAILABLE FOR BMRDA' page, the Karnataka Online RTI portal, 4(1)(a) Parts I-IV and 'RTI 2019-20 4(1)(B)'. The text of none of those pages or PDFs was captured in the Citation Sheet. I re-checked with search_citation_sheet and read_citation on BMRDA-12.
(3) Contact Us page (BMRDA-06): gives names and phone numbers but doesn't say who the PIO, APIO or Appellate Authority is. Matching it to the annual report's titles would be an inference.
So neither component (availability/currency 0.5, format 0.5) can be decided. A 0 can't be given either, because the RTI pages weren't read. That rules out a finding of affirmative absence.
For a person to do: open the BMRDA 'Right To Information' (/12/right-to-information/en) and 'RTI ONLINE SERVICES' (/13/...) pages. Check whether they name the current PIOs/APIOs with working contact details. Record the format (HTML or PDF) and the date. Check whether any disclosure is more recent than 2019-20. Capture a dated screenshot.</t>
  </si>
  <si>
    <t xml:space="preserve">DPG5k</t>
  </si>
  <si>
    <t xml:space="preserve">ANSWER: Not determined. BWSSB's official homepage shows procurement-type items that look recent: an 'AMRUT MITRA - Expression of Interest' marked '4 weeks ago', 'Corregendum - Regarding Installation of STPs' marked 'One month ago', and an 'E bidding' PDF marked '11 months ago'. It also has a 'Tender' menu heading. However, no tender page, e-procurement portal page or awarded-contract register is in the Citation Sheet. So I cannot confirm what these items contain, whether any contract awards are published, or what format the information is in. | EVIDENCE: (1) BWSSB-01, the BWSSB homepage (bwssb.karnataka.gov.in), 'News and Events' / 'Latest News' list. Item 9 is 'AMRUT MITRA - Expression of Interest', 4 weeks ago. Item 20 is 'Corregendum - Regarding Installation of STPs', One month ago. Item 11 is 'E bidding' (a PDF under storage/pdf-files), 11 months ago. In the same list, 'Water Shutdown on 22-07-2026.' is marked '3 days ago', so the capture was probably made around late July 2026. On that basis the EOI dates to about late June 2026, which is FY 2026-27, the current FY. This date is my inference from relative dates, not a date printed on the page. (2) BWSSB-01, Services menu: the word 'Tender' appears as a heading, but no link or tender list was captured under it. (3) I searched the whole Citation Sheet for 'tender', 'e-procurement', 'awarded contract', 'kppp/eproc' and 'Karnataka Transparency in Public Procurements'. Nothing turned up that is a BWSSB tender list, award list</t>
  </si>
  <si>
    <t xml:space="preserve">Bangalore Water Supply and Sewerage Board — official website [BWSSB-01]</t>
  </si>
  <si>
    <t xml:space="preserve">https://bwssb.karnataka.gov.in/english</t>
  </si>
  <si>
    <t xml:space="preserve">AMRUT MITRA - Expression of Interest</t>
  </si>
  <si>
    <t xml:space="preserve">Score left blank. The Citation Sheet does not show whether BWSSB publishes its tender or contract information, or in what form. The message also did not include DPG5k's question text, Detailed Methodology or rubric bands, so I could not apply a band in any case. What I checked: (1) BWSSB-01, the homepage capture, read in full. It has a 'Tender' heading in the menu, but no link or list was captured under it. It also has these news-feed items: 'AMRUT MITRA - Expression of Interest' (4 weeks ago), 'Corregendum - Regarding Installation of STPs' (One month ago) and 'E bidding' (a PDF, 11 months ago). The linked pages and PDF are not in the Citation Sheet, so I cannot confirm what they contain, whether they are procurement notices, or their exact dates. The footer links to the state e-Procurement portal (eproc.karnataka.gov.in). That is a generic link to the state government portal, not a BWSSB tender or award listing, and the portal is not in the sheet. (2) I searched the whole sheet for 'tender awarded contract procurement'. The only legal hits were BWSSB-04, Greater Bengaluru Governance Act ss.143-144, on tenders and the contract register. Those sections apply to the City Corporation, not to BWSSB, so they say nothing about how BWSSB actually publishes. I agree with Step 2 that none of BWSSB-02, -07, -11, -12, -13, -16, -23 or -25 is a tender or award register. A score of 0 would need proof that nothing is published, and I don't have that. These pages are missing from the sheet, which is a VERIFICATION-LIMIT, not a negative finding. For a reviewer: open the BWSSB 'Tender' menu and the e-procurement portal's listing for BWSSB. Confirm whether tenders and contract awards for the current FY (2026-27) are published, and whether they appear as a searchable table or dataset or only as single PDFs. Open the EOI, STP-corrigendum and e-bidding links to check their content and dates. Capture a dated screenshot. Then apply the DPG5k rubric, checking that its scale matches the Max Score of 1. The capture date of about late July 2026 is inferred from relative labels such as 'Water Shutdown on 22-07-2026' (3 days ago) and should be confirmed.</t>
  </si>
  <si>
    <t xml:space="preserve">ANSWER: Availability: yes. BMTC's own Tenders page lists tender notices from the current FY 2026-27, the latest dated 17/09/2026, so the availability-and-currency component appears met. Contract awards: the sheet shows no award details anywhere. Format: undetermined. The page is a dated HTML list of links, each opening a separate PDF notice. It is not a table with fields or filters, and there is no CSV/XLS download. Whether a numbered, dated HTML list counts as an 'indexed register' (0.5) or as 'individual PDFs with no searchable/indexed register' (0) is a methodology call. The KPPP e-procurement portal the notices point to is not in the Citation Sheet. | EVIDENCE: BMTC-10, the BMTC Tenders page (mybmtc.karnataka.gov.in, BMTC's official site under karnataka.gov.in). Recent FY 2026-27 entries: 'COMMERCIAL (ASSET) TENDER NOTIFICATION NO: 02/2026-27 (e-Procurement Platform): 17/09/2026'; 'Expression of Interest : 17.09.2026'; 'TENDER NOTIFICATION NO: 23/2026-27 (e-Procurement Platform): 09/09/2026'; 'BMTC invites tender for procurement of the following Goods &amp; Services through Kpp Portal: 08/09/2026'; further 2026-27 notices from April to August 2026. FY 2025-26 notices are also listed (e.g. No. 35/2025-26 dated 20/03/2026), and older ones going back to January 2020. Each entry links to a separate .pdf file (one EOI format is a .docx) and gives a notification number, title and date. A search of the whole Citation Sheet for 'awarded contract / successful bidder / work order' foun</t>
  </si>
  <si>
    <t xml:space="preserve">BMTC Tenders - Bengaluru Metropolitan Transport Corporation [BMTC-10]</t>
  </si>
  <si>
    <t xml:space="preserve">https://mybmtc.karnataka.gov.in/info-4/BMTC+Tenders/en</t>
  </si>
  <si>
    <t xml:space="preserve">TENDER NOTIFICATION NO: 24/2026-27 (e-Procurement Platform): 23/09/2026</t>
  </si>
  <si>
    <t xml:space="preserve">The score is left blank because the format half cannot be decided from the Citation Sheet.
Availability and currency: met on the evidence, worth 0.5. BMTC-10 is BMTC's own Tenders page on karnataka.gov.in. It lists tender notices from the current FY 2026-27. The latest entry is 'TENDER NOTIFICATION NO: 24/2026-27 (e-Procurement Platform): 23/09/2026', which is newer than the 17/09/2026 entry Step 2 relied on. Step 2 missed this entry. There are many other 2026-27 notices from April to September 2026.
Awarded contracts: no award details were found in the sheet. A sheet-wide search for 'contract awarded work order successful bidder' returned only unrelated passages from the Acts. This is not affirmative absence, because the KPPP e-procurement portal, where BMTC's notices say its tenders run, is not in the Citation Sheet.
Format and accessibility: the page is a dated HTML list. Each entry links to a separate PDF notice (one EOI format is a .docx). There is no table, no filters and no CSV/XLS download. The site-wide 'search here' box is described in the Help section but was not tested. This probably fits the 'individual PDFs with no searchable/indexed register' band, which would score 0 for this half. But a 0 needs affirmative absence, and the KPPP portal listing for BMTC was never captured. Whether a numbered, dated link list counts as an 'indexed register' is also a methodology call. The full Detailed Methodology text was not given in this task, so I could not apply it directly. RUBRIC-GAP / needs confirmation.
Likely outcomes:
- If the team confirms a link list is not a register, and KPPP has no searchable BMTC tender/award data: score 0.5.
- If KPPP has a searchable table of BMTC tenders/awards, or the list counts as an indexed register: score 1.
What the team needs to do:
(a) Save BMTC's KPPP portal listing, including any award data.
(b) Confirm whether award information is required for the availability band.
(c) Take a dated screenshot of BMTC-10.
The linked PDFs were not opened, so I can't say whether they are text or scanned.</t>
  </si>
  <si>
    <t xml:space="preserve">Step 2 found no evidence: a source needs to be found and added. Step 2 found no evidence (Insufficient Evidence). Source needed: Dated, saved copies of BDA's tender and award pages are needed. That means BDA's official website tender/notification section (shown to be official via a link from a .gov.in/.nic.in page) or the Karnataka public e-procurement portal filtered to BDA, showing: (a) the date or FY of the latest tender notice and of the latest awarded-contract details (current or previous FY); and (b) the format, i.e. a searchable structured HTML table or register or a CSV/XLS download, versus individual or scanned PDFs. The research step should also note whether BDA publishes award or contract details separately from tender notices.</t>
  </si>
  <si>
    <t xml:space="preserve">Step 2 found no evidence: a source needs to be found and added. Step 2 found no evidence (Insufficient Evidence). Source needed: A dated, saved copy of BMRCL's official tenders/procurement webpage, or of the Karnataka public-procurement (e-procurement) portal listing BMRCL tenders and awarded contracts, showing items from FY 2025-26 or FY 2026-27. It should also show the format: a searchable HTML table or e-procurement register, or a CSV/XLS download, as opposed to individual or scanned PDFs. Dated screenshots or archived URLs with the access date are also needed, one for tender notices and one for award details.</t>
  </si>
  <si>
    <t xml:space="preserve">Step 2 found no evidence: a source needs to be found and added. Step 2 found no evidence (Insufficient Evidence). Source needed: Dated saved copies of (a) any BMRDA tenders/procurement page on its official website, and (b) a search of the Karnataka state e-procurement portal filtered to BMRDA as the procuring entity, showing tender notices and award details for FY 2025-26 or FY 2026-27 and their format (searchable table vs individual PDFs). Also full saved copies of BMRDA's Notifications and Circulars sub-pages, to confirm whether tenders are posted there.</t>
  </si>
  <si>
    <t xml:space="preserve">DPG6a</t>
  </si>
  <si>
    <t xml:space="preserve">ANSWER: The sources show only a narrow mandate. Section 59(7)(c) of the BWSSB Act, 1964 says the Board "shall make regulations" for hearing and disposing of complaints from owners or occupiers. Those complaints can only be about work done by licensed plumbers: quality, materials, delay and charges. Section 82(2) applies the same rule to drain (sewerage) work. No source here requires a general grievance channel for the Board's own water or sewerage services. The team needs to decide whether this narrow mandate counts as 'a grievance-redressal mechanism (any channel)'. | EVIDENCE: (1) BWSSB Act, 1964, PRS copy (BWSSB-02), s.59(7)(c), p.30: 'The Board shall make regulations providing for ... the hearing and disposal of complaints made by the owners or occupiers of premises with regard to the quality of work done, material used, delay in execution of work, and the charges made, by a licensed plumber.' This is a duty ('shall'). (2) Same Act, s.82(2): 'The provisions of section 59 shall be applicable in respect of any work connected with any drain', so the duty also covers sewerage plumbing. (3) Same Act, s.14 (Consultative Committee): its job is to advise on policy, review progress and consider matters placed before it. It is not a complaint channel. (4) Same Act, s.15 (general duties), s.87 (rules) and s.88 (regulations): I found no provision on handling consumer complaints. Searching the Act for 'complaint' found only s.59(7)(c) and s.111, which is about complaints that start pr</t>
  </si>
  <si>
    <t xml:space="preserve">(7)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t>
  </si>
  <si>
    <t xml:space="preserve">I left the Score blank because the evidence doesn't settle it. A person needs to confirm the scope question below.
(1) What the Act requires: the Step 2 answer matches the source. In the PRS copy of the BWSSB Act, 1964 (BWSSB-02, p.30), s.59(7)(c) says the Board 'shall make regulations' for 'the hearing and disposal of complaints' from owners or occupiers. Those complaints can only be about licensed plumbers' work: quality, materials, delay and charges. Section 82(2) extends this to drain work. This is a duty ('shall'), but it is narrow. It does not create a grievance channel for the Board's own water supply, billing, sewerage or service failures.
(2) Why I didn't score: the full Detailed Methodology and Notes for scorers for DPG6a were not in the task input. The only band description I have is the Step 2 note ('5 = requires grievance-redressal mechanism (any channel)'). I can't apply that reliably to a mandate this narrow, so this is a RUBRIC-GAP: a person must decide whether a duty to make regulations for complaints about licensed plumbers counts as 'requiring a grievance-redressal mechanism (any channel)'. If it does, the answer would be 5 (medium confidence, since the Act text is PRS-only). If it doesn't, 0 is still not allowed. I can't show the requirement is absent because several sources are not in the sheet: the BWSSB Rules, the Regulations made under s.59(7) and s.88, the Citizen Charter text (BWSSB-12 only links to it), and the Sakala (Karnataka Guarantee of Services) schedule entries for BWSSB.
(3) What I checked: I searched the sheet for 'grievance redressal complaint' and 'citizen charter', and read BWSSB-12. Searching BWSSB-02 for 'complaint' found only s.59(7)(c) and s.111, which is about complaints that start prosecutions. I found nothing on grievances in the s.14 Consultative Committee (advisory only), s.15 (general duties), s.87 (rules) or s.88 (regulations). In BWSSB-04 (GBA Act 2024), s.96(c) lets Assembly Constituency Level Committees receive grievances about 'any authority empowered under this Act'. That is city government law and doesn't name BWSSB, so I didn't count it.
(4) Period: the BWSSB Act text is the PRS republication with amendments up to Act 15 of 2010, with the 2021 amendment appended. I have no official gazette copy.
RTI target: ask the BWSSB PIO for the regulations made under s.59(7)(c) and s.88, and for the current Citizen Charter.</t>
  </si>
  <si>
    <t xml:space="preserve">Step 2 found no evidence: a source needs to be found and added. Step 2 found no evidence (Insufficient Evidence). Source needed: Any of these would settle the question: a BMTC citizen or service charter; Karnataka Rules or BMTC Regulations requiring a passenger grievance or complaints mechanism (e.g. the full text of the KSRTC/BMTC Rules or Regulations, if any provision covers passenger complaints); or the Karnataka Sakala (service-guarantee) schedule, if it lists BMTC services with a time limit and redress. The BMLTA Act (BMTC-06) should also be checked for any provision that requires transport operators to keep grievance channels.</t>
  </si>
  <si>
    <t xml:space="preserve">ANSWER: Not determined from the Citation Sheet. The BDA Act, as amended up to Act 42 of 2026, has no general duty on BDA to run a grievance-redressal mechanism for citizens. The only statutory channel found is narrow: s.62A lets a person who disputes the property tax BDA levies under s.28B appeal to an Appellate Authority that the Government notifies. Two points are not settled. First, nobody has decided whether this tax appeal counts as 'a grievance-redressal mechanism (any channel)'. Second, the other layers of law that could create such a duty (BDA Rules or Regulations, a BDA citizen or service charter, the Sakala service-guarantee schedule) are not in the Citation Sheet. | EVIDENCE: (1) BDA Act 1976 (BDA-02, PRS copy). s.62A, inserted by Act 6 of 1993: 'Any person aggrieved by the assessment, levy or imposition of any tax under section 28B may ... appeal to such authority as the Government may, by notification, specify'. Under s.62A(3) the Appellate Authority must hear both parties and its decision is final. s.28B: BDA 'may levy a tax on lands or buildings'. s.63: the Government, or the Authority over its own officers, 'may call for the records of any proceedings' (a discretionary revision power), and s.63(3) requires a chance to make a representation before any adverse order. s.13 (Commissioner's duties) and s.14 (objects) say nothing about grievances. The 2026 amendment (Act 42 of 2026) changes only s.10 financial limits and s.38D allotment and eviction. (2) City govern</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</si>
  <si>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</si>
  <si>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SCORE LEFT BLANK. I could not decide the score between 0 and 5 from the Citation Sheet.
What the sources show:
(1) BDA Act 1976 (BDA-02). This is a secondary PRS copy, as amended up to Act 42 of 2026, era n/a. The only statutory channel I found for an aggrieved person is s.62A. It lets someone appeal BDA's assessment, levy or imposition of the s.28B tax on lands or buildings. The appeal goes to an Appellate Authority that the Government notifies. Under s.62A(3) that authority must hear both parties and its decision is final.
- This is narrow. It covers only the s.28B tax.
- It is run by a Government-notified authority, not by BDA.
- It does not cover BDA's main work: schemes, allotments, layouts and buildings.
- s.63 (revision) is a discretionary 'may' power of the Government or the Authority, not a channel for citizens. s.63(3) only requires a chance to make a representation before an adverse order.
- s.13 (Commissioner's duties), s.70 (regulations) and s.71 (bye-laws) say nothing about grievances.
(2) Greater Bengaluru Governance Act 2024 (BDA-03), GBA-era. Under s.95, the Government constitutes an Assembly Constituency Level Consultative and Co-ordination Committee. Under s.96(c), that committee shall 'Receive any grievances from the general public relating to the functioning of any authority empowered under this Act'. This sits on the city-government side and is a duty of the committee, not of BDA. s.2(3) defines 'Authority' as the Greater Bengaluru Authority. Nothing shows BDA is an 'authority empowered under this Act', so this is not a BDA mandate.
(3) BDA-04, BDA-05, BDA-06 and BDA-13 contain no grievance provision for BDA.
Why no score:
- 5 would require the team to decide that the narrow s.62A tax appeal meets 'requires a grievance-redressal mechanism (any channel)'. That is an interpretation call (RUBRIC-GAP).
- 0 needs proof that nothing exists in any layer, and that proof is not possible here. The Citation Sheet has none of the following: BDA Rules, BDA Regulations under s.70, BDA bye-laws, a BDA citizen or service charter, or the Karnataka Sakala (Guarantee of Services to Citizens) Act and its schedule of BDA services.
For the team to do:
(a) Decide whether a statutory tax-assessment appeal to a Government-notified authority counts as 'any channel'.
(b) Add the Sakala Act and its BDA schedule, any BDA citizen charter or grievance portal notification, and the BDA Regulations to the Citation Sheet, then re-score.
The BDA Act text is a PRS copy, not the official gazette.</t>
  </si>
  <si>
    <t xml:space="preserve">Step 2 found no evidence: a source needs to be found and added. Step 2 found no evidence (Insufficient Evidence). Source needed: Any of these would settle it: (a) the text of the Metro Railway General Rules, 2013 and the Metro Railways (Carriage and Ticket) Rules, 2014 (or any later metro rules), checked for passenger complaint or grievance provisions; (b) any BMRCL regulations, its Memorandum and Articles of Association, or its official citizen or passenger charter, if it requires a grievance or complaint mechanism; (c) the Karnataka Sakala Services Act schedule, showing whether any BMRCL service is listed with a redress obligation; (d) the Central Government notification extending the Metro Railways (O&amp;M) Act, 2002 to Bengaluru, to confirm which statutory framework governs BMRCL.</t>
  </si>
  <si>
    <t xml:space="preserve">Step 2 found no evidence: a source needs to be found and added. Step 2 found no evidence (Insufficient Evidence). Source needed: (a) The full current text of the Bangalore Metropolitan Region Development Authority Act, 1985 (Karnataka Act 39 of 1985), with amendments, from the state legislation portal or the e-Gazette. (b) Any Rules or Regulations made under that Act. (c) The text of BMRDA's Citizen Charter (the 2020-21 charter linked from its official website, or a later one), checked for a grievance or complaint-redressal provision. (d) The schedule under the Karnataka Sakala (service guarantee) law, checked for any BMRDA service, for example change of land use.</t>
  </si>
  <si>
    <t xml:space="preserve">DPG6b</t>
  </si>
  <si>
    <r>
      <rPr>
        <sz val="11"/>
        <color theme="1"/>
        <rFont val="Calibri"/>
        <family val="2"/>
        <charset val="1"/>
      </rPr>
      <t xml:space="preserve">ANSWER: Partly established. BWSSB's official website lists a dedicated telephone helpline and links to an online complaint form on its own complaint system. I could not confirm that the online form works. The Citation Sheet shows nothing about the email/app/WhatsApp, in-person or tracking components. | EVIDENCE: (1) Telephone: the BWSSB homepage (BWSSB-01, English) says under Quick Announcements 'Helpline numbers: Call center-1916, Safa Mitra -14420'. The Kannada version of the site (BWSSB-16) shows the same text. This is a clearly named helpline and call centre, not a general office switchboard. The page does not say what the Safa Mitra 14420 line covers. (2) Web: under citizen services, BWSSB-16 links '</t>
    </r>
    <r>
      <rPr>
        <sz val="11"/>
        <color theme="1"/>
        <rFont val="Noto Sans"/>
        <family val="2"/>
      </rPr>
      <t xml:space="preserve">ದೂರು ಸಲ್ಲಿಸಿ</t>
    </r>
    <r>
      <rPr>
        <sz val="11"/>
        <color theme="1"/>
        <rFont val="Calibri"/>
        <family val="2"/>
        <charset val="1"/>
      </rPr>
      <t xml:space="preserve">' (Submit Complaint) to https://cms.bwssb.gov.in/module/complain/new_complaint. Its staff-login menu also lists '</t>
    </r>
    <r>
      <rPr>
        <sz val="11"/>
        <color theme="1"/>
        <rFont val="Noto Sans"/>
        <family val="2"/>
      </rPr>
      <t xml:space="preserve">ದೂರು ನಿರ್ವಹಣಾ ವ್ಯವಸ್ಥೆ </t>
    </r>
    <r>
      <rPr>
        <sz val="11"/>
        <color theme="1"/>
        <rFont val="Calibri"/>
        <family val="2"/>
        <charset val="1"/>
      </rPr>
      <t xml:space="preserve">(CMS)' (Complaint Management System) at https://cms.bwssb.gov.in/. The complaint form page itself is not in the Citation Sheet, so I cannot say whether it accepts complaints. The site also has a general 'Feedback' page, which does not say it takes grievances. (3) Mobile/electronic: I found no grievance email, app or WhatsApp channel in the excerpts I read. The page links are to service portals (Jalamithra, Kaveri on Wheels and others) and to staff 'HRMS &amp; Payroll' apps, which are not grievance channels. (4) In-person: the news list in BWSSB-16 has a link to a '</t>
    </r>
    <r>
      <rPr>
        <sz val="11"/>
        <color theme="1"/>
        <rFont val="Noto Sans"/>
        <family val="2"/>
      </rPr>
      <t xml:space="preserve">ನೀರಿನ ಅದಾಲತ್ ವೇಳಾಪಟ್ಟಿ</t>
    </r>
    <r>
      <rPr>
        <sz val="11"/>
        <color theme="1"/>
        <rFont val="Calibri"/>
        <family val="2"/>
        <charset val="1"/>
      </rPr>
      <t xml:space="preserve">' (Water Adalath schedule, posted '2 weeks ago'),</t>
    </r>
  </si>
  <si>
    <t xml:space="preserve">Helpline numbers: Call center-1916, Safa Mitra -14420</t>
  </si>
  <si>
    <r>
      <rPr>
        <sz val="11"/>
        <color theme="1"/>
        <rFont val="Calibri"/>
        <family val="2"/>
        <charset val="1"/>
      </rPr>
      <t xml:space="preserve">SCORE LEFT BLANK. The score covers five channels (web, mobile/electronic, telephone, in-person, acknowledgement/tracking). Only one is established, and the others are verification limits, not proven absences. Writing 1 would score the missing channels as 0, which the rules forbid. What I checked: BWSSB-01 (English homepage), BWSSB-16 (Contact Info page, Kannada site), BWSSB-13 (Our Services) and BWSSB-25 (Press Release list). I also searched the whole Citation Sheet for complaint, WhatsApp, email and grievance. Channel by channel: (1) TELEPHONE: established. BWSSB-01 and BWSSB-16 both say 'Helpline numbers: Call center-1916, Safa Mitra -14420'. This is a named call centre, not a general office switchboard. The page does not say what Safa Mitra 14420 covers. (2) WEB: BWSSB-01 links 'Lodge Complaint' to https://cms.bwssb.gov.in/module/complain/new_complaint, and BWSSB-16 links '</t>
    </r>
    <r>
      <rPr>
        <sz val="11"/>
        <color theme="1"/>
        <rFont val="Noto Sans"/>
        <family val="2"/>
      </rPr>
      <t xml:space="preserve">ದೂರು ಸಲ್ಲಿಸಿ</t>
    </r>
    <r>
      <rPr>
        <sz val="11"/>
        <color theme="1"/>
        <rFont val="Calibri"/>
        <family val="2"/>
        <charset val="1"/>
      </rPr>
      <t xml:space="preserve">' (Submit Complaint) to the same address. The form page itself is not in the Citation Sheet, so I cannot confirm it accepts complaints. VERIFICATION-LIMIT. (3) MOBILE/ELECTRONIC (email/app/WhatsApp): I found no grievance email, app or WhatsApp channel in the citations I read. The only mobile apps listed are the staff HRMS &amp; Payroll apps, which are not grievance channels. The website footer links to the state's IPGRS/Janaspandana and e-Spandana portals. That is standard state footer text, not a BWSSB channel, so I did not count it. No app-store listing or Contact Us detail page is saved, so this is not affirmative absence. (4) IN-PERSON: BWSSB-25 lists 'Water Adalath' press releases from Aug 2021 to 28-02-2023, so a public grievance forum existed then. Those PDFs are not in the Citation Sheet, and they are outdated as evidence of current practice. The 'Service Station' page (bwssb.karnataka.gov.in/7/service-station) is linked but its content is not saved. VERIFICATION-LIMIT. (5) TRACKING/ACKNOWLEDGEMENT: the staff menu lists a 'Complaint Management System (CMS)' at https://cms.bwssb.gov.in/. No saved page shows a reference number or a status-tracking screen, and a back-end system is not proof of citizen-facing tracking. VERIFICATION-LIMIT. I checked the Step 2 answer against the sources and they support it. For a reviewer: open the CMS complaint form, check that it gives a reference number and a status-tracking screen, and take a dated screenshot. Check the Service Station page and the current Water Adalath schedule for an in-person route. Check whether BWSSB has an official grievance email, WhatsApp number or app. Website captured around July 2026 (footer reads © 2026; news item 'Water Shutdown on 22-07-2026'). Era: n/a. If the reviewer confirms only the telephone channel, the provisional total would be 1 out of 5.</t>
    </r>
  </si>
  <si>
    <r>
      <rPr>
        <sz val="11"/>
        <color theme="1"/>
        <rFont val="Calibri"/>
        <family val="2"/>
        <charset val="1"/>
      </rPr>
      <t xml:space="preserve">ANSWER: Partly established. BMTC's official website (mybmtc.karnataka.gov.in) shows two channels: a link to an online complaint system and a published helpline number. No source in the Citation Sheet shows that the complaint system works, or that the dashboard lets a citizen track a complaint. No source shows a mobile, email or WhatsApp channel, or an in-person grievance counter. Component by component: (1) Web channel: the link exists, but whether it works is not verified. (2) Mobile/electronic channel: not found. (3) Telephone channel: a 'BMTC Helpline Number' is published. (4) In-person channel: not found. (5) Acknowledgement and tracking: a 'Public Grievance Dashboard' link exists, but nothing shows it can track a registered complaint. | EVIDENCE: BMTC-01 (BMTC English homepage, menu): 'Complaints [http://crm.mybmtc.com] New Complaint' and '[http://crm.mybmtc.com/All_module] Public Grievance Dashboard'. The same menu appears on BMTC-16 (Contact Us), BMTC-09 and BMTC-10. The page body of the complaint system (crm.mybmtc.com) is not in the Citation Sheet, so it is not shown that a grievance can actually be lodged there. BMTC-01 (homepage notices list, item 43, marked '6 years ago'): 'BMTC Helpline Number: 080 22483777'. BMTC-12 (Kannada homepage) shows the same notice ('</t>
    </r>
    <r>
      <rPr>
        <sz val="11"/>
        <color theme="1"/>
        <rFont val="Noto Sans"/>
        <family val="2"/>
      </rPr>
      <t xml:space="preserve">ಬಿ</t>
    </r>
    <r>
      <rPr>
        <sz val="11"/>
        <color theme="1"/>
        <rFont val="Calibri"/>
        <family val="2"/>
        <charset val="1"/>
      </rPr>
      <t xml:space="preserve">.</t>
    </r>
    <r>
      <rPr>
        <sz val="11"/>
        <color theme="1"/>
        <rFont val="Noto Sans"/>
        <family val="2"/>
      </rPr>
      <t xml:space="preserve">ಎಂ</t>
    </r>
    <r>
      <rPr>
        <sz val="11"/>
        <color theme="1"/>
        <rFont val="Calibri"/>
        <family val="2"/>
        <charset val="1"/>
      </rPr>
      <t xml:space="preserve">.</t>
    </r>
    <r>
      <rPr>
        <sz val="11"/>
        <color theme="1"/>
        <rFont val="Noto Sans"/>
        <family val="2"/>
      </rPr>
      <t xml:space="preserve">ಟಿ</t>
    </r>
    <r>
      <rPr>
        <sz val="11"/>
        <color theme="1"/>
        <rFont val="Calibri"/>
        <family val="2"/>
        <charset val="1"/>
      </rPr>
      <t xml:space="preserve">.</t>
    </r>
    <r>
      <rPr>
        <sz val="11"/>
        <color theme="1"/>
        <rFont val="Noto Sans"/>
        <family val="2"/>
      </rPr>
      <t xml:space="preserve">ಸಿ ಸಹಾಯವಾಣಿ ಸಂಖ್ಯೆ</t>
    </r>
    <r>
      <rPr>
        <sz val="11"/>
        <color theme="1"/>
        <rFont val="Calibri"/>
        <family val="2"/>
        <charset val="1"/>
      </rPr>
      <t xml:space="preserve">: 080 22483777'). The number is labelled a helpline but is not explicitly said to accept complaints. BMTC-10 (Tenders) mentions a 'BMTC Mobile App with Women safety feature' (tende</t>
    </r>
  </si>
  <si>
    <t xml:space="preserve">Complaints [http://crm.mybmtc.com] New Complaint</t>
  </si>
  <si>
    <t xml:space="preserve">I left the score blank. The reasons are VERIFICATION-LIMIT and missing evidence, not a finding of zero.
**What I checked against the Citation Sheet:**
- I agree with Step 2's 'Partially Answered' finding.
- BMTC-01, the BMTC homepage, has a 'Complaints' menu. It links to a 'New Complaint' page and a 'Public Grievance Dashboard', both on crm.mybmtc.com.
- The text of the crm.mybmtc.com pages is not in the Citation Sheet. So I cannot confirm that a complaint can actually be filed there, or that complaints get an acknowledgement and can be tracked.
- BMTC-01 lists 'BMTC Helpline Number: 080 22483777' among its notices. The notice is marked '6 years ago' and does not say the number takes complaints. It may not show the current arrangement.
- BMTC-18, the Departments page, says the traffic department 'Controls the activities of control room, bus stands and call center etc. Also looks after the works related to accidents, public complaints,suggestions and redressal etc.' This shows which unit handles complaints internally. It does not show that a channel citizens can use exists or works.
- BMTC-10 mentions a 'BMTC Mobile App with Women safety feature' in tenders from 2020 and 2023. Nothing presents the app as a way to file complaints.
- BMTC-01 has a gallery item, 'Inauguration of BMTC helpdesk In KIA Terminal 2' (about 3 years old). It is only a photo of the event. It does not show a counter that takes complaints.
- The text captured from BMTC-16 (Contact Us) is only menu and policy boilerplate. It has no complaint email, WhatsApp number or grievance officer.
- The only email address on BMTC-16 and BMTC-18 is pd.webportal@karnataka.gov.in, from the boilerplate website policy text. It is not a complaint channel.
- I also searched the Citation Sheet for a Sakala service-guarantee entry, a citizen charter and WhatsApp/email channels. None turned up.
**Why I did not score:**
- The mobile/electronic and in-person channels cannot be scored 0. Absence is not confirmed, because these pages are not in the sheet: BMTC's own Complaints page (mybmtc.karnataka.gov.in/10/complaints/en), the crm.mybmtc.com pages and the official app listing.
- Whether the web channel works and whether complaints can be tracked both depend on websites that were not opened. That is a verification limit, so it cannot count against BMTC.
- I don't have the full DPG6b rubric bands, beyond the five components Step 2 described. A partial score would therefore be interpolation, which the rules forbid.
**What a person should check:**
1. Open crm.mybmtc.com and record whether a complaint can be filed, whether a reference number is issued, and whether the dashboard shows complaint status.
2. Confirm whether 080 22483777 (or another number) is the current complaint helpline.
3. Check whether a BMTC app or a WhatsApp/email channel accepts complaints.
4. Check whether depots or bus stations have complaint counters.
5. Capture dated screenshots, as the question bank requires.</t>
  </si>
  <si>
    <t xml:space="preserve">Step 2 found no evidence: a source needs to be found and added. Step 2 found no evidence (Insufficient Evidence). Source needed: Pages from BDA's official website (its domain shown to be official by a link from a Karnataka .gov.in/.nic.in page), fetched and saved with dates: (a) the online grievance form, or the redirect to the state grievance portal plus that portal's page with BDA listed; (b) any listed grievance email, WhatsApp number or mobile app (with its store listing); (c) a page or notice giving a designated grievance helpline or call-centre number; (d) the citizen charter, office notice or order naming the grievance counter or designated officer for in-person complaints; (e) a screenshot of the portal showing the complaint/reference number acknowledgement and status tracking. Also useful: the Sakala (Karnataka service guarantee) schedule entries for BDA services.</t>
  </si>
  <si>
    <t xml:space="preserve">Step 2 found no evidence: a source needs to be found and added. Step 2 found no evidence (Insufficient Evidence). Source needed: Current, dated saved copies of: (a) BMRCL's official website page for passenger grievances or feedback, showing an online complaint form or a link to a state/common grievance portal; (b) the official listing of a grievance email, WhatsApp number or app grievance feature (e.g. a Namma Metro app store listing showing a complaint function); (c) a website page or citizen charter giving a dedicated helpline or customer-care number for complaints; (d) a citizen charter or office order naming station customer-care counters or a designated grievance officer; (e) a portal screenshot showing a complaint reference number or status tracking.</t>
  </si>
  <si>
    <t xml:space="preserve">ANSWER: Only one of the five channels has supporting evidence, and none can be fully confirmed. That channel is a designated email for complaints. The other four (web form, telephone helpline, in-person channel, acknowledgement/tracking) are either unconfirmed or have no evidence in the Citation Sheet. So the question cannot be scored. | EVIDENCE: (1) Web channel – NOT DETERMINED. The BMRDA home page (BMRDA-05) has a 'Feedback' menu link (https://bmrda.karnataka.gov.in/feedback/en). Its footer 'e-Governance' block also links to IPGRS (https://ipgrs.karnataka.gov.in), among many generic state portals. Neither page is in the Citation Sheet. Nothing shows that the Feedback page accepts grievances or works, or that BMRDA directs grievances to IPGRS rather than just listing it. (2) Mobile/electronic channel – SUPPORTED, NEEDS CONFIRMATION. The Annual Report 2022-23, Section 10 'Website', p.15 (BMRDA-03), says 'The public can send their queries/complaints if any to our E-mail ID viz. mc.bmrda@ka.gov.in'. The current Contact Us page (BMRDA-06) still lists 'E-mail : mc.bmrda@ka.gov.in', but without calling it a grievance address. (3) Telephone – NOT DETERMINED. The Contact Us page (BMRDA-06) gives only officers' office numbers and a general 'Phone: 080-22090200, Fax: 080-22340983'. None is identified as a grievance or helpline number, and a generic switchboard does not qualify. A 0 cannot be given because the Citizen Charter linked from the home page ('CITIZEN CHARTER-2020-21 eng.pdf</t>
  </si>
  <si>
    <t xml:space="preserve">The public can send their queries/complaints if any to our E-mail ID viz. mc.bmrda@ka.gov.in</t>
  </si>
  <si>
    <r>
      <rPr>
        <sz val="11"/>
        <color theme="1"/>
        <rFont val="Calibri"/>
        <family val="2"/>
        <charset val="1"/>
      </rPr>
      <t xml:space="preserve">Score left blank: only 1 of the 5 grievance channels has evidence. I checked the Step 2 answer against the sources and agree with it.
(1) Electronic/email: SUPPORTED, but dated. The FY 2022-23 Annual Report (BMRDA-03, p.15, period 01-04-2022 to 31-03-2023) names mc.bmrda@ka.gov.in as the address for public queries and complaints. The Kannada text on p.9 says the same. The current Contact Us page (BMRDA-06) lists this email only as a general contact.
(2) Web channel: NOT DETERMINED. The home page (BMRDA-05) links to a 'Feedback' page (https://bmrda.karnataka.gov.in/feedback/en), but that page is not in the Citation Sheet. Nothing shows it accepts grievances or works (VERIFICATION-LIMIT). IPGRS, e-Spandana and Sakala appear only in the generic state-portal footer lists. Nothing presents them as BMRDA's grievance channel.
(3) Telephone: NOT DETERMINED. BMRDA-06 shows only officers' office numbers and the general switchboard. None is labelled a grievance helpline.
(4) In-person: NOT DETERMINED. Only the office address is shown. No grievance counter or grievance officer is named in any source. The officers listed on p.14 of BMRDA-03 are RTI officers (PIOs and appellate authorities), not grievance officers.
(5) Acknowledgement/tracking: NOT DETERMINED. No source shows complaint reference numbers or status tracking. The online RTI link covers RTI only.
Why no 0 for the missing channels: there is no affirmative absence. The Citizen Charter 2020-21 linked from BMRDA-05 (also listed in the Annual Report's Kannada list of website contents as item 8, '</t>
    </r>
    <r>
      <rPr>
        <sz val="11"/>
        <color theme="1"/>
        <rFont val="Noto Sans"/>
        <family val="2"/>
      </rPr>
      <t xml:space="preserve">ನಾಗರಿಕ ಸನ್ನದು</t>
    </r>
    <r>
      <rPr>
        <sz val="11"/>
        <color theme="1"/>
        <rFont val="Calibri"/>
        <family val="2"/>
        <charset val="1"/>
      </rPr>
      <t xml:space="preserve">', i.e. Citizen Charter) is not in the Citation Sheet and was not read. The Feedback page also could not be checked.
Sources searched: BMRDA-01, 02, 03, 05, 06, 07, 10, 13 (grievance/helpline/charter searches). BMRDA-08 and 11 were reviewed in Step 2, with no BMRDA grievance channel found. GBGA s.96(c) is a city-government (ULG) mechanism, not a BMRDA channel.
For the reviewer:
- Add the Citizen Charter PDF and the Feedback page to the Citation Sheet.
- Capture dated screenshots of any working submission or tracking feature.
- Confirm the rubric's treatment of the 5th component: the question bank labels it 'in-person', but its Qualification describes acknowledgement/tracking.
- If the rubric gives 1 point per channel, current evidence supports at most 1 (email), and only provisionally.</t>
    </r>
  </si>
  <si>
    <t xml:space="preserve">DPG7a</t>
  </si>
  <si>
    <t xml:space="preserve">ANSWER: Not determined. The BWSSB Act provisions in the Citation Sheet do not require any citizen-participation process before the Board's water supply or sewerage schemes are finalised. They contain no step for publishing a draft scheme, inviting objections or suggestions, or holding a public hearing. The only participation-type mechanism is a Consultative Committee that the State Government must set up. Its non-Board members include people appointed after the Government consults bodies representing interests such as water consumers, and it advises the Board on 'major schemes'. This is an advisory body appointed by the Government, not a citizen-participation process. Neither the Karnataka Town and Country Planning Act nor the BWSSB Rules or Regulations is in the Citation Sheet, so absence cannot be confirmed. | EVIDENCE: (1) BWSSB Act 1964 (PRS text, as amended up to Act 15 of 2010), s.15(2)(b)-(c): it is the Board's duty to take steps 'for preparing and carrying out schemes' for water supply and for sewerage. The proviso says schemes estimated at more than Rs 1 crore need State Government approval. No step for public notice, objections or a hearing is attached. (2) s.14(1): 'The State Government shall constitute a Consultative Committee' made up of Board members and 3-9 other persons appointed after consulting bodies representing the municipal corporation (the Act names the BBMP), the Bangalore City Improvement Trust Board and 'consumers of water'. s.14(4)(i): its role is '</t>
  </si>
  <si>
    <t xml:space="preserve">(4) The functions of the Consultative Committee shall be as follows:— (i) to advise the Board on major questions of policy and major schemes; (ii) to review the progress and the work of the Board from time to time;</t>
  </si>
  <si>
    <t xml:space="preserve">I left the score blank. The Citation Sheet does not support a 5, does not allow a 0, and whether the mechanism found earns 2.5 needs a team decision.
(1) What the BWSSB Act says (BWSSB-02, PRS text as amended to 2021, including Acts 15 and 32 of 2010 and Act 29 of 2021). s.15(2)(b)-(c) makes it the Board's duty to prepare and carry out water supply and sewerage schemes. Under the proviso, schemes over Rs 1 crore need State Government approval. No step is attached for publishing a draft, inviting objections or suggestions, or holding a public hearing, so there is no basis for a mandated participation process (the 5 band).
(2) The only mechanism found is the Consultative Committee under s.14:
- s.14(1): the Government 'shall constitute' it.
- Its 3 to 9 non-Board members are appointed after consulting bodies that represent the municipal corporation, the Bangalore City Improvement Trust Board and 'consumers of water'.
- s.14(3): it meets at least once every three months.
- s.14(4)(i): its role is 'to advise the Board on major questions of policy and major schemes'.
- s.14(5): the annual financial statement is placed before it.
The committee is advisory and Government-appointed. It is not open citizen participation. Whether this counts as 'participation provided for' in the 2.5 band is a question about the methodology, so I did not score it. CONFIRM with the team.
(3) Other provisions checked, none of which is a citizen-participation step:
- s.17(3)-(4): legislative scrutiny of the financial statement.
- s.86(2): annual report covering activities planned for next year.
- s.87(1) and s.88: 'previous publication' applies only to making rules and regulations.
(4) ULG law (BWSSB-04, GBA Act 2024, Act 36 of 2025, GBA era):
- The objections-and-suggestions provisions it contains concern area notifications, not BWSSB schemes.
- The Ward Committee / Ward Sabha and Ward Development Plan provisions (ss.95 and 103) cover the city government's plans, not BWSSB plans.
- I saw no provision applying a participation duty to BWSSB schemes. BWSSB-23 (Amendment Bill 2025) was not read in detail.
(5) Why 0 is not allowed: affirmative absence is not met. These are not in the Citation Sheet:
- the BWSSB Rules under s.87, where s.87(2)(b) provides for the Consultative Committee's terms of appointment and how it conducts business;
- the BWSSB Regulations under s.88;
- the Karnataka Town and Country Planning Act 1961;
- any state water or sewerage policy.
Website sources (BWSSB-01, 07, 11, 12, 13, 16, 25) are not law and do not show a mandated process.
For the team: the Act still names the Bruhat Bangalore Mahanagara Palike and the Bangalore City Improvement Trust Board in s.14(1). No official source in the sheet shows successor bodies substituted.
The question text and full rubric were not in the task input. The 5 / 2.5 / 0 bands come from the Step 2 notes; please confirm them against the question bank.</t>
  </si>
  <si>
    <t xml:space="preserve">ANSWER: The sources do not show any law that requires citizen participation when BMTC prepares its own plans. The only binding citizen-participation process that touches BMTC's planning sits in the Bengaluru Metropolitan Land Transport Authority Act (BMLTA Act), and it binds the Authority (BMLTA), not BMTC. Before BMLTA finalises 'any plan as under this Act' (for example the Comprehensive Mobility Plan), it 'shall' publish a draft and invite objections and suggestions from any person. BMTC is a public body providing urban mobility, so it appears to fall under the Act's definition of 'Urban Transport Agency' (s.2(ff)). Its plans under the Act are the Sectoral Mobility Investment Program (s.24) and the Annual Implementation Plan (s.25). The Act requires these to be prepared in consultation with BMLTA and, for the Annual Implementation Plan, approved by it, but sets no public-participation step for them. BMTC's sectoral program reaches the public only indirectly: BMLTA folds it into the City Mobility Investment Program, which is part of the Comprehensive Mobility Plan, and that plan goes through the s.21(3) objection process. Whether that indirect, stage-limited route counts as participation in 'the parastatal's plans' (possibly the 2.5 band) needs team confirmation. | EVIDENCE: (1) Parastatal Act, Road Transport Corporations Act, 1950 (BMTC-02): no provision for citizen participation in BMTC plans. s.17 says the State Government 'may' set up Advisory Councils 'for the purpose o</t>
  </si>
  <si>
    <t xml:space="preserve">Before finalizing any plan as under this Act, the Authority shall cause to pu blish a draft plan by making a copy thereof available for inspection and</t>
  </si>
  <si>
    <t xml:space="preserve">I left the score blank for a human to decide. The Detailed Methodology for DPG7a was not in the task input, so I can't tie the evidence to a rubric band. I also can't show an affirmative absence. Here is what the sources show.
(1) The only binding citizen-participation duty is in s.21(3) of the BMLTA Act (Bengaluru Metropolitan Land Transport Authority Act, BMTC-06, PRS copy). It binds the Authority (BMLTA), not BMTC: 'the Authority shall cause to publish a draft plan ... inviting objections and suggestions from any person'. It covers the Comprehensive Mobility Plan, and s.23 applies it again to the five-yearly revision.
(2) BMTC's own plans under that Act are the Sectoral Mobility Investment Program and the Annual Implementation Plan. BMTC counts as an 'Urban Transport Agency', but that is inferred: no notification naming BMTC is in the sheet. The sectoral program is prepared 'in consultation with the Authority' (s.24(b)), which is consultation between agencies, not with citizens. The Authority then folds it in, 'with or without modification', into the City Mobility Investment Program, which is 'part of the Comprehensive Mobility Plan' (s.24(c),(e)). So citizens reach BMTC's sectoral program only indirectly, through BMLTA's s.21(3) process. The Annual Implementation Plan is prepared by the agencies and reviewed and approved by the Authority (s.25(1)-(2)), with no public step in the text.
(3) Section 21(3) says 'any plan as under this Act'. Whether that covers the Annual Implementation Plan is ambiguous.
(4) I checked the 2026 amending Act (Karnataka Act 10 of 2026), which is appended in BMTC-06. In the text shown, it amends only ss.2(cc), 4 and 12 (replacing BBMP with the Greater Bengaluru Authority and changing who sits on the Authority and its Executive Committee). It does not touch ss.21, 24 or 25.
(5) BMTC's parent Act, the Road Transport Corporations Act 1950 (BMTC-02, per Step 2): the s.17 Advisory Councils are discretionary ('may') and advisory only. No public step is shown for ss.30 or 32.
Why I can't score 0: the Rules and Regulations page on BMTC's site (BMTC-20) lists the KSRTC Rules, 1961 and several KSRTC regulations, but their texts are not in the Citation Sheet and were not read. There are also no BMLTA regulations under s.54, even though s.54(1)(ix)-(x) provide for regulations on how the City Mobility Investment Program and the Annual Implementation Plan are prepared.
The team needs to confirm:
(a) Does BMLTA's s.21(3) Comprehensive Mobility Plan process, which takes in BMTC's sectoral program, count as participation 'only for specific plans/stages' (the 2.5 band Step 2 suggested)? Or does the question need a process that applies to BMTC's own plans, which none of the sources show?
(b) Does s.21(3) extend to the Annual Implementation Plan?
(c) Get the texts of the KSRTC Rules, 1961 and any BMLTA regulations.
If (a) is accepted, 2.5 is the likely candidate. Act texts are secondary PRS copies.</t>
  </si>
  <si>
    <t xml:space="preserve">ANSWER: No law in the Citation Sheet requires BMRCL to involve citizens before it finalises its own plans. A binding public-objection process does exist (BMLTA Act s.21(3)), but it applies to the plans of the Bengaluru Metropolitan Land Transport Authority (BMLTA), chiefly the Comprehensive Mobility Plan. BMRCL's Sectoral Mobility Investment Program becomes part of that plan, so BMRCL's sector plan reaches the public only at the stage where the Comprehensive Mobility Plan is published in draft. BMRCL's own Annual Implementation Plan has no participation step; BMLTA approves it. This fits 'applies only to specified plan types/stages', but it rests on an interpretation that needs confirmation. | EVIDENCE: (1) Laws governing BMRCL itself. Metro Railways (Operation and Maintenance) Act, 2002 (BMRCL-04): s.5 gives the functions 'to maintain and operate metro railway'. I found nothing on preparing plans or on public participation in the sections I read: s.5-6, s.22, s.86 and s.98-105. The rule-making power in s.100 does not cover planning. Companies Act, 2013 (BMRCL-06): a general company law, with no provision on plan participation in the parts I saw. The 2021 annual report (BMRCL-09) says BMRCL is a 50:50 joint-venture government company under s.2(45). (2) Urban transport law. BMLTA Act, 2022 (Karnataka Act 6 of 2023, BMRCL-08): s.21(3) says 'Before finalizing any plan as under this Act, the Authority shall' publish a draft plan, invite 'objections and suggestions from any person</t>
  </si>
  <si>
    <t xml:space="preserve">The Bengaluru Metropolitan Land Transport Authority Act, 2022 Act No. 6 of 2023 [BMRCL-08]</t>
  </si>
  <si>
    <t xml:space="preserve">inviting objections and suggestions from any person with respect to the draft plan before such date as may  be specified in the notice, subject to a maximum period</t>
  </si>
  <si>
    <t xml:space="preserve">I left the score blank for a person to set, because a 2.5 rests on a reading of the law that needs confirmation.
(1) Detailed Methodology not supplied. The question text, the Detailed Methodology and the Notes for scorers were not in the task input. The bands (5, 2.5, 0) are known only from the Step 2 summary, so I could not check them against the actual rubric.
(2) What the source supports.
- BMLTA Act s.21(3) makes public objections mandatory: 'the Authority shall' publish the draft plan and invite objections 'from any person' within at most two months. That duty falls on BMLTA, not BMRCL.
- BMRCL's own plan, its Sectoral Mobility Investment Program, is only 'prepared in consultation with the Authority' (s.24(b)). That is consultation between agencies, not with citizens.
- The Authority then folds the Sectoral Program 'with or without modification' into the City Mobility Investment Program (s.24(c)). That program 'shall be part of the Comprehensive Mobility Plan' (s.24(e)), which goes through the s.21(3) public draft stage.
- BMRCL's Annual Implementation Plan (s.25) is prepared by the agency and reviewed and approved by the Authority, with no public step in the Act.
- So citizens can reach BMRCL's plans only indirectly, through BMLTA's draft Comprehensive Mobility Plan. Whether that counts as participation in the 'parastatal's plans' (the 2.5 band, 'specified plan types/stages') or as another agency's plan is a call for the team.
(3) One Step 2 caveat is now settled. BMRCL is an 'Urban Transport Agency': s.2(ff) defines it as 'both the private and public agencies engaged in providing of Urban Mobility', and the Schedule lists Metro Railway. The Managing Director of BMRCL is also an ex-officio member under s.4(1)(s).
(4) Why 0 is not possible. Absence is not established, because these layers are missing from the Citation Sheet:
- Metro Railways (Construction of Works) Act, 1978 and its rules;
- rules made under the Metro Railways (Operation and Maintenance) Act, 2002;
- regulations under the BMLTA Act (s.54(vii)-(x) cover plan procedure and the form of the draft-plan notice);
- BMRCL's Memorandum and Articles of Association;
- the 2026 BMLTA amendment (Act 10 of 2026), noted on the PRS copy but not reviewed;
- the gazette text of Act 6 of 2023 (the copy used is PRS, a secondary source).
(5) Checked with no plan-participation duty on BMRCL found:
- BMRCL-04: s.5-6, s.22, s.86 and s.98-105;
- BMRCL-06: Companies Act, general company law only;
- BMRCL-07: s.10 covers the Planning Authority's Master Plan only;
- BMRCL-02: s.14(2) covers the Greater Bengaluru Authority and the Metropolitan Planning Committee;
- BMRCL-09: the FY2020-21 annual report.
(6) Suggested next step. If the team accepts the indirect route through the Comprehensive Mobility Plan and confirms the rubric, 2.5 looks like the likely band. Check first that the 2026 amendment leaves s.21, s.24 and s.25 unchanged.
Period: BMLTA Act as enacted in 2023 (PRS copy).</t>
  </si>
  <si>
    <t xml:space="preserve">DPG7b</t>
  </si>
  <si>
    <t xml:space="preserve">Step 2 found no evidence: a source needs to be found and added. Step 2 found no evidence (Insufficient Evidence). Source needed: The final BWSSB Vision Document/Master Plan (2050), with any section on stakeholder or public consultation. Any public notice on the official website inviting objections or suggestions on a draft plan. Consultation reports, or minutes of public hearings or ward-level consultations. Proceedings of the s.14 Consultative Committee. BWSSB's latest annual report (s.86) or the s.86(2) activity report laid before the State Legislature, if either describes consultation on plans.</t>
  </si>
  <si>
    <t xml:space="preserve">Step 2 found no evidence: a source needs to be found and added. Step 2 found no evidence (Insufficient Evidence). Source needed: Four things would answer this: (a) BMTC's latest plan document (for example a route-rationalisation, fleet-augmentation, bus-network or business plan) with any section on stakeholder or citizen consultation; (b) BMTC public notices on its official website inviting objections or suggestions on a draft plan or route network; (c) minutes or reports of public hearings, consultations or surveys held before such a plan was finalised; (d) if BMTC's Sectoral Mobility Investment Program feeds a BMLTA plan, BMLTA's notice and consultation report under s.21(3), together with evidence that BMTC's plan was part of the consulted draft.</t>
  </si>
  <si>
    <t xml:space="preserve">Step 2 found no evidence: a source needs to be found and added. Step 2 found no evidence (Insufficient Evidence). Source needed: Any of these would answer the question: BMRCL's latest plan or planning document (e.g. the DPR for a current metro phase) showing a consultation process; public notices from BMRCL or its official website inviting objections or suggestions; a consultation or stakeholder report; minutes or proceedings of public hearings (e.g. hearings held for social or environmental impact assessment of a metro phase); or a dated BMRCL website page recording consultation before the plan was finalised.</t>
  </si>
  <si>
    <t xml:space="preserve">SC1</t>
  </si>
  <si>
    <t xml:space="preserve">Step 2 found no evidence: a source needs to be found and added. Step 2 found no evidence (Insufficient Evidence). Source needed: BWSSB's budget or annual financial statement under s.17, preferably its audited annual accounts or annual report, for at least 2 and ideally the latest 3 completed financial years. Each year must show: own revenue split into water and sewerage charges, prorata/connection charges, deposits, other non-tax income and any taxes; government grants and subventions shown separately (to be excluded); loans shown separately (not revenue); and total expenditure. Possible places to find these are the 'Budget' and 'Accounts' pages linked from BWSSB's official homepage, or the statements laid before the Karnataka Legislature under s.17(3).</t>
  </si>
  <si>
    <t xml:space="preserve">Step 2 found no evidence: a source needs to be found and added. Step 2 found no evidence (Insufficient Evidence). Source needed: BMTC's audited annual accounts (Profit and Loss Account with schedules) or Annual Administrative Reports for the latest 3 completed financial years (e.g. FY 2022-23 to FY 2024-25), or BMTC budget documents for those years. They must show: traffic revenue; non-traffic and commercial revenue; government grants, subsidies and reimbursements, shown separately; and total expenditure. These could come from BMTC's own site (annual administrative report page) or from reports tabled in the Karnataka Legislature or CAG audit reports.</t>
  </si>
  <si>
    <t xml:space="preserve">Step 2 found no evidence: a source needs to be found and added. Step 2 found no evidence (Insufficient Evidence). Source needed: BDA's annual budget (s.42-44 estimate of income and expenditure) for at least 2, preferably 3, recent completed financial years. Better still, BDA's audited annual statements of accounts and auditor's reports (s.47), as published or as laid before the Karnataka Legislature. These must show receipts by head, separating land and site sale proceeds, rents, property tax, betterment tax and fees from government grants, ULG contributions and borrowings, plus total expenditure (revenue and capital).</t>
  </si>
  <si>
    <t xml:space="preserve">SC2</t>
  </si>
  <si>
    <t xml:space="preserve">Step 2 found no evidence: a source needs to be found and added. Step 2 found no evidence (Insufficient Evidence). Source needed: Two documents are needed. First, BWSSB's audited annual accounts, or its budget statement showing actuals, for the latest completed FY (e.g. 2024-25), giving capital expenditure on works and assets in Rs. Second, a dated Census 2011 figure or an official projection (e.g. from the state Directorate of Economics and Statistics or a government-approved projection) for the area BWSSB serves, with its source named.</t>
  </si>
  <si>
    <t xml:space="preserve">Step 2 found no evidence: a source needs to be found and added. Step 2 found no evidence (Insufficient Evidence). Source needed: Two things are needed: (1) BMTC's audited annual accounts or annual report for the latest completed financial year (or its capital budget with actuals), showing capital expenditure such as fixed-asset additions, bus purchases and depot or bus-station works, plus the CAG audit report on those accounts; (2) the latest Census figure, or the most recent official projection (e.g. from the state Directorate of Economics and Statistics), for the area BMTC serves, with that area defined from an official BMTC or state source.</t>
  </si>
  <si>
    <t xml:space="preserve">Step 2 found no evidence: a source needs to be found and added. Step 2 found no evidence (Insufficient Evidence). Source needed: Three things are needed. (1) BDA's audited annual statement of accounts (s.47) or annual report for the latest completed FY, showing capital expenditure (capital works, layout development, land acquisition treated as capital). Failing that, the sanctioned budget (s.42-44) with revised or actual capital figures, possibly from the copy laid before the Karnataka Legislature. (2) An official population figure for BDA's current jurisdiction: Census 2011 for the BDA local planning area, or an official state projection with its source. (3) Team confirmation of which area counts as BDA's jurisdiction after the 2025 KTCP amendment, and the per-capita figures for the other development authorities being assessed, for the percentile rank.</t>
  </si>
  <si>
    <t xml:space="preserve">ANSWER: I can't work out BMRCL's per-capita capital expenditure from the Citation Sheet. Two inputs are missing. (1) The only BMRCL accounts in the sheet are for FY 2020-21 (year ended 31 March 2021). That is not the latest completed financial year. (2) No source in the sheet gives a population figure for the area BMRCL serves. For reference only, FY 2020-21 capital spending (cash basis) was Rs 4,65,409.46 lakh (about Rs 4,654.09 crore). This is an old year and must not be used as the current figure. | EVIDENCE: BMRCL-09 (Annual Report, Financial Statements for year ended 31 March 2021), Cash Flow Statement, printed page 87 (PDF page 89), 'Cash flows from Investing Activities': 'Purchase of fixed assets, including CWIP and capital advances (Net) (465409.46) (631413.09)' (Amount in Rs lakhs). That gives Rs 4,654.09 crore for FY 2020-21 and Rs 6,314.13 crore for FY 2019-20. Balance Sheet, printed page 81: Property, Plant and Equipment went from 1911913.65 to 2148016.96, and Capital Work-In-Progress from 542607.65 to 699918.94 (Rs lakhs, 31 March 2020 to 31 March 2021). Note 2.2 (printed page 98) lists the CWIP additions on an accrual basis, mostly Phase II. Population: a search of the whole sheet found only definitions. BMRCL-02 (Greater Bengaluru Governance Act) s.2(48) defines 'Population' as the figure 'ascertained at the last preceding census'. It gives no number. No Census table or official projection is in the sheet. | CAVEATS: (a) The capex definition is open. I used the</t>
  </si>
  <si>
    <t xml:space="preserve">capital advances (Net) (465409.46) (631413.09)</t>
  </si>
  <si>
    <t xml:space="preserve">I left the score blank because the Citation Sheet doesn't give enough to work out a per-capita capex figure or rank it. Not found is not the same as zero, so I did not score it 0.
What I checked against the source:
- BMRCL-09, the audited FY 2020-21 Annual Report, does show 'Purchase of fixed assets, including CWIP and capital advances (Net)' of Rs 4,65,409.46 lakh for FY 2020-21. That is about Rs 4,654.09 crore, on a cash basis. The FY 2019-20 figure is Rs 6,31,413.09 lakh. The Step 2 numbers match the source.
Why no score can be given:
1. The capex year is out of date. BMRCL-09 covers FY 2020-21 (year ended 31 March 2021). That is not the latest completed financial year, and the sheet has no later BMRCL accounts or annual report. My extra read of BMRCL-09 found nothing for later years.
2. There is no population denominator. I searched the sheet for population and census. The only hits were definitions in BMRCL-02, the Greater Bengaluru Governance Act: s.2(48) and the delimitation explanation. Neither gives a number. No Census table or official projection is in the sheet.
3. The service area is undefined. The denominator could be the Greater Bengaluru Authority area, the Bengaluru Urban Mobility Region under BMRCL-08 s.3, or the metro catchment.
4. There is no peer set. The methodology, as described in the Step 2 notes, needs a percentile rank against comparable parastatals. No peer data is in the sheet.
5. The capex definition is open. I could use the cash-flow figure above, or the accrual additions to Property, Plant and Equipment plus Capital Work-In-Progress (CWIP). For FY 2020-21, Note 2.2 shows CWIP additions of Rs 3,32,353.69 lakh.
Other points for the team:
- The CAG's comments say CWIP and liabilities are overstated by Rs 294.49 crore.
- I could not see the question's Detailed Methodology and rubric in the task, so I could not check the 0-10 bands against the Max Score.
The team needs to confirm: the latest audited BMRCL accounts, the official population for the chosen service area, the capex definition, and the peer set for ranking.</t>
  </si>
  <si>
    <t xml:space="preserve">SC3</t>
  </si>
  <si>
    <t xml:space="preserve">Step 2 found no evidence: a source needs to be found and added. Step 2 found no evidence (Insufficient Evidence). Source needed: BWSSB's annual budget documents (the s.17 annual financial statement / budget estimates) and its audited annual accounts (s.25 income and expenditure account), for the same 2-5 recent completed financial years (latest 3 preferred), compared side by side. These could come from BWSSB's annual reports, the papers laid before the Karnataka Legislature, or the auditor's / CAG report on BWSSB accounts.</t>
  </si>
  <si>
    <t xml:space="preserve">Step 2 found no evidence: a source needs to be found and added. Step 2 found no evidence (Insufficient Evidence). Source needed: For at least 2 (ideally 3) completed financial years, BMTC's approved budget showing budgeted total expenditure, and the audited annual accounts or CAG-certified accounts for the same years showing actual total expenditure. Possible sources: BMTC annual reports tabled in the Karnataka Legislature, the CAG audit report on BMTC accounts, or a budget-versus-actuals statement sent to the State Transport Department.</t>
  </si>
  <si>
    <t xml:space="preserve">Step 2 found no evidence: a source needs to be found and added. Step 2 found no evidence (Insufficient Evidence). Source needed: For at least 2 (ideally 3, at most 5) recent completed FYs, side by side: (1) BDA's annual budget estimates as approved by the Authority and sanctioned by the Government under ss.43-44, showing budgeted total expenditure; (2) BDA's audited annual statements of accounts under s.47 showing actual expenditure for the same FYs. These could come from BDA's published audited accounts, the copies laid before the Karnataka Legislature, or the Urban Development Department's budget sanction orders.</t>
  </si>
  <si>
    <t xml:space="preserve">Step 2 found no evidence: a source needs to be found and added. Step 2 found no evidence (Insufficient Evidence). Source needed: BMRCL's annual budget estimates (Board-approved BE, and RE if there is one) for at least 2, preferably 3, recent completed years (e.g. FY 2021-22 to FY 2023-24), plus the audited annual reports or financial statements for the same years. These would allow budgeted and actual expenditure to be compared side by side. Other possible sources: GoK Urban Development Department budget papers showing BMRCL's budgeted outlay, or annual reports tabled in the Karnataka Legislature that include a budget-vs-actual statement.</t>
  </si>
  <si>
    <t xml:space="preserve">Step 2 found no evidence: a source needs to be found and added. Step 2 found no evidence (Insufficient Evidence). Source needed: BMRDA's approved annual budgets (budget estimates, and revised estimates if any) and its audited annual accounts for the same years. This means at least 2, and preferably 3, completed financial years (e.g. FY 2022-23 to FY 2024-25), showing budgeted and actual total expenditure side by side. Likely places are the website's Budget page, the 2023-24 and later annual reports tabled in the Legislature, and the audit reports on BMRDA's accounts.</t>
  </si>
  <si>
    <t xml:space="preserve">SC4a</t>
  </si>
  <si>
    <t xml:space="preserve">ANSWER: The BWSSB Act, 1964, in the PRS copy that runs up to the 2021 amendment, does not require a medium-term (3-5 year) or long-term (&gt;5 year) fiscal plan. It requires only a one-year budget: an annual statement of estimated capital and revenue receipts and expenditure for the following year (s.17), plus yearly finance and reserve rules. The Rules and Board Regulations made under the Act are not in the Citation Sheet, so I cannot confirm the absence across the whole legal framework. Score left blank. | EVIDENCE: BWSSB Act 1964 (BWSSB-02, PRS copy). (1) Chapter III on finance, read in full from ss.16 to 25. s.16(1) says the Board 'shall' set charges to cover yearly operating costs, loan repayment and '(c) to finance year to year improvement'. s.17(1) says 'In February of each year the Board shall submit to the State Government a statement ... of the estimated capital and revenue receipts and expenditure for the ensuing year'. s.17(5) allows a supplementary statement for the same year. s.18 bars spending that is not in that year's statement. s.21: no borrowing without State approval. s.24 creates a depreciation reserve and s.24A an improvement reserve, credited yearly, with 'taking into consideration the improvement works which the Board will have to execute'. Neither sets a planning horizon. s.25 covers yearly accounts and audit. (2) s.86(2): the annual report must cover activities 'likely to be undertaken by the Board in the next financial year', which is a one-year view. </t>
  </si>
  <si>
    <t xml:space="preserve">17. Annual financial statement. —(1) In February of each year the Board shall submit to the State Government a statement in the form prescribed by 1[regulations]1 of the estimated capital and revenue receipts and expenditure for the ensuing year.</t>
  </si>
  <si>
    <t xml:space="preserve">Score left blank. Step 2 also left it blank, and I agree after checking the source.
1. What the Act says (BWSSB-02, PRS copy, as amended up to Act 29 of 2021):
- Section 17(1) requires only a one-year statement, for 'the ensuing year'. Section 17(5) adds a supplementary statement for the same year.
- Section 16(1)(c) refers to 'year to year improvement'.
- Section 18 bars spending that is not in that year's statement.
- Sections 24 and 24A require reserves to be credited every year. Section 24A says the Board must consider 'the improvement works which the Board will have to execute', but it sets no planning period and does not require a plan.
- Section 86(2) looks ahead only to 'the next financial year'.
- Sections 87(2)(c) and 88 only say Rules and Regulations 'may' set the form of the annual statement.
- I found nothing in the Act requiring a medium-term (3-5 year) or long-term fiscal plan.
2. Why I did not give 0: a 0 needs affirmative absence, meaning every relevant instrument has been read and nothing was found. Two layers are missing from the Citation Sheet: the Rules under s.87 (which may set what goes into the annual financial statement) and the Board Regulations under s.88. Any GO or direction under s.89 is missing too. Because those layers could hold a multi-year requirement, this is 'not found', not proven absent. Also, the Act text comes only from PRS, which is secondary and carries a no-verification disclaimer, so amendments after 2021 cannot be ruled out.
3. Other sources checked:
- BWSSB-04 (GBA Act 2024): ss.2(42), 187 and 189 require a medium-term fiscal plan from the City Corporations only. They do not apply to BWSSB and earn no credit.
- BWSSB-07 (BWSSB website): describes a 'Vision document upto 2050' with long-, medium- and short-term investment phasing. This is a voluntary planning document, not a legal requirement. The document itself is not in the sheet.
- A search of the whole Citation Sheet for 'medium-term fiscal plan / long-term plan' found only GBA Act passages.
4. Not available to me: the question's detailed methodology and score bands were not in the task. I could not check the bands myself, so I relied on Step 2's reading that the Act-only evidence fits the 0 band.
For a person to decide:
(a) If the team rules that only the enabling Act counts for this question, the Act supports 0.
(b) Otherwise, get the s.87 Rules, the s.88 Regulations and any multi-year fiscal planning GO, and an official Karnataka copy of the consolidated Act. Step 2 lists an RTI target: the BWSSB PIO (Financial Advisor &amp; Chief Accounts Officer) or the Karnataka Urban Development Department.</t>
  </si>
  <si>
    <t xml:space="preserve">ANSWER: Not determined. The Road Transport Corporations Act, 1950 is the enabling Act listed for BMTC. It requires only an annual budget for the next financial year. I found no medium-term (3-5 year) or long-term (over 5 year) fiscal plan with a set horizon in the sections I read. The rest of the legal stack is not in the Citation Sheet, so I cannot record an affirmative absence and have not scored 0. | EVIDENCE: (1) RTC Act, 1950 s.32(1) (Budget): 'Every Corporation shall ... prepare and submit to the State Government for approval a budget for the next financial year showing the estimated receipts and expenditure during that financial year'. Sub-sections (2)-(4) cover spending against the approved budget grant, re-appropriation and excess spending only. None sets a multi-year horizon. (2) s.17A(2)(f): 'capital budget, the revenue budget and the annual development plans' of a subsidiary corporation must be approved. These are annual, and apply to subsidiaries. (3) s.30: net profits 'may be utilised for financing the expansion programmes'. This is discretionary and sets no horizon or fiscal plan. (4) s.35(2): an annual report 'on its policy and programme'. This looks back over the year and is not a fiscal plan with a set horizon. (5) s.44 (rule-making power), clause (i): Rules may prescribe 'the date by which, and the form in which, the budget shall be prepared' under s.32(1), meaning the annual budget only. (6) s.45 (regulations): none of the listed matters is a fiscal plan. </t>
  </si>
  <si>
    <t xml:space="preserve">I left the score blank. The Act points towards 0, but I cannot show affirmative absence across the whole legal stack, so this result is 'not found', not 0.
What the Citation Sheet shows (RTC Act, 1950, BMTC-02, text as amended by Acts 28 of 1959 and 63 of 1982):
- s.32(1) requires only an annual budget 'for the next financial year'. s.32(2)-(4) cover spending against the approved grant, re-appropriation and excess spending.
- s.17A(2)(f) covers the 'capital budget, the revenue budget and the annual development plans' of subsidiary corporations. These are annual and apply only to subsidiaries.
- s.30 says profits 'may be utilised for financing the expansion programmes'. This is discretionary and sets no horizon.
- s.35(2) requires an annual report on the past year and on 'policy and programme'. This is not a fiscal plan with a set horizon.
- s.44(2)(i) lets Rules set the date and form of the annual budget only.
- s.45 regulations name no fiscal plan.
I found no 3-5 year (medium-term) or 5+ year (long-term) fiscal plan in the sections I read. This matches the Step 2 answer.
Why I did not score 0:
- BMTC-20, BMTC's official 'Rules And Regulations' page, links a 'KSRTC Rules, 1961' PDF. These look like the Rules under RTC Act s.44, which govern the budget's form and timing. That PDF is not a citation in the sheet, so I could not read it.
- BMTC's own financial regulations and its constitution notification under s.3 are not in the sheet either.
- The Karnataka Local Fund Authorities Fiscal Responsibility Act, 2003 is not in the sheet. The GBA Act s.180 refers to it.
- The GBA Act's (BMTC-04) 'Medium term fiscal plan' (s.2(42), five years) applies to the City Corporation, not BMTC.
- The BMLTA Act s.24 (BMTC-06) 'short to medium term' City Mobility Investment Program is prepared by BMLTA. It sets no number of years and does not come from BMTC's enabling Act.
For a person to check: (1) Read the KSRTC Rules, 1961 PDF linked from BMTC-20 for any multi-year financial plan provision. (2) Check whether the 2003 Fiscal Responsibility Act applies to BMTC. (3) Confirm BMTC's constitution notification under RTC Act s.3. If none of these sets a medium- or long-term fiscal plan, the 0 band applies on the Act. I could not see the question's full rubric text, so a person should also confirm the band mapping. Era: n/a.</t>
  </si>
  <si>
    <t xml:space="preserve">ANSWER: In the sources available, the BDA Act does not require a medium-term (3-5 year) or long-term (more than 5 year) fiscal plan. The only budget duty it sets is a one-year estimate of income and expenditure, approved by the Authority and sanctioned by the State Government. I am not proposing a score of 0, because the Rules made under the BDA Act are not in the Citation Sheet. | EVIDENCE: (1) BDA Act, 1976 (BDA-02, PRS copy). Chapter V 'Property and Finance', ss.37-48, checked against the list of sections and the text. s.42: the Commissioner 'shall ... lay before the Authority an estimate of the income and of the expenditure of the Authority for the year commencing on the first day of April then next ensuing'. s.43: the Authority 'shall consider ... and shall approve' the estimate. s.44: the approved estimate 'shall be submitted to the Government which may, either sanction or disallow'. s.45: supplementary estimates during the year. s.46: no spending unless it is in a sanctioned estimate. s.39 (borrowing) and s.47/47A (accounts, audit, reports) are listed among the sections; none of the s.37-48 sections shown in the excerpts sets a multi-year plan. The list of sections in the arrangement shows no section on a medium- or long-term fiscal plan. s.69 (rule-making) does not list budgeting or fiscal planning among its specific topics, though s.69(2)(a) and (j) are open-ended. s.70 (regulations) covers procedure only. Searching the sheet for 'medium-term fiscal plan', 'fiscal pl</t>
  </si>
  <si>
    <t xml:space="preserve">I left the score blank because nothing in the Citation Sheet shows that no multi-year plan exists in any layer of the law. In the BDA Act, the only budget planning duty is for one year. I read the PRS copy of the BDA Act (BDA-02), amendments appended up to Karnataka Act 42 of 2026. The list of sections for Chapter V (ss.37-48) shows no section on a medium-term or long-term fiscal plan. s.42(1): the Commissioner 'shall' lay before the Authority an estimate of income and expenditure 'for the year commencing on the first day of April then next ensuing'. s.43: the Authority 'shall' approve it. s.44: the Authority 'shall' submit it to the Government, which 'may' sanction or disallow it. s.45 covers supplementary estimates within the year. s.46 bars spending that is not in a sanctioned estimate. s.39 (borrowing) and ss.47/47A (accounts, audit, reports) set no multi-year plan. s.69 (rules) lists no budgeting topics; only the catch-all clauses (a) and (j) could cover it. s.70 (regulations) covers procedure only. I searched all of BDA-02 to BDA-13 for multi-year or medium-term fiscal planning and found nothing for BDA.
Other laws I checked:
- KTCP Act s.68B (BDA-06, PRS copy up to Act 38 of 2015) also requires only an annual budget.
- The medium-term fiscal plan duty in the GBA Act (BDA-03: s.187, s.2(42), s.181(6)(b), s.189) applies to the City Corporations, not BDA, so I gave BDA no credit for it.
Why no 0:
- The Rules made under BDA Act s.69, any BDA budget or finance regulations under s.70, and any state GO on fiscal planning for BDA are not in the Citation Sheet. A 0 needs evidence of absence across every layer, so for now the result is 'not found'.
- The task did not give me the question's Detailed Methodology or rubric bands. Without them I cannot match the evidence to a band on the 0-5 scale.
I agree with Step 2's reading of the Act.
For the team to confirm:
(1) Supply the SC4a rubric, and say whether the Act layer alone is enough for a 0.
(2) Supply the BDA Rules and Regulations, or confirm none on budgeting exist.
(3) BDA-02 is a PRS compilation; check the s.42-46 wording against an official text.
Period: BDA Act with amendments up to Act 42 of 2026 (in force 07.09.2026), GBA era.</t>
  </si>
  <si>
    <t xml:space="preserve">The AI's citation or quote failed the check. The AI's quote couldn't be found word for word in BDA-02, so its answer was discarded. AI comments: I left the score blank because nothing in the Citation Sheet shows that no multi-year plan exists in any layer of the law. In the BDA Act, the only budget planning duty is for one year. I read the PRS copy of the BDA Act (BDA-02), amendments appended up to Karnataka Act 42 of 2026. The list of sections for Chapter V (ss.37-48) shows no section on a medium-term or long-term fiscal plan. s.42(1): the Commissioner 'shall' lay before the Authority an estimate of income and expenditure 'for the year commencing on the first day of April then next ensuing'. s.43: the Authority 'shall' approve it. s.44: the Authority 'shall' submit it to the Government, which 'may' sanction or disallow it. s.45 covers supplementary estimates within the year. s.46 bars spending that is not in a sanctioned estimate. s.39 (borrowing) and ss.47/47A (accounts, audit, reports) set no multi-year plan. s.69 (rules) lists no budgeting topics; only the catch-all clauses (a) and (j) could cover it. s.70 (regulations) covers procedure only. I searched all of BDA-02 to BDA-13 for multi-year or medium-term fiscal planning and found nothing for BDA.
Other laws I checked:
- KTCP Act s.68B (BDA-06, PRS copy up to Act 38 of 2015) also requires only an annual budget.
- The medium-term fiscal plan duty in the GBA Act (BDA-03: s.187, s.2(42), s.181(6)(b), s.189) applies to the City Corporations, not BDA, so I gave BDA no credit for it.
Why no 0:
- The Rules made under BDA Act s.69, any BDA budget or finance regulations under s.70, and any state GO on fiscal planning for BDA are not in the Citation Sheet. A 0 needs evidence of absence across every layer, so for now the result is 'not found'.
- The task did not give me the question's Detailed Methodology or rubric bands. Without them I cannot match the evidence to a band on the 0-5 scale.
I agree with Step 2's reading of the Act.
For the team to confirm:
(1) Supply the SC4a rubric, and say whether the Act layer alone is enough for a 0.
(2) Supply the BDA Rules and Regulations, or confirm none on budgeting exist.
(3) BDA-02 is a PRS compilation; check the s.42-46 wording against an official text.
Period: BDA Act with amendments up to Act 42 of 2026 (in force 07.09.2026), GBA era.</t>
  </si>
  <si>
    <t xml:space="preserve">Step 2 found no evidence: a source needs to be found and added. Step 2 found no evidence (Insufficient Evidence). Source needed: BMRCL's current Memorandum and Articles of Association, to see whether they require a corporate or financial plan with a set horizon. Also the full text of the Metro Railways (Construction of Works) Act, 1978 and any Rules or regulations under the Metro Railways Acts. Also any GoI/GoK promoters' agreement or state government order requiring metro or state PSU companies to prepare medium- or long-term financial plans. Also the BMLTA Act's definition of 'Urban Transport Agency', and any BMLTA regulations setting the horizon of the Sectoral Mobility Investment Program.</t>
  </si>
  <si>
    <t xml:space="preserve">Step 2 found no evidence: a source needs to be found and added. Step 2 found no evidence (Insufficient Evidence). Source needed: The full text of the Bangalore Metropolitan Region Development Authority Act, 1985 (Karnataka Act 39 of 1985), current amended version, especially the chapters on finance, budget, accounts and audit. Also any Rules made under it, and the BMRDA Regulations 1996, 1999 and 2000. Ideally the official copy from the state legislation portal or eGazette, or the PDF linked on BMRDA's own 'Acts and Rules' page. These would show whether a fiscal plan of 3-5 years or more than 5 years is required, or whether only an annual budget is.</t>
  </si>
  <si>
    <t xml:space="preserve">SC4b</t>
  </si>
  <si>
    <t xml:space="preserve">Step 2 found no evidence: a source needs to be found and added. Step 2 found no evidence (Insufficient Evidence). Source needed: Three things would settle this: (a) a fetched copy of the BWSSB website's Budget and Accounts pages; (b) any BWSSB multi-year fiscal or financial plan, corporate plan or business plan posted on the BWSSB website, with its date and horizon; (c) the 'Vision document upto 2050' or strategic master plan PDF, if it is published on the BWSSB website, showing its financial projections and horizon. The QB requires a dated screenshot of the BWSSB website.</t>
  </si>
  <si>
    <t xml:space="preserve">Step 2 found no evidence: a source needs to be found and added. Step 2 found no evidence (Insufficient Evidence). Source needed: Two things are needed: a full, dated check of the BMTC official website (sitemap, Annual Administrative Report page, Presentations, RTI 4(1)(b) disclosures, any budget or finance section), and any document there that sets out a 3-5 year or longer fiscal plan, such as a corporate or business plan with multi-year revenue and expenditure projections. Failing that, BMTC's written confirmation of whether such a plan exists and is published.</t>
  </si>
  <si>
    <t xml:space="preserve">Step 2 found no evidence: a source needs to be found and added. Step 2 found no evidence (Insufficient Evidence). Source needed: A dated capture of BDA's official website (its budget/finance/documents pages) showing whether a fiscal plan covering 3-5 or more years is published. Or a BDA-published medium- or long-term fiscal plan document hosted on BDA's own official domain (proved official by a link from a .gov.in/.nic.in page or by the Act). If such a plan does exist, it may also be in a BDA board resolution or a budget document that includes multi-year projections.</t>
  </si>
  <si>
    <t xml:space="preserve">Step 2 found no evidence: a source needs to be found and added. Step 2 found no evidence (Insufficient Evidence). Source needed: A dated capture of BMRCL's official website (www.bmrc.co.in), checked page by page (finance, budget, annual reports, corporate or business plan, investor or bond disclosures), showing whether a medium- or long-term fiscal plan (multi-year financial projections or a corporate plan) is published there. Or a recent BMRCL annual report or bond information memorandum that refers to such a plan being on the website.</t>
  </si>
  <si>
    <t xml:space="preserve">Step 2 found no evidence: a source needs to be found and added. Step 2 found no evidence (Insufficient Evidence). Source needed: The content of the 'Budget' and 'Budget and Annual Reports' pages on BMRDA's website, captured with a date, showing whether a multi-year or medium-term fiscal plan (3-5 year receipts and expenditure projections) is posted. Also the text of the 2023-24 Annual Report, and BMRDA's own Act and Regulations, to see whether any multi-year financial plan is referred to or published.</t>
  </si>
  <si>
    <t xml:space="preserve">SC5</t>
  </si>
  <si>
    <t xml:space="preserve">ANSWER: Not determined. The BWSSB Act, 1964 sets no tenure, minimum or fixed, for any post. Section 4 leaves the term of office of the Chairman and other Board members to Rules, and those Rules are not in the Citation Sheet. The Act also has no Managing Director or CEO post. That leaves two candidates for the executive authority: the Chairman, a Board member appointed by the State, and the Chief Administrative Officer-cum-Secretary, a staff post under s.12. Neither post has a tenure in the Act. | EVIDENCE: (1) BWSSB Act, 1964 (PRS text, BWSSB-02). s.3(2): the Board has 3-9 members 'appointed by the State Government'. s.3(4): one member 'shall be appointed by the State Government to be the Chairman of the Board'. The Act does not say whether the Chairman is whole-time or an executive. s.4: the Chairman and other members 'shall hold office for such period ... as may be prescribed by the rules'. s.87(2)(a): Rules may provide for 'the powers of the Chairman and the term of office of the Chairman and other members'. s.6(1): the State 'may suspend ... or remove' a member on listed grounds: (a) unsound mind; (b) insolvency; (c) disqualification under s.5(1); (d) seeking election to Parliament, a State Legislature or a local authority; (e) in the State's opinion, refusing to act, incapacity, abuse of position, or being 'otherwise unfit to continue'; (f) conviction for moral turpitude. s.6(2) allows suspension pending inquiry. s.6(3) requires a chance to explain before removal. s.6(5)</t>
  </si>
  <si>
    <t xml:space="preserve">4. Term of office and conditions for re-appointment of members of Board. —The 
Chairman and other members of the Board shall hold office for such period, and shall be 
eligible for re-appointment under such conditions, as may be prescribed by the rules.</t>
  </si>
  <si>
    <t xml:space="preserve">I've left the score blank. The Citation Sheet doesn't show the tenure provision, and a 0 would need affirmative absence, which I can't establish.
What the Act says (BWSSB-02, BWSSB Act 1964, PRS consolidated text as amended up to Act 5 of 2011):
- s.4 doesn't set a term. It says the Chairman and other members hold office 'for such period ... as may be prescribed by the rules'.
- s.87(2)(a) lets the Rules provide for 'the term of office of the Chairman and other members'.
- So the tenure provision, if there is one, sits in the s.87 Rules. No such Rules are in the Citation Sheet. I searched for 'term of office Chairman rules tenure years' and 'Bangalore Water Supply and Sewerage Rules 1965 Chairman hold office' and found only the Act and the GBA Act.
- Because that layer of law is missing, 'no fixed tenure' is not established and a 0 is not allowed. Not found is not the same as absent.
Removal: s.6(1) lists grounds, but (e)(iv) adds an open-ended one: 'in the opinion of the State Government ... otherwise unfit to continue'. s.6(5) also lets the State remove the Chairman and the whole Board if the Board fails in its functions or ignores directions. Even if the Rules set a fixed term, whether this counts as removal 'only on defined grounds' (the top band) is a judgement the team needs to make. The fixed-term-plus-discretionary-removal case may fit no band (RUBRIC-GAP risk).
Which post is the executive authority is also unclear:
- The Act has no MD or CEO post.
- The Chairman (s.3(4)) is a State-appointed Board member, and the Act doesn't say whether the post is whole-time or executive.
- The Chief Administrative Officer-cum-Secretary (s.12) is a staff post appointed with State approval. The Act gives that post no tenure or removal clause.
Other sources checked:
- BWSSB-04 (GBA Act 2024, GBA era; s.13(1)(g) names the BWSSB Chairman on the GBA Executive Committee): no tenure provision for that post.
- BWSSB-11 (organisation chart page): the text I could see was only boilerplate site content, with no tenure content.
- BWSSB-01, BWSSB-07, BWSSB-12 and BWSSB-13 (BWSSB website pages): Step 2 checked them in the excerpts shown and found no tenure content.
The Step 2 answer matches the source.
Needed before scoring:
1. The BWSSB Rules made under s.87 (current version).
2. Any GO setting the Chairman's tenure.
3. Service regulations for the CAO-cum-Secretary.
4. The team's call on which post is the executive authority.</t>
  </si>
  <si>
    <t xml:space="preserve">ANSWER: Not found. The parent Act sets no tenure for BMTC's executive head, the Managing Director (MD). It leaves the MD's conditions of appointment and service to Rules made by the State Government, and no such Rules are in the Citation Sheet as text. Without them, the question of whether the law mandates a minimum tenure cannot be answered, and a score of 0 cannot be given. | EVIDENCE: (1) Road Transport Corporations Act, 1950 (BMTC-02). s.14(1): 'Every Corporation shall have a Managing Director, a Chief Accounts Officer and a Financial Adviser, appointed by the State Government'. s.15(1): 'The Managing Director shall be the executive head of the Corporation'. So the post that counts here, by function, is the MD, not the Chairman. s.14(3)(a): the MD's conditions of appointment and service shall 'be such, as may be prescribed', and s.2(d) says 'prescribed' means prescribed by Rules under the Act. s.45(2)(e) lets Rules cover the MD's conditions of appointment and service. I found no MD term, minimum tenure or removal grounds anywhere in the Act text I read. Related Director provisions: under s.5(5) the term of office of Directors is 'such as may be prescribed'. Under s.8(1) the State Government may remove the Chairman or a Director on listed grounds (disqualification under s.6; absence from more than four consecutive Board meetings). Under s.8(2) it 'may terminate the appointment of any Director after giving him notice for such period (being not less than one month) as may be</t>
  </si>
  <si>
    <t xml:space="preserve">SCORE BLANK: the Rules this depends on are not in the Citation Sheet, so this is 'not found', not an affirmative absence. The source supports the Step 2 answer, but I add one point it lacked. (1) Under the Act, the executive head is the Managing Director (MD). s.15(1): 'The Managing Director shall be the executive head of the Corporation'. The State Government appoints the MD under s.14(1). (2) The Act sets no term or minimum tenure for the MD. s.14(3)(a) hands the MD's conditions of appointment and service to Rules ('as may be prescribed'), and s.45(2)(e) lets those Rules cover them. Those Rules are BMTC's governing layer, and they are not in the sheet as text. BMTC-20 only lists 'KSRTC Rules, 1961.pdf' as a link. Its text was not read, and it is not confirmed that those Rules apply to BMTC. So a 0 cannot be given, because there is no affirmative absence, and there is no basis for 5 or 10. (3) New point: BMTC-09, the Directors List page on BMTC's own site (mybmtc.karnataka.gov.in), lists 'SRI. Raghunandan Murthy - IAS, Managing Director, BMTC ... DIRECTOR (Official)'. That settles Step 2's open question (b): the MD sits on the Board as a Director. So s.8(2) applies to the MD: 'The State Government may terminate the appointment of any Director after giving him notice for such period (being not less than one month) as may be prescribed'. This is discretionary termination on notice, not removal only on defined grounds. It points away from the top band. But the band still cannot be fixed without the Rules (and the MD's terms of appointment). This BMTC-09 point is website evidence of the board's current make-up and should be confirmed by a person. (4) Period: Act text as amended up to at least Act 63 of 1982. The copy is from a Telangana government site; whether it is the current consolidated text is not confirmed. Era n/a. (5) Checked: BMTC-02 (whole Act text in the sheet, ss.2, 5-8, 14-15, 44-45 and the annotations; the Binoy Kumar Mohanty note is about the Chairman, not the MD), BMTC-20 (list of Rules and Regulations only), BMTC-09 (Directors List), and a sheet-wide search for 'Managing Director term of office tenure'. That search returned only BMTC-02 for the MD; the other hits (BMTC-04 GBA Act, BMTC-06 BMLTA Act) are about other office-holders. BMTC's s.3 establishment notification and any Karnataka GO on the MD's terms are not in the sheet. NEEDED FOR A PERSON TO SCORE: the text of the KSRTC Rules, 1961 (or Rules specific to BMTC) on the MD's term and removal, and confirmation that they apply to BMTC.</t>
  </si>
  <si>
    <t xml:space="preserve">The AI's citation or quote failed the check. The AI's quote couldn't be found word for word in BMTC-02, so its answer was discarded. AI comments: SCORE BLANK: the Rules this depends on are not in the Citation Sheet, so this is 'not found', not an affirmative absence. The source supports the Step 2 answer, but I add one point it lacked. (1) Under the Act, the executive head is the Managing Director (MD). s.15(1): 'The Managing Director shall be the executive head of the Corporation'. The State Government appoints the MD under s.14(1). (2) The Act sets no term or minimum tenure for the MD. s.14(3)(a) hands the MD's conditions of appointment and service to Rules ('as may be prescribed'), and s.45(2)(e) lets those Rules cover them. Those Rules are BMTC's governing layer, and they are not in the sheet as text. BMTC-20 only lists 'KSRTC Rules, 1961.pdf' as a link. Its text was not read, and it is not confirmed that those Rules apply to BMTC. So a 0 cannot be given, because there is no affirmative absence, and there is no basis for 5 or 10. (3) New point: BMTC-09, the Directors List page on BMTC's own site (mybmtc.karnataka.gov.in), lists 'SRI. Raghunandan Murthy - IAS, Managing Director, BMTC ... DIRECTOR (Official)'. That settles Step 2's open question (b): the MD sits on the Board as a Director. So s.8(2) applies to the MD: 'The State Government may terminate the appointment of any Director after giving him notice for such period (being not less than one month) as may be prescribed'. This is discretionary termination on notice, not removal only on defined grounds. It points away from the top band. But the band still cannot be fixed without the Rules (and the MD's terms of appointment). This BMTC-09 point is website evidence of the board's current make-up and should be confirmed by a person. (4) Period: Act text as amended up to at least Act 63 of 1982. The copy is from a Telangana government site; whether it is the current consolidated text is not confirmed. Era n/a. (5) Checked: BMTC-02 (whole Act text in the sheet, ss.2, 5-8, 14-15, 44-45 and the annotations; the Binoy Kumar Mohanty note is about the Chairman, not the MD), BMTC-20 (list of Rules and Regulations only), BMTC-09 (Directors List), and a sheet-wide search for 'Managing Director term of office tenure'. That search returned only BMTC-02 for the MD; the other hits (BMTC-04 GBA Act, BMTC-06 BMLTA Act) are about other office-holders. BMTC's s.3 establishment notification and any Karnataka GO on the MD's terms are not in the sheet. NEEDED FOR A PERSON TO SCORE: the text of the KSRTC Rules, 1961 (or Rules specific to BMTC) on the MD's term and removal, and confirmation that they apply to BMTC.</t>
  </si>
  <si>
    <t xml:space="preserve">ANSWER: No minimum tenure for the BDA Commissioner (BDA's executive head) was found in the BDA Act as amended. Section 12 says nothing about tenure or removal. This is not a confirmed absence, because no Rules made under the Act, and no service rules on tenure for the officers posted as Commissioner, are in the Citation Sheet. So no score can be given yet. | EVIDENCE: (1) BDA Act, 1976, s.13(1), substituted by Act 18 of 1981, identifies the executive post: 'The Commissioner shall be the Chief Executive and Administrative Officer of the Authority.' The Chairman is a separate post (s.3(3)(a)). Act 18 of 1981 created the Commissioner post to relieve the Chairman of executive work, so the Commissioner is the post this question is about. (2) s.12(1)-(3): 'The State Government shall appoint an officer, not below the rank of Divisional Commissioner, to be the Commissioner'. The State Government sets salary and allowances (s.12(2)) and grants leave 'as it thinks fit' (s.12(3)). s.12 gives no term, no minimum tenure and no removal grounds. (3) s.3(3)(m) makes the Commissioner an ex-officio member of the Authority. s.5(1) says 'Subject to the pleasure of the Government and the provisions of section 6, the Chairman and other members of the Authority shall hold office for a period of three years'. s.6 gives grounds on which the Government 'shall remove a member'. It is unclear whether s.5 applies to an ex-officio member, whose seat follows the office he holds. Even if it does, it is a fi</t>
  </si>
  <si>
    <t xml:space="preserve">The State  Government shall appoint an officer, not  below the rank of Divisional Commissioner, to be the Commissioner  for  the Authority.</t>
  </si>
  <si>
    <t xml:space="preserve">No score given. 'Not found' is different from a 0, which needs confirmed absence. Following the Step 2 answer, I scored the Commissioner as BDA's executive head. s.13(1), substituted by Act 18 of 1981, says 'The Commissioner shall be the Chief Executive and Administrative Officer of the Authority.' WHAT I CHECKED IN BDA-02 (PRS copy, amended up to Act 42 of 2026): s.12(1)-(3) covers only appointment by the State Government ('not below the rank of Divisional Commissioner'), salary, and leave 'as it thinks fit'. It gives no term, no minimum tenure and no removal grounds. s.5(1) says 'Subject to the pleasure of the Government and the provisions of section 6, the Chairman and other members of the Authority shall hold office for a period of three years'. s.3(3)(m) makes the Commissioner an ex-officio member. It is unclear whether s.5(1) reaches an ex-officio member, whose seat follows the office he holds. Even if it does, this is a fixed term held at the Government's pleasure, not a protected minimum tenure. The s.6 removal grounds apply to 'a member', and s.6(d) allows removal where 'in the opinion of the Government' the member has abused his position. So it is not clear whether this would fit the higher or the middle band. If the s.5 reading applies, the case may fit no band at all (RUBRIC-GAP): a person needs to confirm this against the full question-bank rubric, which is not in front of me. A search for Commissioner tenure, term or removal turned up nothing more in BDA-02. In BDA-03 (GBA Act 2024) the tenure and acting-term language is about the GBA/City Corporation Commissioner, not the BDA Commissioner. BDA-04, BDA-05 and BDA-13 are Bills; they set no tenure for the BDA Commissioner and are not shown to have been enacted. BDA-06 (KTCP Act) does not cover the BDA Commissioner's tenure. WHY NO 0: s.69(2)(c) allows Rules on 'the conditions of service of the Chairman and other members'. No BDA Rules under s.69 are in the Citation Sheet, and nor are any Karnataka or All-India service instruments on minimum tenure for the officer posted as Commissioner. So the Act layer has been read, but the Rules and notifications layers are missing, and there is no confirmed absence. FOR A PERSON TO CHECK: (1) Get the BDA Rules made under s.69, and any GO or notification on the Commissioner's tenure. (2) Decide whether state or All-India civil-service minimum-tenure provisions count as 'the law' for this question. (3) Decide whether s.5(1)/s.6 applies to the ex-officio Commissioner, and how the rubric treats a fixed term held at the Government's pleasure. Also note that the BDA Act text is a PRS secondary copy, not the gazette text.</t>
  </si>
  <si>
    <t xml:space="preserve">ANSWER: Not determinable from the Citation Sheet. The sources provided set no minimum tenure for BMRCL's Managing Director (MD). BMRCL is a government company under the Companies Act, 2013. That Act sets only a maximum term for an MD. It does not set a minimum. The sources say BMRCL's Articles of Association govern how the MD is appointed, but the Articles are not in the sheet. Without them a score of 0 would not rest on a confirmed absence. | EVIDENCE: (1) Companies Act, 2013 (BMRCL-06), s.196(2): 'No company shall appoint or re-appoint any person as its managing director, whole-time director or manager for a term exceeding five years at a time'. This is a ceiling, not a minimum. The proviso to s.196(2) bars re-appointment earlier than one year before the term ends. s.196(3) sets age limits and disqualifications. s.196(4) leaves the terms of appointment to the Board, the general meeting and Schedule V. s.203(2) says whole-time key managerial staff are appointed by a Board resolution that sets the terms and conditions. On removal, s.169(1) says 'A company may, by ordinary resolution, remove a director ... before the expiry of the period of his office after giving him a reasonable opportunity of being heard'. That is removal at the shareholders' discretion, not removal only on defined grounds. (2) BMRCL Annual Report FY2020-21 (BMRCL-09), Board's Report / Corporate Governance Report pp.36-37, 45: 'The Government of Karnataka has the right to appoint the full-time Managing Dire</t>
  </si>
  <si>
    <t xml:space="preserve">THE COMPANIES ACT, 2013 (NO. 18 OF 2013) [BMRCL-06]</t>
  </si>
  <si>
    <t xml:space="preserve">https://prsindia.org/files/bills_acts/acts_parliament/2013/companies-act,-2013.pdf</t>
  </si>
  <si>
    <t xml:space="preserve">No company shall appoint or re-appoint any person as its managing director, whole-time director or manager for a term exceeding five years at a time:</t>
  </si>
  <si>
    <t xml:space="preserve">I left the score blank because the Citation Sheet cannot decide it. A 0 needs affirmative absence, and two layers of the instrument stack are missing from the sheet.
What the Step 2 answer gets right, checked against the sources:
(1) Companies Act, 2013 (BMRCL-06), as enacted (Gazette text). s.196(2) is a 5-year upper limit ('for a term exceeding five years at a time'). It is not a fixed or minimum term.
(2) Under s.196(4) and s.203(2), the Board sets the MD's terms and conditions.
(3) Under s.169(1), 'A company may, by ordinary resolution, remove a director ... before the expiry of the period of his office'. Shareholders can remove at their discretion; there are no defined grounds.
(4) The BMRCL Annual Report FY2020-21 (BMRCL-09, pp.45-46) says 'the Government of Karnataka has the right to appoint the full-time Managing Director &amp; Chief Executive Officer'. It also says the company is governed by its Memorandum and Articles of Association. It gives no MD term. MD changes are recorded as nominations 'with effect from' a date, and two MDs held the post in 2021 alone (Rakesh Singh on concurrent charge from 9 Apr 2021, then Anjum Parwez from 15 Jul 2021). That points to no fixed tenure, but it is practice, not law.
(5) BMRCL-04 (Metro Railways O&amp;M Act; tenure rules only for the Claims Commissioner), BMRCL-02 and BMRCL-03 (GBG Act and its Amendment Bill; the MD is named only as a GBA committee member), BMRCL-08 (BMLTA's own CEO) and BMRCL-07 (KTCP Act): none sets a tenure for the BMRCL MD.
What is not in the sheet: BMRCL's Memorandum and Articles of Association; the GoK nomination orders or service conditions for the MD; the GoI-GoK joint venture agreement; and any MCA exemption notification for government companies that modifies ss.196 or 169. The Articles are the instrument BMRCL-09 itself says governs the Board, so a tenure clause could sit there.
If the missing layers also show no minimum tenure or protection against removal, the evidence points to band 0. A person should check this.
RTI target: PIO, BMRCL, and PIO, UDD, Government of Karnataka. Ask for the current Articles (the MD appointment, term and removal clauses) and for the MD nomination orders from 2021 to date.
Period: Companies Act as enacted, with later amendments not checked; Annual Report FY2020-21, with events after the year-end up to Aug 2021. Era: n/a.</t>
  </si>
  <si>
    <t xml:space="preserve">Step 2 found no evidence: a source needs to be found and added. Step 2 found no evidence (Insufficient Evidence). Source needed: The current amended text of the Bangalore Metropolitan Region Development Authority Act, 1985 (Karnataka Act 39 of 1985), from the Karnataka legislation portal or eGazette, especially the section on appointing the Metropolitan Commissioner and any term or removal clause. Also the BMRDA Cadre and Recruitment Rules 2008, the BMRDA Regulations 1996/1999/2000, and any UDD or DPAR notification setting the Metropolitan Commissioner's term.</t>
  </si>
  <si>
    <t xml:space="preserve">SC6</t>
  </si>
  <si>
    <t xml:space="preserve">Step 2 found no evidence: a source needs to be found and added. Step 2 found no evidence (Insufficient Evidence). Source needed: To answer this, the research team needs: Karnataka DPAR / Urban Development Department government orders or eGazette notifications appointing or transferring the Chairman of BWSSB (and any additional or acting-charge orders) from 2021 to 2026; a dated list of past Chairmen from BWSSB, if one exists; or BWSSB annual reports or RTI s.4(1)(b) disclosures that name the Chairman with dates. The BWSSB Rules that set the Chairman's term (s.4, s.87(2)(a)) would also help confirm whether the Chairman is whole-time.</t>
  </si>
  <si>
    <t xml:space="preserve">ANSWER: The average tenure cannot be calculated. The Citation Sheet does not give a complete record of who held the BMTC Managing Director post over the last five years. Two holders are named. Smt. G. Sathyavathi, IAS took charge as Managing Director on 20.04.2022, and the Directors List now shows Sri. Raghunandan Murthy, IAS as Managing Director. So at least 2 people held the post. There must also have been an earlier holder who served until 20.04.2022, probably inside the five-year window, but he or she is not named, and nothing shows whether that was a substantive or additional charge. There may also have been other holders between Sathyavathi and Raghunandan Murthy. The count is therefore at least 2 and could be more than 3, so it is not clear whether the score is 5 (2-3 chief executives) or 0 (more than 3). | EVIDENCE: (1) Which post counts: Road Transport Corporations Act, 1950, s.15(1) (substituted by Act 63 of 1982): "The Managing Director shall be the executive head of the Corporation and all other officers and employees of the Corporation shall be subordinate to him." The executive authority is therefore the Managing Director, not the Chairman (BMTC-09 lists Sri. V.S. Aaradhya as Chairman and Sri. M. Niketh Raj as Vice-Chairman). (2) BMTC Press Releases page (BMTC-28), entry dated 20/04/2022: "Smt. G. Sathyavathi, IAS assumed the charges as Managing Director of BMTC on 20.04.2022". (3) BMTC Directors List (BMTC-09): "SRI. Raghunandan Murthy - IAS, Managing Director,</t>
  </si>
  <si>
    <t xml:space="preserve">Press Releases - Bengaluru Metropolitan Transport Corporation [BMTC-28]</t>
  </si>
  <si>
    <t xml:space="preserve">https://mybmtc.karnataka.gov.in/info-4/Press+Releases/en</t>
  </si>
  <si>
    <t xml:space="preserve">Smt. G. Sathyavathi, IAS assumed the charges as Managing Director of BMTC on 20.04.2022-20/04/2022April-2022</t>
  </si>
  <si>
    <t xml:space="preserve">Score left blank because the Citation Sheet does not show how many people held the post, so the band cannot be chosen. (1) Which post counts: Step 2 relies on RTC Act 1950 s.15(1) (BMTC-02), under which the Managing Director is the executive head. I did not re-read that section here. (2) What the sheet shows: BMTC-28 (official press-release list) has one entry about the MD post, dated 20/04/2022: 'Smt. G. Sathyavathi, IAS assumed the charges as Managing Director of BMTC on 20.04.2022'. BMTC-09 (Directors List, undated; site footer 'Last Updated: 30-09-2026') names 'SRI. Raghunandan Murthy - IAS, Managing Director, BMTC' as the current MD. So at least 2 people held the post in the five-year window (about Oct 2021 to Sep 2026), which rules out the 10 band (one chief executive). (3) What is missing: the sheet does not name whoever was MD before 20.04.2022 (that person was in office during Oct 2021 to Apr 2022, so would likely be a third holder). It also has no record of anyone between Sathyavathi and Raghunandan Murthy, no date for Raghunandan Murthy's appointment, no joining or relieving dates, and nothing showing whether each charge was substantive or additional. That means 2, 3 or more holders are all possible, so I cannot tell the 5 band (2-3) from the 0 band (more than 3). (4) Checked: a sheet-wide search for 'Managing Director assumed charges BMTC'; BMTC-28 press releases (2019-2024 entries shown; the only MD-related entries are the 20.04.2022 charge and a 27/06/2022 'Media address by the Managing Director'); the BMTC-09 Directors List. The sheet has no DPAR (Karnataka) transfer or appointment orders and no Gazette notifications. The 0 band is not given because the holders are not shown to be absent from the record. The count simply cannot be determined. Also, the evidence is website listings, not appointment orders. For a person to finish: get the DPAR (Services) orders appointing or transferring the BMTC MD, or giving additional charge, for Oct 2021 to date, or file an RTI with the PIO at BMTC Central Office. Then confirm the predecessor before 20.04.2022, any interim holders, and Raghunandan Murthy's joining date, and work out the average tenure.</t>
  </si>
  <si>
    <t xml:space="preserve">Step 2 found no evidence: a source needs to be found and added. Step 2 found no evidence (Insufficient Evidence). Source needed: Official Karnataka Government (DPAR or Urban Development Department) notifications or Karnataka Gazette entries appointing or transferring BDA Commissioners over the last five years, or an official BDA web page listing past Commissioners with dates. Each must show whether the officer held full charge or additional/acting charge.</t>
  </si>
  <si>
    <t xml:space="preserve">Step 2 found no evidence: a source needs to be found and added. Step 2 found no evidence (Insufficient Evidence). Source needed: Needed: (1) BMRCL annual reports (Board's Report, section on changes among Directors and KMP) for FY 2021-22 to FY 2025-26. (2) Government of Karnataka UDD/DPAR orders appointing or transferring the BMRCL Managing Director from about Sept 2021 to Sept 2026, marking any concurrent or additional charge. (3) A dated BMRCL official-website page listing past Managing Directors.</t>
  </si>
  <si>
    <r>
      <rPr>
        <sz val="11"/>
        <color theme="1"/>
        <rFont val="Calibri"/>
        <family val="2"/>
        <charset val="1"/>
      </rPr>
      <t xml:space="preserve">ANSWER: The Citation Sheet does not show how many chief executives BMRDA has had in the last five years, so the band cannot be set. By function, the Metropolitan Commissioner (MC) is the executive authority. The Chief Minister chairs the Authority, which is a political post, and the MC is the ex-officio Member Secretary. The sources show at least 2 distinct MC holders in the window: (1) Girish C. Hosur, IFS, MC from 18.01.2022 and still in post at 31.03.2023; (2) Sri. Rajendra P Cholan, listed as MC on the current website, with no date of joining. Nothing in the sheet shows who held the post before 18.01.2022 or between 31.03.2023 and Cholan's appointment. So the count could be 2-3 (score 5) or more than 3 (score 0). That cannot be decided, and no average tenure can be worked out. | EVIDENCE: (a) BMRDA-03, Annual Report 2022-23 (laid before the legislature), p.10 s.3: 'The Chief Minister of the State is the Chairman ... The Metropolitan Commissioner is the ex-officio Member Secretary of the Authority.' (b) BMRDA-03, p.16, Annexure-1 (officers serving 01-04-2022 to 31-03-2023). It is printed in a legacy Kannada (Nudi) font; I decoded it. Row 1 reads as Girish C. Hosur, IFS, Metropolitan Commissioner (</t>
    </r>
    <r>
      <rPr>
        <sz val="11"/>
        <color theme="1"/>
        <rFont val="Noto Sans"/>
        <family val="2"/>
      </rPr>
      <t xml:space="preserve">ಮಹಾನಗರ ಆಯುಕ್ತರು</t>
    </r>
    <r>
      <rPr>
        <sz val="11"/>
        <color theme="1"/>
        <rFont val="Calibri"/>
        <family val="2"/>
        <charset val="1"/>
      </rPr>
      <t xml:space="preserve">), from 18.01.2022 to 'till date', parent department DPAR. Acting or additional charge, recorded separately and not counted: Dr. N. Shrimadhavi, KMAS, shown as Additional Metropolitan Commissioner (in-charge) 02.02.2023-02.03.2023. That is the Additional MC post, no</t>
    </r>
  </si>
  <si>
    <t xml:space="preserve">1. VjÃ±ï.¹.ºÉÆ¸ÀÆgï, IFS ªÀÄºÁ£ÀUÀgÀ DAiÀÄÄPÀÛgÀÄ 18.01.2022 FªÀgÉUÉ r.¦.J.Dgï</t>
  </si>
  <si>
    <r>
      <rPr>
        <sz val="11"/>
        <color theme="1"/>
        <rFont val="Calibri"/>
        <family val="2"/>
        <charset val="1"/>
      </rPr>
      <t xml:space="preserve">The Score is blank because the Citation Sheet can't tell us how many chief executives BMRDA has had in the last five years. That count sets the band: 2-3 holders scores 5, more than 3 scores 0. I checked the Step 2 answer against BMRDA-03. Annexure-1, row 1, is in legacy Nudi Kannada font. Decoded, it names Girish C. Hosur, IFS, as Metropolitan Commissioner (</t>
    </r>
    <r>
      <rPr>
        <sz val="11"/>
        <color theme="1"/>
        <rFont val="Noto Sans"/>
        <family val="2"/>
      </rPr>
      <t xml:space="preserve">ಮಹಾನಗರ ಆಯುಕ್ತರು</t>
    </r>
    <r>
      <rPr>
        <sz val="11"/>
        <color theme="1"/>
        <rFont val="Calibri"/>
        <family val="2"/>
        <charset val="1"/>
      </rPr>
      <t xml:space="preserve">) from 18.01.2022 'till date' (to 31.03.2023), parent department DPAR. BMRDA-06, the Contact Us page with a 2026 footer, lists 'Sri. Rajendra P Cholan, Metropolitan Commissioner' with no start date. That gives at least 2 different MCs in the window. If the window runs to about 2026, it starts around 2021, before 18.01.2022. Someone probably held the MC post, perhaps on additional charge, between the window start and 18.01.2022, but no source in the sheet names them. The sheet also doesn't show who held the post between 31.03.2023 and Cholan's arrival. So the count could be 2, 3 or more, and the 5-vs-0 band can't be decided. Rows 3-5 (Siddeshwara N; Dr N. Shrimadhavi, in-charge 02.02.2023-02.03.2023; N.S. Chidananda) are Additional MC posts, not the MC post, so I didn't count them. I also searched the whole sheet for MC appointment, transfer or additional-charge records and found none. BMRDA-13 (Introduction page) and BMRDA-05 (Home) have no list of MCs. BMRDA-10 and BMRDA-11 name the MC only as an ex-officio member of other bodies. The BMRDA Act 1985 and any DPAR orders or gazette notifications are not in the sheet. This is not affirmative absence; the evidence is just missing. The question's full rubric text was not provided here. I used the band reading (2-3 = 5, &gt;3 = 0) from the Step 2 answer, and a reviewer should confirm it against the question bank. A reviewer should also: (1) check the decoded Annexure-1 row 1 against the PDF; (2) get DPAR orders on MC postings for about 2021-2026, through the RTI request suggested in Step 2 or from the DPAR transfer-orders page; (3) confirm from the BMRDA Act 1985 that the MC is the chief executive. Annual reports for 2021-22, 2023-24 and 2024-25 would also help.</t>
    </r>
  </si>
  <si>
    <t xml:space="preserve">SC7a</t>
  </si>
  <si>
    <t xml:space="preserve">Step 2 found no evidence: a source needs to be found and added. Step 2 found no evidence (Insufficient Evidence). Source needed: Two figures are needed, both dated and for the same date: BWSSB's sanctioned posts and its filled (working) posts, by cadre, stating whether contractual staff within the approved structure are included. Likely sources: the BWSSB 'Staffing Pattern' page; the 2026 re-organisation OM with Annexures 1 and 2 (sanctioned and deployed posts); the Section 4(1)(b) disclosures (items ii and ix); the Annual Performance Report or annual report; or an RTI reply.</t>
  </si>
  <si>
    <t xml:space="preserve">ANSWER: The proportion of sanctioned posts that are filled cannot be calculated from the Citation Sheet. BMTC's own website gives the filled side: 28,382 staff employed as on 25 September 2026. No source in the sheet gives BMTC's sanctioned strength or its approved staffing structure, so the ratio filled/sanctioned is undetermined. | EVIDENCE: (1) BMTC-15, 'BMTC at a glance' (official BMTC website, as on 25 Sep 2026): 'Staff Employed 28382'; 'Bus Staff Ratio 4.54'; 'No of Schedules 6248'. 28,382 / 6,248 = 4.54, so the ratio is staff per schedule. It is an operating ratio, not a sanctioned-vs-filled measure. (2) BMTC-18, Departments page: the Administrative Department (Chief Personnel Manager) handles 'optimum Manpower planning, a transparent recruitment &amp; promotional processes to fill the available vacancies'. This describes the function only and gives no figures. (3) BMTC-01, homepage: links to conductor recruitment select lists (e.g. RPC conductor posts), which show recruitment is under way but give no sanctioned or filled totals. (4) BMTC-02, Road Transport Corporations Act 1950, and the other legal sources in the sheet (BMTC-04 GBG Act, BMTC-06 BMLTA Act, BMTC-07 KTCP Act) contain no BMTC staffing figures. | CAVEATS: It is not stated whether 'Staff Employed' includes contractual or outsourced staff. For example, drivers of the 1,771 electric buses run under the GCC model may be employed by operators rather than BMTC. Whether such staff are part of the approved structure i</t>
  </si>
  <si>
    <t xml:space="preserve">Step 2 found no evidence: a source needs to be found and added. Step 2 found no evidence (Human Verification Required). Source needed: A dated official record of BMTC's sanctioned (approved) strength by cadre, with working strength against it. This could be: BMTC's RTI Section 4(1)(b) proactive disclosure (particulars of the organisation and its employees); BMTC's latest annual report or administration report tabled in the Karnataka legislature, which usually tables sanctioned vs working strength; or a CAG audit report on BMTC that gives manpower figures. The record should also say whether contractual or outsourced crew are part of the approved structure.</t>
  </si>
  <si>
    <t xml:space="preserve">Step 2 found no evidence: a source needs to be found and added. Step 2 found no evidence (Insufficient Evidence). Source needed: Current, dated staffing records for BDA showing sanctioned and filled (working) positions, permanent and contractual. Possible sources: a BDA annual report (s.47A report tabled in the Legislature), BDA's RTI s.4(1)(b) disclosure of its staff directory and sanctioned strength, the government order sanctioning the s.49 schedule with a working-strength table, or an RTI reply or formal data request to BDA.</t>
  </si>
  <si>
    <t xml:space="preserve">Step 2 found no evidence: a source needs to be found and added. Step 2 found no evidence (Insufficient Evidence). Source needed: Sanctioned posts against posts filled for both BMRCL wings (Project, and Operations &amp; Maintenance), for the current year. The Board-approved or Government-of-Karnataka-approved manpower or cadre table should show this, as should a recent BMRCL annual report's HR section with sanctioned and working strength. It should state whether contract and deputation posts form part of the approved structure. It could also come from an RTI reply or a formal data request to BMRCL.</t>
  </si>
  <si>
    <t xml:space="preserve">ANSWER: The only staffing figures in the sources are from BMRDA's Annual Report for 2022-23. On 31.03.2023, BMRDA had 56 sanctioned posts, of which 27 were filled and 29 were vacant. That is 27 / 56 x 100 = 48.21% filled, which would fall in the rubric's 40%-59% band (Score 2). I have not proposed a score because these figures are about 3.5 years old for a September 2026 assessment, and the sources hold nothing more recent. | EVIDENCE: BMRDA-03 (Annual Report 2022-23, laid before the Legislature), English section, para 11 'Staff position', p.15: 'The sanctioned staff strength for the Authority as on the 31.03.2023 is 56, out of this, only 27 posts have been filled up and the remaining 29 posts are vacant.' The same paragraph says the details of officers and staff working against sanctioned posts, and of vacant posts, are in Annexure-1. Annexure-1 (p.16 onward, in Kannada) lists post by post the officers posted on deputation from DPAR, the Town Planning Department and the State Accounts Department, together with BMRDA's own staff and several 'vacant' entries. The Kannada section of the report has a matching staff-position paragraph (para 12). BMRDA-05, -06, -07 and -12 (BMRDA's own website pages) contain no staffing figures. BMRDA-08, -10 and -11 (the Karnataka Town and Country Planning Act, the Greater Bengaluru Governance Act and the BMLTA Act) are laws and contain no BMRDA staffing data. | CAVEATS: (1) The report does not say whether contractual or outsourced staff are part</t>
  </si>
  <si>
    <t xml:space="preserve">The sanctioned staff strength for the Authority as on the 31.03.2023 is 56, out of this, only 27   posts have been filled up and the remaining 29 posts are vacant.</t>
  </si>
  <si>
    <t xml:space="preserve">I left the score blank. The only staffing figures are from FY 2022-23, which is too old to show current staffing for a September 2026 assessment.
1. Check against the source: The Step 2 figures match BMRDA-03 exactly. As on 31.03.2023 there were 56 sanctioned posts, 27 filled and 29 vacant. 27/56 = 48.21%. The Kannada paragraph says the same: 56 sanctioned, 27 filled, 29 vacant.
2. Band: Step 2 reports the rubric band 'Score 2 – 40%–59%'. 48.21% falls in that band. If the team accepts FY 2022-23 as the latest available year, the score would be 2.
3. Why I did not enter 2: This is an Implementation question about current staffing. The only figure is as on 31.03.2023, about 3.5 years before the assessment, so it is at most partial evidence. I searched the whole Citation Sheet for staffing figures (sanctioned, filled, vacant, staff strength) and found nothing newer. I also read BMRDA-01, -02 and -13, which Step 2 had not reviewed. They are website shell, policy and help text with no staffing data. Step 2 found no staffing data in BMRDA-05, -06, -07 and -12 (website pages) or in BMRDA-08, -10 and -11 (laws). The question's full rubric text was not given to me, so the band comes from Step 2's report of it.
4. Other open points:
- The report does not say whether contractual or outsourced staff are inside the 56 sanctioned or 27 filled posts.
- Annexure-1 marks several posts as temporary ('tatkalika huddhe').
- Many filled posts are held by officers on deputation from DPAR, the Town Planning Department and State Accounts.
- Annexure-1 could not be machine-checked against the 56/27 totals.
5. For the team to confirm:
(a) whether FY 2022-23 can count as the latest available year (if yes, score 2);
(b) whether contractual staff are included in the counts.
Suggested RTI to the PIO, Administration &amp; Revenue Section, BMRDA: sanctioned, filled and vacant posts by cadre as on the latest date and as on 31.03.2024 and 31.03.2025, with permanent, deputation and contractual staff listed separately.</t>
  </si>
  <si>
    <t xml:space="preserve">SC7b</t>
  </si>
  <si>
    <t xml:space="preserve">Step 2 found no evidence: a source needs to be found and added. Step 2 found no evidence (Insufficient Evidence). Source needed: Any of these would answer it: an official BWSSB staffing statement for the latest date (sanctioned vs working strength by cadre, with the number of women among filled posts); a BWSSB annual report or Annual Performance Report (4(1)(b)xvii) that gives employee numbers by gender; or an RTI reply or formal data request giving filled posts and women employees, broken down for senior/decision-making posts and technical/professional cadres.</t>
  </si>
  <si>
    <t xml:space="preserve">Step 2 found no evidence: a source needs to be found and added. Step 2 found no evidence (Insufficient Evidence). Source needed: A dated official record of BMTC staff split by gender would answer this, for example: the latest BMTC annual report (laid before the State Legislature) or HR/establishment statistics giving working strength by gender and cadre; an RTI Section 4(1)(b) disclosure or RTI reply giving the number of women among filled posts; or a formal data request to BMTC. The best source would also split women by senior/decision-making posts and technical/professional cadres.</t>
  </si>
  <si>
    <t xml:space="preserve">Step 2 found no evidence: a source needs to be found and added. Step 2 found no evidence (Insufficient Evidence). Source needed: BDA's latest staffing data, dated, broken down by sex: the number of women employees and the total filled posts, ideally also by cadre (senior or decision-making posts, and engineering, town-planning or other technical posts). Possible sources: BDA's most recent annual report (including a copy tabled in the Karnataka Legislature), an establishment or staff-strength table on BDA's official website, a proactive disclosure under RTI Act s.4(1)(b) (the directory of officers and employees), or a reply to an RTI request or formal data request.</t>
  </si>
  <si>
    <t xml:space="preserve">Step 2 found no evidence: a source needs to be found and added. Step 2 found no evidence (Insufficient Evidence). Source needed: BMRCL's latest annual report or HR/staffing statement giving the number of women employees and total filled posts, split by wing and cadre (executive/non-executive, technical/professional, senior management). Alternatively, an RTI reply or formal data request from BMRCL with that data for the latest date.</t>
  </si>
  <si>
    <t xml:space="preserve">Step 2 found no evidence: a source needs to be found and added. Step 2 found no evidence (Insufficient Evidence). Source needed: A dated staffing table from BMRDA that breaks filled posts down by gender. This could be an annual report annexure with a gender column, an RTI Section 4(1)(b) staff list, or a reply to an RTI or formal data request. Ideally it would also show women in senior/decision-making posts and in technical (Town and Country Planning) cadres, for the latest year.</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</si>
  <si>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</si>
  <si>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</si>
  <si>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</si>
  <si>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</si>
  <si>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</si>
  <si>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</si>
  <si>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</si>
  <si>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</si>
  <si>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</si>
  <si>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</si>
  <si>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</si>
  <si>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</si>
  <si>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</si>
  <si>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</si>
  <si>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</si>
  <si>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</si>
  <si>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</si>
  <si>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Surat – SUDA</t>
  </si>
  <si>
    <t xml:space="preserve">Surat – GMRC</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</si>
  <si>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</si>
  <si>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</si>
  <si>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</si>
  <si>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</si>
  <si>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</si>
  <si>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</si>
  <si>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</si>
  <si>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</si>
  <si>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</si>
  <si>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</si>
  <si>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</si>
  <si>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</si>
  <si>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</si>
  <si>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</si>
  <si>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</si>
  <si>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</si>
  <si>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</si>
  <si>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</si>
  <si>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</si>
  <si>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</si>
  <si>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</si>
  <si>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</si>
  <si>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</si>
  <si>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</si>
  <si>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</si>
  <si>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</si>
  <si>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</si>
  <si>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</si>
  <si>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</si>
  <si>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</si>
  <si>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</si>
  <si>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</si>
  <si>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</si>
  <si>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</si>
  <si>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</si>
  <si>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</si>
  <si>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</si>
  <si>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</si>
  <si>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</si>
  <si>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</si>
  <si>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</si>
  <si>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</si>
  <si>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Is the parastatal mandated to prepare its spatial and/or sectoral plans in coordination with the ULG(s) within its jurisdiction?</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</si>
  <si>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</si>
  <si>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</si>
  <si>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</si>
  <si>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</si>
  <si>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Has the ULG participated in the parastatal’s plan-making process?</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</si>
  <si>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</si>
  <si>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</si>
  <si>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</si>
  <si>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</si>
  <si>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</si>
  <si>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</si>
  <si>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</si>
  <si>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</si>
  <si>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Where multiple statutory or sectoral plans apply to the same territory, is the water board mandated to ensure consistency with the applicable metropolitan/regional or city master plan/strategic plan for the city?</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</si>
  <si>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</si>
  <si>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</si>
  <si>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</si>
  <si>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Where multiple statutory or sectoral plans apply to the same territory, does the water supply board ensure consistency with the applicable metropolitan/regional or city master plan/strategic plan for the city?</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</si>
  <si>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</si>
  <si>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</si>
  <si>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</si>
  <si>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Where multiple statutory or sectoral plans apply to the same territory, is the transport corporation mandated to ensure consistency with the applicable metropolitan/regional or city master plan/strategic plan for the city?</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</si>
  <si>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</si>
  <si>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</si>
  <si>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</si>
  <si>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Where multiple statutory or sectoral plans apply to the same territory, does the transport corporation ensure consistency with the applicable metropolitan/regional or city master plan/strategic plan for the city?</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</si>
  <si>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</si>
  <si>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</si>
  <si>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</si>
  <si>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</si>
  <si>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</si>
  <si>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</si>
  <si>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</si>
  <si>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Is the water supply board mandated to consider the needs of women, the urban poor and other vulnerable groups in decisions relating to access, affordability and delivery of water and sanitation services?</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</si>
  <si>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</si>
  <si>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</si>
  <si>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</si>
  <si>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Does the water supply board actually consider the needs of women, the urban poor and other vulnerable groups in decisions relating to access, affordability and delivery of water and sanitation services?</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</si>
  <si>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</si>
  <si>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</si>
  <si>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</si>
  <si>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</si>
  <si>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</si>
  <si>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Is the transport corporation mandated to consider the mobility needs of women, the urban poor and other vulnerable groups in planning and delivering public transport services?</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</si>
  <si>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</si>
  <si>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</si>
  <si>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</si>
  <si>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Does the Transport Corporation actually consider the needs of women, the urban poor and other vulnerable groups in decisions relating to access, affordability and delivery of public transport services?</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</si>
  <si>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</si>
  <si>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</si>
  <si>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</si>
  <si>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</si>
  <si>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</si>
  <si>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</si>
  <si>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</si>
  <si>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Is the water supply board mandated to consider environmental sustainability in planning and delivering water and sanitation services?</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</si>
  <si>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</si>
  <si>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</si>
  <si>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</si>
  <si>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Does the water supply board actually consider environmental sustainability in planning and delivering water and sanitation services?</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</si>
  <si>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</si>
  <si>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</si>
  <si>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</si>
  <si>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</si>
  <si>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</si>
  <si>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Is the transport corporation mandated to consider environmental sustainability in planning and delivering urban transport services and investments?</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</si>
  <si>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</si>
  <si>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</si>
  <si>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</si>
  <si>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Does the transport corporation actually considers environmental sustainability in planning and delivering urban transport services and investments?</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</si>
  <si>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</si>
  <si>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</si>
  <si>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</si>
  <si>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</si>
  <si>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</si>
  <si>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</si>
  <si>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</si>
  <si>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</si>
  <si>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Does the legal framework clearly demarcate the functions/responsibilities of the parastatal vis-à-vis the ULG?</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</si>
  <si>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</si>
  <si>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</si>
  <si>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</si>
  <si>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Is the parastatal's territorial/geographic jurisdiction clearly and specifically defined in its enabling legal framework?</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</si>
  <si>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</si>
  <si>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</si>
  <si>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</si>
  <si>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</si>
  <si>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</si>
  <si>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Does the ULG have representation on the parastatal's governing board?</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</si>
  <si>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</si>
  <si>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</si>
  <si>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</si>
  <si>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Is the parastatal mandated to submit its plans, budgets or reports to the ULG/council?</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</si>
  <si>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</si>
  <si>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</si>
  <si>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</si>
  <si>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Does the parastatal maintain an active and functional website?</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</si>
  <si>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</si>
  <si>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</si>
  <si>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</si>
  <si>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</si>
  <si>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</si>
  <si>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</si>
  <si>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</si>
  <si>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Annual budget</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</si>
  <si>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</si>
  <si>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</si>
  <si>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Audited annual accounts</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</si>
  <si>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</si>
  <si>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</si>
  <si>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Annual report</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</si>
  <si>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</si>
  <si>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</si>
  <si>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Meeting minutes of governing board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</si>
  <si>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</si>
  <si>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</si>
  <si>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Organisation and staffing information</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</si>
  <si>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</si>
  <si>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Major plans / projects</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</si>
  <si>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</si>
  <si>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</si>
  <si>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Service-level benchmarks and performance reports</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</si>
  <si>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</si>
  <si>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Citizen / Service Charter</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</si>
  <si>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</si>
  <si>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RTI details and designated Public Information Officer contact/procedure</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</si>
  <si>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</si>
  <si>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Procurement / tender notices and awarded-contract details</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</si>
  <si>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</si>
  <si>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</si>
  <si>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</si>
  <si>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</si>
  <si>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</si>
  <si>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Is the parastatal mandated to provide a grievance-redressal mechanism?</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</si>
  <si>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</si>
  <si>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</si>
  <si>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</si>
  <si>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Are accessible grievance-redressal channels available and functional in practice?</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</si>
  <si>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</si>
  <si>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</si>
  <si>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</si>
  <si>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</si>
  <si>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</si>
  <si>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</si>
  <si>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</si>
  <si>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Is citizen participation in the preparation of the parastatal's plans mandated?</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</si>
  <si>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</si>
  <si>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</si>
  <si>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</si>
  <si>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Are citizens consulted in practice in the preparation of plans by the parastatal?</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</si>
  <si>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</si>
  <si>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</si>
  <si>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</si>
  <si>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</si>
  <si>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What proportion of the parastatal's total expenditure is financed through its own revenues?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</si>
  <si>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</si>
  <si>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</si>
  <si>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</si>
  <si>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</si>
  <si>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</si>
  <si>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What is the parastatal's per-capita capital expenditure?</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</si>
  <si>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</si>
  <si>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</si>
  <si>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</si>
  <si>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</si>
  <si>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How realistic is the parastatal's annual budget?</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</si>
  <si>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</si>
  <si>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</si>
  <si>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</si>
  <si>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</si>
  <si>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</si>
  <si>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</si>
  <si>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</si>
  <si>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Is a medium-term (3-5 year) and/or long-term (&gt;5 year) fiscal plan legally mandated?</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</si>
  <si>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</si>
  <si>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</si>
  <si>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</si>
  <si>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Is the medium/long-term fiscal plan publicly available?</t>
  </si>
  <si>
    <t xml:space="preserve">Score 5 if the fiscal plan is published online on the relevant parastatal's website. Score 0 if not available.</t>
  </si>
  <si>
    <t xml:space="preserve">Website of the relevant parastatal</t>
  </si>
  <si>
    <t xml:space="preserve">SC-5</t>
  </si>
  <si>
    <t xml:space="preserve">Does the law mandate a minimum tenure for the executive authority of the parastatal?</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</si>
  <si>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</si>
  <si>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</si>
  <si>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</si>
  <si>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What is the average tenure of the chief executive/executive authority of the parastatal?</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</si>
  <si>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</si>
  <si>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</si>
  <si>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</si>
  <si>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</si>
  <si>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</si>
  <si>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</si>
  <si>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</si>
  <si>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</si>
  <si>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Does the parastatal have adequate staffing capacity to discharge its mandate?</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</si>
  <si>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</si>
  <si>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</si>
  <si>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</si>
  <si>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What proportion of the parastatal's workforce is women?</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</si>
  <si>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</si>
  <si>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</si>
  <si>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</si>
  <si>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PRE-FILLED - DO NOT ALTER</t>
  </si>
  <si>
    <t xml:space="preserve">ENTER A NUMBER 0 TO 5</t>
  </si>
  <si>
    <t xml:space="preserve">DO NOT ALTER FORMULA</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</si>
  <si>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</si>
  <si>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</si>
  <si>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</si>
  <si>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</si>
  <si>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</si>
  <si>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</si>
  <si>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</si>
  <si>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</si>
  <si>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</si>
  <si>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YES</t>
  </si>
  <si>
    <t xml:space="preserve">Chapter III (Board's powers and duties)</t>
  </si>
  <si>
    <t xml:space="preserve">Section 15(2)(b),(c) and proviso; also s.14 (Consultative Committee)</t>
  </si>
  <si>
    <t xml:space="preserve">s.15(2) proviso (inserted by Act 6 of 1966)</t>
  </si>
  <si>
    <t xml:space="preserve">17</t>
  </si>
  <si>
    <t xml:space="preserve">AI (low confidence), from Step 2 answer (Partially Answered) and BWSSB-02: I have left the score blank for three reasons.
(1) SCALE-MISMATCH: Step 2 reports that the UPD1a rubric bands run 0/2.5/5/7.5/10, but the Max Score is 5. The question's rubric text was not given to me, so I cannot confirm how the bands map to the scale. The team needs to confirm before any band is entered.
(2) The BWSSB Act gives the ULG no formal role in BWSSB's plans. I checked this against BWSSB-02 (PRS consolidation, amended up to Act 32 of 2010):
- s.15(2)(b),(c): the Board itself prepares and carries out water-supply and sewerage schemes. The only outside approval is the State Government's, for schemes costing more than Rs 1 crore. There is no ULG approval, concurrence or consultation.
- s.14: an advisory Consultative Committee advises on 'major schemes'. Its non-Board members are State appointees chosen after consulting bodies representing the interests of the BBMP (the former city corporation), so the ULG has no seat as of right.
- s.38(2): the Water-Supply Engineer 'may' close a public hydrant in consultation with the BBMP Commissioner. This is operational, not planning.
- s.3(5): members of any local authority are disqualified from the Board.
(3) The ULG side is a judgement call. I confirmed in BWSSB-04 (GBA Act 2024, Act 36 of 2025, PRS text, GBA era):
- s.14(4) names BWSSB among the public authorities whose activities GBA integrates and supervises. GBA's directions 'shall be binding', and the authorities 'shall cooperate ... and obey its directions'.
- s.14(3)(b) gives GBA binding coordination over schemes that implement plans GBA itself prepares.
- s.14(2)(a) makes GBA the Planning Authority under the Karnataka Town and Country Planning (T&amp;CP) Act 1961.
- s.15(1) makes GBA responsible for master plans and mobility plans for infrastructure.
These are general powers to coordinate, supervise and direct. None of them requires BWSSB to prepare its own plans jointly with the ULG, after consulting it, or with its concurrence. Whether they count as 'coordination' in plan preparation needs a team decision.
A 0 ('no formal role') cannot be justified as affirmative absence. Searching the Citation Sheet for the Karnataka T&amp;CP Act 1961 found only GBA Act s.14(2)(a)'s reference to it; its text is not in the sheet. The sheet also has no Rules or Regulations under the BWSSB Act, and no GO constituting the Consultative Committee or the Bengaluru Metropolitan Planning Committee. The BWSSB Act still names the BBMP. No official instrument in the sheet shows GBA or the City Corporations substituted for it.
To be confirmed by the team:
- the rubric scale;
- whether GBA s.14(4) and s.15 count as plan coordination;
- whether the s.14 Consultative Committee counts as consultation with the ULG;
- a fetch of the T&amp;CP Act text.
Quote: "Provided that no scheme under clause (b ) or (c) estimated to cost more than a crore of rupees shall be carried out by the Board except with the approval of the State Government."
"Score" left blank: the Citation Sheet doesn't decide it.</t>
  </si>
  <si>
    <t xml:space="preserve">Chapter on the Greater Bengaluru Authority (functions)</t>
  </si>
  <si>
    <t xml:space="preserve">Section 14(4); also s.14(3)(b)-(c) and s.15(1), s.15(5)</t>
  </si>
  <si>
    <t xml:space="preserve">s.14(4) Co-ordination and Supervision of Public Authorities</t>
  </si>
  <si>
    <t xml:space="preserve">15</t>
  </si>
  <si>
    <t xml:space="preserve">AI (low confidence), from Step 2 answer (Partially Answered) and BMTC-04: Score left blank for three separate reasons.
(1) SCALE-MISMATCH. As the Step 2 notes record, the rubric bands run 10 / 7.5 / 5 / 2.5 / 0, but the Max Score input is 0 to 5. That top band is neither the Max Score nor a sum of parts. The team needs to confirm the scale before any number is entered.
(2) RUBRIC-GAP. The rubric bands are: ULG approval or joint preparation; mandatory consultation plus ULG response; mandatory consultation; discretionary consultation. None of the instruments read requires BMTC to prepare its own plans in any of these ways with the ULG (the Greater Bengaluru Authority (GBA) or the City Corporations). What I found instead:
- GBA Act 2024 (Act 36 of 2025), s.14(4): GBA integrates and supervises BMTC, and its directions are binding. BMTC must cooperate and obey, and must write GBA's coordinating role into its Memorandum of Association. This is supervision by the ULG, not consultation or concurrence on BMTC's own plans.
- s.15(1): GBA itself 'shall' make the master plan and mobility plans.
- s.15(5): GBA 'may' give public authorities the job of planning major infrastructure projects. This is optional, and covers assigned projects only.
- BMLTA Act 2022 (BMTC-06), s.21(2) proviso and s.24(b): BMTC is an Urban Transport Agency. It must prepare its Sectoral Mobility Investment Program 'in consultation with the Authority', meaning BMLTA. Under s.25(2), BMLTA reviews and approves BMTC's Annual Implementation Plan. BMLTA is a state authority, not the ULG. The ULG takes part only through the seats the BMTC-24 bill proposes for Mayors, Commissioners and the GBA Chief Commissioner; that bill's commencement is not verified.
Whether GBA's binding-direction power counts as 'coordination with the ULG', and at which band, is a judgement the team must make. I have not created or interpolated a band.
(3) A 0 is not established, because absence of a duty is not proven. I did not read the KSRTC Rules, 1961 (BMTC-20, the BMTC Rules page, lists that file but its text is not in the sheet). Also missing from the sheet: Karnataka Rules under the Road Transport Corporations (RTC) Act; BMTC's establishment notification and Memorandum of Association; BMLTA regulations specifying the Urban Transport Agencies.
What I checked: BMTC-02 (RTC Act ss.17, 18, 44), BMTC-04 (ss.14, 15, 19), BMTC-06 (ss.2, 21, 24, 25), BMTC-07 (KTCP Act s.9), BMTC-22, BMTC-24, and BMTC-20 (list of regulations only, all HR/service regulations).
For the team to check:
(a) the scale;
(b) whether GBA Act s.14(4) or s.15(5) earns any band;
(c) BMTC's legal form (RTC Act corporation, or 'Corporation Limited' with an MoA);
(d) commencement of BMTC-24 and BMTC-22.
Quote: "issuing directions for the same which shall be binding; and all the public authorities shall cooperate with the Greater Bengaluru Authority for successful coordination and obey its directions issued, in discharge of functions assigned in this Act."
"Score" left blank: the Citation Sheet doesn't decide it.</t>
  </si>
  <si>
    <t xml:space="preserve">Chapter III – Development schemes</t>
  </si>
  <si>
    <t xml:space="preserve">Sections 17 and 18</t>
  </si>
  <si>
    <t xml:space="preserve">s.17(2), s.17(3), s.17(4); s.18(1)(d)</t>
  </si>
  <si>
    <t xml:space="preserve">27</t>
  </si>
  <si>
    <t xml:space="preserve">AI (low confidence), from Step 2 answer (Partially Answered) and BDA-02: I left the Score blank for three reasons.
(1) SCALE-MISMATCH. The Step 2 answer reads this question on a 0-10 rubric with a 7.5 band, but the Max Score is 5. 7.5 cannot be entered, and I may not rescale it myself. The team needs to confirm which rubric applies.
(2) The plan-scope question is open. The only ULG-involvement mechanism the source supports is at the level of development schemes, under the BDA Act (PRS copy, amended up to Act 42 of 2026):
- s.17(2): BDA must send a copy of the scheme notification to the 'Corporation', which may send representations within 30 days.
- s.17(3): the notification must also be posted in the Corporation's office.
- s.17(4): if the Corporation sends nothing, its concurrence is 'deemed'.
- s.18(1): BDA submits the scheme 'after consideration of representations' and must forward them to the Government (s.18(1)(d)). The Government sanctions the scheme (s.18(3), 'may').
The source supports the Step 2 reading: this is mandatory consultation with consideration and deemed concurrence. It is not a real concurrence or veto. Other provisions involve the Corporation but are about works or functions, not plans:
- s.25(1) proviso: the Corporation 'shall be consulted' on further-development works.
- s.29(1) proviso: consultation before BDA takes over Corporation functions.
- s.30: consultation before streets vest in the Corporation.
Whether a scheme-level mechanism counts as 'spatial and/or sectoral plans' needs team confirmation.
(3) Master-plan level. I read the KTCP Act (BDA-06, PRS copy with amendments up to 2015). The amended s.10(1) and s.13(2)-(3) set out a call for public suggestions and comments, resubmission through the Director, and final State approval. The only reference to a local authority is s.10(3): the boundary plan must be open to the public 'at the office of the Planning Authority or Local Authority'. That is public inspection, not ULG consultation. s.81 lets the State delegate Planning Authority powers to a local authority; that is a 'may' provision, not joint planning. However, the consolidated current text of KTCP ss.9-13 and 81-B was not fully available. No Rules under either Act are in the Sheet. BDA-05 (the 2025 KTCP amendment Bill) has not been shown to be in force. So there is no affirmative absence, and a 0 cannot be given for the master-plan layer.
ULG side (BDA-03, GBG Act, Act 36 of 2025):
- s.14(2)(a) makes GBA the Planning Authority for the Greater Bengaluru Area.
- s.15(1) makes GBA responsible for master and mobility plans.
- s.14(4) gives GBA binding directions over BDA.
- s.14(2)(c) sets up a Bengaluru Metropolitan Planning Committee (BMPC), with GBA's Chief Commissioner as Member Secretary.
These are ULG control and plan-making powers, not a duty on BDA to plan jointly with the ULG. They also change BDA's planning area. The BDA Act still names the 'Corporation' (the old Bangalore City Corporation). No official source in the Sheet shows GBA or the City Corporations substituted for it.
All Acts in the Sheet are PRS copies (secondary sources).
To do for a person: confirm the rubric scale; confirm whether scheme-level consultation counts as plan-level; check the current KTCP text and Rules, and whether the 2025 KTCP amendment has commenced.
Quote: "(4) If no representation is received from the Corporation within the time specified in sub-section  (2), the concurrence of  the Corporation to the scheme shall be deemed to have been given."
"Score" left blank: the Citation Sheet doesn't decide it.</t>
  </si>
  <si>
    <t xml:space="preserve">Chapter III – Greater Bengaluru Authority</t>
  </si>
  <si>
    <t xml:space="preserve">Section 15(5); read with Section 14(4) and Section 8(3)</t>
  </si>
  <si>
    <t xml:space="preserve">s.15(5) GBA may assign planning of major infrastructure projects to public authorities; s.14(4) GBA integrates and supervises public authorities named to include Bengaluru Metro Rail Corporation Limited, with directions 'which shall be binding'</t>
  </si>
  <si>
    <t xml:space="preserve">16</t>
  </si>
  <si>
    <t xml:space="preserve">AI (low confidence), from Step 2 answer (Partially Answered) and BMRCL-02: SCORE LEFT BLANK, for three reasons.
(1) SCALE-MISMATCH. The Step 2 record says the UPD1a rubric bands run 0-10 but the Max Score is 5. The question's detailed methodology and bands were not given to me in this task, so I cannot check or map a band. The team needs to confirm the scale.
(2) RUBRIC-GAP / interpretation. I checked the Step 2 answer against BMRCL-02 and it is supported. The ULG-side law, the Greater Bengaluru Governance Act 2024 (Act 36 of 2025), gives the following:
- s.14(4): GBA integrates and supervises 'Bengaluru Metro Rail Corporation Limited' and issues directions 'which shall be binding'. All public authorities 'shall cooperate... and obey its directions'.
- s.15(1): GBA 'shall be responsible to make master plan and mobility plans'.
- s.15(5): GBA 'may' assign planning of major infrastructure projects to public authorities, which 'shall be bound to assist'.
- s.8(3): GBA is 'coordinator among all the City Corporations and other agencies'.
- s.9(3)(j) and s.13(1)(j): BMRCL's Managing Director sits on GBA and on its Executive Committee.
None of these is a stated duty on BMRCL to prepare its own spatial or sectoral plans with the ULG, or to get the ULG's consultation or approval. They are general supervision and direction powers, plus a discretionary ('may') power to assign project planning. Whether that counts as planning 'in coordination with the ULG', and at which band, is a judgement for the team.
BMRCL's 'shall' duties to consult BMLTA (BMLTA Act s.24(b)) and to get BMLTA approval of its Annual Implementation Plan (s.25) are owed to a state authority, not the ULG. I treat them as not counting.
(3) No affirmative absence, so I cannot give 0. These layers are not in the Citation Sheet:
- Metro Railways (Construction of Works) Act 1978
- BMRCL's Memorandum and Articles of Association
- GBA Rules or Regulations under the GBG Act
- BMLTA regulations
- BMLTA Amendment Act 10 of 2026
Also, BMRCL-03 (Amendment Bill 2025) amends only s.8(2) and s.14(1), so s.14(4) and s.15 stand as quoted.
What I checked: BMRCL-02 (s.8, 9, 13, 14, 15), plus the Step 2 review of BMRCL-03, -04, -06, -07, -08 and -09.
Period: GBG Act 2024 as enacted (Act 36 of 2025), GBA era.
For the team to confirm:
- the UPD1a scale
- whether s.14(4) and s.15(5) earn credit, and at what band
- whether BBMP officials named in the BMLTA Act have been replaced by GBA officials
Quote: "The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
"Score" left blank: the Citation Sheet doesn't decide it.</t>
  </si>
  <si>
    <t xml:space="preserve">The Bangalore Metropolitan Region Development Authority Act, 1985 (Karnataka Act 39 of 1985), full text with amendments (PDF hosted by India Water Portal) [BMRDA-08]</t>
  </si>
  <si>
    <t xml:space="preserve">Chapter III – Powers and Functions of the Authority</t>
  </si>
  <si>
    <t xml:space="preserve">Section 9(1)</t>
  </si>
  <si>
    <t xml:space="preserve">Section 9(1)(ii); also checked s.9(1)(viii)-(ix), s.10, s.18, s.31 (inserting s.81-C into the Karnataka Town and Country Planning Act)</t>
  </si>
  <si>
    <t xml:space="preserve">10</t>
  </si>
  <si>
    <t xml:space="preserve">https://prod-qt-images.s3.amazonaws.com/indiawaterportal/import/sites/default/files/iwp2/Bangalore_Metropolitan_Region_Development_Authority_Act_Bangalore_Metropolitan_Region_Development_Authority_1985.pdf</t>
  </si>
  <si>
    <t xml:space="preserve">AI: left for a person. Step 2 found no evidence (Insufficient Evidence). Source needed: The official full text (current, as amended) of the Bangalore Metropolitan Region Development Authority Act, 1985, especially the sections on preparing, publishing and approving the Structure Plan and schemes, and any consultation with or concurrence of local authorities. Also: any Rules under that Act, the text of the BMRDA Regulations, the full current KTCP Act, and any GO or notification substituting GBA or the City Corporations for 'Corporation of the City of Bangalore' in the BMRDA Act.</t>
  </si>
  <si>
    <t xml:space="preserve">JICA – Bengaluru Water Supply and Sewerage Project (Phase 3), Final Report (Main Report), November 2017 [BWSSB-22]</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</si>
  <si>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</si>
  <si>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</si>
  <si>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</si>
  <si>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</si>
  <si>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https://openjicareport.jica.go.jp/pdf/12300356_01.pdf</t>
  </si>
  <si>
    <t xml:space="preserve">AI: left for a person. Step 2 found no evidence (Insufficient Evidence). Source needed: Any of these would answer it: the BWSSB Vision Document/Strategic Master Plan 2050 (or the latest water and sewerage master plan), including its stakeholder-consultation chapter; BWSSB Board minutes approving the plan; letters or meeting minutes showing BBMP, GBA or City Corporation inputs and BWSSB's responses; GBA coordination-meeting proceedings under GBA Act s.14(4) that deal with BWSSB plans.</t>
  </si>
  <si>
    <t xml:space="preserve">AI: left for a person. Step 2 found no evidence (Insufficient Evidence). Source needed: Any of these would answer it: BMTC's latest plan document (e.g. route rationalisation, fleet or depot expansion, or a bus-priority-lane plan) showing who was consulted; minutes of BMTC board or planning meetings with GBA, City Corporation or BBMP participation; GBA, City Corporation or BBMP resolutions, letters or comments on BMTC proposals and BMTC's responses; joint BMTC-ULG project records for bus-priority lanes on ORR or high-density corridors; BMLTA/DULT consultation records for the Bengaluru Comprehensive Mobility Plan that show joint BMTC and ULG input.</t>
  </si>
  <si>
    <t xml:space="preserve">AI: left for a person. Step 2 found no evidence (Insufficient Evidence). Source needed: Records from BDA's latest plan-making cycle, for example the draft or approved Revised Master Plan and its reports, which may say which bodies were consulted. Also BDA Board minutes or consultation records showing the plan was referred to BBMP or the GBA and its City Corporations, ULG council or committee resolutions or comments on the draft plan, and any BDA response to those comments. If the current cycle sits with the GBA or the BMPC, the team must first decide which body's plan counts as the parastatal's plan for BDA. Official evidence that the KTCP (Amendment) Bill, 2025 was enacted and brought into force is also needed.</t>
  </si>
  <si>
    <t xml:space="preserve">AI: left for a person. Step 2 found no evidence (Insufficient Evidence). Source needed: Any of these would answer it: the DPR for BMRCL's latest metro phase (e.g. Phase-3 or the latest extension) showing stakeholder or ULG consultation; minutes of the meetings that prepared or approved that DPR, with BBMP/GBA comments and BMRCL's replies; BBMP/GBA council or standing committee resolutions on metro alignments or station-area/TOD plans; any BMLTA CMP consultation record covering BMRCL plans; or a recent BMRCL annual report describing ULG involvement in planning.</t>
  </si>
  <si>
    <t xml:space="preserve">AI: left for a person. Step 2 found no evidence (Insufficient Evidence). Source needed: Any of these would answer it: the Revised Structure Plan-2031 report, especially its stakeholder or consultation chapter and annexures; minutes of the BMRDA Authority or Executive Committee meetings that considered or approved the draft RSP-2031 (2014-2017); BBMP council or standing committee resolutions, or BBMP's written comments, on the draft RSP; BMRDA correspondence answering BBMP inputs. If a GBA-era revision of the Structure Plan has begun, the same records for that cycle from GBA or the City Corporations.</t>
  </si>
  <si>
    <t xml:space="preserve">ENTER A NUMBER 0 TO 2.5</t>
  </si>
  <si>
    <t xml:space="preserve">Chapter III - Greater Bengaluru Authority</t>
  </si>
  <si>
    <t xml:space="preserve">Section 14 (Functions of the Greater Bengaluru Authority); also s.14(4) and s.15(1), (5)</t>
  </si>
  <si>
    <t xml:space="preserve">s.14(3)(b); s.14(4)</t>
  </si>
  <si>
    <t xml:space="preserve">AI (low confidence), from Step 2 answer (Partially Answered) and BWSSB-04: I left the score blank because the Citation Sheet is missing a law the methodology needs. It does not hold the Karnataka Town and Country Planning Act, 1961 (KTCP Act), so a 0 cannot be backed by affirmative absence.
I checked the Step 2 answer against the sources and agree with it.
(1) BWSSB's own law, the BWSSB Act, 1964 as amended to 2021 (BWSSB-02, PRS copy):
- s.15 gives the Board's duty to prepare and carry out water and sewerage schemes.
- The only approval in it is cost-based: the State must approve schemes over Rs 1 crore.
- s.14 sets up a Consultative Committee, which is only advisory.
- s.89 lets the State give directions.
- None of these sections mentions the master plan, development plan or metropolitan plan.
(2) The city government's law, the Greater Bengaluru Governance Act, 2024 (GBG Act), Act 36 of 2025 (BWSSB-04, GBA era):
- s.14(2)(a) makes the Greater Bengaluru Authority (GBA) the Planning Authority under the KTCP Act.
- s.14(2)(b) requires conformity with the master plan, but only for layout approvals by GBA and KIADB, not for BWSSB.
- s.14(2)(c) sets up the Bengaluru Metropolitan Planning Committee and a draft development plan. The text is cut off and puts no duty on BWSSB.
- s.14(3)(b) and s.14(4) give GBA binding powers to coordinate and direct, naming BWSSB. That is a direction power held by GBA, not a provision that BWSSB 'shall ensure' its schemes are consistent with the plan.
- s.15(1) puts the duty to incorporate GBA's infrastructure plan on the City Corporations only.
- s.15(5) only says agencies are 'bound to assist' GBA.
- s.103(1)(b) binds Ward Committees, not BWSSB.
(3) Other sources:
- The 2025 Amendment Bill (BWSSB-23, kla.kar.nic.in) only changes s.8(2) and s.14(1). It does not touch planning consistency.
- The BWSSB website pages (BWSSB-07, BWSSB-13) are general descriptions, not law.
Result: no mandatory 'shall' provision for the 2.5 band and no discretionary 'may' provision for the 1.25 band was found in the instruments in the Sheet.
Still missing, needed before a 0 or a positive band:
- the KTCP Act 1961, especially any duty for government or statutory bodies' development to conform to the master plan, and any rules for the Metropolitan Planning Committee;
- Rules and Regulations under the BWSSB Act;
- any Metropolitan Planning Committee or GBA notification;
- the full text of s.14(2)(c).
For the team to confirm:
- Can GBA's binding direction power in GBG Act s.14(3)(b) and s.14(4) count as a mandate for plan consistency? My reading is that it cannot.
- The BWSSB Act still uses the old body names. No source in the Sheet shows GBA or the City Corporations substituted for them.
Quote: "Co-ordinating the execution of schemes made for the implementation of plans prepared by the Greater Bengaluru Authority and issuing directions for the same which shall be binding;"
"Score" left blank: the Citation Sheet doesn't decide it.</t>
  </si>
  <si>
    <t xml:space="preserve">NO</t>
  </si>
  <si>
    <t xml:space="preserve">AI: left for a person. Step 2 found no evidence (Insufficient Evidence). Source needed: BWSSB's current water supply or sewerage master plan, or its Vision Document up to 2050, showing where its population and demand projections come from and how service areas and the siting of treatment plants and trunk mains were decided. The statutory master plan or development plan in force for the Greater Bengaluru area (the BDA Revised Master Plan or any successor plan under the GBA Act or the BMPC), and the BMRDA regional plan, so the two can be compared. Optionally, land-use change or conversion records for major BWSSB treatment plants and pumping stations.</t>
  </si>
  <si>
    <t xml:space="preserve">Chapter VI – Sectoral and City Mobility Investment Program and Annual Implementation Plan</t>
  </si>
  <si>
    <t xml:space="preserve">Section 24</t>
  </si>
  <si>
    <t xml:space="preserve">24(a); see also s.2(h), s.2(v), s.2(ff), s.21(2), s.22, s.25(1)(c)</t>
  </si>
  <si>
    <t xml:space="preserve">19</t>
  </si>
  <si>
    <t xml:space="preserve">AI (low confidence), from Step 2 answer (Partially Answered) and BMTC-06: I left the score blank and need the team to confirm how this question should be scored. The question's Detailed Methodology and rubric bands were not in my task input, so I worked only from the Step 2 summary. My checks support the Step 2 reading.
(1) BMLTA Act 2022 (Karnataka Act 6 of 2023, PRS secondary text, with Act 10 of 2026 appended):
- There is a mandatory duty for an 'Urban Transport Agency' to align its plans with BMLTA's Comprehensive Mobility Plan (CMP). The Sectoral Mobility Investment Program 'shall be aligned with the goals of' the CMP (s.24(a)). Additional projects in the Annual Implementation Plan 'shall align with the Comprehensive Mobility Plan goals' (s.25(1)(c)).
- The duty is to align with the CMP, not with the statutory Master Plan. The CMP itself is a land-use-integrated 'policy document outlining the policies, strategies…' (s.2(h)), prepared 'in conjunction with… the land use plan' (s.21(2)).
- Whether the CMP counts as the city 'strategic plan' is a methodology question (CONFIRM: plan-scope). If it does, 2.5 may be supportable. If only the Master Plan counts, no direct provision was found.
- The Act does not name BMTC as an 'Urban Transport Agency'. s.2(ff) is generic; BMTC is named only in the Statement of Objects and Reasons.
- Under s.1(3), the Act commences only by gazette notification. The Citation Sheet contains no commencement notification and no notification constituting BMLTA.
(2) Greater Bengaluru Governance Act 2024 (BMTC-04):
- GBA integrates and supervises BMTC and issues binding directions (s.14(4)), and coordinates schemes that implement GBA plans (s.14(3)(b)).
- s.15(1) requires the City Corporations, not BMTC, to incorporate GBA's infrastructure plan.
- This is coordination and direction, not a plan-consistency requirement on BMTC.
(3) Karnataka Town and Country Planning Act s.14 (BMTC-07): requires physical development to conform to the Master Plan. That works at project level, not plan level.
(4) RTC Act 1950 s.18 (BMTC-02): no mention of a Master Plan or plan consistency.
Why I cannot score 0: there is no affirmative absence. The Citation Sheet does not contain Karnataka rules under the RTC Act, BMTC's regulations or Memorandum of Association, BMLTA Rules or Regulations, or the GBA Act's full provisions on the Bengaluru Metropolitan Planning Committee and its development plan.
Also: the BMLTA Act and KTCP texts are PRS secondary copies.
Quote: "(a) The Sectoral Mobility Investment Program shall be aligned with the goals of the Comprehensive Mobility Plan;"
"Score" left blank: the Citation Sheet doesn't decide it.</t>
  </si>
  <si>
    <t xml:space="preserve">AI: left for a person. Step 2 found no evidence (Insufficient Evidence). Source needed: The documents that would answer this: (a) BMTC's current transport, network-expansion or route-rationalisation plan, or the BMTC Vision 2025 document itself (it is listed on the DULT page but its text is not in the sheet), or BMTC's Sectoral Mobility Investment Program or Annual Implementation Plan under the BMLTA Act ss.24-25. Any of these would need to show whether it cites the master plan or uses its growth corridors, land use or population projections for routes and depot siting. (b) The applicable statutory master plan for Bengaluru (Revised Master Plan, or any GBA-era plan) and the Bengaluru Comprehensive Mobility Plan. (c) Where available, land-use conversion or regularisation records for major BMTC depots, TTMCs or terminals.</t>
  </si>
  <si>
    <t xml:space="preserve">Chapter on the Board's duties (water supply and sewerage schemes)</t>
  </si>
  <si>
    <t xml:space="preserve">Section 15(3)(a)-(b), read with s.15(2)(b)-(c), s.15(4) and s.15(5)</t>
  </si>
  <si>
    <t xml:space="preserve">s.15(3)(a): piped domestic water to every part of the area with houses, if practicable at a reasonable cost; s.15(3)(b): non-piped supply 'as far as possible' within a reasonable distance of every house</t>
  </si>
  <si>
    <t xml:space="preserve">AI (low confidence), from Step 2 answer (Partially Answered) and BWSSB-02: I left the score blank. The detailed methodology and scoring bands for UPD3a were not in my task input. The 0 / 2.5 / 5 bands come only from the Step 2 notes, so I could not apply the rubric directly. Treat this as a RUBRIC-GAP until a person confirms the methodology.
What the sources say:
(1) BWSSB Act 1964 (BWSSB-02, PRS text, amended up to Acts 15 and 32 of 2010). Section 15(3)(a) is a 'shall' duty: each water-supply scheme must provide piped domestic water to every part of the Bangalore Metropolitan Area where there are houses. It applies only where this is practicable at a reasonable cost, and the State Government decides that question (s.15(4)). Section 15(3)(b) adds non-piped supply 'as far as possible' where piping is not practicable and there is a health danger. Section 15(5) requires a sufficient supply to every house 'as far as is reasonably practicable'.
(2) These duties cover water only. There is no matching coverage duty for sewerage in s.15(2)(c). No vulnerable group (women, the poor, slum dwellers, persons with disabilities) is named, and affordability is not mentioned.
(3) The other equity-related provisions are only 'may' powers: s.38(1) (free public supply and hydrants), s.61A(d) (bye-laws on 'equitable distribution of water supplied to occupiers') and s.31 (different rates 'may' be prescribed for different purposes).
(4) BWSSB-13 is the official site's 'Our Services' page. It is undated and is not a binding instrument. It describes lower connection charges for small slum houses (Rs.550 / Rs.800), payment in two instalments, simpler residence-proof rules and shared connections for communities without security of tenure. These come from programmes of 2000-2006 plus a JICA phase, and the page cites no regulation or order behind them. It is evidence of a programme, not of a legal requirement.
(5) BWSSB-04 (GBA Act, Schedule I) gives slum improvement, urban poverty alleviation and protecting the interests of persons with disabilities to the city government, not to BWSSB.
Why no 0: a 0 needs affirmative absence, and that is not met. The Citation Sheet does not contain the Rules made under the BWSSB Act, the Water Supply/Sewerage Regulations (BWSSB-13 cites 'regulation 5.1'), the bye-laws under s.61A, the current tariff regulation or notification, or any Karnataka policy or GO on slum or concessional connections. A search of the sheet ('slum urban poor concessional connection weaker sections') found only BWSSB-13 and BWSSB-02.
Why no 2.5 or 5: I cannot tell from the sheet whether a coverage duty that names no group and depends on reasonable cost counts as an 'equity requirement', or which band it would fall in.
For a person to check:
(a) Confirm the UPD3a methodology and how it treats the s.15(3) universal-coverage duty.
(b) Get the current BWSSB Regulations and tariff notification (2025-26) to see whether the slum/EWS concessional connection rates are binding.
(c) The Act still names Bruhat Bangalore Mahanagara Palike. No source in the sheet shows GBA or the City Corporations substituted.
Quote: "(3) A scheme under clause (b) of sub-section (2) shall inter alia make provision,— (a) for a supply of wholesome water in pipes to every part of the Bangalore Metropolitan Area in which there are houses, for the domestic purposes of the occupants thereof"
"Score" left blank: the Citation Sheet doesn't decide it.</t>
  </si>
  <si>
    <t xml:space="preserve">Our Services</t>
  </si>
  <si>
    <t xml:space="preserve">Services for Urban Poor – BWSSB's Experiments and Future Plans</t>
  </si>
  <si>
    <t xml:space="preserve">The service levels offered to the different categories of slums; Free Connections to the Urban Poor</t>
  </si>
  <si>
    <t xml:space="preserve">192</t>
  </si>
  <si>
    <t xml:space="preserve">AI (low confidence), from Step 2 answer (Partially Answered) and BWSSB-13: Score left blank. This Implementation question needs current, dated evidence that BWSSB considers vulnerable groups in its decisions. The Citation Sheet does not have it.
Component 1 (urban poor / slum dwellers), checked against BWSSB-13:
- The 'Services for Urban Poor' page lists lower connection charges by house size (Rs.550 / Rs.800), payment in two instalments, simpler identity proof (hakku patras, ration card) and shared metered connections for households without tenure or space.
- The page is undated. Its programme history covers the AusAID pilots (2000-2002), the Package Programme (2003-2006, 43 slums) and the JBIC/JICA slum component. It calls the JICA component 'currently under implementation', but BWSSB-07 reports Phases I and II as 100% complete.
- So the measures exist on the current website, but nothing shows they are current practice or part of a current plan. They would fit a partial band (about 2.5) only if a reviewer confirms they are still in force.
Component 2 (women, persons with disabilities, elderly; gender or accessible design): nothing was found.
- I searched BWSSB-13, BWSSB-25 (press releases: Safai Mitra 2021, manual scavenging, summer supply 2023; nothing about vulnerable groups), BWSSB-01, BWSSB-07, BWSSB-12, BWSSB-11 and BWSSB-02.
- BWSSB-04 (GBA Act, Schedule I) gives welfare of the urban poor and persons with disability to the city government (ULG), not to BWSSB.
- The website's WCAG 2.0 AA statement is generic Centre for e-Governance (CeG) portal text, not a service-delivery measure, so I did not credit it.
- A 0 cannot be given for this component. Not found is not absence: the documents that would show it were not in the Citation Sheet (current master plan or Vision 2050, current tariff and connection-charge orders including the Revised Water Tariff Ready Reckoner 2025, design standards).
What a reviewer needs to do:
- Confirm whether the slum connection concession is in force today. Check the current tariff and connection-charge orders.
- Get the current plan (Vision 2050 or equivalent) to check slum coverage and any gender or accessibility measures. Possible RTI request to the BWSSB PIO (Social Development Unit).
- I did not have the full methodology rubric bands. A reviewer should check the band mapping once current evidence is available.
The Step 2 answer ('Partially Answered', score blank) matches what the source says.
Quote: "BWSSB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
"Score" left blank: the Citation Sheet doesn't decide it.</t>
  </si>
  <si>
    <t xml:space="preserve">Comprehensive Mobility Plan chapter (BMLTA Act, 2022, Karnataka Act 6 of 2023)</t>
  </si>
  <si>
    <t xml:space="preserve">Section 21(2) and its first proviso; also ss.18-19</t>
  </si>
  <si>
    <t xml:space="preserve">s.21(2)(h)</t>
  </si>
  <si>
    <t xml:space="preserve">AI (low confidence), from Step 2 answer (Partially Answered) and BMTC-06: I left the score blank because the Citation Sheet does not settle whether BMTC itself is mandated. A provisional 2.5 is suggested below for the team to confirm.
1. The only binding provision naming a vulnerable group is BMLTA Act s.21(2)(h). The Comprehensive Mobility Plan 'shall include' accessible mobility for persons with disabilities. That duty falls on BMLTA, not BMTC. It reaches BMTC only indirectly:
- s.21(2) proviso: other authorities' plans 'shall be in compliance with the Urban Mobility policies of the Authority'.
- s.19: major urban transport projects must be consistent with the Comprehensive Mobility Plan.
- s.18: BMLTA's directions bind urban transport agencies.
- s.20: the list of Urban Mobility policies names no vulnerable group.
- s.28(1)(b): mentions differently abled people, senior citizens and children, but only in the Traffic Management Plan, which covers traffic agencies and not bus service planning.
2. BMTC's own law (Road Transport Corporations Act, BMTC-02):
- s.18: a generic duty to provide efficient transport, and the proviso says it creates no enforceable duty.
- s.19(1)(d): free or concessional passes are a 'may' power that names no group.
- GBA Act s.14(4) (BMTC-04): the 'citizen-friendly' wording is generic. Neither is credited.
3. I checked BMTC-27 (Student Pass page), which Step 2 did not review. It says BMTC issues free student passes 'As per the directions of the Government of Karnataka'. That points to a State direction for one specific group (students). But the direction itself is not in the Citation Sheet, the page is website text, and students are not clearly a 'vulnerable group'.
4. Other website items are one-off or practice evidence, not mandates: free travel for women on Women's Day 2023 (BMTC-28) and the Nirbhaya women-safety tenders (BMTC-10).
Why no band can be fixed now:
- 5 is not supported: no requirement is built into BMTC's core service-planning and delivery functions.
- 0 cannot be given: there is no affirmative absence. These are missing from the Citation Sheet: the State GO for women's free travel; the student, senior-citizen and disability concession GOs; the Karnataka Motor Vehicles Rules; accessibility standards under the RPwD Act/Rules; any BMLTA Rules or Regulations; any Comprehensive Mobility Plan in force; the 2026 BMLTA amendment (not checked).
- 2.5 ('limited to specific groups') holds only if the team accepts the indirect BMLTA duty on the mobility plan (and/or the cited GoK student-pass direction) as BMTC being 'mandated'.
The Detailed Methodology text was not in my input. The band labels used here come from Step 2's notes, so the team should check them against the rubric.
CONFIRM:
(a) whether a duty that reaches BMTC only through the plan and project-approval link counts as a mandate on BMTC;
(b) get the State women's free-travel and concession GOs, which may decide between 2.5 and 5.
Also flag: BMLTA Act s.2(cc) still names BBMP, and it is not verified whether the GBA has been substituted.
Quote: "(h) accessible mobility and transport for persons who are persons with benchmark disability and p erson with disability as defined under the Rights of persons with Disabilities Act, 2016 (Central Act 49 of 2016);"
"Score" left blank: the Citation Sheet doesn't decide it.</t>
  </si>
  <si>
    <t xml:space="preserve">BMTC website, Student Pass page (Student Pass 2026-27)</t>
  </si>
  <si>
    <t xml:space="preserve">Student Pass 2026-27 notice</t>
  </si>
  <si>
    <t xml:space="preserve">Free student passes; apply through the BMTC website, Bangalore One counters or Seva Sindhu (page last updated 30-09-2026)</t>
  </si>
  <si>
    <t xml:space="preserve">AI (low confidence), from Step 2 answer (Partially Answered) and BMTC-27: I left the score blank because the Citation Sheet does not support a full 0-5 score, and a partial total would be a guess. The Step 2 answer matches the sources I checked.
What the evidence supports:
(a) Fare concession (Component 1(i)) is supported. BMTC-27 shows free student passes are currently issued, with an application cycle for academic year 2026-27. This is a state direction that BMTC carries out. BMTC-01 lists 'Physically Challenged Scheme' and 'Shakthi Scheme' write-ups under Latest News, but only the titles are in the Sheet, so their terms (who qualifies, fare level, coverage) were not read.
What is undetermined:
(b) Route or coverage measures for a vulnerable group (Component 1(ii)). BMTC-28's press releases (2022-24) cover new routes and Metro Feeder services, but none names a vulnerable group or an underserved area. The International Women's Day free travel (8/3/2023) and the PUC exam travel were one-off events.
(c) Women's safety and accessible design (Component 2). BMTC-10 has only tender titles from 2020-23 for a women-safety mobile app and in-bus surveillance under the Nirbhaya scheme, plus functional-audit tenders from 2023. These show procurement, not current operation. My searches of the whole Sheet for low-floor buses, wheelchair access, ramps and priority seating found nothing about BMTC buses. The only hit, BMTC-06 (the BMLTA Act's CMP clause), is the Authority's planning mandate, not BMTC's practice. BMTC-15 (BMTC Glance) gives fleet, depot and staff counts but nothing on accessibility.
Why no score of 0 is possible: there is no affirmative absence. Several documents were never in the Sheet: the Shakthi and PH scheme write-ups, the Annual Administrative Report, bus or fleet specifications, and any BMTC route-planning or mobility document. So 'not found' cannot be treated as absent for Component 1(ii) or Component 2.
Other gaps:
- The question's full Detailed Methodology and rubric text were not in my input. The band values (1.25 / 2.5 per component) come from the Step 2 notes, so a reviewer should check them against the question bank.
- I can't confirm a minimum of 1.25 for Component 1 alone without the rubric text.
To do: a person should open the Shakthi and PH write-ups linked from BMTC-01, look for BMTC fleet accessibility specs and Nirbhaya system operating status, and capture dated screenshots.
Quote: "As per the directions of the Government of Karnataka Bangalore Metropolitan Transport Corporation is issuing student passes at a free from the date of its formation for the benefit of students community."
"Score" left blank: the Citation Sheet doesn't decide it.</t>
  </si>
  <si>
    <t xml:space="preserve">Chapter on sewerage and drainage (s.72A, substituted by Karnataka Act 29 of 2021, Gazette 07.10.2021); also Chapter II s.15(6)</t>
  </si>
  <si>
    <t xml:space="preserve">Section 72A(1)-(3); Section 15(6); Section 61(2)(a)(iii); Section 72</t>
  </si>
  <si>
    <t xml:space="preserve">s.72A(1) rainwater harvesting for new buildings of 108 sq m or more; s.72A(3) dual piping plus rainwater harvesting for plots of 1000 sq m or more</t>
  </si>
  <si>
    <t xml:space="preserve">84</t>
  </si>
  <si>
    <t xml:space="preserve">AI (low confidence), from Step 2 answer (Partially Answered) and BWSSB-02: Score left blank because only the parent Act is in the Citation Sheet. The Act alone cannot settle whether the 2.5 or the 5 band applies. I checked BWSSB-02 (BWSSB Act 1964, amended up to Act 29 of 2021) myself. The Step 2 summary matches the source. (1) s.15(1)-(3), the Board's general duties, cover water supply, sufficient and wholesome water, and sewerage and sewage disposal. They contain no environmental or sustainability wording. (2) s.15(6), added by Act 15 of 2010, is a power, not a duty: 'The Board shall also have power to insist on owner, occupier or builder to adopt water conservation methods like rain water harvesting and recycling of waste water'. (3) s.61(2)(a)(iii) says regulations 'may' provide for the Board 'to insist on rain water harvesting system for conservation of water'. (4) s.72A, as amended in 2021, says owners 'shall provide' rainwater harvesting. Plots of 1000 sq m or more must also have dual piping. The details are left to Board regulations and guidelines. (5) s.72 lets the Board require separate drains, with rainwater going to a harvesting system. (6) Pollution and waste provisions: s.49 (waste or misuse of water), s.52 and s.60 (pollution of water works), s.74 proviso (sewage to be treated before discharge, as set in bye-laws), and s.84A (trade effluent bye-laws, 'may'). These provisions are clear but cover only some concerns: rainwater harvesting and conservation, groundwater recharge, pollution and waste. Most of them put obligations on building owners or give the Board enforcement powers. None requires the Board to build sustainability into its own planning or service delivery. On the Act alone, this fits the 'limited to particular functions/schemes/concerns' band, which provisionally means 2.5. A score of 0 is ruled out because explicit provisions exist. I am not entering 2.5 because that would mean 'not cross-cutting', which needs every layer of the law to be checked. The following are not in the Citation Sheet: BWSSB Water Supply, Sewerage and Rainwater Harvesting Regulations; Rules under the BWSSB Act; the Karnataka Ground Water (Regulation for Protection of Sources of Drinking Water) Act, 1999 (Act 15 of 2010 made a BWSSB officer its 'appropriate authority' for Bangalore); any Karnataka State Water Policy or urban water/sanitation policy; GOs on treated-wastewater reuse or loss reduction. Any of these could show cross-cutting requirements, which would score 5. Other sources checked: BWSSB-13 (website list of rainwater harvesting and STP/dual-piping connection requirements, which is not law), BWSSB-07 (mandate page, no sustainability wording), and BWSSB-04 (the GBA Act, which gives 'protection of the environment' to the city corporations, not BWSSB). A citation-sheet search for 'environmental sustainability water conservation' found only BWSSB-02 passages. Action for the reviewer: add and read the regulations, the groundwater Act and the state water policy, then choose between 2.5 and 5. Also confirm whether obligations on building owners and enforcement powers (s.72A, s.15(6)) count as requirements on the board under the UPD 5 guidance. The question's own Detailed Methodology text was not supplied to me. The band values (0/2.5/5) come from the Step 2 answer and should be checked.
Quote: "Every owner who proposes to construct a building on a sital area of not less than 108 square meter shall provide rain water harvesting structure for storage, for use or for ground water recharge in such manner and subject to such conditions as may be provided in the regulations and guidelines issued by the Board."
"Score" left blank: the Citation Sheet doesn't decide it.</t>
  </si>
  <si>
    <t xml:space="preserve">About BWSSB (official web page, undated)</t>
  </si>
  <si>
    <t xml:space="preserve">Ongoing Water Supply projects, item 3 'Water supply improvement works'; also 'Proposed Sewerage System works' and 'Rain Water Harvesting, Rejuvenation of Lakes'</t>
  </si>
  <si>
    <t xml:space="preserve">Also relevant on the same page: item 4 'Exclusive leak detection works'; item 7 'Sewerage Works' and the Environmental Action Plans; 'Proposed Water Supply works'; 'Proposed Sewerage System works'</t>
  </si>
  <si>
    <t xml:space="preserve">AI (low confidence), from Step 2 answer (Partially Answered) and BWSSB-07: SCORE LEFT BLANK. This needs a reviewer to decide.
Why blank:
(1) UPD5b is an Implementation question about BWSSB's latest water supply and sanitation plan. The only source with real content is BWSSB-07, the Board's own 'About BWSSB' page, and it has no date. Its content is from the BBMP era:
- population figures from the 2011 Census;
- a DPR priced on the 2014-15 Schedule of Rates;
- plants 'planned to be completed in 2016' and 'proposed to be commissioned in 2016';
- the jurisdiction described as the BBMP area of 800 sq km.
So it cannot show the Board's current planning in the GBA era. At most it is partial evidence of past practice.
(2) I was not given the full UPD5b rubric text. I could only see the C1/C2 band references in the Step 2 notes, so I cannot apply the bands myself.
I checked the Step 2 answer against the source. BWSSB-07 does describe specific measures, in two groups.
Source and loss (C1):
- UFW/leakage works covering about 50% of the core area, with a target of 16% overall water losses;
- the JICA L-sign leak detection system, and helium leak detection completed in 4 subdivisions at Rs 25 crore;
- rainwater harvesting and lake recharge.
Wastewater (C2):
- 6 new STPs totalling 520 MLD, with DPRs prepared;
- upstream STPs to protect Bellandur and Varthur lakes (Rs 585 crore);
- Environmental Action Plans A, B and C;
- about 30% of treated effluent led to lakes;
- 'Water reuse for multipurpose usages' listed under the future outlook, but only in general terms.
The STP table lists one 60 MLD K&amp;C plant using 'Activated Sludge Process with BNR Removal and Power generation'. This is a mention of a technology, not an energy-efficiency plan.
The page contradicts itself:
- 133 vs 116 sq km for the loss-reduction coverage;
- Rs 655 crore vs Rs 821 crore for its cost;
- 721 MLD from 14 plants vs 1372.5 MLD from 33 STPs for treatment capacity.
This suggests it was updated piecemeal at different times.
Other sources checked:
- BWSSB-25 (press releases, 2021-2023): shutdowns, Water Adalaths and recruitment only; no sustainability plan.
- BWSSB-01: link titles only, with no content.
- BWSSB-13: services only.
- BWSSB-02 (BWSS Act, s.16(6) power to insist on RWH and recycling; s.72A) and BWSSB-04 (GBG Act 2024): these are law, not implementation evidence.
Not a 0. The undated page shows measures exist, and the absence of a current plan in the sheet is 'not found', not affirmative absence.
Missing evidence: a dated current BWSSB water supply/sanitation plan, annual report, NRW programme, treated-water reuse scheme, or dated STP capacity and quality records.
Two things for the reviewer:
- If the team accepts BWSSB-07 as the 'latest plan', Step 2's provisional view is C1 about 2.5 and C2 between 1.25 and 2.5. That needs the rubric to be confirmed.
- Capture a dated screenshot as the question bank's evidence requirement asks.
Quote: "For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
"Score" left blank: the Citation Sheet doesn't decide it.</t>
  </si>
  <si>
    <t xml:space="preserve">Section 25(1)(c), read with s.24(a), s.2(h), s.2(aa) and s.1(3)</t>
  </si>
  <si>
    <t xml:space="preserve">s.25(1)(c) (additional projects in the Annual Implementation Plan); s.24(a) (Sectoral Mobility Investment Program 'shall be aligned with the goals of the Comprehensive Mobility Plan')</t>
  </si>
  <si>
    <t xml:space="preserve">AI (low confidence), from Step 2 answer (Partially Answered) and BMTC-06: I left the Score blank. A person needs to make the call.
Why it is blank:
(1) The Detailed Methodology and band wording for UPD6a were not in my task input. All I had was the input column (0 to 5). The bands I mention (0, 2.5, 5) come only from the Step 2 notes, so I cannot apply the rubric exactly. RUBRIC-GAP until the methodology is supplied.
(2) Commencement is not proven. BMTC-06 s.1(3) says the BMLTA Act 'shall come into force on such date as the State Government may by notification in the official Gazette, appoint'. The sheet has no commencement notification and no notification constituting BMLTA under s.4. The amending Act (Karnataka Act 10 of 2026, gazetted 8 Jan 2026) says it 'shall come into force at once', but that covers only the amending Act. It shows the principal Act is still on the statute book, not that it is in force.
(3) The only environmental duties reaching BMTC are indirect. They come from another body's law: BMLTA's CMP-alignment rule (s.24(a)), the rule that additional AIP projects must promote 'sustainable urban transport' (s.25(1)(c)), and BMLTA's project-approval power (s.19). 'Sustainable Urban Transport' (s.2(aa)) means shifting people away from private vehicles towards public transport and walking/cycling. The CMP definition (s.2(h)) says 'safe, clean and efficient'. Whether this indirect, investment-planning-only duty counts as BMTC being 'mandated' is a judgement call for the team.
(4) The BMLTA Act text is PRS secondary only.
What I checked:
- BMTC-02 (RTC Act 1950): s.18, BMTC's general duty ('efficient, adequate, economical and properly co-ordinated') has no environmental objective.
- BMTC-04 (GBG Act 2024): s.17, the Climate Action Cell duty falls on the GBA, not BMTC.
- BMTC-01: the vision statement 'Make BMTC sustainable' and the BS-VI and electric-bus press items are descriptive or practice evidence, not a mandate.
- Sheet-wide search for environment, pollution, emission, electric and clean fuel: no binding environmental instrument on BMTC.
The sheet does not contain BMLTA Rules or Regulations, any notified CMP or NMT/TOD policy, BMTC's regulations, or any state EV or clean-fleet GO. So 0 cannot be affirmed, and a higher band cannot be ruled out.
Tentative view: if the BMLTA Act is confirmed in force and indirect duties count, the evidence fits a 'limited/specific objectives' band (2.5 per the Step 2 notes). The duties cover only investment and project planning and mainly the shift to public transport, not fleet, fuel or emissions in operations. To confirm: the commencement notification under s.1(3), the UPD6a methodology bands, and the gazette copy of Act 6 of 2023.
Quote: "These additional projects shall align with the Comprehensive Mobility Plan goals and promote sustainable urban transport."
"Score" left blank: the Citation Sheet doesn't decide it.</t>
  </si>
  <si>
    <t xml:space="preserve">UITP Working Paper – Fleet Wide Transition to Zero Emission Buses: A Roadmap for the City of Bengaluru (August 2023) [BMTC-39]</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</si>
  <si>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</si>
  <si>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</si>
  <si>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</si>
  <si>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</si>
  <si>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https://www.uitp.org/wp-content/uploads/sites/7/2025/04/Working-Paper_Fleet-Wide-Transition.pdf</t>
  </si>
  <si>
    <t xml:space="preserve">AI: left for a person. Step 2 found no evidence (Insufficient Evidence). Source needed: BMTC's latest Annual Administrative Report (fleet composition by fuel type, e-bus induction targets, fuel efficiency or emissions figures, depot energy measures); BMTC fleet augmentation or electrification plan with targets and a scrapping or phase-out schedule; BMTC route rationalisation or network plan showing metro feeder, interchange and common-ticketing measures; BMTC's environmental or sustainability policy document; the contents of the linked 'Real time monitoring the performance of electric buses' PDF and the Metro Feeder Service documents.</t>
  </si>
  <si>
    <t xml:space="preserve">Chapter IV - Water Supply</t>
  </si>
  <si>
    <t xml:space="preserve">Section 26 (Vesting of works in Board); see also s.15(1), s.63, s.64 and s.72 as substituted by Act 15 of 2010</t>
  </si>
  <si>
    <t xml:space="preserve">s.36; s.38(1); s.72 as substituted by Act 15 of 2010</t>
  </si>
  <si>
    <t xml:space="preserve">21</t>
  </si>
  <si>
    <t xml:space="preserve">AI (low confidence), from Step 2 answer (Answered — Verified Source) and BWSSB-02: I left the score blank because Step 2's score of 0 is not supported. Reasons:
(1) I was not given the DPG1a Detailed Methodology or rubric bands. I only have the input column 'ENTER A NUMBER 0 TO 5'. So I cannot check that 'Scenario B with no explicit distinction in the Parastatal Act' gives 0, or what the other bands are. A person should apply the actual rubric.
(2) A 0 needs affirmative absence, and Step 2 admits it does not have it. It did not read GBA Act s.111 in full, or its repeal, savings and consequential-amendment provisions. No BWSSB Rules or Regulations and no GBA Rules are in the Citation Sheet. Amendments to the BWSSB Act after 2010 are not checked.
(3) The BWSSB Act itself has provisions that may set the Board's role apart from the municipal body's. A person should judge these against the rubric:
- s.26 vests all water works 'whether made at the cost of the Government, the Bruhat Bangalore Mahanagara Palike or otherwise' in the Board, under its control.
- s.63 and s.64 vest public sewers in the Board and give it control of them.
- s.72, as substituted by Act 15 of 2010, splits the work by aspect. Filth and polluted water go to a 'Board sewer'. Rain water goes to an 'entirely distinct drain' emptying into 'rain water harvesting system, Corporation drain or other suitable places'. This fits the GBA Act Schedule I(1)(vi), which gives the City Corporations 'storm water drains'.
- s.15(1) sets the Board's general duty for water supply, sewerage and sewage disposal across the Bangalore Metropolitan Area.
Taken together, these may count as a partial distinction: the Board handles piped water and sewerage, and the Corporation handles storm water drains and, under Schedule I(3)(vii)(f), tanks, wells and unfiltered non-domestic water. That would not be 'no distinction'. Step 2 did not deal with s.72.
(4) On the other side, the GBA Act (BWSSB-04) Schedule I(1)(v) gives the City Corporations 'Water supply for domestic, industrial and commercial purposes' without mentioning BWSSB. The BWSSB Act still names the BBMP, the predecessor body. Nothing in the Sheet shows the GBA or City Corporations were substituted into it. Under s.14(4) of the GBA Act, the GBA supervises BWSSB and its directions are binding. So the legal overlap is real.
(5) Both Acts are PRS secondary copies. Official gazette or e-legislation texts are still needed.
What the team needs to do: provide the DPG1a rubric; decide whether the s.26/63/72 aspect split counts as an explicit distinction; check whether the GBA Act makes consequential amendments to the BWSSB Act or has a savings clause for it; and check for BWSSB Act amendments after 2010.
Quote: "whether made at the cost of the Government, the Bruhat Bangalore Mahanagara Palike or otherwise and all bridges, buildings, machinery, works, materials and other things connected therewith and all land (not being private property) adjacent and appertaining to the same shall vest in the Board and be subject to its control."
"Score" left blank: the Citation Sheet doesn't decide it.</t>
  </si>
  <si>
    <t xml:space="preserve">Schedule I (see section 111)</t>
  </si>
  <si>
    <t xml:space="preserve">Schedule I(1) Core Functions; also s.14(4), s.15(1), s.112(1), s.234(2)-(3)</t>
  </si>
  <si>
    <t xml:space="preserve">Sch. I(1)(xvii) bus stops; Sch. I(1)(xii) waiting sheds for travelers</t>
  </si>
  <si>
    <t xml:space="preserve">134</t>
  </si>
  <si>
    <t xml:space="preserve">AI (low confidence), from Step 2 answer (Partially Answered) and BMTC-04: I left the score blank. The Sheet does not show the full parastatal side of the comparison, and I could not see the full Detailed Methodology text for DPG1a. I checked Step 2 against the sources and it is accurate.
ULG side (BMTC-04, Greater Bengaluru Governance Act, Act 36 of 2025; PRS secondary text; GBA-era):
- Bus stops (Sch. I(1)(xvii)) and waiting sheds for travelers (Sch. I(1)(xii)) are core functions of the City Corporations.
- Under s.14(4), the GBA 'Integrat[es] and supervis[es]' BMTC by name, and its directions 'shall be binding'. The same section says 'Bangalore Metropolitan Transport Corporation Limited shall suitably incorporate in their Memorandum of Association the coordinating role' of the GBA.
- Under s.15(1), the GBA 'shall be responsible to make master plan and mobility plans'.
- Urban transport appears only as a discretionary function under s.112(1) ('may', subject to Government approval and funding).
- s.234(2)-(3) exempts the 'Bengaluru Metropolitan Transport City Corporation' from needing a licence for bus-stop posts, passenger shelters, ticket booths and bus stands on City Corporation land. This needs previous Government sanction and BMTC pays ground rent. The name looks like a drafting slip for BMTC, but no official source confirms this.
Parastatal side (BMTC-02, Road Transport Corporations Act, 1950, amended up to Act 63 of 1982):
- I re-read ss.34, 38, 42 and 43. They deal with State directions, supersession, entry and public servants. None of them mentions the ULG, bus stops or shelters.
- s.19 (powers of the Corporation) did not come up in the passages I could retrieve.
BMTC-20 (BMTC Rules and Regulations page) lists only KSRTC staff and service regulations and the KSRTC Rules, 1961. None of these defines functions in relation to the ULG.
Why no score:
1. The State notification that set up BMTC (RTC Act s.3) is not in the Sheet, and neither is BMTC's MoA. GBA s.14(4) refers to 'Corporation Limited' and a Memorandum of Association, so BMTC's legal form and its constituting instrument are unclear. Without these I cannot show that the parastatal's own law has no carve-out. A 0 would need that affirmative absence; what I have is 'not found'.
2. Step 2's provisional reading of Scenario C (functions partly devolved, with overlap on stops, shelters and planning, which would give 0) depends on a judgement the team should confirm. The open question is whether the s.234 carve-out, which sits in the ULG Act rather than BMTC's Act, counts.
3. Whether the GBA (Amendment) Bill 2025 (BMTC-05) was enacted is not confirmed. It does not touch s.14(4).
To do: get BMTC's constituting notification or MoA and RTC Act s.19, confirm that 'Bengaluru Metropolitan Transport City Corporation' in s.234 means BMTC, and then apply the DPG1a scenario bands.
Quote: "(xvii) Provision and maintenance of public amenities including street lighting, parking spaces for vehicles, bus stops and public conveniences like toilet facilities at public places; and"
"Score" left blank: the Citation Sheet doesn't decide it.</t>
  </si>
  <si>
    <t xml:space="preserve">Section 14(4) (read with s.14(2)(a), s.15(1), s.111(1) and Schedule I)</t>
  </si>
  <si>
    <t xml:space="preserve">s.14(4)</t>
  </si>
  <si>
    <t xml:space="preserve">AI (low confidence), from Step 2 answer (Partially Answered) and BDA-03: I left the score blank for a human to decide. Leaning: if the BDA Act has no carve-out, this is Scenario B (the function is fully given to the city government and both bodies deliver it), which would score 0. That 0 is not safe yet, for four reasons.
(1) Affirmative absence is not shown. I re-read BDA-02, the BDA Act 1976 (PRS copy, amended up to Act 42 of 2026). I saw the table of contents and ss.2, 14-16, 25-28A, 32, 67-70. The Act gives BDA a broad mandate over the 'Bangalore Metropolitan Area'. That includes layouts and extensions under s.32 and its amendments to the KTCP Act under s.67. I found no limit on BDA by aspect, area or scale. But I have not read the whole Act, and no Rules or Regulations made under ss.69-70 are in the Citation Sheet.
(2) A carve-out may exist but is not shown to be in force. BDA-05 is LA Bill 55 of 2025, as passed by the Assembly. It would change KTCP s.2(7)(a) and s.81-B(i) so that BDA is Planning Authority only for the Bengaluru Metropolitan Area 'excluding the Greater Bengaluru Area'. New s.81-G would make GBA the planning authority for the Greater Bengaluru Area. However, s.1(2) says the Act 'shall come into force on such date as the State Government may by notification appoint'. Nothing in the sheet shows it was enacted or brought into force. Even if it is in force, it splits only planning-authority status under the KTCP Act. It does not touch BDA's development-scheme and layout powers under BDA Act ss.14-16.
(3) Both sides of the law do overlap. On the city side, the GBG Act (BDA-03) gives the City Corporations urban planning, land-use regulation and 'planned development of new areas' (s.111(1) and Schedule I). It makes GBA the Planning Authority 'notwithstanding anything contained in any other law' (s.14(2)(a)) and responsible for the master plan (s.15(1)). Under s.14(4), GBA supervises BDA and can give it binding directions. That is coordination, not a split of the function.
(4) Scenario D (the function is given to the city government in law but delivered by BDA in practice) has not been ruled out.
I could not see the DPG1a rubric bands in this task, so I cannot match the facts to a band myself.
To check: (a) whether Bill 55 of 2025 was enacted and its commencement notified; (b) the full BDA Act and any Rules or Regulations under it; (c) whether the city government is to be scored as GBA or as the City Corporations. Note also that the BDA Act still names the 'Corporation of the City of Bangalore', and no source in the sheet shows a successor body substituted.
Quote: "Co-ordination and Supervision of Public Authorities: Integrating and supervising the activities of public authorities like the Bangalore Development Authority, the Bengaluru Water Supply and Sewerage Board,"
"Score" left blank: the Citation Sheet doesn't decide it.</t>
  </si>
  <si>
    <t xml:space="preserve">Section 14 (Functions of the Greater Bengaluru Authority)</t>
  </si>
  <si>
    <t xml:space="preserve">s.14(4); also s.15(1), s.13(1)(j), s.111/Schedule I, s.112(1)</t>
  </si>
  <si>
    <t xml:space="preserve">AI (low confidence), from Step 2 answer (Partially Answered) and BMRCL-02: SCORE LEFT BLANK. A person needs to score this. Reasons: (1) The task did not give me the question's Detailed Methodology or rubric. The only rubric I have is the scenario logic paraphrased in the Step 2 answer: Scenario A gives 5; Scenario B or C gives 0 unless roles are explicit and do not overlap. I cannot check that paraphrase against the real bands, so I cannot apply them myself. (2) I checked the Step 2 reading against BMRCL-02 and it holds. Section 14(4) gives the Greater Bengaluru Authority (GBA, the city-level authority) power to integrate and supervise 'the activities of' public authorities, naming Bengaluru Metro Rail Corporation Limited. Its directions 'shall be binding', and public authorities shall 'obey its directions'. Section 15(1) says the GBA 'shall be responsible to make master plan and mobility plans'. Section 13(1)(j) puts BMRCL's Managing Director on the GBA Executive Committee. Section 14(4) requires only BESCOM and BMTC, not BMRCL, to write the GBA's coordinating role into their Memorandum of Association. Step 2 also reports that Schedule I core functions do not include metro or urban transport, and that s.112(1) is a conditional 'may'. That reading comes from BMRCL-02. I did not re-check it in the excerpt shown to me. (3) On the BMRCL side, I could not show a defined, non-overlapping mandate. BMRCL has no Act of its own. BMRCL-09 (Annual Report FY2020-21, historical) says only that BMRCL is a GoI–GoK joint-venture Government Company 'to implement the Metro Rail Project in the city of Bangalore'. The Memorandum of Association objects clause is not in the Citation Sheet; BMRCL-09 mentions only the Clause V share-capital amendment. BMRCL-04 (Metro Railways O&amp;M Act 2002, as amended to 2009) s.5 sets out operating functions. However, the sheet has no Central notification applying that Act to Bengaluru or naming BMRCL as the 'metro railway administration'. (4) On a provisional reading this is a partly devolved case with overlap (Scenario B/C), which would score 0. A 0 needs affirmative absence, and the parastatal-side instruments (MoA, extension/designation notifications, GBA Rules) were not in the sheet. On the other side, someone could read metro as not devolved at all, which would make it Scenario A and score 5. That is a methodology judgement for the team. Checked: BMRCL-02 (s.8, 9, 13, 14, 15; Schedule I via Step 2), BMRCL-03, BMRCL-04 (search for the 'metro railway administration' definition; the definition text itself was not returned), BMRCL-08 (BMLTA, a state-level body and not the city government; per Step 2), BMRCL-09 (searched for MoA objects; not found). Era: GBA era. GBA Act 2024 (Act 36 of 2025), with Amendment Act 60 of 2025, which does not change s.14(4) or s.15. RTI-TARGET: BMRCL Public Information Officer (PIO) for the current MoA/AoA and any GoI notification naming BMRCL as metro railway administration. CONFIRM: whether GBA supervision/binding directions plus the mobility-plan duty counts as partial devolution, and what the actual rubric bands for DPG1a are.
Quote: "Co-ordination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"Score" left blank: the Citation Sheet doesn't decide it.</t>
  </si>
  <si>
    <t xml:space="preserve">Chapter III (Greater Bengaluru Authority); Schedule I</t>
  </si>
  <si>
    <t xml:space="preserve">s.14(2) Planning Functions; s.14(4); s.15(1); s.111 read with Schedule I</t>
  </si>
  <si>
    <t xml:space="preserve">s.14(2)(a), (c); Schedule I(1)(i)-(iii); Schedule I(3)(i)(c)</t>
  </si>
  <si>
    <t xml:space="preserve">14</t>
  </si>
  <si>
    <t xml:space="preserve">AI (low confidence), from Step 2 answer (Partially Answered) and BMRDA-10: I left the score blank because the Citation Sheet does not contain the BMRDA Act. A person needs to score this.
**What the ULG law says (BMRDA-10).** I checked the Step 2 answer against the source and confirmed the section numbers. The GBGA is Act 36 of 2025; the PRS copy also includes Amendment Act 60 of 2025 and Second Amendment Act 1 of 2026, and neither amendment touches s.14(2), s.14(4) or BMRDA. The law clearly gives planning to the city government:
- Schedule I(1), read with s.111, lists '(i) Urban planning including town planning', '(ii) Regulation of land-use' and '(iii) Planning for economic and social development' as core functions of the City Corporations.
- s.14(2)(a) makes GBA the KTCP Planning Authority for the Greater Bengaluru Area 'Notwithstanding anything contained in any other law'.
- s.15(1) makes GBA responsible for the master plan and mobility plans.
So this is not Scenario A (where the ULG law gives the city no planning role).
**What the GBGA says about BMRDA.** The Act names BMRDA's Metropolitan Commissioner only as an ex-officio member of GBA (s.9(3)(u)) and of its Executive Committee (s.13(1)(e)). BMRDA is not named in s.14(4), the GBA's binding power to supervise public authorities, but that sub-section also covers 'such other bodies connected with municipal activities'. Schedule I(3)(i)(c) requires the city's plans to be integrated 'with the district or regional development plan'. That points to a split by scale (region versus city), but it does not name BMRDA. No repeal or amendment of the BMRDA Act was found in the GBGA text I read.
**What the sheet says about BMRDA.** The only account of BMRDA's functions is a secondary summary of s.9 of the BMRDA Act, 1985, in the Annual Report for FY 2022-23 (BMRDA-03, page 10). That report is from the BBMP era, so it is historical for the current arrangement. The summary lists a Structure Plan for the 8,005 sq km Metropolitan Region, coordinating execution of town planning schemes, entrusting development plans to Local Authorities, and coordinating BDA, BBMP and other bodies. The Act's own text is not in the sheet, so I cannot check whether it carves BMRDA out to regional planning only or overlaps with city planning.
**Signs of overlap.**
- BMRDA's s.9 coordination role (which still names BBMP) sits alongside GBA's binding coordination and supervision powers in s.8(3) and s.14(4).
- The BMPC set up under s.14(2)(c) prepares a metropolitan draft development plan, which looks similar to BMRDA's Structure Plan role.
These overlaps argue against the top score. A low score would need affirmative absence of any demarcation, and that cannot be shown without the BMRDA Act and Rules.
**Also unknown:** I don't have the full question rubric text, so I could not map the scenario bands to points myself.
**For a person to check:**
1. Add the official text of the BMRDA Act, 1985 (Karnataka Act 39 of 1985) as currently amended, especially s.9 and any provision on local authorities, plus the BMRDA Rules.
2. Confirm whether any instrument substitutes GBA or the City Corporations for BBMP in the BMRDA Act, or limits BMRDA within the Greater Bengaluru Area.
3. Then apply the rubric:
   - Scenario C if the BMRDA Act explicitly limits BMRDA to regional structure planning.
   - Scenario B if it repeats general planning and coordination powers that overlap with the city's.
   - Also check for Scenario D (planning assigned to the ULG but delivered by parastatals).
The GBGA text in the sheet is the PRS republication only (secondary).
Quote: "(a) the Greater Bengaluru Authority shall be the “Planning Authority” as defined under the Karnataka Town and Country Planning Act, 1961, for the areas comprising of the Greater Bengaluru Area;"
"Score" left blank: the Citation Sheet doesn't decide it.</t>
  </si>
  <si>
    <t xml:space="preserve">Chapter I – Preliminary</t>
  </si>
  <si>
    <t xml:space="preserve">Section 2 (Definitions)</t>
  </si>
  <si>
    <t xml:space="preserve">s.2(1a), substituted by Karnataka Act 15 of 2010 w.e.f. 16.04.2010; read with s.2(3)</t>
  </si>
  <si>
    <t xml:space="preserve">AI (medium confidence), from Step 2 answer (Partially Answered) and BWSSB-02: Proposed score: 2.5. The law defines BWSSB's area only in general terms, not with a schedule, boundary description or map. The question details (methodology and bands) were not included in this task's input. I applied the bands as the Step 2 answer gives them: 5 = clearly defined with a schedule, boundary description or map; 2.5 = defined only in general terms. A person should check these against the question bank before accepting the score.
What I checked against the source: I re-read BWSSB-02, the PRS republished text of the BWSSB Act, 1964 as amended by Acts 6/1966, 10/1966, 18/1984, 19/2009, 15/2010, 32/2010 and 5/2011, with later amending Acts appended. The source supports Step 2.
- s.2(1a) defines the 'Bangalore Metropolitan Area' only by reference to another body: the area under BBMP's jurisdiction, plus any adjacent areas the State Government notifies.
- s.2(3) ties 'Bruhat Bangalore Mahanagara' to BBMP 'constituted under the Karnataka Municipal Corporations Act, 1976'.
- The definition refers to no schedule, map or boundary description, and I found none in the passages I searched. The preamble, s.39–40 (laying mains 'within or without the local limits'), s.63 and s.64(2) all rely on this general definition.
- A score of 0 is not right, because a definition does exist.
- The 5 band is not met whether or not the BBMP/GBA question below is settled. The Act would still lack a schedule or map either way.
Points for the team to check:
(1) The definition still names BBMP. The Greater Bengaluru Governance Act, 2024 (BWSSB-04) provides for BBMP to cease to exist once the final s.7 notification is issued, and s.361 repeals the BBMP Act, 2020. Nothing in the Citation Sheet shows that the BWSSB Act's s.2(1a) was amended to name the new body, or when BBMP actually ceased.
(2) The State's s.2(1a) notifications adding adjacent areas are not in the Citation Sheet. If those notifications carry schedules or maps, the team may want to look at them. Even so, the Act itself defines the area only generally.
(3) Both Acts are PRS republished text, not gazette copies.
(4) The website's figure of 800 sq km for the 'BBMP Area' (BWSSB-07) is undated, and I did not use it for the score.
Quote: "(1a) ‘Bangalore Metropolitan Area’   means the area falling within the jurisdiction of the Bruhat Bangalore Mahanagara Palike and includes such other areas adjacent thereto as the State Government may, by notification, from time to time specify;]1"</t>
  </si>
  <si>
    <t xml:space="preserve">AI: left for a person. Step 2 found no evidence (Insufficient Evidence). Source needed: The Karnataka Government's notification under s.3 of the Road Transport Corporations Act, 1950 establishing BMTC (Karnataka Gazette), showing how its area of operation is defined, plus any later notifications or orders extending or reducing that area. Alternatively, an official BMTC or Transport Department document that reproduces the notified area.</t>
  </si>
  <si>
    <t xml:space="preserve">Chapter I – Preliminary (with Chapter II, s.3(1) and s.14)</t>
  </si>
  <si>
    <t xml:space="preserve">Section 2(c), read with s.3(1) and s.14</t>
  </si>
  <si>
    <t xml:space="preserve">s.2(c), definition of 'Bangalore Metropolitan Area'</t>
  </si>
  <si>
    <t xml:space="preserve">AI (medium confidence), from Step 2 answer (Answered — Verified Source) and BDA-02: Score 2.5: the BDA Act defines BDA's jurisdiction, but only in general terms. The Step 2 answer holds up against the source. I checked it in BDA-02 (PRS copy of the BDA Act, 1976, amendments appended up to Act 42 of 2026).
What the Act says:
- s.2(c) defines the Bangalore Metropolitan Area (BMA) by pointing to three things: the City of Bangalore as defined in the 1949 Corporation Act; the area where the 1945 Improvement Act was in force; and adjacent areas the Government 'may from time to time by notification specify'.
- s.3(1): the Government 'shall, by notification, constitute for the Bangalore Metropolitan Area an Authority'.
- s.14: BDA's objects are to 'promote and secure the development of the Bangalore Metropolitan Area'.
- The list of sections runs from s.1 to s.77 (Repeal of Ordinance 29 of 1975). There is no Schedule, no boundary description and no map defining the area.
- s.67 adds s.81-B to the KTCP Act. It makes BDA the planning authority for the area of the former City Planning Authority, which is again a cross-reference with no boundary description. BDA-06 says the same.
The ULG and pending-law side (BDA-03, BDA-05) also defines areas only by cross-reference or notification, as Step 2 reports. It does not change the band.
Things a person should check:
(1) The question's Detailed Methodology and Notes for scorers were not in my task input. I have relied on the bands as Step 2 describes them: 5 = schedule, boundary description or map; 2.5 = defined only in general terms; 0 = not defined. Please confirm these against the question bank before accepting 2.5. If the bands differ, treat this as RUBRIC-GAP.
(2) The Citation Sheet does not include the s.2(c) notifications that added adjacent areas, any Rules under the BDA Act, the Greater Bengaluru Area notification, or BDA's jurisdiction map. A notification that sets out the boundaries could matter if the methodology accepts notifications, not just the Act.
(3) It is not shown whether LA Bill 55 of 2025 (BDA-05) was enacted and is in force.
(4) The legal text is a PRS republication only. PRS's own disclaimer says it is not authoritative; a gazette copy is preferred.
(5) s.2(i) still names the 'Corporation of the City of Bangalore'. No source in the sheet shows a successor body substituted.
Confidence is medium because the evidence is PRS-only, the score relies on reading several instruments together, and the rubric text was not given to me directly.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</si>
  <si>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substituted by Act 34 of 2009, s.6 (w.e.f. 7-9-2009)</t>
  </si>
  <si>
    <t xml:space="preserve">s.1(2) (extent); see also s.2(1)(f), (h), (ha) and s.3(1)</t>
  </si>
  <si>
    <t xml:space="preserve">5</t>
  </si>
  <si>
    <t xml:space="preserve">AI (low confidence), from Step 2 answer (Partially Answered) and BMRCL-04: I left the Score blank. Score 0 needs proof of absence, and the sheet does not provide it.
I checked the Step 2 answer against the sources and agree with it.
(1) Metro Railways (O&amp;M) Act, 2002 (BMRCL-04), s.1(2):
- This Act applies to BMRCL. The FY2020-21 secretarial audit in BMRCL-09 (p.58) lists it, the Metro Railways (Construction of Works) Act, 1978 and several 2013-14 Metro Railway Rules as industry laws BMRCL complies with.
- But s.1(2) only covers the National Capital Region plus any metropolitan area or city the Central Government notifies. It has no schedule, boundary or map.
- Bengaluru is not among the 'metropolitan cities' listed in s.2(1)(ha) (Bombay, Calcutta, Delhi, Madras). So it could only be covered as a notified 'metropolitan area' under Art. 243P(c), and the extension notification is not in the sheet.
- Chapter II (s.3) covers 'Government metro railways', which s.2(1)(f) defines as owned by the Central Government. BMRCL is a GoI-GoK joint venture, so Chapter II may not apply to it.
(2) Other sources:
- Companies Act 2013 (BMRCL-06) is general company law with nothing on BMRCL's area.
- BMRCL-09 describes BMRCL as serving the 'city of Bangalore' / 'Bangalore City'. That is the company describing itself, not a legal boundary, and it is from FY2020-21 (BBMP era, historical).
- GBA Act 2024 (BMRCL-02) makes BMRCL's MD an ex-officio member of the GBA (s.9(3)) and of its Executive Committee (s.13(1)(j)). It defines the area of the GBA and the City Corporations, not BMRCL's.
- GBGA Amendment Bill 2025 (BMRCL-03) only changes ss.8 and 14.
- BMLTA Act (BMRCL-08) s.3 sets out the area of BMLTA (the Bengaluru Urban Mobility Region), not BMRCL's.
- KTCP Act (BMRCL-07) does not deal with BMRCL.
(3) RUBRIC-GAP / missing evidence: the question's Detailed Methodology text is not in this task. The Step 2 notes suggest bands of 5 (clearly defined), 2.5 (general 'notified area', no schedule) and 0. If the O&amp;M Act counts as the enabling instrument, the evidence points towards 2.5. But whether that band fits is unconfirmed, and it depends on which instrument counts as 'enabling'.
The sheet is missing:
- BMRCL's Memorandum and Articles of Association (objects clause, area of operation);
- the Central notification extending the O&amp;M Act to Bengaluru, and whatever area it describes;
- the Metro Railways (Construction of Works) Act, 1978 and its extension notification;
- any rules or regulations defining the area.
A reviewer should get these documents, decide which one is BMRCL's enabling framework, and then pick the band (probably 2.5 if only the general 'notified area' clause applies).
Quote: "It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 and thereupon the provisions of this Act shall apply  to that metropolitan area or metropolitan city accordingly."
"Score" left blank: the Citation Sheet doesn't decide it.</t>
  </si>
  <si>
    <t xml:space="preserve">Section 2(c) (definition of 'Bangalore Metropolitan Region'), read with Section 3(1)</t>
  </si>
  <si>
    <t xml:space="preserve">2(c), as substituted by Karnataka Act 8 of 2005 w.e.f. 23.03.2005</t>
  </si>
  <si>
    <t xml:space="preserve">AI: left for a person. Step 2 found no evidence (Insufficient Evidence). Source needed: (1) The full official text of the Bangalore Metropolitan Region Development Authority Act, 1985 (Karnataka Act No. 39 of 1985), current amended version, especially the definition of 'Bangalore Metropolitan Region' and any Schedule. Sources: the Karnataka legislation portal or eGazette, or PRS as a secondary copy. (2) The 'Jurisdiction Notification' and 'Jurisdiction Map' PDFs linked from the BMRDA website, saved with readable text and dated. (3) Any later Government of Karnataka notifications changing the Region's limits.</t>
  </si>
  <si>
    <t xml:space="preserve">Chapter II - Establishment of the Board</t>
  </si>
  <si>
    <t xml:space="preserve">Section 3(5) (substituted by Karnataka Act 15 of 2010, s.3(iii), w.e.f. 16.04.2010); read with s.3(2)-(4), s.6(1)(d), s.14</t>
  </si>
  <si>
    <t xml:space="preserve">s.3(5)</t>
  </si>
  <si>
    <t xml:space="preserve">67</t>
  </si>
  <si>
    <t xml:space="preserve">AI (low confidence), from Step 2 answer (Partially Answered) and BWSSB-02: SCORE LEFT BLANK: a 0 needs affirmative absence, and the Citation Sheet does not establish it.
What the sheet does show (BWSSB Act 1964, PRS consolidation as amended up to Act 29 of 2021, BWSSB-02):
- s.3(2): the State Government appoints all 3-9 Board members.
- s.3(3): the seats are defined by experience in commerce/administration, civil or public-health engineering, and accounts/finance. None is an ex-officio ULG seat.
- s.3(4): the State Government appoints the Chairman.
- s.3(5): a member of 'any local authority' cannot be appointed or remain a member. s.6(1)(d) allows removal of a member who becomes or seeks to become one.
So elected ULG councillors cannot sit on the Board, and the top band (ULG-elected voting members) is ruled out in law.
What the sheet does not show:
- s.3(5) bars members of a local authority, not its officials. Nothing in the Act stops the State from appointing a ULG official (e.g. a Corporation or GBA Commissioner) under s.3(2)-(3).
- s.11 and s.88(1)(b) leave Board meetings, and any invitees, to Regulations. Under s.4 and s.87(2)(a), Rules fix the members' terms.
- Neither the BWSSB Rules nor the Regulations are in the sheet. Nor is the gazette notification constituting the current Board, or a current Board member list.
- So a partial band (ULG official or invitee, non-voting) can be neither confirmed nor ruled out.
What I read:
- BWSSB-02: ss.3, 4, 5, 6, 11, 14, 87, 88, and the Act 15 of 2010 amendment text.
- BWSSB-04, the GBA Act 2024 (Act 36 of 2025), as reported in Step 2. The relationship runs the other way: the BWSSB Chairman sits on the GBA under s.9(3)(h) and s.13(1)(g). Nothing found gives the ULG a seat on the BWSSB Board.
- BWSSB-23, the GBA (Amendment) Bill 2025: it only amends GBA Act ss.8(2) and 14(1). Nothing on the BWSSB Board.
- BWSSB-25, the press release page: navigation only, no Board list.
- BWSSB-01, -07, -11, -12, -13, -16, as reported in Step 2: no Board list.
The s.14 Consultative Committee includes appointees chosen after consulting the 'Bruhat Bangalore Mahanagara Palike'. It only advises (s.14(4)) and is not the Board, so it is not counted. Its BBMP-era wording has no official GBA-era substitution in the sheet.
To decide the score, a person should obtain:
1. The current Board constitution notification or member list (BWSSB website 'Formation &amp; Functions of the Board' page, or an RTI to the BWSSB PIO).
2. The BWSSB Rules (s.4/s.87).
3. The Regulations on Board meetings and invitees (s.88(1)(b)).
If no ULG official or invitee is on the Board, a 0 would be supportable. Note the exact rubric text was not supplied with this task. I applied the band structure given in Step 2's notes (5 = ULG-elected voting members; 2.5 = non-voting/invitee; 0 = none), and it should be confirmed against the question bank.
Quote: "A person shall be disqualif ied for being appointed or being a member of the Board if he is a member of the Parliament or of any State Legislature or any local authority."
"Score" left blank: the Citation Sheet doesn't decide it.</t>
  </si>
  <si>
    <t xml:space="preserve">Road Transport Corporations Act, 1950, as amended (consolidated text in BMTC-02)</t>
  </si>
  <si>
    <t xml:space="preserve">Section 5(2), read with s.5(4) and s.44(2)(a)</t>
  </si>
  <si>
    <t xml:space="preserve">s.5(2): Board composition; State Government appoints all directors</t>
  </si>
  <si>
    <t xml:space="preserve">3</t>
  </si>
  <si>
    <t xml:space="preserve">AI (low confidence), from Step 2 answer (Partially Answered) and BMTC-02: SCORE LEFT BLANK. The evidence points towards 0 (no city government seat on BMTC's board), but absence across every layer is not confirmed. A 0 needs that, so the score is left for a person to decide.
WHAT WAS CHECKED:
(1) BMTC-02, the RTC Act, 1950:
- s.5(2): the State Government appoints the Chairman and every Director, as many 'as the State Government may think fit to appoint'.
- s.5(4): Rules 'shall provide for the representation' of the Central and State Governments only, plus shareholders if shares are issued to other parties.
- s.44(2)(a): leaves the 'conditions and manner of appointment of Directors' and the constitution of the Board to Rules.
- The Act creates no seat for a local authority or ULG.
(2) BMTC-09, the Directors List, re-read: 1 Chairman (V.S. Aaradhya), 1 Vice-Chairman (M. Niketh Raj) and 9 'DIRECTOR (Official)' seats.
- Those 9 are: the Transport Secretary; the Finance Secretary (Expenditure); the MDs of KSRTC, BMTC, KKRTC and NWKRTC; BMTC's Director (Security &amp; Vigilance); BMTC's Director (IT); and the Director (Transport), MoRTH.
- None is a GBA or City Corporation official or councillor.
- The page does not say in what capacity the Chairman and Vice-Chairman serve, and it is undated.
(3) BMTC-04, the GBA Act: s.9(3)(i) puts BMTC's MD on GBA. That is the opposite direction and does not count as city government representation on BMTC's board. s.14(4) gives GBA a coordination role and is not a board seat.
(4) BMTC-20, the Rules and Regulations page: it only links to 'KSRTC Rules, 1961'. The Rules text is not in the Citation Sheet.
(5) A search of the whole sheet found no Rules text and no board-constitution notification.
MISSING EVIDENCE, needed before scoring:
(a) The text of the KSRTC Rules, 1961, or any BMTC-specific Rules or Gazette notification constituting the board under RTC Act s.5(4)/s.44(2)(a).
(b) The capacity of the Chairman and Vice-Chairman: state political appointees, or people holding office in the city government?
(c) A date for the Directors List.
(d) BMTC's legal form: GBA Act s.14(4) calls it 'Limited' and mentions a Memorandum of Association.
The question's rubric text was not given to me. Step 2 refers to bands of 5, 2.5 and 0. A person should check these against the methodology.
If (a) and (b) confirm that no city government nominee exists, the likely score is 0.
Quote: "(2) The Board shall consist of a Chairman and such other Directors, being not less than five and not more than seventeen, as the State Government may think fit to appoint."
"Score" left blank: the Citation Sheet doesn't decide it.</t>
  </si>
  <si>
    <t xml:space="preserve">Chapter II (Constitution of the Authority)</t>
  </si>
  <si>
    <t xml:space="preserve">Section 3(3)(l), read with s.3(3)(f), s.4(1)(f), s.5(1) proviso, s.8(4), s.69(2)(b)</t>
  </si>
  <si>
    <t xml:space="preserve">s.3(3)(l) and its proviso</t>
  </si>
  <si>
    <t xml:space="preserve">AI (low confidence), from Step 2 answer (Partially Answered) and BDA-02: I left the score blank because the evidence fits no band. A person needs to decide it (RUBRIC-GAP / not found).
(1) What the BDA Act says. I checked the PRS copy (BDA-02), amended up to Act 42 of 2026, against Step 2. On the face of the Act, the city government sits on the board through elected councillors:
- s.3(3)(l): 'two persons elected by the councillors of the Bangalore City Corporation from among themselves'.
- s.3(3)(f): the Corporation's Commissioner is an ex-officio member.
- s.8(4): all questions are decided 'by a majority of the votes of the members present and voting'.
- Nothing in the Act takes away these members' vote.
(2) Why that does not settle the score.
- The Act still names the 'Bangalore City Corporation' / 'Corporation of the City of Bangalore'. The city government today is the Greater Bengaluru Authority and its City Corporations, set up under the Greater Bengaluru Governance Act 2024 (Karnataka Act 36 of 2025), BDA-03.
- In BDA-03 I read s.360 (transitory provisions) and s.361 (repeal of the BBMP Act 2020 and savings). Neither has a clause saying that references to the Corporation in other laws now mean the City Corporations or the Greater Bengaluru Authority. Nor does either amend s.3 of the BDA Act.
- The amending Acts in BDA-03 change other things only: Act 60 of 2025 amends ss.8 and 14, and Act 1 of 2026 amends ss.9, 13, 29, 30, 33 and 241.
- Act 42 of 2026 changes only s.10 and s.38D of the BDA Act.
- So no source shows which councillors, if any, now elect the s.3(3)(l) members.
(3) Practice is not shown either.
- Under the s.3(3)(l) proviso, while councils are superseded or run by an Administrator, the seats go to nominated Corporation officers. That would be officials, not elected representatives.
- The sheet has no notification of board names under s.3(6), no current board list, no Rules under s.69(2)(b), and no official record of City Corporation elections.
- Step 2 notes that the question bank asks for a current board list as evidence.
(4) Other sources that do not answer this question.
- BDA-13 puts the BDA Commissioner on the Greater Bengaluru Authority's board. That is the reverse direction.
- BDA-06 (KTCP Act s.4C) is not BDA's board clause.
- BDA-05 (the KTCP amendment bill) may move planning for the Greater Bengaluru Area to the Greater Bengaluru Authority. Its commencement is unconfirmed.
What the team should check:
- the latest BDA board notification under s.3(6), with each member's category;
- whether councillors of the new City Corporations elect the s.3(3)(l) members;
- whether those seats are now filled by Administrator-nominated officers.
If an official source confirms that sitting elected councillors hold the two voting seats, the top band (5) would fit on the Act's text. The BDA Act text here is the PRS secondary copy.
Quote: "(l) two persons elected by the councillors of  the Bangalore  City Corporation from among themselves in the prescribed manner : Provided that during the period of supersession of the Corporation or where any Administrator has been appointed, the two persons shall be nominated by the Administrator from among the  officers of the Corporations."
"Score" left blank: the Citation Sheet doesn't decide it.</t>
  </si>
  <si>
    <t xml:space="preserve">Board's Report – Corporate Governance Report</t>
  </si>
  <si>
    <t xml:space="preserve">Board of Directors / Constitution of the Board (summarising the Articles of Association)</t>
  </si>
  <si>
    <t xml:space="preserve">Annual Report FY2020-21, printed p.45-46 (PDF p.47-48); board list as on 31.03.2021 at printed p.46 and 49</t>
  </si>
  <si>
    <t xml:space="preserve">47</t>
  </si>
  <si>
    <t xml:space="preserve">AI (low confidence), from Step 2 answer (Partially Answered) and BMRCL-09: I left the Score blank because the Citation Sheet cannot show that the ULG is absent from BMRCL's board, and only that absence would support a 0. Also, this task did not include the question text, the Detailed Methodology or the rubric bands for DPG2a. I have assumed from the Step 2 answer that DPG2a asks whether the city government (BBMP in the earlier era; the GBA and its City Corporations now) is represented on BMRCL's board, so the rubric bands need checking.
What the Sheet shows:
(1) BMRCL-09 (FY2020-21, BBMP era) says the board is set by the Articles of Association: 3 to 15 directors, either whole-time functional directors or part-time directors 'nominated by the Promoter Government(s)'. GoI and GoK each nominate 5 directors.
(2) The board as on 31.03.2021 (printed p.46 and 49) had 12 directors: 5 GoI nominees, 5 GoK nominees (counting the Chairman and the MD), and 2 whole-time directors. The Step 2 caveat about M. Nagaraj is resolved on printed p.2 (Board of Directors page): he is 'Director (Corporate Planning), Housing &amp; Urban Development Corporation Limited (HUDCO)' and a GoI nominee, not a BBMP or GBA person. The GoK nominees are ACS/Principal Secretary-level officers from UDD, Finance, the Development Commissioner's office and the CM's office. None is a BBMP official or an elected councillor.
(3) The city-government side runs the other way. Under the GBA Act (BMRCL-02, Act 36 of 2025), BMRCL's MD sits on the GBA under s.9(3)(j) and on its Executive Committee under s.13(1)(j). Under s.14(4) the GBA can issue binding directions to BMRCL. s.14(4) requires only BESCOM and BMTC, not BMRCL, to write the GBA's role into their Memorandum of Association. None of this gives the city government a seat on BMRCL's board. Supervision and direction powers are not board representation.
(4) BMRCL-04 (Metro Railways O&amp;M Act 2002) and BMRCL-06 (Companies Act 2013) contain no BMRCL board-composition provision naming any local body.
Why a 0 is not justified: the Articles of Association, which actually set the board's composition, are not in the Sheet; they are known only through the annual report's summary. The only board list is from FY2020-21 (BBMP era), so it is historical. No GBA-era board list (FY2024-25 or later) is in the Sheet. Everything available points towards the no-representation band, but a person should obtain BMRCL's Memorandum and Articles of Association and a current board list, check the DPG2a rubric, and then score. A 0 looks likely if those confirm the picture.
Quote: "Both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
"Score" left blank: the Citation Sheet doesn't decide it.</t>
  </si>
  <si>
    <t xml:space="preserve">Annual Report 2022-23 (English part)</t>
  </si>
  <si>
    <t xml:space="preserve">Section 3 'Composition of the Authority and its Executive Committee'</t>
  </si>
  <si>
    <t xml:space="preserve">p.10</t>
  </si>
  <si>
    <t xml:space="preserve">AI (low confidence), from Step 2 answer (Partially Answered) and BMRDA-03: I left the score blank. The Citation Sheet does not contain the evidence needed to place this in a band.
What BMRDA-03 (Annual Report FY 2022-23, BBMP era) says:
(a) Authority: the Act lets the Government nominate 'representatives of the Local Authorities from the Region' to the Authority. All those nominated seats have been vacant since July 2005.
(b) Executive Committee: 'the Mayor of Bangalore' is a member.
(c) Voting: the report says nothing about whether either seat has a vote.
The report's summary also suggests that local-authority representation on the Authority is the Government's choice (its wording is 'provides for nomination by the Government'). It is not shown to be a guaranteed ULG seat.
My check of the Step 2 answer: it matches the source. I found nothing else in the Sheet.
What is missing:
(1) The composition section of the BMRDA Act, 1985 (Karnataka Act 39 of 1985). Its PDF is only linked from BMRDA-13 and BMRDA-05; the text is not in the Sheet.
(2) The BMRDA Regulations 1996 and 1999. These are also only linked from BMRDA-13 and not readable here.
(3) A current list of members of the Authority and of the Executive Committee.
(4) Whether the Mayor or nominated members can vote.
(5) Whether the 'Mayor of Bangalore' seat passed to the Greater Bengaluru Authority (GBA) or the City Corporation Mayors under the Greater Bengaluru Governance Act, 2024 (BMRDA-10). The excerpts I read do not show this. It is also not shown whether elected Corporation councils now exist.
(6) A methodology question: does the Executive Committee count as the 'governing board', or only the Authority?
Why not 5: there is no evidence that ULG-elected representatives currently sit on the board with votes. The Authority seats are vacant, and the Mayor's seat is on the Executive Committee with voting not stated.
Why not 2.5: voting status and the current position are unknown.
Why not 0: the evidence suggests representation is provided for, and the Act and Regulations were not read. There is no affirmative absence.
This needs human review. Please read the BMRDA Act 1985 composition sections and the 1996/1999 Regulations on bmrda.karnataka.gov.in. As an RTI target, ask the BMRDA Public Information Officer for the current membership of the Authority and the Executive Committee, including voting status.
Quote: "The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
"Score" left blank: the Citation Sheet doesn't decide it.</t>
  </si>
  <si>
    <t xml:space="preserve">Chapter VI – Miscellaneous (also Chapter III – Board's Finance, Accounts and Audit)</t>
  </si>
  <si>
    <t xml:space="preserve">Section 86(1) (also ss.14(5), 17(1)-(3), 25(4)-(5), 86(2)-(3), 87(2)(c),(g))</t>
  </si>
  <si>
    <t xml:space="preserve">s.86(1)</t>
  </si>
  <si>
    <t xml:space="preserve">44</t>
  </si>
  <si>
    <t xml:space="preserve">AI (low confidence), from Step 2 answer (Partially Answered) and BWSSB-02: I left the score blank. I found no provision requiring BWSSB to submit its plans, budgets or annual reports to the city government (the Greater Bengaluru Authority, GBA, or a City Corporation council). But I can't prove the absence across every layer of law, so this is 'not found', not 0.
What I checked:
(1) BWSSB Act 1964 (BWSSB-02, PRS consolidated text with amendments up to Act 29 of 2021). Every document goes to the State Government or the State Legislature only:
- s.17(1),(3): the budget statement goes to the State Government, which lays it before the Legislature.
- s.86(1): the annual report goes to the State Government and is published in the Gazette.
- s.86(2): the activity report, including activities planned for the next year (the nearest thing to a plan), goes to the State Government and is laid before the Legislature.
- s.86(3): statistics and scheme details go to the State Government.
- s.25(4)-(5): audited accounts go to the State Government and the Legislature.
- s.14(5): the budget statement is placed before the Consultative Committee first. That Committee is appointed by the State and is advisory. It is not the city government or its council, even though the State consults the Palike (the old city corporation) when appointing members.
(2) GBA Act 2024, Karnataka Act 36 of 2025 (BWSSB-04, GBA era). I read it through targeted searches:
- s.14(3)-(4): the GBA can coordinate and supervise public authorities, including BWSSB by name, and issue binding directions. That is a power, not a duty on BWSSB to submit anything.
- s.15(5): agencies must assist the GBA when it asks. This is not a document-submission duty.
- s.19(1): periodic reports from public authorities go to the State Government, not the city government.
- s.22(2): the GBA sends its OWN report and budget to the City Corporations. This is not about BWSSB.
(3) GBA (Amendment) Bill 2025 (BWSSB-23): amends only ss.8(2) and 14(1). Nothing relevant.
Why this is not a 0: the Rules made under BWSSB Act s.87 are not in the Citation Sheet. Under s.87(2)(c),(g) those Rules govern the form and particulars of the budget statement and the form and date of the annual report. Under s.14(4)(iv) Rules can also add matters for the Consultative Committee. BWSSB's Regulations and any GBA Rules or Regulations are also missing, and I did not read the GBA Act cover to cover.
For the team to check:
(a) Whether the two Acts alone are enough for affirmative absence. If you accept them as the full relevant stack, all three components (plans, budgets, reports) look like 0 and the total would be 0.
(b) Get and read the BWSSB Rules and Regulations.
(c) BWSSB Act s.14(1) still names the 'Municipal Bruhat Bangalore Mahanagara Palike'. No source in the Citation Sheet shows the GBA or the City Corporations substituted for it.
The full Detailed Methodology text was not in the task input. I relied on the components (plans, budgets, annual reports) and the rule stated in the Step 2 answer: documents sent only to the State or the Legislature do not count.
Quote: "The Board shall, before such date and in such form as may be prescribed by rules, submit to the State Government an annual report upon such matters as may be prescribed by rules, and the State Government shall cause such report to be published in the official Gazette."
"Score" left blank: the Citation Sheet doesn't decide it.</t>
  </si>
  <si>
    <t xml:space="preserve">Chapter IV (Finance, Accounts and Audit) / Chapter V (Miscellaneous)</t>
  </si>
  <si>
    <t xml:space="preserve">Section 32(1); also ss.32(2), 33(4), 35(1)-(3), 44(2)(i) and (l)</t>
  </si>
  <si>
    <t xml:space="preserve">s.32(1) budget goes to the State Government; s.35(2)-(3) annual report goes to the Central and State Governments and is laid before the State Legislature</t>
  </si>
  <si>
    <t xml:space="preserve">22</t>
  </si>
  <si>
    <t xml:space="preserve">AI (low confidence), from Step 2 answer (Partially Answered) and BMTC-02: Score left blank. Nothing I found sends BMTC's plans, budgets or reports to the ULG (the Greater Bengaluru Authority, its City Corporations or their councils), but the sheet does not let me show that such a rule is absent everywhere. A 0 needs that proof.
What I checked:
(1) Road Transport Corporations Act, 1950 (BMTC-02), as amended up to Act 4 of 2005. s.32(1)-(2): the budget goes to the State Government for approval. s.33(4): audited accounts go to the State Government and are laid before the State Legislature. s.35(1): returns go to the State Government. s.35(2): the annual report goes to the Central and State Governments. s.35(3): the report is laid before the State Legislature. None of these mentions the ULG. s.17(2)(f) covers subsidiary corporations, which submit to their parent Corporation or the State Government.
(2) Greater Bengaluru Governance Act, 2024 (Act 36 of 2025) (BMTC-04), GBA era. s.14(4) lets the GBA supervise public authorities and give binding directions. That is a direction power, not a duty for BMTC to submit documents. s.19(1): it is the State Government that may call for periodic reports. s.22(2): the GBA sends its own Annual Report and Budget to the City Corporations. That duty is the GBA's, not the parastatals'.
(3) BMLTA Act, 2022 (BMTC-06): reports and implementation plans go to BMLTA or the State Government. BMLTA is not the ULG.
(4) BMTC Rules and Regulations page (BMTC-20) lists 'KSRTC Rules, 1961' and several KSRTC Regulations.
Why I cannot score 0:
(a) The Karnataka Rules under RTC Act s.44(2)(i) and (l) set the budget and report form and date. These may be the 'KSRTC Rules, 1961' listed on BMTC-20, but that text is not in the sheet.
(b) BMTC's establishment notification and any BMTC Regulations or Memorandum of Association are not in the sheet.
(c) The GBA Act and BMLTA Act were read only as excerpts.
(d) BMTC's legal form is unclear. GBA Act s.14(4) calls it 'Bangalore Metropolitan Transport Corporation Limited' with a Memorandum of Association, so the RTC Act may not be its only governing instrument.
The question's full Detailed Methodology text was not in the task input; I relied on the Step 2 description of it (plans, budgets and reports submitted to the ULG).
What a person should check: if the KSRTC Rules 1961, BMTC's constitution notification, its Regulations, its MoA and the full GBA Act all show no submission to the ULG, the evidence supports 0 (plans 0, budgets 0, reports 0). I agree with the Step 2 answer that the score should stay blank for now.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</si>
  <si>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III (development schemes, s.17); Chapter on finance, accounts and audit (ss.42-47A)</t>
  </si>
  <si>
    <t xml:space="preserve">BDA Act 1976 s.17(2) and (4); ss.42-45; s.47(5); s.47A; s.2(i)</t>
  </si>
  <si>
    <t xml:space="preserve">s.17(2): the scheme notice goes to the Corporation for representations; s.17(4): if the Corporation does not reply, it is deemed to agree; s.44: the budget estimate goes to the Government; s.47(5) and s.47A: audited accounts and reports go to the State Government and the Legislature</t>
  </si>
  <si>
    <t xml:space="preserve">26</t>
  </si>
  <si>
    <t xml:space="preserve">AI (low confidence), from Step 2 answer (Partially Answered) and BDA-02: I left the Score blank. This was a judgement call, explained below.
(1) Full question text not supplied. The task did not give me the question wording, Detailed Methodology or rubric bands for DPG2b. I relied on the Step 2 description of three parts: plans, budgets and annual/performance reports sent to or tabled before the city government (ULG), about 1.67 points each out of 5. A person should check this against the question bank.
(2) Plans: undecided. I checked the source myself. BDA Act s.17(2) says a copy of each development scheme notice 'shall be sent to the Corporation', which may send representations within 30 days. Under s.17(4), silence counts as agreement. Two things stop me crediting this:
- It is a notice of the scheme sent for comment. It is not the plan tabled before the council, and it does not cover the Master Plan. Under the Town Planning Act (KTCP Act, BDA-06), s.9, the Master Plan goes to the State Government.
- s.2(i) still defines 'Corporation' as the 'Corporation of the City of Bangalore' (substituted by Act 34 of 1986). Nothing on the sheet shows the Greater Bengaluru Authority (GBA) or the City Corporations legally replacing it. The GBA Act (BDA-03) s.14(4) gives the GBA a power to direct and coordinate bodies like the BDA. It does not put a duty on the BDA to submit plans, budgets or reports to the GBA or the City Corporations.
The team needs to decide whether s.17(2) earns the plans credit and whether a successor body takes the Corporation's place.
(3) Budgets and reports: not found, not confirmed absent. Under the Act:
- ss.42-43: the budget estimate is laid before and approved by the BDA board.
- s.44: the approved estimate 'shall be submitted to the Government'.
- s.45: supplementary estimates also go to the Government.
- s.47(5): audited accounts and the auditor's report go to the State Government and are laid before the State Legislature.
- s.47A: reports go to the State Government 'in such form and at such intervals as may be prescribed' and are laid before the Legislature.
None of these sends anything to the ULG. But s.47 and s.47A leave form, content and timing to the Rules, and the BDA Rules and Regulations (s.69 and s.70) are not on the Citation Sheet. So I cannot show AFFIRMATIVE ABSENCE, and these two parts cannot be scored 0.
(4) Other sources checked: BDA-02 in full via relevant passages; BDA-03 (GBA Act: s.14(4), s.19, s.21-22); BDA-06 (KTCP Act: s.9, s.68B-68D, s.4H); BDA-05 (2025 KTCP amendment bill, which would make the GBA the planning authority inside the Greater Bengaluru Area; whether it was enacted and has come into force is not verified); BDA-04 and BDA-13 (GBA amendment bills). I found no duty on the BDA to submit plans, budgets or reports to the GBA or the City Corporations.
(5) If the team confirms that s.17(2) counts, that the successor body takes the Corporation's place, and that the Rules have no ULG submission requirement, the likely score is 1.67. That is not a whole number, so the team must also check the rubric bands (possible SCALE-MISMATCH or RUBRIC-GAP).
(6) All legal texts on the sheet are secondary copies from PRS. The BDA Act copy is as amended up to Act 42 of 2026.
RTI target: BDA's Public Information Officer or the Urban Development Department, Government of Karnataka. Ask for the current BDA Rules on budget estimates and s.47A reports, and any order directing the BDA to send plans, budgets or reports to the GBA or the City Corporations.
Quote: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
"Score" left blank: the Citation Sheet doesn't decide it.</t>
  </si>
  <si>
    <t xml:space="preserve">Section 14(4) (also ss.19(1), 21, 22(2) read)</t>
  </si>
  <si>
    <t xml:space="preserve">AI (low confidence), from Step 2 answer (Partially Answered) and BMRCL-02: Score left blank. The sources read show no duty for BMRCL to submit plans, budgets or reports to the city government. They do not prove that no such duty exists.
What the sources say (I checked them against Step 2):
(1) GBA Act s.14(4) [BMRCL-02]: the Greater Bengaluru Authority (GBA) can integrate and supervise BMRCL ('Bengaluru Metro Rail Corporation Limited' in the Act) and issue binding directions to it. That is a power to give directions, not a standing duty to submit plans, budgets or annual reports. The Act tells only BESCOM and BMTC to amend their Memorandum of Association; BMRCL is not named in that sentence.
(2) GBA Act s.19(1): 'the Government' (the State, not the city government) may call for periodic reports.
(3) GBA Act ss.21 and 22(2): these concern GBA's OWN budget and annual report going to the Government and the City Corporations, not BMRCL's.
(4) GBA Act s.15(5): agencies must assist GBA when it asks. That is not a duty to submit documents.
(5) Companies Act s.394 [BMRCL-06]: the annual report goes to Parliament and the State Legislature, not the city government.
(6) Metro Railways (Operation and Maintenance) Act ss.12 and 46 [BMRCL-04]: reports go to the Central Government.
(7) Town and Country Planning Act [BMRCL-07] and BMLTA Act [BMRCL-08]: their reporting duties are not on BMRCL.
Why no 0: a 0 needs proof of absence across all of BMRCL's instruments. These are missing from the Citation Sheet: BMRCL's Memorandum and Articles of Association, any Rules or Regulations under the GBA Act, the Metro Railways (Construction of Works) Act 1978, and any Karnataka government order or GBA direction under s.14(4) requiring BMRCL to submit documents. Missing evidence is 'not found', not 'absent'.
Other gaps:
- RUBRIC: the question's band definitions were not given in this task, so I could not check whether 0–5 maps to the plans/budgets/annual-reports parts. A person should confirm against the question bank.
- PERIOD: the GBA Act copy is the PRS secondary text of Kar. Act 36 of 2025 (GBA era). Amendments are not verified; the 2025 Amendment Bill [BMRCL-03] changes only ss.8(2) and 14(1).
- NAME: the Act says 'Bengaluru Metro Rail Corporation Limited', while BMRCL's annual report [BMRCL-09] says 'Bangalore'. The team should confirm these are the same entity.
- ELIGIBILITY: whether BMRCL counts as a parastatal (it is a company) is still pending team confirmation.
If the missing instruments are added and are also silent, a 0 would be supported.
RTI targets:
- PIO, BMRCL: current Memorandum and Articles of Association, and any orders requiring BMRCL to submit to GBA or the City Corporations.
- PIO, GBA: any directions issued to BMRCL under s.14(4).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
"Score" left blank: the Citation Sheet doesn't decide it.</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</si>
  <si>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</si>
  <si>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</si>
  <si>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</si>
  <si>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12</t>
  </si>
  <si>
    <t xml:space="preserve">AI: left for a person. Step 2 found no evidence (Insufficient Evidence). Source needed: The full current text of the BMRDA Act, 1985 (Karnataka Act 39 of 1985), as amended: its structure-plan approval, budget, accounts/audit and annual-report sections. Also any Rules under it, the BMRDA Regulations 1996/1999 and the 2000 Amendment, preferably official copies from the Karnataka law department / e-Gazette or BMRDA's 'Acts and Rules' page. These would show whether BMRDA must submit or table its structure plan, budget or annual report before the GBA or City Corporation councils. A gazette notification on whether the GBA or City Corporations replace BBMP / 'Corporation of the City of Bangalore' in the BMRDA Act would also help.</t>
  </si>
  <si>
    <t xml:space="preserve">ENTER A NUMBER 0 TO 10</t>
  </si>
  <si>
    <t xml:space="preserve">Press Release page (bwssb.karnataka.gov.in) – 'Water Related Press Release' table</t>
  </si>
  <si>
    <t xml:space="preserve">Entry Sl.No 1</t>
  </si>
  <si>
    <t xml:space="preserve">Press Release date 27.07.2026, with a downloadable PDF (uploads/shutdown31_1785306237.pdf)</t>
  </si>
  <si>
    <t xml:space="preserve">AI (medium confidence), from Step 2 answer (Answered — Verified Source) and BWSSB-25: I score 10, the top band. My reading is that the top band needs three things: the site exists, it opens without error, and it has dated content from the last 12 months. I checked each one against the Citation Sheet.
(1) The site exists and is official. It is on bwssb.karnataka.gov.in, which is a gov.in domain. The footer of both BWSSB-01 and BWSSB-25 reads 'Content Owned and maintained by: Bengaluru Water Supply and Sewerage Board' and 'Designed, Developed &amp; Hosted by: Centre for e-governance - Webportal karnataka government © 2026'.
(2) The site opens. The saved copies of the homepage (BWSSB-01) and the Press Release page (BWSSB-25) show their full content, not an error page. Step 2 says the same is true of BWSSB-07, -11, -12 and -13.
(3) The site has current content. In the BWSSB-25 table, entry 1 is 'Water Shutdown on 31-07-2026.' dated 27.07.2026 and entry 2 is 'Water Shutdown on 22-07-2026.' dated 20.07.2026. The BWSSB-01 'Latest News' list supports this: 'Water Shutdown on 22-07-2026.' shows as 3 days ago, 'Deployment of Officers/Employees after Re-Organisation 2026' as 2 weeks ago, and 'AMRUT MITRA - Expression of Interest' as 4 weeks ago. These dates fall well inside 12 months of the rules version (September 2026).
I checked the Step 2 answer against both sources and it holds up.
Caveats for the reviewer:
(a) The question's full Detailed Methodology text was not shown in this task. I took the band (10 = exists + opens + updated within 12 months) from the Step 2 notes, so please confirm it against the question bank.
(b) The footer 'Last Updated:' field is blank. Currency therefore rests on dated items, not a site-wide update stamp.
(c) The Citation Sheet has no recorded date of check, no dated screenshot and no web-archive capture, although the question's evidence requirement asks for them. A reviewer should capture these.
(d) The individual download links were not each tested.
(e) Many older press-release entries date from 2021–2023. They do not affect the 12-month test.
Quote: "Water Shutdown on 31-07-2026."</t>
  </si>
  <si>
    <t xml:space="preserve">BMTC official website homepage (mybmtc.karnataka.gov.in)</t>
  </si>
  <si>
    <t xml:space="preserve">'Latest News' box, item 4</t>
  </si>
  <si>
    <t xml:space="preserve">Footer: 'Last Updated: 30-09-2026'; 'Content Owned and maintained by: Bengaluru Metropolitan Transport Corporation, Government of Karnataka'</t>
  </si>
  <si>
    <r>
      <rPr>
        <sz val="11"/>
        <color theme="1"/>
        <rFont val="Calibri"/>
        <family val="2"/>
        <charset val="1"/>
      </rPr>
      <t xml:space="preserve">AI (medium confidence), from Step 2 answer (Answered — Verified Source) and BMTC-01: I checked the Step 2 answer against BMTC-01 and the source supports it. (1) The site exists and is official. It is on a *.gov.in domain (allowed category A). The footer says the content is owned and maintained by BMTC, Government of Karnataka, and that the site is hosted by the state Centre for e-governance. (2) It opens. The saved homepage has a readable body, not an error page or empty shell. (3) It is current. The 'Latest News' box shows dated content. Item 4 is the 3rd additional selection list for Conductor posts, dated 31/03/2026 (I read the Kannada numerals </t>
    </r>
    <r>
      <rPr>
        <sz val="11"/>
        <color theme="1"/>
        <rFont val="Noto Sans"/>
        <family val="2"/>
      </rPr>
      <t xml:space="preserve">೩೧</t>
    </r>
    <r>
      <rPr>
        <sz val="11"/>
        <color theme="1"/>
        <rFont val="Calibri"/>
        <family val="2"/>
        <charset val="1"/>
      </rPr>
      <t xml:space="preserve">/</t>
    </r>
    <r>
      <rPr>
        <sz val="11"/>
        <color theme="1"/>
        <rFont val="Noto Sans"/>
        <family val="2"/>
      </rPr>
      <t xml:space="preserve">೦೩</t>
    </r>
    <r>
      <rPr>
        <sz val="11"/>
        <color theme="1"/>
        <rFont val="Calibri"/>
        <family val="2"/>
        <charset val="1"/>
      </rPr>
      <t xml:space="preserve">/</t>
    </r>
    <r>
      <rPr>
        <sz val="11"/>
        <color theme="1"/>
        <rFont val="Noto Sans"/>
        <family val="2"/>
      </rPr>
      <t xml:space="preserve">೨೦೨೬ </t>
    </r>
    <r>
      <rPr>
        <sz val="11"/>
        <color theme="1"/>
        <rFont val="Calibri"/>
        <family val="2"/>
        <charset val="1"/>
      </rPr>
      <t xml:space="preserve">myself). The file name of its link, media_to_upload1774957936.pdf, contains a Unix timestamp that also falls on about 31 March 2026. Item 7 is the 2026 disability bus pass notice, shown as '9 months ago'. Items 1–3 (Student Pass, Physically Challenged Scheme, Shakthi Scheme) are shown as '4 months ago'. The site was saved on or about 30-09-2026, judging by the footer, so the dated notice falls inside the 12-month window. I relied on the dated notice for currency, not the 'Last Updated' footer, because that footer may be generated automatically by the state template. On that basis I gave the top band of 10, as Step 2 described it: the official site exists, opens without error and was updated within 12 months. CHECK FOR THE REVIEWER: (a) The DPG4 Detailed Methodology and rubric text were not included in my task input. I scored on the band as Step 2 described it, so please confirm the rubric (10 = exists, opens, updated in the last 12 months) and that 10 is the Max Score. (b) The Citation Sheet has no separately recorded check date and no dated screenshot or web-archive capture. Please record both, as the question bank requires. (c) I did not test links or portals one by one. (d) Some sections are stale: the latest Press Releases (BMTC-28) date from 2022, as do the 'Recent Updates' items such as the 2020 balance sheet. That does not change this score but matters for DPG5.
Quote: "</t>
    </r>
    <r>
      <rPr>
        <sz val="11"/>
        <color theme="1"/>
        <rFont val="Noto Sans"/>
        <family val="2"/>
      </rPr>
      <t xml:space="preserve">ನಿರ್ವಾಹಕ </t>
    </r>
    <r>
      <rPr>
        <sz val="11"/>
        <color theme="1"/>
        <rFont val="Calibri"/>
        <family val="2"/>
        <charset val="1"/>
      </rPr>
      <t xml:space="preserve">(</t>
    </r>
    <r>
      <rPr>
        <sz val="11"/>
        <color theme="1"/>
        <rFont val="Noto Sans"/>
        <family val="2"/>
      </rPr>
      <t xml:space="preserve">ಉಳಿಕೆ ಮೂಲ ವೃಂದದ</t>
    </r>
    <r>
      <rPr>
        <sz val="11"/>
        <color theme="1"/>
        <rFont val="Calibri"/>
        <family val="2"/>
        <charset val="1"/>
      </rPr>
      <t xml:space="preserve">) </t>
    </r>
    <r>
      <rPr>
        <sz val="11"/>
        <color theme="1"/>
        <rFont val="Noto Sans"/>
        <family val="2"/>
      </rPr>
      <t xml:space="preserve">ಮೀಸಲಾತಿ ಹುದ್ದೆಯ ಪರೀಕ್ಷಣಾ ಪಟ್ಟಿಯಿಂದ ಆಯ್ಕೆಗೊಳಿಸಿರುವ ೩ ನೇ ಹೆಚ್ಚುವರಿ ಆಯ್ಕೆ ಪಟ್ಟಿ ದಿ</t>
    </r>
    <r>
      <rPr>
        <sz val="11"/>
        <color theme="1"/>
        <rFont val="Calibri"/>
        <family val="2"/>
        <charset val="1"/>
      </rPr>
      <t xml:space="preserve">: </t>
    </r>
    <r>
      <rPr>
        <sz val="11"/>
        <color theme="1"/>
        <rFont val="Noto Sans"/>
        <family val="2"/>
      </rPr>
      <t xml:space="preserve">೩೧</t>
    </r>
    <r>
      <rPr>
        <sz val="11"/>
        <color theme="1"/>
        <rFont val="Calibri"/>
        <family val="2"/>
        <charset val="1"/>
      </rPr>
      <t xml:space="preserve">/</t>
    </r>
    <r>
      <rPr>
        <sz val="11"/>
        <color theme="1"/>
        <rFont val="Noto Sans"/>
        <family val="2"/>
      </rPr>
      <t xml:space="preserve">೦೩</t>
    </r>
    <r>
      <rPr>
        <sz val="11"/>
        <color theme="1"/>
        <rFont val="Calibri"/>
        <family val="2"/>
        <charset val="1"/>
      </rPr>
      <t xml:space="preserve">/</t>
    </r>
    <r>
      <rPr>
        <sz val="11"/>
        <color theme="1"/>
        <rFont val="Noto Sans"/>
        <family val="2"/>
      </rPr>
      <t xml:space="preserve">೨೦೨೬</t>
    </r>
    <r>
      <rPr>
        <sz val="11"/>
        <color theme="1"/>
        <rFont val="Calibri"/>
        <family val="2"/>
        <charset val="1"/>
      </rPr>
      <t xml:space="preserve">"</t>
    </r>
  </si>
  <si>
    <t xml:space="preserve">AI: left for a person. Step 2 found no evidence (Insufficient Evidence). Source needed: A saved, dated capture of BDA's official website (homepage plus a notices/circulars or tenders page) showing: that it opens without error, the exact URL, the date of check, and at least one notice, circular or 'last updated' date within the last 12 months. The site's official status should be proven by a link from a Karnataka government (.gov.in/.nic.in) page or by an official instrument naming it.</t>
  </si>
  <si>
    <t xml:space="preserve">BMRCL Annual Report 2020-21 (Board's Report, Independent Auditor's Report, CAG comments, audited Balance Sheet, P&amp;L and Cash Flow for FY 2020-21), laid before the Karnataka Legislative Council [BMRCL-01]</t>
  </si>
  <si>
    <t xml:space="preserve">Board's Report; Corporate Governance Report</t>
  </si>
  <si>
    <t xml:space="preserve">Corporate Governance Report, item 7 'Company's Website'; Board's Report sections on Risk Management, Vigil Mechanism and BMRC Newsletter</t>
  </si>
  <si>
    <t xml:space="preserve">Annual Report FY 2020-21, pp. 40, 42, 55-56</t>
  </si>
  <si>
    <t xml:space="preserve">42</t>
  </si>
  <si>
    <t xml:space="preserve">AI: left for a person. Step 2 found no evidence (Insufficient Evidence). Source needed: A dated check of BMRCL's official website made during the review: a saved copy or screenshot (or web-archive capture) showing the homepage loads without error, plus at least one dated item (notice, circular, tender, press release or 'last updated' stamp) from the last 12 months. Ideally the site should also be shown to be official through a link from a Karnataka or Government of India .gov.in/.nic.in page (e.g. the Urban Development Department or MoHUA).</t>
  </si>
  <si>
    <t xml:space="preserve">Homepage, 'Department Documents' section</t>
  </si>
  <si>
    <t xml:space="preserve">Acts and Rules link list; Notifications &gt; CA Site Paper Notifications; Proposed Draft Mobility Plan; News and Events / Latest News</t>
  </si>
  <si>
    <r>
      <rPr>
        <sz val="11"/>
        <color theme="1"/>
        <rFont val="Calibri"/>
        <family val="2"/>
        <charset val="1"/>
      </rPr>
      <t xml:space="preserve">Footer ownership line: '</t>
    </r>
    <r>
      <rPr>
        <sz val="11"/>
        <color theme="1"/>
        <rFont val="Noto Sans"/>
        <family val="2"/>
      </rPr>
      <t xml:space="preserve">ವಿಷಯದ ಮಾಲೀಕತ್ವ ಮತ್ತು ನಿರ್ವಹಣೆ </t>
    </r>
    <r>
      <rPr>
        <sz val="11"/>
        <color theme="1"/>
        <rFont val="Calibri"/>
        <family val="2"/>
        <charset val="1"/>
      </rPr>
      <t xml:space="preserve">: </t>
    </r>
    <r>
      <rPr>
        <sz val="11"/>
        <color theme="1"/>
        <rFont val="Noto Sans"/>
        <family val="2"/>
      </rPr>
      <t xml:space="preserve">ಬೆಂಗಳೂರು ಮಹಾನಗರ ಪ್ರದೇಶಾಭಿವೃದ್ಧಿ ಪ್ರಾಧಿಕಾರ</t>
    </r>
    <r>
      <rPr>
        <sz val="11"/>
        <color theme="1"/>
        <rFont val="Calibri"/>
        <family val="2"/>
        <charset val="1"/>
      </rPr>
      <t xml:space="preserve">, </t>
    </r>
    <r>
      <rPr>
        <sz val="11"/>
        <color theme="1"/>
        <rFont val="Noto Sans"/>
        <family val="2"/>
      </rPr>
      <t xml:space="preserve">ಕರ್ನಾಟಕ ಸರ್ಕಾರ</t>
    </r>
    <r>
      <rPr>
        <sz val="11"/>
        <color theme="1"/>
        <rFont val="Calibri"/>
        <family val="2"/>
        <charset val="1"/>
      </rPr>
      <t xml:space="preserve">'</t>
    </r>
  </si>
  <si>
    <t xml:space="preserve">AI (medium confidence), from Step 2 answer (Answered — Verified Source) and BMRDA-05: I propose a score of 10. Max Score is 10 and the score-10 band needs an official website with content from the last 12 months. I checked the Step 2 answer against BMRDA-05 and it holds, with stronger evidence than Step 2 used. (1) The site exists and is official. It is on bmrda.karnataka.gov.in, a .gov.in domain. The footer, as quoted in Step 2, says the content is owned by BMRDA, Government of Karnataka. Step 2 also says BMRDA-03, the Annual Report 2022-23, names this domain as the Authority's website; I did not re-read BMRDA-03 myself. (2) The saved homepage is a full readable page: menus, RTI section, Notifications, Circulars, Change of Land Use Notification, Gallery and Latest News. (3) It has current content, shown in text on the page and not only in file names. The 'Acts and Rules' list has a link titled 'The Karnataka Planning Authorities (Allotment of Civic Amenity Sites within the Bengaluru Metropolitan Region) Rules, 2026', which is a 2026 instrument. 'Latest News' lists 'CA Site Paper Notification' as '2 months ago'. The CA Site Paper Notification links point to newspaper files dated 29-07-2026 (DH, NIE, TOI) and 30-07-2026 (EPaper-Bangalore). There is also a new 'Proposed Draft Mobility Plan' section with links for nine planning authorities. One more point is my own inference and needs checking: the upload IDs in those file names look like Unix timestamps. For example, 1785320210 would be about 29 Jul 2026 and 1790675754 about 29 Sep 2026. If so, the saved copy was made on or after about late September 2026. That fits the '2 months ago' label on the 29 July notification and the rules version (v2, September 2026). On that basis the newest content is well within 12 months of the snapshot. Caveats for the reviewer: the date of check is not recorded in the Citation Sheet; the footer's 'Last Updated' field is blank; there is no dated screenshot or web-archive capture, which the question bank requires; links on the page were not tested; and being reachable by an automated fetch does not prove a person can open the page. Reviewer: please record the date of check and capture a dated screenshot. If the live check finds nothing from the last 12 months, leave the score blank (VERIFICATION-LIMIT); do not score 0. The detailed methodology text for DPG4 was not in my task input. I used the band described in the Step 2 answer (Max 10 = website exists with content from the last 12 months), so please confirm it matches the question bank.
Quote: "The Karnataka Planning Authorities (Allotment of Civic Amenity Sites within the Bengaluru Metropolitan Region) Rules, 2026."</t>
  </si>
  <si>
    <t xml:space="preserve">ENTER A NUMBER 0 TO 1</t>
  </si>
  <si>
    <t xml:space="preserve">AI: left for a person. Step 2 found no evidence (Insufficient Evidence). Source needed: Saved, dated copies of (a) the BWSSB website's Accounts &gt; Budget page and every file linked from it, and (b) the 4(1)(b)(x) Budget PDF from the RTI page. These would show the latest FY covered (FY 2026-27 or 2025-26 needed for credit) and the file type: XLS/XLSX/CSV/ODS/structured HTML, text PDF, or scanned PDF. Another acceptable source is the s.17 annual financial statement as laid before the Karnataka Legislature and posted on the legislature's papers-laid page, if published online in a structured format.</t>
  </si>
  <si>
    <t xml:space="preserve">AI: left for a person. Step 2 found no evidence (Insufficient Evidence). Source needed: Any of these would answer it: (a) BMTC's budget estimates for FY 2026-27 or FY 2025-26, published on its official website or a Government of Karnataka portal; (b) BMTC's RTI s.4(1)(b) proactive-disclosure page showing the budget allocated (item xi); (c) the Annual Administrative Report page and its documents. For each, record the file format (XLS/CSV/structured HTML vs text PDF vs scanned PDF) and keep a dated screenshot.</t>
  </si>
  <si>
    <t xml:space="preserve">AI: left for a person. Step 2 found no evidence (Insufficient Evidence). Source needed: Needed: (1) A saved, dated copy of the BDA website page (or a state government page) carrying BDA's annual budget for FY 2026-27 or FY 2025-26, to settle availability and currency. (2) The budget file itself, with its actual type recorded (XLS/XLSX/CSV/structured HTML, text PDF or scanned PDF), to settle format. If BDA has not published it, an RTI request to BDA for its sanctioned budget would show whether the budget exists but is unpublished.</t>
  </si>
  <si>
    <t xml:space="preserve">AI: left for a person. Step 2 found no evidence (Insufficient Evidence). Source needed: BMRCL's budget for FY 2026-27 or FY 2025-26 (budget estimates or an approved budget) published on BMRCL's official website or a Karnataka/GoI .gov.in portal. Examples: a finance or budget page, the RTI s.4(1)(b) proactive disclosure of budget allocated to each agency, or Karnataka budget papers / MoHUA documents showing BMRCL's budget. Each needs the file type recorded (XLS/CSV/HTML table vs text PDF vs scanned PDF) and a date of access.</t>
  </si>
  <si>
    <t xml:space="preserve">AI: left for a person. Step 2 found no evidence (Insufficient Evidence). Source needed: A saved, dated copy of BMRDA's 'Budget' page and the budget document(s) linked from it, showing which FY they cover (FY 2026-27 or 2025-26 needed) and the file type (XLS/CSV/structured HTML vs text PDF vs scanned PDF). Alternatively, BMRDA's approved budget estimates for FY 2025-26/2026-27 published on an official Karnataka government (.gov.in) page.</t>
  </si>
  <si>
    <t xml:space="preserve">AI: left for a person. Step 2 found no evidence (Insufficient Evidence). Source needed: Any one of these would answer it: a saved, dated copy of BWSSB's 'Accounts' web page (linked from the official website menu) showing audited annual accounts / balance sheet with FY and file type; the Karnataka Legislature papers-laid record of BWSSB's audited accounts and audit report (s.25(5)(a)); or the State Audit and Accounts / CAG audit report on BWSSB's accounts for FY 2024-25 (or FY 2023-24 if one-year lag applies). For the format component, the actual downloaded file (XLSX/CSV/structured HTML vs text or scanned PDF).</t>
  </si>
  <si>
    <t xml:space="preserve">Homepage – 'Recent Updates' block</t>
  </si>
  <si>
    <t xml:space="preserve">Link to storage/pdf-files/bs-eng.pdf</t>
  </si>
  <si>
    <t xml:space="preserve">AI (low confidence), from Step 2 answer (Partially Answered) and BMTC-01: Score left blank. The Detailed Methodology and band rules for DPG5b were not in this task, so I can't apply a rubric. Even with the rubric, the Citation Sheet doesn't support a score.
(1) What was found: on BMTC's official site (mybmtc.karnataka.gov.in), the newest financial statements linked are 'Balance Sheet and Profit and Loss Account for the Year ended 31st March 2020' (FY 2019-20). The English homepage (BMTC-01) and the Kannada homepage (BMTC-12) both link them. That year is far outside the assessment window: FY 2025-26, or FY 2024-25 with the one-year lag.
(2) Why not 0: a 0 needs proof that newer accounts are absent, and we don't have it. The homepage also links an 'Annual Administrative Report' page (/80/annual-administrative-report/en), and that page is not in the Citation Sheet. It may hold later accounts. The FY 2019-20 PDF itself was not saved, so we can't confirm it is audited (e.g. that it carries a CAG certificate) or what file format it is. The Citation Sheet has no CAG audit reports on BMTC and no Karnataka Legislature papers-laid pages.
(3) Other things checked: BMTC-14 (Performance Indicator page) links 'Performance Indicators from 2018-19 to 2025-26 (Estimated)', including 'Financial Performance'. These are summary indicators, some only estimates, not audited financial statements, so they don't count as audited accounts. BMTC-02 (Road Transport Corporations Act, 1950, s.33) requires annual accounts that 'shall be audited annually by the Comptroller and Auditor-General of India or his nominee'. That is a legal duty, not evidence of publication; this is an Implementation question. I searched the whole Citation Sheet for audited accounts or balance sheets for FY 2023-24 and 2024-25 and found none.
I checked the Step 2 answer against the sources and agree that the score should stay blank.
VERIFICATION-LIMIT: the Annual Administrative Report page and bs-eng.pdf were not opened or saved.
Reviewer to-do:
(a) Open the Annual Administrative Report page and bs-eng.pdf, and check whether audited accounts for FY 2023-24, 2024-25 or 2025-26 are published.
(b) Check the audit status and file format of whatever is latest.
(c) Apply the DPG5b methodology. If after a full check FY 2019-20 is still the latest, a currency-based 0 would then be justified.
(d) Take a dated screenshot.
RTI target: BMTC Public Information Officer (Accounts), for the audited annual accounts for FY 2020-21 to FY 2025-26.
Quote: "Balance Sheet and Profit and Loss Account for the Year ended 31st March 2020"
"Score" left blank: the Citation Sheet doesn't decide it.</t>
  </si>
  <si>
    <t xml:space="preserve">AI: left for a person. Step 2 found no evidence (Insufficient Evidence). Source needed: Needed: (a) BDA's official website page where its audited annual accounts or annual report are posted, with the latest FY shown (FY 2024-25, or FY 2023-24 allowing the one-year lag) and the file type (XLSX/CSV/structured HTML, or text vs scanned PDF); (b) Karnataka Legislature records of BDA accounts and audit reports laid under s.47(5), if those are posted online on a .gov.in/.nic.in domain; (c) the BDA Rules that prescribe how accounts are published. Each needs a dated screenshot or archived URL.</t>
  </si>
  <si>
    <t xml:space="preserve">Annual Report, 15th AGM: C&amp;AG comments on the accounts</t>
  </si>
  <si>
    <t xml:space="preserve">C&amp;AG covering letter No. DGCA/A/c/Desk/2020-21/BMRCL/1.59/212 dated 22 October 2021 (p.76). Index: Balance Sheet as at 31 March 2021 at p.81</t>
  </si>
  <si>
    <t xml:space="preserve">78</t>
  </si>
  <si>
    <t xml:space="preserve">AI (low confidence), from Step 2 answer (Partially Answered) and BMRCL-09: I left the score blank because the latest accounts in the Citation Sheet are outside the window, but I cannot show that newer ones don't exist. A person needs to score this.
1. What the sheet holds: The only audited accounts are in BMRCL-09, the 15th AGM Annual Report for the year ended 31 March 2021 (FY 2020-21). The statutory auditor's report is dated 24-08-2021 and the C&amp;AG comments under s.143(6)(b) are dated 22-10-2021. The copy is hosted at kla.kar.nic.in (papers laid before the Karnataka Legislative Council), not on BMRCL's own site. I searched the sheet for audited statements for FY 2024-25 or 2025-26 and found none.
2. The assessment window: This is September 2026 under rules v2. The question needs accounts for FY 2025-26, or FY 2024-25 if the one-year lag applies. FY 2020-21 is outside that window.
3. Why not 0: A 0 needs affirmative absence, and the sheet doesn't allow that. It has no saved copy of BMRCL's website (bmrc.co.in, which the Board's Report itself names as hosting the annual return). It also has no MCA or stock-exchange filings, and no annual reports for FY 2021-22 to FY 2025-26. That makes this 'not found', not absent. VERIFICATION-LIMIT for the agency website.
4. Format: The only copy found is a PDF whose tables extract as plain text, not XLS/CSV/structured data. I could not check what formats BMRCL itself publishes in.
5. Sources I checked: BMRCL-09 (read). BMRCL-02, 03, 04, 06, 07 and 08 are laws (ULG, BMLTA, metro O&amp;M, Companies Act, planning) and contain no published accounts. The Companies Act s.136 duty to put statements on the website is a legal mandate, not evidence that BMRCL does it, so it doesn't count for an Implementation question.
For the person scoring:
- Open BMRCL's official website and look for audited financial statements or annual reports for FY 2024-25 or FY 2025-26, and note their file format.
- Capture a dated screenshot.
- Confirm BMRCL's eligibility as a parastatal. BMRCL-09 describes it as a GoI-GoK joint-venture Government Company under the Companies Act.
Quote: "I forward herewith the ‘Comments’ of Comptroller and Auditor General of India under Section 143(6)(b) of the Companies Act 2013 on the accounts of Bangalore Metro Rail Corporation Limited for the year ended on 31 March 2021."
"Score" left blank: the Citation Sheet doesn't decide it.</t>
  </si>
  <si>
    <t xml:space="preserve">AI: left for a person. Step 2 found no evidence (Insufficient Evidence). Source needed: BMRDA's audited annual statement of accounts (income and expenditure, balance sheet, with the auditor's certificate or audit report from the State Audit and Accounts Department) for FY 2024-25 or FY 2025-26, published online. It could be on BMRDA's 'Budget and Annual Reports' page or among the Karnataka Legislature's papers-laid documents. The 2023-24 Annual Report PDF linked from the BMRDA home page and the budget page should also be added to the Citation Sheet and read. Record the file type of each (XLSX/CSV/HTML table vs text PDF vs scanned PDF).</t>
  </si>
  <si>
    <t xml:space="preserve">BWSSB RTI page (website)</t>
  </si>
  <si>
    <t xml:space="preserve">'Annual report' table</t>
  </si>
  <si>
    <t xml:space="preserve">Row 1, labelled '2022-23'. Rows 2-3 are labelled '2019' and '2017' (HTML pages)</t>
  </si>
  <si>
    <t xml:space="preserve">AI (low confidence), from Step 2 answer (Partially Answered) and BWSSB-12: I left the score blank. The Citation Sheet can't decide it either way, so a person needs to score it. What the sheet shows: BWSSB's RTI page (BWSSB-12, undated capture) has a table headed 'Annual report'. Its newest item is labelled '2022-23' and links to rti-YearlyReport-PROSec.pdf. The older items are labelled '2019' and '2017' and link to HTML pages. The same page also lists 'RTI-Annual Report 2021-22' (YearlyReport-2021-22.PDF) and RTI Act annual reports for 2020-21 from individual divisions. These are yearly returns under the RTI Act, not the Board's annual report. Why I didn't score: (1) The task did not include DPG5c's Detailed Methodology and rubric bands, so I can't map the evidence to a number between 0 and 1 (RUBRIC-GAP / needs confirmation). (2) None of the linked files is in the Citation Sheet: not the 2022-23 PDF, and not the 2019 or 2017 pages. So it isn't known whether the 2022-23 item is the Board's annual report under s.86 of the BWSS Act or just an RTI yearly return from the Public Relations Office section, which its file name 'PROSec' suggests. Its financial year and format (searchable PDF or scan) are also unknown. (3) A score of 0 needs proof of absence, and that isn't shown. I checked BWSSB-12 (RTI page) and BWSSB-01 (home page menus, where I found no separate Annual Report entry), and searched the whole sheet for 'annual report 2023-24 2024-25'. Nothing newer than 2022-23 turned up. But the Karnataka Gazette (where s.86(1) says the report shall be published) and the Legislature's papers-laid records (s.86(2)) are not in the sheet. So 'not found' does not mean the report is absent. VERIFICATION-LIMIT: the linked files have not been opened. BWSSB-02, s.86 (the 'shall' duty to report and publish), is background only and is not evidence that a report is published online. For the reviewer: (a) open rti-YearlyReport-PROSec.pdf and confirm whether it is the s.86 annual report, which FY it covers, and whether it is searchable; (b) confirm which FY counts as the latest report due in September 2026; (c) check the Karnataka eGazette and the Legislature's papers-laid records for reports after 2022-23; (d) take a dated screenshot.
Quote: "[https://bwssb.karnataka.gov.in/storage/pdf-files/rti-YearlyReport-PROSec.pdf] view"
"Score" left blank: the Citation Sheet doesn't decide it.</t>
  </si>
  <si>
    <t xml:space="preserve">AI: left for a person. Step 2 found no evidence (Insufficient Evidence). Source needed: A saved, dated copy of the BMTC 'Annual Administrative Report' page and the reports it links to. That would show (a) the latest FY covered, ideally 2024-25 or 2025-26 as the latest report due, and (b) the file format: searchable or text PDF versus scanned or image-only PDF. A copy of BMTC's annual report as laid before the Karnataka Legislature under RTC Act s.35(3) would also help, if it is published online.</t>
  </si>
  <si>
    <t xml:space="preserve">AI: left for a person. Step 2 found no evidence (Insufficient Evidence). Source needed: One of these would answer it: BDA's latest annual report, or its audited accounts and administration report, taken from BDA's official website or a Karnataka government site, with the financial year it covers and its file type (searchable or scanned PDF). Alternatively, the Karnataka Legislature list of papers laid showing BDA's s.47A report with a link to the document. The prescribed BDA Rules setting the report's due date would also help fix the period allowed.</t>
  </si>
  <si>
    <t xml:space="preserve">Notice of 15th AGM – Notes</t>
  </si>
  <si>
    <t xml:space="preserve">Note 1 (p.8 of PDF)</t>
  </si>
  <si>
    <t xml:space="preserve">8</t>
  </si>
  <si>
    <t xml:space="preserve">AI (low confidence), from Step 2 answer (Partially Answered) and BMRCL-09: Score left blank because the Citation Sheet only has an annual report that is out of date. That is not proof the current report is missing. (1) What the sheet holds: the only annual report is BMRCL-09. It covers FY 2020-21 (year ended 31 Mar 2021) and was put to the 15th AGM on 17 Nov 2021. It is a paper laid before the Karnataka Legislature, hosted on kla.kar.nic.in. Under the Sept 2026 rules version the current report would be FY 2025-26, or FY 2024-25 if that is the latest one due. FY 2020-21 is about four years too old to count as current. (2) No affirmative absence: I searched the whole sheet for reports from 2021-22 to 2024-25 and found none. BMRCL-02, -03, -04, -06, -07 and -08 are legal texts and none is an annual report. But BMRCL's own website (www.bmrc.co.in, the investor or annual-report page) is not in the Citation Sheet. Not finding a later report there is a VERIFICATION-LIMIT, not a negative finding, so a 0 is not allowed. (3) Format: the English body of the FY 2020-21 PDF has a text layer you can extract. That covers the Board's Report, the Independent Auditor's Report, the C&amp;AG comments and the financial statements. Pages 1-2 and 128-143 are image-only, and the Kannada part from p.144 comes out as garbled text because of a legacy font. This suggests a downloadable, searchable PDF, but it says nothing about the current report. The detailed methodology for DPG5c was not given in this task, so I could not apply its bands or confirm whether a copy hosted by the legislature counts. A person should: (a) open bmrc.co.in, or the Karnataka Legislature papers-laid pages, to find the FY 2024-25 or FY 2025-26 annual report and capture a dated screenshot; (b) check whether it is a searchable, downloadable PDF; (c) confirm whether a copy hosted only by the legislature counts as 'publicly available' for this parastatal.
Quote: "In accordance with the relevant MCA Circulars, provisions of the Companies Act, 2013, the 15th Annual General Meeting of the Company is being held through VC/OAVM."
"Score" left blank: the Citation Sheet doesn't decide it.</t>
  </si>
  <si>
    <t xml:space="preserve">Official BMRDA website, English home page</t>
  </si>
  <si>
    <t xml:space="preserve">Annual Report FY 2022-23 (English part begins p.10), laid on the Table of the Karnataka Legislative Council</t>
  </si>
  <si>
    <t xml:space="preserve">page 10</t>
  </si>
  <si>
    <t xml:space="preserve">AI (low confidence), from Step 2 answer (Partially Answered) and BMRDA-03: Score left blank because the Citation Sheet cannot decide it.
(1) What the evidence shows. I checked the Step 2 answer against the sources and it holds up. BMRDA-03 is BMRDA's Annual Report for FY 2022-23 (01-04-2022 to 31-03-2023), a PDF hosted on kla.kar.nic.in. The English pages (from p.10) extract as clean text. The Kannada pages (pp.1-9 and the annexures) are in a legacy non-Unicode font and come out garbled. Pages 20-36 return no text at all, so they may be scanned images. That makes the format only partly searchable.
(2) VERIFICATION-LIMIT. BMRDA-05, the agency homepage saved with dates up to 2026, links to 'Budget and Annual Reports' (https://bmrda.karnataka.gov.in/40/budget-and-annual-reports/en) and to an 'Annual Report' file named '2023-24 Anual Report.pdf'. Neither page was saved in the sheet. I cannot confirm the 2023-24 report's contents, its format, or whether any report for FY 2024-25 or 2025-26 exists. This is a limit on what I could check, not a negative finding.
(3) Currency. The assessment is dated September 2026, so the report for FY 2024-25, and possibly FY 2025-26, would normally be the latest one due. The BMRDA Act 1985 is linked on the homepage, but its text (and any annual-report deadline in it or in the Regulations) is not in the sheet. So I cannot say which report was 'latest due'. KTCP Act s.68D (BMRDA-08) applies to Planning Authorities, not to BMRDA.
(4) No detailed methodology or band breakdown for DPG5c came with this task. I therefore cannot tell how the 0-1 score splits between availability/currency and format, and I have not created bands myself (RUBRIC-GAP).
A 0 would need proof of absence, which the sheet cannot give. A positive score would need confirmation that a report for the latest due FY is online.
For the human scorer:
- Open the BMRDA Budget and Annual Reports page and the 2023-24 PDF, and check whether 2024-25 or 2025-26 reports are posted.
- Confirm the annual-report deadline under the BMRDA Act/Regulations.
- Confirm whether a report hosted on the Legislature's site counts as 'publicly available online'.
- Apply the DPG5c rubric bands for searchable versus scanned format.
Quote: "Annual Report of Bangalore Metropolitan Region Development Authority for the year 2022-2023 [01-04-2022 to 31-03-2023]"
"Score" left blank: the Citation Sheet doesn't decide it.</t>
  </si>
  <si>
    <t xml:space="preserve">AI: left for a person. Step 2 found no evidence (Insufficient Evidence). Source needed: Any of these would answer it: a saved, dated copy of a BWSSB official web page that publishes Board meeting minutes or proceedings from FY 2024-25 or FY 2025-26, with each document's date and file type (searchable PDF, HTML or DOC, versus scanned or image-only); or the BWSSB RTI s.4(1)(b)(viii) statement saying whether Board minutes are public and where; or a dated screenshot showing no such page exists.</t>
  </si>
  <si>
    <t xml:space="preserve">AI: left for a person. Step 2 found no evidence (Insufficient Evidence). Source needed: Copies, saved during the research step, of the BMTC website pages most likely to carry Board minutes: the RTI Section 4(1)(b) proactive-disclosure page, Circulars, Sitemap and 'More about BMTC'. Also any BMTC Board of Directors meeting minutes or proceedings published for FY 2025-26 or FY 2026-27, with the file type recorded (searchable PDF/HTML/DOC or scanned). Failing that, an RTI reply giving the dates of Board meetings and whether minutes are published.</t>
  </si>
  <si>
    <t xml:space="preserve">AI: left for a person. Step 2 found no evidence (Insufficient Evidence). Source needed: Pages from BDA's official website (e.g. a board-meeting or proceedings page, or its RTI section 4(1)(b) proactive-disclosure page) fetched this session that show at least one set of BDA board minutes from FY 2025-26 or FY 2026-27, with the date of the meeting and the file type (searchable PDF, HTML or DOC vs scanned image). The page must be shown to be official, e.g. via a link from a karnataka.gov.in page. Also a dated screenshot or archived URL of each document. The BDA Regulations under s.70(1)(a) would show how meetings are run, but they could not prove publication.</t>
  </si>
  <si>
    <t xml:space="preserve">AI: left for a person. Step 2 found no evidence (Insufficient Evidence). Source needed: Pages saved from BMRCL's official website: a Board meetings, disclosures or proactive disclosure (RTI s.4(1)(b)) page listing minutes of Board of Directors' meetings, with dated documents from the current or immediately preceding FY. Also needed: the file type of each document (searchable PDF/HTML/DOC versus scanned image), the date of access, and screenshots. Alternatively, a fully read website section showing no minutes are posted, which would support a documented 0.</t>
  </si>
  <si>
    <t xml:space="preserve">AI: left for a person. Step 2 found no evidence (Insufficient Evidence). Source needed: Three things would answer this: (a) a dated, saved copy of the BMRDA website section or sitemap showing whether minutes or proceedings of Authority or Executive Committee meetings are published, ideally the latest minutes for FY 2024-25 or FY 2025-26, with their file format (searchable PDF/HTML/DOC versus scanned image); (b) the BMRDA RTI s.4(1)(b) proactive-disclosure document for the current period, if it carries minutes or decisions of board meetings; (c) failing those, a written statement from BMRDA on whether it publishes board minutes.</t>
  </si>
  <si>
    <t xml:space="preserve">BWSSB website &gt; Organization Chart page</t>
  </si>
  <si>
    <t xml:space="preserve">Organization Chart download table, Sl. No. 2 ('Re-Organisation Chart 2026') and Sl. No. 3 ('OM-Deployment of Officers/Employees after Re-Organisation 2026')</t>
  </si>
  <si>
    <t xml:space="preserve">AI (low confidence), from Step 2 answer (Partially Answered) and BWSSB-11: I left the score blank because the Citation Sheet doesn't let me check every part of the question. This is a VERIFICATION-LIMIT, not a finding that the chart is missing.
What the sources show:
(1) BWSSB-11 is the Organization Chart page on BWSSB's own site (bwssb.karnataka.gov.in). It lists a 'Re-Organisation Chart 2026' PDF, the 2026 deployment OM, Annexures 1 and 2, a 2026 FA-section re-organisation page, and older charts from 2020 and 2016. The 2020 and 2016 charts are historical.
(2) BWSSB-01 and BWSSB-16 are homepage captures. Both show the 2026 deployment item as posted '2 weeks ago', and 'Water Shutdown on 22-07-2026' as '3 days ago'. That puts the capture around late July 2026, in FY 2026-27. The 2026 re-organisation documents therefore fall in the current or immediately preceding FY.
Why the score stays blank:
- None of the documents themselves is in the Citation Sheet: not the 2026 chart PDF, the OM or the annexures. So I can't confirm their content, exact date, or whether they show identifiable posts and officials.
- I also can't tell whether the chart is searchable text or a scanned image. That leaves the format/accessibility part of the score undetermined.
- The only other chart in the sheet is in BWSSB-12 (RTI page): '4 (1) (b) i - Administrative Organization Chart'. It is an undated .jpg and its content wasn't read.
- Step 2 said Contact Info wasn't in the sheet, but it is (BWSSB-16). However, the BWSSB-16 text I read is a Kannada homepage-style capture with news items and helpline numbers. It isn't a directory of officers, so it doesn't fill the gap.
- I searched the whole Citation Sheet for directory or organisation-chart content and found none.
Step 2's provisional 0.5 for being available and current is plausible, but it rests only on document titles and posting dates. I can't give a partial score while the other part is unknown.
For a reviewer:
- Open the 2026 Re-Organisation Chart PDF linked from BWSSB-11. Confirm that it is dated 2026, shows the current structure with named posts or officials, and is searchable text rather than a scanned image.
- Check whether the Senior Management page, or a text version of Contact Info, gives an HTML directory.
- Then apply the rubric for both parts. Take a dated screenshot.
Quote: "Re-Organisation Chart 2026"
"Score" left blank: the Citation Sheet doesn't decide it.</t>
  </si>
  <si>
    <t xml:space="preserve">BMTC website, Departments page (info-1/Departments/en)</t>
  </si>
  <si>
    <t xml:space="preserve">Departments table, rows 1-16 (department / head post / functions)</t>
  </si>
  <si>
    <t xml:space="preserve">AI (low confidence), from Step 2 answer (Partially Answered) and BMTC-18: SCORE LEFT BLANK. I agree with the Step 2 answer.
PUBLICATION AND FORMAT: Met. BMTC-18 is BMTC's own Departments page on mybmtc.karnataka.gov.in. It is a searchable HTML table of 16 departments, each with the post that heads it and what it does, for example 'Board Secretariat / Board Secretary', 'Chief Accounts Officer/ FA' and 'Chief Personnel Manager'. BMTC-11 is the Officers List page. It links three PDFs: List of Management, List of Officers Working in BMTC and List of Depot Managers Working in BMTC.
CURRENCY: Cannot be decided from the Citation Sheet.
(a) The Departments page has no date of its own.
(b) The only date shown is the footer 'Last Updated: 30-09-2026'. The same footer appears on every BMTC page in the sheet (BMTC-01, -11, -18, -28), so it is a date for the whole site, not for this content.
(c) The three Officers List PDFs are not in the Citation Sheet. Their contents, date and file type (text or scanned) are unverified.
LEAD FOR THE REVIEWER, NOT USED TO SCORE: The PDF file names contain 'updated eng 3107', and the uploads end in suffixes such as '_1785482902'. If that suffix is an upload timestamp, it would point to about 31 July 2026 (FY 2026-27). That matches '3107' meaning 31-07. But this is my own reading of a file name, not a date shown in any document, so I have not counted it as evidence of currency.
No dated organisation chart is in the sheet, and neither is the content of the RTI 4(1)(b) disclosure pages. The legal sources (BMTC-02, -04, -06, -07) are not evidence of whether this information is published.
The detailed methodology text was not given to me beyond what the Step 2 notes say. Based on those notes, this would likely score 1.0 if a person opens the PDFs and confirms they are dated FY 2025-26 or FY 2026-27 and are text PDFs, or that the HTML page is current. A person should open the three PDFs, record their date and file type, and save a dated screenshot. Because I could not open them, this is a VERIFICATION-LIMIT and not a negative finding.
Quote: "Board Secretariat
Board Secretary
Responsible for activities relating to organizing Board Meetings of the corporation"
"Score" left blank: the Citation Sheet doesn't decide it.</t>
  </si>
  <si>
    <t xml:space="preserve">AI: left for a person. Step 2 found no evidence (Insufficient Evidence). Source needed: Any of these would answer it: a dated, saved copy of the organisation chart or officers/staff directory page on BDA's official website; BDA's RTI Act section 4(1)(b) proactive-disclosure document (the parts listing officers' and employees' directory and organisation structure); a BDA annual report or sanctioned-versus-working staff statement for FY 2025-26 or FY 2024-25. For each, the reviewer needs the date of access, the date of the content, and the file type (HTML, searchable PDF, XLS/CSV, image or scanned PDF). BDA's official domain must be shown to be official through a link from a .gov.in or .nic.in page.</t>
  </si>
  <si>
    <t xml:space="preserve">AI: left for a person. Step 2 found no evidence (Insufficient Evidence). Source needed: Needed: a dated screenshot or archived copy of BMRCL's official website organisation chart, 'Who's who' or staff directory page. Or BMRCL's RTI Act s.4(1)(b) proactive-disclosure manual, with its organisation structure and directory of officers and employees, dated FY 2025-26 or 2026-27. Or a recent BMRCL annual report (FY 2024-25 or 2025-26) that describes the current organisational set-up. For each, record whether it is HTML, a searchable PDF, XLS/CSV, or an image-only or scanned file.</t>
  </si>
  <si>
    <t xml:space="preserve">BMRDA website – Contact Us page</t>
  </si>
  <si>
    <t xml:space="preserve">Staff directory table (Name / Designation / Office Number)</t>
  </si>
  <si>
    <t xml:space="preserve">Directory table; page footer 'Last Updated:' is blank</t>
  </si>
  <si>
    <t xml:space="preserve">AI (low confidence), from Step 2 answer (Partially Answered) and BMRDA-06: Score left blank because it cannot be decided from the Citation Sheet. The format half has some support, but nothing shows whether the directory is current.
(1) Format: BMRDA-06 is the Contact Us page at https://bmrda.karnataka.gov.in/page/Contact+Us/en. Its directory is plain HTML text you can search, not an image. It lists 18 posts in columns Name / Designation / Office Number, with unfilled posts marked 'Vacant'. Examples are the Metropolitan Commissioner (Rajendra P Cholan), the Metropolitan Planner and Director (Suma J) and the Additional Metropolitan Commissioner (Maruthi Prasanna B V). On format alone this supports the 0.5 that Step 2 gave provisionally. The full question text and Detailed Methodology were not in this task input, so I could not check the exact wording of the band myself.
(2) Currency: undetermined, so this is a RUBRIC-GAP. The page footer reads 'Last Updated:' with nothing after it. The footer on BMRDA-02, BMRDA-05 and BMRDA-13 is the same. The '© 2026' line is the copyright of the hosting template (Centre for e-Governance), not a date for this content. The home page (BMRDA-05) names the same Metropolitan Commissioner as the directory, but it also carries no date; its news items show only relative dates such as '2 months ago'. The only dated staffing record is the Annual Report 2022-23 (BMRDA-03, s.11 and Annexure-1), which gives the position as on 31.03.2023. It names N.S. Chidananda as Additional Metropolitan Commissioner from 03.03.2023 and J. Suma as Additional Director. The current directory shows different people in these roles, so it was revised at some point after March 2023. Nothing in the Citation Sheet dates that revision to the current or previous financial year.
(3) A 0 is not justified. A directory exists, and an undated web page is a verification limit, not proof that the information is missing.
For the reviewer:
(a) Open the Contact Us page and capture a dated screenshot, as the question bank's evidence rule requires. Also check for a revision date, or confirm one with BMRDA.
(b) Open the 'Organisation chart' PDF linked from the BMRDA-05 home page (https://bmrda.karnataka.gov.in/storage/pdf-files/ORGNenglish.pdf). It is not in the Citation Sheet. Record its date and whether its text is searchable or a scanned image.
(c) Decide whether a contact list of about 18 senior posts counts as the 'current organisational structure'. The sanctioned strength as on 31.03.2023 was 56 posts (BMRDA-03, s.11).
Checked: BMRDA-06, BMRDA-05, BMRDA-02, BMRDA-13 and BMRDA-03 (s.10–11 and Annexure-1), plus a search of the whole Citation Sheet for 'organisation chart staff directory last updated'.
Quote: "Sri. Rajendra P Cholan
Metropolitan Commissioner
080-22255493"
"Score" left blank: the Citation Sheet doesn't decide it.</t>
  </si>
  <si>
    <t xml:space="preserve">About BWSSB (web page, undated)</t>
  </si>
  <si>
    <t xml:space="preserve">Section 'Ongoing Water Supply projects'</t>
  </si>
  <si>
    <t xml:space="preserve">Item 7, Sewerage Works</t>
  </si>
  <si>
    <t xml:space="preserve">AI (low confidence), from Step 2 answer (Partially Answered) and BWSSB-07: Score left blank because the main sources were never captured, so the information is not found. It is not a 0. I checked the Step 2 answer against the source, and BWSSB-07 supports it. The only project information captured is BWSSB-07's 'Ongoing Water Supply projects' section on the About BWSSB page. The page is undated. Most of its items are marked completed ('much of the Project was completed in 2012', '100% work is completed'). Its latest dated references are completion and commissioning targets for 2016, and its proposed works rest on 2011 census figures and 2014-15 rates. That is far outside the window allowed for currency. The live site appears to run to July 2026, so the window would be FY 2025-26 or FY 2026-27. On the format component, the About page is text-readable HTML. I read BWSSB-01 again. The homepage links pages that would decide both components, and none of them is in the Citation Sheet: 'Projects' (/34/projects/en), Engineering 'Projects' (/99/projects/en), 'Vision Document - 2050' (PDF), the Cauvery Stage I-IV pages, 'Cauvery Water Supply Scheme for 110 Villages', 'Achievements' and 'Budget'. The RTI 4(1)(a) 'Used Water Projects' page listed on BWSSB-12 was not captured either. Because these were never captured or read, I cannot show that current plans or project information are absent. A 0 is therefore not allowed, and neither component can be scored. I also searched the Citation Sheet for 'project status 2025 2026 Cauvery Stage V commissioned'. It returned only old BWSSB-07 passages and BWSSB-01 navigation text; BWSSB-25 holds service and shutdown notices, not project status. For the team: capture the Projects pages and the Vision 2050 PDF, with dates, file type (text or scanned) and a dated screenshot, then rescore. If the About page turns out to be the only project disclosure, availability/currency would be 0, with 2016 recorded as the latest date. The question's detailed rubric text was not in the materials given to me, so a reviewer should also confirm how the two components (availability/currency and format) combine into the Max Score of 1.
Quote: "ISPS of 20 MLD at Sarakki &amp; 120 MLD at Agaram are under Progress. The works are planned to be completed in 2016."
"Score" left blank: the Citation Sheet doesn't decide it.</t>
  </si>
  <si>
    <t xml:space="preserve">AI: left for a person. Step 2 found no evidence (Insufficient Evidence). Source needed: Any of these, captured from BMTC's official site and dated FY 2025-26 or FY 2026-27: a major plan document (e.g. a business, fleet or depot plan, an Annual Implementation Plan under BMLTA Act s.25, or the Annual Administrative Report with a projects section); or an ongoing-projects page, table or dashboard (e.g. depot or bus-station construction, e-bus induction status). Also the contents of the Annual Administrative Report and Presentations pages. Each should have its file format recorded (searchable PDF / HTML / XLS versus scanned or image).</t>
  </si>
  <si>
    <t xml:space="preserve">AI: left for a person. Step 2 found no evidence (Insufficient Evidence). Source needed: Two things would answer this. First, dated captures of BDA's official website (domain shown to be official from a gov.in page) with its major plans (e.g. Master Plan or development scheme documents) and an ongoing-projects page or list, for the current or previous FY. Second, a record of the file type of each: searchable PDF vs scanned PDF for plans; HTML table, XLS or CSV vs images for project information. An official BDA annual report or a legislature-tabled report listing ongoing projects could support currency, but it would not prove online availability.</t>
  </si>
  <si>
    <t xml:space="preserve">AI: left for a person. Step 2 found no evidence (Insufficient Evidence). Source needed: Saved, dated copies of BMRCL's official website pages showing major plans and ongoing-project information dated FY 2025-26 or FY 2026-27. Examples: the projects or project-status page, Phase-2/2A/2B/3 progress pages, DPR or plan PDFs, or a project dashboard or table. Each needs a recorded file type (HTML table, XLS/CSV, text PDF or scanned PDF) and a date of access. BMRCL's own domain should be shown to be official through a link from a .gov.in/.nic.in page. A recent BMRCL annual report (FY 2024-25 or later) would show the latest project status, but only the website shows online availability and format.</t>
  </si>
  <si>
    <t xml:space="preserve">Home - Bangalore Metropolitan Region Development Authority (BMRDA) (English home page) [BMRDA-02]</t>
  </si>
  <si>
    <t xml:space="preserve">Official BMRDA English homepage, 'Department Documents' section</t>
  </si>
  <si>
    <t xml:space="preserve">Notifications &gt; Proposed Draft Mobility Plan (links for 9 Local Planning Authorities); also 'GBIT BROCHURE', 'Structure Plan', 'Reports'</t>
  </si>
  <si>
    <t xml:space="preserve">AI: left for a person. Step 2 found no evidence (Insufficient Evidence). Source needed: Saved, dated copies of the plan and project documents BMRDA has posted online, showing their date and whether they are text-readable or scanned. These include the Proposed Draft Mobility Plans for each planning authority, the Structure Plan/Reports PDF, the GBIT brochure and the Land Utilization Plan 2031 / Transport Networks 2031 pages. Also needed: any BMRDA web page or table listing ongoing projects with status for FY 2025-26 or FY 2026-27 (e.g. an annual report for FY 2025-26 posted on the website), and a dated screenshot of each.</t>
  </si>
  <si>
    <t xml:space="preserve">AI: left for a person. Step 2 found no evidence (Insufficient Evidence). Source needed: Any of these would answer the question: BWSSB's annual report or administration report for FY2024-25 or FY2025-26 (s.86 BWSS Act), whether on the BWSSB site, in the Karnataka Gazette or in the Legislature's papers-laid pages; a published service-level benchmark sheet (coverage, per-capita supply, NRW, continuity, metering, cost recovery, complaint redress), for example in a state or GoI SLB publication; a saved copy of the WQMS 'Water Quality Test Report' dashboard showing dated values and whether data can be downloaded; or BWSSB datasets on the state open-data portal in CSV or XLSX. Each needs the date it was accessed and its file format recorded.</t>
  </si>
  <si>
    <t xml:space="preserve">BMTC website – 'BMTC Glance' page (mybmtc.karnataka.gov.in)</t>
  </si>
  <si>
    <t xml:space="preserve">'BMTC at a glance' figures</t>
  </si>
  <si>
    <t xml:space="preserve">Items 1–9: Schedules 6248; Vehicles 6921 (Including EV); Daily Service kms (Lakhs) 12.39; Trips 61740; Everyday Traffic Revenue (Rs. Crores) 7.28; Electric buses under GCC model 1771; Depots 50, Bus stations 48; Staff 28382; Bus Staff Ratio 4.54</t>
  </si>
  <si>
    <t xml:space="preserve">AI (low confidence), from Step 2 answer (Partially Answered) and BMTC-15: I left the score blank. The format part cannot be decided from the Citation Sheet, so no band fits for certain (RUBRIC-GAP / VERIFICATION-LIMIT).
What the sources do show:
(1) Availability and currency. BMTC-15 is a 'BMTC at a glance' page on the official site. It is dated 'As on 25 September, 2026' (FY 2026-27) and shows typed operating figures: schedules, fleet, service km, trips, daily revenue, depots, staff and bus-staff ratio. BMTC-14, which I re-read, is the 'Perfomance Indicator' page. It lists 'Performance Indicators from 2018-19 to 2025-26( Estimated)'. It has a 'Click Here' PDF link for Physical performance and an entry for Financial Performance. The footer says 'Last Updated: 30-09-2026'. So information for the current year and the previous year appears to exist. But the 2025-26 figures are marked 'Estimated', and the glance page has no benchmarks or targets.
(2) Format. The Step 2 answer says the 0.5 band names a 'structured HTML table/dashboard with downloadable data'. The figures on BMTC-15 are readable numbers in HTML. The saved text shows no download option and cannot confirm that they sit in a structured table. The Performance Indicators PDFs linked from BMTC-14 are not in the Citation Sheet. Whether they are text or scanned, and what years of actual figures they hold, is unverified. If they are text (not scanned) PDFs, they may fall into no band, because the 0 band lists only scanned reports and images.
(3) Other sources. I searched the Citation Sheet for downloadable data, CSV/XLS, open data or an annual report from BMTC and found none. BMTC-28 has only a 2022 line-checking report, which is outside the period. A score of 0 is not justified: affirmative absence is not shown, and the website evidence points to some availability.
Note: I worked from the band wording as quoted in the Step 2 answer. The full Detailed Methodology text was not provided to me.
For the reviewer:
(a) Open the Physical and Financial Performance Indicator PDFs from BMTC-14. Check whether they are text or scanned, and whether they hold actual (not estimated) figures for FY 2025-26.
(b) Check whether the BMTC-15 figures are in an HTML table and whether any download exists.
(c) Confirm whether the at-a-glance operating statistics count as 'performance information', and whether 'Estimated' figures meet the currency condition.
(d) Capture a dated screenshot of BMTC-14 and BMTC-15.
If you confirm a structured table with downloadable data, plus currency, the evidence points to 0.5. I cannot assign it now.
Quote: "As on 25 September, 2026"
"Score" left blank: the Citation Sheet doesn't decide it.</t>
  </si>
  <si>
    <t xml:space="preserve">AI: left for a person. Step 2 found no evidence (Insufficient Evidence). Source needed: These sources would answer it: BDA's latest published annual or performance report, or a service-level/KPI dashboard on BDA's official website, dated in FY 2025-26 or 2026-27, saved with an access date and showing the file type (CSV/XLSX/structured HTML vs text or scanned PDF). Failing that, BDA's annual report as tabled in the Karnataka Legislature under BDA Act s.47A, or Sakala service-delivery statistics for BDA services, with a dated, human-readable copy.</t>
  </si>
  <si>
    <t xml:space="preserve">AI: left for a person. Step 2 found no evidence (Insufficient Evidence). Source needed: Pages saved this session (with access dates) that show BMRCL performance information for FY 2025-26 or FY 2026-27. For example: BMRCL's official website pages on ridership, operations, punctuality or service levels; BMRCL's latest annual report (FY 2024-25 or FY 2025-26) from bmrc.co.in or tabled in the Karnataka Legislature; any downloadable dataset (CSV/XLS) or dashboard on BMRCL's site or a state or national open-data portal; any BMLTA service-level benchmark publication covering metro. For each, the file format must be recorded so the format component can be judged.</t>
  </si>
  <si>
    <t xml:space="preserve">BMRDA official website, English home page</t>
  </si>
  <si>
    <t xml:space="preserve">Department Documents &gt; Budget and Annual Reports</t>
  </si>
  <si>
    <t xml:space="preserve">Annual Report link (file name '2023-24 Anual Report.pdf')</t>
  </si>
  <si>
    <t xml:space="preserve">AI: left for a person. Step 2 found no evidence (Human Verification Required). Source needed: Needed: (a) a saved, dated copy of BMRDA's 'Budget and Annual Reports' page and every report listed there, showing whether reports for FY 2024-25, 2025-26 or 2026-27 exist; (b) the content of the linked 2023-24 annual report, to confirm its period and file type; (c) any BMRDA performance or service-level dashboard, or downloadable data (CSV/XLS), on its own site or on Karnataka's open-data or Sakala portals; (d) newer annual reports laid before the Karnataka Legislature.</t>
  </si>
  <si>
    <t xml:space="preserve">Our Services page, 'Consumer Services' section</t>
  </si>
  <si>
    <t xml:space="preserve">Annexure: Citizen Charter for Services</t>
  </si>
  <si>
    <t xml:space="preserve">Service time limits: new or additional connection for residential buildings (not apartments) 14 days; multi-storied buildings 42 days; change of ownership or name 3 working days</t>
  </si>
  <si>
    <t xml:space="preserve">AI (low confidence), from Step 2 answer (Partially Answered) and BWSSB-13: I left the score blank because we cannot yet say whether the charter is current. One correction to the Step 2 answer: it says BWSSB-13 (Our Services) has no charter content, and that is wrong. BWSSB-13, from BWSSB's official site bwssb.karnataka.gov.in, has a 'Consumer Services' section headed 'ANNEXURE: CITIZEN CHARTER FOR SERVICES'. That section is plain web-page text you can select and search, not a scanned image. It lists services (water supply and sanitary connections, change of ownership or name), the documents and fees needed, and time limits: 14 days, 42 days and 3 working days. It says the connection time limits follow the Karnataka Sakala Services Act-2011. BWSSB-12 (RTI page) also links a separate file, 'Citizen charter.pdf', but that file is not in the Citation Sheet. So a charter is published online, and the web-page version on BWSSB-13 is searchable text. That is evidence for the format component; Step 2 says a text version earns 0.5. Availability and currency are still open: the BWSSB-13 charter text has no date, and nothing in the Citation Sheet (no Board resolution, GO or revision date) shows it is the version in force now. Other content on the same page is clearly old: it refers to JBIC-assisted slum work and a first phase covering 96 slums. Also, the full Detailed Methodology for DPG5i was not in my inputs, so I could not check the exact scoring rules. I only had the components described in the Step 2 notes. I did not give a partial 0.5, because that would treat the unknown availability/currency component as 0, and nothing shows it is absent. What a person should check: (1) the DPG5i methodology, including whether a web-page charter counts the same as a text PDF; (2) the date and in-force status of the BWSSB-13 charter and of 'Citizen charter.pdf' (linked on BWSSB-12), including whether the time limits match the current Sakala schedule; (3) whether the PDF is text or a scan. If the charter is confirmed current and an online text version counts for format, the likely score is 1. If it is not current but is in text, the likely score is 0.5. VERIFICATION-LIMIT: the charter PDF was not opened automatically.
Quote: "ANNEXURE: CITIZEN CHARTER FOR SERVICES"
"Score" left blank: the Citation Sheet doesn't decide it.</t>
  </si>
  <si>
    <t xml:space="preserve">AI: left for a person. Step 2 found no evidence (Insufficient Evidence). Source needed: A saved, dated copy of BMTC's Citizen's or Service Charter (a webpage or downloadable document on the BMTC site, or one linked from a Karnataka government page), showing its date or the period it applies to, and whether it is text-searchable or scanned. The BMTC sitemap and RTI 4(1)(b) disclosures would also help, since a charter is often listed there. The Sakala schedule entries for BMTC services would help too, as a related but separate check.</t>
  </si>
  <si>
    <t xml:space="preserve">AI: left for a person. Step 2 found no evidence (Insufficient Evidence). Source needed: Needed: BDA's current Citizen or Service Charter, either as a page on BDA's official website or as a downloadable document. Being on BDA's official domain counts only if a .gov.in or .nic.in page links to that domain. Record the date of access, the charter's date or version, and the file type (HTML, searchable PDF, or scanned/image-only PDF). Also useful: the Karnataka Sakala service-guarantee schedule entry listing BDA services, to help judge whether the charter still applies.</t>
  </si>
  <si>
    <t xml:space="preserve">AI: left for a person. Step 2 found no evidence (Insufficient Evidence). Source needed: BMRCL's current Citizen or Service Charter, opened from BMRCL's official website (proved official by a link from a .gov.in or .nic.in page) or from an official Karnataka or Government of India portal. It should be saved with the date of access and its date, version or FY. The record must also state whether it is an HTML page, a searchable PDF, DOC/DOCX, or a scanned image-only PDF.</t>
  </si>
  <si>
    <t xml:space="preserve">BMRDA official website (bmrda.karnataka.gov.in/english), home page</t>
  </si>
  <si>
    <t xml:space="preserve">INTRODUCTION menu, 'Citizen Charter' link</t>
  </si>
  <si>
    <r>
      <rPr>
        <sz val="11"/>
        <color theme="1"/>
        <rFont val="Calibri"/>
        <family val="2"/>
        <charset val="1"/>
      </rPr>
      <t xml:space="preserve">Link labelled '</t>
    </r>
    <r>
      <rPr>
        <sz val="11"/>
        <color theme="1"/>
        <rFont val="Noto Sans"/>
        <family val="2"/>
      </rPr>
      <t xml:space="preserve">ನಾಗರಿಕ ಸನ್ನದ್ದು</t>
    </r>
    <r>
      <rPr>
        <sz val="11"/>
        <color theme="1"/>
        <rFont val="Calibri"/>
        <family val="2"/>
        <charset val="1"/>
      </rPr>
      <t xml:space="preserve">' (Citizen Charter), next to </t>
    </r>
    <r>
      <rPr>
        <sz val="11"/>
        <color theme="1"/>
        <rFont val="Noto Sans"/>
        <family val="2"/>
      </rPr>
      <t xml:space="preserve">ಪರಿಚಯ </t>
    </r>
    <r>
      <rPr>
        <sz val="11"/>
        <color theme="1"/>
        <rFont val="Calibri"/>
        <family val="2"/>
        <charset val="1"/>
      </rPr>
      <t xml:space="preserve">/ </t>
    </r>
    <r>
      <rPr>
        <sz val="11"/>
        <color theme="1"/>
        <rFont val="Noto Sans"/>
        <family val="2"/>
      </rPr>
      <t xml:space="preserve">ಕಾರ್ಯಗಳು </t>
    </r>
    <r>
      <rPr>
        <sz val="11"/>
        <color theme="1"/>
        <rFont val="Calibri"/>
        <family val="2"/>
        <charset val="1"/>
      </rPr>
      <t xml:space="preserve">/ </t>
    </r>
    <r>
      <rPr>
        <sz val="11"/>
        <color theme="1"/>
        <rFont val="Noto Sans"/>
        <family val="2"/>
      </rPr>
      <t xml:space="preserve">ಸಂಸ್ಥೆಯ ರಚನೆ</t>
    </r>
  </si>
  <si>
    <r>
      <rPr>
        <sz val="11"/>
        <color theme="1"/>
        <rFont val="Calibri"/>
        <family val="2"/>
        <charset val="1"/>
      </rPr>
      <t xml:space="preserve">AI (low confidence), from Step 2 answer (Partially Answered) and BMRDA-05: I left Score blank because of a VERIFICATION-LIMIT. The Citation Sheet does not contain the charter document. The Step 2 answer is supported by the sources. BMRDA's official website links to a Citizen Charter PDF in English on the English home page (BMRDA-05) and in Kannada on the Kannada home page (BMRDA-01, labelled '</t>
    </r>
    <r>
      <rPr>
        <sz val="11"/>
        <color theme="1"/>
        <rFont val="Noto Sans"/>
        <family val="2"/>
      </rPr>
      <t xml:space="preserve">ನಾಗರಿಕ ಸನ್ನದ್ದು</t>
    </r>
    <r>
      <rPr>
        <sz val="11"/>
        <color theme="1"/>
        <rFont val="Calibri"/>
        <family val="2"/>
        <charset val="1"/>
      </rPr>
      <t xml:space="preserve">'). Both file names contain '2020-21'. The score has two parts. (a) Availability and currency (0.5): the charter is linked, but its content, date and validity cannot be checked from the sheet. We don't know whether it is still in force or has been replaced, and '2020-21' appears only in the file name. The methodology does not allow treating a charter as outdated just because of its age if it is still in force. (b) Format (0.5): we don't know whether the PDF is searchable text or a scanned image, or whether it opens at all. Because the website evidence was never opened, I cannot give 0 for either part, and I cannot give credit without seeing the document. What I checked: search_citation_sheet('citizen charter'), which found only the menu links in BMRDA-01, BMRDA-05 and BMRDA-13, plus unrelated hits in BMRDA-10. I also read BMRDA-03 (Annual Report 2022-23), whose section on the website (section 10) lists the site's contents and does not mention a Citizen Charter. Step 2 reported that BMRDA-02, -06, -07, -08, -10, -11 and -12 contain no BMRDA charter. To do: a reviewer should open the English and Kannada charter PDFs and check (1) that they open, (2) the charter's date or validity and whether a newer charter exists, and (3) whether the PDF is searchable text. They should also capture a dated screenshot.
Quote: "[https://bmrda.karnataka.gov.in/storage/pdf-files/CITIZEN CHARTER-2020-21 eng.pdf] Citizen Charter"
"Score" left blank: the Citation Sheet doesn't decide it.</t>
    </r>
  </si>
  <si>
    <t xml:space="preserve">BWSSB official website, Right to information Act page</t>
  </si>
  <si>
    <t xml:space="preserve">List of files under Section 4(1)(b)</t>
  </si>
  <si>
    <t xml:space="preserve">Item 15 (4(1)(b) xvi list of PIOs and first appellate authorities, KANNADA(1).pdf); item 17 (List of Public Information Officers, KM_226_03719.pdf); item 18 (PIO for stores, 20190701_123241.jpg)</t>
  </si>
  <si>
    <t xml:space="preserve">AI (low confidence), from Step 2 answer (Partially Answered) and BWSSB-12: I left the score blank because of a VERIFICATION-LIMIT. This is not a finding that the information is missing.
**What I checked.** BWSSB-12 is the RTI page on BWSSB's official website (bwssb.karnataka.gov.in). Its footer says the content is owned and maintained by the Bengaluru Water Supply and Sewerage Board, and the page carries a © 2026 notice. The page lists and links three PIO items:
- item 15, the 4(1)(b) xvi list of first appellate authorities and PIOs (KANNADA(1).pdf);
- item 17, 'List of Public Information Officers' (KM_226_03719.pdf);
- item 18, 'PIO for stores', a .jpg image whose filename suggests 2019-07-01.
The page itself names no PIO and gives no phone, email or address. It also has no text on RTI fees, how to apply, time limits or appeals. Its 'Last Updated' field is blank.
I also read:
- BWSSB-01 (home page) and BWSSB-16 (Contact Info). Both only link to RTI, RTI 4(1)(a), RTI 4(1)(b), rtionline.gov.in and Karnataka's online RTI portal. Neither shows PIO details.
- BWSSB-07, -11, -13 and -25. Step 2 found only site boilerplate in these.
- BWSSB-02 (the 1964 Act) and BWSSB-04 (the GBA Act). These are laws, not evidence of what the website shows.
Searching the whole sheet for 'Public Information Officer' and for RTI fees and appeals found no PIO details.
**Why I can't score.**
- Availability/currency (0.5): the linked PIO files are not saved in the Citation Sheet. So I can't tell whether they name PIOs, assistant PIOs and appellate authorities with contact details, or whether those officers are still in post.
- Format (0.5): the RTI page is HTML. But the PIO details sit in the linked files, and their format is unknown. Filenames that look like scanner output (KM_226_03719.pdf) and the .jpg stores notice point to possible image-only files. That is only a guess from the filenames, so it can't support a 0.
A 0 needs proof of absence, which I don't have. Giving any credit would mean assuming what the files contain. Both would be guesses.
**I agree with Step 2:** the source supports exactly what Step 2 described.
**For the reviewer:**
1. Open KANNADA(1).pdf and KM_226_03719.pdf from the BWSSB RTI page. Record whether they give PIO, assistant PIO and appellate authority names with contact details, the date of each file, whether the named officers are current, and whether the text is searchable or a scanned image.
2. Check whether the site has any page explaining the RTI procedure.
3. Capture a dated screenshot.
Quote: "4 (1) (b) xvi List of First Appeal, Authority, Public Information Officers"
"Score" left blank: the Citation Sheet doesn't decide it.</t>
  </si>
  <si>
    <t xml:space="preserve">AI: left for a person. Step 2 found no evidence (Human Verification Required). Source needed: Saved copies of (1) BMTC's RTI page and its section 4(1)(b) page, showing the RTI procedure, and (2) the 'List of PIO-APIO-AA' PDF, showing officer names, offices, phone numbers or emails, and the date. Each needs a dated access record and a check of file type: searchable PDF or HTML versus a scanned or image-only file.</t>
  </si>
  <si>
    <t xml:space="preserve">AI: left for a person. Step 2 found no evidence (Insufficient Evidence). Source needed: BDA's official RTI page, or its section 4(1)(b) proactive-disclosure document, from BDA's own domain. That domain must be shown to be official by a link from a .gov.in or .nic.in page. The page or document should name the current PIO/APIO and appellate authority, give their contact details and the RTI filing procedure, and show a date. Record whether it is an HTML page, a searchable PDF or a scanned PDF. A Karnataka government RTI listing of BDA's PIOs would also work.</t>
  </si>
  <si>
    <t xml:space="preserve">AI: left for a person. Step 2 found no evidence (Insufficient Evidence). Source needed: Two things are needed: (a) a dated saved copy of BMRCL's official RTI webpage or proactive-disclosure page under RTI Act Section 4(1)(b), naming the current PIO(s), APIO(s) and First Appellate Authority with valid contact details and the application procedure and fees; (b) the file format of that page or document (HTML, searchable PDF, or scanned/image-only), so the format half can be scored. A dated screenshot or archived URL with the access date is required by the QB evidence rules.</t>
  </si>
  <si>
    <t xml:space="preserve">Annual Report 2022-23 (01-04-2022 to 31-03-2023)</t>
  </si>
  <si>
    <t xml:space="preserve">Section 9, 'RTI Act - Status and Report', p.14; Section 10, 'Website', p.15</t>
  </si>
  <si>
    <t xml:space="preserve">Table of PIOs (s.5(1)), APIOs (s.5(2)) and Appellate Authorities (s.19(1)), listed by section</t>
  </si>
  <si>
    <t xml:space="preserve">AI (low confidence), from Step 2 answer (Partially Answered) and BMRDA-03: I left Score blank because the evidence isn't there yet. This is a VERIFICATION-LIMIT, not a finding that the information is absent.
The Step 2 answer matches the sources.
(1) Annual report (BMRDA-03, pp.14-15, FY2022-23): lists PIOs, APIOs and Appellate Authorities by job title only (e.g. Assistant Metropolitan Commissioner, Deputy Director of T&amp;CP, Accounts Officer). It gives no names, phones or emails. It also covers a past year and is a report, not an RTI webpage. Page 15 says the website holds 'Details of Public Information officers' and s.4(1)(a)/(b) information 'as on 2019-20'.
(2) Website pages (BMRDA-01/02/05/06/12): the menu links to a 'Right To Information' page, an 'RTI ONLINE SERVICES ARE AVAILABLE FOR BMRDA' page, the Karnataka Online RTI portal, 4(1)(a) Parts I-IV and 'RTI 2019-20 4(1)(B)'. The text of none of those pages or PDFs was captured in the Citation Sheet. I re-checked with search_citation_sheet and read_citation on BMRDA-12.
(3) Contact Us page (BMRDA-06): gives names and phone numbers but doesn't say who the PIO, APIO or Appellate Authority is. Matching it to the annual report's titles would be an inference.
So neither component (availability/currency 0.5, format 0.5) can be decided. A 0 can't be given either, because the RTI pages weren't read. That rules out a finding of affirmative absence.
For a person to do: open the BMRDA 'Right To Information' (/12/right-to-information/en) and 'RTI ONLINE SERVICES' (/13/...) pages. Check whether they name the current PIOs/APIOs with working contact details. Record the format (HTML or PDF) and the date. Check whether any disclosure is more recent than 2019-20. Capture a dated screenshot.
Quote: "The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
"Score" left blank: the Citation Sheet doesn't decide it.</t>
  </si>
  <si>
    <t xml:space="preserve">BWSSB homepage, 'News and Events' / 'Latest News' list, item 9; Services menu heading 'Tender'</t>
  </si>
  <si>
    <t xml:space="preserve">BWSSB homepage, 'News and Events' / 'Latest News' list, item 9 (4 weeks ago); 'Tender' heading in the menu</t>
  </si>
  <si>
    <t xml:space="preserve">AI (low confidence), from Step 2 answer (Partially Answered) and BWSSB-01: Score left blank. The Citation Sheet does not show whether BWSSB publishes its tender or contract information, or in what form. The message also did not include DPG5k's question text, Detailed Methodology or rubric bands, so I could not apply a band in any case. What I checked: (1) BWSSB-01, the homepage capture, read in full. It has a 'Tender' heading in the menu, but no link or list was captured under it. It also has these news-feed items: 'AMRUT MITRA - Expression of Interest' (4 weeks ago), 'Corregendum - Regarding Installation of STPs' (One month ago) and 'E bidding' (a PDF, 11 months ago). The linked pages and PDF are not in the Citation Sheet, so I cannot confirm what they contain, whether they are procurement notices, or their exact dates. The footer links to the state e-Procurement portal (eproc.karnataka.gov.in). That is a generic link to the state government portal, not a BWSSB tender or award listing, and the portal is not in the sheet. (2) I searched the whole sheet for 'tender awarded contract procurement'. The only legal hits were BWSSB-04, Greater Bengaluru Governance Act ss.143-144, on tenders and the contract register. Those sections apply to the City Corporation, not to BWSSB, so they say nothing about how BWSSB actually publishes. I agree with Step 2 that none of BWSSB-02, -07, -11, -12, -13, -16, -23 or -25 is a tender or award register. A score of 0 would need proof that nothing is published, and I don't have that. These pages are missing from the sheet, which is a VERIFICATION-LIMIT, not a negative finding. For a reviewer: open the BWSSB 'Tender' menu and the e-procurement portal's listing for BWSSB. Confirm whether tenders and contract awards for the current FY (2026-27) are published, and whether they appear as a searchable table or dataset or only as single PDFs. Open the EOI, STP-corrigendum and e-bidding links to check their content and dates. Capture a dated screenshot. Then apply the DPG5k rubric, checking that its scale matches the Max Score of 1. The capture date of about late July 2026 is inferred from relative labels such as 'Water Shutdown on 22-07-2026' (3 days ago) and should be confirmed.
Quote: "AMRUT MITRA - Expression of Interest"
"Score" left blank: the Citation Sheet doesn't decide it.</t>
  </si>
  <si>
    <t xml:space="preserve">BMTC Tenders</t>
  </si>
  <si>
    <t xml:space="preserve">BMTC Tenders page (https://mybmtc.karnataka.gov.in/info-4/BMTC+Tenders/en)</t>
  </si>
  <si>
    <t xml:space="preserve">Chronological tender list, latest entry dated 23/09/2026</t>
  </si>
  <si>
    <t xml:space="preserve">AI (low confidence), from Step 2 answer (Partially Answered) and BMTC-10: The score is left blank because the format half cannot be decided from the Citation Sheet.
Availability and currency: met on the evidence, worth 0.5. BMTC-10 is BMTC's own Tenders page on karnataka.gov.in. It lists tender notices from the current FY 2026-27. The latest entry is 'TENDER NOTIFICATION NO: 24/2026-27 (e-Procurement Platform): 23/09/2026', which is newer than the 17/09/2026 entry Step 2 relied on. Step 2 missed this entry. There are many other 2026-27 notices from April to September 2026.
Awarded contracts: no award details were found in the sheet. A sheet-wide search for 'contract awarded work order successful bidder' returned only unrelated passages from the Acts. This is not affirmative absence, because the KPPP e-procurement portal, where BMTC's notices say its tenders run, is not in the Citation Sheet.
Format and accessibility: the page is a dated HTML list. Each entry links to a separate PDF notice (one EOI format is a .docx). There is no table, no filters and no CSV/XLS download. The site-wide 'search here' box is described in the Help section but was not tested. This probably fits the 'individual PDFs with no searchable/indexed register' band, which would score 0 for this half. But a 0 needs affirmative absence, and the KPPP portal listing for BMTC was never captured. Whether a numbered, dated link list counts as an 'indexed register' is also a methodology call. The full Detailed Methodology text was not given in this task, so I could not apply it directly. RUBRIC-GAP / needs confirmation.
Likely outcomes:
- If the team confirms a link list is not a register, and KPPP has no searchable BMTC tender/award data: score 0.5.
- If KPPP has a searchable table of BMTC tenders/awards, or the list counts as an indexed register: score 1.
What the team needs to do:
(a) Save BMTC's KPPP portal listing, including any award data.
(b) Confirm whether award information is required for the availability band.
(c) Take a dated screenshot of BMTC-10.
The linked PDFs were not opened, so I can't say whether they are text or scanned.
Quote: "TENDER NOTIFICATION NO: 24/2026-27 (e-Procurement Platform): 23/09/2026"
"Score" left blank: the Citation Sheet doesn't decide it.</t>
  </si>
  <si>
    <t xml:space="preserve">AI: left for a person. Step 2 found no evidence (Insufficient Evidence). Source needed: Dated, saved copies of BDA's tender and award pages are needed. That means BDA's official website tender/notification section (shown to be official via a link from a .gov.in/.nic.in page) or the Karnataka public e-procurement portal filtered to BDA, showing: (a) the date or FY of the latest tender notice and of the latest awarded-contract details (current or previous FY); and (b) the format, i.e. a searchable structured HTML table or register or a CSV/XLS download, versus individual or scanned PDFs. The research step should also note whether BDA publishes award or contract details separately from tender notices.</t>
  </si>
  <si>
    <t xml:space="preserve">AI: left for a person. Step 2 found no evidence (Insufficient Evidence). Source needed: A dated, saved copy of BMRCL's official tenders/procurement webpage, or of the Karnataka public-procurement (e-procurement) portal listing BMRCL tenders and awarded contracts, showing items from FY 2025-26 or FY 2026-27. It should also show the format: a searchable HTML table or e-procurement register, or a CSV/XLS download, as opposed to individual or scanned PDFs. Dated screenshots or archived URLs with the access date are also needed, one for tender notices and one for award details.</t>
  </si>
  <si>
    <t xml:space="preserve">AI: left for a person. Step 2 found no evidence (Insufficient Evidence). Source needed: Dated saved copies of (a) any BMRDA tenders/procurement page on its official website, and (b) a search of the Karnataka state e-procurement portal filtered to BMRDA as the procuring entity, showing tender notices and award details for FY 2025-26 or FY 2026-27 and their format (searchable table vs individual PDFs). Also full saved copies of BMRDA's Notifications and Circulars sub-pages, to confirm whether tenders are posted there.</t>
  </si>
  <si>
    <t xml:space="preserve">Chapter IV (Water Supply); applied to Chapter V (Sewers and Sewerage) by s.82(2)</t>
  </si>
  <si>
    <t xml:space="preserve">Section 59(7)(c), read with Section 82(2)</t>
  </si>
  <si>
    <t xml:space="preserve">s.59(7)(c)</t>
  </si>
  <si>
    <t xml:space="preserve">30</t>
  </si>
  <si>
    <t xml:space="preserve">AI (low confidence), from Step 2 answer (Partially Answered) and BWSSB-02: I left the Score blank because the evidence doesn't settle it. A person needs to confirm the scope question below.
(1) What the Act requires: the Step 2 answer matches the source. In the PRS copy of the BWSSB Act, 1964 (BWSSB-02, p.30), s.59(7)(c) says the Board 'shall make regulations' for 'the hearing and disposal of complaints' from owners or occupiers. Those complaints can only be about licensed plumbers' work: quality, materials, delay and charges. Section 82(2) extends this to drain work. This is a duty ('shall'), but it is narrow. It does not create a grievance channel for the Board's own water supply, billing, sewerage or service failures.
(2) Why I didn't score: the full Detailed Methodology and Notes for scorers for DPG6a were not in the task input. The only band description I have is the Step 2 note ('5 = requires grievance-redressal mechanism (any channel)'). I can't apply that reliably to a mandate this narrow, so this is a RUBRIC-GAP: a person must decide whether a duty to make regulations for complaints about licensed plumbers counts as 'requiring a grievance-redressal mechanism (any channel)'. If it does, the answer would be 5 (medium confidence, since the Act text is PRS-only). If it doesn't, 0 is still not allowed. I can't show the requirement is absent because several sources are not in the sheet: the BWSSB Rules, the Regulations made under s.59(7) and s.88, the Citizen Charter text (BWSSB-12 only links to it), and the Sakala (Karnataka Guarantee of Services) schedule entries for BWSSB.
(3) What I checked: I searched the sheet for 'grievance redressal complaint' and 'citizen charter', and read BWSSB-12. Searching BWSSB-02 for 'complaint' found only s.59(7)(c) and s.111, which is about complaints that start prosecutions. I found nothing on grievances in the s.14 Consultative Committee (advisory only), s.15 (general duties), s.87 (rules) or s.88 (regulations). In BWSSB-04 (GBA Act 2024), s.96(c) lets Assembly Constituency Level Committees receive grievances about 'any authority empowered under this Act'. That is city government law and doesn't name BWSSB, so I didn't count it.
(4) Period: the BWSSB Act text is the PRS republication with amendments up to Act 15 of 2010, with the 2021 amendment appended. I have no official gazette copy.
RTI target: ask the BWSSB PIO for the regulations made under s.59(7)(c) and s.88, and for the current Citizen Charter.
Quote: "(7)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
"Score" left blank: the Citation Sheet doesn't decide it.</t>
  </si>
  <si>
    <t xml:space="preserve">AI: left for a person. Step 2 found no evidence (Insufficient Evidence). Source needed: Any of these would settle the question: a BMTC citizen or service charter; Karnataka Rules or BMTC Regulations requiring a passenger grievance or complaints mechanism (e.g. the full text of the KSRTC/BMTC Rules or Regulations, if any provision covers passenger complaints); or the Karnataka Sakala (service-guarantee) schedule, if it lists BMTC services with a time limit and redress. The BMLTA Act (BMTC-06) should also be checked for any provision that requires transport operators to keep grievance channels.</t>
  </si>
  <si>
    <t xml:space="preserve">Chapter VIII (Miscellaneous)</t>
  </si>
  <si>
    <t xml:space="preserve">Section 62A (inserted by Act 6 of 1993 w.e.f. 10-2-1993)</t>
  </si>
  <si>
    <t xml:space="preserve">s.62A(1)-(3)</t>
  </si>
  <si>
    <t xml:space="preserve">50</t>
  </si>
  <si>
    <t xml:space="preserve">AI (low confidence), from Step 2 answer (Partially Answered) and BDA-02: SCORE LEFT BLANK. I could not decide the score between 0 and 5 from the Citation Sheet.
What the sources show:
(1) BDA Act 1976 (BDA-02). This is a secondary PRS copy, as amended up to Act 42 of 2026, era n/a. The only statutory channel I found for an aggrieved person is s.62A. It lets someone appeal BDA's assessment, levy or imposition of the s.28B tax on lands or buildings. The appeal goes to an Appellate Authority that the Government notifies. Under s.62A(3) that authority must hear both parties and its decision is final.
- This is narrow. It covers only the s.28B tax.
- It is run by a Government-notified authority, not by BDA.
- It does not cover BDA's main work: schemes, allotments, layouts and buildings.
- s.63 (revision) is a discretionary 'may' power of the Government or the Authority, not a channel for citizens. s.63(3) only requires a chance to make a representation before an adverse order.
- s.13 (Commissioner's duties), s.70 (regulations) and s.71 (bye-laws) say nothing about grievances.
(2) Greater Bengaluru Governance Act 2024 (BDA-03), GBA-era. Under s.95, the Government constitutes an Assembly Constituency Level Consultative and Co-ordination Committee. Under s.96(c), that committee shall 'Receive any grievances from the general public relating to the functioning of any authority empowered under this Act'. This sits on the city-government side and is a duty of the committee, not of BDA. s.2(3) defines 'Authority' as the Greater Bengaluru Authority. Nothing shows BDA is an 'authority empowered under this Act', so this is not a BDA mandate.
(3) BDA-04, BDA-05, BDA-06 and BDA-13 contain no grievance provision for BDA.
Why no score:
- 5 would require the team to decide that the narrow s.62A tax appeal meets 'requires a grievance-redressal mechanism (any channel)'. That is an interpretation call (RUBRIC-GAP).
- 0 needs proof that nothing exists in any layer, and that proof is not possible here. The Citation Sheet has none of the following: BDA Rules, BDA Regulations under s.70, BDA bye-laws, a BDA citizen or service charter, or the Karnataka Sakala (Guarantee of Services to Citizens) Act and its schedule of BDA services.
For the team to do:
(a) Decide whether a statutory tax-assessment appeal to a Government-notified authority counts as 'any channel'.
(b) Add the Sakala Act and its BDA schedule, any BDA citizen charter or grievance portal notification, and the BDA Regulations to the Citation Sheet, then re-score.
The BDA Act text is a PRS copy, not the official gazette.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
"Score" left blank: the Citation Sheet doesn't decide it.</t>
  </si>
  <si>
    <t xml:space="preserve">AI: left for a person. Step 2 found no evidence (Insufficient Evidence). Source needed: Any of these would settle it: (a) the text of the Metro Railway General Rules, 2013 and the Metro Railways (Carriage and Ticket) Rules, 2014 (or any later metro rules), checked for passenger complaint or grievance provisions; (b) any BMRCL regulations, its Memorandum and Articles of Association, or its official citizen or passenger charter, if it requires a grievance or complaint mechanism; (c) the Karnataka Sakala Services Act schedule, showing whether any BMRCL service is listed with a redress obligation; (d) the Central Government notification extending the Metro Railways (O&amp;M) Act, 2002 to Bengaluru, to confirm which statutory framework governs BMRCL.</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</si>
  <si>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</si>
  <si>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</si>
  <si>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</si>
  <si>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</si>
  <si>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left for a person. Step 2 found no evidence (Insufficient Evidence). Source needed: (a) The full current text of the Bangalore Metropolitan Region Development Authority Act, 1985 (Karnataka Act 39 of 1985), with amendments, from the state legislation portal or the e-Gazette. (b) Any Rules or Regulations made under that Act. (c) The text of BMRDA's Citizen Charter (the 2020-21 charter linked from its official website, or a later one), checked for a grievance or complaint-redressal provision. (d) The schedule under the Karnataka Sakala (service guarantee) law, checked for any BMRDA service, for example change of land use.</t>
  </si>
  <si>
    <t xml:space="preserve">BWSSB official website homepage: Quick Announcements; Citizen services menu</t>
  </si>
  <si>
    <t xml:space="preserve">Quick Announcements item 'Helpline numbers'; Citizen services link 'Lodge Complaint' (cms.bwssb.gov.in/module/complain/new_complaint)</t>
  </si>
  <si>
    <r>
      <rPr>
        <sz val="11"/>
        <color theme="1"/>
        <rFont val="Calibri"/>
        <family val="2"/>
        <charset val="1"/>
      </rPr>
      <t xml:space="preserve">AI (low confidence), from Step 2 answer (Partially Answered) and BWSSB-01: SCORE LEFT BLANK. The score covers five channels (web, mobile/electronic, telephone, in-person, acknowledgement/tracking). Only one is established, and the others are verification limits, not proven absences. Writing 1 would score the missing channels as 0, which the rules forbid. What I checked: BWSSB-01 (English homepage), BWSSB-16 (Contact Info page, Kannada site), BWSSB-13 (Our Services) and BWSSB-25 (Press Release list). I also searched the whole Citation Sheet for complaint, WhatsApp, email and grievance. Channel by channel: (1) TELEPHONE: established. BWSSB-01 and BWSSB-16 both say 'Helpline numbers: Call center-1916, Safa Mitra -14420'. This is a named call centre, not a general office switchboard. The page does not say what Safa Mitra 14420 covers. (2) WEB: BWSSB-01 links 'Lodge Complaint' to https://cms.bwssb.gov.in/module/complain/new_complaint, and BWSSB-16 links '</t>
    </r>
    <r>
      <rPr>
        <sz val="11"/>
        <color theme="1"/>
        <rFont val="Noto Sans"/>
        <family val="2"/>
      </rPr>
      <t xml:space="preserve">ದೂರು ಸಲ್ಲಿಸಿ</t>
    </r>
    <r>
      <rPr>
        <sz val="11"/>
        <color theme="1"/>
        <rFont val="Calibri"/>
        <family val="2"/>
        <charset val="1"/>
      </rPr>
      <t xml:space="preserve">' (Submit Complaint) to the same address. The form page itself is not in the Citation Sheet, so I cannot confirm it accepts complaints. VERIFICATION-LIMIT. (3) MOBILE/ELECTRONIC (email/app/WhatsApp): I found no grievance email, app or WhatsApp channel in the citations I read. The only mobile apps listed are the staff HRMS &amp; Payroll apps, which are not grievance channels. The website footer links to the state's IPGRS/Janaspandana and e-Spandana portals. That is standard state footer text, not a BWSSB channel, so I did not count it. No app-store listing or Contact Us detail page is saved, so this is not affirmative absence. (4) IN-PERSON: BWSSB-25 lists 'Water Adalath' press releases from Aug 2021 to 28-02-2023, so a public grievance forum existed then. Those PDFs are not in the Citation Sheet, and they are outdated as evidence of current practice. The 'Service Station' page (bwssb.karnataka.gov.in/7/service-station) is linked but its content is not saved. VERIFICATION-LIMIT. (5) TRACKING/ACKNOWLEDGEMENT: the staff menu lists a 'Complaint Management System (CMS)' at https://cms.bwssb.gov.in/. No saved page shows a reference number or a status-tracking screen, and a back-end system is not proof of citizen-facing tracking. VERIFICATION-LIMIT. I checked the Step 2 answer against the sources and they support it. For a reviewer: open the CMS complaint form, check that it gives a reference number and a status-tracking screen, and take a dated screenshot. Check the Service Station page and the current Water Adalath schedule for an in-person route. Check whether BWSSB has an official grievance email, WhatsApp number or app. Website captured around July 2026 (footer reads © 2026; news item 'Water Shutdown on 22-07-2026'). Era: n/a. If the reviewer confirms only the telephone channel, the provisional total would be 1 out of 5.
Quote: "Helpline numbers: Call center-1916, Safa Mitra -14420"
"Score" left blank: the Citation Sheet doesn't decide it.</t>
    </r>
  </si>
  <si>
    <t xml:space="preserve">BMTC official website, English homepage (mybmtc.karnataka.gov.in/english)</t>
  </si>
  <si>
    <t xml:space="preserve">Top menu: 'Complaints' with sub-links 'New Complaint' (crm.mybmtc.com) and 'Public Grievance Dashboard' (crm.mybmtc.com/All_module). Notices list item 43: 'BMTC Helpline Number: 080 22483777', marked '6 years ago'.</t>
  </si>
  <si>
    <t xml:space="preserve">AI (low confidence), from Step 2 answer (Partially Answered) and BMTC-01: I left the score blank. The reasons are VERIFICATION-LIMIT and missing evidence, not a finding of zero.
**What I checked against the Citation Sheet:**
- I agree with Step 2's 'Partially Answered' finding.
- BMTC-01, the BMTC homepage, has a 'Complaints' menu. It links to a 'New Complaint' page and a 'Public Grievance Dashboard', both on crm.mybmtc.com.
- The text of the crm.mybmtc.com pages is not in the Citation Sheet. So I cannot confirm that a complaint can actually be filed there, or that complaints get an acknowledgement and can be tracked.
- BMTC-01 lists 'BMTC Helpline Number: 080 22483777' among its notices. The notice is marked '6 years ago' and does not say the number takes complaints. It may not show the current arrangement.
- BMTC-18, the Departments page, says the traffic department 'Controls the activities of control room, bus stands and call center etc. Also looks after the works related to accidents, public complaints,suggestions and redressal etc.' This shows which unit handles complaints internally. It does not show that a channel citizens can use exists or works.
- BMTC-10 mentions a 'BMTC Mobile App with Women safety feature' in tenders from 2020 and 2023. Nothing presents the app as a way to file complaints.
- BMTC-01 has a gallery item, 'Inauguration of BMTC helpdesk In KIA Terminal 2' (about 3 years old). It is only a photo of the event. It does not show a counter that takes complaints.
- The text captured from BMTC-16 (Contact Us) is only menu and policy boilerplate. It has no complaint email, WhatsApp number or grievance officer.
- The only email address on BMTC-16 and BMTC-18 is pd.webportal@karnataka.gov.in, from the boilerplate website policy text. It is not a complaint channel.
- I also searched the Citation Sheet for a Sakala service-guarantee entry, a citizen charter and WhatsApp/email channels. None turned up.
**Why I did not score:**
- The mobile/electronic and in-person channels cannot be scored 0. Absence is not confirmed, because these pages are not in the sheet: BMTC's own Complaints page (mybmtc.karnataka.gov.in/10/complaints/en), the crm.mybmtc.com pages and the official app listing.
- Whether the web channel works and whether complaints can be tracked both depend on websites that were not opened. That is a verification limit, so it cannot count against BMTC.
- I don't have the full DPG6b rubric bands, beyond the five components Step 2 described. A partial score would therefore be interpolation, which the rules forbid.
**What a person should check:**
1. Open crm.mybmtc.com and record whether a complaint can be filed, whether a reference number is issued, and whether the dashboard shows complaint status.
2. Confirm whether 080 22483777 (or another number) is the current complaint helpline.
3. Check whether a BMTC app or a WhatsApp/email channel accepts complaints.
4. Check whether depots or bus stations have complaint counters.
5. Capture dated screenshots, as the question bank requires.
Quote: "Complaints [http://crm.mybmtc.com] New Complaint"
"Score" left blank: the Citation Sheet doesn't decide it.</t>
  </si>
  <si>
    <t xml:space="preserve">AI: left for a person. Step 2 found no evidence (Insufficient Evidence). Source needed: Pages from BDA's official website (its domain shown to be official by a link from a Karnataka .gov.in/.nic.in page), fetched and saved with dates: (a) the online grievance form, or the redirect to the state grievance portal plus that portal's page with BDA listed; (b) any listed grievance email, WhatsApp number or mobile app (with its store listing); (c) a page or notice giving a designated grievance helpline or call-centre number; (d) the citizen charter, office notice or order naming the grievance counter or designated officer for in-person complaints; (e) a screenshot of the portal showing the complaint/reference number acknowledgement and status tracking. Also useful: the Sakala (Karnataka service guarantee) schedule entries for BDA services.</t>
  </si>
  <si>
    <t xml:space="preserve">AI: left for a person. Step 2 found no evidence (Insufficient Evidence). Source needed: Current, dated saved copies of: (a) BMRCL's official website page for passenger grievances or feedback, showing an online complaint form or a link to a state/common grievance portal; (b) the official listing of a grievance email, WhatsApp number or app grievance feature (e.g. a Namma Metro app store listing showing a complaint function); (c) a website page or citizen charter giving a dedicated helpline or customer-care number for complaints; (d) a citizen charter or office order naming station customer-care counters or a designated grievance officer; (e) a portal screenshot showing a complaint reference number or status tracking.</t>
  </si>
  <si>
    <t xml:space="preserve">Annual Report 2022-23</t>
  </si>
  <si>
    <t xml:space="preserve">Section 10 'Website', p.15 (English); Kannada equivalent Section 11, pp.8-9</t>
  </si>
  <si>
    <r>
      <rPr>
        <sz val="11"/>
        <color theme="1"/>
        <rFont val="Calibri"/>
        <family val="2"/>
        <charset val="1"/>
      </rPr>
      <t xml:space="preserve">AI (low confidence), from Step 2 answer (Partially Answered) and BMRDA-03: Score left blank: only 1 of the 5 grievance channels has evidence. I checked the Step 2 answer against the sources and agree with it.
(1) Electronic/email: SUPPORTED, but dated. The FY 2022-23 Annual Report (BMRDA-03, p.15, period 01-04-2022 to 31-03-2023) names mc.bmrda@ka.gov.in as the address for public queries and complaints. The Kannada text on p.9 says the same. The current Contact Us page (BMRDA-06) lists this email only as a general contact.
(2) Web channel: NOT DETERMINED. The home page (BMRDA-05) links to a 'Feedback' page (https://bmrda.karnataka.gov.in/feedback/en), but that page is not in the Citation Sheet. Nothing shows it accepts grievances or works (VERIFICATION-LIMIT). IPGRS, e-Spandana and Sakala appear only in the generic state-portal footer lists. Nothing presents them as BMRDA's grievance channel.
(3) Telephone: NOT DETERMINED. BMRDA-06 shows only officers' office numbers and the general switchboard. None is labelled a grievance helpline.
(4) In-person: NOT DETERMINED. Only the office address is shown. No grievance counter or grievance officer is named in any source. The officers listed on p.14 of BMRDA-03 are RTI officers (PIOs and appellate authorities), not grievance officers.
(5) Acknowledgement/tracking: NOT DETERMINED. No source shows complaint reference numbers or status tracking. The online RTI link covers RTI only.
Why no 0 for the missing channels: there is no affirmative absence. The Citizen Charter 2020-21 linked from BMRDA-05 (also listed in the Annual Report's Kannada list of website contents as item 8, '</t>
    </r>
    <r>
      <rPr>
        <sz val="11"/>
        <color theme="1"/>
        <rFont val="Noto Sans"/>
        <family val="2"/>
      </rPr>
      <t xml:space="preserve">ನಾಗರಿಕ ಸನ್ನದು</t>
    </r>
    <r>
      <rPr>
        <sz val="11"/>
        <color theme="1"/>
        <rFont val="Calibri"/>
        <family val="2"/>
        <charset val="1"/>
      </rPr>
      <t xml:space="preserve">', i.e. Citizen Charter) is not in the Citation Sheet and was not read. The Feedback page also could not be checked.
Sources searched: BMRDA-01, 02, 03, 05, 06, 07, 10, 13 (grievance/helpline/charter searches). BMRDA-08 and 11 were reviewed in Step 2, with no BMRDA grievance channel found. GBGA s.96(c) is a city-government (ULG) mechanism, not a BMRDA channel.
For the reviewer:
- Add the Citizen Charter PDF and the Feedback page to the Citation Sheet.
- Capture dated screenshots of any working submission or tracking feature.
- Confirm the rubric's treatment of the 5th component: the question bank labels it 'in-person', but its Qualification describes acknowledgement/tracking.
- If the rubric gives 1 point per channel, current evidence supports at most 1 (email), and only provisionally.
Quote: "The public can send their queries/complaints if any to our E-mail ID viz. mc.bmrda@ka.gov.in"
"Score" left blank: the Citation Sheet doesn't decide it.</t>
    </r>
  </si>
  <si>
    <t xml:space="preserve">Chapter II (Constitution of the Board / Consultative Committee); Chapter III (Duties of the Board)</t>
  </si>
  <si>
    <t xml:space="preserve">Section 14 (Consultative Committee); Section 15(2)(b)-(c) and proviso (preparing schemes)</t>
  </si>
  <si>
    <t xml:space="preserve">s.14(1), s.14(4)(i); s.15(2)(b)-(c); s.87(2)(b)</t>
  </si>
  <si>
    <t xml:space="preserve">AI (low confidence), from Step 2 answer (Partially Answered) and BWSSB-02: I left the score blank. The Citation Sheet does not support a 5, does not allow a 0, and whether the mechanism found earns 2.5 needs a team decision.
(1) What the BWSSB Act says (BWSSB-02, PRS text as amended to 2021, including Acts 15 and 32 of 2010 and Act 29 of 2021). s.15(2)(b)-(c) makes it the Board's duty to prepare and carry out water supply and sewerage schemes. Under the proviso, schemes over Rs 1 crore need State Government approval. No step is attached for publishing a draft, inviting objections or suggestions, or holding a public hearing, so there is no basis for a mandated participation process (the 5 band).
(2) The only mechanism found is the Consultative Committee under s.14:
- s.14(1): the Government 'shall constitute' it.
- Its 3 to 9 non-Board members are appointed after consulting bodies that represent the municipal corporation, the Bangalore City Improvement Trust Board and 'consumers of water'.
- s.14(3): it meets at least once every three months.
- s.14(4)(i): its role is 'to advise the Board on major questions of policy and major schemes'.
- s.14(5): the annual financial statement is placed before it.
The committee is advisory and Government-appointed. It is not open citizen participation. Whether this counts as 'participation provided for' in the 2.5 band is a question about the methodology, so I did not score it. CONFIRM with the team.
(3) Other provisions checked, none of which is a citizen-participation step:
- s.17(3)-(4): legislative scrutiny of the financial statement.
- s.86(2): annual report covering activities planned for next year.
- s.87(1) and s.88: 'previous publication' applies only to making rules and regulations.
(4) ULG law (BWSSB-04, GBA Act 2024, Act 36 of 2025, GBA era):
- The objections-and-suggestions provisions it contains concern area notifications, not BWSSB schemes.
- The Ward Committee / Ward Sabha and Ward Development Plan provisions (ss.95 and 103) cover the city government's plans, not BWSSB plans.
- I saw no provision applying a participation duty to BWSSB schemes. BWSSB-23 (Amendment Bill 2025) was not read in detail.
(5) Why 0 is not allowed: affirmative absence is not met. These are not in the Citation Sheet:
- the BWSSB Rules under s.87, where s.87(2)(b) provides for the Consultative Committee's terms of appointment and how it conducts business;
- the BWSSB Regulations under s.88;
- the Karnataka Town and Country Planning Act 1961;
- any state water or sewerage policy.
Website sources (BWSSB-01, 07, 11, 12, 13, 16, 25) are not law and do not show a mandated process.
For the team: the Act still names the Bruhat Bangalore Mahanagara Palike and the Bangalore City Improvement Trust Board in s.14(1). No official source in the sheet shows successor bodies substituted.
The question text and full rubric were not in the task input. The 5 / 2.5 / 0 bands come from the Step 2 notes; please confirm them against the question bank.
Quote: "(4) The functions of the Consultative Committee shall be as follows:— (i) to advise the Board on major questions of policy and major schemes; (ii) to review the progress and the work of the Board from time to time;"
"Score" left blank: the Citation Sheet doesn't decide it.</t>
  </si>
  <si>
    <t xml:space="preserve">Chapter V (Comprehensive Mobility Plan) and Chapter VI (Sectoral and City Mobility Investment Program and Annual Implementation Plan)</t>
  </si>
  <si>
    <t xml:space="preserve">Section 21(3); also ss. 21(4), 23, 24(a)-(e), 25(1)-(2), 54(1)(viii)-(x)</t>
  </si>
  <si>
    <t xml:space="preserve">s.21(3) draft plan and objections/suggestions from 'any person', for at most two months</t>
  </si>
  <si>
    <t xml:space="preserve">AI (low confidence), from Step 2 answer (Partially Answered) and BMTC-06: I left the score blank for a human to decide. The Detailed Methodology for DPG7a was not in the task input, so I can't tie the evidence to a rubric band. I also can't show an affirmative absence. Here is what the sources show.
(1) The only binding citizen-participation duty is in s.21(3) of the BMLTA Act (Bengaluru Metropolitan Land Transport Authority Act, BMTC-06, PRS copy). It binds the Authority (BMLTA), not BMTC: 'the Authority shall cause to publish a draft plan ... inviting objections and suggestions from any person'. It covers the Comprehensive Mobility Plan, and s.23 applies it again to the five-yearly revision.
(2) BMTC's own plans under that Act are the Sectoral Mobility Investment Program and the Annual Implementation Plan. BMTC counts as an 'Urban Transport Agency', but that is inferred: no notification naming BMTC is in the sheet. The sectoral program is prepared 'in consultation with the Authority' (s.24(b)), which is consultation between agencies, not with citizens. The Authority then folds it in, 'with or without modification', into the City Mobility Investment Program, which is 'part of the Comprehensive Mobility Plan' (s.24(c),(e)). So citizens reach BMTC's sectoral program only indirectly, through BMLTA's s.21(3) process. The Annual Implementation Plan is prepared by the agencies and reviewed and approved by the Authority (s.25(1)-(2)), with no public step in the text.
(3) Section 21(3) says 'any plan as under this Act'. Whether that covers the Annual Implementation Plan is ambiguous.
(4) I checked the 2026 amending Act (Karnataka Act 10 of 2026), which is appended in BMTC-06. In the text shown, it amends only ss.2(cc), 4 and 12 (replacing BBMP with the Greater Bengaluru Authority and changing who sits on the Authority and its Executive Committee). It does not touch ss.21, 24 or 25.
(5) BMTC's parent Act, the Road Transport Corporations Act 1950 (BMTC-02, per Step 2): the s.17 Advisory Councils are discretionary ('may') and advisory only. No public step is shown for ss.30 or 32.
Why I can't score 0: the Rules and Regulations page on BMTC's site (BMTC-20) lists the KSRTC Rules, 1961 and several KSRTC regulations, but their texts are not in the Citation Sheet and were not read. There are also no BMLTA regulations under s.54, even though s.54(1)(ix)-(x) provide for regulations on how the City Mobility Investment Program and the Annual Implementation Plan are prepared.
The team needs to confirm:
(a) Does BMLTA's s.21(3) Comprehensive Mobility Plan process, which takes in BMTC's sectoral program, count as participation 'only for specific plans/stages' (the 2.5 band Step 2 suggested)? Or does the question need a process that applies to BMTC's own plans, which none of the sources show?
(b) Does s.21(3) extend to the Annual Implementation Plan?
(c) Get the texts of the KSRTC Rules, 1961 and any BMLTA regulations.
If (a) is accepted, 2.5 is the likely candidate. Act texts are secondary PRS copies.
Quote: "Before finalizing any plan as under this Act, the Authority shall cause to pu blish a draft plan by making a copy thereof available for inspection and"
"Score" left blank: the Citation Sheet doesn't decide it.</t>
  </si>
  <si>
    <t xml:space="preserve">Section 21(3), read with s.21(2)(l), s.24(b), (c) and (e), s.25(1)-(2) and s.2(v) and (ff)</t>
  </si>
  <si>
    <t xml:space="preserve">s.21(3): the draft plan is published and objections and suggestions are invited from any person, for at most two months</t>
  </si>
  <si>
    <t xml:space="preserve">AI (low confidence), from Step 2 answer (Partially Answered) and BMRCL-08: I left the score blank for a person to set, because a 2.5 rests on a reading of the law that needs confirmation.
(1) Detailed Methodology not supplied. The question text, the Detailed Methodology and the Notes for scorers were not in the task input. The bands (5, 2.5, 0) are known only from the Step 2 summary, so I could not check them against the actual rubric.
(2) What the source supports.
- BMLTA Act s.21(3) makes public objections mandatory: 'the Authority shall' publish the draft plan and invite objections 'from any person' within at most two months. That duty falls on BMLTA, not BMRCL.
- BMRCL's own plan, its Sectoral Mobility Investment Program, is only 'prepared in consultation with the Authority' (s.24(b)). That is consultation between agencies, not with citizens.
- The Authority then folds the Sectoral Program 'with or without modification' into the City Mobility Investment Program (s.24(c)). That program 'shall be part of the Comprehensive Mobility Plan' (s.24(e)), which goes through the s.21(3) public draft stage.
- BMRCL's Annual Implementation Plan (s.25) is prepared by the agency and reviewed and approved by the Authority, with no public step in the Act.
- So citizens can reach BMRCL's plans only indirectly, through BMLTA's draft Comprehensive Mobility Plan. Whether that counts as participation in the 'parastatal's plans' (the 2.5 band, 'specified plan types/stages') or as another agency's plan is a call for the team.
(3) One Step 2 caveat is now settled. BMRCL is an 'Urban Transport Agency': s.2(ff) defines it as 'both the private and public agencies engaged in providing of Urban Mobility', and the Schedule lists Metro Railway. The Managing Director of BMRCL is also an ex-officio member under s.4(1)(s).
(4) Why 0 is not possible. Absence is not established, because these layers are missing from the Citation Sheet:
- Metro Railways (Construction of Works) Act, 1978 and its rules;
- rules made under the Metro Railways (Operation and Maintenance) Act, 2002;
- regulations under the BMLTA Act (s.54(vii)-(x) cover plan procedure and the form of the draft-plan notice);
- BMRCL's Memorandum and Articles of Association;
- the 2026 BMLTA amendment (Act 10 of 2026), noted on the PRS copy but not reviewed;
- the gazette text of Act 6 of 2023 (the copy used is PRS, a secondary source).
(5) Checked with no plan-participation duty on BMRCL found:
- BMRCL-04: s.5-6, s.22, s.86 and s.98-105;
- BMRCL-06: Companies Act, general company law only;
- BMRCL-07: s.10 covers the Planning Authority's Master Plan only;
- BMRCL-02: s.14(2) covers the Greater Bengaluru Authority and the Metropolitan Planning Committee;
- BMRCL-09: the FY2020-21 annual report.
(6) Suggested next step. If the team accepts the indirect route through the Comprehensive Mobility Plan and confirms the rubric, 2.5 looks like the likely band. Check first that the 2026 amendment leaves s.21, s.24 and s.25 unchanged.
Period: BMLTA Act as enacted in 2023 (PRS copy).
Quote: "inviting objections and suggestions from any person with respect to the draft plan before such date as may  be specified in the notice, subject to a maximum period"
"Score" left blank: the Citation Sheet doesn't decide it.</t>
  </si>
  <si>
    <t xml:space="preserve">JICA – Bengaluru Water Supply and Sewerage Project (Phase 3) Final Report (sewerage / O&amp;M volume) [BWSSB-23]</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</si>
  <si>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</si>
  <si>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</si>
  <si>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</si>
  <si>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</si>
  <si>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https://openjicareport.jica.go.jp/pdf/12300364_04.pdf</t>
  </si>
  <si>
    <t xml:space="preserve">AI: left for a person. Step 2 found no evidence (Insufficient Evidence). Source needed: The final BWSSB Vision Document/Master Plan (2050), with any section on stakeholder or public consultation. Any public notice on the official website inviting objections or suggestions on a draft plan. Consultation reports, or minutes of public hearings or ward-level consultations. Proceedings of the s.14 Consultative Committee. BWSSB's latest annual report (s.86) or the s.86(2) activity report laid before the State Legislature, if either describes consultation on plans.</t>
  </si>
  <si>
    <t xml:space="preserve">AI: left for a person. Step 2 found no evidence (Insufficient Evidence). Source needed: Four things would answer this: (a) BMTC's latest plan document (for example a route-rationalisation, fleet-augmentation, bus-network or business plan) with any section on stakeholder or citizen consultation; (b) BMTC public notices on its official website inviting objections or suggestions on a draft plan or route network; (c) minutes or reports of public hearings, consultations or surveys held before such a plan was finalised; (d) if BMTC's Sectoral Mobility Investment Program feeds a BMLTA plan, BMLTA's notice and consultation report under s.21(3), together with evidence that BMTC's plan was part of the consulted draft.</t>
  </si>
  <si>
    <t xml:space="preserve">Environmental Impact Assessment – Gottigere–Nagavara Corridor (Line 6), Bangalore Metro Rail Project Phase II (EIB register) [BMRCL-21]</t>
  </si>
  <si>
    <t xml:space="preserve">G. Consultations, Participation and Information Disclosure</t>
  </si>
  <si>
    <t xml:space="preserve">1.2 Public Consultation, para 223 (with Table 28, paras 224-225 and Appendix 4)</t>
  </si>
  <si>
    <t xml:space="preserve">para 223</t>
  </si>
  <si>
    <t xml:space="preserve">66</t>
  </si>
  <si>
    <t xml:space="preserve">https://www.eib.org/attachments/registers/143756287.pdf</t>
  </si>
  <si>
    <t xml:space="preserve">AI: left for a person. Step 2 found no evidence (Insufficient Evidence). Source needed: Any of these would answer the question: BMRCL's latest plan or planning document (e.g. the DPR for a current metro phase) showing a consultation process; public notices from BMRCL or its official website inviting objections or suggestions; a consultation or stakeholder report; minutes or proceedings of public hearings (e.g. hearings held for social or environmental impact assessment of a metro phase); or a dated BMRCL website page recording consultation before the plan was finalised.</t>
  </si>
  <si>
    <t xml:space="preserve">AI: left for a person. Step 2 found no evidence (Insufficient Evidence). Source needed: BWSSB's budget or annual financial statement under s.17, preferably its audited annual accounts or annual report, for at least 2 and ideally the latest 3 completed financial years. Each year must show: own revenue split into water and sewerage charges, prorata/connection charges, deposits, other non-tax income and any taxes; government grants and subventions shown separately (to be excluded); loans shown separately (not revenue); and total expenditure. Possible places to find these are the 'Budget' and 'Accounts' pages linked from BWSSB's official homepage, or the statements laid before the Karnataka Legislature under s.17(3).</t>
  </si>
  <si>
    <t xml:space="preserve">AI: left for a person. Step 2 found no evidence (Insufficient Evidence). Source needed: BMTC's audited annual accounts (Profit and Loss Account with schedules) or Annual Administrative Reports for the latest 3 completed financial years (e.g. FY 2022-23 to FY 2024-25), or BMTC budget documents for those years. They must show: traffic revenue; non-traffic and commercial revenue; government grants, subsidies and reimbursements, shown separately; and total expenditure. These could come from BMTC's own site (annual administrative report page) or from reports tabled in the Karnataka Legislature or CAG audit reports.</t>
  </si>
  <si>
    <t xml:space="preserve">AI: left for a person. Step 2 found no evidence (Insufficient Evidence). Source needed: BDA's annual budget (s.42-44 estimate of income and expenditure) for at least 2, preferably 3, recent completed financial years. Better still, BDA's audited annual statements of accounts and auditor's reports (s.47), as published or as laid before the Karnataka Legislature. These must show receipts by head, separating land and site sale proceeds, rents, property tax, betterment tax and fees from government grants, ULG contributions and borrowings, plus total expenditure (revenue and capital).</t>
  </si>
  <si>
    <t xml:space="preserve">AI: left for a person. Step 2 found no evidence (Insufficient Evidence). Source needed: Two documents are needed. First, BWSSB's audited annual accounts, or its budget statement showing actuals, for the latest completed FY (e.g. 2024-25), giving capital expenditure on works and assets in Rs. Second, a dated Census 2011 figure or an official projection (e.g. from the state Directorate of Economics and Statistics or a government-approved projection) for the area BWSSB serves, with its source named.</t>
  </si>
  <si>
    <t xml:space="preserve">AI: left for a person. Step 2 found no evidence (Insufficient Evidence). Source needed: Two things are needed: (1) BMTC's audited annual accounts or annual report for the latest completed financial year (or its capital budget with actuals), showing capital expenditure such as fixed-asset additions, bus purchases and depot or bus-station works, plus the CAG audit report on those accounts; (2) the latest Census figure, or the most recent official projection (e.g. from the state Directorate of Economics and Statistics), for the area BMTC serves, with that area defined from an official BMTC or state source.</t>
  </si>
  <si>
    <t xml:space="preserve">AI: left for a person. Step 2 found no evidence (Insufficient Evidence). Source needed: Three things are needed. (1) BDA's audited annual statement of accounts (s.47) or annual report for the latest completed FY, showing capital expenditure (capital works, layout development, land acquisition treated as capital). Failing that, the sanctioned budget (s.42-44) with revised or actual capital figures, possibly from the copy laid before the Karnataka Legislature. (2) An official population figure for BDA's current jurisdiction: Census 2011 for the BDA local planning area, or an official state projection with its source. (3) Team confirmation of which area counts as BDA's jurisdiction after the 2025 KTCP amendment, and the per-capita figures for the other development authorities being assessed, for the percentile rank.</t>
  </si>
  <si>
    <t xml:space="preserve">Financial Statements for the year ended 31st March 2021: Statement of Cash Flows</t>
  </si>
  <si>
    <t xml:space="preserve">Cash flows from Investing Activities: Purchase of fixed assets, including CWIP and capital advances (Net)</t>
  </si>
  <si>
    <t xml:space="preserve">Printed page 87 (PDF page 89); amounts in Rs lakh; FY 2020-21 and FY 2019-20</t>
  </si>
  <si>
    <t xml:space="preserve">89</t>
  </si>
  <si>
    <t xml:space="preserve">AI (low confidence), from Step 2 answer (Partially Answered) and BMRCL-09: I left the score blank because the Citation Sheet doesn't give enough to work out a per-capita capex figure or rank it. Not found is not the same as zero, so I did not score it 0.
What I checked against the source:
- BMRCL-09, the audited FY 2020-21 Annual Report, does show 'Purchase of fixed assets, including CWIP and capital advances (Net)' of Rs 4,65,409.46 lakh for FY 2020-21. That is about Rs 4,654.09 crore, on a cash basis. The FY 2019-20 figure is Rs 6,31,413.09 lakh. The Step 2 numbers match the source.
Why no score can be given:
1. The capex year is out of date. BMRCL-09 covers FY 2020-21 (year ended 31 March 2021). That is not the latest completed financial year, and the sheet has no later BMRCL accounts or annual report. My extra read of BMRCL-09 found nothing for later years.
2. There is no population denominator. I searched the sheet for population and census. The only hits were definitions in BMRCL-02, the Greater Bengaluru Governance Act: s.2(48) and the delimitation explanation. Neither gives a number. No Census table or official projection is in the sheet.
3. The service area is undefined. The denominator could be the Greater Bengaluru Authority area, the Bengaluru Urban Mobility Region under BMRCL-08 s.3, or the metro catchment.
4. There is no peer set. The methodology, as described in the Step 2 notes, needs a percentile rank against comparable parastatals. No peer data is in the sheet.
5. The capex definition is open. I could use the cash-flow figure above, or the accrual additions to Property, Plant and Equipment plus Capital Work-In-Progress (CWIP). For FY 2020-21, Note 2.2 shows CWIP additions of Rs 3,32,353.69 lakh.
Other points for the team:
- The CAG's comments say CWIP and liabilities are overstated by Rs 294.49 crore.
- I could not see the question's Detailed Methodology and rubric in the task, so I could not check the 0-10 bands against the Max Score.
The team needs to confirm: the latest audited BMRCL accounts, the official population for the chosen service area, the capex definition, and the peer set for ranking.
Quote: "capital advances (Net) (465409.46) (631413.09)"
"Score" left blank: the Citation Sheet doesn't decide it.</t>
  </si>
  <si>
    <t xml:space="preserve">AI: left for a person. Step 2 found no evidence (Insufficient Evidence). Source needed: BWSSB's annual budget documents (the s.17 annual financial statement / budget estimates) and its audited annual accounts (s.25 income and expenditure account), for the same 2-5 recent completed financial years (latest 3 preferred), compared side by side. These could come from BWSSB's annual reports, the papers laid before the Karnataka Legislature, or the auditor's / CAG report on BWSSB accounts.</t>
  </si>
  <si>
    <t xml:space="preserve">AI: left for a person. Step 2 found no evidence (Insufficient Evidence). Source needed: For at least 2 (ideally 3) completed financial years, BMTC's approved budget showing budgeted total expenditure, and the audited annual accounts or CAG-certified accounts for the same years showing actual total expenditure. Possible sources: BMTC annual reports tabled in the Karnataka Legislature, the CAG audit report on BMTC accounts, or a budget-versus-actuals statement sent to the State Transport Department.</t>
  </si>
  <si>
    <t xml:space="preserve">AI: left for a person. Step 2 found no evidence (Insufficient Evidence). Source needed: For at least 2 (ideally 3, at most 5) recent completed FYs, side by side: (1) BDA's annual budget estimates as approved by the Authority and sanctioned by the Government under ss.43-44, showing budgeted total expenditure; (2) BDA's audited annual statements of accounts under s.47 showing actual expenditure for the same FYs. These could come from BDA's published audited accounts, the copies laid before the Karnataka Legislature, or the Urban Development Department's budget sanction orders.</t>
  </si>
  <si>
    <t xml:space="preserve">AI: left for a person. Step 2 found no evidence (Insufficient Evidence). Source needed: BMRCL's annual budget estimates (Board-approved BE, and RE if there is one) for at least 2, preferably 3, recent completed years (e.g. FY 2021-22 to FY 2023-24), plus the audited annual reports or financial statements for the same years. These would allow budgeted and actual expenditure to be compared side by side. Other possible sources: GoK Urban Development Department budget papers showing BMRCL's budgeted outlay, or annual reports tabled in the Karnataka Legislature that include a budget-vs-actual statement.</t>
  </si>
  <si>
    <t xml:space="preserve">AI: left for a person. Step 2 found no evidence (Insufficient Evidence). Source needed: BMRDA's approved annual budgets (budget estimates, and revised estimates if any) and its audited annual accounts for the same years. This means at least 2, and preferably 3, completed financial years (e.g. FY 2022-23 to FY 2024-25), showing budgeted and actual total expenditure side by side. Likely places are the website's Budget page, the 2023-24 and later annual reports tabled in the Legislature, and the audit reports on BMRDA's accounts.</t>
  </si>
  <si>
    <t xml:space="preserve">Chapter III – The Board's Finance, Accounts and Audit</t>
  </si>
  <si>
    <t xml:space="preserve">Section 17</t>
  </si>
  <si>
    <t xml:space="preserve">Sub-section (1); read with ss.16(1)(c), 18, 24, 24A, 86(2), 87(2)(c), 88</t>
  </si>
  <si>
    <t xml:space="preserve">18</t>
  </si>
  <si>
    <t xml:space="preserve">AI (low confidence), from Step 2 answer (Partially Answered) and BWSSB-02: Score left blank. Step 2 also left it blank, and I agree after checking the source.
1. What the Act says (BWSSB-02, PRS copy, as amended up to Act 29 of 2021):
- Section 17(1) requires only a one-year statement, for 'the ensuing year'. Section 17(5) adds a supplementary statement for the same year.
- Section 16(1)(c) refers to 'year to year improvement'.
- Section 18 bars spending that is not in that year's statement.
- Sections 24 and 24A require reserves to be credited every year. Section 24A says the Board must consider 'the improvement works which the Board will have to execute', but it sets no planning period and does not require a plan.
- Section 86(2) looks ahead only to 'the next financial year'.
- Sections 87(2)(c) and 88 only say Rules and Regulations 'may' set the form of the annual statement.
- I found nothing in the Act requiring a medium-term (3-5 year) or long-term fiscal plan.
2. Why I did not give 0: a 0 needs affirmative absence, meaning every relevant instrument has been read and nothing was found. Two layers are missing from the Citation Sheet: the Rules under s.87 (which may set what goes into the annual financial statement) and the Board Regulations under s.88. Any GO or direction under s.89 is missing too. Because those layers could hold a multi-year requirement, this is 'not found', not proven absent. Also, the Act text comes only from PRS, which is secondary and carries a no-verification disclaimer, so amendments after 2021 cannot be ruled out.
3. Other sources checked:
- BWSSB-04 (GBA Act 2024): ss.2(42), 187 and 189 require a medium-term fiscal plan from the City Corporations only. They do not apply to BWSSB and earn no credit.
- BWSSB-07 (BWSSB website): describes a 'Vision document upto 2050' with long-, medium- and short-term investment phasing. This is a voluntary planning document, not a legal requirement. The document itself is not in the sheet.
- A search of the whole Citation Sheet for 'medium-term fiscal plan / long-term plan' found only GBA Act passages.
4. Not available to me: the question's detailed methodology and score bands were not in the task. I could not check the bands myself, so I relied on Step 2's reading that the Act-only evidence fits the 0 band.
For a person to decide:
(a) If the team rules that only the enabling Act counts for this question, the Act supports 0.
(b) Otherwise, get the s.87 Rules, the s.88 Regulations and any multi-year fiscal planning GO, and an official Karnataka copy of the consolidated Act. Step 2 lists an RTI target: the BWSSB PIO (Financial Advisor &amp; Chief Accounts Officer) or the Karnataka Urban Development Department.
Quote: "17. Annual financial statement. —(1)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</si>
  <si>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Chapter IV (Finance, Accounts and Audit)</t>
  </si>
  <si>
    <t xml:space="preserve">Section 32</t>
  </si>
  <si>
    <t xml:space="preserve">Sub-section (1); also read with ss.17A(2)(f), 30, 35(2), 44(2)(i), 45</t>
  </si>
  <si>
    <t xml:space="preserve">AI (low confidence), from Step 2 answer (Partially Answered) and BMTC-02: I left the score blank. The Act points towards 0, but I cannot show affirmative absence across the whole legal stack, so this result is 'not found', not 0.
What the Citation Sheet shows (RTC Act, 1950, BMTC-02, text as amended by Acts 28 of 1959 and 63 of 1982):
- s.32(1) requires only an annual budget 'for the next financial year'. s.32(2)-(4) cover spending against the approved grant, re-appropriation and excess spending.
- s.17A(2)(f) covers the 'capital budget, the revenue budget and the annual development plans' of subsidiary corporations. These are annual and apply only to subsidiaries.
- s.30 says profits 'may be utilised for financing the expansion programmes'. This is discretionary and sets no horizon.
- s.35(2) requires an annual report on the past year and on 'policy and programme'. This is not a fiscal plan with a set horizon.
- s.44(2)(i) lets Rules set the date and form of the annual budget only.
- s.45 regulations name no fiscal plan.
I found no 3-5 year (medium-term) or 5+ year (long-term) fiscal plan in the sections I read. This matches the Step 2 answer.
Why I did not score 0:
- BMTC-20, BMTC's official 'Rules And Regulations' page, links a 'KSRTC Rules, 1961' PDF. These look like the Rules under RTC Act s.44, which govern the budget's form and timing. That PDF is not a citation in the sheet, so I could not read it.
- BMTC's own financial regulations and its constitution notification under s.3 are not in the sheet either.
- The Karnataka Local Fund Authorities Fiscal Responsibility Act, 2003 is not in the sheet. The GBA Act s.180 refers to it.
- The GBA Act's (BMTC-04) 'Medium term fiscal plan' (s.2(42), five years) applies to the City Corporation, not BMTC.
- The BMLTA Act s.24 (BMTC-06) 'short to medium term' City Mobility Investment Program is prepared by BMLTA. It sets no number of years and does not come from BMTC's enabling Act.
For a person to check: (1) Read the KSRTC Rules, 1961 PDF linked from BMTC-20 for any multi-year financial plan provision. (2) Check whether the 2003 Fiscal Responsibility Act applies to BMTC. (3) Confirm BMTC's constitution notification under RTC Act s.3. If none of these sets a medium- or long-term fiscal plan, the 0 band applies on the Act. I could not see the question's full rubric text, so a person should also confirm the band mapping. Era: n/a.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</si>
  <si>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V – Property and Finance</t>
  </si>
  <si>
    <t xml:space="preserve">Section 42 (read with ss.43-46)</t>
  </si>
  <si>
    <t xml:space="preserve">s.42(1)</t>
  </si>
  <si>
    <t xml:space="preserve">43</t>
  </si>
  <si>
    <t xml:space="preserve">AI: left for a person. The AI's quote couldn't be found word for word in BDA-02, so its answer was discarded. AI comments: I left the score blank because nothing in the Citation Sheet shows that no multi-year plan exists in any layer of the law. In the BDA Act, the only budget planning duty is for one year. I read the PRS copy of the BDA Act (BDA-02), amendments appended up to Karnataka Act 42 of 2026. The list of sections for Chapter V (ss.37-48) shows no section on a medium-term or long-term fiscal plan. s.42(1): the Commissioner 'shall' lay before the Authority an estimate of income and expenditure 'for the year commencing on the first day of April then next ensuing'. s.43: the Authority 'shall' approve it. s.44: the Authority 'shall' submit it to the Government, which 'may' sanction or disallow it. s.45 covers supplementary estimates within the year. s.46 bars spending that is not in a sanctioned estimate. s.39 (borrowing) and ss.47/47A (accounts, audit, reports) set no multi-year plan. s.69 (rules) lists no budgeting topics; only the catch-all clauses (a) and (j) could cover it. s.70 (regulations) covers procedure only. I searched all of BDA-02 to BDA-13 for multi-year or medium-term fiscal planning and found nothing for BDA.
Other laws I checked:
- KTCP Act s.68B (BDA-06, PRS copy up to Act 38 of 2015) also requires only an annual budget.
- The medium-term fiscal plan duty in the GBA Act (BDA-03: s.187, s.2(42), s.181(6)(b), s.189) applies to the City Corporations, not BDA, so I gave BDA no credit for it.
Why no 0:
- The Rules made under BDA Act s.69, any BDA budget or finance regulations under s.70, and any state GO on fiscal planning for BDA are not in the Citation Sheet. A 0 needs evidence of absence across every layer, so for now the result is 'not found'.
- The task did not give me the question's Detailed Methodology or rubric bands. Without them I cannot match the evidence to a band on the 0-5 scale.
I agree with Step 2's reading of the Act.
For the team to confirm:
(1) Supply the SC4a rubric, and say whether the Act layer alone is enough for a 0.
(2) Supply the BDA Rules and Regulations, or confirm none on budgeting exist.
(3) BDA-02 is a PRS compilation; check the s.42-46 wording against an official text.
Period: BDA Act with amendments up to Act 42 of 2026 (in force 07.09.2026), GBA era.</t>
  </si>
  <si>
    <t xml:space="preserve">Constitution of the Board</t>
  </si>
  <si>
    <t xml:space="preserve">s. 2(g), s. 2(o), s. 24(d), s. 25(1)(b)</t>
  </si>
  <si>
    <t xml:space="preserve">AI: left for a person. Step 2 found no evidence (Insufficient Evidence). Source needed: BMRCL's current Memorandum and Articles of Association, to see whether they require a corporate or financial plan with a set horizon. Also the full text of the Metro Railways (Construction of Works) Act, 1978 and any Rules or regulations under the Metro Railways Acts. Also any GoI/GoK promoters' agreement or state government order requiring metro or state PSU companies to prepare medium- or long-term financial plans. Also the BMLTA Act's definition of 'Urban Transport Agency', and any BMLTA regulations setting the horizon of the Sectoral Mobility Investment Program.</t>
  </si>
  <si>
    <t xml:space="preserve">Chapter IV (Finance)</t>
  </si>
  <si>
    <t xml:space="preserve">Section 12 (Budget); also Sections 11, 13-16 and Section 9(1)(ii),(vi)</t>
  </si>
  <si>
    <t xml:space="preserve">AI: left for a person. Step 2 found no evidence (Insufficient Evidence). Source needed: The full text of the Bangalore Metropolitan Region Development Authority Act, 1985 (Karnataka Act 39 of 1985), current amended version, especially the chapters on finance, budget, accounts and audit. Also any Rules made under it, and the BMRDA Regulations 1996, 1999 and 2000. Ideally the official copy from the state legislation portal or eGazette, or the PDF linked on BMRDA's own 'Acts and Rules' page. These would show whether a fiscal plan of 3-5 years or more than 5 years is required, or whether only an annual budget is.</t>
  </si>
  <si>
    <t xml:space="preserve">AI: left for a person. Step 2 found no evidence (Insufficient Evidence). Source needed: Three things would settle this: (a) a fetched copy of the BWSSB website's Budget and Accounts pages; (b) any BWSSB multi-year fiscal or financial plan, corporate plan or business plan posted on the BWSSB website, with its date and horizon; (c) the 'Vision document upto 2050' or strategic master plan PDF, if it is published on the BWSSB website, showing its financial projections and horizon. The QB requires a dated screenshot of the BWSSB website.</t>
  </si>
  <si>
    <t xml:space="preserve">AI: left for a person. Step 2 found no evidence (Insufficient Evidence). Source needed: Two things are needed: a full, dated check of the BMTC official website (sitemap, Annual Administrative Report page, Presentations, RTI 4(1)(b) disclosures, any budget or finance section), and any document there that sets out a 3-5 year or longer fiscal plan, such as a corporate or business plan with multi-year revenue and expenditure projections. Failing that, BMTC's written confirmation of whether such a plan exists and is published.</t>
  </si>
  <si>
    <t xml:space="preserve">AI: left for a person. Step 2 found no evidence (Insufficient Evidence). Source needed: A dated capture of BDA's official website (its budget/finance/documents pages) showing whether a fiscal plan covering 3-5 or more years is published. Or a BDA-published medium- or long-term fiscal plan document hosted on BDA's own official domain (proved official by a link from a .gov.in/.nic.in page or by the Act). If such a plan does exist, it may also be in a BDA board resolution or a budget document that includes multi-year projections.</t>
  </si>
  <si>
    <t xml:space="preserve">AI: left for a person. Step 2 found no evidence (Insufficient Evidence). Source needed: A dated capture of BMRCL's official website (www.bmrc.co.in), checked page by page (finance, budget, annual reports, corporate or business plan, investor or bond disclosures), showing whether a medium- or long-term fiscal plan (multi-year financial projections or a corporate plan) is published there. Or a recent BMRCL annual report or bond information memorandum that refers to such a plan being on the website.</t>
  </si>
  <si>
    <t xml:space="preserve">BMRDA official website, English home page, 'Department Documents' menu</t>
  </si>
  <si>
    <t xml:space="preserve">Menu items 'Budget and Annual Reports' and 'Budget' (https://bmrda.karnataka.gov.in/44/budget/en)</t>
  </si>
  <si>
    <t xml:space="preserve">AI: left for a person. Step 2 found no evidence (Insufficient Evidence). Source needed: The content of the 'Budget' and 'Budget and Annual Reports' pages on BMRDA's website, captured with a date, showing whether a multi-year or medium-term fiscal plan (3-5 year receipts and expenditure projections) is posted. Also the text of the 2023-24 Annual Report, and BMRDA's own Act and Regulations, to see whether any multi-year financial plan is referred to or published.</t>
  </si>
  <si>
    <t xml:space="preserve">Chapter II (Establishment of the Board)</t>
  </si>
  <si>
    <t xml:space="preserve">Sections 4, 6 and 87(2)(a) (also s.3(4) and s.12)</t>
  </si>
  <si>
    <t xml:space="preserve">s.4 (term of office left to the Rules); s.6(1)(a)-(f), 6(3), 6(5) (removal); s.87(2)(a) (Rules may set the Chairman's term)</t>
  </si>
  <si>
    <t xml:space="preserve">AI (low confidence), from Step 2 answer (Partially Answered) and BWSSB-02: I've left the score blank. The Citation Sheet doesn't show the tenure provision, and a 0 would need affirmative absence, which I can't establish.
What the Act says (BWSSB-02, BWSSB Act 1964, PRS consolidated text as amended up to Act 5 of 2011):
- s.4 doesn't set a term. It says the Chairman and other members hold office 'for such period ... as may be prescribed by the rules'.
- s.87(2)(a) lets the Rules provide for 'the term of office of the Chairman and other members'.
- So the tenure provision, if there is one, sits in the s.87 Rules. No such Rules are in the Citation Sheet. I searched for 'term of office Chairman rules tenure years' and 'Bangalore Water Supply and Sewerage Rules 1965 Chairman hold office' and found only the Act and the GBA Act.
- Because that layer of law is missing, 'no fixed tenure' is not established and a 0 is not allowed. Not found is not the same as absent.
Removal: s.6(1) lists grounds, but (e)(iv) adds an open-ended one: 'in the opinion of the State Government ... otherwise unfit to continue'. s.6(5) also lets the State remove the Chairman and the whole Board if the Board fails in its functions or ignores directions. Even if the Rules set a fixed term, whether this counts as removal 'only on defined grounds' (the top band) is a judgement the team needs to make. The fixed-term-plus-discretionary-removal case may fit no band (RUBRIC-GAP risk).
Which post is the executive authority is also unclear:
- The Act has no MD or CEO post.
- The Chairman (s.3(4)) is a State-appointed Board member, and the Act doesn't say whether the post is whole-time or executive.
- The Chief Administrative Officer-cum-Secretary (s.12) is a staff post appointed with State approval. The Act gives that post no tenure or removal clause.
Other sources checked:
- BWSSB-04 (GBA Act 2024, GBA era; s.13(1)(g) names the BWSSB Chairman on the GBA Executive Committee): no tenure provision for that post.
- BWSSB-11 (organisation chart page): the text I could see was only boilerplate site content, with no tenure content.
- BWSSB-01, BWSSB-07, BWSSB-12 and BWSSB-13 (BWSSB website pages): Step 2 checked them in the excerpts shown and found no tenure content.
The Step 2 answer matches the source.
Needed before scoring:
1. The BWSSB Rules made under s.87 (current version).
2. Any GO setting the Chairman's tenure.
3. Service regulations for the CAO-cum-Secretary.
4. The team's call on which post is the executive authority.
Quote: "4. Term of office and conditions for re-appointment of members of Board. —The 
Chairman and other members of the Board shall hold office for such period, and shall be 
eligible for re-appointment under such conditions, as may be prescribed by the rules."
"Score" left blank: the Citation Sheet doesn't decide it.</t>
  </si>
  <si>
    <t xml:space="preserve">Road Transport Corporations Act, 1950: officers and servants of the Corporation</t>
  </si>
  <si>
    <t xml:space="preserve">Section 14(3)(a), read with s.2(d), s.45(2)(e), s.8(1)-(2) and s.5(5)</t>
  </si>
  <si>
    <t xml:space="preserve">s.14(3)(a): the MD's conditions of appointment and service 'be such, as may be prescribed'</t>
  </si>
  <si>
    <t xml:space="preserve">9</t>
  </si>
  <si>
    <t xml:space="preserve">AI: left for a person. The AI's quote couldn't be found word for word in BMTC-02, so its answer was discarded. AI comments: SCORE BLANK: the Rules this depends on are not in the Citation Sheet, so this is 'not found', not an affirmative absence. The source supports the Step 2 answer, but I add one point it lacked. (1) Under the Act, the executive head is the Managing Director (MD). s.15(1): 'The Managing Director shall be the executive head of the Corporation'. The State Government appoints the MD under s.14(1). (2) The Act sets no term or minimum tenure for the MD. s.14(3)(a) hands the MD's conditions of appointment and service to Rules ('as may be prescribed'), and s.45(2)(e) lets those Rules cover them. Those Rules are BMTC's governing layer, and they are not in the sheet as text. BMTC-20 only lists 'KSRTC Rules, 1961.pdf' as a link. Its text was not read, and it is not confirmed that those Rules apply to BMTC. So a 0 cannot be given, because there is no affirmative absence, and there is no basis for 5 or 10. (3) New point: BMTC-09, the Directors List page on BMTC's own site (mybmtc.karnataka.gov.in), lists 'SRI. Raghunandan Murthy - IAS, Managing Director, BMTC ... DIRECTOR (Official)'. That settles Step 2's open question (b): the MD sits on the Board as a Director. So s.8(2) applies to the MD: 'The State Government may terminate the appointment of any Director after giving him notice for such period (being not less than one month) as may be prescribed'. This is discretionary termination on notice, not removal only on defined grounds. It points away from the top band. But the band still cannot be fixed without the Rules (and the MD's terms of appointment). This BMTC-09 point is website evidence of the board's current make-up and should be confirmed by a person. (4) Period: Act text as amended up to at least Act 63 of 1982. The copy is from a Telangana government site; whether it is the current consolidated text is not confirmed. Era n/a. (5) Checked: BMTC-02 (whole Act text in the sheet, ss.2, 5-8, 14-15, 44-45 and the annotations; the Binoy Kumar Mohanty note is about the Chairman, not the MD), BMTC-20 (list of Rules and Regulations only), BMTC-09 (Directors List), and a sheet-wide search for 'Managing Director term of office tenure'. That search returned only BMTC-02 for the MD; the other hits (BMTC-04 GBA Act, BMTC-06 BMLTA Act) are about other office-holders. BMTC's s.3 establishment notification and any Karnataka GO on the MD's terms are not in the sheet. NEEDED FOR A PERSON TO SCORE: the text of the KSRTC Rules, 1961 (or Rules specific to BMTC) on the MD's term and removal, and confirmation that they apply to BMTC.</t>
  </si>
  <si>
    <t xml:space="preserve">Chapter II (Constitution of the Authority) / provisions on the Commissioner</t>
  </si>
  <si>
    <t xml:space="preserve">Section 12 (Appointment of Commissioner), read with ss.3(3)(m), 5(1), 6, 13(1), 69(2)(c), 70(1)(f)</t>
  </si>
  <si>
    <t xml:space="preserve">s.12(1)-(3)</t>
  </si>
  <si>
    <t xml:space="preserve">23</t>
  </si>
  <si>
    <t xml:space="preserve">AI (low confidence), from Step 2 answer (Partially Answered) and BDA-02: No score given. 'Not found' is different from a 0, which needs confirmed absence. Following the Step 2 answer, I scored the Commissioner as BDA's executive head. s.13(1), substituted by Act 18 of 1981, says 'The Commissioner shall be the Chief Executive and Administrative Officer of the Authority.' WHAT I CHECKED IN BDA-02 (PRS copy, amended up to Act 42 of 2026): s.12(1)-(3) covers only appointment by the State Government ('not below the rank of Divisional Commissioner'), salary, and leave 'as it thinks fit'. It gives no term, no minimum tenure and no removal grounds. s.5(1) says 'Subject to the pleasure of the Government and the provisions of section 6, the Chairman and other members of the Authority shall hold office for a period of three years'. s.3(3)(m) makes the Commissioner an ex-officio member. It is unclear whether s.5(1) reaches an ex-officio member, whose seat follows the office he holds. Even if it does, this is a fixed term held at the Government's pleasure, not a protected minimum tenure. The s.6 removal grounds apply to 'a member', and s.6(d) allows removal where 'in the opinion of the Government' the member has abused his position. So it is not clear whether this would fit the higher or the middle band. If the s.5 reading applies, the case may fit no band at all (RUBRIC-GAP): a person needs to confirm this against the full question-bank rubric, which is not in front of me. A search for Commissioner tenure, term or removal turned up nothing more in BDA-02. In BDA-03 (GBA Act 2024) the tenure and acting-term language is about the GBA/City Corporation Commissioner, not the BDA Commissioner. BDA-04, BDA-05 and BDA-13 are Bills; they set no tenure for the BDA Commissioner and are not shown to have been enacted. BDA-06 (KTCP Act) does not cover the BDA Commissioner's tenure. WHY NO 0: s.69(2)(c) allows Rules on 'the conditions of service of the Chairman and other members'. No BDA Rules under s.69 are in the Citation Sheet, and nor are any Karnataka or All-India service instruments on minimum tenure for the officer posted as Commissioner. So the Act layer has been read, but the Rules and notifications layers are missing, and there is no confirmed absence. FOR A PERSON TO CHECK: (1) Get the BDA Rules made under s.69, and any GO or notification on the Commissioner's tenure. (2) Decide whether state or All-India civil-service minimum-tenure provisions count as 'the law' for this question. (3) Decide whether s.5(1)/s.6 applies to the ex-officio Commissioner, and how the rubric treats a fixed term held at the Government's pleasure. Also note that the BDA Act text is a PRS secondary copy, not the gazette text.
Quote: "The State  Government shall appoint an officer, not  below the rank of Divisional Commissioner, to be the Commissioner  for  the Authority."
"Score" left blank: the Citation Sheet doesn't decide it.</t>
  </si>
  <si>
    <t xml:space="preserve">Chapter XIII – Appointment and Remuneration of Managerial Personnel</t>
  </si>
  <si>
    <t xml:space="preserve">Section 196</t>
  </si>
  <si>
    <t xml:space="preserve">196(2) and its proviso; read with s.196(4), s.203(2) and s.169(1)</t>
  </si>
  <si>
    <t xml:space="preserve">119</t>
  </si>
  <si>
    <t xml:space="preserve">AI (low confidence), from Step 2 answer (Partially Answered) and BMRCL-06: I left the score blank because the Citation Sheet cannot decide it. A 0 needs affirmative absence, and two layers of the instrument stack are missing from the sheet.
What the Step 2 answer gets right, checked against the sources:
(1) Companies Act, 2013 (BMRCL-06), as enacted (Gazette text). s.196(2) is a 5-year upper limit ('for a term exceeding five years at a time'). It is not a fixed or minimum term.
(2) Under s.196(4) and s.203(2), the Board sets the MD's terms and conditions.
(3) Under s.169(1), 'A company may, by ordinary resolution, remove a director ... before the expiry of the period of his office'. Shareholders can remove at their discretion; there are no defined grounds.
(4) The BMRCL Annual Report FY2020-21 (BMRCL-09, pp.45-46) says 'the Government of Karnataka has the right to appoint the full-time Managing Director &amp; Chief Executive Officer'. It also says the company is governed by its Memorandum and Articles of Association. It gives no MD term. MD changes are recorded as nominations 'with effect from' a date, and two MDs held the post in 2021 alone (Rakesh Singh on concurrent charge from 9 Apr 2021, then Anjum Parwez from 15 Jul 2021). That points to no fixed tenure, but it is practice, not law.
(5) BMRCL-04 (Metro Railways O&amp;M Act; tenure rules only for the Claims Commissioner), BMRCL-02 and BMRCL-03 (GBG Act and its Amendment Bill; the MD is named only as a GBA committee member), BMRCL-08 (BMLTA's own CEO) and BMRCL-07 (KTCP Act): none sets a tenure for the BMRCL MD.
What is not in the sheet: BMRCL's Memorandum and Articles of Association; the GoK nomination orders or service conditions for the MD; the GoI-GoK joint venture agreement; and any MCA exemption notification for government companies that modifies ss.196 or 169. The Articles are the instrument BMRCL-09 itself says governs the Board, so a tenure clause could sit there.
If the missing layers also show no minimum tenure or protection against removal, the evidence points to band 0. A person should check this.
RTI target: PIO, BMRCL, and PIO, UDD, Government of Karnataka. Ask for the current Articles (the MD appointment, term and removal clauses) and for the MD nomination orders from 2021 to date.
Period: Companies Act as enacted, with later amendments not checked; Annual Report FY2020-21, with events after the year-end up to Aug 2021. Era: n/a.
Quote: "No company shall appoint or re-appoint any person as its managing director, whole-time director or manager for a term exceeding five years at a time:"
"Score" left blank: the Citation Sheet doesn't decide it.</t>
  </si>
  <si>
    <t xml:space="preserve">AI: left for a person. Step 2 found no evidence (Insufficient Evidence). Source needed: The current amended text of the Bangalore Metropolitan Region Development Authority Act, 1985 (Karnataka Act 39 of 1985), from the Karnataka legislation portal or eGazette, especially the section on appointing the Metropolitan Commissioner and any term or removal clause. Also the BMRDA Cadre and Recruitment Rules 2008, the BMRDA Regulations 1996/1999/2000, and any UDD or DPAR notification setting the Metropolitan Commissioner's term.</t>
  </si>
  <si>
    <t xml:space="preserve">AI: left for a person. Step 2 found no evidence (Insufficient Evidence). Source needed: To answer this, the research team needs: Karnataka DPAR / Urban Development Department government orders or eGazette notifications appointing or transferring the Chairman of BWSSB (and any additional or acting-charge orders) from 2021 to 2026; a dated list of past Chairmen from BWSSB, if one exists; or BWSSB annual reports or RTI s.4(1)(b) disclosures that name the Chairman with dates. The BWSSB Rules that set the Chairman's term (s.4, s.87(2)(a)) would also help confirm whether the Chairman is whole-time.</t>
  </si>
  <si>
    <t xml:space="preserve">Press Releases page, 2021-22 / April-2022 list</t>
  </si>
  <si>
    <t xml:space="preserve">Press release entry dated 20/04/2022 (title only; links to 'MD BMTC - Kan.pdf')</t>
  </si>
  <si>
    <t xml:space="preserve">AI (low confidence), from Step 2 answer (Partially Answered) and BMTC-28: Score left blank because the Citation Sheet does not show how many people held the post, so the band cannot be chosen. (1) Which post counts: Step 2 relies on RTC Act 1950 s.15(1) (BMTC-02), under which the Managing Director is the executive head. I did not re-read that section here. (2) What the sheet shows: BMTC-28 (official press-release list) has one entry about the MD post, dated 20/04/2022: 'Smt. G. Sathyavathi, IAS assumed the charges as Managing Director of BMTC on 20.04.2022'. BMTC-09 (Directors List, undated; site footer 'Last Updated: 30-09-2026') names 'SRI. Raghunandan Murthy - IAS, Managing Director, BMTC' as the current MD. So at least 2 people held the post in the five-year window (about Oct 2021 to Sep 2026), which rules out the 10 band (one chief executive). (3) What is missing: the sheet does not name whoever was MD before 20.04.2022 (that person was in office during Oct 2021 to Apr 2022, so would likely be a third holder). It also has no record of anyone between Sathyavathi and Raghunandan Murthy, no date for Raghunandan Murthy's appointment, no joining or relieving dates, and nothing showing whether each charge was substantive or additional. That means 2, 3 or more holders are all possible, so I cannot tell the 5 band (2-3) from the 0 band (more than 3). (4) Checked: a sheet-wide search for 'Managing Director assumed charges BMTC'; BMTC-28 press releases (2019-2024 entries shown; the only MD-related entries are the 20.04.2022 charge and a 27/06/2022 'Media address by the Managing Director'); the BMTC-09 Directors List. The sheet has no DPAR (Karnataka) transfer or appointment orders and no Gazette notifications. The 0 band is not given because the holders are not shown to be absent from the record. The count simply cannot be determined. Also, the evidence is website listings, not appointment orders. For a person to finish: get the DPAR (Services) orders appointing or transferring the BMTC MD, or giving additional charge, for Oct 2021 to date, or file an RTI with the PIO at BMTC Central Office. Then confirm the predecessor before 20.04.2022, any interim holders, and Raghunandan Murthy's joining date, and work out the average tenure.
Quote: "Smt. G. Sathyavathi, IAS assumed the charges as Managing Director of BMTC on 20.04.2022-20/04/2022April-2022"
"Score" left blank: the Citation Sheet doesn't decide it.</t>
  </si>
  <si>
    <t xml:space="preserve">AI: left for a person. Step 2 found no evidence (Insufficient Evidence). Source needed: Official Karnataka Government (DPAR or Urban Development Department) notifications or Karnataka Gazette entries appointing or transferring BDA Commissioners over the last five years, or an official BDA web page listing past Commissioners with dates. Each must show whether the officer held full charge or additional/acting charge.</t>
  </si>
  <si>
    <t xml:space="preserve">Board's Report – General Information</t>
  </si>
  <si>
    <t xml:space="preserve">Appointment of Managing Director and Director after the end of the Financial year 31.03.2021</t>
  </si>
  <si>
    <t xml:space="preserve">Page 39 of the PDF (page 37 of the report); also the Board of Directors list on page 4 of the PDF</t>
  </si>
  <si>
    <t xml:space="preserve">39</t>
  </si>
  <si>
    <t xml:space="preserve">AI: left for a person. Step 2 found no evidence (Insufficient Evidence). Source needed: Needed: (1) BMRCL annual reports (Board's Report, section on changes among Directors and KMP) for FY 2021-22 to FY 2025-26. (2) Government of Karnataka UDD/DPAR orders appointing or transferring the BMRCL Managing Director from about Sept 2021 to Sept 2026, marking any concurrent or additional charge. (3) A dated BMRCL official-website page listing past Managing Directors.</t>
  </si>
  <si>
    <t xml:space="preserve">Annexure-1 (officers and staff serving 01-04-2022 to 31-03-2023)</t>
  </si>
  <si>
    <t xml:space="preserve">Annexure-1, row 1 (Metropolitan Commissioner)</t>
  </si>
  <si>
    <t xml:space="preserve">p.16</t>
  </si>
  <si>
    <r>
      <rPr>
        <sz val="11"/>
        <color theme="1"/>
        <rFont val="Calibri"/>
        <family val="2"/>
        <charset val="1"/>
      </rPr>
      <t xml:space="preserve">AI (low confidence), from Step 2 answer (Partially Answered) and BMRDA-03: The Score is blank because the Citation Sheet can't tell us how many chief executives BMRDA has had in the last five years. That count sets the band: 2-3 holders scores 5, more than 3 scores 0. I checked the Step 2 answer against BMRDA-03. Annexure-1, row 1, is in legacy Nudi Kannada font. Decoded, it names Girish C. Hosur, IFS, as Metropolitan Commissioner (</t>
    </r>
    <r>
      <rPr>
        <sz val="11"/>
        <color theme="1"/>
        <rFont val="Noto Sans"/>
        <family val="2"/>
      </rPr>
      <t xml:space="preserve">ಮಹಾನಗರ ಆಯುಕ್ತರು</t>
    </r>
    <r>
      <rPr>
        <sz val="11"/>
        <color theme="1"/>
        <rFont val="Calibri"/>
        <family val="2"/>
        <charset val="1"/>
      </rPr>
      <t xml:space="preserve">) from 18.01.2022 'till date' (to 31.03.2023), parent department DPAR. BMRDA-06, the Contact Us page with a 2026 footer, lists 'Sri. Rajendra P Cholan, Metropolitan Commissioner' with no start date. That gives at least 2 different MCs in the window. If the window runs to about 2026, it starts around 2021, before 18.01.2022. Someone probably held the MC post, perhaps on additional charge, between the window start and 18.01.2022, but no source in the sheet names them. The sheet also doesn't show who held the post between 31.03.2023 and Cholan's arrival. So the count could be 2, 3 or more, and the 5-vs-0 band can't be decided. Rows 3-5 (Siddeshwara N; Dr N. Shrimadhavi, in-charge 02.02.2023-02.03.2023; N.S. Chidananda) are Additional MC posts, not the MC post, so I didn't count them. I also searched the whole sheet for MC appointment, transfer or additional-charge records and found none. BMRDA-13 (Introduction page) and BMRDA-05 (Home) have no list of MCs. BMRDA-10 and BMRDA-11 name the MC only as an ex-officio member of other bodies. The BMRDA Act 1985 and any DPAR orders or gazette notifications are not in the sheet. This is not affirmative absence; the evidence is just missing. The question's full rubric text was not provided here. I used the band reading (2-3 = 5, &gt;3 = 0) from the Step 2 answer, and a reviewer should confirm it against the question bank. A reviewer should also: (1) check the decoded Annexure-1 row 1 against the PDF; (2) get DPAR orders on MC postings for about 2021-2026, through the RTI request suggested in Step 2 or from the DPAR transfer-orders page; (3) confirm from the BMRDA Act 1985 that the MC is the chief executive. Annual reports for 2021-22, 2023-24 and 2024-25 would also help.
Quote: "1. VjÃ±ï.¹.ºÉÆ¸ÀÆgï, IFS ªÀÄºÁ£ÀUÀgÀ DAiÀÄÄPÀÛgÀÄ 18.01.2022 FªÀgÉUÉ r.¦.J.Dgï"
"Score" left blank: the Citation Sheet doesn't decide it.</t>
    </r>
  </si>
  <si>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</si>
  <si>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</si>
  <si>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</si>
  <si>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</si>
  <si>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left for a person. Step 2 found no evidence (Insufficient Evidence). Source needed: Two figures are needed, both dated and for the same date: BWSSB's sanctioned posts and its filled (working) posts, by cadre, stating whether contractual staff within the approved structure are included. Likely sources: the BWSSB 'Staffing Pattern' page; the 2026 re-organisation OM with Annexures 1 and 2 (sanctioned and deployed posts); the Section 4(1)(b) disclosures (items ii and ix); the Annual Performance Report or annual report; or an RTI reply.</t>
  </si>
  <si>
    <t xml:space="preserve">AI: left for a person. Step 2 found no evidence (Human Verification Required). Source needed: A dated official record of BMTC's sanctioned (approved) strength by cadre, with working strength against it. This could be: BMTC's RTI Section 4(1)(b) proactive disclosure (particulars of the organisation and its employees); BMTC's latest annual report or administration report tabled in the Karnataka legislature, which usually tables sanctioned vs working strength; or a CAG audit report on BMTC that gives manpower figures. The record should also say whether contractual or outsourced crew are part of the approved structure.</t>
  </si>
  <si>
    <t xml:space="preserve">AI: left for a person. Step 2 found no evidence (Insufficient Evidence). Source needed: Current, dated staffing records for BDA showing sanctioned and filled (working) positions, permanent and contractual. Possible sources: a BDA annual report (s.47A report tabled in the Legislature), BDA's RTI s.4(1)(b) disclosure of its staff directory and sanctioned strength, the government order sanctioning the s.49 schedule with a working-strength table, or an RTI reply or formal data request to BDA.</t>
  </si>
  <si>
    <t xml:space="preserve">AI: left for a person. Step 2 found no evidence (Insufficient Evidence). Source needed: Sanctioned posts against posts filled for both BMRCL wings (Project, and Operations &amp; Maintenance), for the current year. The Board-approved or Government-of-Karnataka-approved manpower or cadre table should show this, as should a recent BMRCL annual report's HR section with sanctioned and working strength. It should state whether contract and deputation posts form part of the approved structure. It could also come from an RTI reply or a formal data request to BMRCL.</t>
  </si>
  <si>
    <t xml:space="preserve">Annual Report 2022-23 (English section)</t>
  </si>
  <si>
    <t xml:space="preserve">Para 11 'Staff position', p.15</t>
  </si>
  <si>
    <t xml:space="preserve">Post-by-post list in Annexure-1 (Kannada), p.16 onward; matching Kannada paragraph is para 12</t>
  </si>
  <si>
    <t xml:space="preserve">AI (low confidence), from Step 2 answer (Partially Answered) and BMRDA-03: I left the score blank. The only staffing figures are from FY 2022-23, which is too old to show current staffing for a September 2026 assessment.
1. Check against the source: The Step 2 figures match BMRDA-03 exactly. As on 31.03.2023 there were 56 sanctioned posts, 27 filled and 29 vacant. 27/56 = 48.21%. The Kannada paragraph says the same: 56 sanctioned, 27 filled, 29 vacant.
2. Band: Step 2 reports the rubric band 'Score 2 – 40%–59%'. 48.21% falls in that band. If the team accepts FY 2022-23 as the latest available year, the score would be 2.
3. Why I did not enter 2: This is an Implementation question about current staffing. The only figure is as on 31.03.2023, about 3.5 years before the assessment, so it is at most partial evidence. I searched the whole Citation Sheet for staffing figures (sanctioned, filled, vacant, staff strength) and found nothing newer. I also read BMRDA-01, -02 and -13, which Step 2 had not reviewed. They are website shell, policy and help text with no staffing data. Step 2 found no staffing data in BMRDA-05, -06, -07 and -12 (website pages) or in BMRDA-08, -10 and -11 (laws). The question's full rubric text was not given to me, so the band comes from Step 2's report of it.
4. Other open points:
- The report does not say whether contractual or outsourced staff are inside the 56 sanctioned or 27 filled posts.
- Annexure-1 marks several posts as temporary ('tatkalika huddhe').
- Many filled posts are held by officers on deputation from DPAR, the Town Planning Department and State Accounts.
- Annexure-1 could not be machine-checked against the 56/27 totals.
5. For the team to confirm:
(a) whether FY 2022-23 can count as the latest available year (if yes, score 2);
(b) whether contractual staff are included in the counts.
Suggested RTI to the PIO, Administration &amp; Revenue Section, BMRDA: sanctioned, filled and vacant posts by cadre as on the latest date and as on 31.03.2024 and 31.03.2025, with permanent, deputation and contractual staff listed separately.
Quote: "The sanctioned staff strength for the Authority as on the 31.03.2023 is 56, out of this, only 27   posts have been filled up and the remaining 29 posts are vacant."
"Score" left blank: the Citation Sheet doesn't decide it.</t>
  </si>
  <si>
    <t xml:space="preserve">AI: left for a person. Step 2 found no evidence (Insufficient Evidence). Source needed: Any of these would answer it: an official BWSSB staffing statement for the latest date (sanctioned vs working strength by cadre, with the number of women among filled posts); a BWSSB annual report or Annual Performance Report (4(1)(b)xvii) that gives employee numbers by gender; or an RTI reply or formal data request giving filled posts and women employees, broken down for senior/decision-making posts and technical/professional cadres.</t>
  </si>
  <si>
    <t xml:space="preserve">AI: left for a person. Step 2 found no evidence (Insufficient Evidence). Source needed: A dated official record of BMTC staff split by gender would answer this, for example: the latest BMTC annual report (laid before the State Legislature) or HR/establishment statistics giving working strength by gender and cadre; an RTI Section 4(1)(b) disclosure or RTI reply giving the number of women among filled posts; or a formal data request to BMTC. The best source would also split women by senior/decision-making posts and technical/professional cadres.</t>
  </si>
  <si>
    <t xml:space="preserve">AI: left for a person. Step 2 found no evidence (Insufficient Evidence). Source needed: BDA's latest staffing data, dated, broken down by sex: the number of women employees and the total filled posts, ideally also by cadre (senior or decision-making posts, and engineering, town-planning or other technical posts). Possible sources: BDA's most recent annual report (including a copy tabled in the Karnataka Legislature), an establishment or staff-strength table on BDA's official website, a proactive disclosure under RTI Act s.4(1)(b) (the directory of officers and employees), or a reply to an RTI request or formal data request.</t>
  </si>
  <si>
    <t xml:space="preserve">AI: left for a person. Step 2 found no evidence (Insufficient Evidence). Source needed: BMRCL's latest annual report or HR/staffing statement giving the number of women employees and total filled posts, split by wing and cadre (executive/non-executive, technical/professional, senior management). Alternatively, an RTI reply or formal data request from BMRCL with that data for the latest date.</t>
  </si>
  <si>
    <t xml:space="preserve">AI: left for a person. Step 2 found no evidence (Insufficient Evidence). Source needed: A dated staffing table from BMRDA that breaks filled posts down by gender. This could be an annual report annexure with a gender column, an RTI Section 4(1)(b) staff list, or a reply to an RTI or formal data request. Ideally it would also show women in senior/decision-making posts and in technical (Town and Country Planning) cadres, for the latest year.</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</si>
</sst>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family val="2"/>
    </font>
    <font>
      <b val="true"/>
      <sz val="14"/>
      <name val="Cambria"/>
      <family val="0"/>
      <charset val="1"/>
    </font>
    <font>
      <i val="true"/>
      <sz val="11"/>
      <name val="Cambria"/>
      <family val="0"/>
      <charset val="1"/>
    </font>
    <font>
      <b val="true"/>
      <sz val="9"/>
      <name val="Cambria"/>
      <family val="0"/>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DDE7F0"/>
          <bgColor rgb="FF000000"/>
        </patternFill>
      </fill>
    </dxf>
    <dxf>
      <fill>
        <patternFill patternType="solid">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16"/>
    <col collapsed="false" customWidth="true" hidden="false" outlineLevel="0" max="10" min="10" style="0" width="20"/>
    <col collapsed="false" customWidth="true" hidden="false" outlineLevel="0" max="11" min="11" style="0" width="60"/>
    <col collapsed="false" customWidth="true" hidden="false" outlineLevel="0" max="12" min="12" style="0" width="36"/>
    <col collapsed="false" customWidth="true" hidden="false" outlineLevel="0" max="13" min="13" style="0" width="30"/>
    <col collapsed="false" customWidth="true" hidden="false" outlineLevel="0" max="14" min="14" style="0" width="50"/>
    <col collapsed="false" customWidth="true" hidden="false" outlineLevel="0" max="15" min="15" style="0" width="70"/>
    <col collapsed="false" customWidth="true" hidden="false" outlineLevel="0" max="16" min="16" style="0" width="50"/>
  </cols>
  <sheetData>
    <row r="1" customFormat="false" ht="39.55" hidden="false" customHeight="fals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row>
    <row r="2" customFormat="false" ht="561.15" hidden="false" customHeight="false" outlineLevel="0" collapsed="false">
      <c r="A2" s="3" t="s">
        <v>16</v>
      </c>
      <c r="B2" s="3" t="s">
        <v>17</v>
      </c>
      <c r="C2" s="3"/>
      <c r="D2" s="3" t="n">
        <f aca="false">IFERROR(UPD1a!J13,"")</f>
        <v>1.25</v>
      </c>
      <c r="E2" s="3"/>
      <c r="F2" s="4"/>
      <c r="G2" s="4"/>
      <c r="H2" s="5" t="str">
        <f aca="false">IF(OR(F2="",NOT(ISNUMBER(D2))),"",IF(ABS(F2-D2)&lt;0.001,"Yes","No"))</f>
        <v/>
      </c>
      <c r="I2" s="3" t="s">
        <v>18</v>
      </c>
      <c r="J2" s="3" t="s">
        <v>19</v>
      </c>
      <c r="K2" s="3" t="s">
        <v>20</v>
      </c>
      <c r="L2" s="3" t="s">
        <v>21</v>
      </c>
      <c r="M2" s="3" t="s">
        <v>22</v>
      </c>
      <c r="N2" s="3" t="s">
        <v>23</v>
      </c>
      <c r="O2" s="3" t="s">
        <v>24</v>
      </c>
      <c r="P2" s="3" t="s">
        <v>25</v>
      </c>
    </row>
    <row r="3" customFormat="false" ht="527.6" hidden="false" customHeight="false" outlineLevel="0" collapsed="false">
      <c r="A3" s="3" t="s">
        <v>16</v>
      </c>
      <c r="B3" s="3" t="s">
        <v>26</v>
      </c>
      <c r="C3" s="3"/>
      <c r="D3" s="3" t="str">
        <f aca="false">IFERROR(UPD1a!J14,"")</f>
        <v/>
      </c>
      <c r="E3" s="3"/>
      <c r="F3" s="4"/>
      <c r="G3" s="4"/>
      <c r="H3" s="5" t="str">
        <f aca="false">IF(OR(F3="",NOT(ISNUMBER(D3))),"",IF(ABS(F3-D3)&lt;0.001,"Yes","No"))</f>
        <v/>
      </c>
      <c r="I3" s="3" t="s">
        <v>18</v>
      </c>
      <c r="J3" s="3" t="s">
        <v>19</v>
      </c>
      <c r="K3" s="3" t="s">
        <v>27</v>
      </c>
      <c r="L3" s="3" t="s">
        <v>28</v>
      </c>
      <c r="M3" s="3" t="s">
        <v>29</v>
      </c>
      <c r="N3" s="3" t="s">
        <v>30</v>
      </c>
      <c r="O3" s="3" t="s">
        <v>31</v>
      </c>
      <c r="P3" s="3" t="s">
        <v>25</v>
      </c>
    </row>
    <row r="4" customFormat="false" ht="617.15" hidden="false" customHeight="false" outlineLevel="0" collapsed="false">
      <c r="A4" s="3" t="s">
        <v>16</v>
      </c>
      <c r="B4" s="3" t="s">
        <v>32</v>
      </c>
      <c r="C4" s="3"/>
      <c r="D4" s="3" t="n">
        <f aca="false">IFERROR(UPD1a!J15,"")</f>
        <v>3.75</v>
      </c>
      <c r="E4" s="3"/>
      <c r="F4" s="4"/>
      <c r="G4" s="4"/>
      <c r="H4" s="5" t="str">
        <f aca="false">IF(OR(F4="",NOT(ISNUMBER(D4))),"",IF(ABS(F4-D4)&lt;0.001,"Yes","No"))</f>
        <v/>
      </c>
      <c r="I4" s="3" t="s">
        <v>18</v>
      </c>
      <c r="J4" s="3" t="s">
        <v>19</v>
      </c>
      <c r="K4" s="3" t="s">
        <v>33</v>
      </c>
      <c r="L4" s="3" t="s">
        <v>34</v>
      </c>
      <c r="M4" s="3" t="s">
        <v>35</v>
      </c>
      <c r="N4" s="3" t="s">
        <v>36</v>
      </c>
      <c r="O4" s="3" t="s">
        <v>37</v>
      </c>
      <c r="P4" s="3" t="s">
        <v>25</v>
      </c>
    </row>
    <row r="5" customFormat="false" ht="572.35" hidden="false" customHeight="false" outlineLevel="0" collapsed="false">
      <c r="A5" s="3" t="s">
        <v>16</v>
      </c>
      <c r="B5" s="3" t="s">
        <v>38</v>
      </c>
      <c r="C5" s="3"/>
      <c r="D5" s="3" t="n">
        <f aca="false">IFERROR(UPD1a!J16,"")</f>
        <v>0</v>
      </c>
      <c r="E5" s="3"/>
      <c r="F5" s="4"/>
      <c r="G5" s="4"/>
      <c r="H5" s="5" t="str">
        <f aca="false">IF(OR(F5="",NOT(ISNUMBER(D5))),"",IF(ABS(F5-D5)&lt;0.001,"Yes","No"))</f>
        <v/>
      </c>
      <c r="I5" s="3" t="s">
        <v>18</v>
      </c>
      <c r="J5" s="3" t="s">
        <v>19</v>
      </c>
      <c r="K5" s="3" t="s">
        <v>39</v>
      </c>
      <c r="L5" s="3" t="s">
        <v>40</v>
      </c>
      <c r="M5" s="3" t="s">
        <v>29</v>
      </c>
      <c r="N5" s="3" t="s">
        <v>41</v>
      </c>
      <c r="O5" s="3" t="s">
        <v>42</v>
      </c>
      <c r="P5" s="3" t="s">
        <v>25</v>
      </c>
    </row>
    <row r="6" customFormat="false" ht="135.8" hidden="false" customHeight="false" outlineLevel="0" collapsed="false">
      <c r="A6" s="3" t="s">
        <v>16</v>
      </c>
      <c r="B6" s="3" t="s">
        <v>43</v>
      </c>
      <c r="C6" s="3"/>
      <c r="D6" s="3" t="n">
        <f aca="false">IFERROR(UPD1a!J17,"")</f>
        <v>0</v>
      </c>
      <c r="E6" s="3"/>
      <c r="F6" s="4"/>
      <c r="G6" s="4"/>
      <c r="H6" s="5" t="str">
        <f aca="false">IF(OR(F6="",NOT(ISNUMBER(D6))),"",IF(ABS(F6-D6)&lt;0.001,"Yes","No"))</f>
        <v/>
      </c>
      <c r="I6" s="3" t="s">
        <v>18</v>
      </c>
      <c r="J6" s="3" t="s">
        <v>44</v>
      </c>
      <c r="K6" s="3"/>
      <c r="L6" s="3"/>
      <c r="M6" s="3"/>
      <c r="N6" s="3"/>
      <c r="O6" s="3"/>
      <c r="P6" s="3" t="s">
        <v>45</v>
      </c>
    </row>
    <row r="7" customFormat="false" ht="113.4" hidden="false" customHeight="false" outlineLevel="0" collapsed="false">
      <c r="A7" s="3" t="s">
        <v>46</v>
      </c>
      <c r="B7" s="3" t="s">
        <v>17</v>
      </c>
      <c r="C7" s="3"/>
      <c r="D7" s="3" t="n">
        <f aca="false">IFERROR(UPD1b!J13,"")</f>
        <v>5</v>
      </c>
      <c r="E7" s="3"/>
      <c r="F7" s="4"/>
      <c r="G7" s="4"/>
      <c r="H7" s="5" t="str">
        <f aca="false">IF(OR(F7="",NOT(ISNUMBER(D7))),"",IF(ABS(F7-D7)&lt;0.001,"Yes","No"))</f>
        <v/>
      </c>
      <c r="I7" s="3" t="s">
        <v>18</v>
      </c>
      <c r="J7" s="3" t="s">
        <v>44</v>
      </c>
      <c r="K7" s="3"/>
      <c r="L7" s="3"/>
      <c r="M7" s="3"/>
      <c r="N7" s="3"/>
      <c r="O7" s="3"/>
      <c r="P7" s="3" t="s">
        <v>47</v>
      </c>
    </row>
    <row r="8" customFormat="false" ht="158.2" hidden="false" customHeight="false" outlineLevel="0" collapsed="false">
      <c r="A8" s="3" t="s">
        <v>46</v>
      </c>
      <c r="B8" s="3" t="s">
        <v>26</v>
      </c>
      <c r="C8" s="3"/>
      <c r="D8" s="3" t="str">
        <f aca="false">IFERROR(UPD1b!J14,"")</f>
        <v/>
      </c>
      <c r="E8" s="3"/>
      <c r="F8" s="4"/>
      <c r="G8" s="4"/>
      <c r="H8" s="5" t="str">
        <f aca="false">IF(OR(F8="",NOT(ISNUMBER(D8))),"",IF(ABS(F8-D8)&lt;0.001,"Yes","No"))</f>
        <v/>
      </c>
      <c r="I8" s="3" t="s">
        <v>18</v>
      </c>
      <c r="J8" s="3" t="s">
        <v>44</v>
      </c>
      <c r="K8" s="3"/>
      <c r="L8" s="3"/>
      <c r="M8" s="3"/>
      <c r="N8" s="3"/>
      <c r="O8" s="3"/>
      <c r="P8" s="3" t="s">
        <v>48</v>
      </c>
    </row>
    <row r="9" customFormat="false" ht="158.2" hidden="false" customHeight="false" outlineLevel="0" collapsed="false">
      <c r="A9" s="3" t="s">
        <v>46</v>
      </c>
      <c r="B9" s="3" t="s">
        <v>32</v>
      </c>
      <c r="C9" s="3"/>
      <c r="D9" s="3" t="str">
        <f aca="false">IFERROR(UPD1b!J15,"")</f>
        <v/>
      </c>
      <c r="E9" s="3"/>
      <c r="F9" s="4"/>
      <c r="G9" s="4"/>
      <c r="H9" s="5" t="str">
        <f aca="false">IF(OR(F9="",NOT(ISNUMBER(D9))),"",IF(ABS(F9-D9)&lt;0.001,"Yes","No"))</f>
        <v/>
      </c>
      <c r="I9" s="3" t="s">
        <v>18</v>
      </c>
      <c r="J9" s="3" t="s">
        <v>44</v>
      </c>
      <c r="K9" s="3"/>
      <c r="L9" s="3"/>
      <c r="M9" s="3"/>
      <c r="N9" s="3"/>
      <c r="O9" s="3"/>
      <c r="P9" s="3" t="s">
        <v>49</v>
      </c>
    </row>
    <row r="10" customFormat="false" ht="135.8" hidden="false" customHeight="false" outlineLevel="0" collapsed="false">
      <c r="A10" s="3" t="s">
        <v>46</v>
      </c>
      <c r="B10" s="3" t="s">
        <v>38</v>
      </c>
      <c r="C10" s="3"/>
      <c r="D10" s="3" t="str">
        <f aca="false">IFERROR(UPD1b!J16,"")</f>
        <v/>
      </c>
      <c r="E10" s="3"/>
      <c r="F10" s="4"/>
      <c r="G10" s="4"/>
      <c r="H10" s="5" t="str">
        <f aca="false">IF(OR(F10="",NOT(ISNUMBER(D10))),"",IF(ABS(F10-D10)&lt;0.001,"Yes","No"))</f>
        <v/>
      </c>
      <c r="I10" s="3" t="s">
        <v>18</v>
      </c>
      <c r="J10" s="3" t="s">
        <v>44</v>
      </c>
      <c r="K10" s="3"/>
      <c r="L10" s="3"/>
      <c r="M10" s="3"/>
      <c r="N10" s="3"/>
      <c r="O10" s="3"/>
      <c r="P10" s="3" t="s">
        <v>50</v>
      </c>
    </row>
    <row r="11" customFormat="false" ht="135.8" hidden="false" customHeight="false" outlineLevel="0" collapsed="false">
      <c r="A11" s="3" t="s">
        <v>46</v>
      </c>
      <c r="B11" s="3" t="s">
        <v>43</v>
      </c>
      <c r="C11" s="3"/>
      <c r="D11" s="3" t="str">
        <f aca="false">IFERROR(UPD1b!J17,"")</f>
        <v/>
      </c>
      <c r="E11" s="3"/>
      <c r="F11" s="4"/>
      <c r="G11" s="4"/>
      <c r="H11" s="5" t="str">
        <f aca="false">IF(OR(F11="",NOT(ISNUMBER(D11))),"",IF(ABS(F11-D11)&lt;0.001,"Yes","No"))</f>
        <v/>
      </c>
      <c r="I11" s="3" t="s">
        <v>18</v>
      </c>
      <c r="J11" s="3" t="s">
        <v>44</v>
      </c>
      <c r="K11" s="3"/>
      <c r="L11" s="3"/>
      <c r="M11" s="3"/>
      <c r="N11" s="3"/>
      <c r="O11" s="3"/>
      <c r="P11" s="3" t="s">
        <v>51</v>
      </c>
    </row>
    <row r="12" customFormat="false" ht="617.15" hidden="false" customHeight="false" outlineLevel="0" collapsed="false">
      <c r="A12" s="3" t="s">
        <v>52</v>
      </c>
      <c r="B12" s="3" t="s">
        <v>17</v>
      </c>
      <c r="C12" s="3"/>
      <c r="D12" s="3" t="n">
        <f aca="false">IFERROR(UPD2a!J13,"")</f>
        <v>0</v>
      </c>
      <c r="E12" s="3"/>
      <c r="F12" s="4"/>
      <c r="G12" s="4"/>
      <c r="H12" s="5" t="str">
        <f aca="false">IF(OR(F12="",NOT(ISNUMBER(D12))),"",IF(ABS(F12-D12)&lt;0.001,"Yes","No"))</f>
        <v/>
      </c>
      <c r="I12" s="3" t="s">
        <v>18</v>
      </c>
      <c r="J12" s="3" t="s">
        <v>19</v>
      </c>
      <c r="K12" s="3" t="s">
        <v>53</v>
      </c>
      <c r="L12" s="3" t="s">
        <v>54</v>
      </c>
      <c r="M12" s="3" t="s">
        <v>29</v>
      </c>
      <c r="N12" s="3" t="s">
        <v>55</v>
      </c>
      <c r="O12" s="3" t="s">
        <v>56</v>
      </c>
      <c r="P12" s="3" t="s">
        <v>25</v>
      </c>
    </row>
    <row r="13" customFormat="false" ht="158.2" hidden="false" customHeight="false" outlineLevel="0" collapsed="false">
      <c r="A13" s="3" t="s">
        <v>57</v>
      </c>
      <c r="B13" s="3" t="s">
        <v>17</v>
      </c>
      <c r="C13" s="3"/>
      <c r="D13" s="3" t="str">
        <f aca="false">IFERROR(UPD2b!J13,"")</f>
        <v/>
      </c>
      <c r="E13" s="3"/>
      <c r="F13" s="4"/>
      <c r="G13" s="4"/>
      <c r="H13" s="5" t="str">
        <f aca="false">IF(OR(F13="",NOT(ISNUMBER(D13))),"",IF(ABS(F13-D13)&lt;0.001,"Yes","No"))</f>
        <v/>
      </c>
      <c r="I13" s="3" t="s">
        <v>18</v>
      </c>
      <c r="J13" s="3" t="s">
        <v>44</v>
      </c>
      <c r="K13" s="3"/>
      <c r="L13" s="3"/>
      <c r="M13" s="3"/>
      <c r="N13" s="3"/>
      <c r="O13" s="3"/>
      <c r="P13" s="3" t="s">
        <v>58</v>
      </c>
    </row>
    <row r="14" customFormat="false" ht="482.8" hidden="false" customHeight="false" outlineLevel="0" collapsed="false">
      <c r="A14" s="3" t="s">
        <v>59</v>
      </c>
      <c r="B14" s="3" t="s">
        <v>26</v>
      </c>
      <c r="C14" s="3"/>
      <c r="D14" s="3" t="n">
        <f aca="false">IFERROR(UPD2c!J14,"")</f>
        <v>2.5</v>
      </c>
      <c r="E14" s="3"/>
      <c r="F14" s="4"/>
      <c r="G14" s="4"/>
      <c r="H14" s="5" t="str">
        <f aca="false">IF(OR(F14="",NOT(ISNUMBER(D14))),"",IF(ABS(F14-D14)&lt;0.001,"Yes","No"))</f>
        <v/>
      </c>
      <c r="I14" s="3" t="s">
        <v>18</v>
      </c>
      <c r="J14" s="3" t="s">
        <v>19</v>
      </c>
      <c r="K14" s="3" t="s">
        <v>60</v>
      </c>
      <c r="L14" s="3" t="s">
        <v>61</v>
      </c>
      <c r="M14" s="3" t="s">
        <v>62</v>
      </c>
      <c r="N14" s="3" t="s">
        <v>63</v>
      </c>
      <c r="O14" s="3" t="s">
        <v>64</v>
      </c>
      <c r="P14" s="3" t="s">
        <v>25</v>
      </c>
    </row>
    <row r="15" customFormat="false" ht="180.55" hidden="false" customHeight="false" outlineLevel="0" collapsed="false">
      <c r="A15" s="3" t="s">
        <v>65</v>
      </c>
      <c r="B15" s="3" t="s">
        <v>26</v>
      </c>
      <c r="C15" s="3"/>
      <c r="D15" s="3" t="str">
        <f aca="false">IFERROR(UPD2d!J14,"")</f>
        <v/>
      </c>
      <c r="E15" s="3"/>
      <c r="F15" s="4"/>
      <c r="G15" s="4"/>
      <c r="H15" s="5" t="str">
        <f aca="false">IF(OR(F15="",NOT(ISNUMBER(D15))),"",IF(ABS(F15-D15)&lt;0.001,"Yes","No"))</f>
        <v/>
      </c>
      <c r="I15" s="3" t="s">
        <v>18</v>
      </c>
      <c r="J15" s="3" t="s">
        <v>44</v>
      </c>
      <c r="K15" s="3"/>
      <c r="L15" s="3"/>
      <c r="M15" s="3"/>
      <c r="N15" s="3"/>
      <c r="O15" s="3"/>
      <c r="P15" s="3" t="s">
        <v>66</v>
      </c>
    </row>
    <row r="16" customFormat="false" ht="561.15" hidden="false" customHeight="false" outlineLevel="0" collapsed="false">
      <c r="A16" s="3" t="s">
        <v>67</v>
      </c>
      <c r="B16" s="3" t="s">
        <v>17</v>
      </c>
      <c r="C16" s="3"/>
      <c r="D16" s="3" t="n">
        <f aca="false">IFERROR(UPD3a!J13,"")</f>
        <v>2.5</v>
      </c>
      <c r="E16" s="3"/>
      <c r="F16" s="4"/>
      <c r="G16" s="4"/>
      <c r="H16" s="5" t="str">
        <f aca="false">IF(OR(F16="",NOT(ISNUMBER(D16))),"",IF(ABS(F16-D16)&lt;0.001,"Yes","No"))</f>
        <v/>
      </c>
      <c r="I16" s="3" t="s">
        <v>18</v>
      </c>
      <c r="J16" s="3" t="s">
        <v>19</v>
      </c>
      <c r="K16" s="3" t="s">
        <v>68</v>
      </c>
      <c r="L16" s="3" t="s">
        <v>21</v>
      </c>
      <c r="M16" s="3" t="s">
        <v>22</v>
      </c>
      <c r="N16" s="3" t="s">
        <v>69</v>
      </c>
      <c r="O16" s="3" t="s">
        <v>70</v>
      </c>
      <c r="P16" s="3" t="s">
        <v>25</v>
      </c>
    </row>
    <row r="17" customFormat="false" ht="471.6" hidden="false" customHeight="false" outlineLevel="0" collapsed="false">
      <c r="A17" s="3" t="s">
        <v>71</v>
      </c>
      <c r="B17" s="3" t="s">
        <v>17</v>
      </c>
      <c r="C17" s="3"/>
      <c r="D17" s="3" t="n">
        <f aca="false">IFERROR(UPD3b!J13,"")</f>
        <v>2.5</v>
      </c>
      <c r="E17" s="3"/>
      <c r="F17" s="4"/>
      <c r="G17" s="4"/>
      <c r="H17" s="5" t="str">
        <f aca="false">IF(OR(F17="",NOT(ISNUMBER(D17))),"",IF(ABS(F17-D17)&lt;0.001,"Yes","No"))</f>
        <v/>
      </c>
      <c r="I17" s="3" t="s">
        <v>18</v>
      </c>
      <c r="J17" s="3" t="s">
        <v>19</v>
      </c>
      <c r="K17" s="3" t="s">
        <v>72</v>
      </c>
      <c r="L17" s="3" t="s">
        <v>73</v>
      </c>
      <c r="M17" s="3" t="s">
        <v>74</v>
      </c>
      <c r="N17" s="3" t="s">
        <v>75</v>
      </c>
      <c r="O17" s="3" t="s">
        <v>76</v>
      </c>
      <c r="P17" s="3" t="s">
        <v>25</v>
      </c>
    </row>
    <row r="18" customFormat="false" ht="650.7" hidden="false" customHeight="false" outlineLevel="0" collapsed="false">
      <c r="A18" s="3" t="s">
        <v>77</v>
      </c>
      <c r="B18" s="3" t="s">
        <v>26</v>
      </c>
      <c r="C18" s="3"/>
      <c r="D18" s="3" t="str">
        <f aca="false">IFERROR(UPD4a!J14,"")</f>
        <v/>
      </c>
      <c r="E18" s="3"/>
      <c r="F18" s="4"/>
      <c r="G18" s="4"/>
      <c r="H18" s="5" t="str">
        <f aca="false">IF(OR(F18="",NOT(ISNUMBER(D18))),"",IF(ABS(F18-D18)&lt;0.001,"Yes","No"))</f>
        <v/>
      </c>
      <c r="I18" s="3" t="s">
        <v>18</v>
      </c>
      <c r="J18" s="3" t="s">
        <v>19</v>
      </c>
      <c r="K18" s="3" t="s">
        <v>78</v>
      </c>
      <c r="L18" s="3" t="s">
        <v>61</v>
      </c>
      <c r="M18" s="3" t="s">
        <v>62</v>
      </c>
      <c r="N18" s="3" t="s">
        <v>79</v>
      </c>
      <c r="O18" s="3" t="s">
        <v>80</v>
      </c>
      <c r="P18" s="3" t="s">
        <v>25</v>
      </c>
    </row>
    <row r="19" customFormat="false" ht="482.8" hidden="false" customHeight="false" outlineLevel="0" collapsed="false">
      <c r="A19" s="3" t="s">
        <v>81</v>
      </c>
      <c r="B19" s="3" t="s">
        <v>26</v>
      </c>
      <c r="C19" s="3"/>
      <c r="D19" s="3" t="n">
        <f aca="false">IFERROR(UPD4b!J14,"")</f>
        <v>1.25</v>
      </c>
      <c r="E19" s="3"/>
      <c r="F19" s="4"/>
      <c r="G19" s="4"/>
      <c r="H19" s="5" t="str">
        <f aca="false">IF(OR(F19="",NOT(ISNUMBER(D19))),"",IF(ABS(F19-D19)&lt;0.001,"Yes","No"))</f>
        <v/>
      </c>
      <c r="I19" s="3" t="s">
        <v>18</v>
      </c>
      <c r="J19" s="3" t="s">
        <v>19</v>
      </c>
      <c r="K19" s="3" t="s">
        <v>82</v>
      </c>
      <c r="L19" s="3" t="s">
        <v>83</v>
      </c>
      <c r="M19" s="3" t="s">
        <v>84</v>
      </c>
      <c r="N19" s="3" t="s">
        <v>85</v>
      </c>
      <c r="O19" s="3" t="s">
        <v>86</v>
      </c>
      <c r="P19" s="3" t="s">
        <v>25</v>
      </c>
    </row>
    <row r="20" customFormat="false" ht="471.6" hidden="false" customHeight="false" outlineLevel="0" collapsed="false">
      <c r="A20" s="3" t="s">
        <v>87</v>
      </c>
      <c r="B20" s="3" t="s">
        <v>17</v>
      </c>
      <c r="C20" s="3"/>
      <c r="D20" s="3" t="n">
        <f aca="false">IFERROR(UPD5a!J13,"")</f>
        <v>2.5</v>
      </c>
      <c r="E20" s="3"/>
      <c r="F20" s="4"/>
      <c r="G20" s="4"/>
      <c r="H20" s="5" t="str">
        <f aca="false">IF(OR(F20="",NOT(ISNUMBER(D20))),"",IF(ABS(F20-D20)&lt;0.001,"Yes","No"))</f>
        <v/>
      </c>
      <c r="I20" s="3" t="s">
        <v>18</v>
      </c>
      <c r="J20" s="3" t="s">
        <v>19</v>
      </c>
      <c r="K20" s="3" t="s">
        <v>88</v>
      </c>
      <c r="L20" s="3" t="s">
        <v>21</v>
      </c>
      <c r="M20" s="3" t="s">
        <v>22</v>
      </c>
      <c r="N20" s="3" t="s">
        <v>89</v>
      </c>
      <c r="O20" s="3" t="s">
        <v>90</v>
      </c>
      <c r="P20" s="3" t="s">
        <v>25</v>
      </c>
    </row>
    <row r="21" customFormat="false" ht="673.1" hidden="false" customHeight="false" outlineLevel="0" collapsed="false">
      <c r="A21" s="3" t="s">
        <v>91</v>
      </c>
      <c r="B21" s="3" t="s">
        <v>17</v>
      </c>
      <c r="C21" s="3"/>
      <c r="D21" s="3" t="n">
        <f aca="false">IFERROR(UPD5b!J13,"")</f>
        <v>5</v>
      </c>
      <c r="E21" s="3"/>
      <c r="F21" s="4"/>
      <c r="G21" s="4"/>
      <c r="H21" s="5" t="str">
        <f aca="false">IF(OR(F21="",NOT(ISNUMBER(D21))),"",IF(ABS(F21-D21)&lt;0.001,"Yes","No"))</f>
        <v/>
      </c>
      <c r="I21" s="3" t="s">
        <v>18</v>
      </c>
      <c r="J21" s="3" t="s">
        <v>19</v>
      </c>
      <c r="K21" s="3" t="s">
        <v>92</v>
      </c>
      <c r="L21" s="3" t="s">
        <v>93</v>
      </c>
      <c r="M21" s="3" t="s">
        <v>94</v>
      </c>
      <c r="N21" s="3" t="s">
        <v>95</v>
      </c>
      <c r="O21" s="3" t="s">
        <v>96</v>
      </c>
      <c r="P21" s="3" t="s">
        <v>25</v>
      </c>
    </row>
    <row r="22" customFormat="false" ht="494" hidden="false" customHeight="false" outlineLevel="0" collapsed="false">
      <c r="A22" s="3" t="s">
        <v>97</v>
      </c>
      <c r="B22" s="3" t="s">
        <v>26</v>
      </c>
      <c r="C22" s="3"/>
      <c r="D22" s="3" t="n">
        <f aca="false">IFERROR(UPD6a!J14,"")</f>
        <v>2.5</v>
      </c>
      <c r="E22" s="3"/>
      <c r="F22" s="4"/>
      <c r="G22" s="4"/>
      <c r="H22" s="5" t="str">
        <f aca="false">IF(OR(F22="",NOT(ISNUMBER(D22))),"",IF(ABS(F22-D22)&lt;0.001,"Yes","No"))</f>
        <v/>
      </c>
      <c r="I22" s="3" t="s">
        <v>18</v>
      </c>
      <c r="J22" s="3" t="s">
        <v>19</v>
      </c>
      <c r="K22" s="3" t="s">
        <v>98</v>
      </c>
      <c r="L22" s="3" t="s">
        <v>61</v>
      </c>
      <c r="M22" s="3" t="s">
        <v>62</v>
      </c>
      <c r="N22" s="3" t="s">
        <v>99</v>
      </c>
      <c r="O22" s="3" t="s">
        <v>100</v>
      </c>
      <c r="P22" s="3" t="s">
        <v>25</v>
      </c>
    </row>
    <row r="23" customFormat="false" ht="147" hidden="false" customHeight="false" outlineLevel="0" collapsed="false">
      <c r="A23" s="3" t="s">
        <v>101</v>
      </c>
      <c r="B23" s="3" t="s">
        <v>26</v>
      </c>
      <c r="C23" s="3"/>
      <c r="D23" s="3" t="n">
        <f aca="false">IFERROR(UPD6b!J14,"")</f>
        <v>1.25</v>
      </c>
      <c r="E23" s="3"/>
      <c r="F23" s="4"/>
      <c r="G23" s="4"/>
      <c r="H23" s="5" t="str">
        <f aca="false">IF(OR(F23="",NOT(ISNUMBER(D23))),"",IF(ABS(F23-D23)&lt;0.001,"Yes","No"))</f>
        <v/>
      </c>
      <c r="I23" s="3" t="s">
        <v>18</v>
      </c>
      <c r="J23" s="3" t="s">
        <v>44</v>
      </c>
      <c r="K23" s="3"/>
      <c r="L23" s="3"/>
      <c r="M23" s="3"/>
      <c r="N23" s="3"/>
      <c r="O23" s="3"/>
      <c r="P23" s="3" t="s">
        <v>102</v>
      </c>
    </row>
    <row r="24" customFormat="false" ht="494" hidden="false" customHeight="false" outlineLevel="0" collapsed="false">
      <c r="A24" s="3" t="s">
        <v>103</v>
      </c>
      <c r="B24" s="3" t="s">
        <v>17</v>
      </c>
      <c r="C24" s="3"/>
      <c r="D24" s="3" t="n">
        <f aca="false">IFERROR(DPG1a!J13,"")</f>
        <v>0</v>
      </c>
      <c r="E24" s="3"/>
      <c r="F24" s="4"/>
      <c r="G24" s="4"/>
      <c r="H24" s="5" t="str">
        <f aca="false">IF(OR(F24="",NOT(ISNUMBER(D24))),"",IF(ABS(F24-D24)&lt;0.001,"Yes","No"))</f>
        <v/>
      </c>
      <c r="I24" s="3" t="s">
        <v>18</v>
      </c>
      <c r="J24" s="3" t="s">
        <v>104</v>
      </c>
      <c r="K24" s="3" t="s">
        <v>105</v>
      </c>
      <c r="L24" s="3" t="s">
        <v>21</v>
      </c>
      <c r="M24" s="3" t="s">
        <v>22</v>
      </c>
      <c r="N24" s="3" t="s">
        <v>106</v>
      </c>
      <c r="O24" s="3" t="s">
        <v>107</v>
      </c>
      <c r="P24" s="3" t="s">
        <v>25</v>
      </c>
    </row>
    <row r="25" customFormat="false" ht="561.15" hidden="false" customHeight="false" outlineLevel="0" collapsed="false">
      <c r="A25" s="3" t="s">
        <v>103</v>
      </c>
      <c r="B25" s="3" t="s">
        <v>26</v>
      </c>
      <c r="C25" s="3"/>
      <c r="D25" s="3" t="str">
        <f aca="false">IFERROR(DPG1a!J14,"")</f>
        <v/>
      </c>
      <c r="E25" s="3"/>
      <c r="F25" s="4"/>
      <c r="G25" s="4"/>
      <c r="H25" s="5" t="str">
        <f aca="false">IF(OR(F25="",NOT(ISNUMBER(D25))),"",IF(ABS(F25-D25)&lt;0.001,"Yes","No"))</f>
        <v/>
      </c>
      <c r="I25" s="3" t="s">
        <v>18</v>
      </c>
      <c r="J25" s="3" t="s">
        <v>19</v>
      </c>
      <c r="K25" s="3" t="s">
        <v>108</v>
      </c>
      <c r="L25" s="3" t="s">
        <v>28</v>
      </c>
      <c r="M25" s="3" t="s">
        <v>29</v>
      </c>
      <c r="N25" s="3" t="s">
        <v>109</v>
      </c>
      <c r="O25" s="3" t="s">
        <v>110</v>
      </c>
      <c r="P25" s="3" t="s">
        <v>25</v>
      </c>
    </row>
    <row r="26" customFormat="false" ht="460.4" hidden="false" customHeight="false" outlineLevel="0" collapsed="false">
      <c r="A26" s="3" t="s">
        <v>103</v>
      </c>
      <c r="B26" s="3" t="s">
        <v>32</v>
      </c>
      <c r="C26" s="3"/>
      <c r="D26" s="3" t="n">
        <f aca="false">IFERROR(DPG1a!J15,"")</f>
        <v>0</v>
      </c>
      <c r="E26" s="3"/>
      <c r="F26" s="4"/>
      <c r="G26" s="4"/>
      <c r="H26" s="5" t="str">
        <f aca="false">IF(OR(F26="",NOT(ISNUMBER(D26))),"",IF(ABS(F26-D26)&lt;0.001,"Yes","No"))</f>
        <v/>
      </c>
      <c r="I26" s="3" t="s">
        <v>18</v>
      </c>
      <c r="J26" s="3" t="s">
        <v>19</v>
      </c>
      <c r="K26" s="3" t="s">
        <v>111</v>
      </c>
      <c r="L26" s="3" t="s">
        <v>112</v>
      </c>
      <c r="M26" s="3" t="s">
        <v>29</v>
      </c>
      <c r="N26" s="3" t="s">
        <v>113</v>
      </c>
      <c r="O26" s="3" t="s">
        <v>114</v>
      </c>
      <c r="P26" s="3" t="s">
        <v>25</v>
      </c>
    </row>
    <row r="27" customFormat="false" ht="449.25" hidden="false" customHeight="false" outlineLevel="0" collapsed="false">
      <c r="A27" s="3" t="s">
        <v>103</v>
      </c>
      <c r="B27" s="3" t="s">
        <v>38</v>
      </c>
      <c r="C27" s="3"/>
      <c r="D27" s="3" t="n">
        <f aca="false">IFERROR(DPG1a!J16,"")</f>
        <v>5</v>
      </c>
      <c r="E27" s="3"/>
      <c r="F27" s="4"/>
      <c r="G27" s="4"/>
      <c r="H27" s="5" t="str">
        <f aca="false">IF(OR(F27="",NOT(ISNUMBER(D27))),"",IF(ABS(F27-D27)&lt;0.001,"Yes","No"))</f>
        <v/>
      </c>
      <c r="I27" s="3" t="s">
        <v>18</v>
      </c>
      <c r="J27" s="3" t="s">
        <v>19</v>
      </c>
      <c r="K27" s="3" t="s">
        <v>115</v>
      </c>
      <c r="L27" s="3" t="s">
        <v>40</v>
      </c>
      <c r="M27" s="3" t="s">
        <v>29</v>
      </c>
      <c r="N27" s="3" t="s">
        <v>116</v>
      </c>
      <c r="O27" s="3" t="s">
        <v>117</v>
      </c>
      <c r="P27" s="3" t="s">
        <v>25</v>
      </c>
    </row>
    <row r="28" customFormat="false" ht="717.9" hidden="false" customHeight="false" outlineLevel="0" collapsed="false">
      <c r="A28" s="3" t="s">
        <v>103</v>
      </c>
      <c r="B28" s="3" t="s">
        <v>43</v>
      </c>
      <c r="C28" s="3"/>
      <c r="D28" s="3" t="str">
        <f aca="false">IFERROR(DPG1a!J17,"")</f>
        <v/>
      </c>
      <c r="E28" s="3"/>
      <c r="F28" s="4"/>
      <c r="G28" s="4"/>
      <c r="H28" s="5" t="str">
        <f aca="false">IF(OR(F28="",NOT(ISNUMBER(D28))),"",IF(ABS(F28-D28)&lt;0.001,"Yes","No"))</f>
        <v/>
      </c>
      <c r="I28" s="3" t="s">
        <v>18</v>
      </c>
      <c r="J28" s="3" t="s">
        <v>19</v>
      </c>
      <c r="K28" s="3" t="s">
        <v>118</v>
      </c>
      <c r="L28" s="3" t="s">
        <v>119</v>
      </c>
      <c r="M28" s="3" t="s">
        <v>29</v>
      </c>
      <c r="N28" s="3" t="s">
        <v>120</v>
      </c>
      <c r="O28" s="3" t="s">
        <v>121</v>
      </c>
      <c r="P28" s="3" t="s">
        <v>25</v>
      </c>
    </row>
    <row r="29" customFormat="false" ht="393.25" hidden="false" customHeight="false" outlineLevel="0" collapsed="false">
      <c r="A29" s="3" t="s">
        <v>122</v>
      </c>
      <c r="B29" s="3" t="s">
        <v>17</v>
      </c>
      <c r="C29" s="3"/>
      <c r="D29" s="3" t="n">
        <f aca="false">IFERROR(DPG1b!J13,"")</f>
        <v>2.5</v>
      </c>
      <c r="E29" s="3"/>
      <c r="F29" s="4"/>
      <c r="G29" s="4"/>
      <c r="H29" s="5" t="str">
        <f aca="false">IF(OR(F29="",NOT(ISNUMBER(D29))),"",IF(ABS(F29-D29)&lt;0.001,"Yes","No"))</f>
        <v/>
      </c>
      <c r="I29" s="3" t="s">
        <v>123</v>
      </c>
      <c r="J29" s="3" t="s">
        <v>19</v>
      </c>
      <c r="K29" s="3" t="s">
        <v>124</v>
      </c>
      <c r="L29" s="3" t="s">
        <v>21</v>
      </c>
      <c r="M29" s="3" t="s">
        <v>22</v>
      </c>
      <c r="N29" s="3" t="s">
        <v>125</v>
      </c>
      <c r="O29" s="3" t="s">
        <v>126</v>
      </c>
      <c r="P29" s="3"/>
    </row>
    <row r="30" customFormat="false" ht="102.2" hidden="false" customHeight="false" outlineLevel="0" collapsed="false">
      <c r="A30" s="3" t="s">
        <v>122</v>
      </c>
      <c r="B30" s="3" t="s">
        <v>26</v>
      </c>
      <c r="C30" s="3"/>
      <c r="D30" s="3" t="str">
        <f aca="false">IFERROR(DPG1b!J14,"")</f>
        <v/>
      </c>
      <c r="E30" s="3"/>
      <c r="F30" s="4"/>
      <c r="G30" s="4"/>
      <c r="H30" s="5" t="str">
        <f aca="false">IF(OR(F30="",NOT(ISNUMBER(D30))),"",IF(ABS(F30-D30)&lt;0.001,"Yes","No"))</f>
        <v/>
      </c>
      <c r="I30" s="3" t="s">
        <v>18</v>
      </c>
      <c r="J30" s="3" t="s">
        <v>44</v>
      </c>
      <c r="K30" s="3"/>
      <c r="L30" s="3"/>
      <c r="M30" s="3"/>
      <c r="N30" s="3"/>
      <c r="O30" s="3"/>
      <c r="P30" s="3" t="s">
        <v>127</v>
      </c>
    </row>
    <row r="31" customFormat="false" ht="471.6" hidden="false" customHeight="false" outlineLevel="0" collapsed="false">
      <c r="A31" s="3" t="s">
        <v>122</v>
      </c>
      <c r="B31" s="3" t="s">
        <v>32</v>
      </c>
      <c r="C31" s="3"/>
      <c r="D31" s="3" t="n">
        <f aca="false">IFERROR(DPG1b!J15,"")</f>
        <v>2.5</v>
      </c>
      <c r="E31" s="3"/>
      <c r="F31" s="4"/>
      <c r="G31" s="4"/>
      <c r="H31" s="5" t="str">
        <f aca="false">IF(OR(F31="",NOT(ISNUMBER(D31))),"",IF(ABS(F31-D31)&lt;0.001,"Yes","No"))</f>
        <v/>
      </c>
      <c r="I31" s="3" t="s">
        <v>123</v>
      </c>
      <c r="J31" s="3" t="s">
        <v>104</v>
      </c>
      <c r="K31" s="3" t="s">
        <v>128</v>
      </c>
      <c r="L31" s="3" t="s">
        <v>34</v>
      </c>
      <c r="M31" s="3" t="s">
        <v>35</v>
      </c>
      <c r="N31" s="3" t="s">
        <v>129</v>
      </c>
      <c r="O31" s="3" t="s">
        <v>130</v>
      </c>
      <c r="P31" s="3"/>
    </row>
    <row r="32" customFormat="false" ht="561.15" hidden="false" customHeight="false" outlineLevel="0" collapsed="false">
      <c r="A32" s="3" t="s">
        <v>122</v>
      </c>
      <c r="B32" s="3" t="s">
        <v>38</v>
      </c>
      <c r="C32" s="3"/>
      <c r="D32" s="3" t="n">
        <f aca="false">IFERROR(DPG1b!J16,"")</f>
        <v>2.5</v>
      </c>
      <c r="E32" s="3"/>
      <c r="F32" s="4"/>
      <c r="G32" s="4"/>
      <c r="H32" s="5" t="str">
        <f aca="false">IF(OR(F32="",NOT(ISNUMBER(D32))),"",IF(ABS(F32-D32)&lt;0.001,"Yes","No"))</f>
        <v/>
      </c>
      <c r="I32" s="3" t="s">
        <v>18</v>
      </c>
      <c r="J32" s="3" t="s">
        <v>19</v>
      </c>
      <c r="K32" s="3" t="s">
        <v>131</v>
      </c>
      <c r="L32" s="3" t="s">
        <v>132</v>
      </c>
      <c r="M32" s="3" t="s">
        <v>133</v>
      </c>
      <c r="N32" s="3" t="s">
        <v>134</v>
      </c>
      <c r="O32" s="3" t="s">
        <v>135</v>
      </c>
      <c r="P32" s="3" t="s">
        <v>25</v>
      </c>
    </row>
    <row r="33" customFormat="false" ht="135.8" hidden="false" customHeight="false" outlineLevel="0" collapsed="false">
      <c r="A33" s="3" t="s">
        <v>122</v>
      </c>
      <c r="B33" s="3" t="s">
        <v>43</v>
      </c>
      <c r="C33" s="3"/>
      <c r="D33" s="3" t="n">
        <f aca="false">IFERROR(DPG1b!J17,"")</f>
        <v>5</v>
      </c>
      <c r="E33" s="3"/>
      <c r="F33" s="4"/>
      <c r="G33" s="4"/>
      <c r="H33" s="5" t="str">
        <f aca="false">IF(OR(F33="",NOT(ISNUMBER(D33))),"",IF(ABS(F33-D33)&lt;0.001,"Yes","No"))</f>
        <v/>
      </c>
      <c r="I33" s="3" t="s">
        <v>18</v>
      </c>
      <c r="J33" s="3" t="s">
        <v>44</v>
      </c>
      <c r="K33" s="3"/>
      <c r="L33" s="3"/>
      <c r="M33" s="3"/>
      <c r="N33" s="3"/>
      <c r="O33" s="3"/>
      <c r="P33" s="3" t="s">
        <v>136</v>
      </c>
    </row>
    <row r="34" customFormat="false" ht="594.75" hidden="false" customHeight="false" outlineLevel="0" collapsed="false">
      <c r="A34" s="3" t="s">
        <v>137</v>
      </c>
      <c r="B34" s="3" t="s">
        <v>17</v>
      </c>
      <c r="C34" s="3"/>
      <c r="D34" s="3" t="n">
        <f aca="false">IFERROR(DPG2a!J13,"")</f>
        <v>0</v>
      </c>
      <c r="E34" s="3"/>
      <c r="F34" s="4"/>
      <c r="G34" s="4"/>
      <c r="H34" s="5" t="str">
        <f aca="false">IF(OR(F34="",NOT(ISNUMBER(D34))),"",IF(ABS(F34-D34)&lt;0.001,"Yes","No"))</f>
        <v/>
      </c>
      <c r="I34" s="3" t="s">
        <v>18</v>
      </c>
      <c r="J34" s="3" t="s">
        <v>19</v>
      </c>
      <c r="K34" s="3" t="s">
        <v>138</v>
      </c>
      <c r="L34" s="3" t="s">
        <v>21</v>
      </c>
      <c r="M34" s="3" t="s">
        <v>22</v>
      </c>
      <c r="N34" s="3" t="s">
        <v>139</v>
      </c>
      <c r="O34" s="3" t="s">
        <v>140</v>
      </c>
      <c r="P34" s="3" t="s">
        <v>25</v>
      </c>
    </row>
    <row r="35" customFormat="false" ht="471.6" hidden="false" customHeight="false" outlineLevel="0" collapsed="false">
      <c r="A35" s="3" t="s">
        <v>137</v>
      </c>
      <c r="B35" s="3" t="s">
        <v>26</v>
      </c>
      <c r="C35" s="3"/>
      <c r="D35" s="3" t="str">
        <f aca="false">IFERROR(DPG2a!J14,"")</f>
        <v/>
      </c>
      <c r="E35" s="3"/>
      <c r="F35" s="4"/>
      <c r="G35" s="4"/>
      <c r="H35" s="5" t="str">
        <f aca="false">IF(OR(F35="",NOT(ISNUMBER(D35))),"",IF(ABS(F35-D35)&lt;0.001,"Yes","No"))</f>
        <v/>
      </c>
      <c r="I35" s="3" t="s">
        <v>18</v>
      </c>
      <c r="J35" s="3" t="s">
        <v>19</v>
      </c>
      <c r="K35" s="3" t="s">
        <v>141</v>
      </c>
      <c r="L35" s="3" t="s">
        <v>142</v>
      </c>
      <c r="M35" s="3" t="s">
        <v>143</v>
      </c>
      <c r="N35" s="3" t="s">
        <v>144</v>
      </c>
      <c r="O35" s="3" t="s">
        <v>145</v>
      </c>
      <c r="P35" s="3" t="s">
        <v>25</v>
      </c>
    </row>
    <row r="36" customFormat="false" ht="572.35" hidden="false" customHeight="false" outlineLevel="0" collapsed="false">
      <c r="A36" s="3" t="s">
        <v>137</v>
      </c>
      <c r="B36" s="3" t="s">
        <v>32</v>
      </c>
      <c r="C36" s="3"/>
      <c r="D36" s="3" t="n">
        <f aca="false">IFERROR(DPG2a!J15,"")</f>
        <v>5</v>
      </c>
      <c r="E36" s="3"/>
      <c r="F36" s="4"/>
      <c r="G36" s="4"/>
      <c r="H36" s="5" t="str">
        <f aca="false">IF(OR(F36="",NOT(ISNUMBER(D36))),"",IF(ABS(F36-D36)&lt;0.001,"Yes","No"))</f>
        <v/>
      </c>
      <c r="I36" s="3" t="s">
        <v>18</v>
      </c>
      <c r="J36" s="3" t="s">
        <v>19</v>
      </c>
      <c r="K36" s="3" t="s">
        <v>146</v>
      </c>
      <c r="L36" s="3" t="s">
        <v>34</v>
      </c>
      <c r="M36" s="3" t="s">
        <v>35</v>
      </c>
      <c r="N36" s="3" t="s">
        <v>147</v>
      </c>
      <c r="O36" s="3" t="s">
        <v>148</v>
      </c>
      <c r="P36" s="3" t="s">
        <v>25</v>
      </c>
    </row>
    <row r="37" customFormat="false" ht="426.85" hidden="false" customHeight="false" outlineLevel="0" collapsed="false">
      <c r="A37" s="3" t="s">
        <v>137</v>
      </c>
      <c r="B37" s="3" t="s">
        <v>38</v>
      </c>
      <c r="C37" s="3"/>
      <c r="D37" s="3" t="n">
        <f aca="false">IFERROR(DPG2a!J16,"")</f>
        <v>0</v>
      </c>
      <c r="E37" s="3"/>
      <c r="F37" s="4"/>
      <c r="G37" s="4"/>
      <c r="H37" s="5" t="str">
        <f aca="false">IF(OR(F37="",NOT(ISNUMBER(D37))),"",IF(ABS(F37-D37)&lt;0.001,"Yes","No"))</f>
        <v/>
      </c>
      <c r="I37" s="3" t="s">
        <v>18</v>
      </c>
      <c r="J37" s="3" t="s">
        <v>19</v>
      </c>
      <c r="K37" s="3" t="s">
        <v>149</v>
      </c>
      <c r="L37" s="3" t="s">
        <v>150</v>
      </c>
      <c r="M37" s="3" t="s">
        <v>151</v>
      </c>
      <c r="N37" s="3" t="s">
        <v>152</v>
      </c>
      <c r="O37" s="3" t="s">
        <v>153</v>
      </c>
      <c r="P37" s="3" t="s">
        <v>25</v>
      </c>
    </row>
    <row r="38" customFormat="false" ht="494" hidden="false" customHeight="false" outlineLevel="0" collapsed="false">
      <c r="A38" s="3" t="s">
        <v>137</v>
      </c>
      <c r="B38" s="3" t="s">
        <v>43</v>
      </c>
      <c r="C38" s="3"/>
      <c r="D38" s="3" t="n">
        <f aca="false">IFERROR(DPG2a!J17,"")</f>
        <v>5</v>
      </c>
      <c r="E38" s="3"/>
      <c r="F38" s="4"/>
      <c r="G38" s="4"/>
      <c r="H38" s="5" t="str">
        <f aca="false">IF(OR(F38="",NOT(ISNUMBER(D38))),"",IF(ABS(F38-D38)&lt;0.001,"Yes","No"))</f>
        <v/>
      </c>
      <c r="I38" s="3" t="s">
        <v>18</v>
      </c>
      <c r="J38" s="3" t="s">
        <v>19</v>
      </c>
      <c r="K38" s="3" t="s">
        <v>154</v>
      </c>
      <c r="L38" s="3" t="s">
        <v>155</v>
      </c>
      <c r="M38" s="3" t="s">
        <v>156</v>
      </c>
      <c r="N38" s="3" t="s">
        <v>157</v>
      </c>
      <c r="O38" s="3" t="s">
        <v>158</v>
      </c>
      <c r="P38" s="3" t="s">
        <v>25</v>
      </c>
    </row>
    <row r="39" customFormat="false" ht="617.15" hidden="false" customHeight="false" outlineLevel="0" collapsed="false">
      <c r="A39" s="3" t="s">
        <v>159</v>
      </c>
      <c r="B39" s="3" t="s">
        <v>17</v>
      </c>
      <c r="C39" s="3"/>
      <c r="D39" s="3" t="n">
        <f aca="false">IFERROR(DPG2b!J13,"")</f>
        <v>0</v>
      </c>
      <c r="E39" s="3"/>
      <c r="F39" s="4"/>
      <c r="G39" s="4"/>
      <c r="H39" s="5" t="str">
        <f aca="false">IF(OR(F39="",NOT(ISNUMBER(D39))),"",IF(ABS(F39-D39)&lt;0.001,"Yes","No"))</f>
        <v/>
      </c>
      <c r="I39" s="3" t="s">
        <v>18</v>
      </c>
      <c r="J39" s="3" t="s">
        <v>19</v>
      </c>
      <c r="K39" s="3" t="s">
        <v>160</v>
      </c>
      <c r="L39" s="3" t="s">
        <v>21</v>
      </c>
      <c r="M39" s="3" t="s">
        <v>22</v>
      </c>
      <c r="N39" s="3" t="s">
        <v>161</v>
      </c>
      <c r="O39" s="3" t="s">
        <v>162</v>
      </c>
      <c r="P39" s="3" t="s">
        <v>25</v>
      </c>
    </row>
    <row r="40" customFormat="false" ht="482.8" hidden="false" customHeight="false" outlineLevel="0" collapsed="false">
      <c r="A40" s="3" t="s">
        <v>159</v>
      </c>
      <c r="B40" s="3" t="s">
        <v>26</v>
      </c>
      <c r="C40" s="3"/>
      <c r="D40" s="3" t="str">
        <f aca="false">IFERROR(DPG2b!J14,"")</f>
        <v/>
      </c>
      <c r="E40" s="3"/>
      <c r="F40" s="4"/>
      <c r="G40" s="4"/>
      <c r="H40" s="5" t="str">
        <f aca="false">IF(OR(F40="",NOT(ISNUMBER(D40))),"",IF(ABS(F40-D40)&lt;0.001,"Yes","No"))</f>
        <v/>
      </c>
      <c r="I40" s="3" t="s">
        <v>18</v>
      </c>
      <c r="J40" s="3" t="s">
        <v>19</v>
      </c>
      <c r="K40" s="3" t="s">
        <v>163</v>
      </c>
      <c r="L40" s="3" t="s">
        <v>142</v>
      </c>
      <c r="M40" s="3" t="s">
        <v>143</v>
      </c>
      <c r="N40" s="3" t="s">
        <v>164</v>
      </c>
      <c r="O40" s="3" t="s">
        <v>165</v>
      </c>
      <c r="P40" s="3" t="s">
        <v>25</v>
      </c>
    </row>
    <row r="41" customFormat="false" ht="628.35" hidden="false" customHeight="false" outlineLevel="0" collapsed="false">
      <c r="A41" s="3" t="s">
        <v>159</v>
      </c>
      <c r="B41" s="3" t="s">
        <v>32</v>
      </c>
      <c r="C41" s="3"/>
      <c r="D41" s="3" t="n">
        <f aca="false">IFERROR(DPG2b!J15,"")</f>
        <v>0</v>
      </c>
      <c r="E41" s="3"/>
      <c r="F41" s="4"/>
      <c r="G41" s="4"/>
      <c r="H41" s="5" t="str">
        <f aca="false">IF(OR(F41="",NOT(ISNUMBER(D41))),"",IF(ABS(F41-D41)&lt;0.001,"Yes","No"))</f>
        <v/>
      </c>
      <c r="I41" s="3" t="s">
        <v>18</v>
      </c>
      <c r="J41" s="3" t="s">
        <v>19</v>
      </c>
      <c r="K41" s="3" t="s">
        <v>166</v>
      </c>
      <c r="L41" s="3" t="s">
        <v>34</v>
      </c>
      <c r="M41" s="3" t="s">
        <v>35</v>
      </c>
      <c r="N41" s="3" t="s">
        <v>167</v>
      </c>
      <c r="O41" s="3" t="s">
        <v>168</v>
      </c>
      <c r="P41" s="3" t="s">
        <v>25</v>
      </c>
    </row>
    <row r="42" customFormat="false" ht="561.15" hidden="false" customHeight="false" outlineLevel="0" collapsed="false">
      <c r="A42" s="3" t="s">
        <v>159</v>
      </c>
      <c r="B42" s="3" t="s">
        <v>38</v>
      </c>
      <c r="C42" s="3"/>
      <c r="D42" s="3" t="n">
        <f aca="false">IFERROR(DPG2b!J16,"")</f>
        <v>0</v>
      </c>
      <c r="E42" s="3"/>
      <c r="F42" s="4"/>
      <c r="G42" s="4"/>
      <c r="H42" s="5" t="str">
        <f aca="false">IF(OR(F42="",NOT(ISNUMBER(D42))),"",IF(ABS(F42-D42)&lt;0.001,"Yes","No"))</f>
        <v/>
      </c>
      <c r="I42" s="3" t="s">
        <v>18</v>
      </c>
      <c r="J42" s="3" t="s">
        <v>19</v>
      </c>
      <c r="K42" s="3" t="s">
        <v>169</v>
      </c>
      <c r="L42" s="3" t="s">
        <v>40</v>
      </c>
      <c r="M42" s="3" t="s">
        <v>29</v>
      </c>
      <c r="N42" s="3" t="s">
        <v>170</v>
      </c>
      <c r="O42" s="3" t="s">
        <v>171</v>
      </c>
      <c r="P42" s="3" t="s">
        <v>25</v>
      </c>
    </row>
    <row r="43" customFormat="false" ht="169.4" hidden="false" customHeight="false" outlineLevel="0" collapsed="false">
      <c r="A43" s="3" t="s">
        <v>159</v>
      </c>
      <c r="B43" s="3" t="s">
        <v>43</v>
      </c>
      <c r="C43" s="3"/>
      <c r="D43" s="3" t="n">
        <f aca="false">IFERROR(DPG2b!J17,"")</f>
        <v>0</v>
      </c>
      <c r="E43" s="3"/>
      <c r="F43" s="4"/>
      <c r="G43" s="4"/>
      <c r="H43" s="5" t="str">
        <f aca="false">IF(OR(F43="",NOT(ISNUMBER(D43))),"",IF(ABS(F43-D43)&lt;0.001,"Yes","No"))</f>
        <v/>
      </c>
      <c r="I43" s="3" t="s">
        <v>18</v>
      </c>
      <c r="J43" s="3" t="s">
        <v>44</v>
      </c>
      <c r="K43" s="3"/>
      <c r="L43" s="3"/>
      <c r="M43" s="3"/>
      <c r="N43" s="3"/>
      <c r="O43" s="3"/>
      <c r="P43" s="3" t="s">
        <v>172</v>
      </c>
    </row>
    <row r="44" customFormat="false" ht="404.45" hidden="false" customHeight="false" outlineLevel="0" collapsed="false">
      <c r="A44" s="3" t="s">
        <v>173</v>
      </c>
      <c r="B44" s="3" t="s">
        <v>17</v>
      </c>
      <c r="C44" s="3"/>
      <c r="D44" s="3" t="n">
        <f aca="false">IFERROR('DPG4'!J13,"")</f>
        <v>10</v>
      </c>
      <c r="E44" s="3"/>
      <c r="F44" s="4"/>
      <c r="G44" s="4"/>
      <c r="H44" s="5" t="str">
        <f aca="false">IF(OR(F44="",NOT(ISNUMBER(D44))),"",IF(ABS(F44-D44)&lt;0.001,"Yes","No"))</f>
        <v/>
      </c>
      <c r="I44" s="3" t="s">
        <v>123</v>
      </c>
      <c r="J44" s="3" t="s">
        <v>104</v>
      </c>
      <c r="K44" s="3" t="s">
        <v>174</v>
      </c>
      <c r="L44" s="3" t="s">
        <v>175</v>
      </c>
      <c r="M44" s="3" t="s">
        <v>176</v>
      </c>
      <c r="N44" s="3" t="s">
        <v>177</v>
      </c>
      <c r="O44" s="3" t="s">
        <v>178</v>
      </c>
      <c r="P44" s="3"/>
    </row>
    <row r="45" customFormat="false" ht="296.25" hidden="false" customHeight="false" outlineLevel="0" collapsed="false">
      <c r="A45" s="3" t="s">
        <v>173</v>
      </c>
      <c r="B45" s="3" t="s">
        <v>26</v>
      </c>
      <c r="C45" s="3"/>
      <c r="D45" s="3" t="n">
        <f aca="false">IFERROR('DPG4'!J14,"")</f>
        <v>10</v>
      </c>
      <c r="E45" s="3"/>
      <c r="F45" s="4"/>
      <c r="G45" s="4"/>
      <c r="H45" s="5" t="str">
        <f aca="false">IF(OR(F45="",NOT(ISNUMBER(D45))),"",IF(ABS(F45-D45)&lt;0.001,"Yes","No"))</f>
        <v/>
      </c>
      <c r="I45" s="3" t="s">
        <v>123</v>
      </c>
      <c r="J45" s="3" t="s">
        <v>104</v>
      </c>
      <c r="K45" s="3" t="s">
        <v>179</v>
      </c>
      <c r="L45" s="3" t="s">
        <v>180</v>
      </c>
      <c r="M45" s="3" t="s">
        <v>181</v>
      </c>
      <c r="N45" s="6" t="s">
        <v>182</v>
      </c>
      <c r="O45" s="3" t="s">
        <v>183</v>
      </c>
      <c r="P45" s="3"/>
    </row>
    <row r="46" customFormat="false" ht="113.4" hidden="false" customHeight="false" outlineLevel="0" collapsed="false">
      <c r="A46" s="3" t="s">
        <v>173</v>
      </c>
      <c r="B46" s="3" t="s">
        <v>32</v>
      </c>
      <c r="C46" s="3"/>
      <c r="D46" s="3" t="str">
        <f aca="false">IFERROR('DPG4'!J15,"")</f>
        <v/>
      </c>
      <c r="E46" s="3"/>
      <c r="F46" s="4"/>
      <c r="G46" s="4"/>
      <c r="H46" s="5" t="str">
        <f aca="false">IF(OR(F46="",NOT(ISNUMBER(D46))),"",IF(ABS(F46-D46)&lt;0.001,"Yes","No"))</f>
        <v/>
      </c>
      <c r="I46" s="3" t="s">
        <v>18</v>
      </c>
      <c r="J46" s="3" t="s">
        <v>44</v>
      </c>
      <c r="K46" s="3"/>
      <c r="L46" s="3"/>
      <c r="M46" s="3"/>
      <c r="N46" s="3"/>
      <c r="O46" s="3"/>
      <c r="P46" s="3" t="s">
        <v>184</v>
      </c>
    </row>
    <row r="47" customFormat="false" ht="124.6" hidden="false" customHeight="false" outlineLevel="0" collapsed="false">
      <c r="A47" s="3" t="s">
        <v>173</v>
      </c>
      <c r="B47" s="3" t="s">
        <v>38</v>
      </c>
      <c r="C47" s="3"/>
      <c r="D47" s="3" t="str">
        <f aca="false">IFERROR('DPG4'!J16,"")</f>
        <v/>
      </c>
      <c r="E47" s="3"/>
      <c r="F47" s="4"/>
      <c r="G47" s="4"/>
      <c r="H47" s="5" t="str">
        <f aca="false">IF(OR(F47="",NOT(ISNUMBER(D47))),"",IF(ABS(F47-D47)&lt;0.001,"Yes","No"))</f>
        <v/>
      </c>
      <c r="I47" s="3" t="s">
        <v>18</v>
      </c>
      <c r="J47" s="3" t="s">
        <v>44</v>
      </c>
      <c r="K47" s="3"/>
      <c r="L47" s="3"/>
      <c r="M47" s="3"/>
      <c r="N47" s="3"/>
      <c r="O47" s="3"/>
      <c r="P47" s="3" t="s">
        <v>185</v>
      </c>
    </row>
    <row r="48" customFormat="false" ht="359.7" hidden="false" customHeight="false" outlineLevel="0" collapsed="false">
      <c r="A48" s="3" t="s">
        <v>173</v>
      </c>
      <c r="B48" s="3" t="s">
        <v>43</v>
      </c>
      <c r="C48" s="3"/>
      <c r="D48" s="3" t="n">
        <f aca="false">IFERROR('DPG4'!J17,"")</f>
        <v>10</v>
      </c>
      <c r="E48" s="3"/>
      <c r="F48" s="4"/>
      <c r="G48" s="4"/>
      <c r="H48" s="5" t="str">
        <f aca="false">IF(OR(F48="",NOT(ISNUMBER(D48))),"",IF(ABS(F48-D48)&lt;0.001,"Yes","No"))</f>
        <v/>
      </c>
      <c r="I48" s="3" t="s">
        <v>123</v>
      </c>
      <c r="J48" s="3" t="s">
        <v>104</v>
      </c>
      <c r="K48" s="3" t="s">
        <v>186</v>
      </c>
      <c r="L48" s="3" t="s">
        <v>187</v>
      </c>
      <c r="M48" s="3" t="s">
        <v>188</v>
      </c>
      <c r="N48" s="3" t="s">
        <v>189</v>
      </c>
      <c r="O48" s="3" t="s">
        <v>190</v>
      </c>
      <c r="P48" s="3"/>
    </row>
    <row r="49" customFormat="false" ht="135.8" hidden="false" customHeight="false" outlineLevel="0" collapsed="false">
      <c r="A49" s="3" t="s">
        <v>191</v>
      </c>
      <c r="B49" s="3" t="s">
        <v>17</v>
      </c>
      <c r="C49" s="3"/>
      <c r="D49" s="3" t="str">
        <f aca="false">IFERROR(DPG5a!J13,"")</f>
        <v/>
      </c>
      <c r="E49" s="3"/>
      <c r="F49" s="4"/>
      <c r="G49" s="4"/>
      <c r="H49" s="5" t="str">
        <f aca="false">IF(OR(F49="",NOT(ISNUMBER(D49))),"",IF(ABS(F49-D49)&lt;0.001,"Yes","No"))</f>
        <v/>
      </c>
      <c r="I49" s="3" t="s">
        <v>18</v>
      </c>
      <c r="J49" s="3" t="s">
        <v>44</v>
      </c>
      <c r="K49" s="3"/>
      <c r="L49" s="3"/>
      <c r="M49" s="3"/>
      <c r="N49" s="3"/>
      <c r="O49" s="3"/>
      <c r="P49" s="3" t="s">
        <v>192</v>
      </c>
    </row>
    <row r="50" customFormat="false" ht="113.4" hidden="false" customHeight="false" outlineLevel="0" collapsed="false">
      <c r="A50" s="3" t="s">
        <v>191</v>
      </c>
      <c r="B50" s="3" t="s">
        <v>26</v>
      </c>
      <c r="C50" s="3"/>
      <c r="D50" s="3" t="str">
        <f aca="false">IFERROR(DPG5a!J14,"")</f>
        <v/>
      </c>
      <c r="E50" s="3"/>
      <c r="F50" s="4"/>
      <c r="G50" s="4"/>
      <c r="H50" s="5" t="str">
        <f aca="false">IF(OR(F50="",NOT(ISNUMBER(D50))),"",IF(ABS(F50-D50)&lt;0.001,"Yes","No"))</f>
        <v/>
      </c>
      <c r="I50" s="3" t="s">
        <v>18</v>
      </c>
      <c r="J50" s="3" t="s">
        <v>44</v>
      </c>
      <c r="K50" s="3"/>
      <c r="L50" s="3"/>
      <c r="M50" s="3"/>
      <c r="N50" s="3"/>
      <c r="O50" s="3"/>
      <c r="P50" s="3" t="s">
        <v>193</v>
      </c>
    </row>
    <row r="51" customFormat="false" ht="124.6" hidden="false" customHeight="false" outlineLevel="0" collapsed="false">
      <c r="A51" s="3" t="s">
        <v>191</v>
      </c>
      <c r="B51" s="3" t="s">
        <v>32</v>
      </c>
      <c r="C51" s="3"/>
      <c r="D51" s="3" t="str">
        <f aca="false">IFERROR(DPG5a!J15,"")</f>
        <v/>
      </c>
      <c r="E51" s="3"/>
      <c r="F51" s="4"/>
      <c r="G51" s="4"/>
      <c r="H51" s="5" t="str">
        <f aca="false">IF(OR(F51="",NOT(ISNUMBER(D51))),"",IF(ABS(F51-D51)&lt;0.001,"Yes","No"))</f>
        <v/>
      </c>
      <c r="I51" s="3" t="s">
        <v>18</v>
      </c>
      <c r="J51" s="3" t="s">
        <v>44</v>
      </c>
      <c r="K51" s="3"/>
      <c r="L51" s="3"/>
      <c r="M51" s="3"/>
      <c r="N51" s="3"/>
      <c r="O51" s="3"/>
      <c r="P51" s="3" t="s">
        <v>194</v>
      </c>
    </row>
    <row r="52" customFormat="false" ht="124.6" hidden="false" customHeight="false" outlineLevel="0" collapsed="false">
      <c r="A52" s="3" t="s">
        <v>191</v>
      </c>
      <c r="B52" s="3" t="s">
        <v>38</v>
      </c>
      <c r="C52" s="3"/>
      <c r="D52" s="3" t="str">
        <f aca="false">IFERROR(DPG5a!J16,"")</f>
        <v/>
      </c>
      <c r="E52" s="3"/>
      <c r="F52" s="4"/>
      <c r="G52" s="4"/>
      <c r="H52" s="5" t="str">
        <f aca="false">IF(OR(F52="",NOT(ISNUMBER(D52))),"",IF(ABS(F52-D52)&lt;0.001,"Yes","No"))</f>
        <v/>
      </c>
      <c r="I52" s="3" t="s">
        <v>18</v>
      </c>
      <c r="J52" s="3" t="s">
        <v>44</v>
      </c>
      <c r="K52" s="3"/>
      <c r="L52" s="3"/>
      <c r="M52" s="3"/>
      <c r="N52" s="3"/>
      <c r="O52" s="3"/>
      <c r="P52" s="3" t="s">
        <v>195</v>
      </c>
    </row>
    <row r="53" customFormat="false" ht="102.2" hidden="false" customHeight="false" outlineLevel="0" collapsed="false">
      <c r="A53" s="3" t="s">
        <v>191</v>
      </c>
      <c r="B53" s="3" t="s">
        <v>43</v>
      </c>
      <c r="C53" s="3"/>
      <c r="D53" s="3" t="str">
        <f aca="false">IFERROR(DPG5a!J17,"")</f>
        <v/>
      </c>
      <c r="E53" s="3"/>
      <c r="F53" s="4"/>
      <c r="G53" s="4"/>
      <c r="H53" s="5" t="str">
        <f aca="false">IF(OR(F53="",NOT(ISNUMBER(D53))),"",IF(ABS(F53-D53)&lt;0.001,"Yes","No"))</f>
        <v/>
      </c>
      <c r="I53" s="3" t="s">
        <v>18</v>
      </c>
      <c r="J53" s="3" t="s">
        <v>44</v>
      </c>
      <c r="K53" s="3"/>
      <c r="L53" s="3"/>
      <c r="M53" s="3"/>
      <c r="N53" s="3"/>
      <c r="O53" s="3"/>
      <c r="P53" s="3" t="s">
        <v>196</v>
      </c>
    </row>
    <row r="54" customFormat="false" ht="147" hidden="false" customHeight="false" outlineLevel="0" collapsed="false">
      <c r="A54" s="3" t="s">
        <v>197</v>
      </c>
      <c r="B54" s="3" t="s">
        <v>17</v>
      </c>
      <c r="C54" s="3"/>
      <c r="D54" s="3" t="str">
        <f aca="false">IFERROR(DPG5b!J13,"")</f>
        <v/>
      </c>
      <c r="E54" s="3"/>
      <c r="F54" s="4"/>
      <c r="G54" s="4"/>
      <c r="H54" s="5" t="str">
        <f aca="false">IF(OR(F54="",NOT(ISNUMBER(D54))),"",IF(ABS(F54-D54)&lt;0.001,"Yes","No"))</f>
        <v/>
      </c>
      <c r="I54" s="3" t="s">
        <v>18</v>
      </c>
      <c r="J54" s="3" t="s">
        <v>44</v>
      </c>
      <c r="K54" s="3"/>
      <c r="L54" s="3"/>
      <c r="M54" s="3"/>
      <c r="N54" s="3"/>
      <c r="O54" s="3"/>
      <c r="P54" s="3" t="s">
        <v>198</v>
      </c>
    </row>
    <row r="55" customFormat="false" ht="505.2" hidden="false" customHeight="false" outlineLevel="0" collapsed="false">
      <c r="A55" s="3" t="s">
        <v>197</v>
      </c>
      <c r="B55" s="3" t="s">
        <v>26</v>
      </c>
      <c r="C55" s="3"/>
      <c r="D55" s="3" t="str">
        <f aca="false">IFERROR(DPG5b!J14,"")</f>
        <v/>
      </c>
      <c r="E55" s="3"/>
      <c r="F55" s="4"/>
      <c r="G55" s="4"/>
      <c r="H55" s="5" t="str">
        <f aca="false">IF(OR(F55="",NOT(ISNUMBER(D55))),"",IF(ABS(F55-D55)&lt;0.001,"Yes","No"))</f>
        <v/>
      </c>
      <c r="I55" s="3" t="s">
        <v>18</v>
      </c>
      <c r="J55" s="3" t="s">
        <v>19</v>
      </c>
      <c r="K55" s="3" t="s">
        <v>199</v>
      </c>
      <c r="L55" s="3" t="s">
        <v>180</v>
      </c>
      <c r="M55" s="3" t="s">
        <v>181</v>
      </c>
      <c r="N55" s="3" t="s">
        <v>200</v>
      </c>
      <c r="O55" s="3" t="s">
        <v>201</v>
      </c>
      <c r="P55" s="3" t="s">
        <v>25</v>
      </c>
    </row>
    <row r="56" customFormat="false" ht="135.8" hidden="false" customHeight="false" outlineLevel="0" collapsed="false">
      <c r="A56" s="3" t="s">
        <v>197</v>
      </c>
      <c r="B56" s="3" t="s">
        <v>32</v>
      </c>
      <c r="C56" s="3"/>
      <c r="D56" s="3" t="str">
        <f aca="false">IFERROR(DPG5b!J15,"")</f>
        <v/>
      </c>
      <c r="E56" s="3"/>
      <c r="F56" s="4"/>
      <c r="G56" s="4"/>
      <c r="H56" s="5" t="str">
        <f aca="false">IF(OR(F56="",NOT(ISNUMBER(D56))),"",IF(ABS(F56-D56)&lt;0.001,"Yes","No"))</f>
        <v/>
      </c>
      <c r="I56" s="3" t="s">
        <v>18</v>
      </c>
      <c r="J56" s="3" t="s">
        <v>44</v>
      </c>
      <c r="K56" s="3"/>
      <c r="L56" s="3"/>
      <c r="M56" s="3"/>
      <c r="N56" s="3"/>
      <c r="O56" s="3"/>
      <c r="P56" s="3" t="s">
        <v>202</v>
      </c>
    </row>
    <row r="57" customFormat="false" ht="415.65" hidden="false" customHeight="false" outlineLevel="0" collapsed="false">
      <c r="A57" s="3" t="s">
        <v>197</v>
      </c>
      <c r="B57" s="3" t="s">
        <v>38</v>
      </c>
      <c r="C57" s="3"/>
      <c r="D57" s="3" t="n">
        <f aca="false">IFERROR(DPG5b!J16,"")</f>
        <v>0</v>
      </c>
      <c r="E57" s="3"/>
      <c r="F57" s="4"/>
      <c r="G57" s="4"/>
      <c r="H57" s="5" t="str">
        <f aca="false">IF(OR(F57="",NOT(ISNUMBER(D57))),"",IF(ABS(F57-D57)&lt;0.001,"Yes","No"))</f>
        <v/>
      </c>
      <c r="I57" s="3" t="s">
        <v>18</v>
      </c>
      <c r="J57" s="3" t="s">
        <v>19</v>
      </c>
      <c r="K57" s="3" t="s">
        <v>203</v>
      </c>
      <c r="L57" s="3" t="s">
        <v>150</v>
      </c>
      <c r="M57" s="3" t="s">
        <v>151</v>
      </c>
      <c r="N57" s="3" t="s">
        <v>204</v>
      </c>
      <c r="O57" s="3" t="s">
        <v>205</v>
      </c>
      <c r="P57" s="3" t="s">
        <v>25</v>
      </c>
    </row>
    <row r="58" customFormat="false" ht="147" hidden="false" customHeight="false" outlineLevel="0" collapsed="false">
      <c r="A58" s="3" t="s">
        <v>197</v>
      </c>
      <c r="B58" s="3" t="s">
        <v>43</v>
      </c>
      <c r="C58" s="3"/>
      <c r="D58" s="3" t="str">
        <f aca="false">IFERROR(DPG5b!J17,"")</f>
        <v/>
      </c>
      <c r="E58" s="3"/>
      <c r="F58" s="4"/>
      <c r="G58" s="4"/>
      <c r="H58" s="5" t="str">
        <f aca="false">IF(OR(F58="",NOT(ISNUMBER(D58))),"",IF(ABS(F58-D58)&lt;0.001,"Yes","No"))</f>
        <v/>
      </c>
      <c r="I58" s="3" t="s">
        <v>18</v>
      </c>
      <c r="J58" s="3" t="s">
        <v>44</v>
      </c>
      <c r="K58" s="3"/>
      <c r="L58" s="3"/>
      <c r="M58" s="3"/>
      <c r="N58" s="3"/>
      <c r="O58" s="3"/>
      <c r="P58" s="3" t="s">
        <v>206</v>
      </c>
    </row>
    <row r="59" customFormat="false" ht="314.9" hidden="false" customHeight="false" outlineLevel="0" collapsed="false">
      <c r="A59" s="3" t="s">
        <v>207</v>
      </c>
      <c r="B59" s="3" t="s">
        <v>17</v>
      </c>
      <c r="C59" s="3"/>
      <c r="D59" s="3" t="str">
        <f aca="false">IFERROR(DPG5c!J13,"")</f>
        <v/>
      </c>
      <c r="E59" s="3"/>
      <c r="F59" s="4"/>
      <c r="G59" s="4"/>
      <c r="H59" s="5" t="str">
        <f aca="false">IF(OR(F59="",NOT(ISNUMBER(D59))),"",IF(ABS(F59-D59)&lt;0.001,"Yes","No"))</f>
        <v/>
      </c>
      <c r="I59" s="3" t="s">
        <v>18</v>
      </c>
      <c r="J59" s="3" t="s">
        <v>19</v>
      </c>
      <c r="K59" s="3" t="s">
        <v>208</v>
      </c>
      <c r="L59" s="3" t="s">
        <v>209</v>
      </c>
      <c r="M59" s="3" t="s">
        <v>210</v>
      </c>
      <c r="N59" s="3" t="s">
        <v>211</v>
      </c>
      <c r="O59" s="3" t="s">
        <v>212</v>
      </c>
      <c r="P59" s="3" t="s">
        <v>25</v>
      </c>
    </row>
    <row r="60" customFormat="false" ht="113.4" hidden="false" customHeight="false" outlineLevel="0" collapsed="false">
      <c r="A60" s="3" t="s">
        <v>207</v>
      </c>
      <c r="B60" s="3" t="s">
        <v>26</v>
      </c>
      <c r="C60" s="3"/>
      <c r="D60" s="3" t="str">
        <f aca="false">IFERROR(DPG5c!J14,"")</f>
        <v/>
      </c>
      <c r="E60" s="3"/>
      <c r="F60" s="4"/>
      <c r="G60" s="4"/>
      <c r="H60" s="5" t="str">
        <f aca="false">IF(OR(F60="",NOT(ISNUMBER(D60))),"",IF(ABS(F60-D60)&lt;0.001,"Yes","No"))</f>
        <v/>
      </c>
      <c r="I60" s="3" t="s">
        <v>18</v>
      </c>
      <c r="J60" s="3" t="s">
        <v>44</v>
      </c>
      <c r="K60" s="3"/>
      <c r="L60" s="3"/>
      <c r="M60" s="3"/>
      <c r="N60" s="3"/>
      <c r="O60" s="3"/>
      <c r="P60" s="3" t="s">
        <v>213</v>
      </c>
    </row>
    <row r="61" customFormat="false" ht="124.6" hidden="false" customHeight="false" outlineLevel="0" collapsed="false">
      <c r="A61" s="3" t="s">
        <v>207</v>
      </c>
      <c r="B61" s="3" t="s">
        <v>32</v>
      </c>
      <c r="C61" s="3"/>
      <c r="D61" s="3" t="str">
        <f aca="false">IFERROR(DPG5c!J15,"")</f>
        <v/>
      </c>
      <c r="E61" s="3"/>
      <c r="F61" s="4"/>
      <c r="G61" s="4"/>
      <c r="H61" s="5" t="str">
        <f aca="false">IF(OR(F61="",NOT(ISNUMBER(D61))),"",IF(ABS(F61-D61)&lt;0.001,"Yes","No"))</f>
        <v/>
      </c>
      <c r="I61" s="3" t="s">
        <v>18</v>
      </c>
      <c r="J61" s="3" t="s">
        <v>44</v>
      </c>
      <c r="K61" s="3"/>
      <c r="L61" s="3"/>
      <c r="M61" s="3"/>
      <c r="N61" s="3"/>
      <c r="O61" s="3"/>
      <c r="P61" s="3" t="s">
        <v>214</v>
      </c>
    </row>
    <row r="62" customFormat="false" ht="270.1" hidden="false" customHeight="false" outlineLevel="0" collapsed="false">
      <c r="A62" s="3" t="s">
        <v>207</v>
      </c>
      <c r="B62" s="3" t="s">
        <v>38</v>
      </c>
      <c r="C62" s="3"/>
      <c r="D62" s="3" t="str">
        <f aca="false">IFERROR(DPG5c!J16,"")</f>
        <v/>
      </c>
      <c r="E62" s="3"/>
      <c r="F62" s="4"/>
      <c r="G62" s="4"/>
      <c r="H62" s="5" t="str">
        <f aca="false">IF(OR(F62="",NOT(ISNUMBER(D62))),"",IF(ABS(F62-D62)&lt;0.001,"Yes","No"))</f>
        <v/>
      </c>
      <c r="I62" s="3" t="s">
        <v>18</v>
      </c>
      <c r="J62" s="3" t="s">
        <v>19</v>
      </c>
      <c r="K62" s="3" t="s">
        <v>215</v>
      </c>
      <c r="L62" s="3" t="s">
        <v>150</v>
      </c>
      <c r="M62" s="3" t="s">
        <v>151</v>
      </c>
      <c r="N62" s="3" t="s">
        <v>216</v>
      </c>
      <c r="O62" s="3" t="s">
        <v>217</v>
      </c>
      <c r="P62" s="3" t="s">
        <v>25</v>
      </c>
    </row>
    <row r="63" customFormat="false" ht="426.85" hidden="false" customHeight="false" outlineLevel="0" collapsed="false">
      <c r="A63" s="3" t="s">
        <v>207</v>
      </c>
      <c r="B63" s="3" t="s">
        <v>43</v>
      </c>
      <c r="C63" s="3"/>
      <c r="D63" s="3" t="str">
        <f aca="false">IFERROR(DPG5c!J17,"")</f>
        <v/>
      </c>
      <c r="E63" s="3"/>
      <c r="F63" s="4"/>
      <c r="G63" s="4"/>
      <c r="H63" s="5" t="str">
        <f aca="false">IF(OR(F63="",NOT(ISNUMBER(D63))),"",IF(ABS(F63-D63)&lt;0.001,"Yes","No"))</f>
        <v/>
      </c>
      <c r="I63" s="3" t="s">
        <v>18</v>
      </c>
      <c r="J63" s="3" t="s">
        <v>19</v>
      </c>
      <c r="K63" s="3" t="s">
        <v>218</v>
      </c>
      <c r="L63" s="3" t="s">
        <v>155</v>
      </c>
      <c r="M63" s="3" t="s">
        <v>156</v>
      </c>
      <c r="N63" s="3" t="s">
        <v>219</v>
      </c>
      <c r="O63" s="3" t="s">
        <v>220</v>
      </c>
      <c r="P63" s="3" t="s">
        <v>25</v>
      </c>
    </row>
    <row r="64" customFormat="false" ht="113.4" hidden="false" customHeight="false" outlineLevel="0" collapsed="false">
      <c r="A64" s="3" t="s">
        <v>221</v>
      </c>
      <c r="B64" s="3" t="s">
        <v>17</v>
      </c>
      <c r="C64" s="3"/>
      <c r="D64" s="3" t="str">
        <f aca="false">IFERROR(DPG5d!J13,"")</f>
        <v/>
      </c>
      <c r="E64" s="3"/>
      <c r="F64" s="4"/>
      <c r="G64" s="4"/>
      <c r="H64" s="5" t="str">
        <f aca="false">IF(OR(F64="",NOT(ISNUMBER(D64))),"",IF(ABS(F64-D64)&lt;0.001,"Yes","No"))</f>
        <v/>
      </c>
      <c r="I64" s="3" t="s">
        <v>18</v>
      </c>
      <c r="J64" s="3" t="s">
        <v>44</v>
      </c>
      <c r="K64" s="3"/>
      <c r="L64" s="3"/>
      <c r="M64" s="3"/>
      <c r="N64" s="3"/>
      <c r="O64" s="3"/>
      <c r="P64" s="3" t="s">
        <v>222</v>
      </c>
    </row>
    <row r="65" customFormat="false" ht="124.6" hidden="false" customHeight="false" outlineLevel="0" collapsed="false">
      <c r="A65" s="3" t="s">
        <v>221</v>
      </c>
      <c r="B65" s="3" t="s">
        <v>26</v>
      </c>
      <c r="C65" s="3"/>
      <c r="D65" s="3" t="str">
        <f aca="false">IFERROR(DPG5d!J14,"")</f>
        <v/>
      </c>
      <c r="E65" s="3"/>
      <c r="F65" s="4"/>
      <c r="G65" s="4"/>
      <c r="H65" s="5" t="str">
        <f aca="false">IF(OR(F65="",NOT(ISNUMBER(D65))),"",IF(ABS(F65-D65)&lt;0.001,"Yes","No"))</f>
        <v/>
      </c>
      <c r="I65" s="3" t="s">
        <v>18</v>
      </c>
      <c r="J65" s="3" t="s">
        <v>44</v>
      </c>
      <c r="K65" s="3"/>
      <c r="L65" s="3"/>
      <c r="M65" s="3"/>
      <c r="N65" s="3"/>
      <c r="O65" s="3"/>
      <c r="P65" s="3" t="s">
        <v>223</v>
      </c>
    </row>
    <row r="66" customFormat="false" ht="147" hidden="false" customHeight="false" outlineLevel="0" collapsed="false">
      <c r="A66" s="3" t="s">
        <v>221</v>
      </c>
      <c r="B66" s="3" t="s">
        <v>32</v>
      </c>
      <c r="C66" s="3"/>
      <c r="D66" s="3" t="str">
        <f aca="false">IFERROR(DPG5d!J15,"")</f>
        <v/>
      </c>
      <c r="E66" s="3"/>
      <c r="F66" s="4"/>
      <c r="G66" s="4"/>
      <c r="H66" s="5" t="str">
        <f aca="false">IF(OR(F66="",NOT(ISNUMBER(D66))),"",IF(ABS(F66-D66)&lt;0.001,"Yes","No"))</f>
        <v/>
      </c>
      <c r="I66" s="3" t="s">
        <v>18</v>
      </c>
      <c r="J66" s="3" t="s">
        <v>44</v>
      </c>
      <c r="K66" s="3"/>
      <c r="L66" s="3"/>
      <c r="M66" s="3"/>
      <c r="N66" s="3"/>
      <c r="O66" s="3"/>
      <c r="P66" s="3" t="s">
        <v>224</v>
      </c>
    </row>
    <row r="67" customFormat="false" ht="135.8" hidden="false" customHeight="false" outlineLevel="0" collapsed="false">
      <c r="A67" s="3" t="s">
        <v>221</v>
      </c>
      <c r="B67" s="3" t="s">
        <v>38</v>
      </c>
      <c r="C67" s="3"/>
      <c r="D67" s="3" t="str">
        <f aca="false">IFERROR(DPG5d!J16,"")</f>
        <v/>
      </c>
      <c r="E67" s="3"/>
      <c r="F67" s="4"/>
      <c r="G67" s="4"/>
      <c r="H67" s="5" t="str">
        <f aca="false">IF(OR(F67="",NOT(ISNUMBER(D67))),"",IF(ABS(F67-D67)&lt;0.001,"Yes","No"))</f>
        <v/>
      </c>
      <c r="I67" s="3" t="s">
        <v>18</v>
      </c>
      <c r="J67" s="3" t="s">
        <v>44</v>
      </c>
      <c r="K67" s="3"/>
      <c r="L67" s="3"/>
      <c r="M67" s="3"/>
      <c r="N67" s="3"/>
      <c r="O67" s="3"/>
      <c r="P67" s="3" t="s">
        <v>225</v>
      </c>
    </row>
    <row r="68" customFormat="false" ht="147" hidden="false" customHeight="false" outlineLevel="0" collapsed="false">
      <c r="A68" s="3" t="s">
        <v>221</v>
      </c>
      <c r="B68" s="3" t="s">
        <v>43</v>
      </c>
      <c r="C68" s="3"/>
      <c r="D68" s="3" t="str">
        <f aca="false">IFERROR(DPG5d!J17,"")</f>
        <v/>
      </c>
      <c r="E68" s="3"/>
      <c r="F68" s="4"/>
      <c r="G68" s="4"/>
      <c r="H68" s="5" t="str">
        <f aca="false">IF(OR(F68="",NOT(ISNUMBER(D68))),"",IF(ABS(F68-D68)&lt;0.001,"Yes","No"))</f>
        <v/>
      </c>
      <c r="I68" s="3" t="s">
        <v>18</v>
      </c>
      <c r="J68" s="3" t="s">
        <v>44</v>
      </c>
      <c r="K68" s="3"/>
      <c r="L68" s="3"/>
      <c r="M68" s="3"/>
      <c r="N68" s="3"/>
      <c r="O68" s="3"/>
      <c r="P68" s="3" t="s">
        <v>226</v>
      </c>
    </row>
    <row r="69" customFormat="false" ht="460.4" hidden="false" customHeight="false" outlineLevel="0" collapsed="false">
      <c r="A69" s="3" t="s">
        <v>227</v>
      </c>
      <c r="B69" s="3" t="s">
        <v>17</v>
      </c>
      <c r="C69" s="3"/>
      <c r="D69" s="3" t="str">
        <f aca="false">IFERROR(DPG5f!J13,"")</f>
        <v/>
      </c>
      <c r="E69" s="3"/>
      <c r="F69" s="4"/>
      <c r="G69" s="4"/>
      <c r="H69" s="5" t="str">
        <f aca="false">IF(OR(F69="",NOT(ISNUMBER(D69))),"",IF(ABS(F69-D69)&lt;0.001,"Yes","No"))</f>
        <v/>
      </c>
      <c r="I69" s="3" t="s">
        <v>18</v>
      </c>
      <c r="J69" s="3" t="s">
        <v>19</v>
      </c>
      <c r="K69" s="3" t="s">
        <v>228</v>
      </c>
      <c r="L69" s="3" t="s">
        <v>229</v>
      </c>
      <c r="M69" s="3" t="s">
        <v>230</v>
      </c>
      <c r="N69" s="3" t="s">
        <v>231</v>
      </c>
      <c r="O69" s="3" t="s">
        <v>232</v>
      </c>
      <c r="P69" s="3" t="s">
        <v>25</v>
      </c>
    </row>
    <row r="70" customFormat="false" ht="382.05" hidden="false" customHeight="false" outlineLevel="0" collapsed="false">
      <c r="A70" s="3" t="s">
        <v>227</v>
      </c>
      <c r="B70" s="3" t="s">
        <v>26</v>
      </c>
      <c r="C70" s="3"/>
      <c r="D70" s="3" t="str">
        <f aca="false">IFERROR(DPG5f!J14,"")</f>
        <v/>
      </c>
      <c r="E70" s="3"/>
      <c r="F70" s="4"/>
      <c r="G70" s="4"/>
      <c r="H70" s="5" t="str">
        <f aca="false">IF(OR(F70="",NOT(ISNUMBER(D70))),"",IF(ABS(F70-D70)&lt;0.001,"Yes","No"))</f>
        <v/>
      </c>
      <c r="I70" s="3" t="s">
        <v>18</v>
      </c>
      <c r="J70" s="3" t="s">
        <v>19</v>
      </c>
      <c r="K70" s="3" t="s">
        <v>233</v>
      </c>
      <c r="L70" s="3" t="s">
        <v>234</v>
      </c>
      <c r="M70" s="3" t="s">
        <v>235</v>
      </c>
      <c r="N70" s="3" t="s">
        <v>236</v>
      </c>
      <c r="O70" s="3" t="s">
        <v>237</v>
      </c>
      <c r="P70" s="3" t="s">
        <v>25</v>
      </c>
    </row>
    <row r="71" customFormat="false" ht="158.2" hidden="false" customHeight="false" outlineLevel="0" collapsed="false">
      <c r="A71" s="3" t="s">
        <v>227</v>
      </c>
      <c r="B71" s="3" t="s">
        <v>32</v>
      </c>
      <c r="C71" s="3"/>
      <c r="D71" s="3" t="str">
        <f aca="false">IFERROR(DPG5f!J15,"")</f>
        <v/>
      </c>
      <c r="E71" s="3"/>
      <c r="F71" s="4"/>
      <c r="G71" s="4"/>
      <c r="H71" s="5" t="str">
        <f aca="false">IF(OR(F71="",NOT(ISNUMBER(D71))),"",IF(ABS(F71-D71)&lt;0.001,"Yes","No"))</f>
        <v/>
      </c>
      <c r="I71" s="3" t="s">
        <v>18</v>
      </c>
      <c r="J71" s="3" t="s">
        <v>44</v>
      </c>
      <c r="K71" s="3"/>
      <c r="L71" s="3"/>
      <c r="M71" s="3"/>
      <c r="N71" s="3"/>
      <c r="O71" s="3"/>
      <c r="P71" s="3" t="s">
        <v>238</v>
      </c>
    </row>
    <row r="72" customFormat="false" ht="135.8" hidden="false" customHeight="false" outlineLevel="0" collapsed="false">
      <c r="A72" s="3" t="s">
        <v>227</v>
      </c>
      <c r="B72" s="3" t="s">
        <v>38</v>
      </c>
      <c r="C72" s="3"/>
      <c r="D72" s="3" t="str">
        <f aca="false">IFERROR(DPG5f!J16,"")</f>
        <v/>
      </c>
      <c r="E72" s="3"/>
      <c r="F72" s="4"/>
      <c r="G72" s="4"/>
      <c r="H72" s="5" t="str">
        <f aca="false">IF(OR(F72="",NOT(ISNUMBER(D72))),"",IF(ABS(F72-D72)&lt;0.001,"Yes","No"))</f>
        <v/>
      </c>
      <c r="I72" s="3" t="s">
        <v>18</v>
      </c>
      <c r="J72" s="3" t="s">
        <v>44</v>
      </c>
      <c r="K72" s="3"/>
      <c r="L72" s="3"/>
      <c r="M72" s="3"/>
      <c r="N72" s="3"/>
      <c r="O72" s="3"/>
      <c r="P72" s="3" t="s">
        <v>239</v>
      </c>
    </row>
    <row r="73" customFormat="false" ht="494" hidden="false" customHeight="false" outlineLevel="0" collapsed="false">
      <c r="A73" s="3" t="s">
        <v>227</v>
      </c>
      <c r="B73" s="3" t="s">
        <v>43</v>
      </c>
      <c r="C73" s="3"/>
      <c r="D73" s="3" t="n">
        <f aca="false">IFERROR(DPG5f!J17,"")</f>
        <v>1</v>
      </c>
      <c r="E73" s="3"/>
      <c r="F73" s="4"/>
      <c r="G73" s="4"/>
      <c r="H73" s="5" t="str">
        <f aca="false">IF(OR(F73="",NOT(ISNUMBER(D73))),"",IF(ABS(F73-D73)&lt;0.001,"Yes","No"))</f>
        <v/>
      </c>
      <c r="I73" s="3" t="s">
        <v>18</v>
      </c>
      <c r="J73" s="3" t="s">
        <v>19</v>
      </c>
      <c r="K73" s="3" t="s">
        <v>240</v>
      </c>
      <c r="L73" s="3" t="s">
        <v>241</v>
      </c>
      <c r="M73" s="3" t="s">
        <v>242</v>
      </c>
      <c r="N73" s="3" t="s">
        <v>243</v>
      </c>
      <c r="O73" s="3" t="s">
        <v>244</v>
      </c>
      <c r="P73" s="3" t="s">
        <v>25</v>
      </c>
    </row>
    <row r="74" customFormat="false" ht="314.9" hidden="false" customHeight="false" outlineLevel="0" collapsed="false">
      <c r="A74" s="3" t="s">
        <v>245</v>
      </c>
      <c r="B74" s="3" t="s">
        <v>17</v>
      </c>
      <c r="C74" s="3"/>
      <c r="D74" s="3" t="str">
        <f aca="false">IFERROR(DPG5g!J13,"")</f>
        <v/>
      </c>
      <c r="E74" s="3"/>
      <c r="F74" s="4"/>
      <c r="G74" s="4"/>
      <c r="H74" s="5" t="str">
        <f aca="false">IF(OR(F74="",NOT(ISNUMBER(D74))),"",IF(ABS(F74-D74)&lt;0.001,"Yes","No"))</f>
        <v/>
      </c>
      <c r="I74" s="3" t="s">
        <v>18</v>
      </c>
      <c r="J74" s="3" t="s">
        <v>19</v>
      </c>
      <c r="K74" s="3" t="s">
        <v>246</v>
      </c>
      <c r="L74" s="3" t="s">
        <v>93</v>
      </c>
      <c r="M74" s="3" t="s">
        <v>94</v>
      </c>
      <c r="N74" s="3" t="s">
        <v>247</v>
      </c>
      <c r="O74" s="3" t="s">
        <v>248</v>
      </c>
      <c r="P74" s="3" t="s">
        <v>25</v>
      </c>
    </row>
    <row r="75" customFormat="false" ht="147" hidden="false" customHeight="false" outlineLevel="0" collapsed="false">
      <c r="A75" s="3" t="s">
        <v>245</v>
      </c>
      <c r="B75" s="3" t="s">
        <v>26</v>
      </c>
      <c r="C75" s="3"/>
      <c r="D75" s="3" t="str">
        <f aca="false">IFERROR(DPG5g!J14,"")</f>
        <v/>
      </c>
      <c r="E75" s="3"/>
      <c r="F75" s="4"/>
      <c r="G75" s="4"/>
      <c r="H75" s="5" t="str">
        <f aca="false">IF(OR(F75="",NOT(ISNUMBER(D75))),"",IF(ABS(F75-D75)&lt;0.001,"Yes","No"))</f>
        <v/>
      </c>
      <c r="I75" s="3" t="s">
        <v>18</v>
      </c>
      <c r="J75" s="3" t="s">
        <v>44</v>
      </c>
      <c r="K75" s="3"/>
      <c r="L75" s="3"/>
      <c r="M75" s="3"/>
      <c r="N75" s="3"/>
      <c r="O75" s="3"/>
      <c r="P75" s="3" t="s">
        <v>249</v>
      </c>
    </row>
    <row r="76" customFormat="false" ht="147" hidden="false" customHeight="false" outlineLevel="0" collapsed="false">
      <c r="A76" s="3" t="s">
        <v>245</v>
      </c>
      <c r="B76" s="3" t="s">
        <v>32</v>
      </c>
      <c r="C76" s="3"/>
      <c r="D76" s="3" t="str">
        <f aca="false">IFERROR(DPG5g!J15,"")</f>
        <v/>
      </c>
      <c r="E76" s="3"/>
      <c r="F76" s="4"/>
      <c r="G76" s="4"/>
      <c r="H76" s="5" t="str">
        <f aca="false">IF(OR(F76="",NOT(ISNUMBER(D76))),"",IF(ABS(F76-D76)&lt;0.001,"Yes","No"))</f>
        <v/>
      </c>
      <c r="I76" s="3" t="s">
        <v>18</v>
      </c>
      <c r="J76" s="3" t="s">
        <v>44</v>
      </c>
      <c r="K76" s="3"/>
      <c r="L76" s="3"/>
      <c r="M76" s="3"/>
      <c r="N76" s="3"/>
      <c r="O76" s="3"/>
      <c r="P76" s="3" t="s">
        <v>250</v>
      </c>
    </row>
    <row r="77" customFormat="false" ht="158.2" hidden="false" customHeight="false" outlineLevel="0" collapsed="false">
      <c r="A77" s="3" t="s">
        <v>245</v>
      </c>
      <c r="B77" s="3" t="s">
        <v>38</v>
      </c>
      <c r="C77" s="3"/>
      <c r="D77" s="3" t="str">
        <f aca="false">IFERROR(DPG5g!J16,"")</f>
        <v/>
      </c>
      <c r="E77" s="3"/>
      <c r="F77" s="4"/>
      <c r="G77" s="4"/>
      <c r="H77" s="5" t="str">
        <f aca="false">IF(OR(F77="",NOT(ISNUMBER(D77))),"",IF(ABS(F77-D77)&lt;0.001,"Yes","No"))</f>
        <v/>
      </c>
      <c r="I77" s="3" t="s">
        <v>18</v>
      </c>
      <c r="J77" s="3" t="s">
        <v>44</v>
      </c>
      <c r="K77" s="3"/>
      <c r="L77" s="3"/>
      <c r="M77" s="3"/>
      <c r="N77" s="3"/>
      <c r="O77" s="3"/>
      <c r="P77" s="3" t="s">
        <v>251</v>
      </c>
    </row>
    <row r="78" customFormat="false" ht="147" hidden="false" customHeight="false" outlineLevel="0" collapsed="false">
      <c r="A78" s="3" t="s">
        <v>245</v>
      </c>
      <c r="B78" s="3" t="s">
        <v>43</v>
      </c>
      <c r="C78" s="3"/>
      <c r="D78" s="3" t="str">
        <f aca="false">IFERROR(DPG5g!J17,"")</f>
        <v/>
      </c>
      <c r="E78" s="3"/>
      <c r="F78" s="4"/>
      <c r="G78" s="4"/>
      <c r="H78" s="5" t="str">
        <f aca="false">IF(OR(F78="",NOT(ISNUMBER(D78))),"",IF(ABS(F78-D78)&lt;0.001,"Yes","No"))</f>
        <v/>
      </c>
      <c r="I78" s="3" t="s">
        <v>18</v>
      </c>
      <c r="J78" s="3" t="s">
        <v>44</v>
      </c>
      <c r="K78" s="3"/>
      <c r="L78" s="3"/>
      <c r="M78" s="3"/>
      <c r="N78" s="3"/>
      <c r="O78" s="3"/>
      <c r="P78" s="3" t="s">
        <v>252</v>
      </c>
    </row>
    <row r="79" customFormat="false" ht="169.4" hidden="false" customHeight="false" outlineLevel="0" collapsed="false">
      <c r="A79" s="3" t="s">
        <v>253</v>
      </c>
      <c r="B79" s="3" t="s">
        <v>17</v>
      </c>
      <c r="C79" s="3"/>
      <c r="D79" s="3" t="str">
        <f aca="false">IFERROR(DPG5h!J13,"")</f>
        <v/>
      </c>
      <c r="E79" s="3"/>
      <c r="F79" s="4"/>
      <c r="G79" s="4"/>
      <c r="H79" s="5" t="str">
        <f aca="false">IF(OR(F79="",NOT(ISNUMBER(D79))),"",IF(ABS(F79-D79)&lt;0.001,"Yes","No"))</f>
        <v/>
      </c>
      <c r="I79" s="3" t="s">
        <v>18</v>
      </c>
      <c r="J79" s="3" t="s">
        <v>44</v>
      </c>
      <c r="K79" s="3"/>
      <c r="L79" s="3"/>
      <c r="M79" s="3"/>
      <c r="N79" s="3"/>
      <c r="O79" s="3"/>
      <c r="P79" s="3" t="s">
        <v>254</v>
      </c>
    </row>
    <row r="80" customFormat="false" ht="471.6" hidden="false" customHeight="false" outlineLevel="0" collapsed="false">
      <c r="A80" s="3" t="s">
        <v>253</v>
      </c>
      <c r="B80" s="3" t="s">
        <v>26</v>
      </c>
      <c r="C80" s="3"/>
      <c r="D80" s="3" t="str">
        <f aca="false">IFERROR(DPG5h!J14,"")</f>
        <v/>
      </c>
      <c r="E80" s="3"/>
      <c r="F80" s="4"/>
      <c r="G80" s="4"/>
      <c r="H80" s="5" t="str">
        <f aca="false">IF(OR(F80="",NOT(ISNUMBER(D80))),"",IF(ABS(F80-D80)&lt;0.001,"Yes","No"))</f>
        <v/>
      </c>
      <c r="I80" s="3" t="s">
        <v>18</v>
      </c>
      <c r="J80" s="3" t="s">
        <v>19</v>
      </c>
      <c r="K80" s="3" t="s">
        <v>255</v>
      </c>
      <c r="L80" s="3" t="s">
        <v>256</v>
      </c>
      <c r="M80" s="3" t="s">
        <v>257</v>
      </c>
      <c r="N80" s="3" t="s">
        <v>258</v>
      </c>
      <c r="O80" s="3" t="s">
        <v>259</v>
      </c>
      <c r="P80" s="3" t="s">
        <v>25</v>
      </c>
    </row>
    <row r="81" customFormat="false" ht="124.6" hidden="false" customHeight="false" outlineLevel="0" collapsed="false">
      <c r="A81" s="3" t="s">
        <v>253</v>
      </c>
      <c r="B81" s="3" t="s">
        <v>32</v>
      </c>
      <c r="C81" s="3"/>
      <c r="D81" s="3" t="str">
        <f aca="false">IFERROR(DPG5h!J15,"")</f>
        <v/>
      </c>
      <c r="E81" s="3"/>
      <c r="F81" s="4"/>
      <c r="G81" s="4"/>
      <c r="H81" s="5" t="str">
        <f aca="false">IF(OR(F81="",NOT(ISNUMBER(D81))),"",IF(ABS(F81-D81)&lt;0.001,"Yes","No"))</f>
        <v/>
      </c>
      <c r="I81" s="3" t="s">
        <v>18</v>
      </c>
      <c r="J81" s="3" t="s">
        <v>44</v>
      </c>
      <c r="K81" s="3"/>
      <c r="L81" s="3"/>
      <c r="M81" s="3"/>
      <c r="N81" s="3"/>
      <c r="O81" s="3"/>
      <c r="P81" s="3" t="s">
        <v>260</v>
      </c>
    </row>
    <row r="82" customFormat="false" ht="147" hidden="false" customHeight="false" outlineLevel="0" collapsed="false">
      <c r="A82" s="3" t="s">
        <v>253</v>
      </c>
      <c r="B82" s="3" t="s">
        <v>38</v>
      </c>
      <c r="C82" s="3"/>
      <c r="D82" s="3" t="str">
        <f aca="false">IFERROR(DPG5h!J16,"")</f>
        <v/>
      </c>
      <c r="E82" s="3"/>
      <c r="F82" s="4"/>
      <c r="G82" s="4"/>
      <c r="H82" s="5" t="str">
        <f aca="false">IF(OR(F82="",NOT(ISNUMBER(D82))),"",IF(ABS(F82-D82)&lt;0.001,"Yes","No"))</f>
        <v/>
      </c>
      <c r="I82" s="3" t="s">
        <v>18</v>
      </c>
      <c r="J82" s="3" t="s">
        <v>44</v>
      </c>
      <c r="K82" s="3"/>
      <c r="L82" s="3"/>
      <c r="M82" s="3"/>
      <c r="N82" s="3"/>
      <c r="O82" s="3"/>
      <c r="P82" s="3" t="s">
        <v>261</v>
      </c>
    </row>
    <row r="83" customFormat="false" ht="258.95" hidden="false" customHeight="false" outlineLevel="0" collapsed="false">
      <c r="A83" s="3" t="s">
        <v>253</v>
      </c>
      <c r="B83" s="3" t="s">
        <v>43</v>
      </c>
      <c r="C83" s="3"/>
      <c r="D83" s="3" t="n">
        <f aca="false">IFERROR(DPG5h!J17,"")</f>
        <v>0</v>
      </c>
      <c r="E83" s="3"/>
      <c r="F83" s="4"/>
      <c r="G83" s="4"/>
      <c r="H83" s="5" t="str">
        <f aca="false">IF(OR(F83="",NOT(ISNUMBER(D83))),"",IF(ABS(F83-D83)&lt;0.001,"Yes","No"))</f>
        <v/>
      </c>
      <c r="I83" s="3" t="s">
        <v>18</v>
      </c>
      <c r="J83" s="3" t="s">
        <v>262</v>
      </c>
      <c r="K83" s="3" t="s">
        <v>263</v>
      </c>
      <c r="L83" s="3"/>
      <c r="M83" s="3"/>
      <c r="N83" s="3"/>
      <c r="O83" s="3"/>
      <c r="P83" s="3" t="s">
        <v>264</v>
      </c>
    </row>
    <row r="84" customFormat="false" ht="314.9" hidden="false" customHeight="false" outlineLevel="0" collapsed="false">
      <c r="A84" s="3" t="s">
        <v>265</v>
      </c>
      <c r="B84" s="3" t="s">
        <v>17</v>
      </c>
      <c r="C84" s="3"/>
      <c r="D84" s="3" t="str">
        <f aca="false">IFERROR(DPG5i!J13,"")</f>
        <v/>
      </c>
      <c r="E84" s="3"/>
      <c r="F84" s="4"/>
      <c r="G84" s="4"/>
      <c r="H84" s="5" t="str">
        <f aca="false">IF(OR(F84="",NOT(ISNUMBER(D84))),"",IF(ABS(F84-D84)&lt;0.001,"Yes","No"))</f>
        <v/>
      </c>
      <c r="I84" s="3" t="s">
        <v>18</v>
      </c>
      <c r="J84" s="3" t="s">
        <v>19</v>
      </c>
      <c r="K84" s="3" t="s">
        <v>266</v>
      </c>
      <c r="L84" s="3" t="s">
        <v>73</v>
      </c>
      <c r="M84" s="3" t="s">
        <v>74</v>
      </c>
      <c r="N84" s="3" t="s">
        <v>267</v>
      </c>
      <c r="O84" s="3" t="s">
        <v>268</v>
      </c>
      <c r="P84" s="3" t="s">
        <v>25</v>
      </c>
    </row>
    <row r="85" customFormat="false" ht="124.6" hidden="false" customHeight="false" outlineLevel="0" collapsed="false">
      <c r="A85" s="3" t="s">
        <v>265</v>
      </c>
      <c r="B85" s="3" t="s">
        <v>26</v>
      </c>
      <c r="C85" s="3"/>
      <c r="D85" s="3" t="str">
        <f aca="false">IFERROR(DPG5i!J14,"")</f>
        <v/>
      </c>
      <c r="E85" s="3"/>
      <c r="F85" s="4"/>
      <c r="G85" s="4"/>
      <c r="H85" s="5" t="str">
        <f aca="false">IF(OR(F85="",NOT(ISNUMBER(D85))),"",IF(ABS(F85-D85)&lt;0.001,"Yes","No"))</f>
        <v/>
      </c>
      <c r="I85" s="3" t="s">
        <v>18</v>
      </c>
      <c r="J85" s="3" t="s">
        <v>44</v>
      </c>
      <c r="K85" s="3"/>
      <c r="L85" s="3"/>
      <c r="M85" s="3"/>
      <c r="N85" s="3"/>
      <c r="O85" s="3"/>
      <c r="P85" s="3" t="s">
        <v>269</v>
      </c>
    </row>
    <row r="86" customFormat="false" ht="124.6" hidden="false" customHeight="false" outlineLevel="0" collapsed="false">
      <c r="A86" s="3" t="s">
        <v>265</v>
      </c>
      <c r="B86" s="3" t="s">
        <v>32</v>
      </c>
      <c r="C86" s="3"/>
      <c r="D86" s="3" t="str">
        <f aca="false">IFERROR(DPG5i!J15,"")</f>
        <v/>
      </c>
      <c r="E86" s="3"/>
      <c r="F86" s="4"/>
      <c r="G86" s="4"/>
      <c r="H86" s="5" t="str">
        <f aca="false">IF(OR(F86="",NOT(ISNUMBER(D86))),"",IF(ABS(F86-D86)&lt;0.001,"Yes","No"))</f>
        <v/>
      </c>
      <c r="I86" s="3" t="s">
        <v>18</v>
      </c>
      <c r="J86" s="3" t="s">
        <v>44</v>
      </c>
      <c r="K86" s="3"/>
      <c r="L86" s="3"/>
      <c r="M86" s="3"/>
      <c r="N86" s="3"/>
      <c r="O86" s="3"/>
      <c r="P86" s="3" t="s">
        <v>270</v>
      </c>
    </row>
    <row r="87" customFormat="false" ht="113.4" hidden="false" customHeight="false" outlineLevel="0" collapsed="false">
      <c r="A87" s="3" t="s">
        <v>265</v>
      </c>
      <c r="B87" s="3" t="s">
        <v>38</v>
      </c>
      <c r="C87" s="3"/>
      <c r="D87" s="3" t="str">
        <f aca="false">IFERROR(DPG5i!J16,"")</f>
        <v/>
      </c>
      <c r="E87" s="3"/>
      <c r="F87" s="4"/>
      <c r="G87" s="4"/>
      <c r="H87" s="5" t="str">
        <f aca="false">IF(OR(F87="",NOT(ISNUMBER(D87))),"",IF(ABS(F87-D87)&lt;0.001,"Yes","No"))</f>
        <v/>
      </c>
      <c r="I87" s="3" t="s">
        <v>18</v>
      </c>
      <c r="J87" s="3" t="s">
        <v>44</v>
      </c>
      <c r="K87" s="3"/>
      <c r="L87" s="3"/>
      <c r="M87" s="3"/>
      <c r="N87" s="3"/>
      <c r="O87" s="3"/>
      <c r="P87" s="3" t="s">
        <v>271</v>
      </c>
    </row>
    <row r="88" customFormat="false" ht="266.4" hidden="false" customHeight="false" outlineLevel="0" collapsed="false">
      <c r="A88" s="3" t="s">
        <v>265</v>
      </c>
      <c r="B88" s="3" t="s">
        <v>43</v>
      </c>
      <c r="C88" s="3"/>
      <c r="D88" s="3" t="str">
        <f aca="false">IFERROR(DPG5i!J17,"")</f>
        <v/>
      </c>
      <c r="E88" s="3"/>
      <c r="F88" s="4"/>
      <c r="G88" s="4"/>
      <c r="H88" s="5" t="str">
        <f aca="false">IF(OR(F88="",NOT(ISNUMBER(D88))),"",IF(ABS(F88-D88)&lt;0.001,"Yes","No"))</f>
        <v/>
      </c>
      <c r="I88" s="3" t="s">
        <v>18</v>
      </c>
      <c r="J88" s="3" t="s">
        <v>19</v>
      </c>
      <c r="K88" s="3" t="s">
        <v>272</v>
      </c>
      <c r="L88" s="3" t="s">
        <v>187</v>
      </c>
      <c r="M88" s="3" t="s">
        <v>188</v>
      </c>
      <c r="N88" s="3" t="s">
        <v>273</v>
      </c>
      <c r="O88" s="3" t="s">
        <v>274</v>
      </c>
      <c r="P88" s="3" t="s">
        <v>25</v>
      </c>
    </row>
    <row r="89" customFormat="false" ht="538.8" hidden="false" customHeight="false" outlineLevel="0" collapsed="false">
      <c r="A89" s="3" t="s">
        <v>275</v>
      </c>
      <c r="B89" s="3" t="s">
        <v>17</v>
      </c>
      <c r="C89" s="3"/>
      <c r="D89" s="3" t="str">
        <f aca="false">IFERROR(DPG5j!J13,"")</f>
        <v/>
      </c>
      <c r="E89" s="3"/>
      <c r="F89" s="4"/>
      <c r="G89" s="4"/>
      <c r="H89" s="5" t="str">
        <f aca="false">IF(OR(F89="",NOT(ISNUMBER(D89))),"",IF(ABS(F89-D89)&lt;0.001,"Yes","No"))</f>
        <v/>
      </c>
      <c r="I89" s="3" t="s">
        <v>18</v>
      </c>
      <c r="J89" s="3" t="s">
        <v>19</v>
      </c>
      <c r="K89" s="3" t="s">
        <v>276</v>
      </c>
      <c r="L89" s="3" t="s">
        <v>209</v>
      </c>
      <c r="M89" s="3" t="s">
        <v>210</v>
      </c>
      <c r="N89" s="3" t="s">
        <v>277</v>
      </c>
      <c r="O89" s="3" t="s">
        <v>278</v>
      </c>
      <c r="P89" s="3" t="s">
        <v>25</v>
      </c>
    </row>
    <row r="90" customFormat="false" ht="258.95" hidden="false" customHeight="false" outlineLevel="0" collapsed="false">
      <c r="A90" s="3" t="s">
        <v>275</v>
      </c>
      <c r="B90" s="3" t="s">
        <v>26</v>
      </c>
      <c r="C90" s="3"/>
      <c r="D90" s="3" t="str">
        <f aca="false">IFERROR(DPG5j!J14,"")</f>
        <v/>
      </c>
      <c r="E90" s="3"/>
      <c r="F90" s="4"/>
      <c r="G90" s="4"/>
      <c r="H90" s="5" t="str">
        <f aca="false">IF(OR(F90="",NOT(ISNUMBER(D90))),"",IF(ABS(F90-D90)&lt;0.001,"Yes","No"))</f>
        <v/>
      </c>
      <c r="I90" s="3" t="s">
        <v>18</v>
      </c>
      <c r="J90" s="3" t="s">
        <v>262</v>
      </c>
      <c r="K90" s="3" t="s">
        <v>279</v>
      </c>
      <c r="L90" s="3"/>
      <c r="M90" s="3"/>
      <c r="N90" s="3"/>
      <c r="O90" s="3"/>
      <c r="P90" s="3" t="s">
        <v>280</v>
      </c>
    </row>
    <row r="91" customFormat="false" ht="135.8" hidden="false" customHeight="false" outlineLevel="0" collapsed="false">
      <c r="A91" s="3" t="s">
        <v>275</v>
      </c>
      <c r="B91" s="3" t="s">
        <v>32</v>
      </c>
      <c r="C91" s="3"/>
      <c r="D91" s="3" t="str">
        <f aca="false">IFERROR(DPG5j!J15,"")</f>
        <v/>
      </c>
      <c r="E91" s="3"/>
      <c r="F91" s="4"/>
      <c r="G91" s="4"/>
      <c r="H91" s="5" t="str">
        <f aca="false">IF(OR(F91="",NOT(ISNUMBER(D91))),"",IF(ABS(F91-D91)&lt;0.001,"Yes","No"))</f>
        <v/>
      </c>
      <c r="I91" s="3" t="s">
        <v>18</v>
      </c>
      <c r="J91" s="3" t="s">
        <v>44</v>
      </c>
      <c r="K91" s="3"/>
      <c r="L91" s="3"/>
      <c r="M91" s="3"/>
      <c r="N91" s="3"/>
      <c r="O91" s="3"/>
      <c r="P91" s="3" t="s">
        <v>281</v>
      </c>
    </row>
    <row r="92" customFormat="false" ht="124.6" hidden="false" customHeight="false" outlineLevel="0" collapsed="false">
      <c r="A92" s="3" t="s">
        <v>275</v>
      </c>
      <c r="B92" s="3" t="s">
        <v>38</v>
      </c>
      <c r="C92" s="3"/>
      <c r="D92" s="3" t="str">
        <f aca="false">IFERROR(DPG5j!J16,"")</f>
        <v/>
      </c>
      <c r="E92" s="3"/>
      <c r="F92" s="4"/>
      <c r="G92" s="4"/>
      <c r="H92" s="5" t="str">
        <f aca="false">IF(OR(F92="",NOT(ISNUMBER(D92))),"",IF(ABS(F92-D92)&lt;0.001,"Yes","No"))</f>
        <v/>
      </c>
      <c r="I92" s="3" t="s">
        <v>18</v>
      </c>
      <c r="J92" s="3" t="s">
        <v>44</v>
      </c>
      <c r="K92" s="3"/>
      <c r="L92" s="3"/>
      <c r="M92" s="3"/>
      <c r="N92" s="3"/>
      <c r="O92" s="3"/>
      <c r="P92" s="3" t="s">
        <v>282</v>
      </c>
    </row>
    <row r="93" customFormat="false" ht="348.5" hidden="false" customHeight="false" outlineLevel="0" collapsed="false">
      <c r="A93" s="3" t="s">
        <v>275</v>
      </c>
      <c r="B93" s="3" t="s">
        <v>43</v>
      </c>
      <c r="C93" s="3"/>
      <c r="D93" s="3" t="str">
        <f aca="false">IFERROR(DPG5j!J17,"")</f>
        <v/>
      </c>
      <c r="E93" s="3"/>
      <c r="F93" s="4"/>
      <c r="G93" s="4"/>
      <c r="H93" s="5" t="str">
        <f aca="false">IF(OR(F93="",NOT(ISNUMBER(D93))),"",IF(ABS(F93-D93)&lt;0.001,"Yes","No"))</f>
        <v/>
      </c>
      <c r="I93" s="3" t="s">
        <v>18</v>
      </c>
      <c r="J93" s="3" t="s">
        <v>19</v>
      </c>
      <c r="K93" s="3" t="s">
        <v>283</v>
      </c>
      <c r="L93" s="3" t="s">
        <v>155</v>
      </c>
      <c r="M93" s="3" t="s">
        <v>156</v>
      </c>
      <c r="N93" s="3" t="s">
        <v>284</v>
      </c>
      <c r="O93" s="3" t="s">
        <v>285</v>
      </c>
      <c r="P93" s="3" t="s">
        <v>25</v>
      </c>
    </row>
    <row r="94" customFormat="false" ht="314.9" hidden="false" customHeight="false" outlineLevel="0" collapsed="false">
      <c r="A94" s="3" t="s">
        <v>286</v>
      </c>
      <c r="B94" s="3" t="s">
        <v>17</v>
      </c>
      <c r="C94" s="3"/>
      <c r="D94" s="3" t="str">
        <f aca="false">IFERROR(DPG5k!J13,"")</f>
        <v/>
      </c>
      <c r="E94" s="3"/>
      <c r="F94" s="4"/>
      <c r="G94" s="4"/>
      <c r="H94" s="5" t="str">
        <f aca="false">IF(OR(F94="",NOT(ISNUMBER(D94))),"",IF(ABS(F94-D94)&lt;0.001,"Yes","No"))</f>
        <v/>
      </c>
      <c r="I94" s="3" t="s">
        <v>18</v>
      </c>
      <c r="J94" s="3" t="s">
        <v>19</v>
      </c>
      <c r="K94" s="3" t="s">
        <v>287</v>
      </c>
      <c r="L94" s="3" t="s">
        <v>288</v>
      </c>
      <c r="M94" s="3" t="s">
        <v>289</v>
      </c>
      <c r="N94" s="3" t="s">
        <v>290</v>
      </c>
      <c r="O94" s="3" t="s">
        <v>291</v>
      </c>
      <c r="P94" s="3" t="s">
        <v>25</v>
      </c>
    </row>
    <row r="95" customFormat="false" ht="426.85" hidden="false" customHeight="false" outlineLevel="0" collapsed="false">
      <c r="A95" s="3" t="s">
        <v>286</v>
      </c>
      <c r="B95" s="3" t="s">
        <v>26</v>
      </c>
      <c r="C95" s="3"/>
      <c r="D95" s="3" t="str">
        <f aca="false">IFERROR(DPG5k!J14,"")</f>
        <v/>
      </c>
      <c r="E95" s="3"/>
      <c r="F95" s="4"/>
      <c r="G95" s="4"/>
      <c r="H95" s="5" t="str">
        <f aca="false">IF(OR(F95="",NOT(ISNUMBER(D95))),"",IF(ABS(F95-D95)&lt;0.001,"Yes","No"))</f>
        <v/>
      </c>
      <c r="I95" s="3" t="s">
        <v>18</v>
      </c>
      <c r="J95" s="3" t="s">
        <v>19</v>
      </c>
      <c r="K95" s="3" t="s">
        <v>292</v>
      </c>
      <c r="L95" s="3" t="s">
        <v>293</v>
      </c>
      <c r="M95" s="3" t="s">
        <v>294</v>
      </c>
      <c r="N95" s="3" t="s">
        <v>295</v>
      </c>
      <c r="O95" s="3" t="s">
        <v>296</v>
      </c>
      <c r="P95" s="3" t="s">
        <v>25</v>
      </c>
    </row>
    <row r="96" customFormat="false" ht="158.2" hidden="false" customHeight="false" outlineLevel="0" collapsed="false">
      <c r="A96" s="3" t="s">
        <v>286</v>
      </c>
      <c r="B96" s="3" t="s">
        <v>32</v>
      </c>
      <c r="C96" s="3"/>
      <c r="D96" s="3" t="str">
        <f aca="false">IFERROR(DPG5k!J15,"")</f>
        <v/>
      </c>
      <c r="E96" s="3"/>
      <c r="F96" s="4"/>
      <c r="G96" s="4"/>
      <c r="H96" s="5" t="str">
        <f aca="false">IF(OR(F96="",NOT(ISNUMBER(D96))),"",IF(ABS(F96-D96)&lt;0.001,"Yes","No"))</f>
        <v/>
      </c>
      <c r="I96" s="3" t="s">
        <v>18</v>
      </c>
      <c r="J96" s="3" t="s">
        <v>44</v>
      </c>
      <c r="K96" s="3"/>
      <c r="L96" s="3"/>
      <c r="M96" s="3"/>
      <c r="N96" s="3"/>
      <c r="O96" s="3"/>
      <c r="P96" s="3" t="s">
        <v>297</v>
      </c>
    </row>
    <row r="97" customFormat="false" ht="135.8" hidden="false" customHeight="false" outlineLevel="0" collapsed="false">
      <c r="A97" s="3" t="s">
        <v>286</v>
      </c>
      <c r="B97" s="3" t="s">
        <v>38</v>
      </c>
      <c r="C97" s="3"/>
      <c r="D97" s="3" t="str">
        <f aca="false">IFERROR(DPG5k!J16,"")</f>
        <v/>
      </c>
      <c r="E97" s="3"/>
      <c r="F97" s="4"/>
      <c r="G97" s="4"/>
      <c r="H97" s="5" t="str">
        <f aca="false">IF(OR(F97="",NOT(ISNUMBER(D97))),"",IF(ABS(F97-D97)&lt;0.001,"Yes","No"))</f>
        <v/>
      </c>
      <c r="I97" s="3" t="s">
        <v>18</v>
      </c>
      <c r="J97" s="3" t="s">
        <v>44</v>
      </c>
      <c r="K97" s="3"/>
      <c r="L97" s="3"/>
      <c r="M97" s="3"/>
      <c r="N97" s="3"/>
      <c r="O97" s="3"/>
      <c r="P97" s="3" t="s">
        <v>298</v>
      </c>
    </row>
    <row r="98" customFormat="false" ht="124.6" hidden="false" customHeight="false" outlineLevel="0" collapsed="false">
      <c r="A98" s="3" t="s">
        <v>286</v>
      </c>
      <c r="B98" s="3" t="s">
        <v>43</v>
      </c>
      <c r="C98" s="3"/>
      <c r="D98" s="3" t="str">
        <f aca="false">IFERROR(DPG5k!J17,"")</f>
        <v/>
      </c>
      <c r="E98" s="3"/>
      <c r="F98" s="4"/>
      <c r="G98" s="4"/>
      <c r="H98" s="5" t="str">
        <f aca="false">IF(OR(F98="",NOT(ISNUMBER(D98))),"",IF(ABS(F98-D98)&lt;0.001,"Yes","No"))</f>
        <v/>
      </c>
      <c r="I98" s="3" t="s">
        <v>18</v>
      </c>
      <c r="J98" s="3" t="s">
        <v>44</v>
      </c>
      <c r="K98" s="3"/>
      <c r="L98" s="3"/>
      <c r="M98" s="3"/>
      <c r="N98" s="3"/>
      <c r="O98" s="3"/>
      <c r="P98" s="3" t="s">
        <v>299</v>
      </c>
    </row>
    <row r="99" customFormat="false" ht="426.85" hidden="false" customHeight="false" outlineLevel="0" collapsed="false">
      <c r="A99" s="3" t="s">
        <v>300</v>
      </c>
      <c r="B99" s="3" t="s">
        <v>17</v>
      </c>
      <c r="C99" s="3"/>
      <c r="D99" s="3" t="n">
        <f aca="false">IFERROR(DPG6a!J13,"")</f>
        <v>5</v>
      </c>
      <c r="E99" s="3"/>
      <c r="F99" s="4"/>
      <c r="G99" s="4"/>
      <c r="H99" s="5" t="str">
        <f aca="false">IF(OR(F99="",NOT(ISNUMBER(D99))),"",IF(ABS(F99-D99)&lt;0.001,"Yes","No"))</f>
        <v/>
      </c>
      <c r="I99" s="3" t="s">
        <v>18</v>
      </c>
      <c r="J99" s="3" t="s">
        <v>19</v>
      </c>
      <c r="K99" s="3" t="s">
        <v>301</v>
      </c>
      <c r="L99" s="3" t="s">
        <v>21</v>
      </c>
      <c r="M99" s="3" t="s">
        <v>22</v>
      </c>
      <c r="N99" s="3" t="s">
        <v>302</v>
      </c>
      <c r="O99" s="3" t="s">
        <v>303</v>
      </c>
      <c r="P99" s="3" t="s">
        <v>25</v>
      </c>
    </row>
    <row r="100" customFormat="false" ht="135.8" hidden="false" customHeight="false" outlineLevel="0" collapsed="false">
      <c r="A100" s="3" t="s">
        <v>300</v>
      </c>
      <c r="B100" s="3" t="s">
        <v>26</v>
      </c>
      <c r="C100" s="3"/>
      <c r="D100" s="3" t="str">
        <f aca="false">IFERROR(DPG6a!J14,"")</f>
        <v/>
      </c>
      <c r="E100" s="3"/>
      <c r="F100" s="4"/>
      <c r="G100" s="4"/>
      <c r="H100" s="5" t="str">
        <f aca="false">IF(OR(F100="",NOT(ISNUMBER(D100))),"",IF(ABS(F100-D100)&lt;0.001,"Yes","No"))</f>
        <v/>
      </c>
      <c r="I100" s="3" t="s">
        <v>18</v>
      </c>
      <c r="J100" s="3" t="s">
        <v>44</v>
      </c>
      <c r="K100" s="3"/>
      <c r="L100" s="3"/>
      <c r="M100" s="3"/>
      <c r="N100" s="3"/>
      <c r="O100" s="3"/>
      <c r="P100" s="3" t="s">
        <v>304</v>
      </c>
    </row>
    <row r="101" customFormat="false" ht="494" hidden="false" customHeight="false" outlineLevel="0" collapsed="false">
      <c r="A101" s="3" t="s">
        <v>300</v>
      </c>
      <c r="B101" s="3" t="s">
        <v>32</v>
      </c>
      <c r="C101" s="3"/>
      <c r="D101" s="3" t="n">
        <f aca="false">IFERROR(DPG6a!J15,"")</f>
        <v>0</v>
      </c>
      <c r="E101" s="3"/>
      <c r="F101" s="4"/>
      <c r="G101" s="4"/>
      <c r="H101" s="5" t="str">
        <f aca="false">IF(OR(F101="",NOT(ISNUMBER(D101))),"",IF(ABS(F101-D101)&lt;0.001,"Yes","No"))</f>
        <v/>
      </c>
      <c r="I101" s="3" t="s">
        <v>18</v>
      </c>
      <c r="J101" s="3" t="s">
        <v>19</v>
      </c>
      <c r="K101" s="3" t="s">
        <v>305</v>
      </c>
      <c r="L101" s="3" t="s">
        <v>34</v>
      </c>
      <c r="M101" s="3" t="s">
        <v>35</v>
      </c>
      <c r="N101" s="3" t="s">
        <v>306</v>
      </c>
      <c r="O101" s="3" t="s">
        <v>307</v>
      </c>
      <c r="P101" s="3" t="s">
        <v>25</v>
      </c>
    </row>
    <row r="102" customFormat="false" ht="169.4" hidden="false" customHeight="false" outlineLevel="0" collapsed="false">
      <c r="A102" s="3" t="s">
        <v>300</v>
      </c>
      <c r="B102" s="3" t="s">
        <v>38</v>
      </c>
      <c r="C102" s="3"/>
      <c r="D102" s="3" t="str">
        <f aca="false">IFERROR(DPG6a!J16,"")</f>
        <v/>
      </c>
      <c r="E102" s="3"/>
      <c r="F102" s="4"/>
      <c r="G102" s="4"/>
      <c r="H102" s="5" t="str">
        <f aca="false">IF(OR(F102="",NOT(ISNUMBER(D102))),"",IF(ABS(F102-D102)&lt;0.001,"Yes","No"))</f>
        <v/>
      </c>
      <c r="I102" s="3" t="s">
        <v>18</v>
      </c>
      <c r="J102" s="3" t="s">
        <v>44</v>
      </c>
      <c r="K102" s="3"/>
      <c r="L102" s="3"/>
      <c r="M102" s="3"/>
      <c r="N102" s="3"/>
      <c r="O102" s="3"/>
      <c r="P102" s="3" t="s">
        <v>308</v>
      </c>
    </row>
    <row r="103" customFormat="false" ht="135.8" hidden="false" customHeight="false" outlineLevel="0" collapsed="false">
      <c r="A103" s="3" t="s">
        <v>300</v>
      </c>
      <c r="B103" s="3" t="s">
        <v>43</v>
      </c>
      <c r="C103" s="3"/>
      <c r="D103" s="3" t="str">
        <f aca="false">IFERROR(DPG6a!J17,"")</f>
        <v/>
      </c>
      <c r="E103" s="3"/>
      <c r="F103" s="4"/>
      <c r="G103" s="4"/>
      <c r="H103" s="5" t="str">
        <f aca="false">IF(OR(F103="",NOT(ISNUMBER(D103))),"",IF(ABS(F103-D103)&lt;0.001,"Yes","No"))</f>
        <v/>
      </c>
      <c r="I103" s="3" t="s">
        <v>18</v>
      </c>
      <c r="J103" s="3" t="s">
        <v>44</v>
      </c>
      <c r="K103" s="3"/>
      <c r="L103" s="3"/>
      <c r="M103" s="3"/>
      <c r="N103" s="3"/>
      <c r="O103" s="3"/>
      <c r="P103" s="3" t="s">
        <v>309</v>
      </c>
    </row>
    <row r="104" customFormat="false" ht="419.4" hidden="false" customHeight="false" outlineLevel="0" collapsed="false">
      <c r="A104" s="3" t="s">
        <v>310</v>
      </c>
      <c r="B104" s="3" t="s">
        <v>17</v>
      </c>
      <c r="C104" s="3"/>
      <c r="D104" s="3" t="str">
        <f aca="false">IFERROR(DPG6b!J13,"")</f>
        <v/>
      </c>
      <c r="E104" s="3"/>
      <c r="F104" s="4"/>
      <c r="G104" s="4"/>
      <c r="H104" s="5" t="str">
        <f aca="false">IF(OR(F104="",NOT(ISNUMBER(D104))),"",IF(ABS(F104-D104)&lt;0.001,"Yes","No"))</f>
        <v/>
      </c>
      <c r="I104" s="3" t="s">
        <v>18</v>
      </c>
      <c r="J104" s="3" t="s">
        <v>19</v>
      </c>
      <c r="K104" s="3" t="s">
        <v>311</v>
      </c>
      <c r="L104" s="3" t="s">
        <v>288</v>
      </c>
      <c r="M104" s="3" t="s">
        <v>289</v>
      </c>
      <c r="N104" s="3" t="s">
        <v>312</v>
      </c>
      <c r="O104" s="3" t="s">
        <v>313</v>
      </c>
      <c r="P104" s="3" t="s">
        <v>25</v>
      </c>
    </row>
    <row r="105" customFormat="false" ht="583.55" hidden="false" customHeight="false" outlineLevel="0" collapsed="false">
      <c r="A105" s="3" t="s">
        <v>310</v>
      </c>
      <c r="B105" s="3" t="s">
        <v>26</v>
      </c>
      <c r="C105" s="3"/>
      <c r="D105" s="3" t="str">
        <f aca="false">IFERROR(DPG6b!J14,"")</f>
        <v/>
      </c>
      <c r="E105" s="3"/>
      <c r="F105" s="4"/>
      <c r="G105" s="4"/>
      <c r="H105" s="5" t="str">
        <f aca="false">IF(OR(F105="",NOT(ISNUMBER(D105))),"",IF(ABS(F105-D105)&lt;0.001,"Yes","No"))</f>
        <v/>
      </c>
      <c r="I105" s="3" t="s">
        <v>18</v>
      </c>
      <c r="J105" s="3" t="s">
        <v>19</v>
      </c>
      <c r="K105" s="3" t="s">
        <v>314</v>
      </c>
      <c r="L105" s="3" t="s">
        <v>180</v>
      </c>
      <c r="M105" s="3" t="s">
        <v>181</v>
      </c>
      <c r="N105" s="3" t="s">
        <v>315</v>
      </c>
      <c r="O105" s="3" t="s">
        <v>316</v>
      </c>
      <c r="P105" s="3" t="s">
        <v>25</v>
      </c>
    </row>
    <row r="106" customFormat="false" ht="180.55" hidden="false" customHeight="false" outlineLevel="0" collapsed="false">
      <c r="A106" s="3" t="s">
        <v>310</v>
      </c>
      <c r="B106" s="3" t="s">
        <v>32</v>
      </c>
      <c r="C106" s="3"/>
      <c r="D106" s="3" t="str">
        <f aca="false">IFERROR(DPG6b!J15,"")</f>
        <v/>
      </c>
      <c r="E106" s="3"/>
      <c r="F106" s="4"/>
      <c r="G106" s="4"/>
      <c r="H106" s="5" t="str">
        <f aca="false">IF(OR(F106="",NOT(ISNUMBER(D106))),"",IF(ABS(F106-D106)&lt;0.001,"Yes","No"))</f>
        <v/>
      </c>
      <c r="I106" s="3" t="s">
        <v>18</v>
      </c>
      <c r="J106" s="3" t="s">
        <v>44</v>
      </c>
      <c r="K106" s="3"/>
      <c r="L106" s="3"/>
      <c r="M106" s="3"/>
      <c r="N106" s="3"/>
      <c r="O106" s="3"/>
      <c r="P106" s="3" t="s">
        <v>317</v>
      </c>
    </row>
    <row r="107" customFormat="false" ht="158.2" hidden="false" customHeight="false" outlineLevel="0" collapsed="false">
      <c r="A107" s="3" t="s">
        <v>310</v>
      </c>
      <c r="B107" s="3" t="s">
        <v>38</v>
      </c>
      <c r="C107" s="3"/>
      <c r="D107" s="3" t="str">
        <f aca="false">IFERROR(DPG6b!J16,"")</f>
        <v/>
      </c>
      <c r="E107" s="3"/>
      <c r="F107" s="4"/>
      <c r="G107" s="4"/>
      <c r="H107" s="5" t="str">
        <f aca="false">IF(OR(F107="",NOT(ISNUMBER(D107))),"",IF(ABS(F107-D107)&lt;0.001,"Yes","No"))</f>
        <v/>
      </c>
      <c r="I107" s="3" t="s">
        <v>18</v>
      </c>
      <c r="J107" s="3" t="s">
        <v>44</v>
      </c>
      <c r="K107" s="3"/>
      <c r="L107" s="3"/>
      <c r="M107" s="3"/>
      <c r="N107" s="3"/>
      <c r="O107" s="3"/>
      <c r="P107" s="3" t="s">
        <v>318</v>
      </c>
    </row>
    <row r="108" customFormat="false" ht="486.55" hidden="false" customHeight="false" outlineLevel="0" collapsed="false">
      <c r="A108" s="3" t="s">
        <v>310</v>
      </c>
      <c r="B108" s="3" t="s">
        <v>43</v>
      </c>
      <c r="C108" s="3"/>
      <c r="D108" s="3" t="str">
        <f aca="false">IFERROR(DPG6b!J17,"")</f>
        <v/>
      </c>
      <c r="E108" s="3"/>
      <c r="F108" s="4"/>
      <c r="G108" s="4"/>
      <c r="H108" s="5" t="str">
        <f aca="false">IF(OR(F108="",NOT(ISNUMBER(D108))),"",IF(ABS(F108-D108)&lt;0.001,"Yes","No"))</f>
        <v/>
      </c>
      <c r="I108" s="3" t="s">
        <v>18</v>
      </c>
      <c r="J108" s="3" t="s">
        <v>19</v>
      </c>
      <c r="K108" s="3" t="s">
        <v>319</v>
      </c>
      <c r="L108" s="3" t="s">
        <v>155</v>
      </c>
      <c r="M108" s="3" t="s">
        <v>156</v>
      </c>
      <c r="N108" s="3" t="s">
        <v>320</v>
      </c>
      <c r="O108" s="3" t="s">
        <v>321</v>
      </c>
      <c r="P108" s="3" t="s">
        <v>25</v>
      </c>
    </row>
    <row r="109" customFormat="false" ht="605.95" hidden="false" customHeight="false" outlineLevel="0" collapsed="false">
      <c r="A109" s="3" t="s">
        <v>322</v>
      </c>
      <c r="B109" s="3" t="s">
        <v>17</v>
      </c>
      <c r="C109" s="3"/>
      <c r="D109" s="3" t="n">
        <f aca="false">IFERROR(DPG7a!J13,"")</f>
        <v>0</v>
      </c>
      <c r="E109" s="3"/>
      <c r="F109" s="4"/>
      <c r="G109" s="4"/>
      <c r="H109" s="5" t="str">
        <f aca="false">IF(OR(F109="",NOT(ISNUMBER(D109))),"",IF(ABS(F109-D109)&lt;0.001,"Yes","No"))</f>
        <v/>
      </c>
      <c r="I109" s="3" t="s">
        <v>18</v>
      </c>
      <c r="J109" s="3" t="s">
        <v>19</v>
      </c>
      <c r="K109" s="3" t="s">
        <v>323</v>
      </c>
      <c r="L109" s="3" t="s">
        <v>21</v>
      </c>
      <c r="M109" s="3" t="s">
        <v>22</v>
      </c>
      <c r="N109" s="3" t="s">
        <v>324</v>
      </c>
      <c r="O109" s="3" t="s">
        <v>325</v>
      </c>
      <c r="P109" s="3" t="s">
        <v>25</v>
      </c>
    </row>
    <row r="110" customFormat="false" ht="494" hidden="false" customHeight="false" outlineLevel="0" collapsed="false">
      <c r="A110" s="3" t="s">
        <v>322</v>
      </c>
      <c r="B110" s="3" t="s">
        <v>26</v>
      </c>
      <c r="C110" s="3"/>
      <c r="D110" s="3" t="n">
        <f aca="false">IFERROR(DPG7a!J14,"")</f>
        <v>2.5</v>
      </c>
      <c r="E110" s="3"/>
      <c r="F110" s="4"/>
      <c r="G110" s="4"/>
      <c r="H110" s="5" t="str">
        <f aca="false">IF(OR(F110="",NOT(ISNUMBER(D110))),"",IF(ABS(F110-D110)&lt;0.001,"Yes","No"))</f>
        <v/>
      </c>
      <c r="I110" s="3" t="s">
        <v>18</v>
      </c>
      <c r="J110" s="3" t="s">
        <v>19</v>
      </c>
      <c r="K110" s="3" t="s">
        <v>326</v>
      </c>
      <c r="L110" s="3" t="s">
        <v>61</v>
      </c>
      <c r="M110" s="3" t="s">
        <v>62</v>
      </c>
      <c r="N110" s="3" t="s">
        <v>327</v>
      </c>
      <c r="O110" s="3" t="s">
        <v>328</v>
      </c>
      <c r="P110" s="3" t="s">
        <v>25</v>
      </c>
    </row>
    <row r="111" customFormat="false" ht="617.15" hidden="false" customHeight="false" outlineLevel="0" collapsed="false">
      <c r="A111" s="3" t="s">
        <v>322</v>
      </c>
      <c r="B111" s="3" t="s">
        <v>38</v>
      </c>
      <c r="C111" s="3"/>
      <c r="D111" s="3" t="n">
        <f aca="false">IFERROR(DPG7a!J16,"")</f>
        <v>2.5</v>
      </c>
      <c r="E111" s="3"/>
      <c r="F111" s="4"/>
      <c r="G111" s="4"/>
      <c r="H111" s="5" t="str">
        <f aca="false">IF(OR(F111="",NOT(ISNUMBER(D111))),"",IF(ABS(F111-D111)&lt;0.001,"Yes","No"))</f>
        <v/>
      </c>
      <c r="I111" s="3" t="s">
        <v>18</v>
      </c>
      <c r="J111" s="3" t="s">
        <v>19</v>
      </c>
      <c r="K111" s="3" t="s">
        <v>329</v>
      </c>
      <c r="L111" s="3" t="s">
        <v>330</v>
      </c>
      <c r="M111" s="3" t="s">
        <v>62</v>
      </c>
      <c r="N111" s="3" t="s">
        <v>331</v>
      </c>
      <c r="O111" s="3" t="s">
        <v>332</v>
      </c>
      <c r="P111" s="3" t="s">
        <v>25</v>
      </c>
    </row>
    <row r="112" customFormat="false" ht="124.6" hidden="false" customHeight="false" outlineLevel="0" collapsed="false">
      <c r="A112" s="3" t="s">
        <v>333</v>
      </c>
      <c r="B112" s="3" t="s">
        <v>17</v>
      </c>
      <c r="C112" s="3"/>
      <c r="D112" s="3" t="n">
        <f aca="false">IFERROR(DPG7b!J13,"")</f>
        <v>2.5</v>
      </c>
      <c r="E112" s="3"/>
      <c r="F112" s="4"/>
      <c r="G112" s="4"/>
      <c r="H112" s="5" t="str">
        <f aca="false">IF(OR(F112="",NOT(ISNUMBER(D112))),"",IF(ABS(F112-D112)&lt;0.001,"Yes","No"))</f>
        <v/>
      </c>
      <c r="I112" s="3" t="s">
        <v>18</v>
      </c>
      <c r="J112" s="3" t="s">
        <v>44</v>
      </c>
      <c r="K112" s="3"/>
      <c r="L112" s="3"/>
      <c r="M112" s="3"/>
      <c r="N112" s="3"/>
      <c r="O112" s="3"/>
      <c r="P112" s="3" t="s">
        <v>334</v>
      </c>
    </row>
    <row r="113" customFormat="false" ht="158.2" hidden="false" customHeight="false" outlineLevel="0" collapsed="false">
      <c r="A113" s="3" t="s">
        <v>333</v>
      </c>
      <c r="B113" s="3" t="s">
        <v>26</v>
      </c>
      <c r="C113" s="3"/>
      <c r="D113" s="3" t="str">
        <f aca="false">IFERROR(DPG7b!J14,"")</f>
        <v/>
      </c>
      <c r="E113" s="3"/>
      <c r="F113" s="4"/>
      <c r="G113" s="4"/>
      <c r="H113" s="5" t="str">
        <f aca="false">IF(OR(F113="",NOT(ISNUMBER(D113))),"",IF(ABS(F113-D113)&lt;0.001,"Yes","No"))</f>
        <v/>
      </c>
      <c r="I113" s="3" t="s">
        <v>18</v>
      </c>
      <c r="J113" s="3" t="s">
        <v>44</v>
      </c>
      <c r="K113" s="3"/>
      <c r="L113" s="3"/>
      <c r="M113" s="3"/>
      <c r="N113" s="3"/>
      <c r="O113" s="3"/>
      <c r="P113" s="3" t="s">
        <v>335</v>
      </c>
    </row>
    <row r="114" customFormat="false" ht="135.8" hidden="false" customHeight="false" outlineLevel="0" collapsed="false">
      <c r="A114" s="3" t="s">
        <v>333</v>
      </c>
      <c r="B114" s="3" t="s">
        <v>38</v>
      </c>
      <c r="C114" s="3"/>
      <c r="D114" s="3" t="n">
        <f aca="false">IFERROR(DPG7b!J16,"")</f>
        <v>2.5</v>
      </c>
      <c r="E114" s="3"/>
      <c r="F114" s="4"/>
      <c r="G114" s="4"/>
      <c r="H114" s="5" t="str">
        <f aca="false">IF(OR(F114="",NOT(ISNUMBER(D114))),"",IF(ABS(F114-D114)&lt;0.001,"Yes","No"))</f>
        <v/>
      </c>
      <c r="I114" s="3" t="s">
        <v>18</v>
      </c>
      <c r="J114" s="3" t="s">
        <v>44</v>
      </c>
      <c r="K114" s="3"/>
      <c r="L114" s="3"/>
      <c r="M114" s="3"/>
      <c r="N114" s="3"/>
      <c r="O114" s="3"/>
      <c r="P114" s="3" t="s">
        <v>336</v>
      </c>
    </row>
    <row r="115" customFormat="false" ht="169.4" hidden="false" customHeight="false" outlineLevel="0" collapsed="false">
      <c r="A115" s="3" t="s">
        <v>337</v>
      </c>
      <c r="B115" s="3" t="s">
        <v>17</v>
      </c>
      <c r="C115" s="3"/>
      <c r="D115" s="3" t="str">
        <f aca="false">IFERROR('SC1'!J13,"")</f>
        <v/>
      </c>
      <c r="E115" s="3"/>
      <c r="F115" s="4"/>
      <c r="G115" s="4"/>
      <c r="H115" s="5" t="str">
        <f aca="false">IF(OR(F115="",NOT(ISNUMBER(D115))),"",IF(ABS(F115-D115)&lt;0.001,"Yes","No"))</f>
        <v/>
      </c>
      <c r="I115" s="3" t="s">
        <v>18</v>
      </c>
      <c r="J115" s="3" t="s">
        <v>44</v>
      </c>
      <c r="K115" s="3"/>
      <c r="L115" s="3"/>
      <c r="M115" s="3"/>
      <c r="N115" s="3"/>
      <c r="O115" s="3"/>
      <c r="P115" s="3" t="s">
        <v>338</v>
      </c>
    </row>
    <row r="116" customFormat="false" ht="147" hidden="false" customHeight="false" outlineLevel="0" collapsed="false">
      <c r="A116" s="3" t="s">
        <v>337</v>
      </c>
      <c r="B116" s="3" t="s">
        <v>26</v>
      </c>
      <c r="C116" s="3"/>
      <c r="D116" s="3" t="str">
        <f aca="false">IFERROR('SC1'!J14,"")</f>
        <v/>
      </c>
      <c r="E116" s="3"/>
      <c r="F116" s="4"/>
      <c r="G116" s="4"/>
      <c r="H116" s="5" t="str">
        <f aca="false">IF(OR(F116="",NOT(ISNUMBER(D116))),"",IF(ABS(F116-D116)&lt;0.001,"Yes","No"))</f>
        <v/>
      </c>
      <c r="I116" s="3" t="s">
        <v>18</v>
      </c>
      <c r="J116" s="3" t="s">
        <v>44</v>
      </c>
      <c r="K116" s="3"/>
      <c r="L116" s="3"/>
      <c r="M116" s="3"/>
      <c r="N116" s="3"/>
      <c r="O116" s="3"/>
      <c r="P116" s="3" t="s">
        <v>339</v>
      </c>
    </row>
    <row r="117" customFormat="false" ht="135.8" hidden="false" customHeight="false" outlineLevel="0" collapsed="false">
      <c r="A117" s="3" t="s">
        <v>337</v>
      </c>
      <c r="B117" s="3" t="s">
        <v>32</v>
      </c>
      <c r="C117" s="3"/>
      <c r="D117" s="3" t="str">
        <f aca="false">IFERROR('SC1'!J15,"")</f>
        <v/>
      </c>
      <c r="E117" s="3"/>
      <c r="F117" s="4"/>
      <c r="G117" s="4"/>
      <c r="H117" s="5" t="str">
        <f aca="false">IF(OR(F117="",NOT(ISNUMBER(D117))),"",IF(ABS(F117-D117)&lt;0.001,"Yes","No"))</f>
        <v/>
      </c>
      <c r="I117" s="3" t="s">
        <v>18</v>
      </c>
      <c r="J117" s="3" t="s">
        <v>44</v>
      </c>
      <c r="K117" s="3"/>
      <c r="L117" s="3"/>
      <c r="M117" s="3"/>
      <c r="N117" s="3"/>
      <c r="O117" s="3"/>
      <c r="P117" s="3" t="s">
        <v>340</v>
      </c>
    </row>
    <row r="118" customFormat="false" ht="124.6" hidden="false" customHeight="false" outlineLevel="0" collapsed="false">
      <c r="A118" s="3" t="s">
        <v>341</v>
      </c>
      <c r="B118" s="3" t="s">
        <v>17</v>
      </c>
      <c r="C118" s="3"/>
      <c r="D118" s="3" t="str">
        <f aca="false">IFERROR('SC2'!J13,"")</f>
        <v/>
      </c>
      <c r="E118" s="3"/>
      <c r="F118" s="4"/>
      <c r="G118" s="4"/>
      <c r="H118" s="5" t="str">
        <f aca="false">IF(OR(F118="",NOT(ISNUMBER(D118))),"",IF(ABS(F118-D118)&lt;0.001,"Yes","No"))</f>
        <v/>
      </c>
      <c r="I118" s="3" t="s">
        <v>18</v>
      </c>
      <c r="J118" s="3" t="s">
        <v>44</v>
      </c>
      <c r="K118" s="3"/>
      <c r="L118" s="3"/>
      <c r="M118" s="3"/>
      <c r="N118" s="3"/>
      <c r="O118" s="3"/>
      <c r="P118" s="3" t="s">
        <v>342</v>
      </c>
    </row>
    <row r="119" customFormat="false" ht="135.8" hidden="false" customHeight="false" outlineLevel="0" collapsed="false">
      <c r="A119" s="3" t="s">
        <v>341</v>
      </c>
      <c r="B119" s="3" t="s">
        <v>26</v>
      </c>
      <c r="C119" s="3"/>
      <c r="D119" s="3" t="str">
        <f aca="false">IFERROR('SC2'!J14,"")</f>
        <v/>
      </c>
      <c r="E119" s="3"/>
      <c r="F119" s="4"/>
      <c r="G119" s="4"/>
      <c r="H119" s="5" t="str">
        <f aca="false">IF(OR(F119="",NOT(ISNUMBER(D119))),"",IF(ABS(F119-D119)&lt;0.001,"Yes","No"))</f>
        <v/>
      </c>
      <c r="I119" s="3" t="s">
        <v>18</v>
      </c>
      <c r="J119" s="3" t="s">
        <v>44</v>
      </c>
      <c r="K119" s="3"/>
      <c r="L119" s="3"/>
      <c r="M119" s="3"/>
      <c r="N119" s="3"/>
      <c r="O119" s="3"/>
      <c r="P119" s="3" t="s">
        <v>343</v>
      </c>
    </row>
    <row r="120" customFormat="false" ht="180.55" hidden="false" customHeight="false" outlineLevel="0" collapsed="false">
      <c r="A120" s="3" t="s">
        <v>341</v>
      </c>
      <c r="B120" s="3" t="s">
        <v>32</v>
      </c>
      <c r="C120" s="3"/>
      <c r="D120" s="3" t="str">
        <f aca="false">IFERROR('SC2'!J15,"")</f>
        <v/>
      </c>
      <c r="E120" s="3"/>
      <c r="F120" s="4"/>
      <c r="G120" s="4"/>
      <c r="H120" s="5" t="str">
        <f aca="false">IF(OR(F120="",NOT(ISNUMBER(D120))),"",IF(ABS(F120-D120)&lt;0.001,"Yes","No"))</f>
        <v/>
      </c>
      <c r="I120" s="3" t="s">
        <v>18</v>
      </c>
      <c r="J120" s="3" t="s">
        <v>44</v>
      </c>
      <c r="K120" s="3"/>
      <c r="L120" s="3"/>
      <c r="M120" s="3"/>
      <c r="N120" s="3"/>
      <c r="O120" s="3"/>
      <c r="P120" s="3" t="s">
        <v>344</v>
      </c>
    </row>
    <row r="121" customFormat="false" ht="404.45" hidden="false" customHeight="false" outlineLevel="0" collapsed="false">
      <c r="A121" s="3" t="s">
        <v>341</v>
      </c>
      <c r="B121" s="3" t="s">
        <v>38</v>
      </c>
      <c r="C121" s="3"/>
      <c r="D121" s="3" t="str">
        <f aca="false">IFERROR('SC2'!J16,"")</f>
        <v/>
      </c>
      <c r="E121" s="3"/>
      <c r="F121" s="4"/>
      <c r="G121" s="4"/>
      <c r="H121" s="5" t="str">
        <f aca="false">IF(OR(F121="",NOT(ISNUMBER(D121))),"",IF(ABS(F121-D121)&lt;0.001,"Yes","No"))</f>
        <v/>
      </c>
      <c r="I121" s="3" t="s">
        <v>18</v>
      </c>
      <c r="J121" s="3" t="s">
        <v>19</v>
      </c>
      <c r="K121" s="3" t="s">
        <v>345</v>
      </c>
      <c r="L121" s="3" t="s">
        <v>150</v>
      </c>
      <c r="M121" s="3" t="s">
        <v>151</v>
      </c>
      <c r="N121" s="3" t="s">
        <v>346</v>
      </c>
      <c r="O121" s="3" t="s">
        <v>347</v>
      </c>
      <c r="P121" s="3" t="s">
        <v>25</v>
      </c>
    </row>
    <row r="122" customFormat="false" ht="113.4" hidden="false" customHeight="false" outlineLevel="0" collapsed="false">
      <c r="A122" s="3" t="s">
        <v>348</v>
      </c>
      <c r="B122" s="3" t="s">
        <v>17</v>
      </c>
      <c r="C122" s="3"/>
      <c r="D122" s="3" t="str">
        <f aca="false">IFERROR('SC3'!J13,"")</f>
        <v/>
      </c>
      <c r="E122" s="3"/>
      <c r="F122" s="4"/>
      <c r="G122" s="4"/>
      <c r="H122" s="5" t="str">
        <f aca="false">IF(OR(F122="",NOT(ISNUMBER(D122))),"",IF(ABS(F122-D122)&lt;0.001,"Yes","No"))</f>
        <v/>
      </c>
      <c r="I122" s="3" t="s">
        <v>18</v>
      </c>
      <c r="J122" s="3" t="s">
        <v>44</v>
      </c>
      <c r="K122" s="3"/>
      <c r="L122" s="3"/>
      <c r="M122" s="3"/>
      <c r="N122" s="3"/>
      <c r="O122" s="3"/>
      <c r="P122" s="3" t="s">
        <v>349</v>
      </c>
    </row>
    <row r="123" customFormat="false" ht="124.6" hidden="false" customHeight="false" outlineLevel="0" collapsed="false">
      <c r="A123" s="3" t="s">
        <v>348</v>
      </c>
      <c r="B123" s="3" t="s">
        <v>26</v>
      </c>
      <c r="C123" s="3"/>
      <c r="D123" s="3" t="str">
        <f aca="false">IFERROR('SC3'!J14,"")</f>
        <v/>
      </c>
      <c r="E123" s="3"/>
      <c r="F123" s="4"/>
      <c r="G123" s="4"/>
      <c r="H123" s="5" t="str">
        <f aca="false">IF(OR(F123="",NOT(ISNUMBER(D123))),"",IF(ABS(F123-D123)&lt;0.001,"Yes","No"))</f>
        <v/>
      </c>
      <c r="I123" s="3" t="s">
        <v>18</v>
      </c>
      <c r="J123" s="3" t="s">
        <v>44</v>
      </c>
      <c r="K123" s="3"/>
      <c r="L123" s="3"/>
      <c r="M123" s="3"/>
      <c r="N123" s="3"/>
      <c r="O123" s="3"/>
      <c r="P123" s="3" t="s">
        <v>350</v>
      </c>
    </row>
    <row r="124" customFormat="false" ht="135.8" hidden="false" customHeight="false" outlineLevel="0" collapsed="false">
      <c r="A124" s="3" t="s">
        <v>348</v>
      </c>
      <c r="B124" s="3" t="s">
        <v>32</v>
      </c>
      <c r="C124" s="3"/>
      <c r="D124" s="3" t="str">
        <f aca="false">IFERROR('SC3'!J15,"")</f>
        <v/>
      </c>
      <c r="E124" s="3"/>
      <c r="F124" s="4"/>
      <c r="G124" s="4"/>
      <c r="H124" s="5" t="str">
        <f aca="false">IF(OR(F124="",NOT(ISNUMBER(D124))),"",IF(ABS(F124-D124)&lt;0.001,"Yes","No"))</f>
        <v/>
      </c>
      <c r="I124" s="3" t="s">
        <v>18</v>
      </c>
      <c r="J124" s="3" t="s">
        <v>44</v>
      </c>
      <c r="K124" s="3"/>
      <c r="L124" s="3"/>
      <c r="M124" s="3"/>
      <c r="N124" s="3"/>
      <c r="O124" s="3"/>
      <c r="P124" s="3" t="s">
        <v>351</v>
      </c>
    </row>
    <row r="125" customFormat="false" ht="135.8" hidden="false" customHeight="false" outlineLevel="0" collapsed="false">
      <c r="A125" s="3" t="s">
        <v>348</v>
      </c>
      <c r="B125" s="3" t="s">
        <v>38</v>
      </c>
      <c r="C125" s="3"/>
      <c r="D125" s="3" t="str">
        <f aca="false">IFERROR('SC3'!J16,"")</f>
        <v/>
      </c>
      <c r="E125" s="3"/>
      <c r="F125" s="4"/>
      <c r="G125" s="4"/>
      <c r="H125" s="5" t="str">
        <f aca="false">IF(OR(F125="",NOT(ISNUMBER(D125))),"",IF(ABS(F125-D125)&lt;0.001,"Yes","No"))</f>
        <v/>
      </c>
      <c r="I125" s="3" t="s">
        <v>18</v>
      </c>
      <c r="J125" s="3" t="s">
        <v>44</v>
      </c>
      <c r="K125" s="3"/>
      <c r="L125" s="3"/>
      <c r="M125" s="3"/>
      <c r="N125" s="3"/>
      <c r="O125" s="3"/>
      <c r="P125" s="3" t="s">
        <v>352</v>
      </c>
    </row>
    <row r="126" customFormat="false" ht="124.6" hidden="false" customHeight="false" outlineLevel="0" collapsed="false">
      <c r="A126" s="3" t="s">
        <v>348</v>
      </c>
      <c r="B126" s="3" t="s">
        <v>43</v>
      </c>
      <c r="C126" s="3"/>
      <c r="D126" s="3" t="str">
        <f aca="false">IFERROR('SC3'!J17,"")</f>
        <v/>
      </c>
      <c r="E126" s="3"/>
      <c r="F126" s="4"/>
      <c r="G126" s="4"/>
      <c r="H126" s="5" t="str">
        <f aca="false">IF(OR(F126="",NOT(ISNUMBER(D126))),"",IF(ABS(F126-D126)&lt;0.001,"Yes","No"))</f>
        <v/>
      </c>
      <c r="I126" s="3" t="s">
        <v>18</v>
      </c>
      <c r="J126" s="3" t="s">
        <v>44</v>
      </c>
      <c r="K126" s="3"/>
      <c r="L126" s="3"/>
      <c r="M126" s="3"/>
      <c r="N126" s="3"/>
      <c r="O126" s="3"/>
      <c r="P126" s="3" t="s">
        <v>353</v>
      </c>
    </row>
    <row r="127" customFormat="false" ht="516.4" hidden="false" customHeight="false" outlineLevel="0" collapsed="false">
      <c r="A127" s="3" t="s">
        <v>354</v>
      </c>
      <c r="B127" s="3" t="s">
        <v>17</v>
      </c>
      <c r="C127" s="3"/>
      <c r="D127" s="3" t="n">
        <f aca="false">IFERROR(SC4a!J13,"")</f>
        <v>0</v>
      </c>
      <c r="E127" s="3"/>
      <c r="F127" s="4"/>
      <c r="G127" s="4"/>
      <c r="H127" s="5" t="str">
        <f aca="false">IF(OR(F127="",NOT(ISNUMBER(D127))),"",IF(ABS(F127-D127)&lt;0.001,"Yes","No"))</f>
        <v/>
      </c>
      <c r="I127" s="3" t="s">
        <v>18</v>
      </c>
      <c r="J127" s="3" t="s">
        <v>19</v>
      </c>
      <c r="K127" s="3" t="s">
        <v>355</v>
      </c>
      <c r="L127" s="3" t="s">
        <v>21</v>
      </c>
      <c r="M127" s="3" t="s">
        <v>22</v>
      </c>
      <c r="N127" s="3" t="s">
        <v>356</v>
      </c>
      <c r="O127" s="3" t="s">
        <v>357</v>
      </c>
      <c r="P127" s="3" t="s">
        <v>25</v>
      </c>
    </row>
    <row r="128" customFormat="false" ht="460.4" hidden="false" customHeight="false" outlineLevel="0" collapsed="false">
      <c r="A128" s="3" t="s">
        <v>354</v>
      </c>
      <c r="B128" s="3" t="s">
        <v>26</v>
      </c>
      <c r="C128" s="3"/>
      <c r="D128" s="3" t="n">
        <f aca="false">IFERROR(SC4a!J14,"")</f>
        <v>0</v>
      </c>
      <c r="E128" s="3"/>
      <c r="F128" s="4"/>
      <c r="G128" s="4"/>
      <c r="H128" s="5" t="str">
        <f aca="false">IF(OR(F128="",NOT(ISNUMBER(D128))),"",IF(ABS(F128-D128)&lt;0.001,"Yes","No"))</f>
        <v/>
      </c>
      <c r="I128" s="3" t="s">
        <v>18</v>
      </c>
      <c r="J128" s="3" t="s">
        <v>19</v>
      </c>
      <c r="K128" s="3" t="s">
        <v>358</v>
      </c>
      <c r="L128" s="3" t="s">
        <v>142</v>
      </c>
      <c r="M128" s="3" t="s">
        <v>143</v>
      </c>
      <c r="N128" s="3" t="s">
        <v>164</v>
      </c>
      <c r="O128" s="3" t="s">
        <v>359</v>
      </c>
      <c r="P128" s="3" t="s">
        <v>25</v>
      </c>
    </row>
    <row r="129" customFormat="false" ht="594.75" hidden="false" customHeight="false" outlineLevel="0" collapsed="false">
      <c r="A129" s="3" t="s">
        <v>354</v>
      </c>
      <c r="B129" s="3" t="s">
        <v>32</v>
      </c>
      <c r="C129" s="3"/>
      <c r="D129" s="3" t="n">
        <f aca="false">IFERROR(SC4a!J15,"")</f>
        <v>0</v>
      </c>
      <c r="E129" s="3"/>
      <c r="F129" s="4"/>
      <c r="G129" s="4"/>
      <c r="H129" s="5" t="str">
        <f aca="false">IF(OR(F129="",NOT(ISNUMBER(D129))),"",IF(ABS(F129-D129)&lt;0.001,"Yes","No"))</f>
        <v/>
      </c>
      <c r="I129" s="3" t="s">
        <v>18</v>
      </c>
      <c r="J129" s="3" t="s">
        <v>19</v>
      </c>
      <c r="K129" s="3" t="s">
        <v>360</v>
      </c>
      <c r="L129" s="3"/>
      <c r="M129" s="3"/>
      <c r="N129" s="3"/>
      <c r="O129" s="3" t="s">
        <v>361</v>
      </c>
      <c r="P129" s="3" t="s">
        <v>362</v>
      </c>
    </row>
    <row r="130" customFormat="false" ht="147" hidden="false" customHeight="false" outlineLevel="0" collapsed="false">
      <c r="A130" s="3" t="s">
        <v>354</v>
      </c>
      <c r="B130" s="3" t="s">
        <v>38</v>
      </c>
      <c r="C130" s="3"/>
      <c r="D130" s="3" t="n">
        <f aca="false">IFERROR(SC4a!J16,"")</f>
        <v>0</v>
      </c>
      <c r="E130" s="3"/>
      <c r="F130" s="4"/>
      <c r="G130" s="4"/>
      <c r="H130" s="5" t="str">
        <f aca="false">IF(OR(F130="",NOT(ISNUMBER(D130))),"",IF(ABS(F130-D130)&lt;0.001,"Yes","No"))</f>
        <v/>
      </c>
      <c r="I130" s="3" t="s">
        <v>18</v>
      </c>
      <c r="J130" s="3" t="s">
        <v>44</v>
      </c>
      <c r="K130" s="3"/>
      <c r="L130" s="3"/>
      <c r="M130" s="3"/>
      <c r="N130" s="3"/>
      <c r="O130" s="3"/>
      <c r="P130" s="3" t="s">
        <v>363</v>
      </c>
    </row>
    <row r="131" customFormat="false" ht="147" hidden="false" customHeight="false" outlineLevel="0" collapsed="false">
      <c r="A131" s="3" t="s">
        <v>354</v>
      </c>
      <c r="B131" s="3" t="s">
        <v>43</v>
      </c>
      <c r="C131" s="3"/>
      <c r="D131" s="3" t="n">
        <f aca="false">IFERROR(SC4a!J17,"")</f>
        <v>0</v>
      </c>
      <c r="E131" s="3"/>
      <c r="F131" s="4"/>
      <c r="G131" s="4"/>
      <c r="H131" s="5" t="str">
        <f aca="false">IF(OR(F131="",NOT(ISNUMBER(D131))),"",IF(ABS(F131-D131)&lt;0.001,"Yes","No"))</f>
        <v/>
      </c>
      <c r="I131" s="3" t="s">
        <v>18</v>
      </c>
      <c r="J131" s="3" t="s">
        <v>44</v>
      </c>
      <c r="K131" s="3"/>
      <c r="L131" s="3"/>
      <c r="M131" s="3"/>
      <c r="N131" s="3"/>
      <c r="O131" s="3"/>
      <c r="P131" s="3" t="s">
        <v>364</v>
      </c>
    </row>
    <row r="132" customFormat="false" ht="124.6" hidden="false" customHeight="false" outlineLevel="0" collapsed="false">
      <c r="A132" s="3" t="s">
        <v>365</v>
      </c>
      <c r="B132" s="3" t="s">
        <v>17</v>
      </c>
      <c r="C132" s="3"/>
      <c r="D132" s="3" t="str">
        <f aca="false">IFERROR(SC4b!J13,"")</f>
        <v/>
      </c>
      <c r="E132" s="3"/>
      <c r="F132" s="4"/>
      <c r="G132" s="4"/>
      <c r="H132" s="5" t="str">
        <f aca="false">IF(OR(F132="",NOT(ISNUMBER(D132))),"",IF(ABS(F132-D132)&lt;0.001,"Yes","No"))</f>
        <v/>
      </c>
      <c r="I132" s="3" t="s">
        <v>18</v>
      </c>
      <c r="J132" s="3" t="s">
        <v>44</v>
      </c>
      <c r="K132" s="3"/>
      <c r="L132" s="3"/>
      <c r="M132" s="3"/>
      <c r="N132" s="3"/>
      <c r="O132" s="3"/>
      <c r="P132" s="3" t="s">
        <v>366</v>
      </c>
    </row>
    <row r="133" customFormat="false" ht="124.6" hidden="false" customHeight="false" outlineLevel="0" collapsed="false">
      <c r="A133" s="3" t="s">
        <v>365</v>
      </c>
      <c r="B133" s="3" t="s">
        <v>26</v>
      </c>
      <c r="C133" s="3"/>
      <c r="D133" s="3" t="str">
        <f aca="false">IFERROR(SC4b!J14,"")</f>
        <v/>
      </c>
      <c r="E133" s="3"/>
      <c r="F133" s="4"/>
      <c r="G133" s="4"/>
      <c r="H133" s="5" t="str">
        <f aca="false">IF(OR(F133="",NOT(ISNUMBER(D133))),"",IF(ABS(F133-D133)&lt;0.001,"Yes","No"))</f>
        <v/>
      </c>
      <c r="I133" s="3" t="s">
        <v>18</v>
      </c>
      <c r="J133" s="3" t="s">
        <v>44</v>
      </c>
      <c r="K133" s="3"/>
      <c r="L133" s="3"/>
      <c r="M133" s="3"/>
      <c r="N133" s="3"/>
      <c r="O133" s="3"/>
      <c r="P133" s="3" t="s">
        <v>367</v>
      </c>
    </row>
    <row r="134" customFormat="false" ht="124.6" hidden="false" customHeight="false" outlineLevel="0" collapsed="false">
      <c r="A134" s="3" t="s">
        <v>365</v>
      </c>
      <c r="B134" s="3" t="s">
        <v>32</v>
      </c>
      <c r="C134" s="3"/>
      <c r="D134" s="3" t="str">
        <f aca="false">IFERROR(SC4b!J15,"")</f>
        <v/>
      </c>
      <c r="E134" s="3"/>
      <c r="F134" s="4"/>
      <c r="G134" s="4"/>
      <c r="H134" s="5" t="str">
        <f aca="false">IF(OR(F134="",NOT(ISNUMBER(D134))),"",IF(ABS(F134-D134)&lt;0.001,"Yes","No"))</f>
        <v/>
      </c>
      <c r="I134" s="3" t="s">
        <v>18</v>
      </c>
      <c r="J134" s="3" t="s">
        <v>44</v>
      </c>
      <c r="K134" s="3"/>
      <c r="L134" s="3"/>
      <c r="M134" s="3"/>
      <c r="N134" s="3"/>
      <c r="O134" s="3"/>
      <c r="P134" s="3" t="s">
        <v>368</v>
      </c>
    </row>
    <row r="135" customFormat="false" ht="124.6" hidden="false" customHeight="false" outlineLevel="0" collapsed="false">
      <c r="A135" s="3" t="s">
        <v>365</v>
      </c>
      <c r="B135" s="3" t="s">
        <v>38</v>
      </c>
      <c r="C135" s="3"/>
      <c r="D135" s="3" t="str">
        <f aca="false">IFERROR(SC4b!J16,"")</f>
        <v/>
      </c>
      <c r="E135" s="3"/>
      <c r="F135" s="4"/>
      <c r="G135" s="4"/>
      <c r="H135" s="5" t="str">
        <f aca="false">IF(OR(F135="",NOT(ISNUMBER(D135))),"",IF(ABS(F135-D135)&lt;0.001,"Yes","No"))</f>
        <v/>
      </c>
      <c r="I135" s="3" t="s">
        <v>18</v>
      </c>
      <c r="J135" s="3" t="s">
        <v>44</v>
      </c>
      <c r="K135" s="3"/>
      <c r="L135" s="3"/>
      <c r="M135" s="3"/>
      <c r="N135" s="3"/>
      <c r="O135" s="3"/>
      <c r="P135" s="3" t="s">
        <v>369</v>
      </c>
    </row>
    <row r="136" customFormat="false" ht="113.4" hidden="false" customHeight="false" outlineLevel="0" collapsed="false">
      <c r="A136" s="3" t="s">
        <v>365</v>
      </c>
      <c r="B136" s="3" t="s">
        <v>43</v>
      </c>
      <c r="C136" s="3"/>
      <c r="D136" s="3" t="str">
        <f aca="false">IFERROR(SC4b!J17,"")</f>
        <v/>
      </c>
      <c r="E136" s="3"/>
      <c r="F136" s="4"/>
      <c r="G136" s="4"/>
      <c r="H136" s="5" t="str">
        <f aca="false">IF(OR(F136="",NOT(ISNUMBER(D136))),"",IF(ABS(F136-D136)&lt;0.001,"Yes","No"))</f>
        <v/>
      </c>
      <c r="I136" s="3" t="s">
        <v>18</v>
      </c>
      <c r="J136" s="3" t="s">
        <v>44</v>
      </c>
      <c r="K136" s="3"/>
      <c r="L136" s="3"/>
      <c r="M136" s="3"/>
      <c r="N136" s="3"/>
      <c r="O136" s="3"/>
      <c r="P136" s="3" t="s">
        <v>370</v>
      </c>
    </row>
    <row r="137" customFormat="false" ht="516.4" hidden="false" customHeight="false" outlineLevel="0" collapsed="false">
      <c r="A137" s="3" t="s">
        <v>371</v>
      </c>
      <c r="B137" s="3" t="s">
        <v>17</v>
      </c>
      <c r="C137" s="3"/>
      <c r="D137" s="3" t="n">
        <f aca="false">IFERROR('SC5'!J13,"")</f>
        <v>0</v>
      </c>
      <c r="E137" s="3"/>
      <c r="F137" s="4"/>
      <c r="G137" s="4"/>
      <c r="H137" s="5" t="str">
        <f aca="false">IF(OR(F137="",NOT(ISNUMBER(D137))),"",IF(ABS(F137-D137)&lt;0.001,"Yes","No"))</f>
        <v/>
      </c>
      <c r="I137" s="3" t="s">
        <v>18</v>
      </c>
      <c r="J137" s="3" t="s">
        <v>19</v>
      </c>
      <c r="K137" s="3" t="s">
        <v>372</v>
      </c>
      <c r="L137" s="3" t="s">
        <v>21</v>
      </c>
      <c r="M137" s="3" t="s">
        <v>22</v>
      </c>
      <c r="N137" s="3" t="s">
        <v>373</v>
      </c>
      <c r="O137" s="3" t="s">
        <v>374</v>
      </c>
      <c r="P137" s="3" t="s">
        <v>25</v>
      </c>
    </row>
    <row r="138" customFormat="false" ht="550" hidden="false" customHeight="false" outlineLevel="0" collapsed="false">
      <c r="A138" s="3" t="s">
        <v>371</v>
      </c>
      <c r="B138" s="3" t="s">
        <v>26</v>
      </c>
      <c r="C138" s="3"/>
      <c r="D138" s="3" t="str">
        <f aca="false">IFERROR('SC5'!J14,"")</f>
        <v/>
      </c>
      <c r="E138" s="3"/>
      <c r="F138" s="4"/>
      <c r="G138" s="4"/>
      <c r="H138" s="5" t="str">
        <f aca="false">IF(OR(F138="",NOT(ISNUMBER(D138))),"",IF(ABS(F138-D138)&lt;0.001,"Yes","No"))</f>
        <v/>
      </c>
      <c r="I138" s="3" t="s">
        <v>18</v>
      </c>
      <c r="J138" s="3" t="s">
        <v>19</v>
      </c>
      <c r="K138" s="3" t="s">
        <v>375</v>
      </c>
      <c r="L138" s="3"/>
      <c r="M138" s="3"/>
      <c r="N138" s="3"/>
      <c r="O138" s="3" t="s">
        <v>376</v>
      </c>
      <c r="P138" s="3" t="s">
        <v>377</v>
      </c>
    </row>
    <row r="139" customFormat="false" ht="393.25" hidden="false" customHeight="false" outlineLevel="0" collapsed="false">
      <c r="A139" s="3" t="s">
        <v>371</v>
      </c>
      <c r="B139" s="3" t="s">
        <v>32</v>
      </c>
      <c r="C139" s="3"/>
      <c r="D139" s="3" t="n">
        <f aca="false">IFERROR('SC5'!J15,"")</f>
        <v>0</v>
      </c>
      <c r="E139" s="3"/>
      <c r="F139" s="4"/>
      <c r="G139" s="4"/>
      <c r="H139" s="5" t="str">
        <f aca="false">IF(OR(F139="",NOT(ISNUMBER(D139))),"",IF(ABS(F139-D139)&lt;0.001,"Yes","No"))</f>
        <v/>
      </c>
      <c r="I139" s="3" t="s">
        <v>18</v>
      </c>
      <c r="J139" s="3" t="s">
        <v>19</v>
      </c>
      <c r="K139" s="3" t="s">
        <v>378</v>
      </c>
      <c r="L139" s="3" t="s">
        <v>34</v>
      </c>
      <c r="M139" s="3" t="s">
        <v>35</v>
      </c>
      <c r="N139" s="3" t="s">
        <v>379</v>
      </c>
      <c r="O139" s="3" t="s">
        <v>380</v>
      </c>
      <c r="P139" s="3" t="s">
        <v>25</v>
      </c>
    </row>
    <row r="140" customFormat="false" ht="449.25" hidden="false" customHeight="false" outlineLevel="0" collapsed="false">
      <c r="A140" s="3" t="s">
        <v>371</v>
      </c>
      <c r="B140" s="3" t="s">
        <v>38</v>
      </c>
      <c r="C140" s="3"/>
      <c r="D140" s="3" t="n">
        <f aca="false">IFERROR('SC5'!J16,"")</f>
        <v>0</v>
      </c>
      <c r="E140" s="3"/>
      <c r="F140" s="4"/>
      <c r="G140" s="4"/>
      <c r="H140" s="5" t="str">
        <f aca="false">IF(OR(F140="",NOT(ISNUMBER(D140))),"",IF(ABS(F140-D140)&lt;0.001,"Yes","No"))</f>
        <v/>
      </c>
      <c r="I140" s="3" t="s">
        <v>18</v>
      </c>
      <c r="J140" s="3" t="s">
        <v>19</v>
      </c>
      <c r="K140" s="3" t="s">
        <v>381</v>
      </c>
      <c r="L140" s="3" t="s">
        <v>382</v>
      </c>
      <c r="M140" s="3" t="s">
        <v>383</v>
      </c>
      <c r="N140" s="3" t="s">
        <v>384</v>
      </c>
      <c r="O140" s="3" t="s">
        <v>385</v>
      </c>
      <c r="P140" s="3" t="s">
        <v>25</v>
      </c>
    </row>
    <row r="141" customFormat="false" ht="124.6" hidden="false" customHeight="false" outlineLevel="0" collapsed="false">
      <c r="A141" s="3" t="s">
        <v>371</v>
      </c>
      <c r="B141" s="3" t="s">
        <v>43</v>
      </c>
      <c r="C141" s="3"/>
      <c r="D141" s="3" t="str">
        <f aca="false">IFERROR('SC5'!J17,"")</f>
        <v/>
      </c>
      <c r="E141" s="3"/>
      <c r="F141" s="4"/>
      <c r="G141" s="4"/>
      <c r="H141" s="5" t="str">
        <f aca="false">IF(OR(F141="",NOT(ISNUMBER(D141))),"",IF(ABS(F141-D141)&lt;0.001,"Yes","No"))</f>
        <v/>
      </c>
      <c r="I141" s="3" t="s">
        <v>18</v>
      </c>
      <c r="J141" s="3" t="s">
        <v>44</v>
      </c>
      <c r="K141" s="3"/>
      <c r="L141" s="3"/>
      <c r="M141" s="3"/>
      <c r="N141" s="3"/>
      <c r="O141" s="3"/>
      <c r="P141" s="3" t="s">
        <v>386</v>
      </c>
    </row>
    <row r="142" customFormat="false" ht="135.8" hidden="false" customHeight="false" outlineLevel="0" collapsed="false">
      <c r="A142" s="3" t="s">
        <v>387</v>
      </c>
      <c r="B142" s="3" t="s">
        <v>17</v>
      </c>
      <c r="C142" s="3"/>
      <c r="D142" s="3" t="str">
        <f aca="false">IFERROR('SC6'!J13,"")</f>
        <v/>
      </c>
      <c r="E142" s="3"/>
      <c r="F142" s="4"/>
      <c r="G142" s="4"/>
      <c r="H142" s="5" t="str">
        <f aca="false">IF(OR(F142="",NOT(ISNUMBER(D142))),"",IF(ABS(F142-D142)&lt;0.001,"Yes","No"))</f>
        <v/>
      </c>
      <c r="I142" s="3" t="s">
        <v>18</v>
      </c>
      <c r="J142" s="3" t="s">
        <v>44</v>
      </c>
      <c r="K142" s="3"/>
      <c r="L142" s="3"/>
      <c r="M142" s="3"/>
      <c r="N142" s="3"/>
      <c r="O142" s="3"/>
      <c r="P142" s="3" t="s">
        <v>388</v>
      </c>
    </row>
    <row r="143" customFormat="false" ht="326.1" hidden="false" customHeight="false" outlineLevel="0" collapsed="false">
      <c r="A143" s="3" t="s">
        <v>387</v>
      </c>
      <c r="B143" s="3" t="s">
        <v>26</v>
      </c>
      <c r="C143" s="3"/>
      <c r="D143" s="3" t="str">
        <f aca="false">IFERROR('SC6'!J14,"")</f>
        <v/>
      </c>
      <c r="E143" s="3"/>
      <c r="F143" s="4"/>
      <c r="G143" s="4"/>
      <c r="H143" s="5" t="str">
        <f aca="false">IF(OR(F143="",NOT(ISNUMBER(D143))),"",IF(ABS(F143-D143)&lt;0.001,"Yes","No"))</f>
        <v/>
      </c>
      <c r="I143" s="3" t="s">
        <v>18</v>
      </c>
      <c r="J143" s="3" t="s">
        <v>19</v>
      </c>
      <c r="K143" s="3" t="s">
        <v>389</v>
      </c>
      <c r="L143" s="3" t="s">
        <v>390</v>
      </c>
      <c r="M143" s="3" t="s">
        <v>391</v>
      </c>
      <c r="N143" s="3" t="s">
        <v>392</v>
      </c>
      <c r="O143" s="3" t="s">
        <v>393</v>
      </c>
      <c r="P143" s="3" t="s">
        <v>25</v>
      </c>
    </row>
    <row r="144" customFormat="false" ht="102.2" hidden="false" customHeight="false" outlineLevel="0" collapsed="false">
      <c r="A144" s="3" t="s">
        <v>387</v>
      </c>
      <c r="B144" s="3" t="s">
        <v>32</v>
      </c>
      <c r="C144" s="3"/>
      <c r="D144" s="3" t="str">
        <f aca="false">IFERROR('SC6'!J15,"")</f>
        <v/>
      </c>
      <c r="E144" s="3"/>
      <c r="F144" s="4"/>
      <c r="G144" s="4"/>
      <c r="H144" s="5" t="str">
        <f aca="false">IF(OR(F144="",NOT(ISNUMBER(D144))),"",IF(ABS(F144-D144)&lt;0.001,"Yes","No"))</f>
        <v/>
      </c>
      <c r="I144" s="3" t="s">
        <v>18</v>
      </c>
      <c r="J144" s="3" t="s">
        <v>44</v>
      </c>
      <c r="K144" s="3"/>
      <c r="L144" s="3"/>
      <c r="M144" s="3"/>
      <c r="N144" s="3"/>
      <c r="O144" s="3"/>
      <c r="P144" s="3" t="s">
        <v>394</v>
      </c>
    </row>
    <row r="145" customFormat="false" ht="113.4" hidden="false" customHeight="false" outlineLevel="0" collapsed="false">
      <c r="A145" s="3" t="s">
        <v>387</v>
      </c>
      <c r="B145" s="3" t="s">
        <v>38</v>
      </c>
      <c r="C145" s="3"/>
      <c r="D145" s="3" t="str">
        <f aca="false">IFERROR('SC6'!J16,"")</f>
        <v/>
      </c>
      <c r="E145" s="3"/>
      <c r="F145" s="4"/>
      <c r="G145" s="4"/>
      <c r="H145" s="5" t="str">
        <f aca="false">IF(OR(F145="",NOT(ISNUMBER(D145))),"",IF(ABS(F145-D145)&lt;0.001,"Yes","No"))</f>
        <v/>
      </c>
      <c r="I145" s="3" t="s">
        <v>18</v>
      </c>
      <c r="J145" s="3" t="s">
        <v>44</v>
      </c>
      <c r="K145" s="3"/>
      <c r="L145" s="3"/>
      <c r="M145" s="3"/>
      <c r="N145" s="3"/>
      <c r="O145" s="3"/>
      <c r="P145" s="3" t="s">
        <v>395</v>
      </c>
    </row>
    <row r="146" customFormat="false" ht="318.65" hidden="false" customHeight="false" outlineLevel="0" collapsed="false">
      <c r="A146" s="3" t="s">
        <v>387</v>
      </c>
      <c r="B146" s="3" t="s">
        <v>43</v>
      </c>
      <c r="C146" s="3"/>
      <c r="D146" s="3" t="str">
        <f aca="false">IFERROR('SC6'!J17,"")</f>
        <v/>
      </c>
      <c r="E146" s="3"/>
      <c r="F146" s="4"/>
      <c r="G146" s="4"/>
      <c r="H146" s="5" t="str">
        <f aca="false">IF(OR(F146="",NOT(ISNUMBER(D146))),"",IF(ABS(F146-D146)&lt;0.001,"Yes","No"))</f>
        <v/>
      </c>
      <c r="I146" s="3" t="s">
        <v>18</v>
      </c>
      <c r="J146" s="3" t="s">
        <v>19</v>
      </c>
      <c r="K146" s="3" t="s">
        <v>396</v>
      </c>
      <c r="L146" s="3" t="s">
        <v>155</v>
      </c>
      <c r="M146" s="3" t="s">
        <v>156</v>
      </c>
      <c r="N146" s="3" t="s">
        <v>397</v>
      </c>
      <c r="O146" s="3" t="s">
        <v>398</v>
      </c>
      <c r="P146" s="3" t="s">
        <v>25</v>
      </c>
    </row>
    <row r="147" customFormat="false" ht="124.6" hidden="false" customHeight="false" outlineLevel="0" collapsed="false">
      <c r="A147" s="3" t="s">
        <v>399</v>
      </c>
      <c r="B147" s="3" t="s">
        <v>17</v>
      </c>
      <c r="C147" s="3"/>
      <c r="D147" s="3" t="n">
        <f aca="false">IFERROR(SC7a!J13,"")</f>
        <v>3</v>
      </c>
      <c r="E147" s="3"/>
      <c r="F147" s="4"/>
      <c r="G147" s="4"/>
      <c r="H147" s="5" t="str">
        <f aca="false">IF(OR(F147="",NOT(ISNUMBER(D147))),"",IF(ABS(F147-D147)&lt;0.001,"Yes","No"))</f>
        <v/>
      </c>
      <c r="I147" s="3" t="s">
        <v>18</v>
      </c>
      <c r="J147" s="3" t="s">
        <v>44</v>
      </c>
      <c r="K147" s="3"/>
      <c r="L147" s="3"/>
      <c r="M147" s="3"/>
      <c r="N147" s="3"/>
      <c r="O147" s="3"/>
      <c r="P147" s="3" t="s">
        <v>400</v>
      </c>
    </row>
    <row r="148" customFormat="false" ht="258.95" hidden="false" customHeight="false" outlineLevel="0" collapsed="false">
      <c r="A148" s="3" t="s">
        <v>399</v>
      </c>
      <c r="B148" s="3" t="s">
        <v>26</v>
      </c>
      <c r="C148" s="3"/>
      <c r="D148" s="3" t="str">
        <f aca="false">IFERROR(SC7a!J14,"")</f>
        <v/>
      </c>
      <c r="E148" s="3"/>
      <c r="F148" s="4"/>
      <c r="G148" s="4"/>
      <c r="H148" s="5" t="str">
        <f aca="false">IF(OR(F148="",NOT(ISNUMBER(D148))),"",IF(ABS(F148-D148)&lt;0.001,"Yes","No"))</f>
        <v/>
      </c>
      <c r="I148" s="3" t="s">
        <v>18</v>
      </c>
      <c r="J148" s="3" t="s">
        <v>262</v>
      </c>
      <c r="K148" s="3" t="s">
        <v>401</v>
      </c>
      <c r="L148" s="3"/>
      <c r="M148" s="3"/>
      <c r="N148" s="3"/>
      <c r="O148" s="3"/>
      <c r="P148" s="3" t="s">
        <v>402</v>
      </c>
    </row>
    <row r="149" customFormat="false" ht="113.4" hidden="false" customHeight="false" outlineLevel="0" collapsed="false">
      <c r="A149" s="3" t="s">
        <v>399</v>
      </c>
      <c r="B149" s="3" t="s">
        <v>32</v>
      </c>
      <c r="C149" s="3"/>
      <c r="D149" s="3" t="str">
        <f aca="false">IFERROR(SC7a!J15,"")</f>
        <v/>
      </c>
      <c r="E149" s="3"/>
      <c r="F149" s="4"/>
      <c r="G149" s="4"/>
      <c r="H149" s="5" t="str">
        <f aca="false">IF(OR(F149="",NOT(ISNUMBER(D149))),"",IF(ABS(F149-D149)&lt;0.001,"Yes","No"))</f>
        <v/>
      </c>
      <c r="I149" s="3" t="s">
        <v>18</v>
      </c>
      <c r="J149" s="3" t="s">
        <v>44</v>
      </c>
      <c r="K149" s="3"/>
      <c r="L149" s="3"/>
      <c r="M149" s="3"/>
      <c r="N149" s="3"/>
      <c r="O149" s="3"/>
      <c r="P149" s="3" t="s">
        <v>403</v>
      </c>
    </row>
    <row r="150" customFormat="false" ht="135.8" hidden="false" customHeight="false" outlineLevel="0" collapsed="false">
      <c r="A150" s="3" t="s">
        <v>399</v>
      </c>
      <c r="B150" s="3" t="s">
        <v>38</v>
      </c>
      <c r="C150" s="3"/>
      <c r="D150" s="3" t="str">
        <f aca="false">IFERROR(SC7a!J16,"")</f>
        <v/>
      </c>
      <c r="E150" s="3"/>
      <c r="F150" s="4"/>
      <c r="G150" s="4"/>
      <c r="H150" s="5" t="str">
        <f aca="false">IF(OR(F150="",NOT(ISNUMBER(D150))),"",IF(ABS(F150-D150)&lt;0.001,"Yes","No"))</f>
        <v/>
      </c>
      <c r="I150" s="3" t="s">
        <v>18</v>
      </c>
      <c r="J150" s="3" t="s">
        <v>44</v>
      </c>
      <c r="K150" s="3"/>
      <c r="L150" s="3"/>
      <c r="M150" s="3"/>
      <c r="N150" s="3"/>
      <c r="O150" s="3"/>
      <c r="P150" s="3" t="s">
        <v>404</v>
      </c>
    </row>
    <row r="151" customFormat="false" ht="415.65" hidden="false" customHeight="false" outlineLevel="0" collapsed="false">
      <c r="A151" s="3" t="s">
        <v>399</v>
      </c>
      <c r="B151" s="3" t="s">
        <v>43</v>
      </c>
      <c r="C151" s="3"/>
      <c r="D151" s="3" t="str">
        <f aca="false">IFERROR(SC7a!J17,"")</f>
        <v/>
      </c>
      <c r="E151" s="3"/>
      <c r="F151" s="4"/>
      <c r="G151" s="4"/>
      <c r="H151" s="5" t="str">
        <f aca="false">IF(OR(F151="",NOT(ISNUMBER(D151))),"",IF(ABS(F151-D151)&lt;0.001,"Yes","No"))</f>
        <v/>
      </c>
      <c r="I151" s="3" t="s">
        <v>18</v>
      </c>
      <c r="J151" s="3" t="s">
        <v>19</v>
      </c>
      <c r="K151" s="3" t="s">
        <v>405</v>
      </c>
      <c r="L151" s="3" t="s">
        <v>155</v>
      </c>
      <c r="M151" s="3" t="s">
        <v>156</v>
      </c>
      <c r="N151" s="3" t="s">
        <v>406</v>
      </c>
      <c r="O151" s="3" t="s">
        <v>407</v>
      </c>
      <c r="P151" s="3" t="s">
        <v>25</v>
      </c>
    </row>
    <row r="152" customFormat="false" ht="124.6" hidden="false" customHeight="false" outlineLevel="0" collapsed="false">
      <c r="A152" s="3" t="s">
        <v>408</v>
      </c>
      <c r="B152" s="3" t="s">
        <v>17</v>
      </c>
      <c r="C152" s="3"/>
      <c r="D152" s="3" t="str">
        <f aca="false">IFERROR(SC7b!J13,"")</f>
        <v/>
      </c>
      <c r="E152" s="3"/>
      <c r="F152" s="4"/>
      <c r="G152" s="4"/>
      <c r="H152" s="5" t="str">
        <f aca="false">IF(OR(F152="",NOT(ISNUMBER(D152))),"",IF(ABS(F152-D152)&lt;0.001,"Yes","No"))</f>
        <v/>
      </c>
      <c r="I152" s="3" t="s">
        <v>18</v>
      </c>
      <c r="J152" s="3" t="s">
        <v>44</v>
      </c>
      <c r="K152" s="3"/>
      <c r="L152" s="3"/>
      <c r="M152" s="3"/>
      <c r="N152" s="3"/>
      <c r="O152" s="3"/>
      <c r="P152" s="3" t="s">
        <v>409</v>
      </c>
    </row>
    <row r="153" customFormat="false" ht="124.6" hidden="false" customHeight="false" outlineLevel="0" collapsed="false">
      <c r="A153" s="3" t="s">
        <v>408</v>
      </c>
      <c r="B153" s="3" t="s">
        <v>26</v>
      </c>
      <c r="C153" s="3"/>
      <c r="D153" s="3" t="str">
        <f aca="false">IFERROR(SC7b!J14,"")</f>
        <v/>
      </c>
      <c r="E153" s="3"/>
      <c r="F153" s="4"/>
      <c r="G153" s="4"/>
      <c r="H153" s="5" t="str">
        <f aca="false">IF(OR(F153="",NOT(ISNUMBER(D153))),"",IF(ABS(F153-D153)&lt;0.001,"Yes","No"))</f>
        <v/>
      </c>
      <c r="I153" s="3" t="s">
        <v>18</v>
      </c>
      <c r="J153" s="3" t="s">
        <v>44</v>
      </c>
      <c r="K153" s="3"/>
      <c r="L153" s="3"/>
      <c r="M153" s="3"/>
      <c r="N153" s="3"/>
      <c r="O153" s="3"/>
      <c r="P153" s="3" t="s">
        <v>410</v>
      </c>
    </row>
    <row r="154" customFormat="false" ht="135.8" hidden="false" customHeight="false" outlineLevel="0" collapsed="false">
      <c r="A154" s="3" t="s">
        <v>408</v>
      </c>
      <c r="B154" s="3" t="s">
        <v>32</v>
      </c>
      <c r="C154" s="3"/>
      <c r="D154" s="3" t="str">
        <f aca="false">IFERROR(SC7b!J15,"")</f>
        <v/>
      </c>
      <c r="E154" s="3"/>
      <c r="F154" s="4"/>
      <c r="G154" s="4"/>
      <c r="H154" s="5" t="str">
        <f aca="false">IF(OR(F154="",NOT(ISNUMBER(D154))),"",IF(ABS(F154-D154)&lt;0.001,"Yes","No"))</f>
        <v/>
      </c>
      <c r="I154" s="3" t="s">
        <v>18</v>
      </c>
      <c r="J154" s="3" t="s">
        <v>44</v>
      </c>
      <c r="K154" s="3"/>
      <c r="L154" s="3"/>
      <c r="M154" s="3"/>
      <c r="N154" s="3"/>
      <c r="O154" s="3"/>
      <c r="P154" s="3" t="s">
        <v>411</v>
      </c>
    </row>
    <row r="155" customFormat="false" ht="91" hidden="false" customHeight="false" outlineLevel="0" collapsed="false">
      <c r="A155" s="3" t="s">
        <v>408</v>
      </c>
      <c r="B155" s="3" t="s">
        <v>38</v>
      </c>
      <c r="C155" s="3"/>
      <c r="D155" s="3" t="str">
        <f aca="false">IFERROR(SC7b!J16,"")</f>
        <v/>
      </c>
      <c r="E155" s="3"/>
      <c r="F155" s="4"/>
      <c r="G155" s="4"/>
      <c r="H155" s="5" t="str">
        <f aca="false">IF(OR(F155="",NOT(ISNUMBER(D155))),"",IF(ABS(F155-D155)&lt;0.001,"Yes","No"))</f>
        <v/>
      </c>
      <c r="I155" s="3" t="s">
        <v>18</v>
      </c>
      <c r="J155" s="3" t="s">
        <v>44</v>
      </c>
      <c r="K155" s="3"/>
      <c r="L155" s="3"/>
      <c r="M155" s="3"/>
      <c r="N155" s="3"/>
      <c r="O155" s="3"/>
      <c r="P155" s="3" t="s">
        <v>412</v>
      </c>
    </row>
    <row r="156" customFormat="false" ht="102.2" hidden="false" customHeight="false" outlineLevel="0" collapsed="false">
      <c r="A156" s="3" t="s">
        <v>408</v>
      </c>
      <c r="B156" s="3" t="s">
        <v>43</v>
      </c>
      <c r="C156" s="3"/>
      <c r="D156" s="3" t="str">
        <f aca="false">IFERROR(SC7b!J17,"")</f>
        <v/>
      </c>
      <c r="E156" s="3"/>
      <c r="F156" s="4"/>
      <c r="G156" s="4"/>
      <c r="H156" s="5" t="str">
        <f aca="false">IF(OR(F156="",NOT(ISNUMBER(D156))),"",IF(ABS(F156-D156)&lt;0.001,"Yes","No"))</f>
        <v/>
      </c>
      <c r="I156" s="3" t="s">
        <v>18</v>
      </c>
      <c r="J156" s="3" t="s">
        <v>44</v>
      </c>
      <c r="K156" s="3"/>
      <c r="L156" s="3"/>
      <c r="M156" s="3"/>
      <c r="N156" s="3"/>
      <c r="O156" s="3"/>
      <c r="P156" s="3" t="s">
        <v>413</v>
      </c>
    </row>
  </sheetData>
  <autoFilter ref="A1:P156"/>
  <conditionalFormatting sqref="I2:I156">
    <cfRule type="expression" priority="2" aboveAverage="0" equalAverage="0" bottom="0" percent="0" rank="0" text="" dxfId="6">
      <formula>$I2="Left for a person"</formula>
    </cfRule>
  </conditionalFormatting>
  <conditionalFormatting sqref="H2:H156">
    <cfRule type="expression" priority="3" aboveAverage="0" equalAverage="0" bottom="0" percent="0" rank="0" text="" dxfId="7">
      <formula>$H2="No"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s>
  <sheetData>
    <row r="1" customFormat="false" ht="17.35" hidden="false" customHeight="false" outlineLevel="0" collapsed="false">
      <c r="A1" s="7" t="s">
        <v>414</v>
      </c>
    </row>
    <row r="2" customFormat="false" ht="15" hidden="false" customHeight="false" outlineLevel="0" collapsed="false">
      <c r="A2" s="3"/>
    </row>
    <row r="3" customFormat="false" ht="15" hidden="false" customHeight="false" outlineLevel="0" collapsed="false">
      <c r="A3" s="3" t="s">
        <v>415</v>
      </c>
    </row>
    <row r="4" customFormat="false" ht="23.85" hidden="false" customHeight="false" outlineLevel="0" collapsed="false">
      <c r="A4" s="3" t="s">
        <v>416</v>
      </c>
    </row>
    <row r="5" customFormat="false" ht="23.85" hidden="false" customHeight="false" outlineLevel="0" collapsed="false">
      <c r="A5" s="3" t="s">
        <v>417</v>
      </c>
    </row>
    <row r="6" customFormat="false" ht="15" hidden="false" customHeight="false" outlineLevel="0" collapsed="false">
      <c r="A6" s="3" t="s">
        <v>418</v>
      </c>
    </row>
    <row r="7" customFormat="false" ht="15" hidden="false" customHeight="false" outlineLevel="0" collapsed="false">
      <c r="A7" s="3"/>
    </row>
    <row r="8" customFormat="false" ht="15" hidden="false" customHeight="false" outlineLevel="0" collapsed="false">
      <c r="A8" s="3" t="s">
        <v>419</v>
      </c>
    </row>
    <row r="9" customFormat="false" ht="15" hidden="false" customHeight="false" outlineLevel="0" collapsed="false">
      <c r="A9" s="3" t="s">
        <v>420</v>
      </c>
    </row>
    <row r="10" customFormat="false" ht="15" hidden="false" customHeight="false" outlineLevel="0" collapsed="false">
      <c r="A10" s="3" t="s">
        <v>421</v>
      </c>
    </row>
    <row r="11" customFormat="false" ht="15" hidden="false" customHeight="false" outlineLevel="0" collapsed="false">
      <c r="A11" s="3" t="s">
        <v>422</v>
      </c>
    </row>
    <row r="12" customFormat="false" ht="15" hidden="false" customHeight="false" outlineLevel="0" collapsed="false">
      <c r="A12" s="3" t="s">
        <v>423</v>
      </c>
    </row>
    <row r="13" customFormat="false" ht="15" hidden="false" customHeight="false" outlineLevel="0" collapsed="false">
      <c r="A13" s="3" t="s">
        <v>424</v>
      </c>
    </row>
    <row r="14" customFormat="false" ht="15" hidden="false" customHeight="false" outlineLevel="0" collapsed="false">
      <c r="A14" s="3"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4" min="4" style="0" width="50"/>
    <col collapsed="false" customWidth="true" hidden="false" outlineLevel="0" max="5" min="5" style="0" width="18"/>
  </cols>
  <sheetData>
    <row r="1" customFormat="false" ht="39.55" hidden="false" customHeight="false" outlineLevel="0" collapsed="false">
      <c r="A1" s="1" t="s">
        <v>426</v>
      </c>
      <c r="B1" s="1" t="s">
        <v>427</v>
      </c>
      <c r="C1" s="1" t="s">
        <v>428</v>
      </c>
      <c r="D1" s="1" t="s">
        <v>0</v>
      </c>
      <c r="E1" s="1" t="s">
        <v>429</v>
      </c>
      <c r="F1" s="1" t="s">
        <v>430</v>
      </c>
      <c r="G1" s="1" t="s">
        <v>17</v>
      </c>
      <c r="H1" s="1" t="s">
        <v>26</v>
      </c>
      <c r="I1" s="1" t="s">
        <v>32</v>
      </c>
      <c r="J1" s="1" t="s">
        <v>38</v>
      </c>
      <c r="K1" s="1" t="s">
        <v>43</v>
      </c>
      <c r="L1" s="1" t="s">
        <v>431</v>
      </c>
      <c r="M1" s="1" t="s">
        <v>432</v>
      </c>
    </row>
    <row r="2" customFormat="false" ht="15" hidden="false" customHeight="false" outlineLevel="0" collapsed="false">
      <c r="A2" s="0" t="s">
        <v>433</v>
      </c>
      <c r="B2" s="0" t="s">
        <v>434</v>
      </c>
      <c r="C2" s="0" t="s">
        <v>434</v>
      </c>
      <c r="D2" s="0" t="s">
        <v>434</v>
      </c>
      <c r="E2" s="0" t="s">
        <v>434</v>
      </c>
      <c r="F2" s="0" t="s">
        <v>434</v>
      </c>
      <c r="G2" s="0" t="s">
        <v>434</v>
      </c>
      <c r="H2" s="0" t="s">
        <v>434</v>
      </c>
      <c r="I2" s="0" t="s">
        <v>434</v>
      </c>
      <c r="J2" s="0" t="s">
        <v>434</v>
      </c>
      <c r="K2" s="0" t="s">
        <v>434</v>
      </c>
      <c r="L2" s="0" t="s">
        <v>434</v>
      </c>
      <c r="M2" s="0" t="s">
        <v>434</v>
      </c>
    </row>
    <row r="3" customFormat="false" ht="15" hidden="false" customHeight="false" outlineLevel="0" collapsed="false">
      <c r="A3" s="8" t="s">
        <v>435</v>
      </c>
      <c r="B3" s="8" t="str">
        <f aca="false">VLOOKUP($A3,'PARASTATAL Questions'!$A:$J,3,0)&amp;""</f>
        <v>Urban Planning &amp; Design (UPD)</v>
      </c>
      <c r="C3" s="8" t="str">
        <f aca="false">VLOOKUP($A3,'PARASTATAL Questions'!$A:$J,4,0)&amp;""</f>
        <v>MQ</v>
      </c>
      <c r="D3" s="8" t="str">
        <f aca="false">VLOOKUP($A3,'PARASTATAL Questions'!$A:$J,5,0)&amp;""</f>
        <v>Does the parastatal coordinate with the ULG(s) in preparing its spatial and/or sectoral plans?</v>
      </c>
      <c r="E3" s="8" t="str">
        <f aca="false">VLOOKUP($A3,'PARASTATAL Questions'!$A:$J,7,0)&amp;""</f>
        <v/>
      </c>
      <c r="F3" s="8" t="n">
        <f aca="false">VLOOKUP($A3,'PARASTATAL Questions'!$A:$J,6,0)</f>
        <v>10</v>
      </c>
      <c r="G3" s="8" t="n">
        <f aca="false">IF(OR(G4="ER",G5="ER"),"ER",IF(OR(G4="?",G5="?"),"?",IF(AND(G4="NA",G5="NA"),"NA",SUM(G4,G5)/((G4&lt;&gt;"NA")*$F$4+(G5&lt;&gt;"NA")*$F$5)*$F3)))</f>
        <v>6.25</v>
      </c>
      <c r="H3" s="8" t="str">
        <f aca="false">IF(OR(H4="ER",H5="ER"),"ER",IF(OR(H4="?",H5="?"),"?",IF(AND(H4="NA",H5="NA"),"NA",SUM(H4,H5)/((H4&lt;&gt;"NA")*$F$4+(H5&lt;&gt;"NA")*$F$5)*$F3)))</f>
        <v>?</v>
      </c>
      <c r="I3" s="8" t="str">
        <f aca="false">IF(OR(I4="ER",I5="ER"),"ER",IF(OR(I4="?",I5="?"),"?",IF(AND(I4="NA",I5="NA"),"NA",SUM(I4,I5)/((I4&lt;&gt;"NA")*$F$4+(I5&lt;&gt;"NA")*$F$5)*$F3)))</f>
        <v>?</v>
      </c>
      <c r="J3" s="8" t="str">
        <f aca="false">IF(OR(J4="ER",J5="ER"),"ER",IF(OR(J4="?",J5="?"),"?",IF(AND(J4="NA",J5="NA"),"NA",SUM(J4,J5)/((J4&lt;&gt;"NA")*$F$4+(J5&lt;&gt;"NA")*$F$5)*$F3)))</f>
        <v>?</v>
      </c>
      <c r="K3" s="8" t="str">
        <f aca="false">IF(OR(K4="ER",K5="ER"),"ER",IF(OR(K4="?",K5="?"),"?",IF(AND(K4="NA",K5="NA"),"NA",SUM(K4,K5)/((K4&lt;&gt;"NA")*$F$4+(K5&lt;&gt;"NA")*$F$5)*$F3)))</f>
        <v>?</v>
      </c>
      <c r="L3" s="8" t="str">
        <f aca="false">IF(OR(L4="ER",L5="ER"),"ER",IF(OR(L4="?",L5="?"),"?",IF(AND(L4="NA",L5="NA"),"NA",SUM(L4,L5)/((L4&lt;&gt;"NA")*$F$4+(L5&lt;&gt;"NA")*$F$5)*$F3)))</f>
        <v>?</v>
      </c>
      <c r="M3" s="8" t="str">
        <f aca="false">IF(OR(M4="ER",M5="ER"),"ER",IF(OR(M4="?",M5="?"),"?",IF(AND(M4="NA",M5="NA"),"NA",SUM(M4,M5)/((M4&lt;&gt;"NA")*$F$4+(M5&lt;&gt;"NA")*$F$5)*$F3)))</f>
        <v>?</v>
      </c>
    </row>
    <row r="4" customFormat="false" ht="15" hidden="false" customHeight="false" outlineLevel="0" collapsed="false">
      <c r="A4" s="0" t="s">
        <v>16</v>
      </c>
      <c r="B4" s="0" t="str">
        <f aca="false">VLOOKUP($A4,'PARASTATAL Questions'!$A:$J,3,0)&amp;""</f>
        <v>Urban Planning &amp; Design (UPD)</v>
      </c>
      <c r="C4" s="0" t="str">
        <f aca="false">VLOOKUP($A4,'PARASTATAL Questions'!$A:$J,4,0)&amp;""</f>
        <v>SQ</v>
      </c>
      <c r="D4" s="0" t="str">
        <f aca="false">VLOOKUP($A4,'PARASTATAL Questions'!$A:$J,5,0)&amp;""</f>
        <v>Is the parastatal mandated to prepare its spatial and/or sectoral plans in coordination with the ULG(s) within its jurisdiction?</v>
      </c>
      <c r="E4" s="0" t="str">
        <f aca="false">VLOOKUP($A4,'PARASTATAL Questions'!$A:$J,7,0)&amp;""</f>
        <v>Law/Policy</v>
      </c>
      <c r="F4" s="0" t="n">
        <f aca="false">VLOOKUP($A4,'PARASTATAL Questions'!$A:$J,6,0)</f>
        <v>5</v>
      </c>
      <c r="G4" s="0" t="n">
        <f aca="true">IF($F4=0,"NA",IF($A4=INDIRECT("'"&amp;$A4&amp;"'!$B$1"),IF(VLOOKUP(G$1,INDIRECT("'"&amp;$A4&amp;"'!$A$12:$Z$19"),MATCH("Points (Auto-generate)",INDIRECT("'"&amp;$A4&amp;"'!$A$12:$Z$12"),0),0)="","?",VLOOKUP(G$1,INDIRECT("'"&amp;$A4&amp;"'!$A$12:$Z$19"),MATCH("Points (Auto-generate)",INDIRECT("'"&amp;$A4&amp;"'!$A$12:$Z$12"),0),0)),"ER"))</f>
        <v>1.25</v>
      </c>
      <c r="H4" s="0" t="str">
        <f aca="true">IF($F4=0,"NA",IF($A4=INDIRECT("'"&amp;$A4&amp;"'!$B$1"),IF(VLOOKUP(H$1,INDIRECT("'"&amp;$A4&amp;"'!$A$12:$Z$19"),MATCH("Points (Auto-generate)",INDIRECT("'"&amp;$A4&amp;"'!$A$12:$Z$12"),0),0)="","?",VLOOKUP(H$1,INDIRECT("'"&amp;$A4&amp;"'!$A$12:$Z$19"),MATCH("Points (Auto-generate)",INDIRECT("'"&amp;$A4&amp;"'!$A$12:$Z$12"),0),0)),"ER"))</f>
        <v>?</v>
      </c>
      <c r="I4" s="0" t="n">
        <f aca="true">IF($F4=0,"NA",IF($A4=INDIRECT("'"&amp;$A4&amp;"'!$B$1"),IF(VLOOKUP(I$1,INDIRECT("'"&amp;$A4&amp;"'!$A$12:$Z$19"),MATCH("Points (Auto-generate)",INDIRECT("'"&amp;$A4&amp;"'!$A$12:$Z$12"),0),0)="","?",VLOOKUP(I$1,INDIRECT("'"&amp;$A4&amp;"'!$A$12:$Z$19"),MATCH("Points (Auto-generate)",INDIRECT("'"&amp;$A4&amp;"'!$A$12:$Z$12"),0),0)),"ER"))</f>
        <v>3.75</v>
      </c>
      <c r="J4" s="0" t="n">
        <f aca="true">IF($F4=0,"NA",IF($A4=INDIRECT("'"&amp;$A4&amp;"'!$B$1"),IF(VLOOKUP(J$1,INDIRECT("'"&amp;$A4&amp;"'!$A$12:$Z$19"),MATCH("Points (Auto-generate)",INDIRECT("'"&amp;$A4&amp;"'!$A$12:$Z$12"),0),0)="","?",VLOOKUP(J$1,INDIRECT("'"&amp;$A4&amp;"'!$A$12:$Z$19"),MATCH("Points (Auto-generate)",INDIRECT("'"&amp;$A4&amp;"'!$A$12:$Z$12"),0),0)),"ER"))</f>
        <v>0</v>
      </c>
      <c r="K4" s="0" t="n">
        <f aca="true">IF($F4=0,"NA",IF($A4=INDIRECT("'"&amp;$A4&amp;"'!$B$1"),IF(VLOOKUP(K$1,INDIRECT("'"&amp;$A4&amp;"'!$A$12:$Z$19"),MATCH("Points (Auto-generate)",INDIRECT("'"&amp;$A4&amp;"'!$A$12:$Z$12"),0),0)="","?",VLOOKUP(K$1,INDIRECT("'"&amp;$A4&amp;"'!$A$12:$Z$19"),MATCH("Points (Auto-generate)",INDIRECT("'"&amp;$A4&amp;"'!$A$12:$Z$12"),0),0)),"ER"))</f>
        <v>0</v>
      </c>
      <c r="L4" s="0" t="str">
        <f aca="true">IF($F4=0,"NA",IF($A4=INDIRECT("'"&amp;$A4&amp;"'!$B$1"),IF(VLOOKUP(L$1,INDIRECT("'"&amp;$A4&amp;"'!$A$12:$Z$19"),MATCH("Points (Auto-generate)",INDIRECT("'"&amp;$A4&amp;"'!$A$12:$Z$12"),0),0)="","?",VLOOKUP(L$1,INDIRECT("'"&amp;$A4&amp;"'!$A$12:$Z$19"),MATCH("Points (Auto-generate)",INDIRECT("'"&amp;$A4&amp;"'!$A$12:$Z$12"),0),0)),"ER"))</f>
        <v>?</v>
      </c>
      <c r="M4" s="0" t="str">
        <f aca="true">IF($F4=0,"NA",IF($A4=INDIRECT("'"&amp;$A4&amp;"'!$B$1"),IF(VLOOKUP(M$1,INDIRECT("'"&amp;$A4&amp;"'!$A$12:$Z$19"),MATCH("Points (Auto-generate)",INDIRECT("'"&amp;$A4&amp;"'!$A$12:$Z$12"),0),0)="","?",VLOOKUP(M$1,INDIRECT("'"&amp;$A4&amp;"'!$A$12:$Z$19"),MATCH("Points (Auto-generate)",INDIRECT("'"&amp;$A4&amp;"'!$A$12:$Z$12"),0),0)),"ER"))</f>
        <v>?</v>
      </c>
    </row>
    <row r="5" customFormat="false" ht="15" hidden="false" customHeight="false" outlineLevel="0" collapsed="false">
      <c r="A5" s="0" t="s">
        <v>46</v>
      </c>
      <c r="B5" s="0" t="str">
        <f aca="false">VLOOKUP($A5,'PARASTATAL Questions'!$A:$J,3,0)&amp;""</f>
        <v>Urban Planning &amp; Design (UPD)</v>
      </c>
      <c r="C5" s="0" t="str">
        <f aca="false">VLOOKUP($A5,'PARASTATAL Questions'!$A:$J,4,0)&amp;""</f>
        <v>SQ</v>
      </c>
      <c r="D5" s="0" t="str">
        <f aca="false">VLOOKUP($A5,'PARASTATAL Questions'!$A:$J,5,0)&amp;""</f>
        <v>Has the ULG participated in the parastatal’s plan-making process?</v>
      </c>
      <c r="E5" s="0" t="str">
        <f aca="false">VLOOKUP($A5,'PARASTATAL Questions'!$A:$J,7,0)&amp;""</f>
        <v>Implementation</v>
      </c>
      <c r="F5" s="0" t="n">
        <f aca="false">VLOOKUP($A5,'PARASTATAL Questions'!$A:$J,6,0)</f>
        <v>5</v>
      </c>
      <c r="G5" s="0" t="n">
        <f aca="true">IF($F5=0,"NA",IF($A5=INDIRECT("'"&amp;$A5&amp;"'!$B$1"),IF(VLOOKUP(G$1,INDIRECT("'"&amp;$A5&amp;"'!$A$12:$Z$19"),MATCH("Points (Auto-generate)",INDIRECT("'"&amp;$A5&amp;"'!$A$12:$Z$12"),0),0)="","?",VLOOKUP(G$1,INDIRECT("'"&amp;$A5&amp;"'!$A$12:$Z$19"),MATCH("Points (Auto-generate)",INDIRECT("'"&amp;$A5&amp;"'!$A$12:$Z$12"),0),0)),"ER"))</f>
        <v>5</v>
      </c>
      <c r="H5" s="0" t="str">
        <f aca="true">IF($F5=0,"NA",IF($A5=INDIRECT("'"&amp;$A5&amp;"'!$B$1"),IF(VLOOKUP(H$1,INDIRECT("'"&amp;$A5&amp;"'!$A$12:$Z$19"),MATCH("Points (Auto-generate)",INDIRECT("'"&amp;$A5&amp;"'!$A$12:$Z$12"),0),0)="","?",VLOOKUP(H$1,INDIRECT("'"&amp;$A5&amp;"'!$A$12:$Z$19"),MATCH("Points (Auto-generate)",INDIRECT("'"&amp;$A5&amp;"'!$A$12:$Z$12"),0),0)),"ER"))</f>
        <v>?</v>
      </c>
      <c r="I5" s="0" t="str">
        <f aca="true">IF($F5=0,"NA",IF($A5=INDIRECT("'"&amp;$A5&amp;"'!$B$1"),IF(VLOOKUP(I$1,INDIRECT("'"&amp;$A5&amp;"'!$A$12:$Z$19"),MATCH("Points (Auto-generate)",INDIRECT("'"&amp;$A5&amp;"'!$A$12:$Z$12"),0),0)="","?",VLOOKUP(I$1,INDIRECT("'"&amp;$A5&amp;"'!$A$12:$Z$19"),MATCH("Points (Auto-generate)",INDIRECT("'"&amp;$A5&amp;"'!$A$12:$Z$12"),0),0)),"ER"))</f>
        <v>?</v>
      </c>
      <c r="J5" s="0" t="str">
        <f aca="true">IF($F5=0,"NA",IF($A5=INDIRECT("'"&amp;$A5&amp;"'!$B$1"),IF(VLOOKUP(J$1,INDIRECT("'"&amp;$A5&amp;"'!$A$12:$Z$19"),MATCH("Points (Auto-generate)",INDIRECT("'"&amp;$A5&amp;"'!$A$12:$Z$12"),0),0)="","?",VLOOKUP(J$1,INDIRECT("'"&amp;$A5&amp;"'!$A$12:$Z$19"),MATCH("Points (Auto-generate)",INDIRECT("'"&amp;$A5&amp;"'!$A$12:$Z$12"),0),0)),"ER"))</f>
        <v>?</v>
      </c>
      <c r="K5" s="0" t="str">
        <f aca="true">IF($F5=0,"NA",IF($A5=INDIRECT("'"&amp;$A5&amp;"'!$B$1"),IF(VLOOKUP(K$1,INDIRECT("'"&amp;$A5&amp;"'!$A$12:$Z$19"),MATCH("Points (Auto-generate)",INDIRECT("'"&amp;$A5&amp;"'!$A$12:$Z$12"),0),0)="","?",VLOOKUP(K$1,INDIRECT("'"&amp;$A5&amp;"'!$A$12:$Z$19"),MATCH("Points (Auto-generate)",INDIRECT("'"&amp;$A5&amp;"'!$A$12:$Z$12"),0),0)),"ER"))</f>
        <v>?</v>
      </c>
      <c r="L5" s="0" t="str">
        <f aca="true">IF($F5=0,"NA",IF($A5=INDIRECT("'"&amp;$A5&amp;"'!$B$1"),IF(VLOOKUP(L$1,INDIRECT("'"&amp;$A5&amp;"'!$A$12:$Z$19"),MATCH("Points (Auto-generate)",INDIRECT("'"&amp;$A5&amp;"'!$A$12:$Z$12"),0),0)="","?",VLOOKUP(L$1,INDIRECT("'"&amp;$A5&amp;"'!$A$12:$Z$19"),MATCH("Points (Auto-generate)",INDIRECT("'"&amp;$A5&amp;"'!$A$12:$Z$12"),0),0)),"ER"))</f>
        <v>?</v>
      </c>
      <c r="M5" s="0" t="str">
        <f aca="true">IF($F5=0,"NA",IF($A5=INDIRECT("'"&amp;$A5&amp;"'!$B$1"),IF(VLOOKUP(M$1,INDIRECT("'"&amp;$A5&amp;"'!$A$12:$Z$19"),MATCH("Points (Auto-generate)",INDIRECT("'"&amp;$A5&amp;"'!$A$12:$Z$12"),0),0)="","?",VLOOKUP(M$1,INDIRECT("'"&amp;$A5&amp;"'!$A$12:$Z$19"),MATCH("Points (Auto-generate)",INDIRECT("'"&amp;$A5&amp;"'!$A$12:$Z$12"),0),0)),"ER"))</f>
        <v>?</v>
      </c>
    </row>
    <row r="6" customFormat="false" ht="15" hidden="false" customHeight="false" outlineLevel="0" collapsed="false">
      <c r="A6" s="8" t="s">
        <v>436</v>
      </c>
      <c r="B6" s="8" t="str">
        <f aca="false">VLOOKUP($A6,'PARASTATAL Questions'!$A:$J,3,0)&amp;""</f>
        <v>Urban Planning &amp; Design (UPD)</v>
      </c>
      <c r="C6" s="8" t="str">
        <f aca="false">VLOOKUP($A6,'PARASTATAL Questions'!$A:$J,4,0)&amp;""</f>
        <v>MQ</v>
      </c>
      <c r="D6" s="8"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8" t="str">
        <f aca="false">VLOOKUP($A6,'PARASTATAL Questions'!$A:$J,7,0)&amp;""</f>
        <v/>
      </c>
      <c r="F6" s="8" t="n">
        <f aca="false">VLOOKUP($A6,'PARASTATAL Questions'!$A:$J,6,0)</f>
        <v>10</v>
      </c>
      <c r="G6" s="8" t="str">
        <f aca="false">IF(OR(G7="ER",G8="ER",G9="ER",G10="ER"),"ER",IF(OR(G7="?",G8="?",G9="?",G10="?"),"?",IF(AND(G7="NA",G8="NA",G9="NA",G10="NA"),"NA",SUM(G7,G8,G9,G10)/((G7&lt;&gt;"NA")*$F$7+(G8&lt;&gt;"NA")*$F$8+(G9&lt;&gt;"NA")*$F$9+(G10&lt;&gt;"NA")*$F$10)*$F6)))</f>
        <v>?</v>
      </c>
      <c r="H6" s="8" t="str">
        <f aca="false">IF(OR(H7="ER",H8="ER",H9="ER",H10="ER"),"ER",IF(OR(H7="?",H8="?",H9="?",H10="?"),"?",IF(AND(H7="NA",H8="NA",H9="NA",H10="NA"),"NA",SUM(H7,H8,H9,H10)/((H7&lt;&gt;"NA")*$F$7+(H8&lt;&gt;"NA")*$F$8+(H9&lt;&gt;"NA")*$F$9+(H10&lt;&gt;"NA")*$F$10)*$F6)))</f>
        <v>?</v>
      </c>
      <c r="I6" s="8" t="str">
        <f aca="false">IF(OR(I7="ER",I8="ER",I9="ER",I10="ER"),"ER",IF(OR(I7="?",I8="?",I9="?",I10="?"),"?",IF(AND(I7="NA",I8="NA",I9="NA",I10="NA"),"NA",SUM(I7,I8,I9,I10)/((I7&lt;&gt;"NA")*$F$7+(I8&lt;&gt;"NA")*$F$8+(I9&lt;&gt;"NA")*$F$9+(I10&lt;&gt;"NA")*$F$10)*$F6)))</f>
        <v>NA</v>
      </c>
      <c r="J6" s="8" t="str">
        <f aca="false">IF(OR(J7="ER",J8="ER",J9="ER",J10="ER"),"ER",IF(OR(J7="?",J8="?",J9="?",J10="?"),"?",IF(AND(J7="NA",J8="NA",J9="NA",J10="NA"),"NA",SUM(J7,J8,J9,J10)/((J7&lt;&gt;"NA")*$F$7+(J8&lt;&gt;"NA")*$F$8+(J9&lt;&gt;"NA")*$F$9+(J10&lt;&gt;"NA")*$F$10)*$F6)))</f>
        <v>NA</v>
      </c>
      <c r="K6" s="8" t="str">
        <f aca="false">IF(OR(K7="ER",K8="ER",K9="ER",K10="ER"),"ER",IF(OR(K7="?",K8="?",K9="?",K10="?"),"?",IF(AND(K7="NA",K8="NA",K9="NA",K10="NA"),"NA",SUM(K7,K8,K9,K10)/((K7&lt;&gt;"NA")*$F$7+(K8&lt;&gt;"NA")*$F$8+(K9&lt;&gt;"NA")*$F$9+(K10&lt;&gt;"NA")*$F$10)*$F6)))</f>
        <v>NA</v>
      </c>
      <c r="L6" s="8" t="str">
        <f aca="false">IF(OR(L7="ER",L8="ER",L9="ER",L10="ER"),"ER",IF(OR(L7="?",L8="?",L9="?",L10="?"),"?",IF(AND(L7="NA",L8="NA",L9="NA",L10="NA"),"NA",SUM(L7,L8,L9,L10)/((L7&lt;&gt;"NA")*$F$7+(L8&lt;&gt;"NA")*$F$8+(L9&lt;&gt;"NA")*$F$9+(L10&lt;&gt;"NA")*$F$10)*$F6)))</f>
        <v>NA</v>
      </c>
      <c r="M6" s="8" t="str">
        <f aca="false">IF(OR(M7="ER",M8="ER",M9="ER",M10="ER"),"ER",IF(OR(M7="?",M8="?",M9="?",M10="?"),"?",IF(AND(M7="NA",M8="NA",M9="NA",M10="NA"),"NA",SUM(M7,M8,M9,M10)/((M7&lt;&gt;"NA")*$F$7+(M8&lt;&gt;"NA")*$F$8+(M9&lt;&gt;"NA")*$F$9+(M10&lt;&gt;"NA")*$F$10)*$F6)))</f>
        <v>NA</v>
      </c>
    </row>
    <row r="7" customFormat="false" ht="15" hidden="false" customHeight="false" outlineLevel="0" collapsed="false">
      <c r="A7" s="0" t="s">
        <v>52</v>
      </c>
      <c r="B7" s="0" t="str">
        <f aca="false">VLOOKUP($A7,'PARASTATAL Questions'!$A:$J,3,0)&amp;""</f>
        <v>Urban Planning &amp; Design (UPD)</v>
      </c>
      <c r="C7" s="0" t="str">
        <f aca="false">VLOOKUP($A7,'PARASTATAL Questions'!$A:$J,4,0)&amp;""</f>
        <v>SQ</v>
      </c>
      <c r="D7" s="0" t="str">
        <f aca="false">VLOOKUP($A7,'PARASTATAL Questions'!$A:$J,5,0)&amp;""</f>
        <v>Where multiple statutory or sectoral plans apply to the same territory, is the water board mandated to ensure consistency with the applicable metropolitan/regional or city master plan/strategic plan for the city?</v>
      </c>
      <c r="E7" s="0" t="str">
        <f aca="false">VLOOKUP($A7,'PARASTATAL Questions'!$A:$J,7,0)&amp;""</f>
        <v>Law/Policy</v>
      </c>
      <c r="F7" s="0" t="n">
        <f aca="false">VLOOKUP($A7,'PARASTATAL Questions'!$A:$J,6,0)</f>
        <v>2.5</v>
      </c>
      <c r="G7" s="0" t="n">
        <f aca="true">IF($F7=0,"NA",IF($A7=INDIRECT("'"&amp;$A7&amp;"'!$B$1"),IF(VLOOKUP(G$1,INDIRECT("'"&amp;$A7&amp;"'!$A$12:$Z$19"),MATCH("Points (Auto-generate)",INDIRECT("'"&amp;$A7&amp;"'!$A$12:$Z$12"),0),0)="","?",VLOOKUP(G$1,INDIRECT("'"&amp;$A7&amp;"'!$A$12:$Z$19"),MATCH("Points (Auto-generate)",INDIRECT("'"&amp;$A7&amp;"'!$A$12:$Z$12"),0),0)),"ER"))</f>
        <v>0</v>
      </c>
      <c r="H7" s="0" t="str">
        <f aca="true">IF($F7=0,"NA",IF($A7=INDIRECT("'"&amp;$A7&amp;"'!$B$1"),IF(VLOOKUP(H$1,INDIRECT("'"&amp;$A7&amp;"'!$A$12:$Z$19"),MATCH("Points (Auto-generate)",INDIRECT("'"&amp;$A7&amp;"'!$A$12:$Z$12"),0),0)="","?",VLOOKUP(H$1,INDIRECT("'"&amp;$A7&amp;"'!$A$12:$Z$19"),MATCH("Points (Auto-generate)",INDIRECT("'"&amp;$A7&amp;"'!$A$12:$Z$12"),0),0)),"ER"))</f>
        <v>NA</v>
      </c>
      <c r="I7" s="0" t="str">
        <f aca="true">IF($F7=0,"NA",IF($A7=INDIRECT("'"&amp;$A7&amp;"'!$B$1"),IF(VLOOKUP(I$1,INDIRECT("'"&amp;$A7&amp;"'!$A$12:$Z$19"),MATCH("Points (Auto-generate)",INDIRECT("'"&amp;$A7&amp;"'!$A$12:$Z$12"),0),0)="","?",VLOOKUP(I$1,INDIRECT("'"&amp;$A7&amp;"'!$A$12:$Z$19"),MATCH("Points (Auto-generate)",INDIRECT("'"&amp;$A7&amp;"'!$A$12:$Z$12"),0),0)),"ER"))</f>
        <v>NA</v>
      </c>
      <c r="J7" s="0" t="str">
        <f aca="true">IF($F7=0,"NA",IF($A7=INDIRECT("'"&amp;$A7&amp;"'!$B$1"),IF(VLOOKUP(J$1,INDIRECT("'"&amp;$A7&amp;"'!$A$12:$Z$19"),MATCH("Points (Auto-generate)",INDIRECT("'"&amp;$A7&amp;"'!$A$12:$Z$12"),0),0)="","?",VLOOKUP(J$1,INDIRECT("'"&amp;$A7&amp;"'!$A$12:$Z$19"),MATCH("Points (Auto-generate)",INDIRECT("'"&amp;$A7&amp;"'!$A$12:$Z$12"),0),0)),"ER"))</f>
        <v>NA</v>
      </c>
      <c r="K7" s="0" t="str">
        <f aca="true">IF($F7=0,"NA",IF($A7=INDIRECT("'"&amp;$A7&amp;"'!$B$1"),IF(VLOOKUP(K$1,INDIRECT("'"&amp;$A7&amp;"'!$A$12:$Z$19"),MATCH("Points (Auto-generate)",INDIRECT("'"&amp;$A7&amp;"'!$A$12:$Z$12"),0),0)="","?",VLOOKUP(K$1,INDIRECT("'"&amp;$A7&amp;"'!$A$12:$Z$19"),MATCH("Points (Auto-generate)",INDIRECT("'"&amp;$A7&amp;"'!$A$12:$Z$12"),0),0)),"ER"))</f>
        <v>NA</v>
      </c>
      <c r="L7" s="0" t="str">
        <f aca="true">IF($F7=0,"NA",IF($A7=INDIRECT("'"&amp;$A7&amp;"'!$B$1"),IF(VLOOKUP(L$1,INDIRECT("'"&amp;$A7&amp;"'!$A$12:$Z$19"),MATCH("Points (Auto-generate)",INDIRECT("'"&amp;$A7&amp;"'!$A$12:$Z$12"),0),0)="","?",VLOOKUP(L$1,INDIRECT("'"&amp;$A7&amp;"'!$A$12:$Z$19"),MATCH("Points (Auto-generate)",INDIRECT("'"&amp;$A7&amp;"'!$A$12:$Z$12"),0),0)),"ER"))</f>
        <v>NA</v>
      </c>
      <c r="M7" s="0" t="str">
        <f aca="true">IF($F7=0,"NA",IF($A7=INDIRECT("'"&amp;$A7&amp;"'!$B$1"),IF(VLOOKUP(M$1,INDIRECT("'"&amp;$A7&amp;"'!$A$12:$Z$19"),MATCH("Points (Auto-generate)",INDIRECT("'"&amp;$A7&amp;"'!$A$12:$Z$12"),0),0)="","?",VLOOKUP(M$1,INDIRECT("'"&amp;$A7&amp;"'!$A$12:$Z$19"),MATCH("Points (Auto-generate)",INDIRECT("'"&amp;$A7&amp;"'!$A$12:$Z$12"),0),0)),"ER"))</f>
        <v>NA</v>
      </c>
    </row>
    <row r="8" customFormat="false" ht="15" hidden="false" customHeight="false" outlineLevel="0" collapsed="false">
      <c r="A8" s="0" t="s">
        <v>57</v>
      </c>
      <c r="B8" s="0" t="str">
        <f aca="false">VLOOKUP($A8,'PARASTATAL Questions'!$A:$J,3,0)&amp;""</f>
        <v>Urban Planning &amp; Design (UPD)</v>
      </c>
      <c r="C8" s="0" t="str">
        <f aca="false">VLOOKUP($A8,'PARASTATAL Questions'!$A:$J,4,0)&amp;""</f>
        <v>SQ</v>
      </c>
      <c r="D8" s="0" t="str">
        <f aca="false">VLOOKUP($A8,'PARASTATAL Questions'!$A:$J,5,0)&amp;""</f>
        <v>Where multiple statutory or sectoral plans apply to the same territory, does the water supply board ensure consistency with the applicable metropolitan/regional or city master plan/strategic plan for the city?</v>
      </c>
      <c r="E8" s="0" t="str">
        <f aca="false">VLOOKUP($A8,'PARASTATAL Questions'!$A:$J,7,0)&amp;""</f>
        <v>Implementation</v>
      </c>
      <c r="F8" s="0" t="n">
        <f aca="false">VLOOKUP($A8,'PARASTATAL Questions'!$A:$J,6,0)</f>
        <v>2.5</v>
      </c>
      <c r="G8" s="0" t="str">
        <f aca="true">IF($F8=0,"NA",IF($A8=INDIRECT("'"&amp;$A8&amp;"'!$B$1"),IF(VLOOKUP(G$1,INDIRECT("'"&amp;$A8&amp;"'!$A$12:$Z$19"),MATCH("Points (Auto-generate)",INDIRECT("'"&amp;$A8&amp;"'!$A$12:$Z$12"),0),0)="","?",VLOOKUP(G$1,INDIRECT("'"&amp;$A8&amp;"'!$A$12:$Z$19"),MATCH("Points (Auto-generate)",INDIRECT("'"&amp;$A8&amp;"'!$A$12:$Z$12"),0),0)),"ER"))</f>
        <v>?</v>
      </c>
      <c r="H8" s="0" t="str">
        <f aca="true">IF($F8=0,"NA",IF($A8=INDIRECT("'"&amp;$A8&amp;"'!$B$1"),IF(VLOOKUP(H$1,INDIRECT("'"&amp;$A8&amp;"'!$A$12:$Z$19"),MATCH("Points (Auto-generate)",INDIRECT("'"&amp;$A8&amp;"'!$A$12:$Z$12"),0),0)="","?",VLOOKUP(H$1,INDIRECT("'"&amp;$A8&amp;"'!$A$12:$Z$19"),MATCH("Points (Auto-generate)",INDIRECT("'"&amp;$A8&amp;"'!$A$12:$Z$12"),0),0)),"ER"))</f>
        <v>NA</v>
      </c>
      <c r="I8" s="0" t="str">
        <f aca="true">IF($F8=0,"NA",IF($A8=INDIRECT("'"&amp;$A8&amp;"'!$B$1"),IF(VLOOKUP(I$1,INDIRECT("'"&amp;$A8&amp;"'!$A$12:$Z$19"),MATCH("Points (Auto-generate)",INDIRECT("'"&amp;$A8&amp;"'!$A$12:$Z$12"),0),0)="","?",VLOOKUP(I$1,INDIRECT("'"&amp;$A8&amp;"'!$A$12:$Z$19"),MATCH("Points (Auto-generate)",INDIRECT("'"&amp;$A8&amp;"'!$A$12:$Z$12"),0),0)),"ER"))</f>
        <v>NA</v>
      </c>
      <c r="J8" s="0" t="str">
        <f aca="true">IF($F8=0,"NA",IF($A8=INDIRECT("'"&amp;$A8&amp;"'!$B$1"),IF(VLOOKUP(J$1,INDIRECT("'"&amp;$A8&amp;"'!$A$12:$Z$19"),MATCH("Points (Auto-generate)",INDIRECT("'"&amp;$A8&amp;"'!$A$12:$Z$12"),0),0)="","?",VLOOKUP(J$1,INDIRECT("'"&amp;$A8&amp;"'!$A$12:$Z$19"),MATCH("Points (Auto-generate)",INDIRECT("'"&amp;$A8&amp;"'!$A$12:$Z$12"),0),0)),"ER"))</f>
        <v>NA</v>
      </c>
      <c r="K8" s="0" t="str">
        <f aca="true">IF($F8=0,"NA",IF($A8=INDIRECT("'"&amp;$A8&amp;"'!$B$1"),IF(VLOOKUP(K$1,INDIRECT("'"&amp;$A8&amp;"'!$A$12:$Z$19"),MATCH("Points (Auto-generate)",INDIRECT("'"&amp;$A8&amp;"'!$A$12:$Z$12"),0),0)="","?",VLOOKUP(K$1,INDIRECT("'"&amp;$A8&amp;"'!$A$12:$Z$19"),MATCH("Points (Auto-generate)",INDIRECT("'"&amp;$A8&amp;"'!$A$12:$Z$12"),0),0)),"ER"))</f>
        <v>NA</v>
      </c>
      <c r="L8" s="0" t="str">
        <f aca="true">IF($F8=0,"NA",IF($A8=INDIRECT("'"&amp;$A8&amp;"'!$B$1"),IF(VLOOKUP(L$1,INDIRECT("'"&amp;$A8&amp;"'!$A$12:$Z$19"),MATCH("Points (Auto-generate)",INDIRECT("'"&amp;$A8&amp;"'!$A$12:$Z$12"),0),0)="","?",VLOOKUP(L$1,INDIRECT("'"&amp;$A8&amp;"'!$A$12:$Z$19"),MATCH("Points (Auto-generate)",INDIRECT("'"&amp;$A8&amp;"'!$A$12:$Z$12"),0),0)),"ER"))</f>
        <v>NA</v>
      </c>
      <c r="M8" s="0" t="str">
        <f aca="true">IF($F8=0,"NA",IF($A8=INDIRECT("'"&amp;$A8&amp;"'!$B$1"),IF(VLOOKUP(M$1,INDIRECT("'"&amp;$A8&amp;"'!$A$12:$Z$19"),MATCH("Points (Auto-generate)",INDIRECT("'"&amp;$A8&amp;"'!$A$12:$Z$12"),0),0)="","?",VLOOKUP(M$1,INDIRECT("'"&amp;$A8&amp;"'!$A$12:$Z$19"),MATCH("Points (Auto-generate)",INDIRECT("'"&amp;$A8&amp;"'!$A$12:$Z$12"),0),0)),"ER"))</f>
        <v>NA</v>
      </c>
    </row>
    <row r="9" customFormat="false" ht="15" hidden="false" customHeight="false" outlineLevel="0" collapsed="false">
      <c r="A9" s="0" t="s">
        <v>59</v>
      </c>
      <c r="B9" s="0" t="str">
        <f aca="false">VLOOKUP($A9,'PARASTATAL Questions'!$A:$J,3,0)&amp;""</f>
        <v>Urban Planning &amp; Design (UPD)</v>
      </c>
      <c r="C9" s="0" t="str">
        <f aca="false">VLOOKUP($A9,'PARASTATAL Questions'!$A:$J,4,0)&amp;""</f>
        <v>SQ</v>
      </c>
      <c r="D9" s="0"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0" t="str">
        <f aca="false">VLOOKUP($A9,'PARASTATAL Questions'!$A:$J,7,0)&amp;""</f>
        <v>Law/Policy</v>
      </c>
      <c r="F9" s="0" t="n">
        <f aca="false">VLOOKUP($A9,'PARASTATAL Questions'!$A:$J,6,0)</f>
        <v>2.5</v>
      </c>
      <c r="G9" s="0" t="str">
        <f aca="true">IF($F9=0,"NA",IF($A9=INDIRECT("'"&amp;$A9&amp;"'!$B$1"),IF(VLOOKUP(G$1,INDIRECT("'"&amp;$A9&amp;"'!$A$12:$Z$19"),MATCH("Points (Auto-generate)",INDIRECT("'"&amp;$A9&amp;"'!$A$12:$Z$12"),0),0)="","?",VLOOKUP(G$1,INDIRECT("'"&amp;$A9&amp;"'!$A$12:$Z$19"),MATCH("Points (Auto-generate)",INDIRECT("'"&amp;$A9&amp;"'!$A$12:$Z$12"),0),0)),"ER"))</f>
        <v>NA</v>
      </c>
      <c r="H9" s="0" t="n">
        <f aca="true">IF($F9=0,"NA",IF($A9=INDIRECT("'"&amp;$A9&amp;"'!$B$1"),IF(VLOOKUP(H$1,INDIRECT("'"&amp;$A9&amp;"'!$A$12:$Z$19"),MATCH("Points (Auto-generate)",INDIRECT("'"&amp;$A9&amp;"'!$A$12:$Z$12"),0),0)="","?",VLOOKUP(H$1,INDIRECT("'"&amp;$A9&amp;"'!$A$12:$Z$19"),MATCH("Points (Auto-generate)",INDIRECT("'"&amp;$A9&amp;"'!$A$12:$Z$12"),0),0)),"ER"))</f>
        <v>2.5</v>
      </c>
      <c r="I9" s="0" t="str">
        <f aca="true">IF($F9=0,"NA",IF($A9=INDIRECT("'"&amp;$A9&amp;"'!$B$1"),IF(VLOOKUP(I$1,INDIRECT("'"&amp;$A9&amp;"'!$A$12:$Z$19"),MATCH("Points (Auto-generate)",INDIRECT("'"&amp;$A9&amp;"'!$A$12:$Z$12"),0),0)="","?",VLOOKUP(I$1,INDIRECT("'"&amp;$A9&amp;"'!$A$12:$Z$19"),MATCH("Points (Auto-generate)",INDIRECT("'"&amp;$A9&amp;"'!$A$12:$Z$12"),0),0)),"ER"))</f>
        <v>NA</v>
      </c>
      <c r="J9" s="0" t="str">
        <f aca="true">IF($F9=0,"NA",IF($A9=INDIRECT("'"&amp;$A9&amp;"'!$B$1"),IF(VLOOKUP(J$1,INDIRECT("'"&amp;$A9&amp;"'!$A$12:$Z$19"),MATCH("Points (Auto-generate)",INDIRECT("'"&amp;$A9&amp;"'!$A$12:$Z$12"),0),0)="","?",VLOOKUP(J$1,INDIRECT("'"&amp;$A9&amp;"'!$A$12:$Z$19"),MATCH("Points (Auto-generate)",INDIRECT("'"&amp;$A9&amp;"'!$A$12:$Z$12"),0),0)),"ER"))</f>
        <v>NA</v>
      </c>
      <c r="K9" s="0" t="str">
        <f aca="true">IF($F9=0,"NA",IF($A9=INDIRECT("'"&amp;$A9&amp;"'!$B$1"),IF(VLOOKUP(K$1,INDIRECT("'"&amp;$A9&amp;"'!$A$12:$Z$19"),MATCH("Points (Auto-generate)",INDIRECT("'"&amp;$A9&amp;"'!$A$12:$Z$12"),0),0)="","?",VLOOKUP(K$1,INDIRECT("'"&amp;$A9&amp;"'!$A$12:$Z$19"),MATCH("Points (Auto-generate)",INDIRECT("'"&amp;$A9&amp;"'!$A$12:$Z$12"),0),0)),"ER"))</f>
        <v>NA</v>
      </c>
      <c r="L9" s="0" t="str">
        <f aca="true">IF($F9=0,"NA",IF($A9=INDIRECT("'"&amp;$A9&amp;"'!$B$1"),IF(VLOOKUP(L$1,INDIRECT("'"&amp;$A9&amp;"'!$A$12:$Z$19"),MATCH("Points (Auto-generate)",INDIRECT("'"&amp;$A9&amp;"'!$A$12:$Z$12"),0),0)="","?",VLOOKUP(L$1,INDIRECT("'"&amp;$A9&amp;"'!$A$12:$Z$19"),MATCH("Points (Auto-generate)",INDIRECT("'"&amp;$A9&amp;"'!$A$12:$Z$12"),0),0)),"ER"))</f>
        <v>NA</v>
      </c>
      <c r="M9" s="0" t="str">
        <f aca="true">IF($F9=0,"NA",IF($A9=INDIRECT("'"&amp;$A9&amp;"'!$B$1"),IF(VLOOKUP(M$1,INDIRECT("'"&amp;$A9&amp;"'!$A$12:$Z$19"),MATCH("Points (Auto-generate)",INDIRECT("'"&amp;$A9&amp;"'!$A$12:$Z$12"),0),0)="","?",VLOOKUP(M$1,INDIRECT("'"&amp;$A9&amp;"'!$A$12:$Z$19"),MATCH("Points (Auto-generate)",INDIRECT("'"&amp;$A9&amp;"'!$A$12:$Z$12"),0),0)),"ER"))</f>
        <v>NA</v>
      </c>
    </row>
    <row r="10" customFormat="false" ht="15" hidden="false" customHeight="false" outlineLevel="0" collapsed="false">
      <c r="A10" s="0" t="s">
        <v>65</v>
      </c>
      <c r="B10" s="0" t="str">
        <f aca="false">VLOOKUP($A10,'PARASTATAL Questions'!$A:$J,3,0)&amp;""</f>
        <v>Urban Planning &amp; Design (UPD)</v>
      </c>
      <c r="C10" s="0" t="str">
        <f aca="false">VLOOKUP($A10,'PARASTATAL Questions'!$A:$J,4,0)&amp;""</f>
        <v>SQ</v>
      </c>
      <c r="D10" s="0" t="str">
        <f aca="false">VLOOKUP($A10,'PARASTATAL Questions'!$A:$J,5,0)&amp;""</f>
        <v>Where multiple statutory or sectoral plans apply to the same territory, does the transport corporation ensure consistency with the applicable metropolitan/regional or city master plan/strategic plan for the city?</v>
      </c>
      <c r="E10" s="0" t="str">
        <f aca="false">VLOOKUP($A10,'PARASTATAL Questions'!$A:$J,7,0)&amp;""</f>
        <v>Implementation</v>
      </c>
      <c r="F10" s="0" t="n">
        <f aca="false">VLOOKUP($A10,'PARASTATAL Questions'!$A:$J,6,0)</f>
        <v>2.5</v>
      </c>
      <c r="G10" s="0" t="str">
        <f aca="true">IF($F10=0,"NA",IF($A10=INDIRECT("'"&amp;$A10&amp;"'!$B$1"),IF(VLOOKUP(G$1,INDIRECT("'"&amp;$A10&amp;"'!$A$12:$Z$19"),MATCH("Points (Auto-generate)",INDIRECT("'"&amp;$A10&amp;"'!$A$12:$Z$12"),0),0)="","?",VLOOKUP(G$1,INDIRECT("'"&amp;$A10&amp;"'!$A$12:$Z$19"),MATCH("Points (Auto-generate)",INDIRECT("'"&amp;$A10&amp;"'!$A$12:$Z$12"),0),0)),"ER"))</f>
        <v>NA</v>
      </c>
      <c r="H10" s="0" t="str">
        <f aca="true">IF($F10=0,"NA",IF($A10=INDIRECT("'"&amp;$A10&amp;"'!$B$1"),IF(VLOOKUP(H$1,INDIRECT("'"&amp;$A10&amp;"'!$A$12:$Z$19"),MATCH("Points (Auto-generate)",INDIRECT("'"&amp;$A10&amp;"'!$A$12:$Z$12"),0),0)="","?",VLOOKUP(H$1,INDIRECT("'"&amp;$A10&amp;"'!$A$12:$Z$19"),MATCH("Points (Auto-generate)",INDIRECT("'"&amp;$A10&amp;"'!$A$12:$Z$12"),0),0)),"ER"))</f>
        <v>?</v>
      </c>
      <c r="I10" s="0" t="str">
        <f aca="true">IF($F10=0,"NA",IF($A10=INDIRECT("'"&amp;$A10&amp;"'!$B$1"),IF(VLOOKUP(I$1,INDIRECT("'"&amp;$A10&amp;"'!$A$12:$Z$19"),MATCH("Points (Auto-generate)",INDIRECT("'"&amp;$A10&amp;"'!$A$12:$Z$12"),0),0)="","?",VLOOKUP(I$1,INDIRECT("'"&amp;$A10&amp;"'!$A$12:$Z$19"),MATCH("Points (Auto-generate)",INDIRECT("'"&amp;$A10&amp;"'!$A$12:$Z$12"),0),0)),"ER"))</f>
        <v>NA</v>
      </c>
      <c r="J10" s="0" t="str">
        <f aca="true">IF($F10=0,"NA",IF($A10=INDIRECT("'"&amp;$A10&amp;"'!$B$1"),IF(VLOOKUP(J$1,INDIRECT("'"&amp;$A10&amp;"'!$A$12:$Z$19"),MATCH("Points (Auto-generate)",INDIRECT("'"&amp;$A10&amp;"'!$A$12:$Z$12"),0),0)="","?",VLOOKUP(J$1,INDIRECT("'"&amp;$A10&amp;"'!$A$12:$Z$19"),MATCH("Points (Auto-generate)",INDIRECT("'"&amp;$A10&amp;"'!$A$12:$Z$12"),0),0)),"ER"))</f>
        <v>NA</v>
      </c>
      <c r="K10" s="0" t="str">
        <f aca="true">IF($F10=0,"NA",IF($A10=INDIRECT("'"&amp;$A10&amp;"'!$B$1"),IF(VLOOKUP(K$1,INDIRECT("'"&amp;$A10&amp;"'!$A$12:$Z$19"),MATCH("Points (Auto-generate)",INDIRECT("'"&amp;$A10&amp;"'!$A$12:$Z$12"),0),0)="","?",VLOOKUP(K$1,INDIRECT("'"&amp;$A10&amp;"'!$A$12:$Z$19"),MATCH("Points (Auto-generate)",INDIRECT("'"&amp;$A10&amp;"'!$A$12:$Z$12"),0),0)),"ER"))</f>
        <v>NA</v>
      </c>
      <c r="L10" s="0" t="str">
        <f aca="true">IF($F10=0,"NA",IF($A10=INDIRECT("'"&amp;$A10&amp;"'!$B$1"),IF(VLOOKUP(L$1,INDIRECT("'"&amp;$A10&amp;"'!$A$12:$Z$19"),MATCH("Points (Auto-generate)",INDIRECT("'"&amp;$A10&amp;"'!$A$12:$Z$12"),0),0)="","?",VLOOKUP(L$1,INDIRECT("'"&amp;$A10&amp;"'!$A$12:$Z$19"),MATCH("Points (Auto-generate)",INDIRECT("'"&amp;$A10&amp;"'!$A$12:$Z$12"),0),0)),"ER"))</f>
        <v>NA</v>
      </c>
      <c r="M10" s="0"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false" outlineLevel="0" collapsed="false">
      <c r="A11" s="8" t="s">
        <v>437</v>
      </c>
      <c r="B11" s="8" t="str">
        <f aca="false">VLOOKUP($A11,'PARASTATAL Questions'!$A:$J,3,0)&amp;""</f>
        <v>Urban Planning &amp; Design (UPD)</v>
      </c>
      <c r="C11" s="8" t="str">
        <f aca="false">VLOOKUP($A11,'PARASTATAL Questions'!$A:$J,4,0)&amp;""</f>
        <v>MQ</v>
      </c>
      <c r="D11" s="8" t="str">
        <f aca="false">VLOOKUP($A11,'PARASTATAL Questions'!$A:$J,5,0)&amp;""</f>
        <v>Are the needs of women, the urban poor, and other vulnerable groups explicitly considered in the water board’s planning, service delivery or major investment decisions?</v>
      </c>
      <c r="E11" s="8" t="str">
        <f aca="false">VLOOKUP($A11,'PARASTATAL Questions'!$A:$J,7,0)&amp;""</f>
        <v>Law/Policy</v>
      </c>
      <c r="F11" s="8" t="n">
        <f aca="false">VLOOKUP($A11,'PARASTATAL Questions'!$A:$J,6,0)</f>
        <v>10</v>
      </c>
      <c r="G11" s="8" t="n">
        <f aca="false">IF(OR(G12="ER",G13="ER"),"ER",IF(OR(G12="?",G13="?"),"?",IF(AND(G12="NA",G13="NA"),"NA",SUM(G12,G13)/((G12&lt;&gt;"NA")*$F$12+(G13&lt;&gt;"NA")*$F$13)*$F11)))</f>
        <v>5</v>
      </c>
      <c r="H11" s="8" t="str">
        <f aca="false">IF(OR(H12="ER",H13="ER"),"ER",IF(OR(H12="?",H13="?"),"?",IF(AND(H12="NA",H13="NA"),"NA",SUM(H12,H13)/((H12&lt;&gt;"NA")*$F$12+(H13&lt;&gt;"NA")*$F$13)*$F11)))</f>
        <v>NA</v>
      </c>
      <c r="I11" s="8" t="str">
        <f aca="false">IF(OR(I12="ER",I13="ER"),"ER",IF(OR(I12="?",I13="?"),"?",IF(AND(I12="NA",I13="NA"),"NA",SUM(I12,I13)/((I12&lt;&gt;"NA")*$F$12+(I13&lt;&gt;"NA")*$F$13)*$F11)))</f>
        <v>NA</v>
      </c>
      <c r="J11" s="8" t="str">
        <f aca="false">IF(OR(J12="ER",J13="ER"),"ER",IF(OR(J12="?",J13="?"),"?",IF(AND(J12="NA",J13="NA"),"NA",SUM(J12,J13)/((J12&lt;&gt;"NA")*$F$12+(J13&lt;&gt;"NA")*$F$13)*$F11)))</f>
        <v>NA</v>
      </c>
      <c r="K11" s="8" t="str">
        <f aca="false">IF(OR(K12="ER",K13="ER"),"ER",IF(OR(K12="?",K13="?"),"?",IF(AND(K12="NA",K13="NA"),"NA",SUM(K12,K13)/((K12&lt;&gt;"NA")*$F$12+(K13&lt;&gt;"NA")*$F$13)*$F11)))</f>
        <v>NA</v>
      </c>
      <c r="L11" s="8" t="str">
        <f aca="false">IF(OR(L12="ER",L13="ER"),"ER",IF(OR(L12="?",L13="?"),"?",IF(AND(L12="NA",L13="NA"),"NA",SUM(L12,L13)/((L12&lt;&gt;"NA")*$F$12+(L13&lt;&gt;"NA")*$F$13)*$F11)))</f>
        <v>NA</v>
      </c>
      <c r="M11" s="8" t="str">
        <f aca="false">IF(OR(M12="ER",M13="ER"),"ER",IF(OR(M12="?",M13="?"),"?",IF(AND(M12="NA",M13="NA"),"NA",SUM(M12,M13)/((M12&lt;&gt;"NA")*$F$12+(M13&lt;&gt;"NA")*$F$13)*$F11)))</f>
        <v>NA</v>
      </c>
    </row>
    <row r="12" customFormat="false" ht="15" hidden="false" customHeight="false" outlineLevel="0" collapsed="false">
      <c r="A12" s="0" t="s">
        <v>67</v>
      </c>
      <c r="B12" s="0" t="str">
        <f aca="false">VLOOKUP($A12,'PARASTATAL Questions'!$A:$J,3,0)&amp;""</f>
        <v>Urban Planning &amp; Design (UPD)</v>
      </c>
      <c r="C12" s="0" t="str">
        <f aca="false">VLOOKUP($A12,'PARASTATAL Questions'!$A:$J,4,0)&amp;""</f>
        <v>SQ</v>
      </c>
      <c r="D12" s="0" t="str">
        <f aca="false">VLOOKUP($A12,'PARASTATAL Questions'!$A:$J,5,0)&amp;""</f>
        <v>Is the water supply board mandated to consider the needs of women, the urban poor and other vulnerable groups in decisions relating to access, affordability and delivery of water and sanitation services?</v>
      </c>
      <c r="E12" s="0" t="str">
        <f aca="false">VLOOKUP($A12,'PARASTATAL Questions'!$A:$J,7,0)&amp;""</f>
        <v>Law/Policy</v>
      </c>
      <c r="F12" s="0" t="n">
        <f aca="false">VLOOKUP($A12,'PARASTATAL Questions'!$A:$J,6,0)</f>
        <v>5</v>
      </c>
      <c r="G12" s="0" t="n">
        <f aca="true">IF($F12=0,"NA",IF($A12=INDIRECT("'"&amp;$A12&amp;"'!$B$1"),IF(VLOOKUP(G$1,INDIRECT("'"&amp;$A12&amp;"'!$A$12:$Z$19"),MATCH("Points (Auto-generate)",INDIRECT("'"&amp;$A12&amp;"'!$A$12:$Z$12"),0),0)="","?",VLOOKUP(G$1,INDIRECT("'"&amp;$A12&amp;"'!$A$12:$Z$19"),MATCH("Points (Auto-generate)",INDIRECT("'"&amp;$A12&amp;"'!$A$12:$Z$12"),0),0)),"ER"))</f>
        <v>2.5</v>
      </c>
      <c r="H12" s="0" t="str">
        <f aca="true">IF($F12=0,"NA",IF($A12=INDIRECT("'"&amp;$A12&amp;"'!$B$1"),IF(VLOOKUP(H$1,INDIRECT("'"&amp;$A12&amp;"'!$A$12:$Z$19"),MATCH("Points (Auto-generate)",INDIRECT("'"&amp;$A12&amp;"'!$A$12:$Z$12"),0),0)="","?",VLOOKUP(H$1,INDIRECT("'"&amp;$A12&amp;"'!$A$12:$Z$19"),MATCH("Points (Auto-generate)",INDIRECT("'"&amp;$A12&amp;"'!$A$12:$Z$12"),0),0)),"ER"))</f>
        <v>NA</v>
      </c>
      <c r="I12" s="0" t="str">
        <f aca="true">IF($F12=0,"NA",IF($A12=INDIRECT("'"&amp;$A12&amp;"'!$B$1"),IF(VLOOKUP(I$1,INDIRECT("'"&amp;$A12&amp;"'!$A$12:$Z$19"),MATCH("Points (Auto-generate)",INDIRECT("'"&amp;$A12&amp;"'!$A$12:$Z$12"),0),0)="","?",VLOOKUP(I$1,INDIRECT("'"&amp;$A12&amp;"'!$A$12:$Z$19"),MATCH("Points (Auto-generate)",INDIRECT("'"&amp;$A12&amp;"'!$A$12:$Z$12"),0),0)),"ER"))</f>
        <v>NA</v>
      </c>
      <c r="J12" s="0" t="str">
        <f aca="true">IF($F12=0,"NA",IF($A12=INDIRECT("'"&amp;$A12&amp;"'!$B$1"),IF(VLOOKUP(J$1,INDIRECT("'"&amp;$A12&amp;"'!$A$12:$Z$19"),MATCH("Points (Auto-generate)",INDIRECT("'"&amp;$A12&amp;"'!$A$12:$Z$12"),0),0)="","?",VLOOKUP(J$1,INDIRECT("'"&amp;$A12&amp;"'!$A$12:$Z$19"),MATCH("Points (Auto-generate)",INDIRECT("'"&amp;$A12&amp;"'!$A$12:$Z$12"),0),0)),"ER"))</f>
        <v>NA</v>
      </c>
      <c r="K12" s="0" t="str">
        <f aca="true">IF($F12=0,"NA",IF($A12=INDIRECT("'"&amp;$A12&amp;"'!$B$1"),IF(VLOOKUP(K$1,INDIRECT("'"&amp;$A12&amp;"'!$A$12:$Z$19"),MATCH("Points (Auto-generate)",INDIRECT("'"&amp;$A12&amp;"'!$A$12:$Z$12"),0),0)="","?",VLOOKUP(K$1,INDIRECT("'"&amp;$A12&amp;"'!$A$12:$Z$19"),MATCH("Points (Auto-generate)",INDIRECT("'"&amp;$A12&amp;"'!$A$12:$Z$12"),0),0)),"ER"))</f>
        <v>NA</v>
      </c>
      <c r="L12" s="0" t="str">
        <f aca="true">IF($F12=0,"NA",IF($A12=INDIRECT("'"&amp;$A12&amp;"'!$B$1"),IF(VLOOKUP(L$1,INDIRECT("'"&amp;$A12&amp;"'!$A$12:$Z$19"),MATCH("Points (Auto-generate)",INDIRECT("'"&amp;$A12&amp;"'!$A$12:$Z$12"),0),0)="","?",VLOOKUP(L$1,INDIRECT("'"&amp;$A12&amp;"'!$A$12:$Z$19"),MATCH("Points (Auto-generate)",INDIRECT("'"&amp;$A12&amp;"'!$A$12:$Z$12"),0),0)),"ER"))</f>
        <v>NA</v>
      </c>
      <c r="M12" s="0"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false" outlineLevel="0" collapsed="false">
      <c r="A13" s="0" t="s">
        <v>71</v>
      </c>
      <c r="B13" s="0" t="str">
        <f aca="false">VLOOKUP($A13,'PARASTATAL Questions'!$A:$J,3,0)&amp;""</f>
        <v>Urban Planning &amp; Design (UPD)</v>
      </c>
      <c r="C13" s="0" t="str">
        <f aca="false">VLOOKUP($A13,'PARASTATAL Questions'!$A:$J,4,0)&amp;""</f>
        <v>SQ</v>
      </c>
      <c r="D13" s="0" t="str">
        <f aca="false">VLOOKUP($A13,'PARASTATAL Questions'!$A:$J,5,0)&amp;""</f>
        <v>Does the water supply board actually consider the needs of women, the urban poor and other vulnerable groups in decisions relating to access, affordability and delivery of water and sanitation services?</v>
      </c>
      <c r="E13" s="0" t="str">
        <f aca="false">VLOOKUP($A13,'PARASTATAL Questions'!$A:$J,7,0)&amp;""</f>
        <v>Implementation</v>
      </c>
      <c r="F13" s="0" t="n">
        <f aca="false">VLOOKUP($A13,'PARASTATAL Questions'!$A:$J,6,0)</f>
        <v>5</v>
      </c>
      <c r="G13" s="0" t="n">
        <f aca="true">IF($F13=0,"NA",IF($A13=INDIRECT("'"&amp;$A13&amp;"'!$B$1"),IF(VLOOKUP(G$1,INDIRECT("'"&amp;$A13&amp;"'!$A$12:$Z$19"),MATCH("Points (Auto-generate)",INDIRECT("'"&amp;$A13&amp;"'!$A$12:$Z$12"),0),0)="","?",VLOOKUP(G$1,INDIRECT("'"&amp;$A13&amp;"'!$A$12:$Z$19"),MATCH("Points (Auto-generate)",INDIRECT("'"&amp;$A13&amp;"'!$A$12:$Z$12"),0),0)),"ER"))</f>
        <v>2.5</v>
      </c>
      <c r="H13" s="0" t="str">
        <f aca="true">IF($F13=0,"NA",IF($A13=INDIRECT("'"&amp;$A13&amp;"'!$B$1"),IF(VLOOKUP(H$1,INDIRECT("'"&amp;$A13&amp;"'!$A$12:$Z$19"),MATCH("Points (Auto-generate)",INDIRECT("'"&amp;$A13&amp;"'!$A$12:$Z$12"),0),0)="","?",VLOOKUP(H$1,INDIRECT("'"&amp;$A13&amp;"'!$A$12:$Z$19"),MATCH("Points (Auto-generate)",INDIRECT("'"&amp;$A13&amp;"'!$A$12:$Z$12"),0),0)),"ER"))</f>
        <v>NA</v>
      </c>
      <c r="I13" s="0" t="str">
        <f aca="true">IF($F13=0,"NA",IF($A13=INDIRECT("'"&amp;$A13&amp;"'!$B$1"),IF(VLOOKUP(I$1,INDIRECT("'"&amp;$A13&amp;"'!$A$12:$Z$19"),MATCH("Points (Auto-generate)",INDIRECT("'"&amp;$A13&amp;"'!$A$12:$Z$12"),0),0)="","?",VLOOKUP(I$1,INDIRECT("'"&amp;$A13&amp;"'!$A$12:$Z$19"),MATCH("Points (Auto-generate)",INDIRECT("'"&amp;$A13&amp;"'!$A$12:$Z$12"),0),0)),"ER"))</f>
        <v>NA</v>
      </c>
      <c r="J13" s="0" t="str">
        <f aca="true">IF($F13=0,"NA",IF($A13=INDIRECT("'"&amp;$A13&amp;"'!$B$1"),IF(VLOOKUP(J$1,INDIRECT("'"&amp;$A13&amp;"'!$A$12:$Z$19"),MATCH("Points (Auto-generate)",INDIRECT("'"&amp;$A13&amp;"'!$A$12:$Z$12"),0),0)="","?",VLOOKUP(J$1,INDIRECT("'"&amp;$A13&amp;"'!$A$12:$Z$19"),MATCH("Points (Auto-generate)",INDIRECT("'"&amp;$A13&amp;"'!$A$12:$Z$12"),0),0)),"ER"))</f>
        <v>NA</v>
      </c>
      <c r="K13" s="0" t="str">
        <f aca="true">IF($F13=0,"NA",IF($A13=INDIRECT("'"&amp;$A13&amp;"'!$B$1"),IF(VLOOKUP(K$1,INDIRECT("'"&amp;$A13&amp;"'!$A$12:$Z$19"),MATCH("Points (Auto-generate)",INDIRECT("'"&amp;$A13&amp;"'!$A$12:$Z$12"),0),0)="","?",VLOOKUP(K$1,INDIRECT("'"&amp;$A13&amp;"'!$A$12:$Z$19"),MATCH("Points (Auto-generate)",INDIRECT("'"&amp;$A13&amp;"'!$A$12:$Z$12"),0),0)),"ER"))</f>
        <v>NA</v>
      </c>
      <c r="L13" s="0" t="str">
        <f aca="true">IF($F13=0,"NA",IF($A13=INDIRECT("'"&amp;$A13&amp;"'!$B$1"),IF(VLOOKUP(L$1,INDIRECT("'"&amp;$A13&amp;"'!$A$12:$Z$19"),MATCH("Points (Auto-generate)",INDIRECT("'"&amp;$A13&amp;"'!$A$12:$Z$12"),0),0)="","?",VLOOKUP(L$1,INDIRECT("'"&amp;$A13&amp;"'!$A$12:$Z$19"),MATCH("Points (Auto-generate)",INDIRECT("'"&amp;$A13&amp;"'!$A$12:$Z$12"),0),0)),"ER"))</f>
        <v>NA</v>
      </c>
      <c r="M13" s="0"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false" outlineLevel="0" collapsed="false">
      <c r="A14" s="8" t="s">
        <v>438</v>
      </c>
      <c r="B14" s="8" t="str">
        <f aca="false">VLOOKUP($A14,'PARASTATAL Questions'!$A:$J,3,0)&amp;""</f>
        <v>Urban Planning &amp; Design (UPD)</v>
      </c>
      <c r="C14" s="8" t="str">
        <f aca="false">VLOOKUP($A14,'PARASTATAL Questions'!$A:$J,4,0)&amp;""</f>
        <v>MQ</v>
      </c>
      <c r="D14" s="8" t="str">
        <f aca="false">VLOOKUP($A14,'PARASTATAL Questions'!$A:$J,5,0)&amp;""</f>
        <v>Are the needs of women, the urban poor, and other vulnerable groups explicitly considered in the transport Corporation’s planning, service delivery or major investment decisions?</v>
      </c>
      <c r="E14" s="8" t="str">
        <f aca="false">VLOOKUP($A14,'PARASTATAL Questions'!$A:$J,7,0)&amp;""</f>
        <v/>
      </c>
      <c r="F14" s="8" t="n">
        <f aca="false">VLOOKUP($A14,'PARASTATAL Questions'!$A:$J,6,0)</f>
        <v>10</v>
      </c>
      <c r="G14" s="8" t="str">
        <f aca="false">IF(OR(G15="ER",G16="ER"),"ER",IF(OR(G15="?",G16="?"),"?",IF(AND(G15="NA",G16="NA"),"NA",SUM(G15,G16)/((G15&lt;&gt;"NA")*$F$15+(G16&lt;&gt;"NA")*$F$16)*$F14)))</f>
        <v>NA</v>
      </c>
      <c r="H14" s="8" t="str">
        <f aca="false">IF(OR(H15="ER",H16="ER"),"ER",IF(OR(H15="?",H16="?"),"?",IF(AND(H15="NA",H16="NA"),"NA",SUM(H15,H16)/((H15&lt;&gt;"NA")*$F$15+(H16&lt;&gt;"NA")*$F$16)*$F14)))</f>
        <v>?</v>
      </c>
      <c r="I14" s="8" t="str">
        <f aca="false">IF(OR(I15="ER",I16="ER"),"ER",IF(OR(I15="?",I16="?"),"?",IF(AND(I15="NA",I16="NA"),"NA",SUM(I15,I16)/((I15&lt;&gt;"NA")*$F$15+(I16&lt;&gt;"NA")*$F$16)*$F14)))</f>
        <v>NA</v>
      </c>
      <c r="J14" s="8" t="str">
        <f aca="false">IF(OR(J15="ER",J16="ER"),"ER",IF(OR(J15="?",J16="?"),"?",IF(AND(J15="NA",J16="NA"),"NA",SUM(J15,J16)/((J15&lt;&gt;"NA")*$F$15+(J16&lt;&gt;"NA")*$F$16)*$F14)))</f>
        <v>NA</v>
      </c>
      <c r="K14" s="8" t="str">
        <f aca="false">IF(OR(K15="ER",K16="ER"),"ER",IF(OR(K15="?",K16="?"),"?",IF(AND(K15="NA",K16="NA"),"NA",SUM(K15,K16)/((K15&lt;&gt;"NA")*$F$15+(K16&lt;&gt;"NA")*$F$16)*$F14)))</f>
        <v>NA</v>
      </c>
      <c r="L14" s="8" t="str">
        <f aca="false">IF(OR(L15="ER",L16="ER"),"ER",IF(OR(L15="?",L16="?"),"?",IF(AND(L15="NA",L16="NA"),"NA",SUM(L15,L16)/((L15&lt;&gt;"NA")*$F$15+(L16&lt;&gt;"NA")*$F$16)*$F14)))</f>
        <v>NA</v>
      </c>
      <c r="M14" s="8" t="str">
        <f aca="false">IF(OR(M15="ER",M16="ER"),"ER",IF(OR(M15="?",M16="?"),"?",IF(AND(M15="NA",M16="NA"),"NA",SUM(M15,M16)/((M15&lt;&gt;"NA")*$F$15+(M16&lt;&gt;"NA")*$F$16)*$F14)))</f>
        <v>NA</v>
      </c>
    </row>
    <row r="15" customFormat="false" ht="15" hidden="false" customHeight="false" outlineLevel="0" collapsed="false">
      <c r="A15" s="0" t="s">
        <v>77</v>
      </c>
      <c r="B15" s="0" t="str">
        <f aca="false">VLOOKUP($A15,'PARASTATAL Questions'!$A:$J,3,0)&amp;""</f>
        <v>Urban Planning &amp; Design (UPD)</v>
      </c>
      <c r="C15" s="0" t="str">
        <f aca="false">VLOOKUP($A15,'PARASTATAL Questions'!$A:$J,4,0)&amp;""</f>
        <v>SQ</v>
      </c>
      <c r="D15" s="0" t="str">
        <f aca="false">VLOOKUP($A15,'PARASTATAL Questions'!$A:$J,5,0)&amp;""</f>
        <v>Is the transport corporation mandated to consider the mobility needs of women, the urban poor and other vulnerable groups in planning and delivering public transport services?</v>
      </c>
      <c r="E15" s="0" t="str">
        <f aca="false">VLOOKUP($A15,'PARASTATAL Questions'!$A:$J,7,0)&amp;""</f>
        <v>Law/Policy</v>
      </c>
      <c r="F15" s="0" t="n">
        <f aca="false">VLOOKUP($A15,'PARASTATAL Questions'!$A:$J,6,0)</f>
        <v>5</v>
      </c>
      <c r="G15" s="0" t="str">
        <f aca="true">IF($F15=0,"NA",IF($A15=INDIRECT("'"&amp;$A15&amp;"'!$B$1"),IF(VLOOKUP(G$1,INDIRECT("'"&amp;$A15&amp;"'!$A$12:$Z$19"),MATCH("Points (Auto-generate)",INDIRECT("'"&amp;$A15&amp;"'!$A$12:$Z$12"),0),0)="","?",VLOOKUP(G$1,INDIRECT("'"&amp;$A15&amp;"'!$A$12:$Z$19"),MATCH("Points (Auto-generate)",INDIRECT("'"&amp;$A15&amp;"'!$A$12:$Z$12"),0),0)),"ER"))</f>
        <v>NA</v>
      </c>
      <c r="H15" s="0" t="str">
        <f aca="true">IF($F15=0,"NA",IF($A15=INDIRECT("'"&amp;$A15&amp;"'!$B$1"),IF(VLOOKUP(H$1,INDIRECT("'"&amp;$A15&amp;"'!$A$12:$Z$19"),MATCH("Points (Auto-generate)",INDIRECT("'"&amp;$A15&amp;"'!$A$12:$Z$12"),0),0)="","?",VLOOKUP(H$1,INDIRECT("'"&amp;$A15&amp;"'!$A$12:$Z$19"),MATCH("Points (Auto-generate)",INDIRECT("'"&amp;$A15&amp;"'!$A$12:$Z$12"),0),0)),"ER"))</f>
        <v>?</v>
      </c>
      <c r="I15" s="0" t="str">
        <f aca="true">IF($F15=0,"NA",IF($A15=INDIRECT("'"&amp;$A15&amp;"'!$B$1"),IF(VLOOKUP(I$1,INDIRECT("'"&amp;$A15&amp;"'!$A$12:$Z$19"),MATCH("Points (Auto-generate)",INDIRECT("'"&amp;$A15&amp;"'!$A$12:$Z$12"),0),0)="","?",VLOOKUP(I$1,INDIRECT("'"&amp;$A15&amp;"'!$A$12:$Z$19"),MATCH("Points (Auto-generate)",INDIRECT("'"&amp;$A15&amp;"'!$A$12:$Z$12"),0),0)),"ER"))</f>
        <v>NA</v>
      </c>
      <c r="J15" s="0" t="str">
        <f aca="true">IF($F15=0,"NA",IF($A15=INDIRECT("'"&amp;$A15&amp;"'!$B$1"),IF(VLOOKUP(J$1,INDIRECT("'"&amp;$A15&amp;"'!$A$12:$Z$19"),MATCH("Points (Auto-generate)",INDIRECT("'"&amp;$A15&amp;"'!$A$12:$Z$12"),0),0)="","?",VLOOKUP(J$1,INDIRECT("'"&amp;$A15&amp;"'!$A$12:$Z$19"),MATCH("Points (Auto-generate)",INDIRECT("'"&amp;$A15&amp;"'!$A$12:$Z$12"),0),0)),"ER"))</f>
        <v>NA</v>
      </c>
      <c r="K15" s="0" t="str">
        <f aca="true">IF($F15=0,"NA",IF($A15=INDIRECT("'"&amp;$A15&amp;"'!$B$1"),IF(VLOOKUP(K$1,INDIRECT("'"&amp;$A15&amp;"'!$A$12:$Z$19"),MATCH("Points (Auto-generate)",INDIRECT("'"&amp;$A15&amp;"'!$A$12:$Z$12"),0),0)="","?",VLOOKUP(K$1,INDIRECT("'"&amp;$A15&amp;"'!$A$12:$Z$19"),MATCH("Points (Auto-generate)",INDIRECT("'"&amp;$A15&amp;"'!$A$12:$Z$12"),0),0)),"ER"))</f>
        <v>NA</v>
      </c>
      <c r="L15" s="0" t="str">
        <f aca="true">IF($F15=0,"NA",IF($A15=INDIRECT("'"&amp;$A15&amp;"'!$B$1"),IF(VLOOKUP(L$1,INDIRECT("'"&amp;$A15&amp;"'!$A$12:$Z$19"),MATCH("Points (Auto-generate)",INDIRECT("'"&amp;$A15&amp;"'!$A$12:$Z$12"),0),0)="","?",VLOOKUP(L$1,INDIRECT("'"&amp;$A15&amp;"'!$A$12:$Z$19"),MATCH("Points (Auto-generate)",INDIRECT("'"&amp;$A15&amp;"'!$A$12:$Z$12"),0),0)),"ER"))</f>
        <v>NA</v>
      </c>
      <c r="M15" s="0"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false" outlineLevel="0" collapsed="false">
      <c r="A16" s="0" t="s">
        <v>81</v>
      </c>
      <c r="B16" s="0" t="str">
        <f aca="false">VLOOKUP($A16,'PARASTATAL Questions'!$A:$J,3,0)&amp;""</f>
        <v>Urban Planning &amp; Design (UPD)</v>
      </c>
      <c r="C16" s="0" t="str">
        <f aca="false">VLOOKUP($A16,'PARASTATAL Questions'!$A:$J,4,0)&amp;""</f>
        <v>SQ</v>
      </c>
      <c r="D16" s="0" t="str">
        <f aca="false">VLOOKUP($A16,'PARASTATAL Questions'!$A:$J,5,0)&amp;""</f>
        <v>Does the Transport Corporation actually consider the needs of women, the urban poor and other vulnerable groups in decisions relating to access, affordability and delivery of public transport services?</v>
      </c>
      <c r="E16" s="0" t="str">
        <f aca="false">VLOOKUP($A16,'PARASTATAL Questions'!$A:$J,7,0)&amp;""</f>
        <v>Implementation</v>
      </c>
      <c r="F16" s="0" t="n">
        <f aca="false">VLOOKUP($A16,'PARASTATAL Questions'!$A:$J,6,0)</f>
        <v>5</v>
      </c>
      <c r="G16" s="0" t="str">
        <f aca="true">IF($F16=0,"NA",IF($A16=INDIRECT("'"&amp;$A16&amp;"'!$B$1"),IF(VLOOKUP(G$1,INDIRECT("'"&amp;$A16&amp;"'!$A$12:$Z$19"),MATCH("Points (Auto-generate)",INDIRECT("'"&amp;$A16&amp;"'!$A$12:$Z$12"),0),0)="","?",VLOOKUP(G$1,INDIRECT("'"&amp;$A16&amp;"'!$A$12:$Z$19"),MATCH("Points (Auto-generate)",INDIRECT("'"&amp;$A16&amp;"'!$A$12:$Z$12"),0),0)),"ER"))</f>
        <v>NA</v>
      </c>
      <c r="H16" s="0" t="n">
        <f aca="true">IF($F16=0,"NA",IF($A16=INDIRECT("'"&amp;$A16&amp;"'!$B$1"),IF(VLOOKUP(H$1,INDIRECT("'"&amp;$A16&amp;"'!$A$12:$Z$19"),MATCH("Points (Auto-generate)",INDIRECT("'"&amp;$A16&amp;"'!$A$12:$Z$12"),0),0)="","?",VLOOKUP(H$1,INDIRECT("'"&amp;$A16&amp;"'!$A$12:$Z$19"),MATCH("Points (Auto-generate)",INDIRECT("'"&amp;$A16&amp;"'!$A$12:$Z$12"),0),0)),"ER"))</f>
        <v>1.25</v>
      </c>
      <c r="I16" s="0" t="str">
        <f aca="true">IF($F16=0,"NA",IF($A16=INDIRECT("'"&amp;$A16&amp;"'!$B$1"),IF(VLOOKUP(I$1,INDIRECT("'"&amp;$A16&amp;"'!$A$12:$Z$19"),MATCH("Points (Auto-generate)",INDIRECT("'"&amp;$A16&amp;"'!$A$12:$Z$12"),0),0)="","?",VLOOKUP(I$1,INDIRECT("'"&amp;$A16&amp;"'!$A$12:$Z$19"),MATCH("Points (Auto-generate)",INDIRECT("'"&amp;$A16&amp;"'!$A$12:$Z$12"),0),0)),"ER"))</f>
        <v>NA</v>
      </c>
      <c r="J16" s="0" t="str">
        <f aca="true">IF($F16=0,"NA",IF($A16=INDIRECT("'"&amp;$A16&amp;"'!$B$1"),IF(VLOOKUP(J$1,INDIRECT("'"&amp;$A16&amp;"'!$A$12:$Z$19"),MATCH("Points (Auto-generate)",INDIRECT("'"&amp;$A16&amp;"'!$A$12:$Z$12"),0),0)="","?",VLOOKUP(J$1,INDIRECT("'"&amp;$A16&amp;"'!$A$12:$Z$19"),MATCH("Points (Auto-generate)",INDIRECT("'"&amp;$A16&amp;"'!$A$12:$Z$12"),0),0)),"ER"))</f>
        <v>NA</v>
      </c>
      <c r="K16" s="0" t="str">
        <f aca="true">IF($F16=0,"NA",IF($A16=INDIRECT("'"&amp;$A16&amp;"'!$B$1"),IF(VLOOKUP(K$1,INDIRECT("'"&amp;$A16&amp;"'!$A$12:$Z$19"),MATCH("Points (Auto-generate)",INDIRECT("'"&amp;$A16&amp;"'!$A$12:$Z$12"),0),0)="","?",VLOOKUP(K$1,INDIRECT("'"&amp;$A16&amp;"'!$A$12:$Z$19"),MATCH("Points (Auto-generate)",INDIRECT("'"&amp;$A16&amp;"'!$A$12:$Z$12"),0),0)),"ER"))</f>
        <v>NA</v>
      </c>
      <c r="L16" s="0" t="str">
        <f aca="true">IF($F16=0,"NA",IF($A16=INDIRECT("'"&amp;$A16&amp;"'!$B$1"),IF(VLOOKUP(L$1,INDIRECT("'"&amp;$A16&amp;"'!$A$12:$Z$19"),MATCH("Points (Auto-generate)",INDIRECT("'"&amp;$A16&amp;"'!$A$12:$Z$12"),0),0)="","?",VLOOKUP(L$1,INDIRECT("'"&amp;$A16&amp;"'!$A$12:$Z$19"),MATCH("Points (Auto-generate)",INDIRECT("'"&amp;$A16&amp;"'!$A$12:$Z$12"),0),0)),"ER"))</f>
        <v>NA</v>
      </c>
      <c r="M16" s="0"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false" outlineLevel="0" collapsed="false">
      <c r="A17" s="8" t="s">
        <v>439</v>
      </c>
      <c r="B17" s="8" t="str">
        <f aca="false">VLOOKUP($A17,'PARASTATAL Questions'!$A:$J,3,0)&amp;""</f>
        <v>Urban Planning &amp; Design (UPD)</v>
      </c>
      <c r="C17" s="8" t="str">
        <f aca="false">VLOOKUP($A17,'PARASTATAL Questions'!$A:$J,4,0)&amp;""</f>
        <v>MQ</v>
      </c>
      <c r="D17" s="8" t="str">
        <f aca="false">VLOOKUP($A17,'PARASTATAL Questions'!$A:$J,5,0)&amp;""</f>
        <v>Are environmental considerations explicitly required to be integrated into the water supply board’s planning, service-delivery or major investment decisions?</v>
      </c>
      <c r="E17" s="8" t="str">
        <f aca="false">VLOOKUP($A17,'PARASTATAL Questions'!$A:$J,7,0)&amp;""</f>
        <v>Law/Policy</v>
      </c>
      <c r="F17" s="8" t="n">
        <f aca="false">VLOOKUP($A17,'PARASTATAL Questions'!$A:$J,6,0)</f>
        <v>10</v>
      </c>
      <c r="G17" s="8" t="n">
        <f aca="false">IF(OR(G18="ER",G19="ER"),"ER",IF(OR(G18="?",G19="?"),"?",IF(AND(G18="NA",G19="NA"),"NA",SUM(G18,G19)/((G18&lt;&gt;"NA")*$F$18+(G19&lt;&gt;"NA")*$F$19)*$F17)))</f>
        <v>7.5</v>
      </c>
      <c r="H17" s="8" t="str">
        <f aca="false">IF(OR(H18="ER",H19="ER"),"ER",IF(OR(H18="?",H19="?"),"?",IF(AND(H18="NA",H19="NA"),"NA",SUM(H18,H19)/((H18&lt;&gt;"NA")*$F$18+(H19&lt;&gt;"NA")*$F$19)*$F17)))</f>
        <v>NA</v>
      </c>
      <c r="I17" s="8" t="str">
        <f aca="false">IF(OR(I18="ER",I19="ER"),"ER",IF(OR(I18="?",I19="?"),"?",IF(AND(I18="NA",I19="NA"),"NA",SUM(I18,I19)/((I18&lt;&gt;"NA")*$F$18+(I19&lt;&gt;"NA")*$F$19)*$F17)))</f>
        <v>NA</v>
      </c>
      <c r="J17" s="8" t="str">
        <f aca="false">IF(OR(J18="ER",J19="ER"),"ER",IF(OR(J18="?",J19="?"),"?",IF(AND(J18="NA",J19="NA"),"NA",SUM(J18,J19)/((J18&lt;&gt;"NA")*$F$18+(J19&lt;&gt;"NA")*$F$19)*$F17)))</f>
        <v>NA</v>
      </c>
      <c r="K17" s="8" t="str">
        <f aca="false">IF(OR(K18="ER",K19="ER"),"ER",IF(OR(K18="?",K19="?"),"?",IF(AND(K18="NA",K19="NA"),"NA",SUM(K18,K19)/((K18&lt;&gt;"NA")*$F$18+(K19&lt;&gt;"NA")*$F$19)*$F17)))</f>
        <v>NA</v>
      </c>
      <c r="L17" s="8" t="str">
        <f aca="false">IF(OR(L18="ER",L19="ER"),"ER",IF(OR(L18="?",L19="?"),"?",IF(AND(L18="NA",L19="NA"),"NA",SUM(L18,L19)/((L18&lt;&gt;"NA")*$F$18+(L19&lt;&gt;"NA")*$F$19)*$F17)))</f>
        <v>NA</v>
      </c>
      <c r="M17" s="8" t="str">
        <f aca="false">IF(OR(M18="ER",M19="ER"),"ER",IF(OR(M18="?",M19="?"),"?",IF(AND(M18="NA",M19="NA"),"NA",SUM(M18,M19)/((M18&lt;&gt;"NA")*$F$18+(M19&lt;&gt;"NA")*$F$19)*$F17)))</f>
        <v>NA</v>
      </c>
    </row>
    <row r="18" customFormat="false" ht="15" hidden="false" customHeight="false" outlineLevel="0" collapsed="false">
      <c r="A18" s="0" t="s">
        <v>87</v>
      </c>
      <c r="B18" s="0" t="str">
        <f aca="false">VLOOKUP($A18,'PARASTATAL Questions'!$A:$J,3,0)&amp;""</f>
        <v>Urban Planning &amp; Design (UPD)</v>
      </c>
      <c r="C18" s="0" t="str">
        <f aca="false">VLOOKUP($A18,'PARASTATAL Questions'!$A:$J,4,0)&amp;""</f>
        <v>SQ</v>
      </c>
      <c r="D18" s="0" t="str">
        <f aca="false">VLOOKUP($A18,'PARASTATAL Questions'!$A:$J,5,0)&amp;""</f>
        <v>Is the water supply board mandated to consider environmental sustainability in planning and delivering water and sanitation services?</v>
      </c>
      <c r="E18" s="0" t="str">
        <f aca="false">VLOOKUP($A18,'PARASTATAL Questions'!$A:$J,7,0)&amp;""</f>
        <v>Law/Policy</v>
      </c>
      <c r="F18" s="0" t="n">
        <f aca="false">VLOOKUP($A18,'PARASTATAL Questions'!$A:$J,6,0)</f>
        <v>5</v>
      </c>
      <c r="G18" s="0" t="n">
        <f aca="true">IF($F18=0,"NA",IF($A18=INDIRECT("'"&amp;$A18&amp;"'!$B$1"),IF(VLOOKUP(G$1,INDIRECT("'"&amp;$A18&amp;"'!$A$12:$Z$19"),MATCH("Points (Auto-generate)",INDIRECT("'"&amp;$A18&amp;"'!$A$12:$Z$12"),0),0)="","?",VLOOKUP(G$1,INDIRECT("'"&amp;$A18&amp;"'!$A$12:$Z$19"),MATCH("Points (Auto-generate)",INDIRECT("'"&amp;$A18&amp;"'!$A$12:$Z$12"),0),0)),"ER"))</f>
        <v>2.5</v>
      </c>
      <c r="H18" s="0" t="str">
        <f aca="true">IF($F18=0,"NA",IF($A18=INDIRECT("'"&amp;$A18&amp;"'!$B$1"),IF(VLOOKUP(H$1,INDIRECT("'"&amp;$A18&amp;"'!$A$12:$Z$19"),MATCH("Points (Auto-generate)",INDIRECT("'"&amp;$A18&amp;"'!$A$12:$Z$12"),0),0)="","?",VLOOKUP(H$1,INDIRECT("'"&amp;$A18&amp;"'!$A$12:$Z$19"),MATCH("Points (Auto-generate)",INDIRECT("'"&amp;$A18&amp;"'!$A$12:$Z$12"),0),0)),"ER"))</f>
        <v>NA</v>
      </c>
      <c r="I18" s="0" t="str">
        <f aca="true">IF($F18=0,"NA",IF($A18=INDIRECT("'"&amp;$A18&amp;"'!$B$1"),IF(VLOOKUP(I$1,INDIRECT("'"&amp;$A18&amp;"'!$A$12:$Z$19"),MATCH("Points (Auto-generate)",INDIRECT("'"&amp;$A18&amp;"'!$A$12:$Z$12"),0),0)="","?",VLOOKUP(I$1,INDIRECT("'"&amp;$A18&amp;"'!$A$12:$Z$19"),MATCH("Points (Auto-generate)",INDIRECT("'"&amp;$A18&amp;"'!$A$12:$Z$12"),0),0)),"ER"))</f>
        <v>NA</v>
      </c>
      <c r="J18" s="0" t="str">
        <f aca="true">IF($F18=0,"NA",IF($A18=INDIRECT("'"&amp;$A18&amp;"'!$B$1"),IF(VLOOKUP(J$1,INDIRECT("'"&amp;$A18&amp;"'!$A$12:$Z$19"),MATCH("Points (Auto-generate)",INDIRECT("'"&amp;$A18&amp;"'!$A$12:$Z$12"),0),0)="","?",VLOOKUP(J$1,INDIRECT("'"&amp;$A18&amp;"'!$A$12:$Z$19"),MATCH("Points (Auto-generate)",INDIRECT("'"&amp;$A18&amp;"'!$A$12:$Z$12"),0),0)),"ER"))</f>
        <v>NA</v>
      </c>
      <c r="K18" s="0" t="str">
        <f aca="true">IF($F18=0,"NA",IF($A18=INDIRECT("'"&amp;$A18&amp;"'!$B$1"),IF(VLOOKUP(K$1,INDIRECT("'"&amp;$A18&amp;"'!$A$12:$Z$19"),MATCH("Points (Auto-generate)",INDIRECT("'"&amp;$A18&amp;"'!$A$12:$Z$12"),0),0)="","?",VLOOKUP(K$1,INDIRECT("'"&amp;$A18&amp;"'!$A$12:$Z$19"),MATCH("Points (Auto-generate)",INDIRECT("'"&amp;$A18&amp;"'!$A$12:$Z$12"),0),0)),"ER"))</f>
        <v>NA</v>
      </c>
      <c r="L18" s="0" t="str">
        <f aca="true">IF($F18=0,"NA",IF($A18=INDIRECT("'"&amp;$A18&amp;"'!$B$1"),IF(VLOOKUP(L$1,INDIRECT("'"&amp;$A18&amp;"'!$A$12:$Z$19"),MATCH("Points (Auto-generate)",INDIRECT("'"&amp;$A18&amp;"'!$A$12:$Z$12"),0),0)="","?",VLOOKUP(L$1,INDIRECT("'"&amp;$A18&amp;"'!$A$12:$Z$19"),MATCH("Points (Auto-generate)",INDIRECT("'"&amp;$A18&amp;"'!$A$12:$Z$12"),0),0)),"ER"))</f>
        <v>NA</v>
      </c>
      <c r="M18" s="0"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false" outlineLevel="0" collapsed="false">
      <c r="A19" s="0" t="s">
        <v>91</v>
      </c>
      <c r="B19" s="0" t="str">
        <f aca="false">VLOOKUP($A19,'PARASTATAL Questions'!$A:$J,3,0)&amp;""</f>
        <v>Urban Planning &amp; Design (UPD)</v>
      </c>
      <c r="C19" s="0" t="str">
        <f aca="false">VLOOKUP($A19,'PARASTATAL Questions'!$A:$J,4,0)&amp;""</f>
        <v>SQ</v>
      </c>
      <c r="D19" s="0" t="str">
        <f aca="false">VLOOKUP($A19,'PARASTATAL Questions'!$A:$J,5,0)&amp;""</f>
        <v>Does the water supply board actually consider environmental sustainability in planning and delivering water and sanitation services?</v>
      </c>
      <c r="E19" s="0" t="str">
        <f aca="false">VLOOKUP($A19,'PARASTATAL Questions'!$A:$J,7,0)&amp;""</f>
        <v>Implementation</v>
      </c>
      <c r="F19" s="0" t="n">
        <f aca="false">VLOOKUP($A19,'PARASTATAL Questions'!$A:$J,6,0)</f>
        <v>5</v>
      </c>
      <c r="G19" s="0" t="n">
        <f aca="true">IF($F19=0,"NA",IF($A19=INDIRECT("'"&amp;$A19&amp;"'!$B$1"),IF(VLOOKUP(G$1,INDIRECT("'"&amp;$A19&amp;"'!$A$12:$Z$19"),MATCH("Points (Auto-generate)",INDIRECT("'"&amp;$A19&amp;"'!$A$12:$Z$12"),0),0)="","?",VLOOKUP(G$1,INDIRECT("'"&amp;$A19&amp;"'!$A$12:$Z$19"),MATCH("Points (Auto-generate)",INDIRECT("'"&amp;$A19&amp;"'!$A$12:$Z$12"),0),0)),"ER"))</f>
        <v>5</v>
      </c>
      <c r="H19" s="0" t="str">
        <f aca="true">IF($F19=0,"NA",IF($A19=INDIRECT("'"&amp;$A19&amp;"'!$B$1"),IF(VLOOKUP(H$1,INDIRECT("'"&amp;$A19&amp;"'!$A$12:$Z$19"),MATCH("Points (Auto-generate)",INDIRECT("'"&amp;$A19&amp;"'!$A$12:$Z$12"),0),0)="","?",VLOOKUP(H$1,INDIRECT("'"&amp;$A19&amp;"'!$A$12:$Z$19"),MATCH("Points (Auto-generate)",INDIRECT("'"&amp;$A19&amp;"'!$A$12:$Z$12"),0),0)),"ER"))</f>
        <v>NA</v>
      </c>
      <c r="I19" s="0" t="str">
        <f aca="true">IF($F19=0,"NA",IF($A19=INDIRECT("'"&amp;$A19&amp;"'!$B$1"),IF(VLOOKUP(I$1,INDIRECT("'"&amp;$A19&amp;"'!$A$12:$Z$19"),MATCH("Points (Auto-generate)",INDIRECT("'"&amp;$A19&amp;"'!$A$12:$Z$12"),0),0)="","?",VLOOKUP(I$1,INDIRECT("'"&amp;$A19&amp;"'!$A$12:$Z$19"),MATCH("Points (Auto-generate)",INDIRECT("'"&amp;$A19&amp;"'!$A$12:$Z$12"),0),0)),"ER"))</f>
        <v>NA</v>
      </c>
      <c r="J19" s="0" t="str">
        <f aca="true">IF($F19=0,"NA",IF($A19=INDIRECT("'"&amp;$A19&amp;"'!$B$1"),IF(VLOOKUP(J$1,INDIRECT("'"&amp;$A19&amp;"'!$A$12:$Z$19"),MATCH("Points (Auto-generate)",INDIRECT("'"&amp;$A19&amp;"'!$A$12:$Z$12"),0),0)="","?",VLOOKUP(J$1,INDIRECT("'"&amp;$A19&amp;"'!$A$12:$Z$19"),MATCH("Points (Auto-generate)",INDIRECT("'"&amp;$A19&amp;"'!$A$12:$Z$12"),0),0)),"ER"))</f>
        <v>NA</v>
      </c>
      <c r="K19" s="0" t="str">
        <f aca="true">IF($F19=0,"NA",IF($A19=INDIRECT("'"&amp;$A19&amp;"'!$B$1"),IF(VLOOKUP(K$1,INDIRECT("'"&amp;$A19&amp;"'!$A$12:$Z$19"),MATCH("Points (Auto-generate)",INDIRECT("'"&amp;$A19&amp;"'!$A$12:$Z$12"),0),0)="","?",VLOOKUP(K$1,INDIRECT("'"&amp;$A19&amp;"'!$A$12:$Z$19"),MATCH("Points (Auto-generate)",INDIRECT("'"&amp;$A19&amp;"'!$A$12:$Z$12"),0),0)),"ER"))</f>
        <v>NA</v>
      </c>
      <c r="L19" s="0" t="str">
        <f aca="true">IF($F19=0,"NA",IF($A19=INDIRECT("'"&amp;$A19&amp;"'!$B$1"),IF(VLOOKUP(L$1,INDIRECT("'"&amp;$A19&amp;"'!$A$12:$Z$19"),MATCH("Points (Auto-generate)",INDIRECT("'"&amp;$A19&amp;"'!$A$12:$Z$12"),0),0)="","?",VLOOKUP(L$1,INDIRECT("'"&amp;$A19&amp;"'!$A$12:$Z$19"),MATCH("Points (Auto-generate)",INDIRECT("'"&amp;$A19&amp;"'!$A$12:$Z$12"),0),0)),"ER"))</f>
        <v>NA</v>
      </c>
      <c r="M19" s="0"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false" outlineLevel="0" collapsed="false">
      <c r="A20" s="8" t="s">
        <v>440</v>
      </c>
      <c r="B20" s="8" t="str">
        <f aca="false">VLOOKUP($A20,'PARASTATAL Questions'!$A:$J,3,0)&amp;""</f>
        <v>Urban Planning &amp; Design (UPD)</v>
      </c>
      <c r="C20" s="8" t="str">
        <f aca="false">VLOOKUP($A20,'PARASTATAL Questions'!$A:$J,4,0)&amp;""</f>
        <v>MQ</v>
      </c>
      <c r="D20" s="8" t="str">
        <f aca="false">VLOOKUP($A20,'PARASTATAL Questions'!$A:$J,5,0)&amp;""</f>
        <v>Are environmental considerations explicitly required to be integrated into the transport corporation’s planning, service-delivery or major investment decisions?</v>
      </c>
      <c r="E20" s="8" t="str">
        <f aca="false">VLOOKUP($A20,'PARASTATAL Questions'!$A:$J,7,0)&amp;""</f>
        <v/>
      </c>
      <c r="F20" s="8" t="n">
        <f aca="false">VLOOKUP($A20,'PARASTATAL Questions'!$A:$J,6,0)</f>
        <v>10</v>
      </c>
      <c r="G20" s="8" t="str">
        <f aca="false">IF(OR(G21="ER",G22="ER"),"ER",IF(OR(G21="?",G22="?"),"?",IF(AND(G21="NA",G22="NA"),"NA",SUM(G21,G22)/((G21&lt;&gt;"NA")*$F$21+(G22&lt;&gt;"NA")*$F$22)*$F20)))</f>
        <v>NA</v>
      </c>
      <c r="H20" s="8" t="n">
        <f aca="false">IF(OR(H21="ER",H22="ER"),"ER",IF(OR(H21="?",H22="?"),"?",IF(AND(H21="NA",H22="NA"),"NA",SUM(H21,H22)/((H21&lt;&gt;"NA")*$F$21+(H22&lt;&gt;"NA")*$F$22)*$F20)))</f>
        <v>3.75</v>
      </c>
      <c r="I20" s="8" t="str">
        <f aca="false">IF(OR(I21="ER",I22="ER"),"ER",IF(OR(I21="?",I22="?"),"?",IF(AND(I21="NA",I22="NA"),"NA",SUM(I21,I22)/((I21&lt;&gt;"NA")*$F$21+(I22&lt;&gt;"NA")*$F$22)*$F20)))</f>
        <v>NA</v>
      </c>
      <c r="J20" s="8" t="str">
        <f aca="false">IF(OR(J21="ER",J22="ER"),"ER",IF(OR(J21="?",J22="?"),"?",IF(AND(J21="NA",J22="NA"),"NA",SUM(J21,J22)/((J21&lt;&gt;"NA")*$F$21+(J22&lt;&gt;"NA")*$F$22)*$F20)))</f>
        <v>NA</v>
      </c>
      <c r="K20" s="8" t="str">
        <f aca="false">IF(OR(K21="ER",K22="ER"),"ER",IF(OR(K21="?",K22="?"),"?",IF(AND(K21="NA",K22="NA"),"NA",SUM(K21,K22)/((K21&lt;&gt;"NA")*$F$21+(K22&lt;&gt;"NA")*$F$22)*$F20)))</f>
        <v>NA</v>
      </c>
      <c r="L20" s="8" t="str">
        <f aca="false">IF(OR(L21="ER",L22="ER"),"ER",IF(OR(L21="?",L22="?"),"?",IF(AND(L21="NA",L22="NA"),"NA",SUM(L21,L22)/((L21&lt;&gt;"NA")*$F$21+(L22&lt;&gt;"NA")*$F$22)*$F20)))</f>
        <v>NA</v>
      </c>
      <c r="M20" s="8" t="str">
        <f aca="false">IF(OR(M21="ER",M22="ER"),"ER",IF(OR(M21="?",M22="?"),"?",IF(AND(M21="NA",M22="NA"),"NA",SUM(M21,M22)/((M21&lt;&gt;"NA")*$F$21+(M22&lt;&gt;"NA")*$F$22)*$F20)))</f>
        <v>NA</v>
      </c>
    </row>
    <row r="21" customFormat="false" ht="15" hidden="false" customHeight="false" outlineLevel="0" collapsed="false">
      <c r="A21" s="0" t="s">
        <v>97</v>
      </c>
      <c r="B21" s="0" t="str">
        <f aca="false">VLOOKUP($A21,'PARASTATAL Questions'!$A:$J,3,0)&amp;""</f>
        <v>Urban Planning &amp; Design (UPD)</v>
      </c>
      <c r="C21" s="0" t="str">
        <f aca="false">VLOOKUP($A21,'PARASTATAL Questions'!$A:$J,4,0)&amp;""</f>
        <v>SQ</v>
      </c>
      <c r="D21" s="0" t="str">
        <f aca="false">VLOOKUP($A21,'PARASTATAL Questions'!$A:$J,5,0)&amp;""</f>
        <v>Is the transport corporation mandated to consider environmental sustainability in planning and delivering urban transport services and investments?</v>
      </c>
      <c r="E21" s="0" t="str">
        <f aca="false">VLOOKUP($A21,'PARASTATAL Questions'!$A:$J,7,0)&amp;""</f>
        <v>Law/Policy</v>
      </c>
      <c r="F21" s="0" t="n">
        <f aca="false">VLOOKUP($A21,'PARASTATAL Questions'!$A:$J,6,0)</f>
        <v>5</v>
      </c>
      <c r="G21" s="0" t="str">
        <f aca="true">IF($F21=0,"NA",IF($A21=INDIRECT("'"&amp;$A21&amp;"'!$B$1"),IF(VLOOKUP(G$1,INDIRECT("'"&amp;$A21&amp;"'!$A$12:$Z$19"),MATCH("Points (Auto-generate)",INDIRECT("'"&amp;$A21&amp;"'!$A$12:$Z$12"),0),0)="","?",VLOOKUP(G$1,INDIRECT("'"&amp;$A21&amp;"'!$A$12:$Z$19"),MATCH("Points (Auto-generate)",INDIRECT("'"&amp;$A21&amp;"'!$A$12:$Z$12"),0),0)),"ER"))</f>
        <v>NA</v>
      </c>
      <c r="H21" s="0" t="n">
        <f aca="true">IF($F21=0,"NA",IF($A21=INDIRECT("'"&amp;$A21&amp;"'!$B$1"),IF(VLOOKUP(H$1,INDIRECT("'"&amp;$A21&amp;"'!$A$12:$Z$19"),MATCH("Points (Auto-generate)",INDIRECT("'"&amp;$A21&amp;"'!$A$12:$Z$12"),0),0)="","?",VLOOKUP(H$1,INDIRECT("'"&amp;$A21&amp;"'!$A$12:$Z$19"),MATCH("Points (Auto-generate)",INDIRECT("'"&amp;$A21&amp;"'!$A$12:$Z$12"),0),0)),"ER"))</f>
        <v>2.5</v>
      </c>
      <c r="I21" s="0" t="str">
        <f aca="true">IF($F21=0,"NA",IF($A21=INDIRECT("'"&amp;$A21&amp;"'!$B$1"),IF(VLOOKUP(I$1,INDIRECT("'"&amp;$A21&amp;"'!$A$12:$Z$19"),MATCH("Points (Auto-generate)",INDIRECT("'"&amp;$A21&amp;"'!$A$12:$Z$12"),0),0)="","?",VLOOKUP(I$1,INDIRECT("'"&amp;$A21&amp;"'!$A$12:$Z$19"),MATCH("Points (Auto-generate)",INDIRECT("'"&amp;$A21&amp;"'!$A$12:$Z$12"),0),0)),"ER"))</f>
        <v>NA</v>
      </c>
      <c r="J21" s="0" t="str">
        <f aca="true">IF($F21=0,"NA",IF($A21=INDIRECT("'"&amp;$A21&amp;"'!$B$1"),IF(VLOOKUP(J$1,INDIRECT("'"&amp;$A21&amp;"'!$A$12:$Z$19"),MATCH("Points (Auto-generate)",INDIRECT("'"&amp;$A21&amp;"'!$A$12:$Z$12"),0),0)="","?",VLOOKUP(J$1,INDIRECT("'"&amp;$A21&amp;"'!$A$12:$Z$19"),MATCH("Points (Auto-generate)",INDIRECT("'"&amp;$A21&amp;"'!$A$12:$Z$12"),0),0)),"ER"))</f>
        <v>NA</v>
      </c>
      <c r="K21" s="0" t="str">
        <f aca="true">IF($F21=0,"NA",IF($A21=INDIRECT("'"&amp;$A21&amp;"'!$B$1"),IF(VLOOKUP(K$1,INDIRECT("'"&amp;$A21&amp;"'!$A$12:$Z$19"),MATCH("Points (Auto-generate)",INDIRECT("'"&amp;$A21&amp;"'!$A$12:$Z$12"),0),0)="","?",VLOOKUP(K$1,INDIRECT("'"&amp;$A21&amp;"'!$A$12:$Z$19"),MATCH("Points (Auto-generate)",INDIRECT("'"&amp;$A21&amp;"'!$A$12:$Z$12"),0),0)),"ER"))</f>
        <v>NA</v>
      </c>
      <c r="L21" s="0" t="str">
        <f aca="true">IF($F21=0,"NA",IF($A21=INDIRECT("'"&amp;$A21&amp;"'!$B$1"),IF(VLOOKUP(L$1,INDIRECT("'"&amp;$A21&amp;"'!$A$12:$Z$19"),MATCH("Points (Auto-generate)",INDIRECT("'"&amp;$A21&amp;"'!$A$12:$Z$12"),0),0)="","?",VLOOKUP(L$1,INDIRECT("'"&amp;$A21&amp;"'!$A$12:$Z$19"),MATCH("Points (Auto-generate)",INDIRECT("'"&amp;$A21&amp;"'!$A$12:$Z$12"),0),0)),"ER"))</f>
        <v>NA</v>
      </c>
      <c r="M21" s="0"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false" outlineLevel="0" collapsed="false">
      <c r="A22" s="0" t="s">
        <v>101</v>
      </c>
      <c r="B22" s="0" t="str">
        <f aca="false">VLOOKUP($A22,'PARASTATAL Questions'!$A:$J,3,0)&amp;""</f>
        <v>Urban Planning &amp; Design (UPD)</v>
      </c>
      <c r="C22" s="0" t="str">
        <f aca="false">VLOOKUP($A22,'PARASTATAL Questions'!$A:$J,4,0)&amp;""</f>
        <v>SQ</v>
      </c>
      <c r="D22" s="0" t="str">
        <f aca="false">VLOOKUP($A22,'PARASTATAL Questions'!$A:$J,5,0)&amp;""</f>
        <v>Does the transport corporation actually considers environmental sustainability in planning and delivering urban transport services and investments?</v>
      </c>
      <c r="E22" s="0" t="str">
        <f aca="false">VLOOKUP($A22,'PARASTATAL Questions'!$A:$J,7,0)&amp;""</f>
        <v>Implementation</v>
      </c>
      <c r="F22" s="0" t="n">
        <f aca="false">VLOOKUP($A22,'PARASTATAL Questions'!$A:$J,6,0)</f>
        <v>5</v>
      </c>
      <c r="G22" s="0" t="str">
        <f aca="true">IF($F22=0,"NA",IF($A22=INDIRECT("'"&amp;$A22&amp;"'!$B$1"),IF(VLOOKUP(G$1,INDIRECT("'"&amp;$A22&amp;"'!$A$12:$Z$19"),MATCH("Points (Auto-generate)",INDIRECT("'"&amp;$A22&amp;"'!$A$12:$Z$12"),0),0)="","?",VLOOKUP(G$1,INDIRECT("'"&amp;$A22&amp;"'!$A$12:$Z$19"),MATCH("Points (Auto-generate)",INDIRECT("'"&amp;$A22&amp;"'!$A$12:$Z$12"),0),0)),"ER"))</f>
        <v>NA</v>
      </c>
      <c r="H22" s="0" t="n">
        <f aca="true">IF($F22=0,"NA",IF($A22=INDIRECT("'"&amp;$A22&amp;"'!$B$1"),IF(VLOOKUP(H$1,INDIRECT("'"&amp;$A22&amp;"'!$A$12:$Z$19"),MATCH("Points (Auto-generate)",INDIRECT("'"&amp;$A22&amp;"'!$A$12:$Z$12"),0),0)="","?",VLOOKUP(H$1,INDIRECT("'"&amp;$A22&amp;"'!$A$12:$Z$19"),MATCH("Points (Auto-generate)",INDIRECT("'"&amp;$A22&amp;"'!$A$12:$Z$12"),0),0)),"ER"))</f>
        <v>1.25</v>
      </c>
      <c r="I22" s="0" t="str">
        <f aca="true">IF($F22=0,"NA",IF($A22=INDIRECT("'"&amp;$A22&amp;"'!$B$1"),IF(VLOOKUP(I$1,INDIRECT("'"&amp;$A22&amp;"'!$A$12:$Z$19"),MATCH("Points (Auto-generate)",INDIRECT("'"&amp;$A22&amp;"'!$A$12:$Z$12"),0),0)="","?",VLOOKUP(I$1,INDIRECT("'"&amp;$A22&amp;"'!$A$12:$Z$19"),MATCH("Points (Auto-generate)",INDIRECT("'"&amp;$A22&amp;"'!$A$12:$Z$12"),0),0)),"ER"))</f>
        <v>NA</v>
      </c>
      <c r="J22" s="0" t="str">
        <f aca="true">IF($F22=0,"NA",IF($A22=INDIRECT("'"&amp;$A22&amp;"'!$B$1"),IF(VLOOKUP(J$1,INDIRECT("'"&amp;$A22&amp;"'!$A$12:$Z$19"),MATCH("Points (Auto-generate)",INDIRECT("'"&amp;$A22&amp;"'!$A$12:$Z$12"),0),0)="","?",VLOOKUP(J$1,INDIRECT("'"&amp;$A22&amp;"'!$A$12:$Z$19"),MATCH("Points (Auto-generate)",INDIRECT("'"&amp;$A22&amp;"'!$A$12:$Z$12"),0),0)),"ER"))</f>
        <v>NA</v>
      </c>
      <c r="K22" s="0" t="str">
        <f aca="true">IF($F22=0,"NA",IF($A22=INDIRECT("'"&amp;$A22&amp;"'!$B$1"),IF(VLOOKUP(K$1,INDIRECT("'"&amp;$A22&amp;"'!$A$12:$Z$19"),MATCH("Points (Auto-generate)",INDIRECT("'"&amp;$A22&amp;"'!$A$12:$Z$12"),0),0)="","?",VLOOKUP(K$1,INDIRECT("'"&amp;$A22&amp;"'!$A$12:$Z$19"),MATCH("Points (Auto-generate)",INDIRECT("'"&amp;$A22&amp;"'!$A$12:$Z$12"),0),0)),"ER"))</f>
        <v>NA</v>
      </c>
      <c r="L22" s="0" t="str">
        <f aca="true">IF($F22=0,"NA",IF($A22=INDIRECT("'"&amp;$A22&amp;"'!$B$1"),IF(VLOOKUP(L$1,INDIRECT("'"&amp;$A22&amp;"'!$A$12:$Z$19"),MATCH("Points (Auto-generate)",INDIRECT("'"&amp;$A22&amp;"'!$A$12:$Z$12"),0),0)="","?",VLOOKUP(L$1,INDIRECT("'"&amp;$A22&amp;"'!$A$12:$Z$19"),MATCH("Points (Auto-generate)",INDIRECT("'"&amp;$A22&amp;"'!$A$12:$Z$12"),0),0)),"ER"))</f>
        <v>NA</v>
      </c>
      <c r="M22" s="0"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false" outlineLevel="0" collapsed="false">
      <c r="A23" s="8" t="s">
        <v>441</v>
      </c>
      <c r="B23" s="8" t="str">
        <f aca="false">VLOOKUP($A23,'PARASTATAL Questions'!$A:$J,3,0)&amp;""</f>
        <v>Decentralised Participatory Governance</v>
      </c>
      <c r="C23" s="8" t="str">
        <f aca="false">VLOOKUP($A23,'PARASTATAL Questions'!$A:$J,4,0)&amp;""</f>
        <v>MQ</v>
      </c>
      <c r="D23" s="8" t="str">
        <f aca="false">VLOOKUP($A23,'PARASTATAL Questions'!$A:$J,5,0)&amp;""</f>
        <v>Are the functions and geographical jurisdiction of the parastatal clearly defined vis-à-vis the ULG and other relevant agencies?</v>
      </c>
      <c r="E23" s="8" t="str">
        <f aca="false">VLOOKUP($A23,'PARASTATAL Questions'!$A:$J,7,0)&amp;""</f>
        <v>Institutional Design</v>
      </c>
      <c r="F23" s="8" t="n">
        <f aca="false">VLOOKUP($A23,'PARASTATAL Questions'!$A:$J,6,0)</f>
        <v>10</v>
      </c>
      <c r="G23" s="8" t="n">
        <f aca="false">IF(OR(G24="ER",G25="ER"),"ER",IF(OR(G24="?",G25="?"),"?",IF(AND(G24="NA",G25="NA"),"NA",SUM(G24,G25)/((G24&lt;&gt;"NA")*$F$24+(G25&lt;&gt;"NA")*$F$25)*$F23)))</f>
        <v>2.5</v>
      </c>
      <c r="H23" s="8" t="str">
        <f aca="false">IF(OR(H24="ER",H25="ER"),"ER",IF(OR(H24="?",H25="?"),"?",IF(AND(H24="NA",H25="NA"),"NA",SUM(H24,H25)/((H24&lt;&gt;"NA")*$F$24+(H25&lt;&gt;"NA")*$F$25)*$F23)))</f>
        <v>?</v>
      </c>
      <c r="I23" s="8" t="n">
        <f aca="false">IF(OR(I24="ER",I25="ER"),"ER",IF(OR(I24="?",I25="?"),"?",IF(AND(I24="NA",I25="NA"),"NA",SUM(I24,I25)/((I24&lt;&gt;"NA")*$F$24+(I25&lt;&gt;"NA")*$F$25)*$F23)))</f>
        <v>2.5</v>
      </c>
      <c r="J23" s="8" t="n">
        <f aca="false">IF(OR(J24="ER",J25="ER"),"ER",IF(OR(J24="?",J25="?"),"?",IF(AND(J24="NA",J25="NA"),"NA",SUM(J24,J25)/((J24&lt;&gt;"NA")*$F$24+(J25&lt;&gt;"NA")*$F$25)*$F23)))</f>
        <v>7.5</v>
      </c>
      <c r="K23" s="8" t="str">
        <f aca="false">IF(OR(K24="ER",K25="ER"),"ER",IF(OR(K24="?",K25="?"),"?",IF(AND(K24="NA",K25="NA"),"NA",SUM(K24,K25)/((K24&lt;&gt;"NA")*$F$24+(K25&lt;&gt;"NA")*$F$25)*$F23)))</f>
        <v>?</v>
      </c>
      <c r="L23" s="8" t="str">
        <f aca="false">IF(OR(L24="ER",L25="ER"),"ER",IF(OR(L24="?",L25="?"),"?",IF(AND(L24="NA",L25="NA"),"NA",SUM(L24,L25)/((L24&lt;&gt;"NA")*$F$24+(L25&lt;&gt;"NA")*$F$25)*$F23)))</f>
        <v>?</v>
      </c>
      <c r="M23" s="8" t="str">
        <f aca="false">IF(OR(M24="ER",M25="ER"),"ER",IF(OR(M24="?",M25="?"),"?",IF(AND(M24="NA",M25="NA"),"NA",SUM(M24,M25)/((M24&lt;&gt;"NA")*$F$24+(M25&lt;&gt;"NA")*$F$25)*$F23)))</f>
        <v>?</v>
      </c>
    </row>
    <row r="24" customFormat="false" ht="15" hidden="false" customHeight="false" outlineLevel="0" collapsed="false">
      <c r="A24" s="0" t="s">
        <v>103</v>
      </c>
      <c r="B24" s="0" t="str">
        <f aca="false">VLOOKUP($A24,'PARASTATAL Questions'!$A:$J,3,0)&amp;""</f>
        <v>Decentralised Participatory Governance</v>
      </c>
      <c r="C24" s="0" t="str">
        <f aca="false">VLOOKUP($A24,'PARASTATAL Questions'!$A:$J,4,0)&amp;""</f>
        <v>SQ</v>
      </c>
      <c r="D24" s="0" t="str">
        <f aca="false">VLOOKUP($A24,'PARASTATAL Questions'!$A:$J,5,0)&amp;""</f>
        <v>Does the legal framework clearly demarcate the functions/responsibilities of the parastatal vis-à-vis the ULG?</v>
      </c>
      <c r="E24" s="0" t="str">
        <f aca="false">VLOOKUP($A24,'PARASTATAL Questions'!$A:$J,7,0)&amp;""</f>
        <v>Institutional Design</v>
      </c>
      <c r="F24" s="0" t="n">
        <f aca="false">VLOOKUP($A24,'PARASTATAL Questions'!$A:$J,6,0)</f>
        <v>5</v>
      </c>
      <c r="G24" s="0" t="n">
        <f aca="true">IF($F24=0,"NA",IF($A24=INDIRECT("'"&amp;$A24&amp;"'!$B$1"),IF(VLOOKUP(G$1,INDIRECT("'"&amp;$A24&amp;"'!$A$12:$Z$19"),MATCH("Points (Auto-generate)",INDIRECT("'"&amp;$A24&amp;"'!$A$12:$Z$12"),0),0)="","?",VLOOKUP(G$1,INDIRECT("'"&amp;$A24&amp;"'!$A$12:$Z$19"),MATCH("Points (Auto-generate)",INDIRECT("'"&amp;$A24&amp;"'!$A$12:$Z$12"),0),0)),"ER"))</f>
        <v>0</v>
      </c>
      <c r="H24" s="0" t="str">
        <f aca="true">IF($F24=0,"NA",IF($A24=INDIRECT("'"&amp;$A24&amp;"'!$B$1"),IF(VLOOKUP(H$1,INDIRECT("'"&amp;$A24&amp;"'!$A$12:$Z$19"),MATCH("Points (Auto-generate)",INDIRECT("'"&amp;$A24&amp;"'!$A$12:$Z$12"),0),0)="","?",VLOOKUP(H$1,INDIRECT("'"&amp;$A24&amp;"'!$A$12:$Z$19"),MATCH("Points (Auto-generate)",INDIRECT("'"&amp;$A24&amp;"'!$A$12:$Z$12"),0),0)),"ER"))</f>
        <v>?</v>
      </c>
      <c r="I24" s="0" t="n">
        <f aca="true">IF($F24=0,"NA",IF($A24=INDIRECT("'"&amp;$A24&amp;"'!$B$1"),IF(VLOOKUP(I$1,INDIRECT("'"&amp;$A24&amp;"'!$A$12:$Z$19"),MATCH("Points (Auto-generate)",INDIRECT("'"&amp;$A24&amp;"'!$A$12:$Z$12"),0),0)="","?",VLOOKUP(I$1,INDIRECT("'"&amp;$A24&amp;"'!$A$12:$Z$19"),MATCH("Points (Auto-generate)",INDIRECT("'"&amp;$A24&amp;"'!$A$12:$Z$12"),0),0)),"ER"))</f>
        <v>0</v>
      </c>
      <c r="J24" s="0" t="n">
        <f aca="true">IF($F24=0,"NA",IF($A24=INDIRECT("'"&amp;$A24&amp;"'!$B$1"),IF(VLOOKUP(J$1,INDIRECT("'"&amp;$A24&amp;"'!$A$12:$Z$19"),MATCH("Points (Auto-generate)",INDIRECT("'"&amp;$A24&amp;"'!$A$12:$Z$12"),0),0)="","?",VLOOKUP(J$1,INDIRECT("'"&amp;$A24&amp;"'!$A$12:$Z$19"),MATCH("Points (Auto-generate)",INDIRECT("'"&amp;$A24&amp;"'!$A$12:$Z$12"),0),0)),"ER"))</f>
        <v>5</v>
      </c>
      <c r="K24" s="0" t="str">
        <f aca="true">IF($F24=0,"NA",IF($A24=INDIRECT("'"&amp;$A24&amp;"'!$B$1"),IF(VLOOKUP(K$1,INDIRECT("'"&amp;$A24&amp;"'!$A$12:$Z$19"),MATCH("Points (Auto-generate)",INDIRECT("'"&amp;$A24&amp;"'!$A$12:$Z$12"),0),0)="","?",VLOOKUP(K$1,INDIRECT("'"&amp;$A24&amp;"'!$A$12:$Z$19"),MATCH("Points (Auto-generate)",INDIRECT("'"&amp;$A24&amp;"'!$A$12:$Z$12"),0),0)),"ER"))</f>
        <v>?</v>
      </c>
      <c r="L24" s="0" t="str">
        <f aca="true">IF($F24=0,"NA",IF($A24=INDIRECT("'"&amp;$A24&amp;"'!$B$1"),IF(VLOOKUP(L$1,INDIRECT("'"&amp;$A24&amp;"'!$A$12:$Z$19"),MATCH("Points (Auto-generate)",INDIRECT("'"&amp;$A24&amp;"'!$A$12:$Z$12"),0),0)="","?",VLOOKUP(L$1,INDIRECT("'"&amp;$A24&amp;"'!$A$12:$Z$19"),MATCH("Points (Auto-generate)",INDIRECT("'"&amp;$A24&amp;"'!$A$12:$Z$12"),0),0)),"ER"))</f>
        <v>?</v>
      </c>
      <c r="M24" s="0" t="str">
        <f aca="true">IF($F24=0,"NA",IF($A24=INDIRECT("'"&amp;$A24&amp;"'!$B$1"),IF(VLOOKUP(M$1,INDIRECT("'"&amp;$A24&amp;"'!$A$12:$Z$19"),MATCH("Points (Auto-generate)",INDIRECT("'"&amp;$A24&amp;"'!$A$12:$Z$12"),0),0)="","?",VLOOKUP(M$1,INDIRECT("'"&amp;$A24&amp;"'!$A$12:$Z$19"),MATCH("Points (Auto-generate)",INDIRECT("'"&amp;$A24&amp;"'!$A$12:$Z$12"),0),0)),"ER"))</f>
        <v>?</v>
      </c>
    </row>
    <row r="25" customFormat="false" ht="15" hidden="false" customHeight="false" outlineLevel="0" collapsed="false">
      <c r="A25" s="0" t="s">
        <v>122</v>
      </c>
      <c r="B25" s="0" t="str">
        <f aca="false">VLOOKUP($A25,'PARASTATAL Questions'!$A:$J,3,0)&amp;""</f>
        <v>Decentralised Participatory Governance</v>
      </c>
      <c r="C25" s="0" t="str">
        <f aca="false">VLOOKUP($A25,'PARASTATAL Questions'!$A:$J,4,0)&amp;""</f>
        <v>SQ</v>
      </c>
      <c r="D25" s="0" t="str">
        <f aca="false">VLOOKUP($A25,'PARASTATAL Questions'!$A:$J,5,0)&amp;""</f>
        <v>Is the parastatal's territorial/geographic jurisdiction clearly and specifically defined in its enabling legal framework?</v>
      </c>
      <c r="E25" s="0" t="str">
        <f aca="false">VLOOKUP($A25,'PARASTATAL Questions'!$A:$J,7,0)&amp;""</f>
        <v>Institutional Design</v>
      </c>
      <c r="F25" s="0" t="n">
        <f aca="false">VLOOKUP($A25,'PARASTATAL Questions'!$A:$J,6,0)</f>
        <v>5</v>
      </c>
      <c r="G25" s="0" t="n">
        <f aca="true">IF($F25=0,"NA",IF($A25=INDIRECT("'"&amp;$A25&amp;"'!$B$1"),IF(VLOOKUP(G$1,INDIRECT("'"&amp;$A25&amp;"'!$A$12:$Z$19"),MATCH("Points (Auto-generate)",INDIRECT("'"&amp;$A25&amp;"'!$A$12:$Z$12"),0),0)="","?",VLOOKUP(G$1,INDIRECT("'"&amp;$A25&amp;"'!$A$12:$Z$19"),MATCH("Points (Auto-generate)",INDIRECT("'"&amp;$A25&amp;"'!$A$12:$Z$12"),0),0)),"ER"))</f>
        <v>2.5</v>
      </c>
      <c r="H25" s="0" t="str">
        <f aca="true">IF($F25=0,"NA",IF($A25=INDIRECT("'"&amp;$A25&amp;"'!$B$1"),IF(VLOOKUP(H$1,INDIRECT("'"&amp;$A25&amp;"'!$A$12:$Z$19"),MATCH("Points (Auto-generate)",INDIRECT("'"&amp;$A25&amp;"'!$A$12:$Z$12"),0),0)="","?",VLOOKUP(H$1,INDIRECT("'"&amp;$A25&amp;"'!$A$12:$Z$19"),MATCH("Points (Auto-generate)",INDIRECT("'"&amp;$A25&amp;"'!$A$12:$Z$12"),0),0)),"ER"))</f>
        <v>?</v>
      </c>
      <c r="I25" s="0" t="n">
        <f aca="true">IF($F25=0,"NA",IF($A25=INDIRECT("'"&amp;$A25&amp;"'!$B$1"),IF(VLOOKUP(I$1,INDIRECT("'"&amp;$A25&amp;"'!$A$12:$Z$19"),MATCH("Points (Auto-generate)",INDIRECT("'"&amp;$A25&amp;"'!$A$12:$Z$12"),0),0)="","?",VLOOKUP(I$1,INDIRECT("'"&amp;$A25&amp;"'!$A$12:$Z$19"),MATCH("Points (Auto-generate)",INDIRECT("'"&amp;$A25&amp;"'!$A$12:$Z$12"),0),0)),"ER"))</f>
        <v>2.5</v>
      </c>
      <c r="J25" s="0" t="n">
        <f aca="true">IF($F25=0,"NA",IF($A25=INDIRECT("'"&amp;$A25&amp;"'!$B$1"),IF(VLOOKUP(J$1,INDIRECT("'"&amp;$A25&amp;"'!$A$12:$Z$19"),MATCH("Points (Auto-generate)",INDIRECT("'"&amp;$A25&amp;"'!$A$12:$Z$12"),0),0)="","?",VLOOKUP(J$1,INDIRECT("'"&amp;$A25&amp;"'!$A$12:$Z$19"),MATCH("Points (Auto-generate)",INDIRECT("'"&amp;$A25&amp;"'!$A$12:$Z$12"),0),0)),"ER"))</f>
        <v>2.5</v>
      </c>
      <c r="K25" s="0" t="n">
        <f aca="true">IF($F25=0,"NA",IF($A25=INDIRECT("'"&amp;$A25&amp;"'!$B$1"),IF(VLOOKUP(K$1,INDIRECT("'"&amp;$A25&amp;"'!$A$12:$Z$19"),MATCH("Points (Auto-generate)",INDIRECT("'"&amp;$A25&amp;"'!$A$12:$Z$12"),0),0)="","?",VLOOKUP(K$1,INDIRECT("'"&amp;$A25&amp;"'!$A$12:$Z$19"),MATCH("Points (Auto-generate)",INDIRECT("'"&amp;$A25&amp;"'!$A$12:$Z$12"),0),0)),"ER"))</f>
        <v>5</v>
      </c>
      <c r="L25" s="0" t="str">
        <f aca="true">IF($F25=0,"NA",IF($A25=INDIRECT("'"&amp;$A25&amp;"'!$B$1"),IF(VLOOKUP(L$1,INDIRECT("'"&amp;$A25&amp;"'!$A$12:$Z$19"),MATCH("Points (Auto-generate)",INDIRECT("'"&amp;$A25&amp;"'!$A$12:$Z$12"),0),0)="","?",VLOOKUP(L$1,INDIRECT("'"&amp;$A25&amp;"'!$A$12:$Z$19"),MATCH("Points (Auto-generate)",INDIRECT("'"&amp;$A25&amp;"'!$A$12:$Z$12"),0),0)),"ER"))</f>
        <v>?</v>
      </c>
      <c r="M25" s="0" t="str">
        <f aca="true">IF($F25=0,"NA",IF($A25=INDIRECT("'"&amp;$A25&amp;"'!$B$1"),IF(VLOOKUP(M$1,INDIRECT("'"&amp;$A25&amp;"'!$A$12:$Z$19"),MATCH("Points (Auto-generate)",INDIRECT("'"&amp;$A25&amp;"'!$A$12:$Z$12"),0),0)="","?",VLOOKUP(M$1,INDIRECT("'"&amp;$A25&amp;"'!$A$12:$Z$19"),MATCH("Points (Auto-generate)",INDIRECT("'"&amp;$A25&amp;"'!$A$12:$Z$12"),0),0)),"ER"))</f>
        <v>?</v>
      </c>
    </row>
    <row r="26" customFormat="false" ht="15" hidden="false" customHeight="false" outlineLevel="0" collapsed="false">
      <c r="A26" s="8" t="s">
        <v>442</v>
      </c>
      <c r="B26" s="8" t="str">
        <f aca="false">VLOOKUP($A26,'PARASTATAL Questions'!$A:$J,3,0)&amp;""</f>
        <v>Decentralised Participatory Governance</v>
      </c>
      <c r="C26" s="8" t="str">
        <f aca="false">VLOOKUP($A26,'PARASTATAL Questions'!$A:$J,4,0)&amp;""</f>
        <v>MQ</v>
      </c>
      <c r="D26" s="8" t="str">
        <f aca="false">VLOOKUP($A26,'PARASTATAL Questions'!$A:$J,5,0)&amp;""</f>
        <v>Is the parastatal accountable to the ULG?</v>
      </c>
      <c r="E26" s="8" t="str">
        <f aca="false">VLOOKUP($A26,'PARASTATAL Questions'!$A:$J,7,0)&amp;""</f>
        <v>Institutional Design</v>
      </c>
      <c r="F26" s="8" t="n">
        <f aca="false">VLOOKUP($A26,'PARASTATAL Questions'!$A:$J,6,0)</f>
        <v>10</v>
      </c>
      <c r="G26" s="8" t="n">
        <f aca="false">IF(OR(G27="ER",G28="ER"),"ER",IF(OR(G27="?",G28="?"),"?",IF(AND(G27="NA",G28="NA"),"NA",SUM(G27,G28)/((G27&lt;&gt;"NA")*$F$27+(G28&lt;&gt;"NA")*$F$28)*$F26)))</f>
        <v>0</v>
      </c>
      <c r="H26" s="8" t="str">
        <f aca="false">IF(OR(H27="ER",H28="ER"),"ER",IF(OR(H27="?",H28="?"),"?",IF(AND(H27="NA",H28="NA"),"NA",SUM(H27,H28)/((H27&lt;&gt;"NA")*$F$27+(H28&lt;&gt;"NA")*$F$28)*$F26)))</f>
        <v>?</v>
      </c>
      <c r="I26" s="8" t="n">
        <f aca="false">IF(OR(I27="ER",I28="ER"),"ER",IF(OR(I27="?",I28="?"),"?",IF(AND(I27="NA",I28="NA"),"NA",SUM(I27,I28)/((I27&lt;&gt;"NA")*$F$27+(I28&lt;&gt;"NA")*$F$28)*$F26)))</f>
        <v>5</v>
      </c>
      <c r="J26" s="8" t="n">
        <f aca="false">IF(OR(J27="ER",J28="ER"),"ER",IF(OR(J27="?",J28="?"),"?",IF(AND(J27="NA",J28="NA"),"NA",SUM(J27,J28)/((J27&lt;&gt;"NA")*$F$27+(J28&lt;&gt;"NA")*$F$28)*$F26)))</f>
        <v>0</v>
      </c>
      <c r="K26" s="8" t="n">
        <f aca="false">IF(OR(K27="ER",K28="ER"),"ER",IF(OR(K27="?",K28="?"),"?",IF(AND(K27="NA",K28="NA"),"NA",SUM(K27,K28)/((K27&lt;&gt;"NA")*$F$27+(K28&lt;&gt;"NA")*$F$28)*$F26)))</f>
        <v>5</v>
      </c>
      <c r="L26" s="8" t="str">
        <f aca="false">IF(OR(L27="ER",L28="ER"),"ER",IF(OR(L27="?",L28="?"),"?",IF(AND(L27="NA",L28="NA"),"NA",SUM(L27,L28)/((L27&lt;&gt;"NA")*$F$27+(L28&lt;&gt;"NA")*$F$28)*$F26)))</f>
        <v>?</v>
      </c>
      <c r="M26" s="8" t="str">
        <f aca="false">IF(OR(M27="ER",M28="ER"),"ER",IF(OR(M27="?",M28="?"),"?",IF(AND(M27="NA",M28="NA"),"NA",SUM(M27,M28)/((M27&lt;&gt;"NA")*$F$27+(M28&lt;&gt;"NA")*$F$28)*$F26)))</f>
        <v>?</v>
      </c>
    </row>
    <row r="27" customFormat="false" ht="15" hidden="false" customHeight="false" outlineLevel="0" collapsed="false">
      <c r="A27" s="0" t="s">
        <v>137</v>
      </c>
      <c r="B27" s="0" t="str">
        <f aca="false">VLOOKUP($A27,'PARASTATAL Questions'!$A:$J,3,0)&amp;""</f>
        <v>Decentralised Participatory Governance</v>
      </c>
      <c r="C27" s="0" t="str">
        <f aca="false">VLOOKUP($A27,'PARASTATAL Questions'!$A:$J,4,0)&amp;""</f>
        <v>SQ</v>
      </c>
      <c r="D27" s="0" t="str">
        <f aca="false">VLOOKUP($A27,'PARASTATAL Questions'!$A:$J,5,0)&amp;""</f>
        <v>Does the ULG have representation on the parastatal's governing board?</v>
      </c>
      <c r="E27" s="0" t="str">
        <f aca="false">VLOOKUP($A27,'PARASTATAL Questions'!$A:$J,7,0)&amp;""</f>
        <v>Institutional Design</v>
      </c>
      <c r="F27" s="0" t="n">
        <f aca="false">VLOOKUP($A27,'PARASTATAL Questions'!$A:$J,6,0)</f>
        <v>5</v>
      </c>
      <c r="G27" s="0" t="n">
        <f aca="true">IF($F27=0,"NA",IF($A27=INDIRECT("'"&amp;$A27&amp;"'!$B$1"),IF(VLOOKUP(G$1,INDIRECT("'"&amp;$A27&amp;"'!$A$12:$Z$19"),MATCH("Points (Auto-generate)",INDIRECT("'"&amp;$A27&amp;"'!$A$12:$Z$12"),0),0)="","?",VLOOKUP(G$1,INDIRECT("'"&amp;$A27&amp;"'!$A$12:$Z$19"),MATCH("Points (Auto-generate)",INDIRECT("'"&amp;$A27&amp;"'!$A$12:$Z$12"),0),0)),"ER"))</f>
        <v>0</v>
      </c>
      <c r="H27" s="0" t="str">
        <f aca="true">IF($F27=0,"NA",IF($A27=INDIRECT("'"&amp;$A27&amp;"'!$B$1"),IF(VLOOKUP(H$1,INDIRECT("'"&amp;$A27&amp;"'!$A$12:$Z$19"),MATCH("Points (Auto-generate)",INDIRECT("'"&amp;$A27&amp;"'!$A$12:$Z$12"),0),0)="","?",VLOOKUP(H$1,INDIRECT("'"&amp;$A27&amp;"'!$A$12:$Z$19"),MATCH("Points (Auto-generate)",INDIRECT("'"&amp;$A27&amp;"'!$A$12:$Z$12"),0),0)),"ER"))</f>
        <v>?</v>
      </c>
      <c r="I27" s="0" t="n">
        <f aca="true">IF($F27=0,"NA",IF($A27=INDIRECT("'"&amp;$A27&amp;"'!$B$1"),IF(VLOOKUP(I$1,INDIRECT("'"&amp;$A27&amp;"'!$A$12:$Z$19"),MATCH("Points (Auto-generate)",INDIRECT("'"&amp;$A27&amp;"'!$A$12:$Z$12"),0),0)="","?",VLOOKUP(I$1,INDIRECT("'"&amp;$A27&amp;"'!$A$12:$Z$19"),MATCH("Points (Auto-generate)",INDIRECT("'"&amp;$A27&amp;"'!$A$12:$Z$12"),0),0)),"ER"))</f>
        <v>5</v>
      </c>
      <c r="J27" s="0" t="n">
        <f aca="true">IF($F27=0,"NA",IF($A27=INDIRECT("'"&amp;$A27&amp;"'!$B$1"),IF(VLOOKUP(J$1,INDIRECT("'"&amp;$A27&amp;"'!$A$12:$Z$19"),MATCH("Points (Auto-generate)",INDIRECT("'"&amp;$A27&amp;"'!$A$12:$Z$12"),0),0)="","?",VLOOKUP(J$1,INDIRECT("'"&amp;$A27&amp;"'!$A$12:$Z$19"),MATCH("Points (Auto-generate)",INDIRECT("'"&amp;$A27&amp;"'!$A$12:$Z$12"),0),0)),"ER"))</f>
        <v>0</v>
      </c>
      <c r="K27" s="0" t="n">
        <f aca="true">IF($F27=0,"NA",IF($A27=INDIRECT("'"&amp;$A27&amp;"'!$B$1"),IF(VLOOKUP(K$1,INDIRECT("'"&amp;$A27&amp;"'!$A$12:$Z$19"),MATCH("Points (Auto-generate)",INDIRECT("'"&amp;$A27&amp;"'!$A$12:$Z$12"),0),0)="","?",VLOOKUP(K$1,INDIRECT("'"&amp;$A27&amp;"'!$A$12:$Z$19"),MATCH("Points (Auto-generate)",INDIRECT("'"&amp;$A27&amp;"'!$A$12:$Z$12"),0),0)),"ER"))</f>
        <v>5</v>
      </c>
      <c r="L27" s="0" t="str">
        <f aca="true">IF($F27=0,"NA",IF($A27=INDIRECT("'"&amp;$A27&amp;"'!$B$1"),IF(VLOOKUP(L$1,INDIRECT("'"&amp;$A27&amp;"'!$A$12:$Z$19"),MATCH("Points (Auto-generate)",INDIRECT("'"&amp;$A27&amp;"'!$A$12:$Z$12"),0),0)="","?",VLOOKUP(L$1,INDIRECT("'"&amp;$A27&amp;"'!$A$12:$Z$19"),MATCH("Points (Auto-generate)",INDIRECT("'"&amp;$A27&amp;"'!$A$12:$Z$12"),0),0)),"ER"))</f>
        <v>?</v>
      </c>
      <c r="M27" s="0" t="str">
        <f aca="true">IF($F27=0,"NA",IF($A27=INDIRECT("'"&amp;$A27&amp;"'!$B$1"),IF(VLOOKUP(M$1,INDIRECT("'"&amp;$A27&amp;"'!$A$12:$Z$19"),MATCH("Points (Auto-generate)",INDIRECT("'"&amp;$A27&amp;"'!$A$12:$Z$12"),0),0)="","?",VLOOKUP(M$1,INDIRECT("'"&amp;$A27&amp;"'!$A$12:$Z$19"),MATCH("Points (Auto-generate)",INDIRECT("'"&amp;$A27&amp;"'!$A$12:$Z$12"),0),0)),"ER"))</f>
        <v>?</v>
      </c>
    </row>
    <row r="28" customFormat="false" ht="15" hidden="false" customHeight="false" outlineLevel="0" collapsed="false">
      <c r="A28" s="0" t="s">
        <v>159</v>
      </c>
      <c r="B28" s="0" t="str">
        <f aca="false">VLOOKUP($A28,'PARASTATAL Questions'!$A:$J,3,0)&amp;""</f>
        <v>Decentralised Participatory Governance</v>
      </c>
      <c r="C28" s="0" t="str">
        <f aca="false">VLOOKUP($A28,'PARASTATAL Questions'!$A:$J,4,0)&amp;""</f>
        <v>SQ</v>
      </c>
      <c r="D28" s="0" t="str">
        <f aca="false">VLOOKUP($A28,'PARASTATAL Questions'!$A:$J,5,0)&amp;""</f>
        <v>Is the parastatal mandated to submit its plans, budgets or reports to the ULG/council?</v>
      </c>
      <c r="E28" s="0" t="str">
        <f aca="false">VLOOKUP($A28,'PARASTATAL Questions'!$A:$J,7,0)&amp;""</f>
        <v>Law/Policy</v>
      </c>
      <c r="F28" s="0" t="n">
        <f aca="false">VLOOKUP($A28,'PARASTATAL Questions'!$A:$J,6,0)</f>
        <v>5</v>
      </c>
      <c r="G28" s="0" t="n">
        <f aca="true">IF($F28=0,"NA",IF($A28=INDIRECT("'"&amp;$A28&amp;"'!$B$1"),IF(VLOOKUP(G$1,INDIRECT("'"&amp;$A28&amp;"'!$A$12:$Z$19"),MATCH("Points (Auto-generate)",INDIRECT("'"&amp;$A28&amp;"'!$A$12:$Z$12"),0),0)="","?",VLOOKUP(G$1,INDIRECT("'"&amp;$A28&amp;"'!$A$12:$Z$19"),MATCH("Points (Auto-generate)",INDIRECT("'"&amp;$A28&amp;"'!$A$12:$Z$12"),0),0)),"ER"))</f>
        <v>0</v>
      </c>
      <c r="H28" s="0" t="str">
        <f aca="true">IF($F28=0,"NA",IF($A28=INDIRECT("'"&amp;$A28&amp;"'!$B$1"),IF(VLOOKUP(H$1,INDIRECT("'"&amp;$A28&amp;"'!$A$12:$Z$19"),MATCH("Points (Auto-generate)",INDIRECT("'"&amp;$A28&amp;"'!$A$12:$Z$12"),0),0)="","?",VLOOKUP(H$1,INDIRECT("'"&amp;$A28&amp;"'!$A$12:$Z$19"),MATCH("Points (Auto-generate)",INDIRECT("'"&amp;$A28&amp;"'!$A$12:$Z$12"),0),0)),"ER"))</f>
        <v>?</v>
      </c>
      <c r="I28" s="0" t="n">
        <f aca="true">IF($F28=0,"NA",IF($A28=INDIRECT("'"&amp;$A28&amp;"'!$B$1"),IF(VLOOKUP(I$1,INDIRECT("'"&amp;$A28&amp;"'!$A$12:$Z$19"),MATCH("Points (Auto-generate)",INDIRECT("'"&amp;$A28&amp;"'!$A$12:$Z$12"),0),0)="","?",VLOOKUP(I$1,INDIRECT("'"&amp;$A28&amp;"'!$A$12:$Z$19"),MATCH("Points (Auto-generate)",INDIRECT("'"&amp;$A28&amp;"'!$A$12:$Z$12"),0),0)),"ER"))</f>
        <v>0</v>
      </c>
      <c r="J28" s="0" t="n">
        <f aca="true">IF($F28=0,"NA",IF($A28=INDIRECT("'"&amp;$A28&amp;"'!$B$1"),IF(VLOOKUP(J$1,INDIRECT("'"&amp;$A28&amp;"'!$A$12:$Z$19"),MATCH("Points (Auto-generate)",INDIRECT("'"&amp;$A28&amp;"'!$A$12:$Z$12"),0),0)="","?",VLOOKUP(J$1,INDIRECT("'"&amp;$A28&amp;"'!$A$12:$Z$19"),MATCH("Points (Auto-generate)",INDIRECT("'"&amp;$A28&amp;"'!$A$12:$Z$12"),0),0)),"ER"))</f>
        <v>0</v>
      </c>
      <c r="K28" s="0" t="n">
        <f aca="true">IF($F28=0,"NA",IF($A28=INDIRECT("'"&amp;$A28&amp;"'!$B$1"),IF(VLOOKUP(K$1,INDIRECT("'"&amp;$A28&amp;"'!$A$12:$Z$19"),MATCH("Points (Auto-generate)",INDIRECT("'"&amp;$A28&amp;"'!$A$12:$Z$12"),0),0)="","?",VLOOKUP(K$1,INDIRECT("'"&amp;$A28&amp;"'!$A$12:$Z$19"),MATCH("Points (Auto-generate)",INDIRECT("'"&amp;$A28&amp;"'!$A$12:$Z$12"),0),0)),"ER"))</f>
        <v>0</v>
      </c>
      <c r="L28" s="0" t="str">
        <f aca="true">IF($F28=0,"NA",IF($A28=INDIRECT("'"&amp;$A28&amp;"'!$B$1"),IF(VLOOKUP(L$1,INDIRECT("'"&amp;$A28&amp;"'!$A$12:$Z$19"),MATCH("Points (Auto-generate)",INDIRECT("'"&amp;$A28&amp;"'!$A$12:$Z$12"),0),0)="","?",VLOOKUP(L$1,INDIRECT("'"&amp;$A28&amp;"'!$A$12:$Z$19"),MATCH("Points (Auto-generate)",INDIRECT("'"&amp;$A28&amp;"'!$A$12:$Z$12"),0),0)),"ER"))</f>
        <v>?</v>
      </c>
      <c r="M28" s="0" t="str">
        <f aca="true">IF($F28=0,"NA",IF($A28=INDIRECT("'"&amp;$A28&amp;"'!$B$1"),IF(VLOOKUP(M$1,INDIRECT("'"&amp;$A28&amp;"'!$A$12:$Z$19"),MATCH("Points (Auto-generate)",INDIRECT("'"&amp;$A28&amp;"'!$A$12:$Z$12"),0),0)="","?",VLOOKUP(M$1,INDIRECT("'"&amp;$A28&amp;"'!$A$12:$Z$19"),MATCH("Points (Auto-generate)",INDIRECT("'"&amp;$A28&amp;"'!$A$12:$Z$12"),0),0)),"ER"))</f>
        <v>?</v>
      </c>
    </row>
    <row r="29" customFormat="false" ht="15" hidden="false" customHeight="false" outlineLevel="0" collapsed="false">
      <c r="A29" s="8" t="s">
        <v>173</v>
      </c>
      <c r="B29" s="8" t="str">
        <f aca="false">VLOOKUP($A29,'PARASTATAL Questions'!$A:$J,3,0)&amp;""</f>
        <v>Decentralised Participatory Governance</v>
      </c>
      <c r="C29" s="8" t="str">
        <f aca="false">VLOOKUP($A29,'PARASTATAL Questions'!$A:$J,4,0)&amp;""</f>
        <v>MQ</v>
      </c>
      <c r="D29" s="8" t="str">
        <f aca="false">VLOOKUP($A29,'PARASTATAL Questions'!$A:$J,5,0)&amp;""</f>
        <v>Does the parastatal maintain an active and functional website?</v>
      </c>
      <c r="E29" s="8" t="str">
        <f aca="false">VLOOKUP($A29,'PARASTATAL Questions'!$A:$J,7,0)&amp;""</f>
        <v>Implementation</v>
      </c>
      <c r="F29" s="8" t="n">
        <f aca="false">VLOOKUP($A29,'PARASTATAL Questions'!$A:$J,6,0)</f>
        <v>10</v>
      </c>
      <c r="G29" s="8" t="n">
        <f aca="true">IF($F29=0,"NA",IF($A29=INDIRECT("'"&amp;$A29&amp;"'!$B$1"),IF(VLOOKUP(G$1,INDIRECT("'"&amp;$A29&amp;"'!$A$12:$Z$19"),MATCH("Points (Auto-generate)",INDIRECT("'"&amp;$A29&amp;"'!$A$12:$Z$12"),0),0)="","?",VLOOKUP(G$1,INDIRECT("'"&amp;$A29&amp;"'!$A$12:$Z$19"),MATCH("Points (Auto-generate)",INDIRECT("'"&amp;$A29&amp;"'!$A$12:$Z$12"),0),0)),"ER"))</f>
        <v>10</v>
      </c>
      <c r="H29" s="8" t="n">
        <f aca="true">IF($F29=0,"NA",IF($A29=INDIRECT("'"&amp;$A29&amp;"'!$B$1"),IF(VLOOKUP(H$1,INDIRECT("'"&amp;$A29&amp;"'!$A$12:$Z$19"),MATCH("Points (Auto-generate)",INDIRECT("'"&amp;$A29&amp;"'!$A$12:$Z$12"),0),0)="","?",VLOOKUP(H$1,INDIRECT("'"&amp;$A29&amp;"'!$A$12:$Z$19"),MATCH("Points (Auto-generate)",INDIRECT("'"&amp;$A29&amp;"'!$A$12:$Z$12"),0),0)),"ER"))</f>
        <v>10</v>
      </c>
      <c r="I29" s="8" t="str">
        <f aca="true">IF($F29=0,"NA",IF($A29=INDIRECT("'"&amp;$A29&amp;"'!$B$1"),IF(VLOOKUP(I$1,INDIRECT("'"&amp;$A29&amp;"'!$A$12:$Z$19"),MATCH("Points (Auto-generate)",INDIRECT("'"&amp;$A29&amp;"'!$A$12:$Z$12"),0),0)="","?",VLOOKUP(I$1,INDIRECT("'"&amp;$A29&amp;"'!$A$12:$Z$19"),MATCH("Points (Auto-generate)",INDIRECT("'"&amp;$A29&amp;"'!$A$12:$Z$12"),0),0)),"ER"))</f>
        <v>?</v>
      </c>
      <c r="J29" s="8" t="str">
        <f aca="true">IF($F29=0,"NA",IF($A29=INDIRECT("'"&amp;$A29&amp;"'!$B$1"),IF(VLOOKUP(J$1,INDIRECT("'"&amp;$A29&amp;"'!$A$12:$Z$19"),MATCH("Points (Auto-generate)",INDIRECT("'"&amp;$A29&amp;"'!$A$12:$Z$12"),0),0)="","?",VLOOKUP(J$1,INDIRECT("'"&amp;$A29&amp;"'!$A$12:$Z$19"),MATCH("Points (Auto-generate)",INDIRECT("'"&amp;$A29&amp;"'!$A$12:$Z$12"),0),0)),"ER"))</f>
        <v>?</v>
      </c>
      <c r="K29" s="8" t="n">
        <f aca="true">IF($F29=0,"NA",IF($A29=INDIRECT("'"&amp;$A29&amp;"'!$B$1"),IF(VLOOKUP(K$1,INDIRECT("'"&amp;$A29&amp;"'!$A$12:$Z$19"),MATCH("Points (Auto-generate)",INDIRECT("'"&amp;$A29&amp;"'!$A$12:$Z$12"),0),0)="","?",VLOOKUP(K$1,INDIRECT("'"&amp;$A29&amp;"'!$A$12:$Z$19"),MATCH("Points (Auto-generate)",INDIRECT("'"&amp;$A29&amp;"'!$A$12:$Z$12"),0),0)),"ER"))</f>
        <v>10</v>
      </c>
      <c r="L29" s="8" t="str">
        <f aca="true">IF($F29=0,"NA",IF($A29=INDIRECT("'"&amp;$A29&amp;"'!$B$1"),IF(VLOOKUP(L$1,INDIRECT("'"&amp;$A29&amp;"'!$A$12:$Z$19"),MATCH("Points (Auto-generate)",INDIRECT("'"&amp;$A29&amp;"'!$A$12:$Z$12"),0),0)="","?",VLOOKUP(L$1,INDIRECT("'"&amp;$A29&amp;"'!$A$12:$Z$19"),MATCH("Points (Auto-generate)",INDIRECT("'"&amp;$A29&amp;"'!$A$12:$Z$12"),0),0)),"ER"))</f>
        <v>?</v>
      </c>
      <c r="M29" s="8" t="str">
        <f aca="true">IF($F29=0,"NA",IF($A29=INDIRECT("'"&amp;$A29&amp;"'!$B$1"),IF(VLOOKUP(M$1,INDIRECT("'"&amp;$A29&amp;"'!$A$12:$Z$19"),MATCH("Points (Auto-generate)",INDIRECT("'"&amp;$A29&amp;"'!$A$12:$Z$12"),0),0)="","?",VLOOKUP(M$1,INDIRECT("'"&amp;$A29&amp;"'!$A$12:$Z$19"),MATCH("Points (Auto-generate)",INDIRECT("'"&amp;$A29&amp;"'!$A$12:$Z$12"),0),0)),"ER"))</f>
        <v>?</v>
      </c>
    </row>
    <row r="30" customFormat="false" ht="15" hidden="false" customHeight="false" outlineLevel="0" collapsed="false">
      <c r="A30" s="8" t="s">
        <v>443</v>
      </c>
      <c r="B30" s="8" t="str">
        <f aca="false">VLOOKUP($A30,'PARASTATAL Questions'!$A:$J,3,0)&amp;""</f>
        <v>Decentralised Participatory Governance</v>
      </c>
      <c r="C30" s="8" t="str">
        <f aca="false">VLOOKUP($A30,'PARASTATAL Questions'!$A:$J,4,0)&amp;""</f>
        <v>MQ</v>
      </c>
      <c r="D30" s="8" t="str">
        <f aca="false">VLOOKUP($A30,'PARASTATAL Questions'!$A:$J,5,0)&amp;""</f>
        <v>Are the parastatal's key financial, governance, and operational documents available on the website and published in accessible, open-data formats?</v>
      </c>
      <c r="E30" s="8" t="str">
        <f aca="false">VLOOKUP($A30,'PARASTATAL Questions'!$A:$J,7,0)&amp;""</f>
        <v>Implementation</v>
      </c>
      <c r="F30" s="8" t="n">
        <f aca="false">VLOOKUP($A30,'PARASTATAL Questions'!$A:$J,6,0)</f>
        <v>10</v>
      </c>
      <c r="G30" s="8"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8"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8"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8"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8"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8"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8"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false" outlineLevel="0" collapsed="false">
      <c r="A31" s="0" t="s">
        <v>191</v>
      </c>
      <c r="B31" s="0" t="str">
        <f aca="false">VLOOKUP($A31,'PARASTATAL Questions'!$A:$J,3,0)&amp;""</f>
        <v>Decentralised Participatory Governance</v>
      </c>
      <c r="C31" s="0" t="str">
        <f aca="false">VLOOKUP($A31,'PARASTATAL Questions'!$A:$J,4,0)&amp;""</f>
        <v>SQ</v>
      </c>
      <c r="D31" s="0" t="str">
        <f aca="false">VLOOKUP($A31,'PARASTATAL Questions'!$A:$J,5,0)&amp;""</f>
        <v>Annual budget</v>
      </c>
      <c r="E31" s="0" t="str">
        <f aca="false">VLOOKUP($A31,'PARASTATAL Questions'!$A:$J,7,0)&amp;""</f>
        <v>Implementation</v>
      </c>
      <c r="F31" s="0" t="n">
        <f aca="false">VLOOKUP($A31,'PARASTATAL Questions'!$A:$J,6,0)</f>
        <v>1</v>
      </c>
      <c r="G31" s="0" t="str">
        <f aca="true">IF($F31=0,"NA",IF($A31=INDIRECT("'"&amp;$A31&amp;"'!$B$1"),IF(VLOOKUP(G$1,INDIRECT("'"&amp;$A31&amp;"'!$A$12:$Z$19"),MATCH("Points (Auto-generate)",INDIRECT("'"&amp;$A31&amp;"'!$A$12:$Z$12"),0),0)="","?",VLOOKUP(G$1,INDIRECT("'"&amp;$A31&amp;"'!$A$12:$Z$19"),MATCH("Points (Auto-generate)",INDIRECT("'"&amp;$A31&amp;"'!$A$12:$Z$12"),0),0)),"ER"))</f>
        <v>?</v>
      </c>
      <c r="H31" s="0" t="str">
        <f aca="true">IF($F31=0,"NA",IF($A31=INDIRECT("'"&amp;$A31&amp;"'!$B$1"),IF(VLOOKUP(H$1,INDIRECT("'"&amp;$A31&amp;"'!$A$12:$Z$19"),MATCH("Points (Auto-generate)",INDIRECT("'"&amp;$A31&amp;"'!$A$12:$Z$12"),0),0)="","?",VLOOKUP(H$1,INDIRECT("'"&amp;$A31&amp;"'!$A$12:$Z$19"),MATCH("Points (Auto-generate)",INDIRECT("'"&amp;$A31&amp;"'!$A$12:$Z$12"),0),0)),"ER"))</f>
        <v>?</v>
      </c>
      <c r="I31" s="0" t="str">
        <f aca="true">IF($F31=0,"NA",IF($A31=INDIRECT("'"&amp;$A31&amp;"'!$B$1"),IF(VLOOKUP(I$1,INDIRECT("'"&amp;$A31&amp;"'!$A$12:$Z$19"),MATCH("Points (Auto-generate)",INDIRECT("'"&amp;$A31&amp;"'!$A$12:$Z$12"),0),0)="","?",VLOOKUP(I$1,INDIRECT("'"&amp;$A31&amp;"'!$A$12:$Z$19"),MATCH("Points (Auto-generate)",INDIRECT("'"&amp;$A31&amp;"'!$A$12:$Z$12"),0),0)),"ER"))</f>
        <v>?</v>
      </c>
      <c r="J31" s="0" t="str">
        <f aca="true">IF($F31=0,"NA",IF($A31=INDIRECT("'"&amp;$A31&amp;"'!$B$1"),IF(VLOOKUP(J$1,INDIRECT("'"&amp;$A31&amp;"'!$A$12:$Z$19"),MATCH("Points (Auto-generate)",INDIRECT("'"&amp;$A31&amp;"'!$A$12:$Z$12"),0),0)="","?",VLOOKUP(J$1,INDIRECT("'"&amp;$A31&amp;"'!$A$12:$Z$19"),MATCH("Points (Auto-generate)",INDIRECT("'"&amp;$A31&amp;"'!$A$12:$Z$12"),0),0)),"ER"))</f>
        <v>?</v>
      </c>
      <c r="K31" s="0" t="str">
        <f aca="true">IF($F31=0,"NA",IF($A31=INDIRECT("'"&amp;$A31&amp;"'!$B$1"),IF(VLOOKUP(K$1,INDIRECT("'"&amp;$A31&amp;"'!$A$12:$Z$19"),MATCH("Points (Auto-generate)",INDIRECT("'"&amp;$A31&amp;"'!$A$12:$Z$12"),0),0)="","?",VLOOKUP(K$1,INDIRECT("'"&amp;$A31&amp;"'!$A$12:$Z$19"),MATCH("Points (Auto-generate)",INDIRECT("'"&amp;$A31&amp;"'!$A$12:$Z$12"),0),0)),"ER"))</f>
        <v>?</v>
      </c>
      <c r="L31" s="0" t="str">
        <f aca="true">IF($F31=0,"NA",IF($A31=INDIRECT("'"&amp;$A31&amp;"'!$B$1"),IF(VLOOKUP(L$1,INDIRECT("'"&amp;$A31&amp;"'!$A$12:$Z$19"),MATCH("Points (Auto-generate)",INDIRECT("'"&amp;$A31&amp;"'!$A$12:$Z$12"),0),0)="","?",VLOOKUP(L$1,INDIRECT("'"&amp;$A31&amp;"'!$A$12:$Z$19"),MATCH("Points (Auto-generate)",INDIRECT("'"&amp;$A31&amp;"'!$A$12:$Z$12"),0),0)),"ER"))</f>
        <v>?</v>
      </c>
      <c r="M31" s="0" t="str">
        <f aca="true">IF($F31=0,"NA",IF($A31=INDIRECT("'"&amp;$A31&amp;"'!$B$1"),IF(VLOOKUP(M$1,INDIRECT("'"&amp;$A31&amp;"'!$A$12:$Z$19"),MATCH("Points (Auto-generate)",INDIRECT("'"&amp;$A31&amp;"'!$A$12:$Z$12"),0),0)="","?",VLOOKUP(M$1,INDIRECT("'"&amp;$A31&amp;"'!$A$12:$Z$19"),MATCH("Points (Auto-generate)",INDIRECT("'"&amp;$A31&amp;"'!$A$12:$Z$12"),0),0)),"ER"))</f>
        <v>?</v>
      </c>
    </row>
    <row r="32" customFormat="false" ht="15" hidden="false" customHeight="false" outlineLevel="0" collapsed="false">
      <c r="A32" s="0" t="s">
        <v>197</v>
      </c>
      <c r="B32" s="0" t="str">
        <f aca="false">VLOOKUP($A32,'PARASTATAL Questions'!$A:$J,3,0)&amp;""</f>
        <v>Decentralised Participatory Governance</v>
      </c>
      <c r="C32" s="0" t="str">
        <f aca="false">VLOOKUP($A32,'PARASTATAL Questions'!$A:$J,4,0)&amp;""</f>
        <v>SQ</v>
      </c>
      <c r="D32" s="0" t="str">
        <f aca="false">VLOOKUP($A32,'PARASTATAL Questions'!$A:$J,5,0)&amp;""</f>
        <v>Audited annual accounts</v>
      </c>
      <c r="E32" s="0" t="str">
        <f aca="false">VLOOKUP($A32,'PARASTATAL Questions'!$A:$J,7,0)&amp;""</f>
        <v>Implementation</v>
      </c>
      <c r="F32" s="0" t="n">
        <f aca="false">VLOOKUP($A32,'PARASTATAL Questions'!$A:$J,6,0)</f>
        <v>1</v>
      </c>
      <c r="G32" s="0" t="str">
        <f aca="true">IF($F32=0,"NA",IF($A32=INDIRECT("'"&amp;$A32&amp;"'!$B$1"),IF(VLOOKUP(G$1,INDIRECT("'"&amp;$A32&amp;"'!$A$12:$Z$19"),MATCH("Points (Auto-generate)",INDIRECT("'"&amp;$A32&amp;"'!$A$12:$Z$12"),0),0)="","?",VLOOKUP(G$1,INDIRECT("'"&amp;$A32&amp;"'!$A$12:$Z$19"),MATCH("Points (Auto-generate)",INDIRECT("'"&amp;$A32&amp;"'!$A$12:$Z$12"),0),0)),"ER"))</f>
        <v>?</v>
      </c>
      <c r="H32" s="0" t="str">
        <f aca="true">IF($F32=0,"NA",IF($A32=INDIRECT("'"&amp;$A32&amp;"'!$B$1"),IF(VLOOKUP(H$1,INDIRECT("'"&amp;$A32&amp;"'!$A$12:$Z$19"),MATCH("Points (Auto-generate)",INDIRECT("'"&amp;$A32&amp;"'!$A$12:$Z$12"),0),0)="","?",VLOOKUP(H$1,INDIRECT("'"&amp;$A32&amp;"'!$A$12:$Z$19"),MATCH("Points (Auto-generate)",INDIRECT("'"&amp;$A32&amp;"'!$A$12:$Z$12"),0),0)),"ER"))</f>
        <v>?</v>
      </c>
      <c r="I32" s="0" t="str">
        <f aca="true">IF($F32=0,"NA",IF($A32=INDIRECT("'"&amp;$A32&amp;"'!$B$1"),IF(VLOOKUP(I$1,INDIRECT("'"&amp;$A32&amp;"'!$A$12:$Z$19"),MATCH("Points (Auto-generate)",INDIRECT("'"&amp;$A32&amp;"'!$A$12:$Z$12"),0),0)="","?",VLOOKUP(I$1,INDIRECT("'"&amp;$A32&amp;"'!$A$12:$Z$19"),MATCH("Points (Auto-generate)",INDIRECT("'"&amp;$A32&amp;"'!$A$12:$Z$12"),0),0)),"ER"))</f>
        <v>?</v>
      </c>
      <c r="J32" s="0" t="n">
        <f aca="true">IF($F32=0,"NA",IF($A32=INDIRECT("'"&amp;$A32&amp;"'!$B$1"),IF(VLOOKUP(J$1,INDIRECT("'"&amp;$A32&amp;"'!$A$12:$Z$19"),MATCH("Points (Auto-generate)",INDIRECT("'"&amp;$A32&amp;"'!$A$12:$Z$12"),0),0)="","?",VLOOKUP(J$1,INDIRECT("'"&amp;$A32&amp;"'!$A$12:$Z$19"),MATCH("Points (Auto-generate)",INDIRECT("'"&amp;$A32&amp;"'!$A$12:$Z$12"),0),0)),"ER"))</f>
        <v>0</v>
      </c>
      <c r="K32" s="0" t="str">
        <f aca="true">IF($F32=0,"NA",IF($A32=INDIRECT("'"&amp;$A32&amp;"'!$B$1"),IF(VLOOKUP(K$1,INDIRECT("'"&amp;$A32&amp;"'!$A$12:$Z$19"),MATCH("Points (Auto-generate)",INDIRECT("'"&amp;$A32&amp;"'!$A$12:$Z$12"),0),0)="","?",VLOOKUP(K$1,INDIRECT("'"&amp;$A32&amp;"'!$A$12:$Z$19"),MATCH("Points (Auto-generate)",INDIRECT("'"&amp;$A32&amp;"'!$A$12:$Z$12"),0),0)),"ER"))</f>
        <v>?</v>
      </c>
      <c r="L32" s="0" t="str">
        <f aca="true">IF($F32=0,"NA",IF($A32=INDIRECT("'"&amp;$A32&amp;"'!$B$1"),IF(VLOOKUP(L$1,INDIRECT("'"&amp;$A32&amp;"'!$A$12:$Z$19"),MATCH("Points (Auto-generate)",INDIRECT("'"&amp;$A32&amp;"'!$A$12:$Z$12"),0),0)="","?",VLOOKUP(L$1,INDIRECT("'"&amp;$A32&amp;"'!$A$12:$Z$19"),MATCH("Points (Auto-generate)",INDIRECT("'"&amp;$A32&amp;"'!$A$12:$Z$12"),0),0)),"ER"))</f>
        <v>?</v>
      </c>
      <c r="M32" s="0" t="str">
        <f aca="true">IF($F32=0,"NA",IF($A32=INDIRECT("'"&amp;$A32&amp;"'!$B$1"),IF(VLOOKUP(M$1,INDIRECT("'"&amp;$A32&amp;"'!$A$12:$Z$19"),MATCH("Points (Auto-generate)",INDIRECT("'"&amp;$A32&amp;"'!$A$12:$Z$12"),0),0)="","?",VLOOKUP(M$1,INDIRECT("'"&amp;$A32&amp;"'!$A$12:$Z$19"),MATCH("Points (Auto-generate)",INDIRECT("'"&amp;$A32&amp;"'!$A$12:$Z$12"),0),0)),"ER"))</f>
        <v>?</v>
      </c>
    </row>
    <row r="33" customFormat="false" ht="15" hidden="false" customHeight="false" outlineLevel="0" collapsed="false">
      <c r="A33" s="0" t="s">
        <v>207</v>
      </c>
      <c r="B33" s="0" t="str">
        <f aca="false">VLOOKUP($A33,'PARASTATAL Questions'!$A:$J,3,0)&amp;""</f>
        <v>Decentralised Participatory Governance</v>
      </c>
      <c r="C33" s="0" t="str">
        <f aca="false">VLOOKUP($A33,'PARASTATAL Questions'!$A:$J,4,0)&amp;""</f>
        <v>SQ</v>
      </c>
      <c r="D33" s="0" t="str">
        <f aca="false">VLOOKUP($A33,'PARASTATAL Questions'!$A:$J,5,0)&amp;""</f>
        <v>Annual report</v>
      </c>
      <c r="E33" s="0" t="str">
        <f aca="false">VLOOKUP($A33,'PARASTATAL Questions'!$A:$J,7,0)&amp;""</f>
        <v>Implementation</v>
      </c>
      <c r="F33" s="0" t="n">
        <f aca="false">VLOOKUP($A33,'PARASTATAL Questions'!$A:$J,6,0)</f>
        <v>1</v>
      </c>
      <c r="G33" s="0" t="str">
        <f aca="true">IF($F33=0,"NA",IF($A33=INDIRECT("'"&amp;$A33&amp;"'!$B$1"),IF(VLOOKUP(G$1,INDIRECT("'"&amp;$A33&amp;"'!$A$12:$Z$19"),MATCH("Points (Auto-generate)",INDIRECT("'"&amp;$A33&amp;"'!$A$12:$Z$12"),0),0)="","?",VLOOKUP(G$1,INDIRECT("'"&amp;$A33&amp;"'!$A$12:$Z$19"),MATCH("Points (Auto-generate)",INDIRECT("'"&amp;$A33&amp;"'!$A$12:$Z$12"),0),0)),"ER"))</f>
        <v>?</v>
      </c>
      <c r="H33" s="0" t="str">
        <f aca="true">IF($F33=0,"NA",IF($A33=INDIRECT("'"&amp;$A33&amp;"'!$B$1"),IF(VLOOKUP(H$1,INDIRECT("'"&amp;$A33&amp;"'!$A$12:$Z$19"),MATCH("Points (Auto-generate)",INDIRECT("'"&amp;$A33&amp;"'!$A$12:$Z$12"),0),0)="","?",VLOOKUP(H$1,INDIRECT("'"&amp;$A33&amp;"'!$A$12:$Z$19"),MATCH("Points (Auto-generate)",INDIRECT("'"&amp;$A33&amp;"'!$A$12:$Z$12"),0),0)),"ER"))</f>
        <v>?</v>
      </c>
      <c r="I33" s="0" t="str">
        <f aca="true">IF($F33=0,"NA",IF($A33=INDIRECT("'"&amp;$A33&amp;"'!$B$1"),IF(VLOOKUP(I$1,INDIRECT("'"&amp;$A33&amp;"'!$A$12:$Z$19"),MATCH("Points (Auto-generate)",INDIRECT("'"&amp;$A33&amp;"'!$A$12:$Z$12"),0),0)="","?",VLOOKUP(I$1,INDIRECT("'"&amp;$A33&amp;"'!$A$12:$Z$19"),MATCH("Points (Auto-generate)",INDIRECT("'"&amp;$A33&amp;"'!$A$12:$Z$12"),0),0)),"ER"))</f>
        <v>?</v>
      </c>
      <c r="J33" s="0" t="str">
        <f aca="true">IF($F33=0,"NA",IF($A33=INDIRECT("'"&amp;$A33&amp;"'!$B$1"),IF(VLOOKUP(J$1,INDIRECT("'"&amp;$A33&amp;"'!$A$12:$Z$19"),MATCH("Points (Auto-generate)",INDIRECT("'"&amp;$A33&amp;"'!$A$12:$Z$12"),0),0)="","?",VLOOKUP(J$1,INDIRECT("'"&amp;$A33&amp;"'!$A$12:$Z$19"),MATCH("Points (Auto-generate)",INDIRECT("'"&amp;$A33&amp;"'!$A$12:$Z$12"),0),0)),"ER"))</f>
        <v>?</v>
      </c>
      <c r="K33" s="0" t="str">
        <f aca="true">IF($F33=0,"NA",IF($A33=INDIRECT("'"&amp;$A33&amp;"'!$B$1"),IF(VLOOKUP(K$1,INDIRECT("'"&amp;$A33&amp;"'!$A$12:$Z$19"),MATCH("Points (Auto-generate)",INDIRECT("'"&amp;$A33&amp;"'!$A$12:$Z$12"),0),0)="","?",VLOOKUP(K$1,INDIRECT("'"&amp;$A33&amp;"'!$A$12:$Z$19"),MATCH("Points (Auto-generate)",INDIRECT("'"&amp;$A33&amp;"'!$A$12:$Z$12"),0),0)),"ER"))</f>
        <v>?</v>
      </c>
      <c r="L33" s="0" t="str">
        <f aca="true">IF($F33=0,"NA",IF($A33=INDIRECT("'"&amp;$A33&amp;"'!$B$1"),IF(VLOOKUP(L$1,INDIRECT("'"&amp;$A33&amp;"'!$A$12:$Z$19"),MATCH("Points (Auto-generate)",INDIRECT("'"&amp;$A33&amp;"'!$A$12:$Z$12"),0),0)="","?",VLOOKUP(L$1,INDIRECT("'"&amp;$A33&amp;"'!$A$12:$Z$19"),MATCH("Points (Auto-generate)",INDIRECT("'"&amp;$A33&amp;"'!$A$12:$Z$12"),0),0)),"ER"))</f>
        <v>?</v>
      </c>
      <c r="M33" s="0" t="str">
        <f aca="true">IF($F33=0,"NA",IF($A33=INDIRECT("'"&amp;$A33&amp;"'!$B$1"),IF(VLOOKUP(M$1,INDIRECT("'"&amp;$A33&amp;"'!$A$12:$Z$19"),MATCH("Points (Auto-generate)",INDIRECT("'"&amp;$A33&amp;"'!$A$12:$Z$12"),0),0)="","?",VLOOKUP(M$1,INDIRECT("'"&amp;$A33&amp;"'!$A$12:$Z$19"),MATCH("Points (Auto-generate)",INDIRECT("'"&amp;$A33&amp;"'!$A$12:$Z$12"),0),0)),"ER"))</f>
        <v>?</v>
      </c>
    </row>
    <row r="34" customFormat="false" ht="15" hidden="false" customHeight="false" outlineLevel="0" collapsed="false">
      <c r="A34" s="0" t="s">
        <v>221</v>
      </c>
      <c r="B34" s="0" t="str">
        <f aca="false">VLOOKUP($A34,'PARASTATAL Questions'!$A:$J,3,0)&amp;""</f>
        <v>Decentralised Participatory Governance</v>
      </c>
      <c r="C34" s="0" t="str">
        <f aca="false">VLOOKUP($A34,'PARASTATAL Questions'!$A:$J,4,0)&amp;""</f>
        <v>SQ</v>
      </c>
      <c r="D34" s="0" t="str">
        <f aca="false">VLOOKUP($A34,'PARASTATAL Questions'!$A:$J,5,0)&amp;""</f>
        <v>Meeting minutes of governing board</v>
      </c>
      <c r="E34" s="0" t="str">
        <f aca="false">VLOOKUP($A34,'PARASTATAL Questions'!$A:$J,7,0)&amp;""</f>
        <v>Implementation</v>
      </c>
      <c r="F34" s="0" t="n">
        <f aca="false">VLOOKUP($A34,'PARASTATAL Questions'!$A:$J,6,0)</f>
        <v>1</v>
      </c>
      <c r="G34" s="0" t="str">
        <f aca="true">IF($F34=0,"NA",IF($A34=INDIRECT("'"&amp;$A34&amp;"'!$B$1"),IF(VLOOKUP(G$1,INDIRECT("'"&amp;$A34&amp;"'!$A$12:$Z$19"),MATCH("Points (Auto-generate)",INDIRECT("'"&amp;$A34&amp;"'!$A$12:$Z$12"),0),0)="","?",VLOOKUP(G$1,INDIRECT("'"&amp;$A34&amp;"'!$A$12:$Z$19"),MATCH("Points (Auto-generate)",INDIRECT("'"&amp;$A34&amp;"'!$A$12:$Z$12"),0),0)),"ER"))</f>
        <v>?</v>
      </c>
      <c r="H34" s="0" t="str">
        <f aca="true">IF($F34=0,"NA",IF($A34=INDIRECT("'"&amp;$A34&amp;"'!$B$1"),IF(VLOOKUP(H$1,INDIRECT("'"&amp;$A34&amp;"'!$A$12:$Z$19"),MATCH("Points (Auto-generate)",INDIRECT("'"&amp;$A34&amp;"'!$A$12:$Z$12"),0),0)="","?",VLOOKUP(H$1,INDIRECT("'"&amp;$A34&amp;"'!$A$12:$Z$19"),MATCH("Points (Auto-generate)",INDIRECT("'"&amp;$A34&amp;"'!$A$12:$Z$12"),0),0)),"ER"))</f>
        <v>?</v>
      </c>
      <c r="I34" s="0" t="str">
        <f aca="true">IF($F34=0,"NA",IF($A34=INDIRECT("'"&amp;$A34&amp;"'!$B$1"),IF(VLOOKUP(I$1,INDIRECT("'"&amp;$A34&amp;"'!$A$12:$Z$19"),MATCH("Points (Auto-generate)",INDIRECT("'"&amp;$A34&amp;"'!$A$12:$Z$12"),0),0)="","?",VLOOKUP(I$1,INDIRECT("'"&amp;$A34&amp;"'!$A$12:$Z$19"),MATCH("Points (Auto-generate)",INDIRECT("'"&amp;$A34&amp;"'!$A$12:$Z$12"),0),0)),"ER"))</f>
        <v>?</v>
      </c>
      <c r="J34" s="0" t="str">
        <f aca="true">IF($F34=0,"NA",IF($A34=INDIRECT("'"&amp;$A34&amp;"'!$B$1"),IF(VLOOKUP(J$1,INDIRECT("'"&amp;$A34&amp;"'!$A$12:$Z$19"),MATCH("Points (Auto-generate)",INDIRECT("'"&amp;$A34&amp;"'!$A$12:$Z$12"),0),0)="","?",VLOOKUP(J$1,INDIRECT("'"&amp;$A34&amp;"'!$A$12:$Z$19"),MATCH("Points (Auto-generate)",INDIRECT("'"&amp;$A34&amp;"'!$A$12:$Z$12"),0),0)),"ER"))</f>
        <v>?</v>
      </c>
      <c r="K34" s="0" t="str">
        <f aca="true">IF($F34=0,"NA",IF($A34=INDIRECT("'"&amp;$A34&amp;"'!$B$1"),IF(VLOOKUP(K$1,INDIRECT("'"&amp;$A34&amp;"'!$A$12:$Z$19"),MATCH("Points (Auto-generate)",INDIRECT("'"&amp;$A34&amp;"'!$A$12:$Z$12"),0),0)="","?",VLOOKUP(K$1,INDIRECT("'"&amp;$A34&amp;"'!$A$12:$Z$19"),MATCH("Points (Auto-generate)",INDIRECT("'"&amp;$A34&amp;"'!$A$12:$Z$12"),0),0)),"ER"))</f>
        <v>?</v>
      </c>
      <c r="L34" s="0" t="str">
        <f aca="true">IF($F34=0,"NA",IF($A34=INDIRECT("'"&amp;$A34&amp;"'!$B$1"),IF(VLOOKUP(L$1,INDIRECT("'"&amp;$A34&amp;"'!$A$12:$Z$19"),MATCH("Points (Auto-generate)",INDIRECT("'"&amp;$A34&amp;"'!$A$12:$Z$12"),0),0)="","?",VLOOKUP(L$1,INDIRECT("'"&amp;$A34&amp;"'!$A$12:$Z$19"),MATCH("Points (Auto-generate)",INDIRECT("'"&amp;$A34&amp;"'!$A$12:$Z$12"),0),0)),"ER"))</f>
        <v>?</v>
      </c>
      <c r="M34" s="0" t="str">
        <f aca="true">IF($F34=0,"NA",IF($A34=INDIRECT("'"&amp;$A34&amp;"'!$B$1"),IF(VLOOKUP(M$1,INDIRECT("'"&amp;$A34&amp;"'!$A$12:$Z$19"),MATCH("Points (Auto-generate)",INDIRECT("'"&amp;$A34&amp;"'!$A$12:$Z$12"),0),0)="","?",VLOOKUP(M$1,INDIRECT("'"&amp;$A34&amp;"'!$A$12:$Z$19"),MATCH("Points (Auto-generate)",INDIRECT("'"&amp;$A34&amp;"'!$A$12:$Z$12"),0),0)),"ER"))</f>
        <v>?</v>
      </c>
    </row>
    <row r="35" customFormat="false" ht="15" hidden="false" customHeight="false" outlineLevel="0" collapsed="false">
      <c r="A35" s="0" t="s">
        <v>227</v>
      </c>
      <c r="B35" s="0" t="str">
        <f aca="false">VLOOKUP($A35,'PARASTATAL Questions'!$A:$J,3,0)&amp;""</f>
        <v>Decentralised Participatory Governance</v>
      </c>
      <c r="C35" s="0" t="str">
        <f aca="false">VLOOKUP($A35,'PARASTATAL Questions'!$A:$J,4,0)&amp;""</f>
        <v>SQ</v>
      </c>
      <c r="D35" s="0" t="str">
        <f aca="false">VLOOKUP($A35,'PARASTATAL Questions'!$A:$J,5,0)&amp;""</f>
        <v>Organisation and staffing information</v>
      </c>
      <c r="E35" s="0" t="str">
        <f aca="false">VLOOKUP($A35,'PARASTATAL Questions'!$A:$J,7,0)&amp;""</f>
        <v>Implementation</v>
      </c>
      <c r="F35" s="0" t="n">
        <f aca="false">VLOOKUP($A35,'PARASTATAL Questions'!$A:$J,6,0)</f>
        <v>1</v>
      </c>
      <c r="G35" s="0" t="str">
        <f aca="true">IF($F35=0,"NA",IF($A35=INDIRECT("'"&amp;$A35&amp;"'!$B$1"),IF(VLOOKUP(G$1,INDIRECT("'"&amp;$A35&amp;"'!$A$12:$Z$19"),MATCH("Points (Auto-generate)",INDIRECT("'"&amp;$A35&amp;"'!$A$12:$Z$12"),0),0)="","?",VLOOKUP(G$1,INDIRECT("'"&amp;$A35&amp;"'!$A$12:$Z$19"),MATCH("Points (Auto-generate)",INDIRECT("'"&amp;$A35&amp;"'!$A$12:$Z$12"),0),0)),"ER"))</f>
        <v>?</v>
      </c>
      <c r="H35" s="0" t="str">
        <f aca="true">IF($F35=0,"NA",IF($A35=INDIRECT("'"&amp;$A35&amp;"'!$B$1"),IF(VLOOKUP(H$1,INDIRECT("'"&amp;$A35&amp;"'!$A$12:$Z$19"),MATCH("Points (Auto-generate)",INDIRECT("'"&amp;$A35&amp;"'!$A$12:$Z$12"),0),0)="","?",VLOOKUP(H$1,INDIRECT("'"&amp;$A35&amp;"'!$A$12:$Z$19"),MATCH("Points (Auto-generate)",INDIRECT("'"&amp;$A35&amp;"'!$A$12:$Z$12"),0),0)),"ER"))</f>
        <v>?</v>
      </c>
      <c r="I35" s="0" t="str">
        <f aca="true">IF($F35=0,"NA",IF($A35=INDIRECT("'"&amp;$A35&amp;"'!$B$1"),IF(VLOOKUP(I$1,INDIRECT("'"&amp;$A35&amp;"'!$A$12:$Z$19"),MATCH("Points (Auto-generate)",INDIRECT("'"&amp;$A35&amp;"'!$A$12:$Z$12"),0),0)="","?",VLOOKUP(I$1,INDIRECT("'"&amp;$A35&amp;"'!$A$12:$Z$19"),MATCH("Points (Auto-generate)",INDIRECT("'"&amp;$A35&amp;"'!$A$12:$Z$12"),0),0)),"ER"))</f>
        <v>?</v>
      </c>
      <c r="J35" s="0" t="str">
        <f aca="true">IF($F35=0,"NA",IF($A35=INDIRECT("'"&amp;$A35&amp;"'!$B$1"),IF(VLOOKUP(J$1,INDIRECT("'"&amp;$A35&amp;"'!$A$12:$Z$19"),MATCH("Points (Auto-generate)",INDIRECT("'"&amp;$A35&amp;"'!$A$12:$Z$12"),0),0)="","?",VLOOKUP(J$1,INDIRECT("'"&amp;$A35&amp;"'!$A$12:$Z$19"),MATCH("Points (Auto-generate)",INDIRECT("'"&amp;$A35&amp;"'!$A$12:$Z$12"),0),0)),"ER"))</f>
        <v>?</v>
      </c>
      <c r="K35" s="0" t="n">
        <f aca="true">IF($F35=0,"NA",IF($A35=INDIRECT("'"&amp;$A35&amp;"'!$B$1"),IF(VLOOKUP(K$1,INDIRECT("'"&amp;$A35&amp;"'!$A$12:$Z$19"),MATCH("Points (Auto-generate)",INDIRECT("'"&amp;$A35&amp;"'!$A$12:$Z$12"),0),0)="","?",VLOOKUP(K$1,INDIRECT("'"&amp;$A35&amp;"'!$A$12:$Z$19"),MATCH("Points (Auto-generate)",INDIRECT("'"&amp;$A35&amp;"'!$A$12:$Z$12"),0),0)),"ER"))</f>
        <v>1</v>
      </c>
      <c r="L35" s="0" t="str">
        <f aca="true">IF($F35=0,"NA",IF($A35=INDIRECT("'"&amp;$A35&amp;"'!$B$1"),IF(VLOOKUP(L$1,INDIRECT("'"&amp;$A35&amp;"'!$A$12:$Z$19"),MATCH("Points (Auto-generate)",INDIRECT("'"&amp;$A35&amp;"'!$A$12:$Z$12"),0),0)="","?",VLOOKUP(L$1,INDIRECT("'"&amp;$A35&amp;"'!$A$12:$Z$19"),MATCH("Points (Auto-generate)",INDIRECT("'"&amp;$A35&amp;"'!$A$12:$Z$12"),0),0)),"ER"))</f>
        <v>?</v>
      </c>
      <c r="M35" s="0" t="str">
        <f aca="true">IF($F35=0,"NA",IF($A35=INDIRECT("'"&amp;$A35&amp;"'!$B$1"),IF(VLOOKUP(M$1,INDIRECT("'"&amp;$A35&amp;"'!$A$12:$Z$19"),MATCH("Points (Auto-generate)",INDIRECT("'"&amp;$A35&amp;"'!$A$12:$Z$12"),0),0)="","?",VLOOKUP(M$1,INDIRECT("'"&amp;$A35&amp;"'!$A$12:$Z$19"),MATCH("Points (Auto-generate)",INDIRECT("'"&amp;$A35&amp;"'!$A$12:$Z$12"),0),0)),"ER"))</f>
        <v>?</v>
      </c>
    </row>
    <row r="36" customFormat="false" ht="15" hidden="false" customHeight="false" outlineLevel="0" collapsed="false">
      <c r="A36" s="0" t="s">
        <v>245</v>
      </c>
      <c r="B36" s="0" t="str">
        <f aca="false">VLOOKUP($A36,'PARASTATAL Questions'!$A:$J,3,0)&amp;""</f>
        <v>Decentralised Participatory Governance</v>
      </c>
      <c r="C36" s="0" t="str">
        <f aca="false">VLOOKUP($A36,'PARASTATAL Questions'!$A:$J,4,0)&amp;""</f>
        <v>SQ</v>
      </c>
      <c r="D36" s="0" t="str">
        <f aca="false">VLOOKUP($A36,'PARASTATAL Questions'!$A:$J,5,0)&amp;""</f>
        <v>Major plans / projects</v>
      </c>
      <c r="E36" s="0" t="str">
        <f aca="false">VLOOKUP($A36,'PARASTATAL Questions'!$A:$J,7,0)&amp;""</f>
        <v>Implementation</v>
      </c>
      <c r="F36" s="0" t="n">
        <f aca="false">VLOOKUP($A36,'PARASTATAL Questions'!$A:$J,6,0)</f>
        <v>1</v>
      </c>
      <c r="G36" s="0" t="str">
        <f aca="true">IF($F36=0,"NA",IF($A36=INDIRECT("'"&amp;$A36&amp;"'!$B$1"),IF(VLOOKUP(G$1,INDIRECT("'"&amp;$A36&amp;"'!$A$12:$Z$19"),MATCH("Points (Auto-generate)",INDIRECT("'"&amp;$A36&amp;"'!$A$12:$Z$12"),0),0)="","?",VLOOKUP(G$1,INDIRECT("'"&amp;$A36&amp;"'!$A$12:$Z$19"),MATCH("Points (Auto-generate)",INDIRECT("'"&amp;$A36&amp;"'!$A$12:$Z$12"),0),0)),"ER"))</f>
        <v>?</v>
      </c>
      <c r="H36" s="0" t="str">
        <f aca="true">IF($F36=0,"NA",IF($A36=INDIRECT("'"&amp;$A36&amp;"'!$B$1"),IF(VLOOKUP(H$1,INDIRECT("'"&amp;$A36&amp;"'!$A$12:$Z$19"),MATCH("Points (Auto-generate)",INDIRECT("'"&amp;$A36&amp;"'!$A$12:$Z$12"),0),0)="","?",VLOOKUP(H$1,INDIRECT("'"&amp;$A36&amp;"'!$A$12:$Z$19"),MATCH("Points (Auto-generate)",INDIRECT("'"&amp;$A36&amp;"'!$A$12:$Z$12"),0),0)),"ER"))</f>
        <v>?</v>
      </c>
      <c r="I36" s="0" t="str">
        <f aca="true">IF($F36=0,"NA",IF($A36=INDIRECT("'"&amp;$A36&amp;"'!$B$1"),IF(VLOOKUP(I$1,INDIRECT("'"&amp;$A36&amp;"'!$A$12:$Z$19"),MATCH("Points (Auto-generate)",INDIRECT("'"&amp;$A36&amp;"'!$A$12:$Z$12"),0),0)="","?",VLOOKUP(I$1,INDIRECT("'"&amp;$A36&amp;"'!$A$12:$Z$19"),MATCH("Points (Auto-generate)",INDIRECT("'"&amp;$A36&amp;"'!$A$12:$Z$12"),0),0)),"ER"))</f>
        <v>?</v>
      </c>
      <c r="J36" s="0" t="str">
        <f aca="true">IF($F36=0,"NA",IF($A36=INDIRECT("'"&amp;$A36&amp;"'!$B$1"),IF(VLOOKUP(J$1,INDIRECT("'"&amp;$A36&amp;"'!$A$12:$Z$19"),MATCH("Points (Auto-generate)",INDIRECT("'"&amp;$A36&amp;"'!$A$12:$Z$12"),0),0)="","?",VLOOKUP(J$1,INDIRECT("'"&amp;$A36&amp;"'!$A$12:$Z$19"),MATCH("Points (Auto-generate)",INDIRECT("'"&amp;$A36&amp;"'!$A$12:$Z$12"),0),0)),"ER"))</f>
        <v>?</v>
      </c>
      <c r="K36" s="0" t="str">
        <f aca="true">IF($F36=0,"NA",IF($A36=INDIRECT("'"&amp;$A36&amp;"'!$B$1"),IF(VLOOKUP(K$1,INDIRECT("'"&amp;$A36&amp;"'!$A$12:$Z$19"),MATCH("Points (Auto-generate)",INDIRECT("'"&amp;$A36&amp;"'!$A$12:$Z$12"),0),0)="","?",VLOOKUP(K$1,INDIRECT("'"&amp;$A36&amp;"'!$A$12:$Z$19"),MATCH("Points (Auto-generate)",INDIRECT("'"&amp;$A36&amp;"'!$A$12:$Z$12"),0),0)),"ER"))</f>
        <v>?</v>
      </c>
      <c r="L36" s="0" t="str">
        <f aca="true">IF($F36=0,"NA",IF($A36=INDIRECT("'"&amp;$A36&amp;"'!$B$1"),IF(VLOOKUP(L$1,INDIRECT("'"&amp;$A36&amp;"'!$A$12:$Z$19"),MATCH("Points (Auto-generate)",INDIRECT("'"&amp;$A36&amp;"'!$A$12:$Z$12"),0),0)="","?",VLOOKUP(L$1,INDIRECT("'"&amp;$A36&amp;"'!$A$12:$Z$19"),MATCH("Points (Auto-generate)",INDIRECT("'"&amp;$A36&amp;"'!$A$12:$Z$12"),0),0)),"ER"))</f>
        <v>?</v>
      </c>
      <c r="M36" s="0" t="str">
        <f aca="true">IF($F36=0,"NA",IF($A36=INDIRECT("'"&amp;$A36&amp;"'!$B$1"),IF(VLOOKUP(M$1,INDIRECT("'"&amp;$A36&amp;"'!$A$12:$Z$19"),MATCH("Points (Auto-generate)",INDIRECT("'"&amp;$A36&amp;"'!$A$12:$Z$12"),0),0)="","?",VLOOKUP(M$1,INDIRECT("'"&amp;$A36&amp;"'!$A$12:$Z$19"),MATCH("Points (Auto-generate)",INDIRECT("'"&amp;$A36&amp;"'!$A$12:$Z$12"),0),0)),"ER"))</f>
        <v>?</v>
      </c>
    </row>
    <row r="37" customFormat="false" ht="15" hidden="false" customHeight="false" outlineLevel="0" collapsed="false">
      <c r="A37" s="0" t="s">
        <v>253</v>
      </c>
      <c r="B37" s="0" t="str">
        <f aca="false">VLOOKUP($A37,'PARASTATAL Questions'!$A:$J,3,0)&amp;""</f>
        <v>Decentralised Participatory Governance</v>
      </c>
      <c r="C37" s="0" t="str">
        <f aca="false">VLOOKUP($A37,'PARASTATAL Questions'!$A:$J,4,0)&amp;""</f>
        <v>SQ</v>
      </c>
      <c r="D37" s="0" t="str">
        <f aca="false">VLOOKUP($A37,'PARASTATAL Questions'!$A:$J,5,0)&amp;""</f>
        <v>Service-level benchmarks and performance reports</v>
      </c>
      <c r="E37" s="0" t="str">
        <f aca="false">VLOOKUP($A37,'PARASTATAL Questions'!$A:$J,7,0)&amp;""</f>
        <v>Implementation</v>
      </c>
      <c r="F37" s="0" t="n">
        <f aca="false">VLOOKUP($A37,'PARASTATAL Questions'!$A:$J,6,0)</f>
        <v>1</v>
      </c>
      <c r="G37" s="0" t="str">
        <f aca="true">IF($F37=0,"NA",IF($A37=INDIRECT("'"&amp;$A37&amp;"'!$B$1"),IF(VLOOKUP(G$1,INDIRECT("'"&amp;$A37&amp;"'!$A$12:$Z$19"),MATCH("Points (Auto-generate)",INDIRECT("'"&amp;$A37&amp;"'!$A$12:$Z$12"),0),0)="","?",VLOOKUP(G$1,INDIRECT("'"&amp;$A37&amp;"'!$A$12:$Z$19"),MATCH("Points (Auto-generate)",INDIRECT("'"&amp;$A37&amp;"'!$A$12:$Z$12"),0),0)),"ER"))</f>
        <v>?</v>
      </c>
      <c r="H37" s="0" t="str">
        <f aca="true">IF($F37=0,"NA",IF($A37=INDIRECT("'"&amp;$A37&amp;"'!$B$1"),IF(VLOOKUP(H$1,INDIRECT("'"&amp;$A37&amp;"'!$A$12:$Z$19"),MATCH("Points (Auto-generate)",INDIRECT("'"&amp;$A37&amp;"'!$A$12:$Z$12"),0),0)="","?",VLOOKUP(H$1,INDIRECT("'"&amp;$A37&amp;"'!$A$12:$Z$19"),MATCH("Points (Auto-generate)",INDIRECT("'"&amp;$A37&amp;"'!$A$12:$Z$12"),0),0)),"ER"))</f>
        <v>?</v>
      </c>
      <c r="I37" s="0" t="str">
        <f aca="true">IF($F37=0,"NA",IF($A37=INDIRECT("'"&amp;$A37&amp;"'!$B$1"),IF(VLOOKUP(I$1,INDIRECT("'"&amp;$A37&amp;"'!$A$12:$Z$19"),MATCH("Points (Auto-generate)",INDIRECT("'"&amp;$A37&amp;"'!$A$12:$Z$12"),0),0)="","?",VLOOKUP(I$1,INDIRECT("'"&amp;$A37&amp;"'!$A$12:$Z$19"),MATCH("Points (Auto-generate)",INDIRECT("'"&amp;$A37&amp;"'!$A$12:$Z$12"),0),0)),"ER"))</f>
        <v>?</v>
      </c>
      <c r="J37" s="0" t="str">
        <f aca="true">IF($F37=0,"NA",IF($A37=INDIRECT("'"&amp;$A37&amp;"'!$B$1"),IF(VLOOKUP(J$1,INDIRECT("'"&amp;$A37&amp;"'!$A$12:$Z$19"),MATCH("Points (Auto-generate)",INDIRECT("'"&amp;$A37&amp;"'!$A$12:$Z$12"),0),0)="","?",VLOOKUP(J$1,INDIRECT("'"&amp;$A37&amp;"'!$A$12:$Z$19"),MATCH("Points (Auto-generate)",INDIRECT("'"&amp;$A37&amp;"'!$A$12:$Z$12"),0),0)),"ER"))</f>
        <v>?</v>
      </c>
      <c r="K37" s="0" t="n">
        <f aca="true">IF($F37=0,"NA",IF($A37=INDIRECT("'"&amp;$A37&amp;"'!$B$1"),IF(VLOOKUP(K$1,INDIRECT("'"&amp;$A37&amp;"'!$A$12:$Z$19"),MATCH("Points (Auto-generate)",INDIRECT("'"&amp;$A37&amp;"'!$A$12:$Z$12"),0),0)="","?",VLOOKUP(K$1,INDIRECT("'"&amp;$A37&amp;"'!$A$12:$Z$19"),MATCH("Points (Auto-generate)",INDIRECT("'"&amp;$A37&amp;"'!$A$12:$Z$12"),0),0)),"ER"))</f>
        <v>0</v>
      </c>
      <c r="L37" s="0" t="str">
        <f aca="true">IF($F37=0,"NA",IF($A37=INDIRECT("'"&amp;$A37&amp;"'!$B$1"),IF(VLOOKUP(L$1,INDIRECT("'"&amp;$A37&amp;"'!$A$12:$Z$19"),MATCH("Points (Auto-generate)",INDIRECT("'"&amp;$A37&amp;"'!$A$12:$Z$12"),0),0)="","?",VLOOKUP(L$1,INDIRECT("'"&amp;$A37&amp;"'!$A$12:$Z$19"),MATCH("Points (Auto-generate)",INDIRECT("'"&amp;$A37&amp;"'!$A$12:$Z$12"),0),0)),"ER"))</f>
        <v>?</v>
      </c>
      <c r="M37" s="0" t="str">
        <f aca="true">IF($F37=0,"NA",IF($A37=INDIRECT("'"&amp;$A37&amp;"'!$B$1"),IF(VLOOKUP(M$1,INDIRECT("'"&amp;$A37&amp;"'!$A$12:$Z$19"),MATCH("Points (Auto-generate)",INDIRECT("'"&amp;$A37&amp;"'!$A$12:$Z$12"),0),0)="","?",VLOOKUP(M$1,INDIRECT("'"&amp;$A37&amp;"'!$A$12:$Z$19"),MATCH("Points (Auto-generate)",INDIRECT("'"&amp;$A37&amp;"'!$A$12:$Z$12"),0),0)),"ER"))</f>
        <v>?</v>
      </c>
    </row>
    <row r="38" customFormat="false" ht="15" hidden="false" customHeight="false" outlineLevel="0" collapsed="false">
      <c r="A38" s="0" t="s">
        <v>265</v>
      </c>
      <c r="B38" s="0" t="str">
        <f aca="false">VLOOKUP($A38,'PARASTATAL Questions'!$A:$J,3,0)&amp;""</f>
        <v>Decentralised Participatory Governance</v>
      </c>
      <c r="C38" s="0" t="str">
        <f aca="false">VLOOKUP($A38,'PARASTATAL Questions'!$A:$J,4,0)&amp;""</f>
        <v>SQ</v>
      </c>
      <c r="D38" s="0" t="str">
        <f aca="false">VLOOKUP($A38,'PARASTATAL Questions'!$A:$J,5,0)&amp;""</f>
        <v>Citizen / Service Charter</v>
      </c>
      <c r="E38" s="0" t="str">
        <f aca="false">VLOOKUP($A38,'PARASTATAL Questions'!$A:$J,7,0)&amp;""</f>
        <v>Implementation</v>
      </c>
      <c r="F38" s="0" t="n">
        <f aca="false">VLOOKUP($A38,'PARASTATAL Questions'!$A:$J,6,0)</f>
        <v>1</v>
      </c>
      <c r="G38" s="0" t="str">
        <f aca="true">IF($F38=0,"NA",IF($A38=INDIRECT("'"&amp;$A38&amp;"'!$B$1"),IF(VLOOKUP(G$1,INDIRECT("'"&amp;$A38&amp;"'!$A$12:$Z$19"),MATCH("Points (Auto-generate)",INDIRECT("'"&amp;$A38&amp;"'!$A$12:$Z$12"),0),0)="","?",VLOOKUP(G$1,INDIRECT("'"&amp;$A38&amp;"'!$A$12:$Z$19"),MATCH("Points (Auto-generate)",INDIRECT("'"&amp;$A38&amp;"'!$A$12:$Z$12"),0),0)),"ER"))</f>
        <v>?</v>
      </c>
      <c r="H38" s="0" t="str">
        <f aca="true">IF($F38=0,"NA",IF($A38=INDIRECT("'"&amp;$A38&amp;"'!$B$1"),IF(VLOOKUP(H$1,INDIRECT("'"&amp;$A38&amp;"'!$A$12:$Z$19"),MATCH("Points (Auto-generate)",INDIRECT("'"&amp;$A38&amp;"'!$A$12:$Z$12"),0),0)="","?",VLOOKUP(H$1,INDIRECT("'"&amp;$A38&amp;"'!$A$12:$Z$19"),MATCH("Points (Auto-generate)",INDIRECT("'"&amp;$A38&amp;"'!$A$12:$Z$12"),0),0)),"ER"))</f>
        <v>?</v>
      </c>
      <c r="I38" s="0" t="str">
        <f aca="true">IF($F38=0,"NA",IF($A38=INDIRECT("'"&amp;$A38&amp;"'!$B$1"),IF(VLOOKUP(I$1,INDIRECT("'"&amp;$A38&amp;"'!$A$12:$Z$19"),MATCH("Points (Auto-generate)",INDIRECT("'"&amp;$A38&amp;"'!$A$12:$Z$12"),0),0)="","?",VLOOKUP(I$1,INDIRECT("'"&amp;$A38&amp;"'!$A$12:$Z$19"),MATCH("Points (Auto-generate)",INDIRECT("'"&amp;$A38&amp;"'!$A$12:$Z$12"),0),0)),"ER"))</f>
        <v>?</v>
      </c>
      <c r="J38" s="0" t="str">
        <f aca="true">IF($F38=0,"NA",IF($A38=INDIRECT("'"&amp;$A38&amp;"'!$B$1"),IF(VLOOKUP(J$1,INDIRECT("'"&amp;$A38&amp;"'!$A$12:$Z$19"),MATCH("Points (Auto-generate)",INDIRECT("'"&amp;$A38&amp;"'!$A$12:$Z$12"),0),0)="","?",VLOOKUP(J$1,INDIRECT("'"&amp;$A38&amp;"'!$A$12:$Z$19"),MATCH("Points (Auto-generate)",INDIRECT("'"&amp;$A38&amp;"'!$A$12:$Z$12"),0),0)),"ER"))</f>
        <v>?</v>
      </c>
      <c r="K38" s="0" t="str">
        <f aca="true">IF($F38=0,"NA",IF($A38=INDIRECT("'"&amp;$A38&amp;"'!$B$1"),IF(VLOOKUP(K$1,INDIRECT("'"&amp;$A38&amp;"'!$A$12:$Z$19"),MATCH("Points (Auto-generate)",INDIRECT("'"&amp;$A38&amp;"'!$A$12:$Z$12"),0),0)="","?",VLOOKUP(K$1,INDIRECT("'"&amp;$A38&amp;"'!$A$12:$Z$19"),MATCH("Points (Auto-generate)",INDIRECT("'"&amp;$A38&amp;"'!$A$12:$Z$12"),0),0)),"ER"))</f>
        <v>?</v>
      </c>
      <c r="L38" s="0" t="str">
        <f aca="true">IF($F38=0,"NA",IF($A38=INDIRECT("'"&amp;$A38&amp;"'!$B$1"),IF(VLOOKUP(L$1,INDIRECT("'"&amp;$A38&amp;"'!$A$12:$Z$19"),MATCH("Points (Auto-generate)",INDIRECT("'"&amp;$A38&amp;"'!$A$12:$Z$12"),0),0)="","?",VLOOKUP(L$1,INDIRECT("'"&amp;$A38&amp;"'!$A$12:$Z$19"),MATCH("Points (Auto-generate)",INDIRECT("'"&amp;$A38&amp;"'!$A$12:$Z$12"),0),0)),"ER"))</f>
        <v>?</v>
      </c>
      <c r="M38" s="0" t="str">
        <f aca="true">IF($F38=0,"NA",IF($A38=INDIRECT("'"&amp;$A38&amp;"'!$B$1"),IF(VLOOKUP(M$1,INDIRECT("'"&amp;$A38&amp;"'!$A$12:$Z$19"),MATCH("Points (Auto-generate)",INDIRECT("'"&amp;$A38&amp;"'!$A$12:$Z$12"),0),0)="","?",VLOOKUP(M$1,INDIRECT("'"&amp;$A38&amp;"'!$A$12:$Z$19"),MATCH("Points (Auto-generate)",INDIRECT("'"&amp;$A38&amp;"'!$A$12:$Z$12"),0),0)),"ER"))</f>
        <v>?</v>
      </c>
    </row>
    <row r="39" customFormat="false" ht="15" hidden="false" customHeight="false" outlineLevel="0" collapsed="false">
      <c r="A39" s="0" t="s">
        <v>275</v>
      </c>
      <c r="B39" s="0" t="str">
        <f aca="false">VLOOKUP($A39,'PARASTATAL Questions'!$A:$J,3,0)&amp;""</f>
        <v>Decentralised Participatory Governance</v>
      </c>
      <c r="C39" s="0" t="str">
        <f aca="false">VLOOKUP($A39,'PARASTATAL Questions'!$A:$J,4,0)&amp;""</f>
        <v>SQ</v>
      </c>
      <c r="D39" s="0" t="str">
        <f aca="false">VLOOKUP($A39,'PARASTATAL Questions'!$A:$J,5,0)&amp;""</f>
        <v>RTI details and designated Public Information Officer contact/procedure</v>
      </c>
      <c r="E39" s="0" t="str">
        <f aca="false">VLOOKUP($A39,'PARASTATAL Questions'!$A:$J,7,0)&amp;""</f>
        <v>Implementation</v>
      </c>
      <c r="F39" s="0" t="n">
        <f aca="false">VLOOKUP($A39,'PARASTATAL Questions'!$A:$J,6,0)</f>
        <v>1</v>
      </c>
      <c r="G39" s="0" t="str">
        <f aca="true">IF($F39=0,"NA",IF($A39=INDIRECT("'"&amp;$A39&amp;"'!$B$1"),IF(VLOOKUP(G$1,INDIRECT("'"&amp;$A39&amp;"'!$A$12:$Z$19"),MATCH("Points (Auto-generate)",INDIRECT("'"&amp;$A39&amp;"'!$A$12:$Z$12"),0),0)="","?",VLOOKUP(G$1,INDIRECT("'"&amp;$A39&amp;"'!$A$12:$Z$19"),MATCH("Points (Auto-generate)",INDIRECT("'"&amp;$A39&amp;"'!$A$12:$Z$12"),0),0)),"ER"))</f>
        <v>?</v>
      </c>
      <c r="H39" s="0" t="str">
        <f aca="true">IF($F39=0,"NA",IF($A39=INDIRECT("'"&amp;$A39&amp;"'!$B$1"),IF(VLOOKUP(H$1,INDIRECT("'"&amp;$A39&amp;"'!$A$12:$Z$19"),MATCH("Points (Auto-generate)",INDIRECT("'"&amp;$A39&amp;"'!$A$12:$Z$12"),0),0)="","?",VLOOKUP(H$1,INDIRECT("'"&amp;$A39&amp;"'!$A$12:$Z$19"),MATCH("Points (Auto-generate)",INDIRECT("'"&amp;$A39&amp;"'!$A$12:$Z$12"),0),0)),"ER"))</f>
        <v>?</v>
      </c>
      <c r="I39" s="0" t="str">
        <f aca="true">IF($F39=0,"NA",IF($A39=INDIRECT("'"&amp;$A39&amp;"'!$B$1"),IF(VLOOKUP(I$1,INDIRECT("'"&amp;$A39&amp;"'!$A$12:$Z$19"),MATCH("Points (Auto-generate)",INDIRECT("'"&amp;$A39&amp;"'!$A$12:$Z$12"),0),0)="","?",VLOOKUP(I$1,INDIRECT("'"&amp;$A39&amp;"'!$A$12:$Z$19"),MATCH("Points (Auto-generate)",INDIRECT("'"&amp;$A39&amp;"'!$A$12:$Z$12"),0),0)),"ER"))</f>
        <v>?</v>
      </c>
      <c r="J39" s="0" t="str">
        <f aca="true">IF($F39=0,"NA",IF($A39=INDIRECT("'"&amp;$A39&amp;"'!$B$1"),IF(VLOOKUP(J$1,INDIRECT("'"&amp;$A39&amp;"'!$A$12:$Z$19"),MATCH("Points (Auto-generate)",INDIRECT("'"&amp;$A39&amp;"'!$A$12:$Z$12"),0),0)="","?",VLOOKUP(J$1,INDIRECT("'"&amp;$A39&amp;"'!$A$12:$Z$19"),MATCH("Points (Auto-generate)",INDIRECT("'"&amp;$A39&amp;"'!$A$12:$Z$12"),0),0)),"ER"))</f>
        <v>?</v>
      </c>
      <c r="K39" s="0" t="str">
        <f aca="true">IF($F39=0,"NA",IF($A39=INDIRECT("'"&amp;$A39&amp;"'!$B$1"),IF(VLOOKUP(K$1,INDIRECT("'"&amp;$A39&amp;"'!$A$12:$Z$19"),MATCH("Points (Auto-generate)",INDIRECT("'"&amp;$A39&amp;"'!$A$12:$Z$12"),0),0)="","?",VLOOKUP(K$1,INDIRECT("'"&amp;$A39&amp;"'!$A$12:$Z$19"),MATCH("Points (Auto-generate)",INDIRECT("'"&amp;$A39&amp;"'!$A$12:$Z$12"),0),0)),"ER"))</f>
        <v>?</v>
      </c>
      <c r="L39" s="0" t="str">
        <f aca="true">IF($F39=0,"NA",IF($A39=INDIRECT("'"&amp;$A39&amp;"'!$B$1"),IF(VLOOKUP(L$1,INDIRECT("'"&amp;$A39&amp;"'!$A$12:$Z$19"),MATCH("Points (Auto-generate)",INDIRECT("'"&amp;$A39&amp;"'!$A$12:$Z$12"),0),0)="","?",VLOOKUP(L$1,INDIRECT("'"&amp;$A39&amp;"'!$A$12:$Z$19"),MATCH("Points (Auto-generate)",INDIRECT("'"&amp;$A39&amp;"'!$A$12:$Z$12"),0),0)),"ER"))</f>
        <v>?</v>
      </c>
      <c r="M39" s="0" t="str">
        <f aca="true">IF($F39=0,"NA",IF($A39=INDIRECT("'"&amp;$A39&amp;"'!$B$1"),IF(VLOOKUP(M$1,INDIRECT("'"&amp;$A39&amp;"'!$A$12:$Z$19"),MATCH("Points (Auto-generate)",INDIRECT("'"&amp;$A39&amp;"'!$A$12:$Z$12"),0),0)="","?",VLOOKUP(M$1,INDIRECT("'"&amp;$A39&amp;"'!$A$12:$Z$19"),MATCH("Points (Auto-generate)",INDIRECT("'"&amp;$A39&amp;"'!$A$12:$Z$12"),0),0)),"ER"))</f>
        <v>?</v>
      </c>
    </row>
    <row r="40" customFormat="false" ht="15" hidden="false" customHeight="false" outlineLevel="0" collapsed="false">
      <c r="A40" s="0" t="s">
        <v>286</v>
      </c>
      <c r="B40" s="0" t="str">
        <f aca="false">VLOOKUP($A40,'PARASTATAL Questions'!$A:$J,3,0)&amp;""</f>
        <v>Decentralised Participatory Governance</v>
      </c>
      <c r="C40" s="0" t="str">
        <f aca="false">VLOOKUP($A40,'PARASTATAL Questions'!$A:$J,4,0)&amp;""</f>
        <v>SQ</v>
      </c>
      <c r="D40" s="0" t="str">
        <f aca="false">VLOOKUP($A40,'PARASTATAL Questions'!$A:$J,5,0)&amp;""</f>
        <v>Procurement / tender notices and awarded-contract details</v>
      </c>
      <c r="E40" s="0" t="str">
        <f aca="false">VLOOKUP($A40,'PARASTATAL Questions'!$A:$J,7,0)&amp;""</f>
        <v>Implementation</v>
      </c>
      <c r="F40" s="0" t="n">
        <f aca="false">VLOOKUP($A40,'PARASTATAL Questions'!$A:$J,6,0)</f>
        <v>1</v>
      </c>
      <c r="G40" s="0" t="str">
        <f aca="true">IF($F40=0,"NA",IF($A40=INDIRECT("'"&amp;$A40&amp;"'!$B$1"),IF(VLOOKUP(G$1,INDIRECT("'"&amp;$A40&amp;"'!$A$12:$Z$19"),MATCH("Points (Auto-generate)",INDIRECT("'"&amp;$A40&amp;"'!$A$12:$Z$12"),0),0)="","?",VLOOKUP(G$1,INDIRECT("'"&amp;$A40&amp;"'!$A$12:$Z$19"),MATCH("Points (Auto-generate)",INDIRECT("'"&amp;$A40&amp;"'!$A$12:$Z$12"),0),0)),"ER"))</f>
        <v>?</v>
      </c>
      <c r="H40" s="0" t="str">
        <f aca="true">IF($F40=0,"NA",IF($A40=INDIRECT("'"&amp;$A40&amp;"'!$B$1"),IF(VLOOKUP(H$1,INDIRECT("'"&amp;$A40&amp;"'!$A$12:$Z$19"),MATCH("Points (Auto-generate)",INDIRECT("'"&amp;$A40&amp;"'!$A$12:$Z$12"),0),0)="","?",VLOOKUP(H$1,INDIRECT("'"&amp;$A40&amp;"'!$A$12:$Z$19"),MATCH("Points (Auto-generate)",INDIRECT("'"&amp;$A40&amp;"'!$A$12:$Z$12"),0),0)),"ER"))</f>
        <v>?</v>
      </c>
      <c r="I40" s="0" t="str">
        <f aca="true">IF($F40=0,"NA",IF($A40=INDIRECT("'"&amp;$A40&amp;"'!$B$1"),IF(VLOOKUP(I$1,INDIRECT("'"&amp;$A40&amp;"'!$A$12:$Z$19"),MATCH("Points (Auto-generate)",INDIRECT("'"&amp;$A40&amp;"'!$A$12:$Z$12"),0),0)="","?",VLOOKUP(I$1,INDIRECT("'"&amp;$A40&amp;"'!$A$12:$Z$19"),MATCH("Points (Auto-generate)",INDIRECT("'"&amp;$A40&amp;"'!$A$12:$Z$12"),0),0)),"ER"))</f>
        <v>?</v>
      </c>
      <c r="J40" s="0" t="str">
        <f aca="true">IF($F40=0,"NA",IF($A40=INDIRECT("'"&amp;$A40&amp;"'!$B$1"),IF(VLOOKUP(J$1,INDIRECT("'"&amp;$A40&amp;"'!$A$12:$Z$19"),MATCH("Points (Auto-generate)",INDIRECT("'"&amp;$A40&amp;"'!$A$12:$Z$12"),0),0)="","?",VLOOKUP(J$1,INDIRECT("'"&amp;$A40&amp;"'!$A$12:$Z$19"),MATCH("Points (Auto-generate)",INDIRECT("'"&amp;$A40&amp;"'!$A$12:$Z$12"),0),0)),"ER"))</f>
        <v>?</v>
      </c>
      <c r="K40" s="0" t="str">
        <f aca="true">IF($F40=0,"NA",IF($A40=INDIRECT("'"&amp;$A40&amp;"'!$B$1"),IF(VLOOKUP(K$1,INDIRECT("'"&amp;$A40&amp;"'!$A$12:$Z$19"),MATCH("Points (Auto-generate)",INDIRECT("'"&amp;$A40&amp;"'!$A$12:$Z$12"),0),0)="","?",VLOOKUP(K$1,INDIRECT("'"&amp;$A40&amp;"'!$A$12:$Z$19"),MATCH("Points (Auto-generate)",INDIRECT("'"&amp;$A40&amp;"'!$A$12:$Z$12"),0),0)),"ER"))</f>
        <v>?</v>
      </c>
      <c r="L40" s="0" t="str">
        <f aca="true">IF($F40=0,"NA",IF($A40=INDIRECT("'"&amp;$A40&amp;"'!$B$1"),IF(VLOOKUP(L$1,INDIRECT("'"&amp;$A40&amp;"'!$A$12:$Z$19"),MATCH("Points (Auto-generate)",INDIRECT("'"&amp;$A40&amp;"'!$A$12:$Z$12"),0),0)="","?",VLOOKUP(L$1,INDIRECT("'"&amp;$A40&amp;"'!$A$12:$Z$19"),MATCH("Points (Auto-generate)",INDIRECT("'"&amp;$A40&amp;"'!$A$12:$Z$12"),0),0)),"ER"))</f>
        <v>?</v>
      </c>
      <c r="M40" s="0" t="str">
        <f aca="true">IF($F40=0,"NA",IF($A40=INDIRECT("'"&amp;$A40&amp;"'!$B$1"),IF(VLOOKUP(M$1,INDIRECT("'"&amp;$A40&amp;"'!$A$12:$Z$19"),MATCH("Points (Auto-generate)",INDIRECT("'"&amp;$A40&amp;"'!$A$12:$Z$12"),0),0)="","?",VLOOKUP(M$1,INDIRECT("'"&amp;$A40&amp;"'!$A$12:$Z$19"),MATCH("Points (Auto-generate)",INDIRECT("'"&amp;$A40&amp;"'!$A$12:$Z$12"),0),0)),"ER"))</f>
        <v>?</v>
      </c>
    </row>
    <row r="41" customFormat="false" ht="15" hidden="false" customHeight="false" outlineLevel="0" collapsed="false">
      <c r="A41" s="8" t="s">
        <v>444</v>
      </c>
      <c r="B41" s="8" t="str">
        <f aca="false">VLOOKUP($A41,'PARASTATAL Questions'!$A:$J,3,0)&amp;""</f>
        <v>Decentralised Participatory Governance</v>
      </c>
      <c r="C41" s="8" t="str">
        <f aca="false">VLOOKUP($A41,'PARASTATAL Questions'!$A:$J,4,0)&amp;""</f>
        <v>MQ</v>
      </c>
      <c r="D41" s="8" t="str">
        <f aca="false">VLOOKUP($A41,'PARASTATAL Questions'!$A:$J,5,0)&amp;""</f>
        <v>Does the parastatal provide for and maintain an accessible grievance-redressal mechanism?</v>
      </c>
      <c r="E41" s="8" t="str">
        <f aca="false">VLOOKUP($A41,'PARASTATAL Questions'!$A:$J,7,0)&amp;""</f>
        <v>Institutional Design</v>
      </c>
      <c r="F41" s="8" t="n">
        <f aca="false">VLOOKUP($A41,'PARASTATAL Questions'!$A:$J,6,0)</f>
        <v>10</v>
      </c>
      <c r="G41" s="8" t="str">
        <f aca="false">IF(OR(G42="ER",G43="ER"),"ER",IF(OR(G42="?",G43="?"),"?",IF(AND(G42="NA",G43="NA"),"NA",SUM(G42,G43)/((G42&lt;&gt;"NA")*$F$42+(G43&lt;&gt;"NA")*$F$43)*$F41)))</f>
        <v>?</v>
      </c>
      <c r="H41" s="8" t="str">
        <f aca="false">IF(OR(H42="ER",H43="ER"),"ER",IF(OR(H42="?",H43="?"),"?",IF(AND(H42="NA",H43="NA"),"NA",SUM(H42,H43)/((H42&lt;&gt;"NA")*$F$42+(H43&lt;&gt;"NA")*$F$43)*$F41)))</f>
        <v>?</v>
      </c>
      <c r="I41" s="8" t="str">
        <f aca="false">IF(OR(I42="ER",I43="ER"),"ER",IF(OR(I42="?",I43="?"),"?",IF(AND(I42="NA",I43="NA"),"NA",SUM(I42,I43)/((I42&lt;&gt;"NA")*$F$42+(I43&lt;&gt;"NA")*$F$43)*$F41)))</f>
        <v>?</v>
      </c>
      <c r="J41" s="8" t="str">
        <f aca="false">IF(OR(J42="ER",J43="ER"),"ER",IF(OR(J42="?",J43="?"),"?",IF(AND(J42="NA",J43="NA"),"NA",SUM(J42,J43)/((J42&lt;&gt;"NA")*$F$42+(J43&lt;&gt;"NA")*$F$43)*$F41)))</f>
        <v>?</v>
      </c>
      <c r="K41" s="8" t="str">
        <f aca="false">IF(OR(K42="ER",K43="ER"),"ER",IF(OR(K42="?",K43="?"),"?",IF(AND(K42="NA",K43="NA"),"NA",SUM(K42,K43)/((K42&lt;&gt;"NA")*$F$42+(K43&lt;&gt;"NA")*$F$43)*$F41)))</f>
        <v>?</v>
      </c>
      <c r="L41" s="8" t="str">
        <f aca="false">IF(OR(L42="ER",L43="ER"),"ER",IF(OR(L42="?",L43="?"),"?",IF(AND(L42="NA",L43="NA"),"NA",SUM(L42,L43)/((L42&lt;&gt;"NA")*$F$42+(L43&lt;&gt;"NA")*$F$43)*$F41)))</f>
        <v>?</v>
      </c>
      <c r="M41" s="8" t="str">
        <f aca="false">IF(OR(M42="ER",M43="ER"),"ER",IF(OR(M42="?",M43="?"),"?",IF(AND(M42="NA",M43="NA"),"NA",SUM(M42,M43)/((M42&lt;&gt;"NA")*$F$42+(M43&lt;&gt;"NA")*$F$43)*$F41)))</f>
        <v>?</v>
      </c>
    </row>
    <row r="42" customFormat="false" ht="15" hidden="false" customHeight="false" outlineLevel="0" collapsed="false">
      <c r="A42" s="0" t="s">
        <v>300</v>
      </c>
      <c r="B42" s="0" t="str">
        <f aca="false">VLOOKUP($A42,'PARASTATAL Questions'!$A:$J,3,0)&amp;""</f>
        <v>Decentralised Participatory Governance</v>
      </c>
      <c r="C42" s="0" t="str">
        <f aca="false">VLOOKUP($A42,'PARASTATAL Questions'!$A:$J,4,0)&amp;""</f>
        <v>SQ</v>
      </c>
      <c r="D42" s="0" t="str">
        <f aca="false">VLOOKUP($A42,'PARASTATAL Questions'!$A:$J,5,0)&amp;""</f>
        <v>Is the parastatal mandated to provide a grievance-redressal mechanism?</v>
      </c>
      <c r="E42" s="0" t="str">
        <f aca="false">VLOOKUP($A42,'PARASTATAL Questions'!$A:$J,7,0)&amp;""</f>
        <v>Law/Policy</v>
      </c>
      <c r="F42" s="0" t="n">
        <f aca="false">VLOOKUP($A42,'PARASTATAL Questions'!$A:$J,6,0)</f>
        <v>5</v>
      </c>
      <c r="G42" s="0" t="n">
        <f aca="true">IF($F42=0,"NA",IF($A42=INDIRECT("'"&amp;$A42&amp;"'!$B$1"),IF(VLOOKUP(G$1,INDIRECT("'"&amp;$A42&amp;"'!$A$12:$Z$19"),MATCH("Points (Auto-generate)",INDIRECT("'"&amp;$A42&amp;"'!$A$12:$Z$12"),0),0)="","?",VLOOKUP(G$1,INDIRECT("'"&amp;$A42&amp;"'!$A$12:$Z$19"),MATCH("Points (Auto-generate)",INDIRECT("'"&amp;$A42&amp;"'!$A$12:$Z$12"),0),0)),"ER"))</f>
        <v>5</v>
      </c>
      <c r="H42" s="0" t="str">
        <f aca="true">IF($F42=0,"NA",IF($A42=INDIRECT("'"&amp;$A42&amp;"'!$B$1"),IF(VLOOKUP(H$1,INDIRECT("'"&amp;$A42&amp;"'!$A$12:$Z$19"),MATCH("Points (Auto-generate)",INDIRECT("'"&amp;$A42&amp;"'!$A$12:$Z$12"),0),0)="","?",VLOOKUP(H$1,INDIRECT("'"&amp;$A42&amp;"'!$A$12:$Z$19"),MATCH("Points (Auto-generate)",INDIRECT("'"&amp;$A42&amp;"'!$A$12:$Z$12"),0),0)),"ER"))</f>
        <v>?</v>
      </c>
      <c r="I42" s="0" t="n">
        <f aca="true">IF($F42=0,"NA",IF($A42=INDIRECT("'"&amp;$A42&amp;"'!$B$1"),IF(VLOOKUP(I$1,INDIRECT("'"&amp;$A42&amp;"'!$A$12:$Z$19"),MATCH("Points (Auto-generate)",INDIRECT("'"&amp;$A42&amp;"'!$A$12:$Z$12"),0),0)="","?",VLOOKUP(I$1,INDIRECT("'"&amp;$A42&amp;"'!$A$12:$Z$19"),MATCH("Points (Auto-generate)",INDIRECT("'"&amp;$A42&amp;"'!$A$12:$Z$12"),0),0)),"ER"))</f>
        <v>0</v>
      </c>
      <c r="J42" s="0" t="str">
        <f aca="true">IF($F42=0,"NA",IF($A42=INDIRECT("'"&amp;$A42&amp;"'!$B$1"),IF(VLOOKUP(J$1,INDIRECT("'"&amp;$A42&amp;"'!$A$12:$Z$19"),MATCH("Points (Auto-generate)",INDIRECT("'"&amp;$A42&amp;"'!$A$12:$Z$12"),0),0)="","?",VLOOKUP(J$1,INDIRECT("'"&amp;$A42&amp;"'!$A$12:$Z$19"),MATCH("Points (Auto-generate)",INDIRECT("'"&amp;$A42&amp;"'!$A$12:$Z$12"),0),0)),"ER"))</f>
        <v>?</v>
      </c>
      <c r="K42" s="0" t="str">
        <f aca="true">IF($F42=0,"NA",IF($A42=INDIRECT("'"&amp;$A42&amp;"'!$B$1"),IF(VLOOKUP(K$1,INDIRECT("'"&amp;$A42&amp;"'!$A$12:$Z$19"),MATCH("Points (Auto-generate)",INDIRECT("'"&amp;$A42&amp;"'!$A$12:$Z$12"),0),0)="","?",VLOOKUP(K$1,INDIRECT("'"&amp;$A42&amp;"'!$A$12:$Z$19"),MATCH("Points (Auto-generate)",INDIRECT("'"&amp;$A42&amp;"'!$A$12:$Z$12"),0),0)),"ER"))</f>
        <v>?</v>
      </c>
      <c r="L42" s="0" t="str">
        <f aca="true">IF($F42=0,"NA",IF($A42=INDIRECT("'"&amp;$A42&amp;"'!$B$1"),IF(VLOOKUP(L$1,INDIRECT("'"&amp;$A42&amp;"'!$A$12:$Z$19"),MATCH("Points (Auto-generate)",INDIRECT("'"&amp;$A42&amp;"'!$A$12:$Z$12"),0),0)="","?",VLOOKUP(L$1,INDIRECT("'"&amp;$A42&amp;"'!$A$12:$Z$19"),MATCH("Points (Auto-generate)",INDIRECT("'"&amp;$A42&amp;"'!$A$12:$Z$12"),0),0)),"ER"))</f>
        <v>?</v>
      </c>
      <c r="M42" s="0" t="str">
        <f aca="true">IF($F42=0,"NA",IF($A42=INDIRECT("'"&amp;$A42&amp;"'!$B$1"),IF(VLOOKUP(M$1,INDIRECT("'"&amp;$A42&amp;"'!$A$12:$Z$19"),MATCH("Points (Auto-generate)",INDIRECT("'"&amp;$A42&amp;"'!$A$12:$Z$12"),0),0)="","?",VLOOKUP(M$1,INDIRECT("'"&amp;$A42&amp;"'!$A$12:$Z$19"),MATCH("Points (Auto-generate)",INDIRECT("'"&amp;$A42&amp;"'!$A$12:$Z$12"),0),0)),"ER"))</f>
        <v>?</v>
      </c>
    </row>
    <row r="43" customFormat="false" ht="15" hidden="false" customHeight="false" outlineLevel="0" collapsed="false">
      <c r="A43" s="0" t="s">
        <v>310</v>
      </c>
      <c r="B43" s="0" t="str">
        <f aca="false">VLOOKUP($A43,'PARASTATAL Questions'!$A:$J,3,0)&amp;""</f>
        <v>Decentralised Participatory Governance</v>
      </c>
      <c r="C43" s="0" t="str">
        <f aca="false">VLOOKUP($A43,'PARASTATAL Questions'!$A:$J,4,0)&amp;""</f>
        <v>SQ</v>
      </c>
      <c r="D43" s="0" t="str">
        <f aca="false">VLOOKUP($A43,'PARASTATAL Questions'!$A:$J,5,0)&amp;""</f>
        <v>Are accessible grievance-redressal channels available and functional in practice?</v>
      </c>
      <c r="E43" s="0" t="str">
        <f aca="false">VLOOKUP($A43,'PARASTATAL Questions'!$A:$J,7,0)&amp;""</f>
        <v>Implementation</v>
      </c>
      <c r="F43" s="0" t="n">
        <f aca="false">VLOOKUP($A43,'PARASTATAL Questions'!$A:$J,6,0)</f>
        <v>5</v>
      </c>
      <c r="G43" s="0" t="str">
        <f aca="true">IF($F43=0,"NA",IF($A43=INDIRECT("'"&amp;$A43&amp;"'!$B$1"),IF(VLOOKUP(G$1,INDIRECT("'"&amp;$A43&amp;"'!$A$12:$Z$19"),MATCH("Points (Auto-generate)",INDIRECT("'"&amp;$A43&amp;"'!$A$12:$Z$12"),0),0)="","?",VLOOKUP(G$1,INDIRECT("'"&amp;$A43&amp;"'!$A$12:$Z$19"),MATCH("Points (Auto-generate)",INDIRECT("'"&amp;$A43&amp;"'!$A$12:$Z$12"),0),0)),"ER"))</f>
        <v>?</v>
      </c>
      <c r="H43" s="0" t="str">
        <f aca="true">IF($F43=0,"NA",IF($A43=INDIRECT("'"&amp;$A43&amp;"'!$B$1"),IF(VLOOKUP(H$1,INDIRECT("'"&amp;$A43&amp;"'!$A$12:$Z$19"),MATCH("Points (Auto-generate)",INDIRECT("'"&amp;$A43&amp;"'!$A$12:$Z$12"),0),0)="","?",VLOOKUP(H$1,INDIRECT("'"&amp;$A43&amp;"'!$A$12:$Z$19"),MATCH("Points (Auto-generate)",INDIRECT("'"&amp;$A43&amp;"'!$A$12:$Z$12"),0),0)),"ER"))</f>
        <v>?</v>
      </c>
      <c r="I43" s="0" t="str">
        <f aca="true">IF($F43=0,"NA",IF($A43=INDIRECT("'"&amp;$A43&amp;"'!$B$1"),IF(VLOOKUP(I$1,INDIRECT("'"&amp;$A43&amp;"'!$A$12:$Z$19"),MATCH("Points (Auto-generate)",INDIRECT("'"&amp;$A43&amp;"'!$A$12:$Z$12"),0),0)="","?",VLOOKUP(I$1,INDIRECT("'"&amp;$A43&amp;"'!$A$12:$Z$19"),MATCH("Points (Auto-generate)",INDIRECT("'"&amp;$A43&amp;"'!$A$12:$Z$12"),0),0)),"ER"))</f>
        <v>?</v>
      </c>
      <c r="J43" s="0" t="str">
        <f aca="true">IF($F43=0,"NA",IF($A43=INDIRECT("'"&amp;$A43&amp;"'!$B$1"),IF(VLOOKUP(J$1,INDIRECT("'"&amp;$A43&amp;"'!$A$12:$Z$19"),MATCH("Points (Auto-generate)",INDIRECT("'"&amp;$A43&amp;"'!$A$12:$Z$12"),0),0)="","?",VLOOKUP(J$1,INDIRECT("'"&amp;$A43&amp;"'!$A$12:$Z$19"),MATCH("Points (Auto-generate)",INDIRECT("'"&amp;$A43&amp;"'!$A$12:$Z$12"),0),0)),"ER"))</f>
        <v>?</v>
      </c>
      <c r="K43" s="0" t="str">
        <f aca="true">IF($F43=0,"NA",IF($A43=INDIRECT("'"&amp;$A43&amp;"'!$B$1"),IF(VLOOKUP(K$1,INDIRECT("'"&amp;$A43&amp;"'!$A$12:$Z$19"),MATCH("Points (Auto-generate)",INDIRECT("'"&amp;$A43&amp;"'!$A$12:$Z$12"),0),0)="","?",VLOOKUP(K$1,INDIRECT("'"&amp;$A43&amp;"'!$A$12:$Z$19"),MATCH("Points (Auto-generate)",INDIRECT("'"&amp;$A43&amp;"'!$A$12:$Z$12"),0),0)),"ER"))</f>
        <v>?</v>
      </c>
      <c r="L43" s="0" t="str">
        <f aca="true">IF($F43=0,"NA",IF($A43=INDIRECT("'"&amp;$A43&amp;"'!$B$1"),IF(VLOOKUP(L$1,INDIRECT("'"&amp;$A43&amp;"'!$A$12:$Z$19"),MATCH("Points (Auto-generate)",INDIRECT("'"&amp;$A43&amp;"'!$A$12:$Z$12"),0),0)="","?",VLOOKUP(L$1,INDIRECT("'"&amp;$A43&amp;"'!$A$12:$Z$19"),MATCH("Points (Auto-generate)",INDIRECT("'"&amp;$A43&amp;"'!$A$12:$Z$12"),0),0)),"ER"))</f>
        <v>?</v>
      </c>
      <c r="M43" s="0" t="str">
        <f aca="true">IF($F43=0,"NA",IF($A43=INDIRECT("'"&amp;$A43&amp;"'!$B$1"),IF(VLOOKUP(M$1,INDIRECT("'"&amp;$A43&amp;"'!$A$12:$Z$19"),MATCH("Points (Auto-generate)",INDIRECT("'"&amp;$A43&amp;"'!$A$12:$Z$12"),0),0)="","?",VLOOKUP(M$1,INDIRECT("'"&amp;$A43&amp;"'!$A$12:$Z$19"),MATCH("Points (Auto-generate)",INDIRECT("'"&amp;$A43&amp;"'!$A$12:$Z$12"),0),0)),"ER"))</f>
        <v>?</v>
      </c>
    </row>
    <row r="44" customFormat="false" ht="15" hidden="false" customHeight="false" outlineLevel="0" collapsed="false">
      <c r="A44" s="8" t="s">
        <v>445</v>
      </c>
      <c r="B44" s="8" t="str">
        <f aca="false">VLOOKUP($A44,'PARASTATAL Questions'!$A:$J,3,0)&amp;""</f>
        <v>Decentralised Participatory Governance</v>
      </c>
      <c r="C44" s="8" t="str">
        <f aca="false">VLOOKUP($A44,'PARASTATAL Questions'!$A:$J,4,0)&amp;""</f>
        <v>MQ</v>
      </c>
      <c r="D44" s="8" t="str">
        <f aca="false">VLOOKUP($A44,'PARASTATAL Questions'!$A:$J,5,0)&amp;""</f>
        <v>Does the law mandate citizen participation in the preparation of plans for which the parastatal is responsible, and does the parastatal provide for such participation in practice?</v>
      </c>
      <c r="E44" s="8" t="str">
        <f aca="false">VLOOKUP($A44,'PARASTATAL Questions'!$A:$J,7,0)&amp;""</f>
        <v>Law/Policy</v>
      </c>
      <c r="F44" s="8" t="n">
        <f aca="false">VLOOKUP($A44,'PARASTATAL Questions'!$A:$J,6,0)</f>
        <v>10</v>
      </c>
      <c r="G44" s="8" t="n">
        <f aca="false">IF(OR(G45="ER",G46="ER"),"ER",IF(OR(G45="?",G46="?"),"?",IF(AND(G45="NA",G46="NA"),"NA",SUM(G45,G46)/((G45&lt;&gt;"NA")*$F$45+(G46&lt;&gt;"NA")*$F$46)*$F44)))</f>
        <v>2.5</v>
      </c>
      <c r="H44" s="8" t="str">
        <f aca="false">IF(OR(H45="ER",H46="ER"),"ER",IF(OR(H45="?",H46="?"),"?",IF(AND(H45="NA",H46="NA"),"NA",SUM(H45,H46)/((H45&lt;&gt;"NA")*$F$45+(H46&lt;&gt;"NA")*$F$46)*$F44)))</f>
        <v>?</v>
      </c>
      <c r="I44" s="8" t="str">
        <f aca="false">IF(OR(I45="ER",I46="ER"),"ER",IF(OR(I45="?",I46="?"),"?",IF(AND(I45="NA",I46="NA"),"NA",SUM(I45,I46)/((I45&lt;&gt;"NA")*$F$45+(I46&lt;&gt;"NA")*$F$46)*$F44)))</f>
        <v>NA</v>
      </c>
      <c r="J44" s="8" t="n">
        <f aca="false">IF(OR(J45="ER",J46="ER"),"ER",IF(OR(J45="?",J46="?"),"?",IF(AND(J45="NA",J46="NA"),"NA",SUM(J45,J46)/((J45&lt;&gt;"NA")*$F$45+(J46&lt;&gt;"NA")*$F$46)*$F44)))</f>
        <v>5</v>
      </c>
      <c r="K44" s="8" t="str">
        <f aca="false">IF(OR(K45="ER",K46="ER"),"ER",IF(OR(K45="?",K46="?"),"?",IF(AND(K45="NA",K46="NA"),"NA",SUM(K45,K46)/((K45&lt;&gt;"NA")*$F$45+(K46&lt;&gt;"NA")*$F$46)*$F44)))</f>
        <v>NA</v>
      </c>
      <c r="L44" s="8" t="str">
        <f aca="false">IF(OR(L45="ER",L46="ER"),"ER",IF(OR(L45="?",L46="?"),"?",IF(AND(L45="NA",L46="NA"),"NA",SUM(L45,L46)/((L45&lt;&gt;"NA")*$F$45+(L46&lt;&gt;"NA")*$F$46)*$F44)))</f>
        <v>NA</v>
      </c>
      <c r="M44" s="8" t="str">
        <f aca="false">IF(OR(M45="ER",M46="ER"),"ER",IF(OR(M45="?",M46="?"),"?",IF(AND(M45="NA",M46="NA"),"NA",SUM(M45,M46)/((M45&lt;&gt;"NA")*$F$45+(M46&lt;&gt;"NA")*$F$46)*$F44)))</f>
        <v>?</v>
      </c>
    </row>
    <row r="45" customFormat="false" ht="15" hidden="false" customHeight="false" outlineLevel="0" collapsed="false">
      <c r="A45" s="0" t="s">
        <v>322</v>
      </c>
      <c r="B45" s="0" t="str">
        <f aca="false">VLOOKUP($A45,'PARASTATAL Questions'!$A:$J,3,0)&amp;""</f>
        <v>Decentralised Participatory Governance</v>
      </c>
      <c r="C45" s="0" t="str">
        <f aca="false">VLOOKUP($A45,'PARASTATAL Questions'!$A:$J,4,0)&amp;""</f>
        <v>SQ</v>
      </c>
      <c r="D45" s="0" t="str">
        <f aca="false">VLOOKUP($A45,'PARASTATAL Questions'!$A:$J,5,0)&amp;""</f>
        <v>Is citizen participation in the preparation of the parastatal's plans mandated?</v>
      </c>
      <c r="E45" s="0" t="str">
        <f aca="false">VLOOKUP($A45,'PARASTATAL Questions'!$A:$J,7,0)&amp;""</f>
        <v>Law/Policy</v>
      </c>
      <c r="F45" s="0" t="n">
        <f aca="false">VLOOKUP($A45,'PARASTATAL Questions'!$A:$J,6,0)</f>
        <v>5</v>
      </c>
      <c r="G45" s="0" t="n">
        <f aca="true">IF($F45=0,"NA",IF($A45=INDIRECT("'"&amp;$A45&amp;"'!$B$1"),IF(VLOOKUP(G$1,INDIRECT("'"&amp;$A45&amp;"'!$A$12:$Z$19"),MATCH("Points (Auto-generate)",INDIRECT("'"&amp;$A45&amp;"'!$A$12:$Z$12"),0),0)="","?",VLOOKUP(G$1,INDIRECT("'"&amp;$A45&amp;"'!$A$12:$Z$19"),MATCH("Points (Auto-generate)",INDIRECT("'"&amp;$A45&amp;"'!$A$12:$Z$12"),0),0)),"ER"))</f>
        <v>0</v>
      </c>
      <c r="H45" s="0" t="n">
        <f aca="true">IF($F45=0,"NA",IF($A45=INDIRECT("'"&amp;$A45&amp;"'!$B$1"),IF(VLOOKUP(H$1,INDIRECT("'"&amp;$A45&amp;"'!$A$12:$Z$19"),MATCH("Points (Auto-generate)",INDIRECT("'"&amp;$A45&amp;"'!$A$12:$Z$12"),0),0)="","?",VLOOKUP(H$1,INDIRECT("'"&amp;$A45&amp;"'!$A$12:$Z$19"),MATCH("Points (Auto-generate)",INDIRECT("'"&amp;$A45&amp;"'!$A$12:$Z$12"),0),0)),"ER"))</f>
        <v>2.5</v>
      </c>
      <c r="I45" s="0" t="str">
        <f aca="true">IF($F45=0,"NA",IF($A45=INDIRECT("'"&amp;$A45&amp;"'!$B$1"),IF(VLOOKUP(I$1,INDIRECT("'"&amp;$A45&amp;"'!$A$12:$Z$19"),MATCH("Points (Auto-generate)",INDIRECT("'"&amp;$A45&amp;"'!$A$12:$Z$12"),0),0)="","?",VLOOKUP(I$1,INDIRECT("'"&amp;$A45&amp;"'!$A$12:$Z$19"),MATCH("Points (Auto-generate)",INDIRECT("'"&amp;$A45&amp;"'!$A$12:$Z$12"),0),0)),"ER"))</f>
        <v>NA</v>
      </c>
      <c r="J45" s="0" t="n">
        <f aca="true">IF($F45=0,"NA",IF($A45=INDIRECT("'"&amp;$A45&amp;"'!$B$1"),IF(VLOOKUP(J$1,INDIRECT("'"&amp;$A45&amp;"'!$A$12:$Z$19"),MATCH("Points (Auto-generate)",INDIRECT("'"&amp;$A45&amp;"'!$A$12:$Z$12"),0),0)="","?",VLOOKUP(J$1,INDIRECT("'"&amp;$A45&amp;"'!$A$12:$Z$19"),MATCH("Points (Auto-generate)",INDIRECT("'"&amp;$A45&amp;"'!$A$12:$Z$12"),0),0)),"ER"))</f>
        <v>2.5</v>
      </c>
      <c r="K45" s="0" t="str">
        <f aca="true">IF($F45=0,"NA",IF($A45=INDIRECT("'"&amp;$A45&amp;"'!$B$1"),IF(VLOOKUP(K$1,INDIRECT("'"&amp;$A45&amp;"'!$A$12:$Z$19"),MATCH("Points (Auto-generate)",INDIRECT("'"&amp;$A45&amp;"'!$A$12:$Z$12"),0),0)="","?",VLOOKUP(K$1,INDIRECT("'"&amp;$A45&amp;"'!$A$12:$Z$19"),MATCH("Points (Auto-generate)",INDIRECT("'"&amp;$A45&amp;"'!$A$12:$Z$12"),0),0)),"ER"))</f>
        <v>NA</v>
      </c>
      <c r="L45" s="0" t="str">
        <f aca="true">IF($F45=0,"NA",IF($A45=INDIRECT("'"&amp;$A45&amp;"'!$B$1"),IF(VLOOKUP(L$1,INDIRECT("'"&amp;$A45&amp;"'!$A$12:$Z$19"),MATCH("Points (Auto-generate)",INDIRECT("'"&amp;$A45&amp;"'!$A$12:$Z$12"),0),0)="","?",VLOOKUP(L$1,INDIRECT("'"&amp;$A45&amp;"'!$A$12:$Z$19"),MATCH("Points (Auto-generate)",INDIRECT("'"&amp;$A45&amp;"'!$A$12:$Z$12"),0),0)),"ER"))</f>
        <v>NA</v>
      </c>
      <c r="M45" s="0" t="str">
        <f aca="true">IF($F45=0,"NA",IF($A45=INDIRECT("'"&amp;$A45&amp;"'!$B$1"),IF(VLOOKUP(M$1,INDIRECT("'"&amp;$A45&amp;"'!$A$12:$Z$19"),MATCH("Points (Auto-generate)",INDIRECT("'"&amp;$A45&amp;"'!$A$12:$Z$12"),0),0)="","?",VLOOKUP(M$1,INDIRECT("'"&amp;$A45&amp;"'!$A$12:$Z$19"),MATCH("Points (Auto-generate)",INDIRECT("'"&amp;$A45&amp;"'!$A$12:$Z$12"),0),0)),"ER"))</f>
        <v>?</v>
      </c>
    </row>
    <row r="46" customFormat="false" ht="15" hidden="false" customHeight="false" outlineLevel="0" collapsed="false">
      <c r="A46" s="0" t="s">
        <v>333</v>
      </c>
      <c r="B46" s="0" t="str">
        <f aca="false">VLOOKUP($A46,'PARASTATAL Questions'!$A:$J,3,0)&amp;""</f>
        <v>Decentralised Participatory Governance</v>
      </c>
      <c r="C46" s="0" t="str">
        <f aca="false">VLOOKUP($A46,'PARASTATAL Questions'!$A:$J,4,0)&amp;""</f>
        <v>SQ</v>
      </c>
      <c r="D46" s="0" t="str">
        <f aca="false">VLOOKUP($A46,'PARASTATAL Questions'!$A:$J,5,0)&amp;""</f>
        <v>Are citizens consulted in practice in the preparation of plans by the parastatal?</v>
      </c>
      <c r="E46" s="0" t="str">
        <f aca="false">VLOOKUP($A46,'PARASTATAL Questions'!$A:$J,7,0)&amp;""</f>
        <v>Law/Policy</v>
      </c>
      <c r="F46" s="0" t="n">
        <f aca="false">VLOOKUP($A46,'PARASTATAL Questions'!$A:$J,6,0)</f>
        <v>5</v>
      </c>
      <c r="G46" s="0" t="n">
        <f aca="true">IF($F46=0,"NA",IF($A46=INDIRECT("'"&amp;$A46&amp;"'!$B$1"),IF(VLOOKUP(G$1,INDIRECT("'"&amp;$A46&amp;"'!$A$12:$Z$19"),MATCH("Points (Auto-generate)",INDIRECT("'"&amp;$A46&amp;"'!$A$12:$Z$12"),0),0)="","?",VLOOKUP(G$1,INDIRECT("'"&amp;$A46&amp;"'!$A$12:$Z$19"),MATCH("Points (Auto-generate)",INDIRECT("'"&amp;$A46&amp;"'!$A$12:$Z$12"),0),0)),"ER"))</f>
        <v>2.5</v>
      </c>
      <c r="H46" s="0" t="str">
        <f aca="true">IF($F46=0,"NA",IF($A46=INDIRECT("'"&amp;$A46&amp;"'!$B$1"),IF(VLOOKUP(H$1,INDIRECT("'"&amp;$A46&amp;"'!$A$12:$Z$19"),MATCH("Points (Auto-generate)",INDIRECT("'"&amp;$A46&amp;"'!$A$12:$Z$12"),0),0)="","?",VLOOKUP(H$1,INDIRECT("'"&amp;$A46&amp;"'!$A$12:$Z$19"),MATCH("Points (Auto-generate)",INDIRECT("'"&amp;$A46&amp;"'!$A$12:$Z$12"),0),0)),"ER"))</f>
        <v>?</v>
      </c>
      <c r="I46" s="0" t="str">
        <f aca="true">IF($F46=0,"NA",IF($A46=INDIRECT("'"&amp;$A46&amp;"'!$B$1"),IF(VLOOKUP(I$1,INDIRECT("'"&amp;$A46&amp;"'!$A$12:$Z$19"),MATCH("Points (Auto-generate)",INDIRECT("'"&amp;$A46&amp;"'!$A$12:$Z$12"),0),0)="","?",VLOOKUP(I$1,INDIRECT("'"&amp;$A46&amp;"'!$A$12:$Z$19"),MATCH("Points (Auto-generate)",INDIRECT("'"&amp;$A46&amp;"'!$A$12:$Z$12"),0),0)),"ER"))</f>
        <v>NA</v>
      </c>
      <c r="J46" s="0" t="n">
        <f aca="true">IF($F46=0,"NA",IF($A46=INDIRECT("'"&amp;$A46&amp;"'!$B$1"),IF(VLOOKUP(J$1,INDIRECT("'"&amp;$A46&amp;"'!$A$12:$Z$19"),MATCH("Points (Auto-generate)",INDIRECT("'"&amp;$A46&amp;"'!$A$12:$Z$12"),0),0)="","?",VLOOKUP(J$1,INDIRECT("'"&amp;$A46&amp;"'!$A$12:$Z$19"),MATCH("Points (Auto-generate)",INDIRECT("'"&amp;$A46&amp;"'!$A$12:$Z$12"),0),0)),"ER"))</f>
        <v>2.5</v>
      </c>
      <c r="K46" s="0" t="str">
        <f aca="true">IF($F46=0,"NA",IF($A46=INDIRECT("'"&amp;$A46&amp;"'!$B$1"),IF(VLOOKUP(K$1,INDIRECT("'"&amp;$A46&amp;"'!$A$12:$Z$19"),MATCH("Points (Auto-generate)",INDIRECT("'"&amp;$A46&amp;"'!$A$12:$Z$12"),0),0)="","?",VLOOKUP(K$1,INDIRECT("'"&amp;$A46&amp;"'!$A$12:$Z$19"),MATCH("Points (Auto-generate)",INDIRECT("'"&amp;$A46&amp;"'!$A$12:$Z$12"),0),0)),"ER"))</f>
        <v>NA</v>
      </c>
      <c r="L46" s="0" t="str">
        <f aca="true">IF($F46=0,"NA",IF($A46=INDIRECT("'"&amp;$A46&amp;"'!$B$1"),IF(VLOOKUP(L$1,INDIRECT("'"&amp;$A46&amp;"'!$A$12:$Z$19"),MATCH("Points (Auto-generate)",INDIRECT("'"&amp;$A46&amp;"'!$A$12:$Z$12"),0),0)="","?",VLOOKUP(L$1,INDIRECT("'"&amp;$A46&amp;"'!$A$12:$Z$19"),MATCH("Points (Auto-generate)",INDIRECT("'"&amp;$A46&amp;"'!$A$12:$Z$12"),0),0)),"ER"))</f>
        <v>NA</v>
      </c>
      <c r="M46" s="0" t="str">
        <f aca="true">IF($F46=0,"NA",IF($A46=INDIRECT("'"&amp;$A46&amp;"'!$B$1"),IF(VLOOKUP(M$1,INDIRECT("'"&amp;$A46&amp;"'!$A$12:$Z$19"),MATCH("Points (Auto-generate)",INDIRECT("'"&amp;$A46&amp;"'!$A$12:$Z$12"),0),0)="","?",VLOOKUP(M$1,INDIRECT("'"&amp;$A46&amp;"'!$A$12:$Z$19"),MATCH("Points (Auto-generate)",INDIRECT("'"&amp;$A46&amp;"'!$A$12:$Z$12"),0),0)),"ER"))</f>
        <v>?</v>
      </c>
    </row>
    <row r="47" customFormat="false" ht="15" hidden="false" customHeight="false" outlineLevel="0" collapsed="false">
      <c r="A47" s="8" t="s">
        <v>337</v>
      </c>
      <c r="B47" s="8" t="str">
        <f aca="false">VLOOKUP($A47,'PARASTATAL Questions'!$A:$J,3,0)&amp;""</f>
        <v>State Capacities</v>
      </c>
      <c r="C47" s="8" t="str">
        <f aca="false">VLOOKUP($A47,'PARASTATAL Questions'!$A:$J,4,0)&amp;""</f>
        <v>MQ</v>
      </c>
      <c r="D47" s="8" t="str">
        <f aca="false">VLOOKUP($A47,'PARASTATAL Questions'!$A:$J,5,0)&amp;""</f>
        <v>What proportion of the parastatal's total expenditure is financed through its own revenues?</v>
      </c>
      <c r="E47" s="8" t="str">
        <f aca="false">VLOOKUP($A47,'PARASTATAL Questions'!$A:$J,7,0)&amp;""</f>
        <v>Implementation (Numeric)</v>
      </c>
      <c r="F47" s="8" t="n">
        <f aca="false">VLOOKUP($A47,'PARASTATAL Questions'!$A:$J,6,0)</f>
        <v>10</v>
      </c>
      <c r="G47" s="8" t="str">
        <f aca="true">IF($F47=0,"NA",IF($A47=INDIRECT("'"&amp;$A47&amp;"'!$B$1"),IF(VLOOKUP(G$1,INDIRECT("'"&amp;$A47&amp;"'!$A$12:$Z$19"),MATCH("Points (Auto-generate)",INDIRECT("'"&amp;$A47&amp;"'!$A$12:$Z$12"),0),0)="","?",VLOOKUP(G$1,INDIRECT("'"&amp;$A47&amp;"'!$A$12:$Z$19"),MATCH("Points (Auto-generate)",INDIRECT("'"&amp;$A47&amp;"'!$A$12:$Z$12"),0),0)),"ER"))</f>
        <v>?</v>
      </c>
      <c r="H47" s="8" t="str">
        <f aca="true">IF($F47=0,"NA",IF($A47=INDIRECT("'"&amp;$A47&amp;"'!$B$1"),IF(VLOOKUP(H$1,INDIRECT("'"&amp;$A47&amp;"'!$A$12:$Z$19"),MATCH("Points (Auto-generate)",INDIRECT("'"&amp;$A47&amp;"'!$A$12:$Z$12"),0),0)="","?",VLOOKUP(H$1,INDIRECT("'"&amp;$A47&amp;"'!$A$12:$Z$19"),MATCH("Points (Auto-generate)",INDIRECT("'"&amp;$A47&amp;"'!$A$12:$Z$12"),0),0)),"ER"))</f>
        <v>?</v>
      </c>
      <c r="I47" s="8" t="str">
        <f aca="true">IF($F47=0,"NA",IF($A47=INDIRECT("'"&amp;$A47&amp;"'!$B$1"),IF(VLOOKUP(I$1,INDIRECT("'"&amp;$A47&amp;"'!$A$12:$Z$19"),MATCH("Points (Auto-generate)",INDIRECT("'"&amp;$A47&amp;"'!$A$12:$Z$12"),0),0)="","?",VLOOKUP(I$1,INDIRECT("'"&amp;$A47&amp;"'!$A$12:$Z$19"),MATCH("Points (Auto-generate)",INDIRECT("'"&amp;$A47&amp;"'!$A$12:$Z$12"),0),0)),"ER"))</f>
        <v>?</v>
      </c>
      <c r="J47" s="8" t="str">
        <f aca="true">IF($F47=0,"NA",IF($A47=INDIRECT("'"&amp;$A47&amp;"'!$B$1"),IF(VLOOKUP(J$1,INDIRECT("'"&amp;$A47&amp;"'!$A$12:$Z$19"),MATCH("Points (Auto-generate)",INDIRECT("'"&amp;$A47&amp;"'!$A$12:$Z$12"),0),0)="","?",VLOOKUP(J$1,INDIRECT("'"&amp;$A47&amp;"'!$A$12:$Z$19"),MATCH("Points (Auto-generate)",INDIRECT("'"&amp;$A47&amp;"'!$A$12:$Z$12"),0),0)),"ER"))</f>
        <v>NA</v>
      </c>
      <c r="K47" s="8" t="str">
        <f aca="true">IF($F47=0,"NA",IF($A47=INDIRECT("'"&amp;$A47&amp;"'!$B$1"),IF(VLOOKUP(K$1,INDIRECT("'"&amp;$A47&amp;"'!$A$12:$Z$19"),MATCH("Points (Auto-generate)",INDIRECT("'"&amp;$A47&amp;"'!$A$12:$Z$12"),0),0)="","?",VLOOKUP(K$1,INDIRECT("'"&amp;$A47&amp;"'!$A$12:$Z$19"),MATCH("Points (Auto-generate)",INDIRECT("'"&amp;$A47&amp;"'!$A$12:$Z$12"),0),0)),"ER"))</f>
        <v>NA</v>
      </c>
      <c r="L47" s="8" t="str">
        <f aca="true">IF($F47=0,"NA",IF($A47=INDIRECT("'"&amp;$A47&amp;"'!$B$1"),IF(VLOOKUP(L$1,INDIRECT("'"&amp;$A47&amp;"'!$A$12:$Z$19"),MATCH("Points (Auto-generate)",INDIRECT("'"&amp;$A47&amp;"'!$A$12:$Z$12"),0),0)="","?",VLOOKUP(L$1,INDIRECT("'"&amp;$A47&amp;"'!$A$12:$Z$19"),MATCH("Points (Auto-generate)",INDIRECT("'"&amp;$A47&amp;"'!$A$12:$Z$12"),0),0)),"ER"))</f>
        <v>NA</v>
      </c>
      <c r="M47" s="8"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false" outlineLevel="0" collapsed="false">
      <c r="A48" s="8" t="s">
        <v>341</v>
      </c>
      <c r="B48" s="8" t="str">
        <f aca="false">VLOOKUP($A48,'PARASTATAL Questions'!$A:$J,3,0)&amp;""</f>
        <v>State Capacities</v>
      </c>
      <c r="C48" s="8" t="str">
        <f aca="false">VLOOKUP($A48,'PARASTATAL Questions'!$A:$J,4,0)&amp;""</f>
        <v>MQ</v>
      </c>
      <c r="D48" s="8" t="str">
        <f aca="false">VLOOKUP($A48,'PARASTATAL Questions'!$A:$J,5,0)&amp;""</f>
        <v>What is the parastatal's per-capita capital expenditure?</v>
      </c>
      <c r="E48" s="8" t="str">
        <f aca="false">VLOOKUP($A48,'PARASTATAL Questions'!$A:$J,7,0)&amp;""</f>
        <v>Implementation (Numeric)</v>
      </c>
      <c r="F48" s="8" t="n">
        <f aca="false">VLOOKUP($A48,'PARASTATAL Questions'!$A:$J,6,0)</f>
        <v>10</v>
      </c>
      <c r="G48" s="8" t="str">
        <f aca="true">IF($F48=0,"NA",IF($A48=INDIRECT("'"&amp;$A48&amp;"'!$B$1"),IF(VLOOKUP(G$1,INDIRECT("'"&amp;$A48&amp;"'!$A$12:$Z$19"),MATCH("Points (Auto-generate)",INDIRECT("'"&amp;$A48&amp;"'!$A$12:$Z$12"),0),0)="","?",VLOOKUP(G$1,INDIRECT("'"&amp;$A48&amp;"'!$A$12:$Z$19"),MATCH("Points (Auto-generate)",INDIRECT("'"&amp;$A48&amp;"'!$A$12:$Z$12"),0),0)),"ER"))</f>
        <v>?</v>
      </c>
      <c r="H48" s="8" t="str">
        <f aca="true">IF($F48=0,"NA",IF($A48=INDIRECT("'"&amp;$A48&amp;"'!$B$1"),IF(VLOOKUP(H$1,INDIRECT("'"&amp;$A48&amp;"'!$A$12:$Z$19"),MATCH("Points (Auto-generate)",INDIRECT("'"&amp;$A48&amp;"'!$A$12:$Z$12"),0),0)="","?",VLOOKUP(H$1,INDIRECT("'"&amp;$A48&amp;"'!$A$12:$Z$19"),MATCH("Points (Auto-generate)",INDIRECT("'"&amp;$A48&amp;"'!$A$12:$Z$12"),0),0)),"ER"))</f>
        <v>?</v>
      </c>
      <c r="I48" s="8" t="str">
        <f aca="true">IF($F48=0,"NA",IF($A48=INDIRECT("'"&amp;$A48&amp;"'!$B$1"),IF(VLOOKUP(I$1,INDIRECT("'"&amp;$A48&amp;"'!$A$12:$Z$19"),MATCH("Points (Auto-generate)",INDIRECT("'"&amp;$A48&amp;"'!$A$12:$Z$12"),0),0)="","?",VLOOKUP(I$1,INDIRECT("'"&amp;$A48&amp;"'!$A$12:$Z$19"),MATCH("Points (Auto-generate)",INDIRECT("'"&amp;$A48&amp;"'!$A$12:$Z$12"),0),0)),"ER"))</f>
        <v>?</v>
      </c>
      <c r="J48" s="8" t="str">
        <f aca="true">IF($F48=0,"NA",IF($A48=INDIRECT("'"&amp;$A48&amp;"'!$B$1"),IF(VLOOKUP(J$1,INDIRECT("'"&amp;$A48&amp;"'!$A$12:$Z$19"),MATCH("Points (Auto-generate)",INDIRECT("'"&amp;$A48&amp;"'!$A$12:$Z$12"),0),0)="","?",VLOOKUP(J$1,INDIRECT("'"&amp;$A48&amp;"'!$A$12:$Z$19"),MATCH("Points (Auto-generate)",INDIRECT("'"&amp;$A48&amp;"'!$A$12:$Z$12"),0),0)),"ER"))</f>
        <v>?</v>
      </c>
      <c r="K48" s="8" t="str">
        <f aca="true">IF($F48=0,"NA",IF($A48=INDIRECT("'"&amp;$A48&amp;"'!$B$1"),IF(VLOOKUP(K$1,INDIRECT("'"&amp;$A48&amp;"'!$A$12:$Z$19"),MATCH("Points (Auto-generate)",INDIRECT("'"&amp;$A48&amp;"'!$A$12:$Z$12"),0),0)="","?",VLOOKUP(K$1,INDIRECT("'"&amp;$A48&amp;"'!$A$12:$Z$19"),MATCH("Points (Auto-generate)",INDIRECT("'"&amp;$A48&amp;"'!$A$12:$Z$12"),0),0)),"ER"))</f>
        <v>NA</v>
      </c>
      <c r="L48" s="8" t="str">
        <f aca="true">IF($F48=0,"NA",IF($A48=INDIRECT("'"&amp;$A48&amp;"'!$B$1"),IF(VLOOKUP(L$1,INDIRECT("'"&amp;$A48&amp;"'!$A$12:$Z$19"),MATCH("Points (Auto-generate)",INDIRECT("'"&amp;$A48&amp;"'!$A$12:$Z$12"),0),0)="","?",VLOOKUP(L$1,INDIRECT("'"&amp;$A48&amp;"'!$A$12:$Z$19"),MATCH("Points (Auto-generate)",INDIRECT("'"&amp;$A48&amp;"'!$A$12:$Z$12"),0),0)),"ER"))</f>
        <v>NA</v>
      </c>
      <c r="M48" s="8" t="str">
        <f aca="true">IF($F48=0,"NA",IF($A48=INDIRECT("'"&amp;$A48&amp;"'!$B$1"),IF(VLOOKUP(M$1,INDIRECT("'"&amp;$A48&amp;"'!$A$12:$Z$19"),MATCH("Points (Auto-generate)",INDIRECT("'"&amp;$A48&amp;"'!$A$12:$Z$12"),0),0)="","?",VLOOKUP(M$1,INDIRECT("'"&amp;$A48&amp;"'!$A$12:$Z$19"),MATCH("Points (Auto-generate)",INDIRECT("'"&amp;$A48&amp;"'!$A$12:$Z$12"),0),0)),"ER"))</f>
        <v>?</v>
      </c>
    </row>
    <row r="49" customFormat="false" ht="15" hidden="false" customHeight="false" outlineLevel="0" collapsed="false">
      <c r="A49" s="8" t="s">
        <v>348</v>
      </c>
      <c r="B49" s="8" t="str">
        <f aca="false">VLOOKUP($A49,'PARASTATAL Questions'!$A:$J,3,0)&amp;""</f>
        <v>State Capacities</v>
      </c>
      <c r="C49" s="8" t="str">
        <f aca="false">VLOOKUP($A49,'PARASTATAL Questions'!$A:$J,4,0)&amp;""</f>
        <v>MQ</v>
      </c>
      <c r="D49" s="8" t="str">
        <f aca="false">VLOOKUP($A49,'PARASTATAL Questions'!$A:$J,5,0)&amp;""</f>
        <v>How realistic is the parastatal's annual budget?</v>
      </c>
      <c r="E49" s="8" t="str">
        <f aca="false">VLOOKUP($A49,'PARASTATAL Questions'!$A:$J,7,0)&amp;""</f>
        <v>Implementation (Numeric)</v>
      </c>
      <c r="F49" s="8" t="n">
        <f aca="false">VLOOKUP($A49,'PARASTATAL Questions'!$A:$J,6,0)</f>
        <v>10</v>
      </c>
      <c r="G49" s="8" t="str">
        <f aca="true">IF($F49=0,"NA",IF($A49=INDIRECT("'"&amp;$A49&amp;"'!$B$1"),IF(VLOOKUP(G$1,INDIRECT("'"&amp;$A49&amp;"'!$A$12:$Z$19"),MATCH("Points (Auto-generate)",INDIRECT("'"&amp;$A49&amp;"'!$A$12:$Z$12"),0),0)="","?",VLOOKUP(G$1,INDIRECT("'"&amp;$A49&amp;"'!$A$12:$Z$19"),MATCH("Points (Auto-generate)",INDIRECT("'"&amp;$A49&amp;"'!$A$12:$Z$12"),0),0)),"ER"))</f>
        <v>?</v>
      </c>
      <c r="H49" s="8" t="str">
        <f aca="true">IF($F49=0,"NA",IF($A49=INDIRECT("'"&amp;$A49&amp;"'!$B$1"),IF(VLOOKUP(H$1,INDIRECT("'"&amp;$A49&amp;"'!$A$12:$Z$19"),MATCH("Points (Auto-generate)",INDIRECT("'"&amp;$A49&amp;"'!$A$12:$Z$12"),0),0)="","?",VLOOKUP(H$1,INDIRECT("'"&amp;$A49&amp;"'!$A$12:$Z$19"),MATCH("Points (Auto-generate)",INDIRECT("'"&amp;$A49&amp;"'!$A$12:$Z$12"),0),0)),"ER"))</f>
        <v>?</v>
      </c>
      <c r="I49" s="8" t="str">
        <f aca="true">IF($F49=0,"NA",IF($A49=INDIRECT("'"&amp;$A49&amp;"'!$B$1"),IF(VLOOKUP(I$1,INDIRECT("'"&amp;$A49&amp;"'!$A$12:$Z$19"),MATCH("Points (Auto-generate)",INDIRECT("'"&amp;$A49&amp;"'!$A$12:$Z$12"),0),0)="","?",VLOOKUP(I$1,INDIRECT("'"&amp;$A49&amp;"'!$A$12:$Z$19"),MATCH("Points (Auto-generate)",INDIRECT("'"&amp;$A49&amp;"'!$A$12:$Z$12"),0),0)),"ER"))</f>
        <v>?</v>
      </c>
      <c r="J49" s="8" t="str">
        <f aca="true">IF($F49=0,"NA",IF($A49=INDIRECT("'"&amp;$A49&amp;"'!$B$1"),IF(VLOOKUP(J$1,INDIRECT("'"&amp;$A49&amp;"'!$A$12:$Z$19"),MATCH("Points (Auto-generate)",INDIRECT("'"&amp;$A49&amp;"'!$A$12:$Z$12"),0),0)="","?",VLOOKUP(J$1,INDIRECT("'"&amp;$A49&amp;"'!$A$12:$Z$19"),MATCH("Points (Auto-generate)",INDIRECT("'"&amp;$A49&amp;"'!$A$12:$Z$12"),0),0)),"ER"))</f>
        <v>?</v>
      </c>
      <c r="K49" s="8" t="str">
        <f aca="true">IF($F49=0,"NA",IF($A49=INDIRECT("'"&amp;$A49&amp;"'!$B$1"),IF(VLOOKUP(K$1,INDIRECT("'"&amp;$A49&amp;"'!$A$12:$Z$19"),MATCH("Points (Auto-generate)",INDIRECT("'"&amp;$A49&amp;"'!$A$12:$Z$12"),0),0)="","?",VLOOKUP(K$1,INDIRECT("'"&amp;$A49&amp;"'!$A$12:$Z$19"),MATCH("Points (Auto-generate)",INDIRECT("'"&amp;$A49&amp;"'!$A$12:$Z$12"),0),0)),"ER"))</f>
        <v>?</v>
      </c>
      <c r="L49" s="8" t="str">
        <f aca="true">IF($F49=0,"NA",IF($A49=INDIRECT("'"&amp;$A49&amp;"'!$B$1"),IF(VLOOKUP(L$1,INDIRECT("'"&amp;$A49&amp;"'!$A$12:$Z$19"),MATCH("Points (Auto-generate)",INDIRECT("'"&amp;$A49&amp;"'!$A$12:$Z$12"),0),0)="","?",VLOOKUP(L$1,INDIRECT("'"&amp;$A49&amp;"'!$A$12:$Z$19"),MATCH("Points (Auto-generate)",INDIRECT("'"&amp;$A49&amp;"'!$A$12:$Z$12"),0),0)),"ER"))</f>
        <v>?</v>
      </c>
      <c r="M49" s="8" t="str">
        <f aca="true">IF($F49=0,"NA",IF($A49=INDIRECT("'"&amp;$A49&amp;"'!$B$1"),IF(VLOOKUP(M$1,INDIRECT("'"&amp;$A49&amp;"'!$A$12:$Z$19"),MATCH("Points (Auto-generate)",INDIRECT("'"&amp;$A49&amp;"'!$A$12:$Z$12"),0),0)="","?",VLOOKUP(M$1,INDIRECT("'"&amp;$A49&amp;"'!$A$12:$Z$19"),MATCH("Points (Auto-generate)",INDIRECT("'"&amp;$A49&amp;"'!$A$12:$Z$12"),0),0)),"ER"))</f>
        <v>?</v>
      </c>
    </row>
    <row r="50" customFormat="false" ht="15" hidden="false" customHeight="false" outlineLevel="0" collapsed="false">
      <c r="A50" s="8" t="s">
        <v>446</v>
      </c>
      <c r="B50" s="8" t="str">
        <f aca="false">VLOOKUP($A50,'PARASTATAL Questions'!$A:$J,3,0)&amp;""</f>
        <v>State Capacities</v>
      </c>
      <c r="C50" s="8" t="str">
        <f aca="false">VLOOKUP($A50,'PARASTATAL Questions'!$A:$J,4,0)&amp;""</f>
        <v>MQ</v>
      </c>
      <c r="D50" s="8" t="str">
        <f aca="false">VLOOKUP($A50,'PARASTATAL Questions'!$A:$J,5,0)&amp;""</f>
        <v>Is the parastatal mandated to prepare a medium-term and/or long-term fiscal plan, and has it prepared a current plan in accordance with that mandate?</v>
      </c>
      <c r="E50" s="8" t="str">
        <f aca="false">VLOOKUP($A50,'PARASTATAL Questions'!$A:$J,7,0)&amp;""</f>
        <v>Law/Policy</v>
      </c>
      <c r="F50" s="8" t="n">
        <f aca="false">VLOOKUP($A50,'PARASTATAL Questions'!$A:$J,6,0)</f>
        <v>10</v>
      </c>
      <c r="G50" s="8" t="str">
        <f aca="false">IF(OR(G51="ER",G52="ER"),"ER",IF(OR(G51="?",G52="?"),"?",IF(AND(G51="NA",G52="NA"),"NA",SUM(G51,G52)/((G51&lt;&gt;"NA")*$F$51+(G52&lt;&gt;"NA")*$F$52)*$F50)))</f>
        <v>?</v>
      </c>
      <c r="H50" s="8" t="str">
        <f aca="false">IF(OR(H51="ER",H52="ER"),"ER",IF(OR(H51="?",H52="?"),"?",IF(AND(H51="NA",H52="NA"),"NA",SUM(H51,H52)/((H51&lt;&gt;"NA")*$F$51+(H52&lt;&gt;"NA")*$F$52)*$F50)))</f>
        <v>?</v>
      </c>
      <c r="I50" s="8" t="str">
        <f aca="false">IF(OR(I51="ER",I52="ER"),"ER",IF(OR(I51="?",I52="?"),"?",IF(AND(I51="NA",I52="NA"),"NA",SUM(I51,I52)/((I51&lt;&gt;"NA")*$F$51+(I52&lt;&gt;"NA")*$F$52)*$F50)))</f>
        <v>?</v>
      </c>
      <c r="J50" s="8" t="str">
        <f aca="false">IF(OR(J51="ER",J52="ER"),"ER",IF(OR(J51="?",J52="?"),"?",IF(AND(J51="NA",J52="NA"),"NA",SUM(J51,J52)/((J51&lt;&gt;"NA")*$F$51+(J52&lt;&gt;"NA")*$F$52)*$F50)))</f>
        <v>?</v>
      </c>
      <c r="K50" s="8" t="str">
        <f aca="false">IF(OR(K51="ER",K52="ER"),"ER",IF(OR(K51="?",K52="?"),"?",IF(AND(K51="NA",K52="NA"),"NA",SUM(K51,K52)/((K51&lt;&gt;"NA")*$F$51+(K52&lt;&gt;"NA")*$F$52)*$F50)))</f>
        <v>?</v>
      </c>
      <c r="L50" s="8" t="str">
        <f aca="false">IF(OR(L51="ER",L52="ER"),"ER",IF(OR(L51="?",L52="?"),"?",IF(AND(L51="NA",L52="NA"),"NA",SUM(L51,L52)/((L51&lt;&gt;"NA")*$F$51+(L52&lt;&gt;"NA")*$F$52)*$F50)))</f>
        <v>?</v>
      </c>
      <c r="M50" s="8" t="str">
        <f aca="false">IF(OR(M51="ER",M52="ER"),"ER",IF(OR(M51="?",M52="?"),"?",IF(AND(M51="NA",M52="NA"),"NA",SUM(M51,M52)/((M51&lt;&gt;"NA")*$F$51+(M52&lt;&gt;"NA")*$F$52)*$F50)))</f>
        <v>?</v>
      </c>
    </row>
    <row r="51" customFormat="false" ht="15" hidden="false" customHeight="false" outlineLevel="0" collapsed="false">
      <c r="A51" s="0" t="s">
        <v>354</v>
      </c>
      <c r="B51" s="0" t="str">
        <f aca="false">VLOOKUP($A51,'PARASTATAL Questions'!$A:$J,3,0)&amp;""</f>
        <v>State Capacities</v>
      </c>
      <c r="C51" s="0" t="str">
        <f aca="false">VLOOKUP($A51,'PARASTATAL Questions'!$A:$J,4,0)&amp;""</f>
        <v>SQ</v>
      </c>
      <c r="D51" s="0" t="str">
        <f aca="false">VLOOKUP($A51,'PARASTATAL Questions'!$A:$J,5,0)&amp;""</f>
        <v>Is a medium-term (3-5 year) and/or long-term (&gt;5 year) fiscal plan legally mandated?</v>
      </c>
      <c r="E51" s="0" t="str">
        <f aca="false">VLOOKUP($A51,'PARASTATAL Questions'!$A:$J,7,0)&amp;""</f>
        <v>Law/Policy</v>
      </c>
      <c r="F51" s="0" t="n">
        <f aca="false">VLOOKUP($A51,'PARASTATAL Questions'!$A:$J,6,0)</f>
        <v>5</v>
      </c>
      <c r="G51" s="0" t="n">
        <f aca="true">IF($F51=0,"NA",IF($A51=INDIRECT("'"&amp;$A51&amp;"'!$B$1"),IF(VLOOKUP(G$1,INDIRECT("'"&amp;$A51&amp;"'!$A$12:$Z$19"),MATCH("Points (Auto-generate)",INDIRECT("'"&amp;$A51&amp;"'!$A$12:$Z$12"),0),0)="","?",VLOOKUP(G$1,INDIRECT("'"&amp;$A51&amp;"'!$A$12:$Z$19"),MATCH("Points (Auto-generate)",INDIRECT("'"&amp;$A51&amp;"'!$A$12:$Z$12"),0),0)),"ER"))</f>
        <v>0</v>
      </c>
      <c r="H51" s="0" t="n">
        <f aca="true">IF($F51=0,"NA",IF($A51=INDIRECT("'"&amp;$A51&amp;"'!$B$1"),IF(VLOOKUP(H$1,INDIRECT("'"&amp;$A51&amp;"'!$A$12:$Z$19"),MATCH("Points (Auto-generate)",INDIRECT("'"&amp;$A51&amp;"'!$A$12:$Z$12"),0),0)="","?",VLOOKUP(H$1,INDIRECT("'"&amp;$A51&amp;"'!$A$12:$Z$19"),MATCH("Points (Auto-generate)",INDIRECT("'"&amp;$A51&amp;"'!$A$12:$Z$12"),0),0)),"ER"))</f>
        <v>0</v>
      </c>
      <c r="I51" s="0" t="n">
        <f aca="true">IF($F51=0,"NA",IF($A51=INDIRECT("'"&amp;$A51&amp;"'!$B$1"),IF(VLOOKUP(I$1,INDIRECT("'"&amp;$A51&amp;"'!$A$12:$Z$19"),MATCH("Points (Auto-generate)",INDIRECT("'"&amp;$A51&amp;"'!$A$12:$Z$12"),0),0)="","?",VLOOKUP(I$1,INDIRECT("'"&amp;$A51&amp;"'!$A$12:$Z$19"),MATCH("Points (Auto-generate)",INDIRECT("'"&amp;$A51&amp;"'!$A$12:$Z$12"),0),0)),"ER"))</f>
        <v>0</v>
      </c>
      <c r="J51" s="0" t="n">
        <f aca="true">IF($F51=0,"NA",IF($A51=INDIRECT("'"&amp;$A51&amp;"'!$B$1"),IF(VLOOKUP(J$1,INDIRECT("'"&amp;$A51&amp;"'!$A$12:$Z$19"),MATCH("Points (Auto-generate)",INDIRECT("'"&amp;$A51&amp;"'!$A$12:$Z$12"),0),0)="","?",VLOOKUP(J$1,INDIRECT("'"&amp;$A51&amp;"'!$A$12:$Z$19"),MATCH("Points (Auto-generate)",INDIRECT("'"&amp;$A51&amp;"'!$A$12:$Z$12"),0),0)),"ER"))</f>
        <v>0</v>
      </c>
      <c r="K51" s="0" t="n">
        <f aca="true">IF($F51=0,"NA",IF($A51=INDIRECT("'"&amp;$A51&amp;"'!$B$1"),IF(VLOOKUP(K$1,INDIRECT("'"&amp;$A51&amp;"'!$A$12:$Z$19"),MATCH("Points (Auto-generate)",INDIRECT("'"&amp;$A51&amp;"'!$A$12:$Z$12"),0),0)="","?",VLOOKUP(K$1,INDIRECT("'"&amp;$A51&amp;"'!$A$12:$Z$19"),MATCH("Points (Auto-generate)",INDIRECT("'"&amp;$A51&amp;"'!$A$12:$Z$12"),0),0)),"ER"))</f>
        <v>0</v>
      </c>
      <c r="L51" s="0" t="str">
        <f aca="true">IF($F51=0,"NA",IF($A51=INDIRECT("'"&amp;$A51&amp;"'!$B$1"),IF(VLOOKUP(L$1,INDIRECT("'"&amp;$A51&amp;"'!$A$12:$Z$19"),MATCH("Points (Auto-generate)",INDIRECT("'"&amp;$A51&amp;"'!$A$12:$Z$12"),0),0)="","?",VLOOKUP(L$1,INDIRECT("'"&amp;$A51&amp;"'!$A$12:$Z$19"),MATCH("Points (Auto-generate)",INDIRECT("'"&amp;$A51&amp;"'!$A$12:$Z$12"),0),0)),"ER"))</f>
        <v>?</v>
      </c>
      <c r="M51" s="0" t="str">
        <f aca="true">IF($F51=0,"NA",IF($A51=INDIRECT("'"&amp;$A51&amp;"'!$B$1"),IF(VLOOKUP(M$1,INDIRECT("'"&amp;$A51&amp;"'!$A$12:$Z$19"),MATCH("Points (Auto-generate)",INDIRECT("'"&amp;$A51&amp;"'!$A$12:$Z$12"),0),0)="","?",VLOOKUP(M$1,INDIRECT("'"&amp;$A51&amp;"'!$A$12:$Z$19"),MATCH("Points (Auto-generate)",INDIRECT("'"&amp;$A51&amp;"'!$A$12:$Z$12"),0),0)),"ER"))</f>
        <v>?</v>
      </c>
    </row>
    <row r="52" customFormat="false" ht="15" hidden="false" customHeight="false" outlineLevel="0" collapsed="false">
      <c r="A52" s="0" t="s">
        <v>365</v>
      </c>
      <c r="B52" s="0" t="str">
        <f aca="false">VLOOKUP($A52,'PARASTATAL Questions'!$A:$J,3,0)&amp;""</f>
        <v>State Capacities</v>
      </c>
      <c r="C52" s="0" t="str">
        <f aca="false">VLOOKUP($A52,'PARASTATAL Questions'!$A:$J,4,0)&amp;""</f>
        <v>SQ</v>
      </c>
      <c r="D52" s="0" t="str">
        <f aca="false">VLOOKUP($A52,'PARASTATAL Questions'!$A:$J,5,0)&amp;""</f>
        <v>Is the medium/long-term fiscal plan publicly available?</v>
      </c>
      <c r="E52" s="0" t="str">
        <f aca="false">VLOOKUP($A52,'PARASTATAL Questions'!$A:$J,7,0)&amp;""</f>
        <v>Implementation</v>
      </c>
      <c r="F52" s="0" t="n">
        <f aca="false">VLOOKUP($A52,'PARASTATAL Questions'!$A:$J,6,0)</f>
        <v>5</v>
      </c>
      <c r="G52" s="0" t="str">
        <f aca="true">IF($F52=0,"NA",IF($A52=INDIRECT("'"&amp;$A52&amp;"'!$B$1"),IF(VLOOKUP(G$1,INDIRECT("'"&amp;$A52&amp;"'!$A$12:$Z$19"),MATCH("Points (Auto-generate)",INDIRECT("'"&amp;$A52&amp;"'!$A$12:$Z$12"),0),0)="","?",VLOOKUP(G$1,INDIRECT("'"&amp;$A52&amp;"'!$A$12:$Z$19"),MATCH("Points (Auto-generate)",INDIRECT("'"&amp;$A52&amp;"'!$A$12:$Z$12"),0),0)),"ER"))</f>
        <v>?</v>
      </c>
      <c r="H52" s="0" t="str">
        <f aca="true">IF($F52=0,"NA",IF($A52=INDIRECT("'"&amp;$A52&amp;"'!$B$1"),IF(VLOOKUP(H$1,INDIRECT("'"&amp;$A52&amp;"'!$A$12:$Z$19"),MATCH("Points (Auto-generate)",INDIRECT("'"&amp;$A52&amp;"'!$A$12:$Z$12"),0),0)="","?",VLOOKUP(H$1,INDIRECT("'"&amp;$A52&amp;"'!$A$12:$Z$19"),MATCH("Points (Auto-generate)",INDIRECT("'"&amp;$A52&amp;"'!$A$12:$Z$12"),0),0)),"ER"))</f>
        <v>?</v>
      </c>
      <c r="I52" s="0" t="str">
        <f aca="true">IF($F52=0,"NA",IF($A52=INDIRECT("'"&amp;$A52&amp;"'!$B$1"),IF(VLOOKUP(I$1,INDIRECT("'"&amp;$A52&amp;"'!$A$12:$Z$19"),MATCH("Points (Auto-generate)",INDIRECT("'"&amp;$A52&amp;"'!$A$12:$Z$12"),0),0)="","?",VLOOKUP(I$1,INDIRECT("'"&amp;$A52&amp;"'!$A$12:$Z$19"),MATCH("Points (Auto-generate)",INDIRECT("'"&amp;$A52&amp;"'!$A$12:$Z$12"),0),0)),"ER"))</f>
        <v>?</v>
      </c>
      <c r="J52" s="0" t="str">
        <f aca="true">IF($F52=0,"NA",IF($A52=INDIRECT("'"&amp;$A52&amp;"'!$B$1"),IF(VLOOKUP(J$1,INDIRECT("'"&amp;$A52&amp;"'!$A$12:$Z$19"),MATCH("Points (Auto-generate)",INDIRECT("'"&amp;$A52&amp;"'!$A$12:$Z$12"),0),0)="","?",VLOOKUP(J$1,INDIRECT("'"&amp;$A52&amp;"'!$A$12:$Z$19"),MATCH("Points (Auto-generate)",INDIRECT("'"&amp;$A52&amp;"'!$A$12:$Z$12"),0),0)),"ER"))</f>
        <v>?</v>
      </c>
      <c r="K52" s="0" t="str">
        <f aca="true">IF($F52=0,"NA",IF($A52=INDIRECT("'"&amp;$A52&amp;"'!$B$1"),IF(VLOOKUP(K$1,INDIRECT("'"&amp;$A52&amp;"'!$A$12:$Z$19"),MATCH("Points (Auto-generate)",INDIRECT("'"&amp;$A52&amp;"'!$A$12:$Z$12"),0),0)="","?",VLOOKUP(K$1,INDIRECT("'"&amp;$A52&amp;"'!$A$12:$Z$19"),MATCH("Points (Auto-generate)",INDIRECT("'"&amp;$A52&amp;"'!$A$12:$Z$12"),0),0)),"ER"))</f>
        <v>?</v>
      </c>
      <c r="L52" s="0" t="str">
        <f aca="true">IF($F52=0,"NA",IF($A52=INDIRECT("'"&amp;$A52&amp;"'!$B$1"),IF(VLOOKUP(L$1,INDIRECT("'"&amp;$A52&amp;"'!$A$12:$Z$19"),MATCH("Points (Auto-generate)",INDIRECT("'"&amp;$A52&amp;"'!$A$12:$Z$12"),0),0)="","?",VLOOKUP(L$1,INDIRECT("'"&amp;$A52&amp;"'!$A$12:$Z$19"),MATCH("Points (Auto-generate)",INDIRECT("'"&amp;$A52&amp;"'!$A$12:$Z$12"),0),0)),"ER"))</f>
        <v>?</v>
      </c>
      <c r="M52" s="0" t="str">
        <f aca="true">IF($F52=0,"NA",IF($A52=INDIRECT("'"&amp;$A52&amp;"'!$B$1"),IF(VLOOKUP(M$1,INDIRECT("'"&amp;$A52&amp;"'!$A$12:$Z$19"),MATCH("Points (Auto-generate)",INDIRECT("'"&amp;$A52&amp;"'!$A$12:$Z$12"),0),0)="","?",VLOOKUP(M$1,INDIRECT("'"&amp;$A52&amp;"'!$A$12:$Z$19"),MATCH("Points (Auto-generate)",INDIRECT("'"&amp;$A52&amp;"'!$A$12:$Z$12"),0),0)),"ER"))</f>
        <v>?</v>
      </c>
    </row>
    <row r="53" customFormat="false" ht="15" hidden="false" customHeight="false" outlineLevel="0" collapsed="false">
      <c r="A53" s="8" t="s">
        <v>371</v>
      </c>
      <c r="B53" s="8" t="str">
        <f aca="false">VLOOKUP($A53,'PARASTATAL Questions'!$A:$J,3,0)&amp;""</f>
        <v>State Capacities</v>
      </c>
      <c r="C53" s="8" t="str">
        <f aca="false">VLOOKUP($A53,'PARASTATAL Questions'!$A:$J,4,0)&amp;""</f>
        <v>MQ</v>
      </c>
      <c r="D53" s="8" t="str">
        <f aca="false">VLOOKUP($A53,'PARASTATAL Questions'!$A:$J,5,0)&amp;""</f>
        <v>Does the law mandate a minimum tenure for the executive authority of the parastatal?</v>
      </c>
      <c r="E53" s="8" t="str">
        <f aca="false">VLOOKUP($A53,'PARASTATAL Questions'!$A:$J,7,0)&amp;""</f>
        <v>Law/Policy</v>
      </c>
      <c r="F53" s="8" t="n">
        <f aca="false">VLOOKUP($A53,'PARASTATAL Questions'!$A:$J,6,0)</f>
        <v>10</v>
      </c>
      <c r="G53" s="8" t="n">
        <f aca="true">IF($F53=0,"NA",IF($A53=INDIRECT("'"&amp;$A53&amp;"'!$B$1"),IF(VLOOKUP(G$1,INDIRECT("'"&amp;$A53&amp;"'!$A$12:$Z$19"),MATCH("Points (Auto-generate)",INDIRECT("'"&amp;$A53&amp;"'!$A$12:$Z$12"),0),0)="","?",VLOOKUP(G$1,INDIRECT("'"&amp;$A53&amp;"'!$A$12:$Z$19"),MATCH("Points (Auto-generate)",INDIRECT("'"&amp;$A53&amp;"'!$A$12:$Z$12"),0),0)),"ER"))</f>
        <v>0</v>
      </c>
      <c r="H53" s="8" t="str">
        <f aca="true">IF($F53=0,"NA",IF($A53=INDIRECT("'"&amp;$A53&amp;"'!$B$1"),IF(VLOOKUP(H$1,INDIRECT("'"&amp;$A53&amp;"'!$A$12:$Z$19"),MATCH("Points (Auto-generate)",INDIRECT("'"&amp;$A53&amp;"'!$A$12:$Z$12"),0),0)="","?",VLOOKUP(H$1,INDIRECT("'"&amp;$A53&amp;"'!$A$12:$Z$19"),MATCH("Points (Auto-generate)",INDIRECT("'"&amp;$A53&amp;"'!$A$12:$Z$12"),0),0)),"ER"))</f>
        <v>?</v>
      </c>
      <c r="I53" s="8" t="n">
        <f aca="true">IF($F53=0,"NA",IF($A53=INDIRECT("'"&amp;$A53&amp;"'!$B$1"),IF(VLOOKUP(I$1,INDIRECT("'"&amp;$A53&amp;"'!$A$12:$Z$19"),MATCH("Points (Auto-generate)",INDIRECT("'"&amp;$A53&amp;"'!$A$12:$Z$12"),0),0)="","?",VLOOKUP(I$1,INDIRECT("'"&amp;$A53&amp;"'!$A$12:$Z$19"),MATCH("Points (Auto-generate)",INDIRECT("'"&amp;$A53&amp;"'!$A$12:$Z$12"),0),0)),"ER"))</f>
        <v>0</v>
      </c>
      <c r="J53" s="8" t="n">
        <f aca="true">IF($F53=0,"NA",IF($A53=INDIRECT("'"&amp;$A53&amp;"'!$B$1"),IF(VLOOKUP(J$1,INDIRECT("'"&amp;$A53&amp;"'!$A$12:$Z$19"),MATCH("Points (Auto-generate)",INDIRECT("'"&amp;$A53&amp;"'!$A$12:$Z$12"),0),0)="","?",VLOOKUP(J$1,INDIRECT("'"&amp;$A53&amp;"'!$A$12:$Z$19"),MATCH("Points (Auto-generate)",INDIRECT("'"&amp;$A53&amp;"'!$A$12:$Z$12"),0),0)),"ER"))</f>
        <v>0</v>
      </c>
      <c r="K53" s="8" t="str">
        <f aca="true">IF($F53=0,"NA",IF($A53=INDIRECT("'"&amp;$A53&amp;"'!$B$1"),IF(VLOOKUP(K$1,INDIRECT("'"&amp;$A53&amp;"'!$A$12:$Z$19"),MATCH("Points (Auto-generate)",INDIRECT("'"&amp;$A53&amp;"'!$A$12:$Z$12"),0),0)="","?",VLOOKUP(K$1,INDIRECT("'"&amp;$A53&amp;"'!$A$12:$Z$19"),MATCH("Points (Auto-generate)",INDIRECT("'"&amp;$A53&amp;"'!$A$12:$Z$12"),0),0)),"ER"))</f>
        <v>?</v>
      </c>
      <c r="L53" s="8" t="str">
        <f aca="true">IF($F53=0,"NA",IF($A53=INDIRECT("'"&amp;$A53&amp;"'!$B$1"),IF(VLOOKUP(L$1,INDIRECT("'"&amp;$A53&amp;"'!$A$12:$Z$19"),MATCH("Points (Auto-generate)",INDIRECT("'"&amp;$A53&amp;"'!$A$12:$Z$12"),0),0)="","?",VLOOKUP(L$1,INDIRECT("'"&amp;$A53&amp;"'!$A$12:$Z$19"),MATCH("Points (Auto-generate)",INDIRECT("'"&amp;$A53&amp;"'!$A$12:$Z$12"),0),0)),"ER"))</f>
        <v>?</v>
      </c>
      <c r="M53" s="8" t="str">
        <f aca="true">IF($F53=0,"NA",IF($A53=INDIRECT("'"&amp;$A53&amp;"'!$B$1"),IF(VLOOKUP(M$1,INDIRECT("'"&amp;$A53&amp;"'!$A$12:$Z$19"),MATCH("Points (Auto-generate)",INDIRECT("'"&amp;$A53&amp;"'!$A$12:$Z$12"),0),0)="","?",VLOOKUP(M$1,INDIRECT("'"&amp;$A53&amp;"'!$A$12:$Z$19"),MATCH("Points (Auto-generate)",INDIRECT("'"&amp;$A53&amp;"'!$A$12:$Z$12"),0),0)),"ER"))</f>
        <v>?</v>
      </c>
    </row>
    <row r="54" customFormat="false" ht="15" hidden="false" customHeight="false" outlineLevel="0" collapsed="false">
      <c r="A54" s="8" t="s">
        <v>387</v>
      </c>
      <c r="B54" s="8" t="str">
        <f aca="false">VLOOKUP($A54,'PARASTATAL Questions'!$A:$J,3,0)&amp;""</f>
        <v>State Capacities</v>
      </c>
      <c r="C54" s="8" t="str">
        <f aca="false">VLOOKUP($A54,'PARASTATAL Questions'!$A:$J,4,0)&amp;""</f>
        <v>MQ</v>
      </c>
      <c r="D54" s="8" t="str">
        <f aca="false">VLOOKUP($A54,'PARASTATAL Questions'!$A:$J,5,0)&amp;""</f>
        <v>What is the average tenure of the chief executive/executive authority of the parastatal?</v>
      </c>
      <c r="E54" s="8" t="str">
        <f aca="false">VLOOKUP($A54,'PARASTATAL Questions'!$A:$J,7,0)&amp;""</f>
        <v>Implementation (Numeric)</v>
      </c>
      <c r="F54" s="8" t="n">
        <f aca="false">VLOOKUP($A54,'PARASTATAL Questions'!$A:$J,6,0)</f>
        <v>10</v>
      </c>
      <c r="G54" s="8" t="str">
        <f aca="true">IF($F54=0,"NA",IF($A54=INDIRECT("'"&amp;$A54&amp;"'!$B$1"),IF(VLOOKUP(G$1,INDIRECT("'"&amp;$A54&amp;"'!$A$12:$Z$19"),MATCH("Points (Auto-generate)",INDIRECT("'"&amp;$A54&amp;"'!$A$12:$Z$12"),0),0)="","?",VLOOKUP(G$1,INDIRECT("'"&amp;$A54&amp;"'!$A$12:$Z$19"),MATCH("Points (Auto-generate)",INDIRECT("'"&amp;$A54&amp;"'!$A$12:$Z$12"),0),0)),"ER"))</f>
        <v>?</v>
      </c>
      <c r="H54" s="8" t="str">
        <f aca="true">IF($F54=0,"NA",IF($A54=INDIRECT("'"&amp;$A54&amp;"'!$B$1"),IF(VLOOKUP(H$1,INDIRECT("'"&amp;$A54&amp;"'!$A$12:$Z$19"),MATCH("Points (Auto-generate)",INDIRECT("'"&amp;$A54&amp;"'!$A$12:$Z$12"),0),0)="","?",VLOOKUP(H$1,INDIRECT("'"&amp;$A54&amp;"'!$A$12:$Z$19"),MATCH("Points (Auto-generate)",INDIRECT("'"&amp;$A54&amp;"'!$A$12:$Z$12"),0),0)),"ER"))</f>
        <v>?</v>
      </c>
      <c r="I54" s="8" t="str">
        <f aca="true">IF($F54=0,"NA",IF($A54=INDIRECT("'"&amp;$A54&amp;"'!$B$1"),IF(VLOOKUP(I$1,INDIRECT("'"&amp;$A54&amp;"'!$A$12:$Z$19"),MATCH("Points (Auto-generate)",INDIRECT("'"&amp;$A54&amp;"'!$A$12:$Z$12"),0),0)="","?",VLOOKUP(I$1,INDIRECT("'"&amp;$A54&amp;"'!$A$12:$Z$19"),MATCH("Points (Auto-generate)",INDIRECT("'"&amp;$A54&amp;"'!$A$12:$Z$12"),0),0)),"ER"))</f>
        <v>?</v>
      </c>
      <c r="J54" s="8" t="str">
        <f aca="true">IF($F54=0,"NA",IF($A54=INDIRECT("'"&amp;$A54&amp;"'!$B$1"),IF(VLOOKUP(J$1,INDIRECT("'"&amp;$A54&amp;"'!$A$12:$Z$19"),MATCH("Points (Auto-generate)",INDIRECT("'"&amp;$A54&amp;"'!$A$12:$Z$12"),0),0)="","?",VLOOKUP(J$1,INDIRECT("'"&amp;$A54&amp;"'!$A$12:$Z$19"),MATCH("Points (Auto-generate)",INDIRECT("'"&amp;$A54&amp;"'!$A$12:$Z$12"),0),0)),"ER"))</f>
        <v>?</v>
      </c>
      <c r="K54" s="8" t="str">
        <f aca="true">IF($F54=0,"NA",IF($A54=INDIRECT("'"&amp;$A54&amp;"'!$B$1"),IF(VLOOKUP(K$1,INDIRECT("'"&amp;$A54&amp;"'!$A$12:$Z$19"),MATCH("Points (Auto-generate)",INDIRECT("'"&amp;$A54&amp;"'!$A$12:$Z$12"),0),0)="","?",VLOOKUP(K$1,INDIRECT("'"&amp;$A54&amp;"'!$A$12:$Z$19"),MATCH("Points (Auto-generate)",INDIRECT("'"&amp;$A54&amp;"'!$A$12:$Z$12"),0),0)),"ER"))</f>
        <v>?</v>
      </c>
      <c r="L54" s="8" t="str">
        <f aca="true">IF($F54=0,"NA",IF($A54=INDIRECT("'"&amp;$A54&amp;"'!$B$1"),IF(VLOOKUP(L$1,INDIRECT("'"&amp;$A54&amp;"'!$A$12:$Z$19"),MATCH("Points (Auto-generate)",INDIRECT("'"&amp;$A54&amp;"'!$A$12:$Z$12"),0),0)="","?",VLOOKUP(L$1,INDIRECT("'"&amp;$A54&amp;"'!$A$12:$Z$19"),MATCH("Points (Auto-generate)",INDIRECT("'"&amp;$A54&amp;"'!$A$12:$Z$12"),0),0)),"ER"))</f>
        <v>?</v>
      </c>
      <c r="M54" s="8" t="str">
        <f aca="true">IF($F54=0,"NA",IF($A54=INDIRECT("'"&amp;$A54&amp;"'!$B$1"),IF(VLOOKUP(M$1,INDIRECT("'"&amp;$A54&amp;"'!$A$12:$Z$19"),MATCH("Points (Auto-generate)",INDIRECT("'"&amp;$A54&amp;"'!$A$12:$Z$12"),0),0)="","?",VLOOKUP(M$1,INDIRECT("'"&amp;$A54&amp;"'!$A$12:$Z$19"),MATCH("Points (Auto-generate)",INDIRECT("'"&amp;$A54&amp;"'!$A$12:$Z$12"),0),0)),"ER"))</f>
        <v>?</v>
      </c>
    </row>
    <row r="55" customFormat="false" ht="15" hidden="false" customHeight="false" outlineLevel="0" collapsed="false">
      <c r="A55" s="8" t="s">
        <v>447</v>
      </c>
      <c r="B55" s="8" t="str">
        <f aca="false">VLOOKUP($A55,'PARASTATAL Questions'!$A:$J,3,0)&amp;""</f>
        <v>State Capacities</v>
      </c>
      <c r="C55" s="8" t="str">
        <f aca="false">VLOOKUP($A55,'PARASTATAL Questions'!$A:$J,4,0)&amp;""</f>
        <v>MQ</v>
      </c>
      <c r="D55" s="8" t="str">
        <f aca="false">VLOOKUP($A55,'PARASTATAL Questions'!$A:$J,5,0)&amp;""</f>
        <v>Does the parastatal have adequate and representative staffing capacity to discharge its mandate?</v>
      </c>
      <c r="E55" s="8" t="str">
        <f aca="false">VLOOKUP($A55,'PARASTATAL Questions'!$A:$J,7,0)&amp;""</f>
        <v>Implementation (Numeric)</v>
      </c>
      <c r="F55" s="8" t="n">
        <f aca="false">VLOOKUP($A55,'PARASTATAL Questions'!$A:$J,6,0)</f>
        <v>10</v>
      </c>
      <c r="G55" s="8" t="str">
        <f aca="false">IF(OR(G56="ER",G57="ER"),"ER",IF(OR(G56="?",G57="?"),"?",IF(AND(G56="NA",G57="NA"),"NA",SUM(G56,G57)/((G56&lt;&gt;"NA")*$F$56+(G57&lt;&gt;"NA")*$F$57)*$F55)))</f>
        <v>?</v>
      </c>
      <c r="H55" s="8" t="str">
        <f aca="false">IF(OR(H56="ER",H57="ER"),"ER",IF(OR(H56="?",H57="?"),"?",IF(AND(H56="NA",H57="NA"),"NA",SUM(H56,H57)/((H56&lt;&gt;"NA")*$F$56+(H57&lt;&gt;"NA")*$F$57)*$F55)))</f>
        <v>?</v>
      </c>
      <c r="I55" s="8" t="str">
        <f aca="false">IF(OR(I56="ER",I57="ER"),"ER",IF(OR(I56="?",I57="?"),"?",IF(AND(I56="NA",I57="NA"),"NA",SUM(I56,I57)/((I56&lt;&gt;"NA")*$F$56+(I57&lt;&gt;"NA")*$F$57)*$F55)))</f>
        <v>?</v>
      </c>
      <c r="J55" s="8" t="str">
        <f aca="false">IF(OR(J56="ER",J57="ER"),"ER",IF(OR(J56="?",J57="?"),"?",IF(AND(J56="NA",J57="NA"),"NA",SUM(J56,J57)/((J56&lt;&gt;"NA")*$F$56+(J57&lt;&gt;"NA")*$F$57)*$F55)))</f>
        <v>?</v>
      </c>
      <c r="K55" s="8" t="str">
        <f aca="false">IF(OR(K56="ER",K57="ER"),"ER",IF(OR(K56="?",K57="?"),"?",IF(AND(K56="NA",K57="NA"),"NA",SUM(K56,K57)/((K56&lt;&gt;"NA")*$F$56+(K57&lt;&gt;"NA")*$F$57)*$F55)))</f>
        <v>?</v>
      </c>
      <c r="L55" s="8" t="str">
        <f aca="false">IF(OR(L56="ER",L57="ER"),"ER",IF(OR(L56="?",L57="?"),"?",IF(AND(L56="NA",L57="NA"),"NA",SUM(L56,L57)/((L56&lt;&gt;"NA")*$F$56+(L57&lt;&gt;"NA")*$F$57)*$F55)))</f>
        <v>?</v>
      </c>
      <c r="M55" s="8" t="str">
        <f aca="false">IF(OR(M56="ER",M57="ER"),"ER",IF(OR(M56="?",M57="?"),"?",IF(AND(M56="NA",M57="NA"),"NA",SUM(M56,M57)/((M56&lt;&gt;"NA")*$F$56+(M57&lt;&gt;"NA")*$F$57)*$F55)))</f>
        <v>?</v>
      </c>
    </row>
    <row r="56" customFormat="false" ht="15" hidden="false" customHeight="false" outlineLevel="0" collapsed="false">
      <c r="A56" s="0" t="s">
        <v>399</v>
      </c>
      <c r="B56" s="0" t="str">
        <f aca="false">VLOOKUP($A56,'PARASTATAL Questions'!$A:$J,3,0)&amp;""</f>
        <v>State Capacities</v>
      </c>
      <c r="C56" s="0" t="str">
        <f aca="false">VLOOKUP($A56,'PARASTATAL Questions'!$A:$J,4,0)&amp;""</f>
        <v>SQ</v>
      </c>
      <c r="D56" s="0" t="str">
        <f aca="false">VLOOKUP($A56,'PARASTATAL Questions'!$A:$J,5,0)&amp;""</f>
        <v>Does the parastatal have adequate staffing capacity to discharge its mandate?</v>
      </c>
      <c r="E56" s="0" t="str">
        <f aca="false">VLOOKUP($A56,'PARASTATAL Questions'!$A:$J,7,0)&amp;""</f>
        <v>Implementation (Numeric)</v>
      </c>
      <c r="F56" s="0" t="n">
        <f aca="false">VLOOKUP($A56,'PARASTATAL Questions'!$A:$J,6,0)</f>
        <v>5</v>
      </c>
      <c r="G56" s="0" t="n">
        <f aca="true">IF($F56=0,"NA",IF($A56=INDIRECT("'"&amp;$A56&amp;"'!$B$1"),IF(VLOOKUP(G$1,INDIRECT("'"&amp;$A56&amp;"'!$A$12:$Z$19"),MATCH("Points (Auto-generate)",INDIRECT("'"&amp;$A56&amp;"'!$A$12:$Z$12"),0),0)="","?",VLOOKUP(G$1,INDIRECT("'"&amp;$A56&amp;"'!$A$12:$Z$19"),MATCH("Points (Auto-generate)",INDIRECT("'"&amp;$A56&amp;"'!$A$12:$Z$12"),0),0)),"ER"))</f>
        <v>3</v>
      </c>
      <c r="H56" s="0" t="str">
        <f aca="true">IF($F56=0,"NA",IF($A56=INDIRECT("'"&amp;$A56&amp;"'!$B$1"),IF(VLOOKUP(H$1,INDIRECT("'"&amp;$A56&amp;"'!$A$12:$Z$19"),MATCH("Points (Auto-generate)",INDIRECT("'"&amp;$A56&amp;"'!$A$12:$Z$12"),0),0)="","?",VLOOKUP(H$1,INDIRECT("'"&amp;$A56&amp;"'!$A$12:$Z$19"),MATCH("Points (Auto-generate)",INDIRECT("'"&amp;$A56&amp;"'!$A$12:$Z$12"),0),0)),"ER"))</f>
        <v>?</v>
      </c>
      <c r="I56" s="0" t="str">
        <f aca="true">IF($F56=0,"NA",IF($A56=INDIRECT("'"&amp;$A56&amp;"'!$B$1"),IF(VLOOKUP(I$1,INDIRECT("'"&amp;$A56&amp;"'!$A$12:$Z$19"),MATCH("Points (Auto-generate)",INDIRECT("'"&amp;$A56&amp;"'!$A$12:$Z$12"),0),0)="","?",VLOOKUP(I$1,INDIRECT("'"&amp;$A56&amp;"'!$A$12:$Z$19"),MATCH("Points (Auto-generate)",INDIRECT("'"&amp;$A56&amp;"'!$A$12:$Z$12"),0),0)),"ER"))</f>
        <v>?</v>
      </c>
      <c r="J56" s="0" t="str">
        <f aca="true">IF($F56=0,"NA",IF($A56=INDIRECT("'"&amp;$A56&amp;"'!$B$1"),IF(VLOOKUP(J$1,INDIRECT("'"&amp;$A56&amp;"'!$A$12:$Z$19"),MATCH("Points (Auto-generate)",INDIRECT("'"&amp;$A56&amp;"'!$A$12:$Z$12"),0),0)="","?",VLOOKUP(J$1,INDIRECT("'"&amp;$A56&amp;"'!$A$12:$Z$19"),MATCH("Points (Auto-generate)",INDIRECT("'"&amp;$A56&amp;"'!$A$12:$Z$12"),0),0)),"ER"))</f>
        <v>?</v>
      </c>
      <c r="K56" s="0" t="str">
        <f aca="true">IF($F56=0,"NA",IF($A56=INDIRECT("'"&amp;$A56&amp;"'!$B$1"),IF(VLOOKUP(K$1,INDIRECT("'"&amp;$A56&amp;"'!$A$12:$Z$19"),MATCH("Points (Auto-generate)",INDIRECT("'"&amp;$A56&amp;"'!$A$12:$Z$12"),0),0)="","?",VLOOKUP(K$1,INDIRECT("'"&amp;$A56&amp;"'!$A$12:$Z$19"),MATCH("Points (Auto-generate)",INDIRECT("'"&amp;$A56&amp;"'!$A$12:$Z$12"),0),0)),"ER"))</f>
        <v>?</v>
      </c>
      <c r="L56" s="0" t="str">
        <f aca="true">IF($F56=0,"NA",IF($A56=INDIRECT("'"&amp;$A56&amp;"'!$B$1"),IF(VLOOKUP(L$1,INDIRECT("'"&amp;$A56&amp;"'!$A$12:$Z$19"),MATCH("Points (Auto-generate)",INDIRECT("'"&amp;$A56&amp;"'!$A$12:$Z$12"),0),0)="","?",VLOOKUP(L$1,INDIRECT("'"&amp;$A56&amp;"'!$A$12:$Z$19"),MATCH("Points (Auto-generate)",INDIRECT("'"&amp;$A56&amp;"'!$A$12:$Z$12"),0),0)),"ER"))</f>
        <v>?</v>
      </c>
      <c r="M56" s="0" t="str">
        <f aca="true">IF($F56=0,"NA",IF($A56=INDIRECT("'"&amp;$A56&amp;"'!$B$1"),IF(VLOOKUP(M$1,INDIRECT("'"&amp;$A56&amp;"'!$A$12:$Z$19"),MATCH("Points (Auto-generate)",INDIRECT("'"&amp;$A56&amp;"'!$A$12:$Z$12"),0),0)="","?",VLOOKUP(M$1,INDIRECT("'"&amp;$A56&amp;"'!$A$12:$Z$19"),MATCH("Points (Auto-generate)",INDIRECT("'"&amp;$A56&amp;"'!$A$12:$Z$12"),0),0)),"ER"))</f>
        <v>?</v>
      </c>
    </row>
    <row r="57" customFormat="false" ht="15" hidden="false" customHeight="false" outlineLevel="0" collapsed="false">
      <c r="A57" s="0" t="s">
        <v>408</v>
      </c>
      <c r="B57" s="0" t="str">
        <f aca="false">VLOOKUP($A57,'PARASTATAL Questions'!$A:$J,3,0)&amp;""</f>
        <v>State Capacities</v>
      </c>
      <c r="C57" s="0" t="str">
        <f aca="false">VLOOKUP($A57,'PARASTATAL Questions'!$A:$J,4,0)&amp;""</f>
        <v>SQ</v>
      </c>
      <c r="D57" s="0" t="str">
        <f aca="false">VLOOKUP($A57,'PARASTATAL Questions'!$A:$J,5,0)&amp;""</f>
        <v>What proportion of the parastatal's workforce is women?</v>
      </c>
      <c r="E57" s="0" t="str">
        <f aca="false">VLOOKUP($A57,'PARASTATAL Questions'!$A:$J,7,0)&amp;""</f>
        <v>Implementation (Numeric)</v>
      </c>
      <c r="F57" s="0" t="n">
        <f aca="false">VLOOKUP($A57,'PARASTATAL Questions'!$A:$J,6,0)</f>
        <v>5</v>
      </c>
      <c r="G57" s="0" t="str">
        <f aca="true">IF($F57=0,"NA",IF($A57=INDIRECT("'"&amp;$A57&amp;"'!$B$1"),IF(VLOOKUP(G$1,INDIRECT("'"&amp;$A57&amp;"'!$A$12:$Z$19"),MATCH("Points (Auto-generate)",INDIRECT("'"&amp;$A57&amp;"'!$A$12:$Z$12"),0),0)="","?",VLOOKUP(G$1,INDIRECT("'"&amp;$A57&amp;"'!$A$12:$Z$19"),MATCH("Points (Auto-generate)",INDIRECT("'"&amp;$A57&amp;"'!$A$12:$Z$12"),0),0)),"ER"))</f>
        <v>?</v>
      </c>
      <c r="H57" s="0" t="str">
        <f aca="true">IF($F57=0,"NA",IF($A57=INDIRECT("'"&amp;$A57&amp;"'!$B$1"),IF(VLOOKUP(H$1,INDIRECT("'"&amp;$A57&amp;"'!$A$12:$Z$19"),MATCH("Points (Auto-generate)",INDIRECT("'"&amp;$A57&amp;"'!$A$12:$Z$12"),0),0)="","?",VLOOKUP(H$1,INDIRECT("'"&amp;$A57&amp;"'!$A$12:$Z$19"),MATCH("Points (Auto-generate)",INDIRECT("'"&amp;$A57&amp;"'!$A$12:$Z$12"),0),0)),"ER"))</f>
        <v>?</v>
      </c>
      <c r="I57" s="0" t="str">
        <f aca="true">IF($F57=0,"NA",IF($A57=INDIRECT("'"&amp;$A57&amp;"'!$B$1"),IF(VLOOKUP(I$1,INDIRECT("'"&amp;$A57&amp;"'!$A$12:$Z$19"),MATCH("Points (Auto-generate)",INDIRECT("'"&amp;$A57&amp;"'!$A$12:$Z$12"),0),0)="","?",VLOOKUP(I$1,INDIRECT("'"&amp;$A57&amp;"'!$A$12:$Z$19"),MATCH("Points (Auto-generate)",INDIRECT("'"&amp;$A57&amp;"'!$A$12:$Z$12"),0),0)),"ER"))</f>
        <v>?</v>
      </c>
      <c r="J57" s="0" t="str">
        <f aca="true">IF($F57=0,"NA",IF($A57=INDIRECT("'"&amp;$A57&amp;"'!$B$1"),IF(VLOOKUP(J$1,INDIRECT("'"&amp;$A57&amp;"'!$A$12:$Z$19"),MATCH("Points (Auto-generate)",INDIRECT("'"&amp;$A57&amp;"'!$A$12:$Z$12"),0),0)="","?",VLOOKUP(J$1,INDIRECT("'"&amp;$A57&amp;"'!$A$12:$Z$19"),MATCH("Points (Auto-generate)",INDIRECT("'"&amp;$A57&amp;"'!$A$12:$Z$12"),0),0)),"ER"))</f>
        <v>?</v>
      </c>
      <c r="K57" s="0" t="str">
        <f aca="true">IF($F57=0,"NA",IF($A57=INDIRECT("'"&amp;$A57&amp;"'!$B$1"),IF(VLOOKUP(K$1,INDIRECT("'"&amp;$A57&amp;"'!$A$12:$Z$19"),MATCH("Points (Auto-generate)",INDIRECT("'"&amp;$A57&amp;"'!$A$12:$Z$12"),0),0)="","?",VLOOKUP(K$1,INDIRECT("'"&amp;$A57&amp;"'!$A$12:$Z$19"),MATCH("Points (Auto-generate)",INDIRECT("'"&amp;$A57&amp;"'!$A$12:$Z$12"),0),0)),"ER"))</f>
        <v>?</v>
      </c>
      <c r="L57" s="0" t="str">
        <f aca="true">IF($F57=0,"NA",IF($A57=INDIRECT("'"&amp;$A57&amp;"'!$B$1"),IF(VLOOKUP(L$1,INDIRECT("'"&amp;$A57&amp;"'!$A$12:$Z$19"),MATCH("Points (Auto-generate)",INDIRECT("'"&amp;$A57&amp;"'!$A$12:$Z$12"),0),0)="","?",VLOOKUP(L$1,INDIRECT("'"&amp;$A57&amp;"'!$A$12:$Z$19"),MATCH("Points (Auto-generate)",INDIRECT("'"&amp;$A57&amp;"'!$A$12:$Z$12"),0),0)),"ER"))</f>
        <v>?</v>
      </c>
      <c r="M57" s="0" t="str">
        <f aca="true">IF($F57=0,"NA",IF($A57=INDIRECT("'"&amp;$A57&amp;"'!$B$1"),IF(VLOOKUP(M$1,INDIRECT("'"&amp;$A57&amp;"'!$A$12:$Z$19"),MATCH("Points (Auto-generate)",INDIRECT("'"&amp;$A57&amp;"'!$A$12:$Z$12"),0),0)="","?",VLOOKUP(M$1,INDIRECT("'"&amp;$A57&amp;"'!$A$12:$Z$19"),MATCH("Points (Auto-generate)",INDIRECT("'"&amp;$A57&amp;"'!$A$12:$Z$12"),0),0)),"ER"))</f>
        <v>?</v>
      </c>
    </row>
    <row r="59" customFormat="false" ht="15" hidden="false" customHeight="false" outlineLevel="0" collapsed="false">
      <c r="D59" s="8" t="s">
        <v>448</v>
      </c>
      <c r="G59" s="8" t="s">
        <v>17</v>
      </c>
      <c r="H59" s="8" t="s">
        <v>26</v>
      </c>
      <c r="I59" s="8" t="s">
        <v>32</v>
      </c>
      <c r="J59" s="8" t="s">
        <v>38</v>
      </c>
      <c r="K59" s="8" t="s">
        <v>43</v>
      </c>
      <c r="L59" s="8" t="s">
        <v>431</v>
      </c>
      <c r="M59" s="8" t="s">
        <v>432</v>
      </c>
    </row>
    <row r="60" customFormat="false" ht="15" hidden="false" customHeight="false" outlineLevel="0" collapsed="false">
      <c r="D60" s="8" t="s">
        <v>449</v>
      </c>
      <c r="G60" s="0" t="n">
        <f aca="false">IFERROR(SUMIFS(G$3:G$57,$C$3:$C$57,"MQ")/(COUNTIFS($C$3:$C$57,"MQ")-COUNTIFS($C$3:$C$57,"MQ",G$3:G$57,"NA")),"NA")</f>
        <v>1.98529411764706</v>
      </c>
      <c r="H60" s="0" t="n">
        <f aca="false">IFERROR(SUMIFS(H$3:H$57,$C$3:$C$57,"MQ")/(COUNTIFS($C$3:$C$57,"MQ")-COUNTIFS($C$3:$C$57,"MQ",H$3:H$57,"NA")),"NA")</f>
        <v>0.808823529411765</v>
      </c>
      <c r="I60" s="0" t="n">
        <f aca="false">IFERROR(SUMIFS(I$3:I$57,$C$3:$C$57,"MQ")/(COUNTIFS($C$3:$C$57,"MQ")-COUNTIFS($C$3:$C$57,"MQ",I$3:I$57,"NA")),"NA")</f>
        <v>0.576923076923077</v>
      </c>
      <c r="J60" s="0" t="n">
        <f aca="false">IFERROR(SUMIFS(J$3:J$57,$C$3:$C$57,"MQ")/(COUNTIFS($C$3:$C$57,"MQ")-COUNTIFS($C$3:$C$57,"MQ",J$3:J$57,"NA")),"NA")</f>
        <v>0.961538461538462</v>
      </c>
      <c r="K60" s="0" t="n">
        <f aca="false">IFERROR(SUMIFS(K$3:K$57,$C$3:$C$57,"MQ")/(COUNTIFS($C$3:$C$57,"MQ")-COUNTIFS($C$3:$C$57,"MQ",K$3:K$57,"NA")),"NA")</f>
        <v>1.36363636363636</v>
      </c>
      <c r="L60" s="0" t="n">
        <f aca="false">IFERROR(SUMIFS(L$3:L$57,$C$3:$C$57,"MQ")/(COUNTIFS($C$3:$C$57,"MQ")-COUNTIFS($C$3:$C$57,"MQ",L$3:L$57,"NA")),"NA")</f>
        <v>0</v>
      </c>
      <c r="M60" s="0" t="n">
        <f aca="false">IFERROR(SUMIFS(M$3:M$57,$C$3:$C$57,"MQ")/(COUNTIFS($C$3:$C$57,"MQ")-COUNTIFS($C$3:$C$57,"MQ",M$3:M$57,"NA")),"NA")</f>
        <v>0</v>
      </c>
    </row>
    <row r="61" customFormat="false" ht="15" hidden="false" customHeight="false" outlineLevel="0" collapsed="false">
      <c r="D61" s="8" t="s">
        <v>450</v>
      </c>
      <c r="G61" s="0" t="n">
        <f aca="false">COUNTIFS($C$3:$C$57,"MQ",G$3:G$57,"?")</f>
        <v>12</v>
      </c>
      <c r="H61" s="0" t="n">
        <f aca="false">COUNTIFS($C$3:$C$57,"MQ",H$3:H$57,"?")</f>
        <v>15</v>
      </c>
      <c r="I61" s="0" t="n">
        <f aca="false">COUNTIFS($C$3:$C$57,"MQ",I$3:I$57,"?")</f>
        <v>12</v>
      </c>
      <c r="J61" s="0" t="n">
        <f aca="false">COUNTIFS($C$3:$C$57,"MQ",J$3:J$57,"?")</f>
        <v>12</v>
      </c>
      <c r="K61" s="0" t="n">
        <f aca="false">COUNTIFS($C$3:$C$57,"MQ",K$3:K$57,"?")</f>
        <v>10</v>
      </c>
      <c r="L61" s="0" t="n">
        <f aca="false">COUNTIFS($C$3:$C$57,"MQ",L$3:L$57,"?")</f>
        <v>11</v>
      </c>
      <c r="M61" s="0" t="n">
        <f aca="false">COUNTIFS($C$3:$C$57,"MQ",M$3:M$57,"?")</f>
        <v>13</v>
      </c>
    </row>
    <row r="62" customFormat="false" ht="15" hidden="false" customHeight="false" outlineLevel="0" collapsed="false">
      <c r="D62" s="8" t="s">
        <v>451</v>
      </c>
      <c r="G62" s="0" t="n">
        <f aca="false">COUNTIFS($C$3:$C$57,"MQ",G$3:G$57,"NA")</f>
        <v>2</v>
      </c>
      <c r="H62" s="0" t="n">
        <f aca="false">COUNTIFS($C$3:$C$57,"MQ",H$3:H$57,"NA")</f>
        <v>2</v>
      </c>
      <c r="I62" s="0" t="n">
        <f aca="false">COUNTIFS($C$3:$C$57,"MQ",I$3:I$57,"NA")</f>
        <v>6</v>
      </c>
      <c r="J62" s="0" t="n">
        <f aca="false">COUNTIFS($C$3:$C$57,"MQ",J$3:J$57,"NA")</f>
        <v>6</v>
      </c>
      <c r="K62" s="0" t="n">
        <f aca="false">COUNTIFS($C$3:$C$57,"MQ",K$3:K$57,"NA")</f>
        <v>8</v>
      </c>
      <c r="L62" s="0" t="n">
        <f aca="false">COUNTIFS($C$3:$C$57,"MQ",L$3:L$57,"NA")</f>
        <v>8</v>
      </c>
      <c r="M62" s="0"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50"/>
    <col collapsed="false" customWidth="true" hidden="false" outlineLevel="0" max="3" min="3" style="0" width="16"/>
    <col collapsed="false" customWidth="true" hidden="false" outlineLevel="0" max="4" min="4" style="0" width="20"/>
  </cols>
  <sheetData>
    <row r="1" customFormat="false" ht="26.85" hidden="false" customHeight="false" outlineLevel="0" collapsed="false">
      <c r="A1" s="1" t="s">
        <v>452</v>
      </c>
      <c r="B1" s="1" t="s">
        <v>453</v>
      </c>
      <c r="C1" s="1" t="s">
        <v>454</v>
      </c>
      <c r="D1" s="1" t="s">
        <v>455</v>
      </c>
    </row>
    <row r="2" customFormat="false" ht="15" hidden="false" customHeight="false" outlineLevel="0" collapsed="false">
      <c r="A2" s="0" t="s">
        <v>456</v>
      </c>
      <c r="B2" s="0" t="s">
        <v>457</v>
      </c>
      <c r="C2" s="0" t="n">
        <f aca="false">IFERROR(AVERAGEIFS(PARASTATAL_SUMMARY_RAW!$G$60:$M$60,PARASTATAL_SUMMARY_RAW!$G$59:$M$59,$A2&amp;" – *"),"NA")</f>
        <v>1.13924310983135</v>
      </c>
      <c r="D2" s="0" t="n">
        <f aca="false">COUNTIFS(PARASTATAL_SUMMARY_RAW!$G$59:$M$59,$A2&amp;" – *",PARASTATAL_SUMMARY_RAW!$G$60:$M$60,"&gt;=0")</f>
        <v>5</v>
      </c>
    </row>
    <row r="3" customFormat="false" ht="15" hidden="false" customHeight="false" outlineLevel="0" collapsed="false">
      <c r="A3" s="0" t="s">
        <v>458</v>
      </c>
      <c r="B3" s="0" t="s">
        <v>459</v>
      </c>
      <c r="C3" s="0" t="n">
        <f aca="false">IFERROR(AVERAGEIFS(PARASTATAL_SUMMARY_RAW!$G$60:$M$60,PARASTATAL_SUMMARY_RAW!$G$59:$M$59,$A3&amp;" – *"),"NA")</f>
        <v>0</v>
      </c>
      <c r="D3" s="0" t="n">
        <f aca="false">COUNTIFS(PARASTATAL_SUMMARY_RAW!$G$59:$M$59,$A3&amp;" – *",PARASTATAL_SUMMARY_RAW!$G$60:$M$60,"&gt;=0")</f>
        <v>2</v>
      </c>
    </row>
    <row r="5" customFormat="false" ht="15" hidden="false" customHeight="false" outlineLevel="0" collapsed="false">
      <c r="A5" s="9"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5" min="5" style="0" width="60"/>
    <col collapsed="false" customWidth="true" hidden="false" outlineLevel="0" max="8" min="8" style="0" width="30"/>
    <col collapsed="false" customWidth="true" hidden="false" outlineLevel="0" max="9" min="9" style="0" width="80"/>
    <col collapsed="false" customWidth="true" hidden="false" outlineLevel="0" max="10" min="10" style="0" width="50"/>
  </cols>
  <sheetData>
    <row r="1" customFormat="false" ht="26.85" hidden="false" customHeight="false" outlineLevel="0" collapsed="false">
      <c r="A1" s="1" t="s">
        <v>461</v>
      </c>
      <c r="B1" s="1" t="s">
        <v>462</v>
      </c>
      <c r="C1" s="1" t="s">
        <v>427</v>
      </c>
      <c r="D1" s="1" t="s">
        <v>428</v>
      </c>
      <c r="E1" s="1" t="s">
        <v>0</v>
      </c>
      <c r="F1" s="1" t="s">
        <v>430</v>
      </c>
      <c r="G1" s="1" t="s">
        <v>429</v>
      </c>
      <c r="H1" s="1" t="s">
        <v>463</v>
      </c>
      <c r="I1" s="1" t="s">
        <v>464</v>
      </c>
      <c r="J1" s="1" t="s">
        <v>465</v>
      </c>
    </row>
    <row r="2" customFormat="false" ht="15" hidden="false" customHeight="false" outlineLevel="0" collapsed="false">
      <c r="A2" s="0" t="s">
        <v>435</v>
      </c>
      <c r="B2" s="0" t="s">
        <v>466</v>
      </c>
      <c r="C2" s="0" t="s">
        <v>467</v>
      </c>
      <c r="D2" s="0" t="s">
        <v>468</v>
      </c>
      <c r="E2" s="0" t="s">
        <v>469</v>
      </c>
      <c r="F2" s="0" t="n">
        <v>10</v>
      </c>
      <c r="H2" s="0" t="s">
        <v>470</v>
      </c>
      <c r="I2" s="0" t="s">
        <v>471</v>
      </c>
      <c r="J2" s="0" t="s">
        <v>472</v>
      </c>
    </row>
    <row r="3" customFormat="false" ht="79.85" hidden="false" customHeight="false" outlineLevel="0" collapsed="false">
      <c r="A3" s="0" t="s">
        <v>16</v>
      </c>
      <c r="B3" s="0" t="s">
        <v>473</v>
      </c>
      <c r="C3" s="0" t="s">
        <v>467</v>
      </c>
      <c r="D3" s="0" t="s">
        <v>474</v>
      </c>
      <c r="E3" s="0" t="s">
        <v>475</v>
      </c>
      <c r="F3" s="0" t="n">
        <v>5</v>
      </c>
      <c r="G3" s="0" t="s">
        <v>476</v>
      </c>
      <c r="H3" s="0" t="s">
        <v>470</v>
      </c>
      <c r="I3" s="10" t="s">
        <v>477</v>
      </c>
      <c r="J3" s="0" t="s">
        <v>478</v>
      </c>
    </row>
    <row r="4" customFormat="false" ht="91" hidden="false" customHeight="false" outlineLevel="0" collapsed="false">
      <c r="A4" s="0" t="s">
        <v>46</v>
      </c>
      <c r="B4" s="0" t="s">
        <v>479</v>
      </c>
      <c r="C4" s="0" t="s">
        <v>467</v>
      </c>
      <c r="D4" s="0" t="s">
        <v>474</v>
      </c>
      <c r="E4" s="0" t="s">
        <v>480</v>
      </c>
      <c r="F4" s="0" t="n">
        <v>5</v>
      </c>
      <c r="G4" s="0" t="s">
        <v>481</v>
      </c>
      <c r="H4" s="0" t="s">
        <v>470</v>
      </c>
      <c r="I4" s="10" t="s">
        <v>482</v>
      </c>
      <c r="J4" s="0" t="s">
        <v>483</v>
      </c>
    </row>
    <row r="5" customFormat="false" ht="15" hidden="false" customHeight="false" outlineLevel="0" collapsed="false">
      <c r="A5" s="0" t="s">
        <v>436</v>
      </c>
      <c r="B5" s="0" t="s">
        <v>484</v>
      </c>
      <c r="C5" s="0" t="s">
        <v>467</v>
      </c>
      <c r="D5" s="0" t="s">
        <v>468</v>
      </c>
      <c r="E5" s="0" t="s">
        <v>485</v>
      </c>
      <c r="F5" s="0" t="n">
        <v>10</v>
      </c>
      <c r="H5" s="0" t="s">
        <v>486</v>
      </c>
      <c r="I5" s="0" t="s">
        <v>487</v>
      </c>
      <c r="J5" s="0" t="s">
        <v>472</v>
      </c>
    </row>
    <row r="6" customFormat="false" ht="102.2" hidden="false" customHeight="false" outlineLevel="0" collapsed="false">
      <c r="A6" s="0" t="s">
        <v>52</v>
      </c>
      <c r="B6" s="0" t="s">
        <v>488</v>
      </c>
      <c r="C6" s="0" t="s">
        <v>467</v>
      </c>
      <c r="D6" s="0" t="s">
        <v>474</v>
      </c>
      <c r="E6" s="0" t="s">
        <v>489</v>
      </c>
      <c r="F6" s="0" t="n">
        <v>2.5</v>
      </c>
      <c r="G6" s="0" t="s">
        <v>476</v>
      </c>
      <c r="H6" s="0" t="s">
        <v>490</v>
      </c>
      <c r="I6" s="10" t="s">
        <v>491</v>
      </c>
      <c r="J6" s="0" t="s">
        <v>478</v>
      </c>
    </row>
    <row r="7" customFormat="false" ht="113.4" hidden="false" customHeight="false" outlineLevel="0" collapsed="false">
      <c r="A7" s="0" t="s">
        <v>57</v>
      </c>
      <c r="B7" s="0" t="s">
        <v>492</v>
      </c>
      <c r="C7" s="0" t="s">
        <v>467</v>
      </c>
      <c r="D7" s="0" t="s">
        <v>474</v>
      </c>
      <c r="E7" s="0" t="s">
        <v>493</v>
      </c>
      <c r="F7" s="0" t="n">
        <v>2.5</v>
      </c>
      <c r="G7" s="0" t="s">
        <v>481</v>
      </c>
      <c r="H7" s="0" t="s">
        <v>490</v>
      </c>
      <c r="I7" s="10" t="s">
        <v>494</v>
      </c>
      <c r="J7" s="0" t="s">
        <v>495</v>
      </c>
    </row>
    <row r="8" customFormat="false" ht="102.2" hidden="false" customHeight="false" outlineLevel="0" collapsed="false">
      <c r="A8" s="0" t="s">
        <v>59</v>
      </c>
      <c r="B8" s="0" t="s">
        <v>496</v>
      </c>
      <c r="C8" s="0" t="s">
        <v>467</v>
      </c>
      <c r="D8" s="0" t="s">
        <v>474</v>
      </c>
      <c r="E8" s="0" t="s">
        <v>497</v>
      </c>
      <c r="F8" s="0" t="n">
        <v>2.5</v>
      </c>
      <c r="G8" s="0" t="s">
        <v>476</v>
      </c>
      <c r="H8" s="0" t="s">
        <v>498</v>
      </c>
      <c r="I8" s="10" t="s">
        <v>499</v>
      </c>
      <c r="J8" s="0" t="s">
        <v>478</v>
      </c>
    </row>
    <row r="9" customFormat="false" ht="102.2" hidden="false" customHeight="false" outlineLevel="0" collapsed="false">
      <c r="A9" s="0" t="s">
        <v>65</v>
      </c>
      <c r="B9" s="0" t="s">
        <v>500</v>
      </c>
      <c r="C9" s="0" t="s">
        <v>467</v>
      </c>
      <c r="D9" s="0" t="s">
        <v>474</v>
      </c>
      <c r="E9" s="0" t="s">
        <v>501</v>
      </c>
      <c r="F9" s="0" t="n">
        <v>2.5</v>
      </c>
      <c r="G9" s="0" t="s">
        <v>481</v>
      </c>
      <c r="H9" s="0" t="s">
        <v>498</v>
      </c>
      <c r="I9" s="10" t="s">
        <v>502</v>
      </c>
      <c r="J9" s="0" t="s">
        <v>503</v>
      </c>
    </row>
    <row r="10" customFormat="false" ht="15" hidden="false" customHeight="false" outlineLevel="0" collapsed="false">
      <c r="A10" s="0" t="s">
        <v>437</v>
      </c>
      <c r="B10" s="0" t="s">
        <v>504</v>
      </c>
      <c r="C10" s="0" t="s">
        <v>467</v>
      </c>
      <c r="D10" s="0" t="s">
        <v>468</v>
      </c>
      <c r="E10" s="0" t="s">
        <v>505</v>
      </c>
      <c r="F10" s="0" t="n">
        <v>10</v>
      </c>
      <c r="G10" s="0" t="s">
        <v>476</v>
      </c>
      <c r="H10" s="0" t="s">
        <v>490</v>
      </c>
      <c r="I10" s="0" t="s">
        <v>506</v>
      </c>
      <c r="J10" s="0" t="s">
        <v>507</v>
      </c>
    </row>
    <row r="11" customFormat="false" ht="57.45" hidden="false" customHeight="false" outlineLevel="0" collapsed="false">
      <c r="A11" s="0" t="s">
        <v>67</v>
      </c>
      <c r="B11" s="0" t="s">
        <v>508</v>
      </c>
      <c r="C11" s="0" t="s">
        <v>467</v>
      </c>
      <c r="D11" s="0" t="s">
        <v>474</v>
      </c>
      <c r="E11" s="0" t="s">
        <v>509</v>
      </c>
      <c r="F11" s="0" t="n">
        <v>5</v>
      </c>
      <c r="G11" s="0" t="s">
        <v>476</v>
      </c>
      <c r="H11" s="0" t="s">
        <v>490</v>
      </c>
      <c r="I11" s="10" t="s">
        <v>510</v>
      </c>
      <c r="J11" s="0" t="s">
        <v>511</v>
      </c>
    </row>
    <row r="12" customFormat="false" ht="314.9" hidden="false" customHeight="false" outlineLevel="0" collapsed="false">
      <c r="A12" s="0" t="s">
        <v>71</v>
      </c>
      <c r="B12" s="0" t="s">
        <v>512</v>
      </c>
      <c r="C12" s="0" t="s">
        <v>467</v>
      </c>
      <c r="D12" s="0" t="s">
        <v>474</v>
      </c>
      <c r="E12" s="0" t="s">
        <v>513</v>
      </c>
      <c r="F12" s="0" t="n">
        <v>5</v>
      </c>
      <c r="G12" s="0" t="s">
        <v>481</v>
      </c>
      <c r="H12" s="0" t="s">
        <v>490</v>
      </c>
      <c r="I12" s="10" t="s">
        <v>514</v>
      </c>
      <c r="J12" s="0" t="s">
        <v>515</v>
      </c>
    </row>
    <row r="13" customFormat="false" ht="15" hidden="false" customHeight="false" outlineLevel="0" collapsed="false">
      <c r="A13" s="0" t="s">
        <v>438</v>
      </c>
      <c r="B13" s="0" t="s">
        <v>516</v>
      </c>
      <c r="C13" s="0" t="s">
        <v>467</v>
      </c>
      <c r="D13" s="0" t="s">
        <v>468</v>
      </c>
      <c r="E13" s="0" t="s">
        <v>517</v>
      </c>
      <c r="F13" s="0" t="n">
        <v>10</v>
      </c>
      <c r="H13" s="0" t="s">
        <v>498</v>
      </c>
      <c r="I13" s="0" t="s">
        <v>487</v>
      </c>
      <c r="J13" s="0" t="s">
        <v>472</v>
      </c>
    </row>
    <row r="14" customFormat="false" ht="57.45" hidden="false" customHeight="false" outlineLevel="0" collapsed="false">
      <c r="A14" s="0" t="s">
        <v>77</v>
      </c>
      <c r="B14" s="0" t="s">
        <v>518</v>
      </c>
      <c r="C14" s="0" t="s">
        <v>467</v>
      </c>
      <c r="D14" s="0" t="s">
        <v>474</v>
      </c>
      <c r="E14" s="0" t="s">
        <v>519</v>
      </c>
      <c r="F14" s="0" t="n">
        <v>5</v>
      </c>
      <c r="G14" s="0" t="s">
        <v>476</v>
      </c>
      <c r="H14" s="0" t="s">
        <v>498</v>
      </c>
      <c r="I14" s="10" t="s">
        <v>520</v>
      </c>
      <c r="J14" s="0" t="s">
        <v>521</v>
      </c>
    </row>
    <row r="15" customFormat="false" ht="102.2" hidden="false" customHeight="false" outlineLevel="0" collapsed="false">
      <c r="A15" s="0" t="s">
        <v>81</v>
      </c>
      <c r="B15" s="0" t="s">
        <v>522</v>
      </c>
      <c r="C15" s="0" t="s">
        <v>467</v>
      </c>
      <c r="D15" s="0" t="s">
        <v>474</v>
      </c>
      <c r="E15" s="0" t="s">
        <v>523</v>
      </c>
      <c r="F15" s="0" t="n">
        <v>5</v>
      </c>
      <c r="G15" s="0" t="s">
        <v>481</v>
      </c>
      <c r="H15" s="0" t="s">
        <v>498</v>
      </c>
      <c r="I15" s="10" t="s">
        <v>524</v>
      </c>
      <c r="J15" s="0" t="s">
        <v>525</v>
      </c>
    </row>
    <row r="16" customFormat="false" ht="15" hidden="false" customHeight="false" outlineLevel="0" collapsed="false">
      <c r="A16" s="0" t="s">
        <v>439</v>
      </c>
      <c r="B16" s="0" t="s">
        <v>526</v>
      </c>
      <c r="C16" s="0" t="s">
        <v>467</v>
      </c>
      <c r="D16" s="0" t="s">
        <v>468</v>
      </c>
      <c r="E16" s="0" t="s">
        <v>527</v>
      </c>
      <c r="F16" s="0" t="n">
        <v>10</v>
      </c>
      <c r="G16" s="0" t="s">
        <v>476</v>
      </c>
      <c r="H16" s="0" t="s">
        <v>490</v>
      </c>
      <c r="I16" s="0" t="s">
        <v>528</v>
      </c>
      <c r="J16" s="0" t="s">
        <v>529</v>
      </c>
    </row>
    <row r="17" customFormat="false" ht="79.85" hidden="false" customHeight="false" outlineLevel="0" collapsed="false">
      <c r="A17" s="0" t="s">
        <v>87</v>
      </c>
      <c r="B17" s="0" t="s">
        <v>530</v>
      </c>
      <c r="C17" s="0" t="s">
        <v>467</v>
      </c>
      <c r="D17" s="0" t="s">
        <v>474</v>
      </c>
      <c r="E17" s="0" t="s">
        <v>531</v>
      </c>
      <c r="F17" s="0" t="n">
        <v>5</v>
      </c>
      <c r="G17" s="0" t="s">
        <v>476</v>
      </c>
      <c r="H17" s="0" t="s">
        <v>490</v>
      </c>
      <c r="I17" s="10" t="s">
        <v>532</v>
      </c>
      <c r="J17" s="0" t="s">
        <v>533</v>
      </c>
    </row>
    <row r="18" customFormat="false" ht="326.1" hidden="false" customHeight="false" outlineLevel="0" collapsed="false">
      <c r="A18" s="0" t="s">
        <v>91</v>
      </c>
      <c r="B18" s="0" t="s">
        <v>534</v>
      </c>
      <c r="C18" s="0" t="s">
        <v>467</v>
      </c>
      <c r="D18" s="0" t="s">
        <v>474</v>
      </c>
      <c r="E18" s="0" t="s">
        <v>535</v>
      </c>
      <c r="F18" s="0" t="n">
        <v>5</v>
      </c>
      <c r="G18" s="0" t="s">
        <v>481</v>
      </c>
      <c r="H18" s="0" t="s">
        <v>490</v>
      </c>
      <c r="I18" s="10" t="s">
        <v>536</v>
      </c>
      <c r="J18" s="0" t="s">
        <v>537</v>
      </c>
    </row>
    <row r="19" customFormat="false" ht="15" hidden="false" customHeight="false" outlineLevel="0" collapsed="false">
      <c r="A19" s="0" t="s">
        <v>440</v>
      </c>
      <c r="B19" s="0" t="s">
        <v>538</v>
      </c>
      <c r="C19" s="0" t="s">
        <v>467</v>
      </c>
      <c r="D19" s="0" t="s">
        <v>468</v>
      </c>
      <c r="E19" s="0" t="s">
        <v>539</v>
      </c>
      <c r="F19" s="0" t="n">
        <v>10</v>
      </c>
      <c r="H19" s="0" t="s">
        <v>498</v>
      </c>
      <c r="I19" s="0" t="s">
        <v>487</v>
      </c>
      <c r="J19" s="0" t="s">
        <v>472</v>
      </c>
    </row>
    <row r="20" customFormat="false" ht="57.45" hidden="false" customHeight="false" outlineLevel="0" collapsed="false">
      <c r="A20" s="0" t="s">
        <v>97</v>
      </c>
      <c r="B20" s="0" t="s">
        <v>540</v>
      </c>
      <c r="C20" s="0" t="s">
        <v>467</v>
      </c>
      <c r="D20" s="0" t="s">
        <v>474</v>
      </c>
      <c r="E20" s="0" t="s">
        <v>541</v>
      </c>
      <c r="F20" s="0" t="n">
        <v>5</v>
      </c>
      <c r="G20" s="0" t="s">
        <v>476</v>
      </c>
      <c r="H20" s="0" t="s">
        <v>498</v>
      </c>
      <c r="I20" s="10" t="s">
        <v>542</v>
      </c>
      <c r="J20" s="0" t="s">
        <v>543</v>
      </c>
    </row>
    <row r="21" customFormat="false" ht="102.2" hidden="false" customHeight="false" outlineLevel="0" collapsed="false">
      <c r="A21" s="0" t="s">
        <v>101</v>
      </c>
      <c r="B21" s="0" t="s">
        <v>544</v>
      </c>
      <c r="C21" s="0" t="s">
        <v>467</v>
      </c>
      <c r="D21" s="0" t="s">
        <v>474</v>
      </c>
      <c r="E21" s="0" t="s">
        <v>545</v>
      </c>
      <c r="F21" s="0" t="n">
        <v>5</v>
      </c>
      <c r="G21" s="0" t="s">
        <v>481</v>
      </c>
      <c r="H21" s="0" t="s">
        <v>498</v>
      </c>
      <c r="I21" s="10" t="s">
        <v>546</v>
      </c>
      <c r="J21" s="0" t="s">
        <v>547</v>
      </c>
    </row>
    <row r="22" customFormat="false" ht="15" hidden="false" customHeight="false" outlineLevel="0" collapsed="false">
      <c r="A22" s="0" t="s">
        <v>441</v>
      </c>
      <c r="B22" s="0" t="s">
        <v>548</v>
      </c>
      <c r="C22" s="0" t="s">
        <v>549</v>
      </c>
      <c r="D22" s="0" t="s">
        <v>468</v>
      </c>
      <c r="E22" s="0" t="s">
        <v>550</v>
      </c>
      <c r="F22" s="0" t="n">
        <v>10</v>
      </c>
      <c r="G22" s="0" t="s">
        <v>551</v>
      </c>
      <c r="H22" s="0" t="s">
        <v>470</v>
      </c>
      <c r="I22" s="0" t="s">
        <v>487</v>
      </c>
      <c r="J22" s="0" t="s">
        <v>552</v>
      </c>
    </row>
    <row r="23" customFormat="false" ht="247.75" hidden="false" customHeight="false" outlineLevel="0" collapsed="false">
      <c r="A23" s="0" t="s">
        <v>103</v>
      </c>
      <c r="B23" s="0" t="s">
        <v>553</v>
      </c>
      <c r="C23" s="0" t="s">
        <v>549</v>
      </c>
      <c r="D23" s="0" t="s">
        <v>474</v>
      </c>
      <c r="E23" s="0" t="s">
        <v>554</v>
      </c>
      <c r="F23" s="0" t="n">
        <v>5</v>
      </c>
      <c r="G23" s="0" t="s">
        <v>551</v>
      </c>
      <c r="H23" s="0" t="s">
        <v>470</v>
      </c>
      <c r="I23" s="10" t="s">
        <v>555</v>
      </c>
      <c r="J23" s="0" t="s">
        <v>556</v>
      </c>
    </row>
    <row r="24" customFormat="false" ht="57.45" hidden="false" customHeight="false" outlineLevel="0" collapsed="false">
      <c r="A24" s="0" t="s">
        <v>122</v>
      </c>
      <c r="B24" s="0" t="s">
        <v>557</v>
      </c>
      <c r="C24" s="0" t="s">
        <v>549</v>
      </c>
      <c r="D24" s="0" t="s">
        <v>474</v>
      </c>
      <c r="E24" s="0" t="s">
        <v>558</v>
      </c>
      <c r="F24" s="0" t="n">
        <v>5</v>
      </c>
      <c r="G24" s="0" t="s">
        <v>551</v>
      </c>
      <c r="H24" s="0" t="s">
        <v>470</v>
      </c>
      <c r="I24" s="10" t="s">
        <v>559</v>
      </c>
      <c r="J24" s="0" t="s">
        <v>560</v>
      </c>
    </row>
    <row r="25" customFormat="false" ht="15" hidden="false" customHeight="false" outlineLevel="0" collapsed="false">
      <c r="A25" s="0" t="s">
        <v>442</v>
      </c>
      <c r="B25" s="0" t="s">
        <v>561</v>
      </c>
      <c r="C25" s="0" t="s">
        <v>549</v>
      </c>
      <c r="D25" s="0" t="s">
        <v>468</v>
      </c>
      <c r="E25" s="0" t="s">
        <v>562</v>
      </c>
      <c r="F25" s="0" t="n">
        <v>10</v>
      </c>
      <c r="G25" s="0" t="s">
        <v>551</v>
      </c>
      <c r="H25" s="0" t="s">
        <v>470</v>
      </c>
      <c r="I25" s="0" t="s">
        <v>487</v>
      </c>
      <c r="J25" s="0" t="s">
        <v>472</v>
      </c>
    </row>
    <row r="26" customFormat="false" ht="57.45" hidden="false" customHeight="false" outlineLevel="0" collapsed="false">
      <c r="A26" s="0" t="s">
        <v>137</v>
      </c>
      <c r="B26" s="0" t="s">
        <v>563</v>
      </c>
      <c r="C26" s="0" t="s">
        <v>549</v>
      </c>
      <c r="D26" s="0" t="s">
        <v>474</v>
      </c>
      <c r="E26" s="0" t="s">
        <v>564</v>
      </c>
      <c r="F26" s="0" t="n">
        <v>5</v>
      </c>
      <c r="G26" s="0" t="s">
        <v>551</v>
      </c>
      <c r="H26" s="0" t="s">
        <v>470</v>
      </c>
      <c r="I26" s="10" t="s">
        <v>565</v>
      </c>
      <c r="J26" s="0" t="s">
        <v>566</v>
      </c>
    </row>
    <row r="27" customFormat="false" ht="124.6" hidden="false" customHeight="false" outlineLevel="0" collapsed="false">
      <c r="A27" s="0" t="s">
        <v>159</v>
      </c>
      <c r="B27" s="0" t="s">
        <v>567</v>
      </c>
      <c r="C27" s="0" t="s">
        <v>549</v>
      </c>
      <c r="D27" s="0" t="s">
        <v>474</v>
      </c>
      <c r="E27" s="0" t="s">
        <v>568</v>
      </c>
      <c r="F27" s="0" t="n">
        <v>5</v>
      </c>
      <c r="G27" s="0" t="s">
        <v>476</v>
      </c>
      <c r="H27" s="0" t="s">
        <v>470</v>
      </c>
      <c r="I27" s="10" t="s">
        <v>569</v>
      </c>
      <c r="J27" s="0" t="s">
        <v>570</v>
      </c>
    </row>
    <row r="28" customFormat="false" ht="57.45" hidden="false" customHeight="false" outlineLevel="0" collapsed="false">
      <c r="A28" s="0" t="s">
        <v>173</v>
      </c>
      <c r="B28" s="0" t="s">
        <v>571</v>
      </c>
      <c r="C28" s="0" t="s">
        <v>549</v>
      </c>
      <c r="D28" s="0" t="s">
        <v>468</v>
      </c>
      <c r="E28" s="0" t="s">
        <v>572</v>
      </c>
      <c r="F28" s="0" t="n">
        <v>10</v>
      </c>
      <c r="G28" s="0" t="s">
        <v>481</v>
      </c>
      <c r="H28" s="0" t="s">
        <v>573</v>
      </c>
      <c r="I28" s="10" t="s">
        <v>574</v>
      </c>
      <c r="J28" s="0" t="s">
        <v>575</v>
      </c>
    </row>
    <row r="29" customFormat="false" ht="91" hidden="false" customHeight="false" outlineLevel="0" collapsed="false">
      <c r="A29" s="0" t="s">
        <v>443</v>
      </c>
      <c r="B29" s="0" t="s">
        <v>576</v>
      </c>
      <c r="C29" s="0" t="s">
        <v>549</v>
      </c>
      <c r="D29" s="0" t="s">
        <v>468</v>
      </c>
      <c r="E29" s="0" t="s">
        <v>577</v>
      </c>
      <c r="F29" s="0" t="n">
        <v>10</v>
      </c>
      <c r="G29" s="0" t="s">
        <v>481</v>
      </c>
      <c r="H29" s="0" t="s">
        <v>573</v>
      </c>
      <c r="I29" s="10" t="s">
        <v>578</v>
      </c>
      <c r="J29" s="0" t="s">
        <v>579</v>
      </c>
    </row>
    <row r="30" customFormat="false" ht="91" hidden="false" customHeight="false" outlineLevel="0" collapsed="false">
      <c r="A30" s="0" t="s">
        <v>191</v>
      </c>
      <c r="B30" s="0" t="s">
        <v>191</v>
      </c>
      <c r="C30" s="0" t="s">
        <v>549</v>
      </c>
      <c r="D30" s="0" t="s">
        <v>474</v>
      </c>
      <c r="E30" s="0" t="s">
        <v>580</v>
      </c>
      <c r="F30" s="0" t="n">
        <v>1</v>
      </c>
      <c r="G30" s="0" t="s">
        <v>481</v>
      </c>
      <c r="H30" s="0" t="s">
        <v>573</v>
      </c>
      <c r="I30" s="10" t="s">
        <v>581</v>
      </c>
      <c r="J30" s="0" t="s">
        <v>579</v>
      </c>
    </row>
    <row r="31" customFormat="false" ht="91" hidden="false" customHeight="false" outlineLevel="0" collapsed="false">
      <c r="A31" s="0" t="s">
        <v>197</v>
      </c>
      <c r="B31" s="0" t="s">
        <v>582</v>
      </c>
      <c r="C31" s="0" t="s">
        <v>549</v>
      </c>
      <c r="D31" s="0" t="s">
        <v>474</v>
      </c>
      <c r="E31" s="0" t="s">
        <v>583</v>
      </c>
      <c r="F31" s="0" t="n">
        <v>1</v>
      </c>
      <c r="G31" s="0" t="s">
        <v>481</v>
      </c>
      <c r="H31" s="0" t="s">
        <v>573</v>
      </c>
      <c r="I31" s="10" t="s">
        <v>584</v>
      </c>
      <c r="J31" s="0" t="s">
        <v>579</v>
      </c>
    </row>
    <row r="32" customFormat="false" ht="91" hidden="false" customHeight="false" outlineLevel="0" collapsed="false">
      <c r="A32" s="0" t="s">
        <v>207</v>
      </c>
      <c r="B32" s="0" t="s">
        <v>585</v>
      </c>
      <c r="C32" s="0" t="s">
        <v>549</v>
      </c>
      <c r="D32" s="0" t="s">
        <v>474</v>
      </c>
      <c r="E32" s="0" t="s">
        <v>586</v>
      </c>
      <c r="F32" s="0" t="n">
        <v>1</v>
      </c>
      <c r="G32" s="0" t="s">
        <v>481</v>
      </c>
      <c r="H32" s="0" t="s">
        <v>573</v>
      </c>
      <c r="I32" s="10" t="s">
        <v>587</v>
      </c>
      <c r="J32" s="0" t="s">
        <v>579</v>
      </c>
    </row>
    <row r="33" customFormat="false" ht="91" hidden="false" customHeight="false" outlineLevel="0" collapsed="false">
      <c r="A33" s="0" t="s">
        <v>221</v>
      </c>
      <c r="B33" s="0" t="s">
        <v>588</v>
      </c>
      <c r="C33" s="0" t="s">
        <v>549</v>
      </c>
      <c r="D33" s="0" t="s">
        <v>474</v>
      </c>
      <c r="E33" s="0" t="s">
        <v>589</v>
      </c>
      <c r="F33" s="0" t="n">
        <v>1</v>
      </c>
      <c r="G33" s="0" t="s">
        <v>481</v>
      </c>
      <c r="H33" s="0" t="s">
        <v>573</v>
      </c>
      <c r="I33" s="10" t="s">
        <v>590</v>
      </c>
      <c r="J33" s="0" t="s">
        <v>579</v>
      </c>
    </row>
    <row r="34" customFormat="false" ht="91" hidden="false" customHeight="false" outlineLevel="0" collapsed="false">
      <c r="A34" s="0" t="s">
        <v>227</v>
      </c>
      <c r="B34" s="0" t="s">
        <v>591</v>
      </c>
      <c r="C34" s="0" t="s">
        <v>549</v>
      </c>
      <c r="D34" s="0" t="s">
        <v>474</v>
      </c>
      <c r="E34" s="0" t="s">
        <v>592</v>
      </c>
      <c r="F34" s="0" t="n">
        <v>1</v>
      </c>
      <c r="G34" s="0" t="s">
        <v>481</v>
      </c>
      <c r="H34" s="0" t="s">
        <v>573</v>
      </c>
      <c r="I34" s="10" t="s">
        <v>593</v>
      </c>
      <c r="J34" s="0" t="s">
        <v>579</v>
      </c>
    </row>
    <row r="35" customFormat="false" ht="113.4" hidden="false" customHeight="false" outlineLevel="0" collapsed="false">
      <c r="A35" s="0" t="s">
        <v>245</v>
      </c>
      <c r="B35" s="0" t="s">
        <v>245</v>
      </c>
      <c r="C35" s="0" t="s">
        <v>549</v>
      </c>
      <c r="D35" s="0" t="s">
        <v>474</v>
      </c>
      <c r="E35" s="0" t="s">
        <v>594</v>
      </c>
      <c r="F35" s="0" t="n">
        <v>1</v>
      </c>
      <c r="G35" s="0" t="s">
        <v>481</v>
      </c>
      <c r="H35" s="0" t="s">
        <v>573</v>
      </c>
      <c r="I35" s="10" t="s">
        <v>595</v>
      </c>
      <c r="J35" s="0" t="s">
        <v>579</v>
      </c>
    </row>
    <row r="36" customFormat="false" ht="102.2" hidden="false" customHeight="false" outlineLevel="0" collapsed="false">
      <c r="A36" s="0" t="s">
        <v>253</v>
      </c>
      <c r="B36" s="0" t="s">
        <v>596</v>
      </c>
      <c r="C36" s="0" t="s">
        <v>549</v>
      </c>
      <c r="D36" s="0" t="s">
        <v>474</v>
      </c>
      <c r="E36" s="0" t="s">
        <v>597</v>
      </c>
      <c r="F36" s="0" t="n">
        <v>1</v>
      </c>
      <c r="G36" s="0" t="s">
        <v>481</v>
      </c>
      <c r="H36" s="0" t="s">
        <v>573</v>
      </c>
      <c r="I36" s="10" t="s">
        <v>598</v>
      </c>
      <c r="J36" s="0" t="s">
        <v>579</v>
      </c>
    </row>
    <row r="37" customFormat="false" ht="102.2" hidden="false" customHeight="false" outlineLevel="0" collapsed="false">
      <c r="A37" s="0" t="s">
        <v>265</v>
      </c>
      <c r="B37" s="0" t="s">
        <v>265</v>
      </c>
      <c r="C37" s="0" t="s">
        <v>549</v>
      </c>
      <c r="D37" s="0" t="s">
        <v>474</v>
      </c>
      <c r="E37" s="0" t="s">
        <v>599</v>
      </c>
      <c r="F37" s="0" t="n">
        <v>1</v>
      </c>
      <c r="G37" s="0" t="s">
        <v>481</v>
      </c>
      <c r="H37" s="0" t="s">
        <v>573</v>
      </c>
      <c r="I37" s="10" t="s">
        <v>600</v>
      </c>
      <c r="J37" s="0" t="s">
        <v>579</v>
      </c>
    </row>
    <row r="38" customFormat="false" ht="102.2" hidden="false" customHeight="false" outlineLevel="0" collapsed="false">
      <c r="A38" s="0" t="s">
        <v>275</v>
      </c>
      <c r="B38" s="0" t="s">
        <v>275</v>
      </c>
      <c r="C38" s="0" t="s">
        <v>549</v>
      </c>
      <c r="D38" s="0" t="s">
        <v>474</v>
      </c>
      <c r="E38" s="0" t="s">
        <v>601</v>
      </c>
      <c r="F38" s="0" t="n">
        <v>1</v>
      </c>
      <c r="G38" s="0" t="s">
        <v>481</v>
      </c>
      <c r="H38" s="0" t="s">
        <v>573</v>
      </c>
      <c r="I38" s="10" t="s">
        <v>602</v>
      </c>
      <c r="J38" s="0" t="s">
        <v>579</v>
      </c>
    </row>
    <row r="39" customFormat="false" ht="102.2" hidden="false" customHeight="false" outlineLevel="0" collapsed="false">
      <c r="A39" s="0" t="s">
        <v>286</v>
      </c>
      <c r="B39" s="0" t="s">
        <v>286</v>
      </c>
      <c r="C39" s="0" t="s">
        <v>549</v>
      </c>
      <c r="D39" s="0" t="s">
        <v>474</v>
      </c>
      <c r="E39" s="0" t="s">
        <v>603</v>
      </c>
      <c r="F39" s="0" t="n">
        <v>1</v>
      </c>
      <c r="G39" s="0" t="s">
        <v>481</v>
      </c>
      <c r="H39" s="0" t="s">
        <v>573</v>
      </c>
      <c r="I39" s="10" t="s">
        <v>604</v>
      </c>
      <c r="J39" s="0" t="s">
        <v>579</v>
      </c>
    </row>
    <row r="40" customFormat="false" ht="15" hidden="false" customHeight="false" outlineLevel="0" collapsed="false">
      <c r="A40" s="0" t="s">
        <v>444</v>
      </c>
      <c r="B40" s="0" t="s">
        <v>605</v>
      </c>
      <c r="C40" s="0" t="s">
        <v>549</v>
      </c>
      <c r="D40" s="0" t="s">
        <v>468</v>
      </c>
      <c r="E40" s="0" t="s">
        <v>606</v>
      </c>
      <c r="F40" s="0" t="n">
        <v>10</v>
      </c>
      <c r="G40" s="0" t="s">
        <v>551</v>
      </c>
      <c r="H40" s="0" t="s">
        <v>573</v>
      </c>
      <c r="I40" s="0" t="s">
        <v>607</v>
      </c>
      <c r="J40" s="0" t="s">
        <v>472</v>
      </c>
    </row>
    <row r="41" customFormat="false" ht="15" hidden="false" customHeight="false" outlineLevel="0" collapsed="false">
      <c r="A41" s="0" t="s">
        <v>300</v>
      </c>
      <c r="B41" s="0" t="s">
        <v>608</v>
      </c>
      <c r="C41" s="0" t="s">
        <v>549</v>
      </c>
      <c r="D41" s="0" t="s">
        <v>474</v>
      </c>
      <c r="E41" s="0" t="s">
        <v>609</v>
      </c>
      <c r="F41" s="0" t="n">
        <v>5</v>
      </c>
      <c r="G41" s="0" t="s">
        <v>476</v>
      </c>
      <c r="H41" s="0" t="s">
        <v>573</v>
      </c>
      <c r="I41" s="0" t="s">
        <v>610</v>
      </c>
      <c r="J41" s="0" t="s">
        <v>611</v>
      </c>
    </row>
    <row r="42" customFormat="false" ht="258.95" hidden="false" customHeight="false" outlineLevel="0" collapsed="false">
      <c r="A42" s="0" t="s">
        <v>310</v>
      </c>
      <c r="B42" s="0" t="s">
        <v>612</v>
      </c>
      <c r="C42" s="0" t="s">
        <v>549</v>
      </c>
      <c r="D42" s="0" t="s">
        <v>474</v>
      </c>
      <c r="E42" s="0" t="s">
        <v>613</v>
      </c>
      <c r="F42" s="0" t="n">
        <v>5</v>
      </c>
      <c r="G42" s="0" t="s">
        <v>481</v>
      </c>
      <c r="H42" s="0" t="s">
        <v>573</v>
      </c>
      <c r="I42" s="10" t="s">
        <v>614</v>
      </c>
      <c r="J42" s="10" t="s">
        <v>615</v>
      </c>
    </row>
    <row r="43" customFormat="false" ht="15" hidden="false" customHeight="false" outlineLevel="0" collapsed="false">
      <c r="A43" s="0" t="s">
        <v>445</v>
      </c>
      <c r="B43" s="0" t="s">
        <v>616</v>
      </c>
      <c r="C43" s="0" t="s">
        <v>549</v>
      </c>
      <c r="D43" s="0" t="s">
        <v>468</v>
      </c>
      <c r="E43" s="0" t="s">
        <v>617</v>
      </c>
      <c r="F43" s="0" t="n">
        <v>10</v>
      </c>
      <c r="G43" s="0" t="s">
        <v>476</v>
      </c>
      <c r="H43" s="0" t="s">
        <v>486</v>
      </c>
      <c r="I43" s="0" t="s">
        <v>618</v>
      </c>
      <c r="J43" s="0" t="s">
        <v>619</v>
      </c>
    </row>
    <row r="44" customFormat="false" ht="79.85" hidden="false" customHeight="false" outlineLevel="0" collapsed="false">
      <c r="A44" s="0" t="s">
        <v>322</v>
      </c>
      <c r="B44" s="0" t="s">
        <v>620</v>
      </c>
      <c r="C44" s="0" t="s">
        <v>549</v>
      </c>
      <c r="D44" s="0" t="s">
        <v>474</v>
      </c>
      <c r="E44" s="0" t="s">
        <v>621</v>
      </c>
      <c r="F44" s="0" t="n">
        <v>5</v>
      </c>
      <c r="G44" s="0" t="s">
        <v>476</v>
      </c>
      <c r="H44" s="0" t="s">
        <v>486</v>
      </c>
      <c r="I44" s="10" t="s">
        <v>622</v>
      </c>
      <c r="J44" s="0" t="s">
        <v>623</v>
      </c>
    </row>
    <row r="45" customFormat="false" ht="57.45" hidden="false" customHeight="false" outlineLevel="0" collapsed="false">
      <c r="A45" s="0" t="s">
        <v>333</v>
      </c>
      <c r="B45" s="0" t="s">
        <v>624</v>
      </c>
      <c r="C45" s="0" t="s">
        <v>549</v>
      </c>
      <c r="D45" s="0" t="s">
        <v>474</v>
      </c>
      <c r="E45" s="0" t="s">
        <v>625</v>
      </c>
      <c r="F45" s="0" t="n">
        <v>5</v>
      </c>
      <c r="G45" s="0" t="s">
        <v>476</v>
      </c>
      <c r="H45" s="0" t="s">
        <v>486</v>
      </c>
      <c r="I45" s="10" t="s">
        <v>626</v>
      </c>
      <c r="J45" s="0" t="s">
        <v>627</v>
      </c>
    </row>
    <row r="46" customFormat="false" ht="15" hidden="false" customHeight="false" outlineLevel="0" collapsed="false">
      <c r="A46" s="0" t="s">
        <v>337</v>
      </c>
      <c r="B46" s="0" t="s">
        <v>628</v>
      </c>
      <c r="C46" s="0" t="s">
        <v>629</v>
      </c>
      <c r="D46" s="0" t="s">
        <v>468</v>
      </c>
      <c r="E46" s="0" t="s">
        <v>630</v>
      </c>
      <c r="F46" s="0" t="n">
        <v>10</v>
      </c>
      <c r="G46" s="0" t="s">
        <v>631</v>
      </c>
      <c r="H46" s="0" t="s">
        <v>632</v>
      </c>
      <c r="I46" s="0" t="s">
        <v>633</v>
      </c>
      <c r="J46" s="0" t="s">
        <v>634</v>
      </c>
    </row>
    <row r="47" customFormat="false" ht="15" hidden="false" customHeight="false" outlineLevel="0" collapsed="false">
      <c r="A47" s="0" t="s">
        <v>341</v>
      </c>
      <c r="B47" s="0" t="s">
        <v>635</v>
      </c>
      <c r="C47" s="0" t="s">
        <v>629</v>
      </c>
      <c r="D47" s="0" t="s">
        <v>468</v>
      </c>
      <c r="E47" s="0" t="s">
        <v>636</v>
      </c>
      <c r="F47" s="0" t="n">
        <v>10</v>
      </c>
      <c r="G47" s="0" t="s">
        <v>631</v>
      </c>
      <c r="H47" s="0" t="s">
        <v>637</v>
      </c>
      <c r="I47" s="0" t="s">
        <v>638</v>
      </c>
      <c r="J47" s="0" t="s">
        <v>639</v>
      </c>
    </row>
    <row r="48" customFormat="false" ht="15" hidden="false" customHeight="false" outlineLevel="0" collapsed="false">
      <c r="A48" s="0" t="s">
        <v>348</v>
      </c>
      <c r="B48" s="0" t="s">
        <v>640</v>
      </c>
      <c r="C48" s="0" t="s">
        <v>629</v>
      </c>
      <c r="D48" s="0" t="s">
        <v>468</v>
      </c>
      <c r="E48" s="0" t="s">
        <v>641</v>
      </c>
      <c r="F48" s="0" t="n">
        <v>10</v>
      </c>
      <c r="G48" s="0" t="s">
        <v>631</v>
      </c>
      <c r="H48" s="0" t="s">
        <v>642</v>
      </c>
      <c r="I48" s="0" t="s">
        <v>643</v>
      </c>
      <c r="J48" s="0" t="s">
        <v>644</v>
      </c>
    </row>
    <row r="49" customFormat="false" ht="15" hidden="false" customHeight="false" outlineLevel="0" collapsed="false">
      <c r="A49" s="0" t="s">
        <v>446</v>
      </c>
      <c r="B49" s="0" t="s">
        <v>645</v>
      </c>
      <c r="C49" s="0" t="s">
        <v>629</v>
      </c>
      <c r="D49" s="0" t="s">
        <v>468</v>
      </c>
      <c r="E49" s="0" t="s">
        <v>646</v>
      </c>
      <c r="F49" s="0" t="n">
        <v>10</v>
      </c>
      <c r="G49" s="0" t="s">
        <v>476</v>
      </c>
      <c r="H49" s="0" t="s">
        <v>573</v>
      </c>
      <c r="I49" s="0" t="s">
        <v>647</v>
      </c>
      <c r="J49" s="0" t="s">
        <v>472</v>
      </c>
    </row>
    <row r="50" customFormat="false" ht="15" hidden="false" customHeight="false" outlineLevel="0" collapsed="false">
      <c r="A50" s="0" t="s">
        <v>354</v>
      </c>
      <c r="B50" s="0" t="s">
        <v>648</v>
      </c>
      <c r="C50" s="0" t="s">
        <v>629</v>
      </c>
      <c r="D50" s="0" t="s">
        <v>474</v>
      </c>
      <c r="E50" s="0" t="s">
        <v>649</v>
      </c>
      <c r="F50" s="0" t="n">
        <v>5</v>
      </c>
      <c r="G50" s="0" t="s">
        <v>476</v>
      </c>
      <c r="H50" s="0" t="s">
        <v>573</v>
      </c>
      <c r="I50" s="0" t="s">
        <v>650</v>
      </c>
      <c r="J50" s="0" t="s">
        <v>651</v>
      </c>
    </row>
    <row r="51" customFormat="false" ht="15" hidden="false" customHeight="false" outlineLevel="0" collapsed="false">
      <c r="A51" s="0" t="s">
        <v>365</v>
      </c>
      <c r="B51" s="0" t="s">
        <v>652</v>
      </c>
      <c r="C51" s="0" t="s">
        <v>629</v>
      </c>
      <c r="D51" s="0" t="s">
        <v>474</v>
      </c>
      <c r="E51" s="0" t="s">
        <v>653</v>
      </c>
      <c r="F51" s="0" t="n">
        <v>5</v>
      </c>
      <c r="G51" s="0" t="s">
        <v>481</v>
      </c>
      <c r="H51" s="0" t="s">
        <v>573</v>
      </c>
      <c r="I51" s="0" t="s">
        <v>654</v>
      </c>
      <c r="J51" s="0" t="s">
        <v>655</v>
      </c>
    </row>
    <row r="52" customFormat="false" ht="79.85" hidden="false" customHeight="false" outlineLevel="0" collapsed="false">
      <c r="A52" s="0" t="s">
        <v>371</v>
      </c>
      <c r="B52" s="0" t="s">
        <v>656</v>
      </c>
      <c r="C52" s="0" t="s">
        <v>629</v>
      </c>
      <c r="D52" s="0" t="s">
        <v>468</v>
      </c>
      <c r="E52" s="0" t="s">
        <v>657</v>
      </c>
      <c r="F52" s="0" t="n">
        <v>10</v>
      </c>
      <c r="G52" s="0" t="s">
        <v>476</v>
      </c>
      <c r="H52" s="0" t="s">
        <v>573</v>
      </c>
      <c r="I52" s="10" t="s">
        <v>658</v>
      </c>
      <c r="J52" s="0" t="s">
        <v>659</v>
      </c>
    </row>
    <row r="53" customFormat="false" ht="57.45" hidden="false" customHeight="false" outlineLevel="0" collapsed="false">
      <c r="A53" s="0" t="s">
        <v>387</v>
      </c>
      <c r="B53" s="0" t="s">
        <v>660</v>
      </c>
      <c r="C53" s="0" t="s">
        <v>629</v>
      </c>
      <c r="D53" s="0" t="s">
        <v>468</v>
      </c>
      <c r="E53" s="0" t="s">
        <v>661</v>
      </c>
      <c r="F53" s="0" t="n">
        <v>10</v>
      </c>
      <c r="G53" s="0" t="s">
        <v>631</v>
      </c>
      <c r="H53" s="0" t="s">
        <v>662</v>
      </c>
      <c r="I53" s="10" t="s">
        <v>663</v>
      </c>
      <c r="J53" s="0" t="s">
        <v>664</v>
      </c>
    </row>
    <row r="54" customFormat="false" ht="15" hidden="false" customHeight="false" outlineLevel="0" collapsed="false">
      <c r="A54" s="0" t="s">
        <v>447</v>
      </c>
      <c r="B54" s="0" t="s">
        <v>665</v>
      </c>
      <c r="C54" s="0" t="s">
        <v>629</v>
      </c>
      <c r="D54" s="0" t="s">
        <v>468</v>
      </c>
      <c r="E54" s="0" t="s">
        <v>666</v>
      </c>
      <c r="F54" s="0" t="n">
        <v>10</v>
      </c>
      <c r="G54" s="0" t="s">
        <v>631</v>
      </c>
      <c r="H54" s="0" t="s">
        <v>470</v>
      </c>
      <c r="I54" s="0" t="s">
        <v>667</v>
      </c>
      <c r="J54" s="0" t="s">
        <v>668</v>
      </c>
    </row>
    <row r="55" customFormat="false" ht="91" hidden="false" customHeight="false" outlineLevel="0" collapsed="false">
      <c r="A55" s="0" t="s">
        <v>399</v>
      </c>
      <c r="B55" s="0" t="s">
        <v>669</v>
      </c>
      <c r="C55" s="0" t="s">
        <v>629</v>
      </c>
      <c r="D55" s="0" t="s">
        <v>474</v>
      </c>
      <c r="E55" s="0" t="s">
        <v>670</v>
      </c>
      <c r="F55" s="0" t="n">
        <v>5</v>
      </c>
      <c r="G55" s="0" t="s">
        <v>631</v>
      </c>
      <c r="H55" s="0" t="s">
        <v>470</v>
      </c>
      <c r="I55" s="10" t="s">
        <v>671</v>
      </c>
      <c r="J55" s="0" t="s">
        <v>672</v>
      </c>
    </row>
    <row r="56" customFormat="false" ht="102.2" hidden="false" customHeight="false" outlineLevel="0" collapsed="false">
      <c r="A56" s="0" t="s">
        <v>408</v>
      </c>
      <c r="B56" s="0" t="s">
        <v>673</v>
      </c>
      <c r="C56" s="0" t="s">
        <v>629</v>
      </c>
      <c r="D56" s="0" t="s">
        <v>474</v>
      </c>
      <c r="E56" s="0" t="s">
        <v>674</v>
      </c>
      <c r="F56" s="0" t="n">
        <v>5</v>
      </c>
      <c r="G56" s="0" t="s">
        <v>631</v>
      </c>
      <c r="H56" s="0" t="s">
        <v>470</v>
      </c>
      <c r="I56" s="10" t="s">
        <v>675</v>
      </c>
      <c r="J56" s="0" t="s">
        <v>672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16</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1a</v>
      </c>
    </row>
    <row r="4" customFormat="false" ht="15" hidden="false" customHeight="false" outlineLevel="0" collapsed="false">
      <c r="A4" s="8" t="s">
        <v>428</v>
      </c>
      <c r="B4" s="3" t="str">
        <f aca="false">VLOOKUP($B$1,'PARASTATAL Questions'!$A:$J,4,0)&amp;""</f>
        <v>SQ</v>
      </c>
    </row>
    <row r="5" customFormat="false" ht="158.2" hidden="false" customHeight="false" outlineLevel="0" collapsed="false">
      <c r="A5" s="8" t="s">
        <v>0</v>
      </c>
      <c r="B5" s="3" t="str">
        <f aca="false">VLOOKUP($B$1,'PARASTATAL Questions'!$A:$J,5,0)&amp;""</f>
        <v>Is the parastatal mandated to prepare its spatial and/or sectoral plans in coordination with the ULG(s) within its jurisdiction?</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46.25" hidden="false" customHeight="false" outlineLevel="0" collapsed="false">
      <c r="A8" s="8" t="s">
        <v>463</v>
      </c>
      <c r="B8" s="3" t="str">
        <f aca="false">VLOOKUP($B$1,'PARASTATAL Questions'!$A:$J,8,0)&amp;""</f>
        <v>Common — all parastatal types.</v>
      </c>
    </row>
    <row r="9" customFormat="false" ht="505.2" hidden="false" customHeight="false" outlineLevel="0" collapsed="false">
      <c r="A9" s="8" t="s">
        <v>464</v>
      </c>
      <c r="B9" s="3"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2" hidden="false" customHeight="false" outlineLevel="0" collapsed="false">
      <c r="A10" s="8" t="s">
        <v>465</v>
      </c>
      <c r="B10" s="3" t="str">
        <f aca="false">VLOOKUP($B$1,'PARASTATAL Questions'!$A:$J,10,0)&amp;""</f>
        <v>Relevant Parastatal Act; applicable Town and Country Planning (T&amp;CP) Act.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92.5" hidden="false" customHeight="false" outlineLevel="0" collapsed="false">
      <c r="A13" s="0" t="s">
        <v>17</v>
      </c>
      <c r="B13" s="0" t="s">
        <v>690</v>
      </c>
      <c r="C13" s="0" t="s">
        <v>21</v>
      </c>
      <c r="D13" s="0" t="s">
        <v>691</v>
      </c>
      <c r="E13" s="0" t="s">
        <v>692</v>
      </c>
      <c r="F13" s="0" t="s">
        <v>693</v>
      </c>
      <c r="G13" s="0" t="s">
        <v>694</v>
      </c>
      <c r="H13" s="0" t="s">
        <v>22</v>
      </c>
      <c r="I13" s="12" t="n">
        <v>1.25</v>
      </c>
      <c r="J13" s="0" t="n">
        <f aca="false">IF($B13="NO","NA",IF(I13="","",MIN(I13,$B$6)))</f>
        <v>1.25</v>
      </c>
      <c r="K13" s="10" t="s">
        <v>695</v>
      </c>
    </row>
    <row r="14" customFormat="false" ht="247.75" hidden="false" customHeight="false" outlineLevel="0" collapsed="false">
      <c r="A14" s="0" t="s">
        <v>26</v>
      </c>
      <c r="B14" s="0" t="s">
        <v>690</v>
      </c>
      <c r="C14" s="0" t="s">
        <v>28</v>
      </c>
      <c r="D14" s="0" t="s">
        <v>696</v>
      </c>
      <c r="E14" s="0" t="s">
        <v>697</v>
      </c>
      <c r="F14" s="0" t="s">
        <v>698</v>
      </c>
      <c r="G14" s="0" t="s">
        <v>699</v>
      </c>
      <c r="H14" s="0" t="s">
        <v>29</v>
      </c>
      <c r="I14" s="12"/>
      <c r="J14" s="0" t="str">
        <f aca="false">IF($B14="NO","NA",IF(I14="","",MIN(I14,$B$6)))</f>
        <v/>
      </c>
      <c r="K14" s="10" t="s">
        <v>700</v>
      </c>
    </row>
    <row r="15" customFormat="false" ht="326.1" hidden="false" customHeight="false" outlineLevel="0" collapsed="false">
      <c r="A15" s="0" t="s">
        <v>32</v>
      </c>
      <c r="B15" s="0" t="s">
        <v>690</v>
      </c>
      <c r="C15" s="0" t="s">
        <v>34</v>
      </c>
      <c r="D15" s="0" t="s">
        <v>701</v>
      </c>
      <c r="E15" s="0" t="s">
        <v>702</v>
      </c>
      <c r="F15" s="0" t="s">
        <v>703</v>
      </c>
      <c r="G15" s="0" t="s">
        <v>704</v>
      </c>
      <c r="H15" s="0" t="s">
        <v>35</v>
      </c>
      <c r="I15" s="12" t="n">
        <v>3.75</v>
      </c>
      <c r="J15" s="0" t="n">
        <f aca="false">IF($B15="NO","NA",IF(I15="","",MIN(I15,$B$6)))</f>
        <v>3.75</v>
      </c>
      <c r="K15" s="10" t="s">
        <v>705</v>
      </c>
    </row>
    <row r="16" customFormat="false" ht="382.05" hidden="false" customHeight="false" outlineLevel="0" collapsed="false">
      <c r="A16" s="0" t="s">
        <v>38</v>
      </c>
      <c r="B16" s="0" t="s">
        <v>690</v>
      </c>
      <c r="C16" s="0" t="s">
        <v>40</v>
      </c>
      <c r="D16" s="0" t="s">
        <v>706</v>
      </c>
      <c r="E16" s="0" t="s">
        <v>707</v>
      </c>
      <c r="F16" s="0" t="s">
        <v>708</v>
      </c>
      <c r="G16" s="0" t="s">
        <v>709</v>
      </c>
      <c r="H16" s="0" t="s">
        <v>29</v>
      </c>
      <c r="I16" s="12" t="n">
        <v>0</v>
      </c>
      <c r="J16" s="0" t="n">
        <f aca="false">IF($B16="NO","NA",IF(I16="","",MIN(I16,$B$6)))</f>
        <v>0</v>
      </c>
      <c r="K16" s="10" t="s">
        <v>710</v>
      </c>
    </row>
    <row r="17" customFormat="false" ht="15" hidden="false" customHeight="false" outlineLevel="0" collapsed="false">
      <c r="A17" s="0" t="s">
        <v>43</v>
      </c>
      <c r="B17" s="0" t="s">
        <v>690</v>
      </c>
      <c r="C17" s="0" t="s">
        <v>711</v>
      </c>
      <c r="D17" s="0" t="s">
        <v>712</v>
      </c>
      <c r="E17" s="0" t="s">
        <v>713</v>
      </c>
      <c r="F17" s="0" t="s">
        <v>714</v>
      </c>
      <c r="G17" s="0" t="s">
        <v>715</v>
      </c>
      <c r="H17" s="0" t="s">
        <v>716</v>
      </c>
      <c r="I17" s="12" t="n">
        <v>0</v>
      </c>
      <c r="J17" s="0" t="n">
        <f aca="false">IF($B17="NO","NA",IF(I17="","",MIN(I17,$B$6)))</f>
        <v>0</v>
      </c>
      <c r="K17" s="0" t="s">
        <v>717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46</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1b</v>
      </c>
    </row>
    <row r="4" customFormat="false" ht="15" hidden="false" customHeight="false" outlineLevel="0" collapsed="false">
      <c r="A4" s="8" t="s">
        <v>428</v>
      </c>
      <c r="B4" s="3" t="str">
        <f aca="false">VLOOKUP($B$1,'PARASTATAL Questions'!$A:$J,4,0)&amp;""</f>
        <v>SQ</v>
      </c>
    </row>
    <row r="5" customFormat="false" ht="91" hidden="false" customHeight="false" outlineLevel="0" collapsed="false">
      <c r="A5" s="8" t="s">
        <v>0</v>
      </c>
      <c r="B5" s="3" t="str">
        <f aca="false">VLOOKUP($B$1,'PARASTATAL Questions'!$A:$J,5,0)&amp;""</f>
        <v>Has the ULG participated in the parastatal’s plan-making process?</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46.25" hidden="false" customHeight="false" outlineLevel="0" collapsed="false">
      <c r="A8" s="8" t="s">
        <v>463</v>
      </c>
      <c r="B8" s="3" t="str">
        <f aca="false">VLOOKUP($B$1,'PARASTATAL Questions'!$A:$J,8,0)&amp;""</f>
        <v>Common — all parastatal types.</v>
      </c>
    </row>
    <row r="9" customFormat="false" ht="1098.5" hidden="false" customHeight="false" outlineLevel="0" collapsed="false">
      <c r="A9" s="8" t="s">
        <v>464</v>
      </c>
      <c r="B9" s="3"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95" hidden="false" customHeight="false" outlineLevel="0" collapsed="false">
      <c r="A10" s="8" t="s">
        <v>465</v>
      </c>
      <c r="B10" s="3"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C13" s="0" t="s">
        <v>718</v>
      </c>
      <c r="D13" s="0" t="s">
        <v>719</v>
      </c>
      <c r="E13" s="0" t="s">
        <v>720</v>
      </c>
      <c r="F13" s="0" t="s">
        <v>721</v>
      </c>
      <c r="G13" s="0" t="s">
        <v>722</v>
      </c>
      <c r="H13" s="0" t="s">
        <v>723</v>
      </c>
      <c r="I13" s="12" t="n">
        <v>5</v>
      </c>
      <c r="J13" s="0" t="n">
        <f aca="false">IF($B13="NO","NA",IF(I13="","",MIN(I13,$B$6)))</f>
        <v>5</v>
      </c>
      <c r="K13" s="0" t="s">
        <v>724</v>
      </c>
    </row>
    <row r="14" customFormat="false" ht="15" hidden="false" customHeight="false" outlineLevel="0" collapsed="false">
      <c r="A14" s="0" t="s">
        <v>26</v>
      </c>
      <c r="B14" s="0" t="s">
        <v>690</v>
      </c>
      <c r="I14" s="12"/>
      <c r="J14" s="0" t="str">
        <f aca="false">IF($B14="NO","NA",IF(I14="","",MIN(I14,$B$6)))</f>
        <v/>
      </c>
      <c r="K14" s="0" t="s">
        <v>725</v>
      </c>
    </row>
    <row r="15" customFormat="false" ht="15" hidden="false" customHeight="false" outlineLevel="0" collapsed="false">
      <c r="A15" s="0" t="s">
        <v>32</v>
      </c>
      <c r="B15" s="0" t="s">
        <v>690</v>
      </c>
      <c r="I15" s="12"/>
      <c r="J15" s="0" t="str">
        <f aca="false">IF($B15="NO","NA",IF(I15="","",MIN(I15,$B$6)))</f>
        <v/>
      </c>
      <c r="K15" s="0" t="s">
        <v>726</v>
      </c>
    </row>
    <row r="16" customFormat="false" ht="15" hidden="false" customHeight="false" outlineLevel="0" collapsed="false">
      <c r="A16" s="0" t="s">
        <v>38</v>
      </c>
      <c r="B16" s="0" t="s">
        <v>690</v>
      </c>
      <c r="I16" s="12"/>
      <c r="J16" s="0" t="str">
        <f aca="false">IF($B16="NO","NA",IF(I16="","",MIN(I16,$B$6)))</f>
        <v/>
      </c>
      <c r="K16" s="0" t="s">
        <v>727</v>
      </c>
    </row>
    <row r="17" customFormat="false" ht="15" hidden="false" customHeight="false" outlineLevel="0" collapsed="false">
      <c r="A17" s="0" t="s">
        <v>43</v>
      </c>
      <c r="B17" s="0" t="s">
        <v>690</v>
      </c>
      <c r="I17" s="12"/>
      <c r="J17" s="0" t="str">
        <f aca="false">IF($B17="NO","NA",IF(I17="","",MIN(I17,$B$6)))</f>
        <v/>
      </c>
      <c r="K17" s="0" t="s">
        <v>728</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52</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2a</v>
      </c>
    </row>
    <row r="4" customFormat="false" ht="15" hidden="false" customHeight="false" outlineLevel="0" collapsed="false">
      <c r="A4" s="8" t="s">
        <v>428</v>
      </c>
      <c r="B4" s="3" t="str">
        <f aca="false">VLOOKUP($B$1,'PARASTATAL Questions'!$A:$J,4,0)&amp;""</f>
        <v>SQ</v>
      </c>
    </row>
    <row r="5" customFormat="false" ht="247.75" hidden="false" customHeight="false" outlineLevel="0" collapsed="false">
      <c r="A5" s="8" t="s">
        <v>0</v>
      </c>
      <c r="B5" s="3"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false" outlineLevel="0" collapsed="false">
      <c r="A6" s="8" t="s">
        <v>430</v>
      </c>
      <c r="B6" s="3" t="n">
        <f aca="false">VLOOKUP($B$1,'PARASTATAL Questions'!$A:$J,6,0)</f>
        <v>2.5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Water supply board</v>
      </c>
    </row>
    <row r="9" customFormat="false" ht="785.05" hidden="false" customHeight="false" outlineLevel="0" collapsed="false">
      <c r="A9" s="8" t="s">
        <v>464</v>
      </c>
      <c r="B9" s="3"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2" hidden="false" customHeight="false" outlineLevel="0" collapsed="false">
      <c r="A10" s="8" t="s">
        <v>465</v>
      </c>
      <c r="B10" s="3" t="str">
        <f aca="false">VLOOKUP($B$1,'PARASTATAL Questions'!$A:$J,10,0)&amp;""</f>
        <v>Relevant Parastatal Act; applicable Town and Country Planning (T&amp;CP) Act.</v>
      </c>
    </row>
    <row r="11" customFormat="false" ht="15" hidden="false" customHeight="false" outlineLevel="0" collapsed="false">
      <c r="B11" s="11" t="s">
        <v>678</v>
      </c>
      <c r="I11" s="11" t="s">
        <v>729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415.65" hidden="false" customHeight="false" outlineLevel="0" collapsed="false">
      <c r="A13" s="0" t="s">
        <v>17</v>
      </c>
      <c r="B13" s="0" t="s">
        <v>690</v>
      </c>
      <c r="C13" s="0" t="s">
        <v>54</v>
      </c>
      <c r="D13" s="0" t="s">
        <v>730</v>
      </c>
      <c r="E13" s="0" t="s">
        <v>731</v>
      </c>
      <c r="F13" s="0" t="s">
        <v>732</v>
      </c>
      <c r="G13" s="0" t="s">
        <v>699</v>
      </c>
      <c r="H13" s="0" t="s">
        <v>29</v>
      </c>
      <c r="I13" s="12" t="n">
        <v>0</v>
      </c>
      <c r="J13" s="0" t="n">
        <f aca="false">IF($B13="NO","NA",IF(I13="","",MIN(I13,$B$6)))</f>
        <v>0</v>
      </c>
      <c r="K13" s="10" t="s">
        <v>733</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57</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2b</v>
      </c>
    </row>
    <row r="4" customFormat="false" ht="15" hidden="false" customHeight="false" outlineLevel="0" collapsed="false">
      <c r="A4" s="8" t="s">
        <v>428</v>
      </c>
      <c r="B4" s="3" t="str">
        <f aca="false">VLOOKUP($B$1,'PARASTATAL Questions'!$A:$J,4,0)&amp;""</f>
        <v>SQ</v>
      </c>
    </row>
    <row r="5" customFormat="false" ht="258.95" hidden="false" customHeight="false" outlineLevel="0" collapsed="false">
      <c r="A5" s="8" t="s">
        <v>0</v>
      </c>
      <c r="B5" s="3"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false" outlineLevel="0" collapsed="false">
      <c r="A6" s="8" t="s">
        <v>430</v>
      </c>
      <c r="B6" s="3" t="n">
        <f aca="false">VLOOKUP($B$1,'PARASTATAL Questions'!$A:$J,6,0)</f>
        <v>2.5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Water supply board</v>
      </c>
    </row>
    <row r="9" customFormat="false" ht="1961.15" hidden="false" customHeight="false" outlineLevel="0" collapsed="false">
      <c r="A9" s="8" t="s">
        <v>464</v>
      </c>
      <c r="B9" s="3"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85" hidden="false" customHeight="false" outlineLevel="0" collapsed="false">
      <c r="A10" s="8" t="s">
        <v>465</v>
      </c>
      <c r="B10" s="3"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false" outlineLevel="0" collapsed="false">
      <c r="B11" s="11" t="s">
        <v>678</v>
      </c>
      <c r="I11" s="11" t="s">
        <v>729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735</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59</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2c</v>
      </c>
    </row>
    <row r="4" customFormat="false" ht="15" hidden="false" customHeight="false" outlineLevel="0" collapsed="false">
      <c r="A4" s="8" t="s">
        <v>428</v>
      </c>
      <c r="B4" s="3" t="str">
        <f aca="false">VLOOKUP($B$1,'PARASTATAL Questions'!$A:$J,4,0)&amp;""</f>
        <v>SQ</v>
      </c>
    </row>
    <row r="5" customFormat="false" ht="270.1" hidden="false" customHeight="false" outlineLevel="0" collapsed="false">
      <c r="A5" s="8" t="s">
        <v>0</v>
      </c>
      <c r="B5" s="3"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false" outlineLevel="0" collapsed="false">
      <c r="A6" s="8" t="s">
        <v>430</v>
      </c>
      <c r="B6" s="3" t="n">
        <f aca="false">VLOOKUP($B$1,'PARASTATAL Questions'!$A:$J,6,0)</f>
        <v>2.5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Transport Corporation</v>
      </c>
    </row>
    <row r="9" customFormat="false" ht="773.85" hidden="false" customHeight="false" outlineLevel="0" collapsed="false">
      <c r="A9" s="8" t="s">
        <v>464</v>
      </c>
      <c r="B9" s="3"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2" hidden="false" customHeight="false" outlineLevel="0" collapsed="false">
      <c r="A10" s="8" t="s">
        <v>465</v>
      </c>
      <c r="B10" s="3" t="str">
        <f aca="false">VLOOKUP($B$1,'PARASTATAL Questions'!$A:$J,10,0)&amp;""</f>
        <v>Relevant Parastatal Act; applicable Town and Country Planning (T&amp;CP) Act.</v>
      </c>
    </row>
    <row r="11" customFormat="false" ht="15" hidden="false" customHeight="false" outlineLevel="0" collapsed="false">
      <c r="B11" s="11" t="s">
        <v>678</v>
      </c>
      <c r="I11" s="11" t="s">
        <v>729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258.95" hidden="false" customHeight="false" outlineLevel="0" collapsed="false">
      <c r="A14" s="0" t="s">
        <v>26</v>
      </c>
      <c r="B14" s="0" t="s">
        <v>690</v>
      </c>
      <c r="C14" s="0" t="s">
        <v>61</v>
      </c>
      <c r="D14" s="0" t="s">
        <v>736</v>
      </c>
      <c r="E14" s="0" t="s">
        <v>737</v>
      </c>
      <c r="F14" s="0" t="s">
        <v>738</v>
      </c>
      <c r="G14" s="0" t="s">
        <v>739</v>
      </c>
      <c r="H14" s="0" t="s">
        <v>62</v>
      </c>
      <c r="I14" s="12" t="n">
        <v>2.5</v>
      </c>
      <c r="J14" s="0" t="n">
        <f aca="false">IF($B14="NO","NA",IF(I14="","",MIN(I14,$B$6)))</f>
        <v>2.5</v>
      </c>
      <c r="K14" s="10" t="s">
        <v>740</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65</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2d</v>
      </c>
    </row>
    <row r="4" customFormat="false" ht="15" hidden="false" customHeight="false" outlineLevel="0" collapsed="false">
      <c r="A4" s="8" t="s">
        <v>428</v>
      </c>
      <c r="B4" s="3" t="str">
        <f aca="false">VLOOKUP($B$1,'PARASTATAL Questions'!$A:$J,4,0)&amp;""</f>
        <v>SQ</v>
      </c>
    </row>
    <row r="5" customFormat="false" ht="247.75" hidden="false" customHeight="false" outlineLevel="0" collapsed="false">
      <c r="A5" s="8" t="s">
        <v>0</v>
      </c>
      <c r="B5" s="3"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false" outlineLevel="0" collapsed="false">
      <c r="A6" s="8" t="s">
        <v>430</v>
      </c>
      <c r="B6" s="3" t="n">
        <f aca="false">VLOOKUP($B$1,'PARASTATAL Questions'!$A:$J,6,0)</f>
        <v>2.5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Transport Corporation</v>
      </c>
    </row>
    <row r="9" customFormat="false" ht="1983.55" hidden="false" customHeight="false" outlineLevel="0" collapsed="false">
      <c r="A9" s="8" t="s">
        <v>464</v>
      </c>
      <c r="B9" s="3"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1" hidden="false" customHeight="false" outlineLevel="0" collapsed="false">
      <c r="A10" s="8" t="s">
        <v>465</v>
      </c>
      <c r="B10" s="3"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false" outlineLevel="0" collapsed="false">
      <c r="B11" s="11" t="s">
        <v>678</v>
      </c>
      <c r="I11" s="11" t="s">
        <v>729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15" hidden="false" customHeight="false" outlineLevel="0" collapsed="false">
      <c r="A14" s="0" t="s">
        <v>26</v>
      </c>
      <c r="B14" s="0" t="s">
        <v>690</v>
      </c>
      <c r="I14" s="12"/>
      <c r="J14" s="0" t="str">
        <f aca="false">IF($B14="NO","NA",IF(I14="","",MIN(I14,$B$6)))</f>
        <v/>
      </c>
      <c r="K14" s="0" t="s">
        <v>741</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67</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3a</v>
      </c>
    </row>
    <row r="4" customFormat="false" ht="15" hidden="false" customHeight="false" outlineLevel="0" collapsed="false">
      <c r="A4" s="8" t="s">
        <v>428</v>
      </c>
      <c r="B4" s="3" t="str">
        <f aca="false">VLOOKUP($B$1,'PARASTATAL Questions'!$A:$J,4,0)&amp;""</f>
        <v>SQ</v>
      </c>
    </row>
    <row r="5" customFormat="false" ht="258.95" hidden="false" customHeight="false" outlineLevel="0" collapsed="false">
      <c r="A5" s="8" t="s">
        <v>0</v>
      </c>
      <c r="B5" s="3"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Water supply board</v>
      </c>
    </row>
    <row r="9" customFormat="false" ht="841" hidden="false" customHeight="false" outlineLevel="0" collapsed="false">
      <c r="A9" s="8" t="s">
        <v>464</v>
      </c>
      <c r="B9" s="3"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95" hidden="false" customHeight="false" outlineLevel="0" collapsed="false">
      <c r="A10" s="8" t="s">
        <v>465</v>
      </c>
      <c r="B10" s="3" t="str">
        <f aca="false">VLOOKUP($B$1,'PARASTATAL Questions'!$A:$J,10,0)&amp;""</f>
        <v>Water Supply Board/utility Act, water and sanitation legislation, tariff regulations, service rules, State policies and other applicable binding instruments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14.15" hidden="false" customHeight="false" outlineLevel="0" collapsed="false">
      <c r="A13" s="0" t="s">
        <v>17</v>
      </c>
      <c r="B13" s="0" t="s">
        <v>690</v>
      </c>
      <c r="C13" s="0" t="s">
        <v>21</v>
      </c>
      <c r="D13" s="0" t="s">
        <v>742</v>
      </c>
      <c r="E13" s="0" t="s">
        <v>743</v>
      </c>
      <c r="F13" s="0" t="s">
        <v>744</v>
      </c>
      <c r="G13" s="0" t="s">
        <v>694</v>
      </c>
      <c r="H13" s="0" t="s">
        <v>22</v>
      </c>
      <c r="I13" s="12" t="n">
        <v>2.5</v>
      </c>
      <c r="J13" s="0" t="n">
        <f aca="false">IF($B13="NO","NA",IF(I13="","",MIN(I13,$B$6)))</f>
        <v>2.5</v>
      </c>
      <c r="K13" s="10" t="s">
        <v>745</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71</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3b</v>
      </c>
    </row>
    <row r="4" customFormat="false" ht="15" hidden="false" customHeight="false" outlineLevel="0" collapsed="false">
      <c r="A4" s="8" t="s">
        <v>428</v>
      </c>
      <c r="B4" s="3" t="str">
        <f aca="false">VLOOKUP($B$1,'PARASTATAL Questions'!$A:$J,4,0)&amp;""</f>
        <v>SQ</v>
      </c>
    </row>
    <row r="5" customFormat="false" ht="247.75" hidden="false" customHeight="false" outlineLevel="0" collapsed="false">
      <c r="A5" s="8" t="s">
        <v>0</v>
      </c>
      <c r="B5" s="3"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Water supply board</v>
      </c>
    </row>
    <row r="9" customFormat="false" ht="3276.75" hidden="false" customHeight="false" outlineLevel="0" collapsed="false">
      <c r="A9" s="8" t="s">
        <v>464</v>
      </c>
      <c r="B9" s="3"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4.15" hidden="false" customHeight="false" outlineLevel="0" collapsed="false">
      <c r="A10" s="8" t="s">
        <v>465</v>
      </c>
      <c r="B10" s="3" t="str">
        <f aca="false">VLOOKUP($B$1,'PARASTATAL Questions'!$A:$J,10,0)&amp;""</f>
        <v>Water Supply Board's current water supply/sanitation plan; scheme/coverage documents; tariff or connection-concession orders; design/service standards.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36.55" hidden="false" customHeight="false" outlineLevel="0" collapsed="false">
      <c r="A13" s="0" t="s">
        <v>17</v>
      </c>
      <c r="B13" s="0" t="s">
        <v>690</v>
      </c>
      <c r="C13" s="0" t="s">
        <v>73</v>
      </c>
      <c r="D13" s="0" t="s">
        <v>746</v>
      </c>
      <c r="E13" s="0" t="s">
        <v>747</v>
      </c>
      <c r="F13" s="0" t="s">
        <v>748</v>
      </c>
      <c r="G13" s="0" t="s">
        <v>749</v>
      </c>
      <c r="H13" s="0" t="s">
        <v>74</v>
      </c>
      <c r="I13" s="12" t="n">
        <v>2.5</v>
      </c>
      <c r="J13" s="0" t="n">
        <f aca="false">IF($B13="NO","NA",IF(I13="","",MIN(I13,$B$6)))</f>
        <v>2.5</v>
      </c>
      <c r="K13" s="10" t="s">
        <v>750</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77</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4a</v>
      </c>
    </row>
    <row r="4" customFormat="false" ht="15" hidden="false" customHeight="false" outlineLevel="0" collapsed="false">
      <c r="A4" s="8" t="s">
        <v>428</v>
      </c>
      <c r="B4" s="3" t="str">
        <f aca="false">VLOOKUP($B$1,'PARASTATAL Questions'!$A:$J,4,0)&amp;""</f>
        <v>SQ</v>
      </c>
    </row>
    <row r="5" customFormat="false" ht="247.75" hidden="false" customHeight="false" outlineLevel="0" collapsed="false">
      <c r="A5" s="8" t="s">
        <v>0</v>
      </c>
      <c r="B5" s="3"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Transport Corporation</v>
      </c>
    </row>
    <row r="9" customFormat="false" ht="751.45" hidden="false" customHeight="false" outlineLevel="0" collapsed="false">
      <c r="A9" s="8" t="s">
        <v>464</v>
      </c>
      <c r="B9" s="3"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75" hidden="false" customHeight="false" outlineLevel="0" collapsed="false">
      <c r="A10" s="8" t="s">
        <v>465</v>
      </c>
      <c r="B10" s="3" t="str">
        <f aca="false">VLOOKUP($B$1,'PARASTATAL Questions'!$A:$J,10,0)&amp;""</f>
        <v>Transport authority/corporation Act, applicable transport legislation, rules, service regulations, fare policies and other binding policy instruments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359.7" hidden="false" customHeight="false" outlineLevel="0" collapsed="false">
      <c r="A14" s="0" t="s">
        <v>26</v>
      </c>
      <c r="B14" s="0" t="s">
        <v>690</v>
      </c>
      <c r="C14" s="0" t="s">
        <v>61</v>
      </c>
      <c r="D14" s="0" t="s">
        <v>751</v>
      </c>
      <c r="E14" s="0" t="s">
        <v>752</v>
      </c>
      <c r="F14" s="0" t="s">
        <v>753</v>
      </c>
      <c r="G14" s="0" t="s">
        <v>694</v>
      </c>
      <c r="H14" s="0" t="s">
        <v>62</v>
      </c>
      <c r="I14" s="12"/>
      <c r="J14" s="0" t="str">
        <f aca="false">IF($B14="NO","NA",IF(I14="","",MIN(I14,$B$6)))</f>
        <v/>
      </c>
      <c r="K14" s="10" t="s">
        <v>754</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81</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4b</v>
      </c>
    </row>
    <row r="4" customFormat="false" ht="15" hidden="false" customHeight="false" outlineLevel="0" collapsed="false">
      <c r="A4" s="8" t="s">
        <v>428</v>
      </c>
      <c r="B4" s="3" t="str">
        <f aca="false">VLOOKUP($B$1,'PARASTATAL Questions'!$A:$J,4,0)&amp;""</f>
        <v>SQ</v>
      </c>
    </row>
    <row r="5" customFormat="false" ht="236.55" hidden="false" customHeight="false" outlineLevel="0" collapsed="false">
      <c r="A5" s="8" t="s">
        <v>0</v>
      </c>
      <c r="B5" s="3"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Transport Corporation</v>
      </c>
    </row>
    <row r="9" customFormat="false" ht="2185.05" hidden="false" customHeight="false" outlineLevel="0" collapsed="false">
      <c r="A9" s="8" t="s">
        <v>464</v>
      </c>
      <c r="B9" s="3"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75" hidden="false" customHeight="false" outlineLevel="0" collapsed="false">
      <c r="A10" s="8" t="s">
        <v>465</v>
      </c>
      <c r="B10" s="3" t="str">
        <f aca="false">VLOOKUP($B$1,'PARASTATAL Questions'!$A:$J,10,0)&amp;""</f>
        <v>Transport Corporation's current transport/mobility plan; fare policy/concession orders; service design standards or specifications; annual report.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202.95" hidden="false" customHeight="false" outlineLevel="0" collapsed="false">
      <c r="A14" s="0" t="s">
        <v>26</v>
      </c>
      <c r="B14" s="0" t="s">
        <v>690</v>
      </c>
      <c r="C14" s="0" t="s">
        <v>83</v>
      </c>
      <c r="D14" s="0" t="s">
        <v>755</v>
      </c>
      <c r="E14" s="0" t="s">
        <v>756</v>
      </c>
      <c r="F14" s="0" t="s">
        <v>757</v>
      </c>
      <c r="H14" s="0" t="s">
        <v>84</v>
      </c>
      <c r="I14" s="12" t="n">
        <v>1.25</v>
      </c>
      <c r="J14" s="0" t="n">
        <f aca="false">IF($B14="NO","NA",IF(I14="","",MIN(I14,$B$6)))</f>
        <v>1.25</v>
      </c>
      <c r="K14" s="10" t="s">
        <v>758</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87</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5a</v>
      </c>
    </row>
    <row r="4" customFormat="false" ht="15" hidden="false" customHeight="false" outlineLevel="0" collapsed="false">
      <c r="A4" s="8" t="s">
        <v>428</v>
      </c>
      <c r="B4" s="3" t="str">
        <f aca="false">VLOOKUP($B$1,'PARASTATAL Questions'!$A:$J,4,0)&amp;""</f>
        <v>SQ</v>
      </c>
    </row>
    <row r="5" customFormat="false" ht="191.75" hidden="false" customHeight="false" outlineLevel="0" collapsed="false">
      <c r="A5" s="8" t="s">
        <v>0</v>
      </c>
      <c r="B5" s="3" t="str">
        <f aca="false">VLOOKUP($B$1,'PARASTATAL Questions'!$A:$J,5,0)&amp;""</f>
        <v>Is the water supply board mandated to consider environmental sustainability in planning and delivering water and sanitation services?</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Water supply board</v>
      </c>
    </row>
    <row r="9" customFormat="false" ht="975.35" hidden="false" customHeight="false" outlineLevel="0" collapsed="false">
      <c r="A9" s="8" t="s">
        <v>464</v>
      </c>
      <c r="B9" s="3"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35" hidden="false" customHeight="false" outlineLevel="0" collapsed="false">
      <c r="A10" s="8" t="s">
        <v>465</v>
      </c>
      <c r="B10" s="3"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5.05" hidden="false" customHeight="false" outlineLevel="0" collapsed="false">
      <c r="A13" s="0" t="s">
        <v>17</v>
      </c>
      <c r="B13" s="0" t="s">
        <v>690</v>
      </c>
      <c r="C13" s="0" t="s">
        <v>21</v>
      </c>
      <c r="D13" s="0" t="s">
        <v>759</v>
      </c>
      <c r="E13" s="0" t="s">
        <v>760</v>
      </c>
      <c r="F13" s="0" t="s">
        <v>761</v>
      </c>
      <c r="G13" s="0" t="s">
        <v>762</v>
      </c>
      <c r="H13" s="0" t="s">
        <v>22</v>
      </c>
      <c r="I13" s="12" t="n">
        <v>2.5</v>
      </c>
      <c r="J13" s="0" t="n">
        <f aca="false">IF($B13="NO","NA",IF(I13="","",MIN(I13,$B$6)))</f>
        <v>2.5</v>
      </c>
      <c r="K13" s="10" t="s">
        <v>763</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91</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5b</v>
      </c>
    </row>
    <row r="4" customFormat="false" ht="15" hidden="false" customHeight="false" outlineLevel="0" collapsed="false">
      <c r="A4" s="8" t="s">
        <v>428</v>
      </c>
      <c r="B4" s="3" t="str">
        <f aca="false">VLOOKUP($B$1,'PARASTATAL Questions'!$A:$J,4,0)&amp;""</f>
        <v>SQ</v>
      </c>
    </row>
    <row r="5" customFormat="false" ht="180.55" hidden="false" customHeight="false" outlineLevel="0" collapsed="false">
      <c r="A5" s="8" t="s">
        <v>0</v>
      </c>
      <c r="B5" s="3" t="str">
        <f aca="false">VLOOKUP($B$1,'PARASTATAL Questions'!$A:$J,5,0)&amp;""</f>
        <v>Does the water supply board actually consider environmental sustainability in planning and delivering water and sanitation services?</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Water supply board</v>
      </c>
    </row>
    <row r="9" customFormat="false" ht="3276.75" hidden="false" customHeight="false" outlineLevel="0" collapsed="false">
      <c r="A9" s="8" t="s">
        <v>464</v>
      </c>
      <c r="B9" s="3"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3" hidden="false" customHeight="false" outlineLevel="0" collapsed="false">
      <c r="A10" s="8" t="s">
        <v>465</v>
      </c>
      <c r="B10" s="3"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505.2" hidden="false" customHeight="false" outlineLevel="0" collapsed="false">
      <c r="A13" s="0" t="s">
        <v>17</v>
      </c>
      <c r="B13" s="0" t="s">
        <v>690</v>
      </c>
      <c r="C13" s="0" t="s">
        <v>93</v>
      </c>
      <c r="D13" s="0" t="s">
        <v>764</v>
      </c>
      <c r="E13" s="0" t="s">
        <v>765</v>
      </c>
      <c r="F13" s="0" t="s">
        <v>766</v>
      </c>
      <c r="G13" s="0" t="s">
        <v>699</v>
      </c>
      <c r="H13" s="0" t="s">
        <v>94</v>
      </c>
      <c r="I13" s="12" t="n">
        <v>5</v>
      </c>
      <c r="J13" s="0" t="n">
        <f aca="false">IF($B13="NO","NA",IF(I13="","",MIN(I13,$B$6)))</f>
        <v>5</v>
      </c>
      <c r="K13" s="10" t="s">
        <v>767</v>
      </c>
    </row>
    <row r="14" customFormat="false" ht="15" hidden="false" customHeight="false" outlineLevel="0" collapsed="false">
      <c r="A14" s="13" t="s">
        <v>26</v>
      </c>
      <c r="B14" s="13" t="s">
        <v>734</v>
      </c>
      <c r="C14" s="13"/>
      <c r="D14" s="13"/>
      <c r="E14" s="13"/>
      <c r="F14" s="13"/>
      <c r="G14" s="13"/>
      <c r="H14" s="13"/>
      <c r="I14" s="14"/>
      <c r="J14" s="13" t="str">
        <f aca="false">IF($B14="NO","NA",IF(I14="","",MIN(I14,$B$6)))</f>
        <v>NA</v>
      </c>
      <c r="K14" s="13"/>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97</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6a</v>
      </c>
    </row>
    <row r="4" customFormat="false" ht="15" hidden="false" customHeight="false" outlineLevel="0" collapsed="false">
      <c r="A4" s="8" t="s">
        <v>428</v>
      </c>
      <c r="B4" s="3" t="str">
        <f aca="false">VLOOKUP($B$1,'PARASTATAL Questions'!$A:$J,4,0)&amp;""</f>
        <v>SQ</v>
      </c>
    </row>
    <row r="5" customFormat="false" ht="225.35" hidden="false" customHeight="false" outlineLevel="0" collapsed="false">
      <c r="A5" s="8" t="s">
        <v>0</v>
      </c>
      <c r="B5" s="3" t="str">
        <f aca="false">VLOOKUP($B$1,'PARASTATAL Questions'!$A:$J,5,0)&amp;""</f>
        <v>Is the transport corporation mandated to consider environmental sustainability in planning and delivering urban transport services and investments?</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35.05" hidden="false" customHeight="false" outlineLevel="0" collapsed="false">
      <c r="A8" s="8" t="s">
        <v>463</v>
      </c>
      <c r="B8" s="3" t="str">
        <f aca="false">VLOOKUP($B$1,'PARASTATAL Questions'!$A:$J,8,0)&amp;""</f>
        <v>Transport Corporation</v>
      </c>
    </row>
    <row r="9" customFormat="false" ht="908.2" hidden="false" customHeight="false" outlineLevel="0" collapsed="false">
      <c r="A9" s="8" t="s">
        <v>464</v>
      </c>
      <c r="B9" s="3"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9.4" hidden="false" customHeight="false" outlineLevel="0" collapsed="false">
      <c r="A10" s="8" t="s">
        <v>465</v>
      </c>
      <c r="B10" s="3" t="str">
        <f aca="false">VLOOKUP($B$1,'PARASTATAL Questions'!$A:$J,10,0)&amp;""</f>
        <v>Transport authority/corporation Act, applicable transport legislation, rules, mobility/transport policies and other binding instruments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214.15" hidden="false" customHeight="false" outlineLevel="0" collapsed="false">
      <c r="A14" s="0" t="s">
        <v>26</v>
      </c>
      <c r="B14" s="0" t="s">
        <v>690</v>
      </c>
      <c r="C14" s="0" t="s">
        <v>61</v>
      </c>
      <c r="D14" s="0" t="s">
        <v>736</v>
      </c>
      <c r="E14" s="0" t="s">
        <v>768</v>
      </c>
      <c r="F14" s="0" t="s">
        <v>769</v>
      </c>
      <c r="G14" s="0" t="s">
        <v>739</v>
      </c>
      <c r="H14" s="0" t="s">
        <v>62</v>
      </c>
      <c r="I14" s="12" t="n">
        <v>2.5</v>
      </c>
      <c r="J14" s="0" t="n">
        <f aca="false">IF($B14="NO","NA",IF(I14="","",MIN(I14,$B$6)))</f>
        <v>2.5</v>
      </c>
      <c r="K14" s="10" t="s">
        <v>770</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101</v>
      </c>
      <c r="C1" s="0" t="s">
        <v>677</v>
      </c>
    </row>
    <row r="2" customFormat="false" ht="46.25" hidden="false" customHeight="false" outlineLevel="0" collapsed="false">
      <c r="A2" s="8" t="s">
        <v>427</v>
      </c>
      <c r="B2" s="3" t="str">
        <f aca="false">VLOOKUP($B$1,'PARASTATAL Questions'!$A:$J,3,0)&amp;""</f>
        <v>Urban Planning &amp; Design (UPD)</v>
      </c>
    </row>
    <row r="3" customFormat="false" ht="15" hidden="false" customHeight="false" outlineLevel="0" collapsed="false">
      <c r="A3" s="8" t="s">
        <v>462</v>
      </c>
      <c r="B3" s="3" t="str">
        <f aca="false">VLOOKUP($B$1,'PARASTATAL Questions'!$A:$J,2,0)&amp;""</f>
        <v>UPD 6b</v>
      </c>
    </row>
    <row r="4" customFormat="false" ht="15" hidden="false" customHeight="false" outlineLevel="0" collapsed="false">
      <c r="A4" s="8" t="s">
        <v>428</v>
      </c>
      <c r="B4" s="3" t="str">
        <f aca="false">VLOOKUP($B$1,'PARASTATAL Questions'!$A:$J,4,0)&amp;""</f>
        <v>SQ</v>
      </c>
    </row>
    <row r="5" customFormat="false" ht="202.95" hidden="false" customHeight="false" outlineLevel="0" collapsed="false">
      <c r="A5" s="8" t="s">
        <v>0</v>
      </c>
      <c r="B5" s="3" t="str">
        <f aca="false">VLOOKUP($B$1,'PARASTATAL Questions'!$A:$J,5,0)&amp;""</f>
        <v>Does the transport corporation actually considers environmental sustainability in planning and delivering urban transport services and investments?</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35.05" hidden="false" customHeight="false" outlineLevel="0" collapsed="false">
      <c r="A8" s="8" t="s">
        <v>463</v>
      </c>
      <c r="B8" s="3" t="str">
        <f aca="false">VLOOKUP($B$1,'PARASTATAL Questions'!$A:$J,8,0)&amp;""</f>
        <v>Transport Corporation</v>
      </c>
    </row>
    <row r="9" customFormat="false" ht="1714.9" hidden="false" customHeight="false" outlineLevel="0" collapsed="false">
      <c r="A9" s="8" t="s">
        <v>464</v>
      </c>
      <c r="B9" s="3"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8" hidden="false" customHeight="false" outlineLevel="0" collapsed="false">
      <c r="A10" s="8" t="s">
        <v>465</v>
      </c>
      <c r="B10" s="3" t="str">
        <f aca="false">VLOOKUP($B$1,'PARASTATAL Questions'!$A:$J,10,0)&amp;""</f>
        <v>Transport Corporation's fleet plan; route/network plan; environmental/sustainability policy; annual report.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13" t="s">
        <v>17</v>
      </c>
      <c r="B13" s="13" t="s">
        <v>734</v>
      </c>
      <c r="C13" s="13"/>
      <c r="D13" s="13"/>
      <c r="E13" s="13"/>
      <c r="F13" s="13"/>
      <c r="G13" s="13"/>
      <c r="H13" s="13"/>
      <c r="I13" s="14"/>
      <c r="J13" s="13" t="str">
        <f aca="false">IF($B13="NO","NA",IF(I13="","",MIN(I13,$B$6)))</f>
        <v>NA</v>
      </c>
      <c r="K13" s="13"/>
    </row>
    <row r="14" customFormat="false" ht="15" hidden="false" customHeight="false" outlineLevel="0" collapsed="false">
      <c r="A14" s="0" t="s">
        <v>26</v>
      </c>
      <c r="B14" s="0" t="s">
        <v>690</v>
      </c>
      <c r="C14" s="0" t="s">
        <v>771</v>
      </c>
      <c r="D14" s="0" t="s">
        <v>772</v>
      </c>
      <c r="E14" s="0" t="s">
        <v>773</v>
      </c>
      <c r="F14" s="0" t="s">
        <v>774</v>
      </c>
      <c r="G14" s="0" t="s">
        <v>775</v>
      </c>
      <c r="H14" s="0" t="s">
        <v>776</v>
      </c>
      <c r="I14" s="12" t="n">
        <v>1.25</v>
      </c>
      <c r="J14" s="0" t="n">
        <f aca="false">IF($B14="NO","NA",IF(I14="","",MIN(I14,$B$6)))</f>
        <v>1.25</v>
      </c>
      <c r="K14" s="0" t="s">
        <v>777</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103</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1a</v>
      </c>
    </row>
    <row r="4" customFormat="false" ht="15" hidden="false" customHeight="false" outlineLevel="0" collapsed="false">
      <c r="A4" s="8" t="s">
        <v>428</v>
      </c>
      <c r="B4" s="3" t="str">
        <f aca="false">VLOOKUP($B$1,'PARASTATAL Questions'!$A:$J,4,0)&amp;""</f>
        <v>SQ</v>
      </c>
    </row>
    <row r="5" customFormat="false" ht="135.8" hidden="false" customHeight="false" outlineLevel="0" collapsed="false">
      <c r="A5" s="8" t="s">
        <v>0</v>
      </c>
      <c r="B5" s="3" t="str">
        <f aca="false">VLOOKUP($B$1,'PARASTATAL Questions'!$A:$J,5,0)&amp;""</f>
        <v>Does the legal framework clearly demarcate the functions/responsibilities of the parastatal vis-à-vis the ULG?</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Institutional Design</v>
      </c>
    </row>
    <row r="8" customFormat="false" ht="46.25" hidden="false" customHeight="false" outlineLevel="0" collapsed="false">
      <c r="A8" s="8" t="s">
        <v>463</v>
      </c>
      <c r="B8" s="3" t="str">
        <f aca="false">VLOOKUP($B$1,'PARASTATAL Questions'!$A:$J,8,0)&amp;""</f>
        <v>Common — all parastatal types.</v>
      </c>
    </row>
    <row r="9" customFormat="false" ht="2173.85" hidden="false" customHeight="false" outlineLevel="0" collapsed="false">
      <c r="A9" s="8" t="s">
        <v>464</v>
      </c>
      <c r="B9" s="3"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75" hidden="false" customHeight="false" outlineLevel="0" collapsed="false">
      <c r="A10" s="8" t="s">
        <v>465</v>
      </c>
      <c r="B10" s="3" t="str">
        <f aca="false">VLOOKUP($B$1,'PARASTATAL Questions'!$A:$J,10,0)&amp;""</f>
        <v>Relevant Parastatal Act; State Municipal Act — record the specific provisions establishing devolution status and (where applicable) the functional carve-out.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25.35" hidden="false" customHeight="false" outlineLevel="0" collapsed="false">
      <c r="A13" s="0" t="s">
        <v>17</v>
      </c>
      <c r="B13" s="0" t="s">
        <v>690</v>
      </c>
      <c r="C13" s="0" t="s">
        <v>21</v>
      </c>
      <c r="D13" s="0" t="s">
        <v>778</v>
      </c>
      <c r="E13" s="0" t="s">
        <v>779</v>
      </c>
      <c r="F13" s="0" t="s">
        <v>780</v>
      </c>
      <c r="G13" s="0" t="s">
        <v>781</v>
      </c>
      <c r="H13" s="0" t="s">
        <v>22</v>
      </c>
      <c r="I13" s="12" t="n">
        <v>0</v>
      </c>
      <c r="J13" s="0" t="n">
        <f aca="false">IF($B13="NO","NA",IF(I13="","",MIN(I13,$B$6)))</f>
        <v>0</v>
      </c>
      <c r="K13" s="10" t="s">
        <v>782</v>
      </c>
    </row>
    <row r="14" customFormat="false" ht="258.95" hidden="false" customHeight="false" outlineLevel="0" collapsed="false">
      <c r="A14" s="0" t="s">
        <v>26</v>
      </c>
      <c r="B14" s="0" t="s">
        <v>690</v>
      </c>
      <c r="C14" s="0" t="s">
        <v>28</v>
      </c>
      <c r="D14" s="0" t="s">
        <v>783</v>
      </c>
      <c r="E14" s="0" t="s">
        <v>784</v>
      </c>
      <c r="F14" s="0" t="s">
        <v>785</v>
      </c>
      <c r="G14" s="0" t="s">
        <v>786</v>
      </c>
      <c r="H14" s="0" t="s">
        <v>29</v>
      </c>
      <c r="I14" s="12"/>
      <c r="J14" s="0" t="str">
        <f aca="false">IF($B14="NO","NA",IF(I14="","",MIN(I14,$B$6)))</f>
        <v/>
      </c>
      <c r="K14" s="10" t="s">
        <v>787</v>
      </c>
    </row>
    <row r="15" customFormat="false" ht="169.4" hidden="false" customHeight="false" outlineLevel="0" collapsed="false">
      <c r="A15" s="0" t="s">
        <v>32</v>
      </c>
      <c r="B15" s="0" t="s">
        <v>690</v>
      </c>
      <c r="C15" s="0" t="s">
        <v>112</v>
      </c>
      <c r="D15" s="0" t="s">
        <v>706</v>
      </c>
      <c r="E15" s="0" t="s">
        <v>788</v>
      </c>
      <c r="F15" s="0" t="s">
        <v>789</v>
      </c>
      <c r="G15" s="0" t="s">
        <v>699</v>
      </c>
      <c r="H15" s="0" t="s">
        <v>29</v>
      </c>
      <c r="I15" s="12" t="n">
        <v>0</v>
      </c>
      <c r="J15" s="0" t="n">
        <f aca="false">IF($B15="NO","NA",IF(I15="","",MIN(I15,$B$6)))</f>
        <v>0</v>
      </c>
      <c r="K15" s="10" t="s">
        <v>790</v>
      </c>
    </row>
    <row r="16" customFormat="false" ht="35.05" hidden="false" customHeight="false" outlineLevel="0" collapsed="false">
      <c r="A16" s="0" t="s">
        <v>38</v>
      </c>
      <c r="B16" s="0" t="s">
        <v>690</v>
      </c>
      <c r="C16" s="0" t="s">
        <v>40</v>
      </c>
      <c r="D16" s="0" t="s">
        <v>706</v>
      </c>
      <c r="E16" s="0" t="s">
        <v>791</v>
      </c>
      <c r="F16" s="0" t="s">
        <v>792</v>
      </c>
      <c r="G16" s="0" t="s">
        <v>699</v>
      </c>
      <c r="H16" s="0" t="s">
        <v>29</v>
      </c>
      <c r="I16" s="12" t="n">
        <v>5</v>
      </c>
      <c r="J16" s="0" t="n">
        <f aca="false">IF($B16="NO","NA",IF(I16="","",MIN(I16,$B$6)))</f>
        <v>5</v>
      </c>
      <c r="K16" s="10" t="s">
        <v>793</v>
      </c>
    </row>
    <row r="17" customFormat="false" ht="359.7" hidden="false" customHeight="false" outlineLevel="0" collapsed="false">
      <c r="A17" s="0" t="s">
        <v>43</v>
      </c>
      <c r="B17" s="0" t="s">
        <v>690</v>
      </c>
      <c r="C17" s="0" t="s">
        <v>119</v>
      </c>
      <c r="D17" s="0" t="s">
        <v>794</v>
      </c>
      <c r="E17" s="0" t="s">
        <v>795</v>
      </c>
      <c r="F17" s="0" t="s">
        <v>796</v>
      </c>
      <c r="G17" s="0" t="s">
        <v>797</v>
      </c>
      <c r="H17" s="0" t="s">
        <v>29</v>
      </c>
      <c r="I17" s="12"/>
      <c r="J17" s="0" t="str">
        <f aca="false">IF($B17="NO","NA",IF(I17="","",MIN(I17,$B$6)))</f>
        <v/>
      </c>
      <c r="K17" s="10" t="s">
        <v>798</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122</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1b</v>
      </c>
    </row>
    <row r="4" customFormat="false" ht="15" hidden="false" customHeight="false" outlineLevel="0" collapsed="false">
      <c r="A4" s="8" t="s">
        <v>428</v>
      </c>
      <c r="B4" s="3" t="str">
        <f aca="false">VLOOKUP($B$1,'PARASTATAL Questions'!$A:$J,4,0)&amp;""</f>
        <v>SQ</v>
      </c>
    </row>
    <row r="5" customFormat="false" ht="158.2" hidden="false" customHeight="false" outlineLevel="0" collapsed="false">
      <c r="A5" s="8" t="s">
        <v>0</v>
      </c>
      <c r="B5" s="3" t="str">
        <f aca="false">VLOOKUP($B$1,'PARASTATAL Questions'!$A:$J,5,0)&amp;""</f>
        <v>Is the parastatal's territorial/geographic jurisdiction clearly and specifically defined in its enabling legal framework?</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Institutional Design</v>
      </c>
    </row>
    <row r="8" customFormat="false" ht="46.25" hidden="false" customHeight="false" outlineLevel="0" collapsed="false">
      <c r="A8" s="8" t="s">
        <v>463</v>
      </c>
      <c r="B8" s="3" t="str">
        <f aca="false">VLOOKUP($B$1,'PARASTATAL Questions'!$A:$J,8,0)&amp;""</f>
        <v>Common — all parastatal types.</v>
      </c>
    </row>
    <row r="9" customFormat="false" ht="863.4" hidden="false" customHeight="false" outlineLevel="0" collapsed="false">
      <c r="A9" s="8" t="s">
        <v>464</v>
      </c>
      <c r="B9" s="3"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45" hidden="false" customHeight="false" outlineLevel="0" collapsed="false">
      <c r="A10" s="8" t="s">
        <v>465</v>
      </c>
      <c r="B10" s="3" t="str">
        <f aca="false">VLOOKUP($B$1,'PARASTATAL Questions'!$A:$J,10,0)&amp;""</f>
        <v>Enabling Act, 12th Schedule mapping exercise</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69.4" hidden="false" customHeight="false" outlineLevel="0" collapsed="false">
      <c r="A13" s="0" t="s">
        <v>17</v>
      </c>
      <c r="B13" s="0" t="s">
        <v>690</v>
      </c>
      <c r="C13" s="0" t="s">
        <v>21</v>
      </c>
      <c r="D13" s="0" t="s">
        <v>799</v>
      </c>
      <c r="E13" s="0" t="s">
        <v>800</v>
      </c>
      <c r="F13" s="0" t="s">
        <v>801</v>
      </c>
      <c r="G13" s="0" t="s">
        <v>715</v>
      </c>
      <c r="H13" s="0" t="s">
        <v>22</v>
      </c>
      <c r="I13" s="12" t="n">
        <v>2.5</v>
      </c>
      <c r="J13" s="0" t="n">
        <f aca="false">IF($B13="NO","NA",IF(I13="","",MIN(I13,$B$6)))</f>
        <v>2.5</v>
      </c>
      <c r="K13" s="10" t="s">
        <v>802</v>
      </c>
    </row>
    <row r="14" customFormat="false" ht="15" hidden="false" customHeight="false" outlineLevel="0" collapsed="false">
      <c r="A14" s="0" t="s">
        <v>26</v>
      </c>
      <c r="B14" s="0" t="s">
        <v>690</v>
      </c>
      <c r="I14" s="12"/>
      <c r="J14" s="0" t="str">
        <f aca="false">IF($B14="NO","NA",IF(I14="","",MIN(I14,$B$6)))</f>
        <v/>
      </c>
      <c r="K14" s="0" t="s">
        <v>803</v>
      </c>
    </row>
    <row r="15" customFormat="false" ht="225.35" hidden="false" customHeight="false" outlineLevel="0" collapsed="false">
      <c r="A15" s="0" t="s">
        <v>32</v>
      </c>
      <c r="B15" s="0" t="s">
        <v>690</v>
      </c>
      <c r="C15" s="0" t="s">
        <v>34</v>
      </c>
      <c r="D15" s="0" t="s">
        <v>804</v>
      </c>
      <c r="E15" s="0" t="s">
        <v>805</v>
      </c>
      <c r="F15" s="0" t="s">
        <v>806</v>
      </c>
      <c r="G15" s="0" t="s">
        <v>709</v>
      </c>
      <c r="H15" s="0" t="s">
        <v>35</v>
      </c>
      <c r="I15" s="12" t="n">
        <v>2.5</v>
      </c>
      <c r="J15" s="0" t="n">
        <f aca="false">IF($B15="NO","NA",IF(I15="","",MIN(I15,$B$6)))</f>
        <v>2.5</v>
      </c>
      <c r="K15" s="10" t="s">
        <v>807</v>
      </c>
    </row>
    <row r="16" customFormat="false" ht="326.1" hidden="false" customHeight="false" outlineLevel="0" collapsed="false">
      <c r="A16" s="0" t="s">
        <v>38</v>
      </c>
      <c r="B16" s="0" t="s">
        <v>690</v>
      </c>
      <c r="C16" s="0" t="s">
        <v>132</v>
      </c>
      <c r="D16" s="0" t="s">
        <v>799</v>
      </c>
      <c r="E16" s="0" t="s">
        <v>808</v>
      </c>
      <c r="F16" s="0" t="s">
        <v>809</v>
      </c>
      <c r="G16" s="0" t="s">
        <v>810</v>
      </c>
      <c r="H16" s="0" t="s">
        <v>133</v>
      </c>
      <c r="I16" s="12" t="n">
        <v>2.5</v>
      </c>
      <c r="J16" s="0" t="n">
        <f aca="false">IF($B16="NO","NA",IF(I16="","",MIN(I16,$B$6)))</f>
        <v>2.5</v>
      </c>
      <c r="K16" s="10" t="s">
        <v>811</v>
      </c>
    </row>
    <row r="17" customFormat="false" ht="15" hidden="false" customHeight="false" outlineLevel="0" collapsed="false">
      <c r="A17" s="0" t="s">
        <v>43</v>
      </c>
      <c r="B17" s="0" t="s">
        <v>690</v>
      </c>
      <c r="C17" s="0" t="s">
        <v>711</v>
      </c>
      <c r="D17" s="0" t="s">
        <v>799</v>
      </c>
      <c r="E17" s="0" t="s">
        <v>812</v>
      </c>
      <c r="F17" s="0" t="s">
        <v>813</v>
      </c>
      <c r="G17" s="0" t="s">
        <v>810</v>
      </c>
      <c r="H17" s="0" t="s">
        <v>716</v>
      </c>
      <c r="I17" s="12" t="n">
        <v>5</v>
      </c>
      <c r="J17" s="0" t="n">
        <f aca="false">IF($B17="NO","NA",IF(I17="","",MIN(I17,$B$6)))</f>
        <v>5</v>
      </c>
      <c r="K17" s="0" t="s">
        <v>814</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137</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2a</v>
      </c>
    </row>
    <row r="4" customFormat="false" ht="15" hidden="false" customHeight="false" outlineLevel="0" collapsed="false">
      <c r="A4" s="8" t="s">
        <v>428</v>
      </c>
      <c r="B4" s="3" t="str">
        <f aca="false">VLOOKUP($B$1,'PARASTATAL Questions'!$A:$J,4,0)&amp;""</f>
        <v>SQ</v>
      </c>
    </row>
    <row r="5" customFormat="false" ht="91" hidden="false" customHeight="false" outlineLevel="0" collapsed="false">
      <c r="A5" s="8" t="s">
        <v>0</v>
      </c>
      <c r="B5" s="3" t="str">
        <f aca="false">VLOOKUP($B$1,'PARASTATAL Questions'!$A:$J,5,0)&amp;""</f>
        <v>Does the ULG have representation on the parastatal's governing board?</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Institutional Design</v>
      </c>
    </row>
    <row r="8" customFormat="false" ht="46.25" hidden="false" customHeight="false" outlineLevel="0" collapsed="false">
      <c r="A8" s="8" t="s">
        <v>463</v>
      </c>
      <c r="B8" s="3" t="str">
        <f aca="false">VLOOKUP($B$1,'PARASTATAL Questions'!$A:$J,8,0)&amp;""</f>
        <v>Common — all parastatal types.</v>
      </c>
    </row>
    <row r="9" customFormat="false" ht="303.7" hidden="false" customHeight="false" outlineLevel="0" collapsed="false">
      <c r="A9" s="8" t="s">
        <v>464</v>
      </c>
      <c r="B9" s="3"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2" hidden="false" customHeight="false" outlineLevel="0" collapsed="false">
      <c r="A10" s="8" t="s">
        <v>465</v>
      </c>
      <c r="B10" s="3" t="str">
        <f aca="false">VLOOKUP($B$1,'PARASTATAL Questions'!$A:$J,10,0)&amp;""</f>
        <v>Composition clause of enabling Act; current board member list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70.85" hidden="false" customHeight="false" outlineLevel="0" collapsed="false">
      <c r="A13" s="0" t="s">
        <v>17</v>
      </c>
      <c r="B13" s="0" t="s">
        <v>690</v>
      </c>
      <c r="C13" s="0" t="s">
        <v>21</v>
      </c>
      <c r="D13" s="0" t="s">
        <v>815</v>
      </c>
      <c r="E13" s="0" t="s">
        <v>816</v>
      </c>
      <c r="F13" s="0" t="s">
        <v>817</v>
      </c>
      <c r="G13" s="0" t="s">
        <v>818</v>
      </c>
      <c r="H13" s="0" t="s">
        <v>22</v>
      </c>
      <c r="I13" s="12" t="n">
        <v>0</v>
      </c>
      <c r="J13" s="0" t="n">
        <f aca="false">IF($B13="NO","NA",IF(I13="","",MIN(I13,$B$6)))</f>
        <v>0</v>
      </c>
      <c r="K13" s="10" t="s">
        <v>819</v>
      </c>
    </row>
    <row r="14" customFormat="false" ht="303.7" hidden="false" customHeight="false" outlineLevel="0" collapsed="false">
      <c r="A14" s="0" t="s">
        <v>26</v>
      </c>
      <c r="B14" s="0" t="s">
        <v>690</v>
      </c>
      <c r="C14" s="0" t="s">
        <v>142</v>
      </c>
      <c r="D14" s="0" t="s">
        <v>820</v>
      </c>
      <c r="E14" s="0" t="s">
        <v>821</v>
      </c>
      <c r="F14" s="0" t="s">
        <v>822</v>
      </c>
      <c r="G14" s="0" t="s">
        <v>823</v>
      </c>
      <c r="H14" s="0" t="s">
        <v>143</v>
      </c>
      <c r="I14" s="12"/>
      <c r="J14" s="0" t="str">
        <f aca="false">IF($B14="NO","NA",IF(I14="","",MIN(I14,$B$6)))</f>
        <v/>
      </c>
      <c r="K14" s="10" t="s">
        <v>824</v>
      </c>
    </row>
    <row r="15" customFormat="false" ht="370.85" hidden="false" customHeight="false" outlineLevel="0" collapsed="false">
      <c r="A15" s="0" t="s">
        <v>32</v>
      </c>
      <c r="B15" s="0" t="s">
        <v>690</v>
      </c>
      <c r="C15" s="0" t="s">
        <v>34</v>
      </c>
      <c r="D15" s="0" t="s">
        <v>825</v>
      </c>
      <c r="E15" s="0" t="s">
        <v>826</v>
      </c>
      <c r="F15" s="0" t="s">
        <v>827</v>
      </c>
      <c r="G15" s="0" t="s">
        <v>739</v>
      </c>
      <c r="H15" s="0" t="s">
        <v>35</v>
      </c>
      <c r="I15" s="12" t="n">
        <v>5</v>
      </c>
      <c r="J15" s="0" t="n">
        <f aca="false">IF($B15="NO","NA",IF(I15="","",MIN(I15,$B$6)))</f>
        <v>5</v>
      </c>
      <c r="K15" s="10" t="s">
        <v>828</v>
      </c>
    </row>
    <row r="16" customFormat="false" ht="124.6" hidden="false" customHeight="false" outlineLevel="0" collapsed="false">
      <c r="A16" s="0" t="s">
        <v>38</v>
      </c>
      <c r="B16" s="0" t="s">
        <v>690</v>
      </c>
      <c r="C16" s="0" t="s">
        <v>150</v>
      </c>
      <c r="D16" s="0" t="s">
        <v>829</v>
      </c>
      <c r="E16" s="0" t="s">
        <v>830</v>
      </c>
      <c r="F16" s="0" t="s">
        <v>831</v>
      </c>
      <c r="G16" s="0" t="s">
        <v>832</v>
      </c>
      <c r="H16" s="0" t="s">
        <v>151</v>
      </c>
      <c r="I16" s="12" t="n">
        <v>0</v>
      </c>
      <c r="J16" s="0" t="n">
        <f aca="false">IF($B16="NO","NA",IF(I16="","",MIN(I16,$B$6)))</f>
        <v>0</v>
      </c>
      <c r="K16" s="10" t="s">
        <v>833</v>
      </c>
    </row>
    <row r="17" customFormat="false" ht="314.9" hidden="false" customHeight="false" outlineLevel="0" collapsed="false">
      <c r="A17" s="0" t="s">
        <v>43</v>
      </c>
      <c r="B17" s="0" t="s">
        <v>690</v>
      </c>
      <c r="C17" s="0" t="s">
        <v>155</v>
      </c>
      <c r="D17" s="0" t="s">
        <v>834</v>
      </c>
      <c r="E17" s="0" t="s">
        <v>835</v>
      </c>
      <c r="F17" s="0" t="s">
        <v>836</v>
      </c>
      <c r="G17" s="0" t="s">
        <v>715</v>
      </c>
      <c r="H17" s="0" t="s">
        <v>156</v>
      </c>
      <c r="I17" s="12" t="n">
        <v>5</v>
      </c>
      <c r="J17" s="0" t="n">
        <f aca="false">IF($B17="NO","NA",IF(I17="","",MIN(I17,$B$6)))</f>
        <v>5</v>
      </c>
      <c r="K17" s="10" t="s">
        <v>837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159</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DPG-2b</v>
      </c>
    </row>
    <row r="4" customFormat="false" ht="15" hidden="false" customHeight="false" outlineLevel="0" collapsed="false">
      <c r="A4" s="8" t="s">
        <v>428</v>
      </c>
      <c r="B4" s="3" t="str">
        <f aca="false">VLOOKUP($B$1,'PARASTATAL Questions'!$A:$J,4,0)&amp;""</f>
        <v>SQ</v>
      </c>
    </row>
    <row r="5" customFormat="false" ht="113.4" hidden="false" customHeight="false" outlineLevel="0" collapsed="false">
      <c r="A5" s="8" t="s">
        <v>0</v>
      </c>
      <c r="B5" s="3" t="str">
        <f aca="false">VLOOKUP($B$1,'PARASTATAL Questions'!$A:$J,5,0)&amp;""</f>
        <v>Is the parastatal mandated to submit its plans, budgets or reports to the ULG/council?</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46.25" hidden="false" customHeight="false" outlineLevel="0" collapsed="false">
      <c r="A8" s="8" t="s">
        <v>463</v>
      </c>
      <c r="B8" s="3" t="str">
        <f aca="false">VLOOKUP($B$1,'PARASTATAL Questions'!$A:$J,8,0)&amp;""</f>
        <v>Common — all parastatal types.</v>
      </c>
    </row>
    <row r="9" customFormat="false" ht="1053.7" hidden="false" customHeight="false" outlineLevel="0" collapsed="false">
      <c r="A9" s="8" t="s">
        <v>464</v>
      </c>
      <c r="B9" s="3"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8" hidden="false" customHeight="false" outlineLevel="0" collapsed="false">
      <c r="A10" s="8" t="s">
        <v>465</v>
      </c>
      <c r="B10" s="3" t="str">
        <f aca="false">VLOOKUP($B$1,'PARASTATAL Questions'!$A:$J,10,0)&amp;""</f>
        <v>Plan/Budget preparation/Annual report preparation clause of the enabling Act of the relevant parastatal</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03.7" hidden="false" customHeight="false" outlineLevel="0" collapsed="false">
      <c r="A13" s="0" t="s">
        <v>17</v>
      </c>
      <c r="B13" s="0" t="s">
        <v>690</v>
      </c>
      <c r="C13" s="0" t="s">
        <v>21</v>
      </c>
      <c r="D13" s="0" t="s">
        <v>838</v>
      </c>
      <c r="E13" s="0" t="s">
        <v>839</v>
      </c>
      <c r="F13" s="0" t="s">
        <v>840</v>
      </c>
      <c r="G13" s="0" t="s">
        <v>841</v>
      </c>
      <c r="H13" s="0" t="s">
        <v>22</v>
      </c>
      <c r="I13" s="12" t="n">
        <v>0</v>
      </c>
      <c r="J13" s="0" t="n">
        <f aca="false">IF($B13="NO","NA",IF(I13="","",MIN(I13,$B$6)))</f>
        <v>0</v>
      </c>
      <c r="K13" s="10" t="s">
        <v>842</v>
      </c>
    </row>
    <row r="14" customFormat="false" ht="214.15" hidden="false" customHeight="false" outlineLevel="0" collapsed="false">
      <c r="A14" s="0" t="s">
        <v>26</v>
      </c>
      <c r="B14" s="0" t="s">
        <v>690</v>
      </c>
      <c r="C14" s="0" t="s">
        <v>142</v>
      </c>
      <c r="D14" s="0" t="s">
        <v>843</v>
      </c>
      <c r="E14" s="0" t="s">
        <v>844</v>
      </c>
      <c r="F14" s="0" t="s">
        <v>845</v>
      </c>
      <c r="G14" s="0" t="s">
        <v>846</v>
      </c>
      <c r="H14" s="0" t="s">
        <v>143</v>
      </c>
      <c r="I14" s="12"/>
      <c r="J14" s="0" t="str">
        <f aca="false">IF($B14="NO","NA",IF(I14="","",MIN(I14,$B$6)))</f>
        <v/>
      </c>
      <c r="K14" s="10" t="s">
        <v>847</v>
      </c>
    </row>
    <row r="15" customFormat="false" ht="292.5" hidden="false" customHeight="false" outlineLevel="0" collapsed="false">
      <c r="A15" s="0" t="s">
        <v>32</v>
      </c>
      <c r="B15" s="0" t="s">
        <v>690</v>
      </c>
      <c r="C15" s="0" t="s">
        <v>34</v>
      </c>
      <c r="D15" s="0" t="s">
        <v>848</v>
      </c>
      <c r="E15" s="0" t="s">
        <v>849</v>
      </c>
      <c r="F15" s="0" t="s">
        <v>850</v>
      </c>
      <c r="G15" s="0" t="s">
        <v>851</v>
      </c>
      <c r="H15" s="0" t="s">
        <v>35</v>
      </c>
      <c r="I15" s="12" t="n">
        <v>0</v>
      </c>
      <c r="J15" s="0" t="n">
        <f aca="false">IF($B15="NO","NA",IF(I15="","",MIN(I15,$B$6)))</f>
        <v>0</v>
      </c>
      <c r="K15" s="10" t="s">
        <v>852</v>
      </c>
    </row>
    <row r="16" customFormat="false" ht="292.5" hidden="false" customHeight="false" outlineLevel="0" collapsed="false">
      <c r="A16" s="0" t="s">
        <v>38</v>
      </c>
      <c r="B16" s="0" t="s">
        <v>690</v>
      </c>
      <c r="C16" s="0" t="s">
        <v>40</v>
      </c>
      <c r="D16" s="0" t="s">
        <v>706</v>
      </c>
      <c r="E16" s="0" t="s">
        <v>853</v>
      </c>
      <c r="F16" s="0" t="s">
        <v>698</v>
      </c>
      <c r="G16" s="0" t="s">
        <v>699</v>
      </c>
      <c r="H16" s="0" t="s">
        <v>29</v>
      </c>
      <c r="I16" s="12" t="n">
        <v>0</v>
      </c>
      <c r="J16" s="0" t="n">
        <f aca="false">IF($B16="NO","NA",IF(I16="","",MIN(I16,$B$6)))</f>
        <v>0</v>
      </c>
      <c r="K16" s="10" t="s">
        <v>854</v>
      </c>
    </row>
    <row r="17" customFormat="false" ht="15" hidden="false" customHeight="false" outlineLevel="0" collapsed="false">
      <c r="A17" s="0" t="s">
        <v>43</v>
      </c>
      <c r="B17" s="0" t="s">
        <v>690</v>
      </c>
      <c r="C17" s="0" t="s">
        <v>711</v>
      </c>
      <c r="D17" s="0" t="s">
        <v>855</v>
      </c>
      <c r="E17" s="0" t="s">
        <v>856</v>
      </c>
      <c r="F17" s="0" t="s">
        <v>857</v>
      </c>
      <c r="G17" s="0" t="s">
        <v>858</v>
      </c>
      <c r="H17" s="0" t="s">
        <v>716</v>
      </c>
      <c r="I17" s="12" t="n">
        <v>0</v>
      </c>
      <c r="J17" s="0" t="n">
        <f aca="false">IF($B17="NO","NA",IF(I17="","",MIN(I17,$B$6)))</f>
        <v>0</v>
      </c>
      <c r="K17" s="0" t="s">
        <v>859</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173</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4</v>
      </c>
    </row>
    <row r="4" customFormat="false" ht="15" hidden="false" customHeight="false" outlineLevel="0" collapsed="false">
      <c r="A4" s="8" t="s">
        <v>428</v>
      </c>
      <c r="B4" s="3" t="str">
        <f aca="false">VLOOKUP($B$1,'PARASTATAL Questions'!$A:$J,4,0)&amp;""</f>
        <v>MQ</v>
      </c>
    </row>
    <row r="5" customFormat="false" ht="79.85" hidden="false" customHeight="false" outlineLevel="0" collapsed="false">
      <c r="A5" s="8" t="s">
        <v>0</v>
      </c>
      <c r="B5" s="3" t="str">
        <f aca="false">VLOOKUP($B$1,'PARASTATAL Questions'!$A:$J,5,0)&amp;""</f>
        <v>Does the parastatal maintain an active and functional website?</v>
      </c>
    </row>
    <row r="6" customFormat="false" ht="15" hidden="false" customHeight="false" outlineLevel="0" collapsed="false">
      <c r="A6" s="8" t="s">
        <v>430</v>
      </c>
      <c r="B6" s="3" t="n">
        <f aca="false">VLOOKUP($B$1,'PARASTATAL Questions'!$A:$J,6,0)</f>
        <v>10</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572.35" hidden="false" customHeight="false" outlineLevel="0" collapsed="false">
      <c r="A9" s="8" t="s">
        <v>464</v>
      </c>
      <c r="B9" s="3"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8" hidden="false" customHeight="false" outlineLevel="0" collapsed="false">
      <c r="A10" s="8" t="s">
        <v>465</v>
      </c>
      <c r="B10" s="3" t="str">
        <f aca="false">VLOOKUP($B$1,'PARASTATAL Questions'!$A:$J,10,0)&amp;""</f>
        <v>Live URL, screenshot/web-archive capture, date of check of the website of the relevant parastatal</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91.75" hidden="false" customHeight="false" outlineLevel="0" collapsed="false">
      <c r="A13" s="0" t="s">
        <v>17</v>
      </c>
      <c r="B13" s="0" t="s">
        <v>690</v>
      </c>
      <c r="C13" s="0" t="s">
        <v>175</v>
      </c>
      <c r="D13" s="0" t="s">
        <v>861</v>
      </c>
      <c r="E13" s="0" t="s">
        <v>862</v>
      </c>
      <c r="F13" s="0" t="s">
        <v>863</v>
      </c>
      <c r="H13" s="0" t="s">
        <v>176</v>
      </c>
      <c r="I13" s="12" t="n">
        <v>10</v>
      </c>
      <c r="J13" s="0" t="n">
        <f aca="false">IF($B13="NO","NA",IF(I13="","",MIN(I13,$B$6)))</f>
        <v>10</v>
      </c>
      <c r="K13" s="10" t="s">
        <v>864</v>
      </c>
    </row>
    <row r="14" customFormat="false" ht="31.3" hidden="false" customHeight="false" outlineLevel="0" collapsed="false">
      <c r="A14" s="0" t="s">
        <v>26</v>
      </c>
      <c r="B14" s="0" t="s">
        <v>690</v>
      </c>
      <c r="C14" s="0" t="s">
        <v>180</v>
      </c>
      <c r="D14" s="0" t="s">
        <v>865</v>
      </c>
      <c r="E14" s="0" t="s">
        <v>866</v>
      </c>
      <c r="F14" s="0" t="s">
        <v>867</v>
      </c>
      <c r="H14" s="0" t="s">
        <v>181</v>
      </c>
      <c r="I14" s="12" t="n">
        <v>10</v>
      </c>
      <c r="J14" s="0" t="n">
        <f aca="false">IF($B14="NO","NA",IF(I14="","",MIN(I14,$B$6)))</f>
        <v>10</v>
      </c>
      <c r="K14" s="10" t="s">
        <v>868</v>
      </c>
    </row>
    <row r="15" customFormat="false" ht="15" hidden="false" customHeight="false" outlineLevel="0" collapsed="false">
      <c r="A15" s="0" t="s">
        <v>32</v>
      </c>
      <c r="B15" s="0" t="s">
        <v>690</v>
      </c>
      <c r="I15" s="12"/>
      <c r="J15" s="0" t="str">
        <f aca="false">IF($B15="NO","NA",IF(I15="","",MIN(I15,$B$6)))</f>
        <v/>
      </c>
      <c r="K15" s="0" t="s">
        <v>869</v>
      </c>
    </row>
    <row r="16" customFormat="false" ht="15" hidden="false" customHeight="false" outlineLevel="0" collapsed="false">
      <c r="A16" s="0" t="s">
        <v>38</v>
      </c>
      <c r="B16" s="0" t="s">
        <v>690</v>
      </c>
      <c r="C16" s="0" t="s">
        <v>870</v>
      </c>
      <c r="D16" s="0" t="s">
        <v>871</v>
      </c>
      <c r="E16" s="0" t="s">
        <v>872</v>
      </c>
      <c r="F16" s="0" t="s">
        <v>873</v>
      </c>
      <c r="G16" s="0" t="s">
        <v>874</v>
      </c>
      <c r="H16" s="0" t="s">
        <v>151</v>
      </c>
      <c r="I16" s="12"/>
      <c r="J16" s="0" t="str">
        <f aca="false">IF($B16="NO","NA",IF(I16="","",MIN(I16,$B$6)))</f>
        <v/>
      </c>
      <c r="K16" s="0" t="s">
        <v>875</v>
      </c>
    </row>
    <row r="17" customFormat="false" ht="23.85" hidden="false" customHeight="false" outlineLevel="0" collapsed="false">
      <c r="A17" s="0" t="s">
        <v>43</v>
      </c>
      <c r="B17" s="0" t="s">
        <v>690</v>
      </c>
      <c r="C17" s="0" t="s">
        <v>187</v>
      </c>
      <c r="D17" s="0" t="s">
        <v>876</v>
      </c>
      <c r="E17" s="0" t="s">
        <v>877</v>
      </c>
      <c r="F17" s="0" t="s">
        <v>878</v>
      </c>
      <c r="H17" s="0" t="s">
        <v>188</v>
      </c>
      <c r="I17" s="12" t="n">
        <v>10</v>
      </c>
      <c r="J17" s="0" t="n">
        <f aca="false">IF($B17="NO","NA",IF(I17="","",MIN(I17,$B$6)))</f>
        <v>10</v>
      </c>
      <c r="K17" s="10" t="s">
        <v>879</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191</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DPG5a</v>
      </c>
    </row>
    <row r="4" customFormat="false" ht="15" hidden="false" customHeight="false" outlineLevel="0" collapsed="false">
      <c r="A4" s="8" t="s">
        <v>428</v>
      </c>
      <c r="B4" s="3" t="str">
        <f aca="false">VLOOKUP($B$1,'PARASTATAL Questions'!$A:$J,4,0)&amp;""</f>
        <v>SQ</v>
      </c>
    </row>
    <row r="5" customFormat="false" ht="23.85" hidden="false" customHeight="false" outlineLevel="0" collapsed="false">
      <c r="A5" s="8" t="s">
        <v>0</v>
      </c>
      <c r="B5" s="3" t="str">
        <f aca="false">VLOOKUP($B$1,'PARASTATAL Questions'!$A:$J,5,0)&amp;""</f>
        <v>Annual budget</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829.85" hidden="false" customHeight="false" outlineLevel="0" collapsed="false">
      <c r="A9" s="8" t="s">
        <v>464</v>
      </c>
      <c r="B9" s="3"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881</v>
      </c>
    </row>
    <row r="14" customFormat="false" ht="15" hidden="false" customHeight="false" outlineLevel="0" collapsed="false">
      <c r="A14" s="0" t="s">
        <v>26</v>
      </c>
      <c r="B14" s="0" t="s">
        <v>690</v>
      </c>
      <c r="I14" s="12"/>
      <c r="J14" s="0" t="str">
        <f aca="false">IF($B14="NO","NA",IF(I14="","",MIN(I14,$B$6)))</f>
        <v/>
      </c>
      <c r="K14" s="0" t="s">
        <v>882</v>
      </c>
    </row>
    <row r="15" customFormat="false" ht="15" hidden="false" customHeight="false" outlineLevel="0" collapsed="false">
      <c r="A15" s="0" t="s">
        <v>32</v>
      </c>
      <c r="B15" s="0" t="s">
        <v>690</v>
      </c>
      <c r="I15" s="12"/>
      <c r="J15" s="0" t="str">
        <f aca="false">IF($B15="NO","NA",IF(I15="","",MIN(I15,$B$6)))</f>
        <v/>
      </c>
      <c r="K15" s="0" t="s">
        <v>883</v>
      </c>
    </row>
    <row r="16" customFormat="false" ht="15" hidden="false" customHeight="false" outlineLevel="0" collapsed="false">
      <c r="A16" s="0" t="s">
        <v>38</v>
      </c>
      <c r="B16" s="0" t="s">
        <v>690</v>
      </c>
      <c r="I16" s="12"/>
      <c r="J16" s="0" t="str">
        <f aca="false">IF($B16="NO","NA",IF(I16="","",MIN(I16,$B$6)))</f>
        <v/>
      </c>
      <c r="K16" s="0" t="s">
        <v>884</v>
      </c>
    </row>
    <row r="17" customFormat="false" ht="15" hidden="false" customHeight="false" outlineLevel="0" collapsed="false">
      <c r="A17" s="0" t="s">
        <v>43</v>
      </c>
      <c r="B17" s="0" t="s">
        <v>690</v>
      </c>
      <c r="I17" s="12"/>
      <c r="J17" s="0" t="str">
        <f aca="false">IF($B17="NO","NA",IF(I17="","",MIN(I17,$B$6)))</f>
        <v/>
      </c>
      <c r="K17" s="0" t="s">
        <v>885</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197</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5b</v>
      </c>
    </row>
    <row r="4" customFormat="false" ht="15" hidden="false" customHeight="false" outlineLevel="0" collapsed="false">
      <c r="A4" s="8" t="s">
        <v>428</v>
      </c>
      <c r="B4" s="3" t="str">
        <f aca="false">VLOOKUP($B$1,'PARASTATAL Questions'!$A:$J,4,0)&amp;""</f>
        <v>SQ</v>
      </c>
    </row>
    <row r="5" customFormat="false" ht="35.05" hidden="false" customHeight="false" outlineLevel="0" collapsed="false">
      <c r="A5" s="8" t="s">
        <v>0</v>
      </c>
      <c r="B5" s="3" t="str">
        <f aca="false">VLOOKUP($B$1,'PARASTATAL Questions'!$A:$J,5,0)&amp;""</f>
        <v>Audited annual accounts</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1087.3" hidden="false" customHeight="false" outlineLevel="0" collapsed="false">
      <c r="A9" s="8" t="s">
        <v>464</v>
      </c>
      <c r="B9" s="3"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886</v>
      </c>
    </row>
    <row r="14" customFormat="false" ht="236.55" hidden="false" customHeight="false" outlineLevel="0" collapsed="false">
      <c r="A14" s="0" t="s">
        <v>26</v>
      </c>
      <c r="B14" s="0" t="s">
        <v>690</v>
      </c>
      <c r="C14" s="0" t="s">
        <v>180</v>
      </c>
      <c r="D14" s="0" t="s">
        <v>887</v>
      </c>
      <c r="E14" s="0" t="s">
        <v>888</v>
      </c>
      <c r="F14" s="0" t="s">
        <v>888</v>
      </c>
      <c r="H14" s="0" t="s">
        <v>181</v>
      </c>
      <c r="I14" s="12"/>
      <c r="J14" s="0" t="str">
        <f aca="false">IF($B14="NO","NA",IF(I14="","",MIN(I14,$B$6)))</f>
        <v/>
      </c>
      <c r="K14" s="10" t="s">
        <v>889</v>
      </c>
    </row>
    <row r="15" customFormat="false" ht="15" hidden="false" customHeight="false" outlineLevel="0" collapsed="false">
      <c r="A15" s="0" t="s">
        <v>32</v>
      </c>
      <c r="B15" s="0" t="s">
        <v>690</v>
      </c>
      <c r="I15" s="12"/>
      <c r="J15" s="0" t="str">
        <f aca="false">IF($B15="NO","NA",IF(I15="","",MIN(I15,$B$6)))</f>
        <v/>
      </c>
      <c r="K15" s="0" t="s">
        <v>890</v>
      </c>
    </row>
    <row r="16" customFormat="false" ht="202.95" hidden="false" customHeight="false" outlineLevel="0" collapsed="false">
      <c r="A16" s="0" t="s">
        <v>38</v>
      </c>
      <c r="B16" s="0" t="s">
        <v>690</v>
      </c>
      <c r="C16" s="0" t="s">
        <v>150</v>
      </c>
      <c r="D16" s="0" t="s">
        <v>891</v>
      </c>
      <c r="E16" s="0" t="s">
        <v>892</v>
      </c>
      <c r="G16" s="0" t="s">
        <v>893</v>
      </c>
      <c r="H16" s="0" t="s">
        <v>151</v>
      </c>
      <c r="I16" s="12" t="n">
        <v>0</v>
      </c>
      <c r="J16" s="0" t="n">
        <f aca="false">IF($B16="NO","NA",IF(I16="","",MIN(I16,$B$6)))</f>
        <v>0</v>
      </c>
      <c r="K16" s="10" t="s">
        <v>894</v>
      </c>
    </row>
    <row r="17" customFormat="false" ht="15" hidden="false" customHeight="false" outlineLevel="0" collapsed="false">
      <c r="A17" s="0" t="s">
        <v>43</v>
      </c>
      <c r="B17" s="0" t="s">
        <v>690</v>
      </c>
      <c r="I17" s="12"/>
      <c r="J17" s="0" t="str">
        <f aca="false">IF($B17="NO","NA",IF(I17="","",MIN(I17,$B$6)))</f>
        <v/>
      </c>
      <c r="K17" s="0" t="s">
        <v>895</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207</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5c</v>
      </c>
    </row>
    <row r="4" customFormat="false" ht="15" hidden="false" customHeight="false" outlineLevel="0" collapsed="false">
      <c r="A4" s="8" t="s">
        <v>428</v>
      </c>
      <c r="B4" s="3" t="str">
        <f aca="false">VLOOKUP($B$1,'PARASTATAL Questions'!$A:$J,4,0)&amp;""</f>
        <v>SQ</v>
      </c>
    </row>
    <row r="5" customFormat="false" ht="23.85" hidden="false" customHeight="false" outlineLevel="0" collapsed="false">
      <c r="A5" s="8" t="s">
        <v>0</v>
      </c>
      <c r="B5" s="3" t="str">
        <f aca="false">VLOOKUP($B$1,'PARASTATAL Questions'!$A:$J,5,0)&amp;""</f>
        <v>Annual report</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908.2" hidden="false" customHeight="false" outlineLevel="0" collapsed="false">
      <c r="A9" s="8" t="s">
        <v>464</v>
      </c>
      <c r="B9" s="3"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5.05" hidden="false" customHeight="false" outlineLevel="0" collapsed="false">
      <c r="A13" s="0" t="s">
        <v>17</v>
      </c>
      <c r="B13" s="0" t="s">
        <v>690</v>
      </c>
      <c r="C13" s="0" t="s">
        <v>209</v>
      </c>
      <c r="D13" s="0" t="s">
        <v>896</v>
      </c>
      <c r="E13" s="0" t="s">
        <v>897</v>
      </c>
      <c r="F13" s="0" t="s">
        <v>898</v>
      </c>
      <c r="H13" s="0" t="s">
        <v>210</v>
      </c>
      <c r="I13" s="12"/>
      <c r="J13" s="0" t="str">
        <f aca="false">IF($B13="NO","NA",IF(I13="","",MIN(I13,$B$6)))</f>
        <v/>
      </c>
      <c r="K13" s="10" t="s">
        <v>899</v>
      </c>
    </row>
    <row r="14" customFormat="false" ht="15" hidden="false" customHeight="false" outlineLevel="0" collapsed="false">
      <c r="A14" s="0" t="s">
        <v>26</v>
      </c>
      <c r="B14" s="0" t="s">
        <v>690</v>
      </c>
      <c r="I14" s="12"/>
      <c r="J14" s="0" t="str">
        <f aca="false">IF($B14="NO","NA",IF(I14="","",MIN(I14,$B$6)))</f>
        <v/>
      </c>
      <c r="K14" s="0" t="s">
        <v>900</v>
      </c>
    </row>
    <row r="15" customFormat="false" ht="15" hidden="false" customHeight="false" outlineLevel="0" collapsed="false">
      <c r="A15" s="0" t="s">
        <v>32</v>
      </c>
      <c r="B15" s="0" t="s">
        <v>690</v>
      </c>
      <c r="I15" s="12"/>
      <c r="J15" s="0" t="str">
        <f aca="false">IF($B15="NO","NA",IF(I15="","",MIN(I15,$B$6)))</f>
        <v/>
      </c>
      <c r="K15" s="0" t="s">
        <v>901</v>
      </c>
    </row>
    <row r="16" customFormat="false" ht="35.05" hidden="false" customHeight="false" outlineLevel="0" collapsed="false">
      <c r="A16" s="0" t="s">
        <v>38</v>
      </c>
      <c r="B16" s="0" t="s">
        <v>690</v>
      </c>
      <c r="C16" s="0" t="s">
        <v>150</v>
      </c>
      <c r="D16" s="0" t="s">
        <v>902</v>
      </c>
      <c r="E16" s="0" t="s">
        <v>903</v>
      </c>
      <c r="G16" s="0" t="s">
        <v>904</v>
      </c>
      <c r="H16" s="0" t="s">
        <v>151</v>
      </c>
      <c r="I16" s="12"/>
      <c r="J16" s="0" t="str">
        <f aca="false">IF($B16="NO","NA",IF(I16="","",MIN(I16,$B$6)))</f>
        <v/>
      </c>
      <c r="K16" s="10" t="s">
        <v>905</v>
      </c>
    </row>
    <row r="17" customFormat="false" ht="214.15" hidden="false" customHeight="false" outlineLevel="0" collapsed="false">
      <c r="A17" s="0" t="s">
        <v>43</v>
      </c>
      <c r="B17" s="0" t="s">
        <v>690</v>
      </c>
      <c r="C17" s="0" t="s">
        <v>155</v>
      </c>
      <c r="D17" s="0" t="s">
        <v>906</v>
      </c>
      <c r="E17" s="0" t="s">
        <v>907</v>
      </c>
      <c r="F17" s="0" t="s">
        <v>908</v>
      </c>
      <c r="G17" s="0" t="s">
        <v>715</v>
      </c>
      <c r="H17" s="0" t="s">
        <v>156</v>
      </c>
      <c r="I17" s="12"/>
      <c r="J17" s="0" t="str">
        <f aca="false">IF($B17="NO","NA",IF(I17="","",MIN(I17,$B$6)))</f>
        <v/>
      </c>
      <c r="K17" s="10" t="s">
        <v>909</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221</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d</v>
      </c>
    </row>
    <row r="4" customFormat="false" ht="15" hidden="false" customHeight="false" outlineLevel="0" collapsed="false">
      <c r="A4" s="8" t="s">
        <v>428</v>
      </c>
      <c r="B4" s="3" t="str">
        <f aca="false">VLOOKUP($B$1,'PARASTATAL Questions'!$A:$J,4,0)&amp;""</f>
        <v>SQ</v>
      </c>
    </row>
    <row r="5" customFormat="false" ht="46.25" hidden="false" customHeight="false" outlineLevel="0" collapsed="false">
      <c r="A5" s="8" t="s">
        <v>0</v>
      </c>
      <c r="B5" s="3" t="str">
        <f aca="false">VLOOKUP($B$1,'PARASTATAL Questions'!$A:$J,5,0)&amp;""</f>
        <v>Meeting minutes of governing board</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841" hidden="false" customHeight="false" outlineLevel="0" collapsed="false">
      <c r="A9" s="8" t="s">
        <v>464</v>
      </c>
      <c r="B9" s="3"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910</v>
      </c>
    </row>
    <row r="14" customFormat="false" ht="15" hidden="false" customHeight="false" outlineLevel="0" collapsed="false">
      <c r="A14" s="0" t="s">
        <v>26</v>
      </c>
      <c r="B14" s="0" t="s">
        <v>690</v>
      </c>
      <c r="I14" s="12"/>
      <c r="J14" s="0" t="str">
        <f aca="false">IF($B14="NO","NA",IF(I14="","",MIN(I14,$B$6)))</f>
        <v/>
      </c>
      <c r="K14" s="0" t="s">
        <v>911</v>
      </c>
    </row>
    <row r="15" customFormat="false" ht="15" hidden="false" customHeight="false" outlineLevel="0" collapsed="false">
      <c r="A15" s="0" t="s">
        <v>32</v>
      </c>
      <c r="B15" s="0" t="s">
        <v>690</v>
      </c>
      <c r="I15" s="12"/>
      <c r="J15" s="0" t="str">
        <f aca="false">IF($B15="NO","NA",IF(I15="","",MIN(I15,$B$6)))</f>
        <v/>
      </c>
      <c r="K15" s="0" t="s">
        <v>912</v>
      </c>
    </row>
    <row r="16" customFormat="false" ht="15" hidden="false" customHeight="false" outlineLevel="0" collapsed="false">
      <c r="A16" s="0" t="s">
        <v>38</v>
      </c>
      <c r="B16" s="0" t="s">
        <v>690</v>
      </c>
      <c r="I16" s="12"/>
      <c r="J16" s="0" t="str">
        <f aca="false">IF($B16="NO","NA",IF(I16="","",MIN(I16,$B$6)))</f>
        <v/>
      </c>
      <c r="K16" s="0" t="s">
        <v>913</v>
      </c>
    </row>
    <row r="17" customFormat="false" ht="15" hidden="false" customHeight="false" outlineLevel="0" collapsed="false">
      <c r="A17" s="0" t="s">
        <v>43</v>
      </c>
      <c r="B17" s="0" t="s">
        <v>690</v>
      </c>
      <c r="I17" s="12"/>
      <c r="J17" s="0" t="str">
        <f aca="false">IF($B17="NO","NA",IF(I17="","",MIN(I17,$B$6)))</f>
        <v/>
      </c>
      <c r="K17" s="0" t="s">
        <v>914</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227</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f</v>
      </c>
    </row>
    <row r="4" customFormat="false" ht="15" hidden="false" customHeight="false" outlineLevel="0" collapsed="false">
      <c r="A4" s="8" t="s">
        <v>428</v>
      </c>
      <c r="B4" s="3" t="str">
        <f aca="false">VLOOKUP($B$1,'PARASTATAL Questions'!$A:$J,4,0)&amp;""</f>
        <v>SQ</v>
      </c>
    </row>
    <row r="5" customFormat="false" ht="57.45" hidden="false" customHeight="false" outlineLevel="0" collapsed="false">
      <c r="A5" s="8" t="s">
        <v>0</v>
      </c>
      <c r="B5" s="3" t="str">
        <f aca="false">VLOOKUP($B$1,'PARASTATAL Questions'!$A:$J,5,0)&amp;""</f>
        <v>Organisation and staffing information</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1098.5" hidden="false" customHeight="false" outlineLevel="0" collapsed="false">
      <c r="A9" s="8" t="s">
        <v>464</v>
      </c>
      <c r="B9" s="3"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36.55" hidden="false" customHeight="false" outlineLevel="0" collapsed="false">
      <c r="A13" s="0" t="s">
        <v>17</v>
      </c>
      <c r="B13" s="0" t="s">
        <v>690</v>
      </c>
      <c r="C13" s="0" t="s">
        <v>229</v>
      </c>
      <c r="D13" s="0" t="s">
        <v>915</v>
      </c>
      <c r="E13" s="0" t="s">
        <v>916</v>
      </c>
      <c r="H13" s="0" t="s">
        <v>230</v>
      </c>
      <c r="I13" s="12"/>
      <c r="J13" s="0" t="str">
        <f aca="false">IF($B13="NO","NA",IF(I13="","",MIN(I13,$B$6)))</f>
        <v/>
      </c>
      <c r="K13" s="10" t="s">
        <v>917</v>
      </c>
    </row>
    <row r="14" customFormat="false" ht="202.95" hidden="false" customHeight="false" outlineLevel="0" collapsed="false">
      <c r="A14" s="0" t="s">
        <v>26</v>
      </c>
      <c r="B14" s="0" t="s">
        <v>690</v>
      </c>
      <c r="C14" s="0" t="s">
        <v>234</v>
      </c>
      <c r="E14" s="0" t="s">
        <v>918</v>
      </c>
      <c r="F14" s="0" t="s">
        <v>919</v>
      </c>
      <c r="H14" s="0" t="s">
        <v>235</v>
      </c>
      <c r="I14" s="12"/>
      <c r="J14" s="0" t="str">
        <f aca="false">IF($B14="NO","NA",IF(I14="","",MIN(I14,$B$6)))</f>
        <v/>
      </c>
      <c r="K14" s="10" t="s">
        <v>920</v>
      </c>
    </row>
    <row r="15" customFormat="false" ht="15" hidden="false" customHeight="false" outlineLevel="0" collapsed="false">
      <c r="A15" s="0" t="s">
        <v>32</v>
      </c>
      <c r="B15" s="0" t="s">
        <v>690</v>
      </c>
      <c r="I15" s="12"/>
      <c r="J15" s="0" t="str">
        <f aca="false">IF($B15="NO","NA",IF(I15="","",MIN(I15,$B$6)))</f>
        <v/>
      </c>
      <c r="K15" s="0" t="s">
        <v>921</v>
      </c>
    </row>
    <row r="16" customFormat="false" ht="15" hidden="false" customHeight="false" outlineLevel="0" collapsed="false">
      <c r="A16" s="0" t="s">
        <v>38</v>
      </c>
      <c r="B16" s="0" t="s">
        <v>690</v>
      </c>
      <c r="I16" s="12"/>
      <c r="J16" s="0" t="str">
        <f aca="false">IF($B16="NO","NA",IF(I16="","",MIN(I16,$B$6)))</f>
        <v/>
      </c>
      <c r="K16" s="0" t="s">
        <v>922</v>
      </c>
    </row>
    <row r="17" customFormat="false" ht="202.95" hidden="false" customHeight="false" outlineLevel="0" collapsed="false">
      <c r="A17" s="0" t="s">
        <v>43</v>
      </c>
      <c r="B17" s="0" t="s">
        <v>690</v>
      </c>
      <c r="C17" s="0" t="s">
        <v>241</v>
      </c>
      <c r="D17" s="0" t="s">
        <v>923</v>
      </c>
      <c r="E17" s="0" t="s">
        <v>924</v>
      </c>
      <c r="F17" s="0" t="s">
        <v>925</v>
      </c>
      <c r="H17" s="0" t="s">
        <v>242</v>
      </c>
      <c r="I17" s="12" t="n">
        <v>1</v>
      </c>
      <c r="J17" s="0" t="n">
        <f aca="false">IF($B17="NO","NA",IF(I17="","",MIN(I17,$B$6)))</f>
        <v>1</v>
      </c>
      <c r="K17" s="10" t="s">
        <v>926</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245</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DPG5g</v>
      </c>
    </row>
    <row r="4" customFormat="false" ht="15" hidden="false" customHeight="false" outlineLevel="0" collapsed="false">
      <c r="A4" s="8" t="s">
        <v>428</v>
      </c>
      <c r="B4" s="3" t="str">
        <f aca="false">VLOOKUP($B$1,'PARASTATAL Questions'!$A:$J,4,0)&amp;""</f>
        <v>SQ</v>
      </c>
    </row>
    <row r="5" customFormat="false" ht="35.05" hidden="false" customHeight="false" outlineLevel="0" collapsed="false">
      <c r="A5" s="8" t="s">
        <v>0</v>
      </c>
      <c r="B5" s="3" t="str">
        <f aca="false">VLOOKUP($B$1,'PARASTATAL Questions'!$A:$J,5,0)&amp;""</f>
        <v>Major plans / projects</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1233.55" hidden="false" customHeight="false" outlineLevel="0" collapsed="false">
      <c r="A9" s="8" t="s">
        <v>464</v>
      </c>
      <c r="B9" s="3"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5.05" hidden="false" customHeight="false" outlineLevel="0" collapsed="false">
      <c r="A13" s="0" t="s">
        <v>17</v>
      </c>
      <c r="B13" s="0" t="s">
        <v>690</v>
      </c>
      <c r="C13" s="0" t="s">
        <v>93</v>
      </c>
      <c r="D13" s="0" t="s">
        <v>927</v>
      </c>
      <c r="E13" s="0" t="s">
        <v>928</v>
      </c>
      <c r="F13" s="0" t="s">
        <v>929</v>
      </c>
      <c r="H13" s="0" t="s">
        <v>94</v>
      </c>
      <c r="I13" s="12"/>
      <c r="J13" s="0" t="str">
        <f aca="false">IF($B13="NO","NA",IF(I13="","",MIN(I13,$B$6)))</f>
        <v/>
      </c>
      <c r="K13" s="10" t="s">
        <v>930</v>
      </c>
    </row>
    <row r="14" customFormat="false" ht="15" hidden="false" customHeight="false" outlineLevel="0" collapsed="false">
      <c r="A14" s="0" t="s">
        <v>26</v>
      </c>
      <c r="B14" s="0" t="s">
        <v>690</v>
      </c>
      <c r="I14" s="12"/>
      <c r="J14" s="0" t="str">
        <f aca="false">IF($B14="NO","NA",IF(I14="","",MIN(I14,$B$6)))</f>
        <v/>
      </c>
      <c r="K14" s="0" t="s">
        <v>931</v>
      </c>
    </row>
    <row r="15" customFormat="false" ht="15" hidden="false" customHeight="false" outlineLevel="0" collapsed="false">
      <c r="A15" s="0" t="s">
        <v>32</v>
      </c>
      <c r="B15" s="0" t="s">
        <v>690</v>
      </c>
      <c r="I15" s="12"/>
      <c r="J15" s="0" t="str">
        <f aca="false">IF($B15="NO","NA",IF(I15="","",MIN(I15,$B$6)))</f>
        <v/>
      </c>
      <c r="K15" s="0" t="s">
        <v>932</v>
      </c>
    </row>
    <row r="16" customFormat="false" ht="15" hidden="false" customHeight="false" outlineLevel="0" collapsed="false">
      <c r="A16" s="0" t="s">
        <v>38</v>
      </c>
      <c r="B16" s="0" t="s">
        <v>690</v>
      </c>
      <c r="I16" s="12"/>
      <c r="J16" s="0" t="str">
        <f aca="false">IF($B16="NO","NA",IF(I16="","",MIN(I16,$B$6)))</f>
        <v/>
      </c>
      <c r="K16" s="0" t="s">
        <v>933</v>
      </c>
    </row>
    <row r="17" customFormat="false" ht="15" hidden="false" customHeight="false" outlineLevel="0" collapsed="false">
      <c r="A17" s="0" t="s">
        <v>43</v>
      </c>
      <c r="B17" s="0" t="s">
        <v>690</v>
      </c>
      <c r="C17" s="0" t="s">
        <v>934</v>
      </c>
      <c r="D17" s="0" t="s">
        <v>935</v>
      </c>
      <c r="E17" s="0" t="s">
        <v>936</v>
      </c>
      <c r="H17" s="0" t="s">
        <v>188</v>
      </c>
      <c r="I17" s="12"/>
      <c r="J17" s="0" t="str">
        <f aca="false">IF($B17="NO","NA",IF(I17="","",MIN(I17,$B$6)))</f>
        <v/>
      </c>
      <c r="K17" s="0" t="s">
        <v>937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253</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h</v>
      </c>
    </row>
    <row r="4" customFormat="false" ht="15" hidden="false" customHeight="false" outlineLevel="0" collapsed="false">
      <c r="A4" s="8" t="s">
        <v>428</v>
      </c>
      <c r="B4" s="3" t="str">
        <f aca="false">VLOOKUP($B$1,'PARASTATAL Questions'!$A:$J,4,0)&amp;""</f>
        <v>SQ</v>
      </c>
    </row>
    <row r="5" customFormat="false" ht="68.65" hidden="false" customHeight="false" outlineLevel="0" collapsed="false">
      <c r="A5" s="8" t="s">
        <v>0</v>
      </c>
      <c r="B5" s="3" t="str">
        <f aca="false">VLOOKUP($B$1,'PARASTATAL Questions'!$A:$J,5,0)&amp;""</f>
        <v>Service-level benchmarks and performance reports</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986.55" hidden="false" customHeight="false" outlineLevel="0" collapsed="false">
      <c r="A9" s="8" t="s">
        <v>464</v>
      </c>
      <c r="B9" s="3"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938</v>
      </c>
    </row>
    <row r="14" customFormat="false" ht="202.95" hidden="false" customHeight="false" outlineLevel="0" collapsed="false">
      <c r="A14" s="0" t="s">
        <v>26</v>
      </c>
      <c r="B14" s="0" t="s">
        <v>690</v>
      </c>
      <c r="C14" s="0" t="s">
        <v>256</v>
      </c>
      <c r="D14" s="0" t="s">
        <v>939</v>
      </c>
      <c r="E14" s="0" t="s">
        <v>940</v>
      </c>
      <c r="F14" s="0" t="s">
        <v>941</v>
      </c>
      <c r="H14" s="0" t="s">
        <v>257</v>
      </c>
      <c r="I14" s="12"/>
      <c r="J14" s="0" t="str">
        <f aca="false">IF($B14="NO","NA",IF(I14="","",MIN(I14,$B$6)))</f>
        <v/>
      </c>
      <c r="K14" s="10" t="s">
        <v>942</v>
      </c>
    </row>
    <row r="15" customFormat="false" ht="15" hidden="false" customHeight="false" outlineLevel="0" collapsed="false">
      <c r="A15" s="0" t="s">
        <v>32</v>
      </c>
      <c r="B15" s="0" t="s">
        <v>690</v>
      </c>
      <c r="I15" s="12"/>
      <c r="J15" s="0" t="str">
        <f aca="false">IF($B15="NO","NA",IF(I15="","",MIN(I15,$B$6)))</f>
        <v/>
      </c>
      <c r="K15" s="0" t="s">
        <v>943</v>
      </c>
    </row>
    <row r="16" customFormat="false" ht="15" hidden="false" customHeight="false" outlineLevel="0" collapsed="false">
      <c r="A16" s="0" t="s">
        <v>38</v>
      </c>
      <c r="B16" s="0" t="s">
        <v>690</v>
      </c>
      <c r="I16" s="12"/>
      <c r="J16" s="0" t="str">
        <f aca="false">IF($B16="NO","NA",IF(I16="","",MIN(I16,$B$6)))</f>
        <v/>
      </c>
      <c r="K16" s="0" t="s">
        <v>944</v>
      </c>
    </row>
    <row r="17" customFormat="false" ht="15" hidden="false" customHeight="false" outlineLevel="0" collapsed="false">
      <c r="A17" s="0" t="s">
        <v>43</v>
      </c>
      <c r="B17" s="0" t="s">
        <v>690</v>
      </c>
      <c r="C17" s="0" t="s">
        <v>934</v>
      </c>
      <c r="D17" s="0" t="s">
        <v>945</v>
      </c>
      <c r="E17" s="0" t="s">
        <v>946</v>
      </c>
      <c r="F17" s="0" t="s">
        <v>947</v>
      </c>
      <c r="H17" s="0" t="s">
        <v>188</v>
      </c>
      <c r="I17" s="12" t="n">
        <v>0</v>
      </c>
      <c r="J17" s="0" t="n">
        <f aca="false">IF($B17="NO","NA",IF(I17="","",MIN(I17,$B$6)))</f>
        <v>0</v>
      </c>
      <c r="K17" s="0" t="s">
        <v>948</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265</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DPG5i</v>
      </c>
    </row>
    <row r="4" customFormat="false" ht="15" hidden="false" customHeight="false" outlineLevel="0" collapsed="false">
      <c r="A4" s="8" t="s">
        <v>428</v>
      </c>
      <c r="B4" s="3" t="str">
        <f aca="false">VLOOKUP($B$1,'PARASTATAL Questions'!$A:$J,4,0)&amp;""</f>
        <v>SQ</v>
      </c>
    </row>
    <row r="5" customFormat="false" ht="35.05" hidden="false" customHeight="false" outlineLevel="0" collapsed="false">
      <c r="A5" s="8" t="s">
        <v>0</v>
      </c>
      <c r="B5" s="3" t="str">
        <f aca="false">VLOOKUP($B$1,'PARASTATAL Questions'!$A:$J,5,0)&amp;""</f>
        <v>Citizen / Service Charter</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885.8" hidden="false" customHeight="false" outlineLevel="0" collapsed="false">
      <c r="A9" s="8" t="s">
        <v>464</v>
      </c>
      <c r="B9" s="3"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5.05" hidden="false" customHeight="false" outlineLevel="0" collapsed="false">
      <c r="A13" s="0" t="s">
        <v>17</v>
      </c>
      <c r="B13" s="0" t="s">
        <v>690</v>
      </c>
      <c r="C13" s="0" t="s">
        <v>73</v>
      </c>
      <c r="D13" s="0" t="s">
        <v>949</v>
      </c>
      <c r="E13" s="0" t="s">
        <v>950</v>
      </c>
      <c r="F13" s="0" t="s">
        <v>951</v>
      </c>
      <c r="H13" s="0" t="s">
        <v>74</v>
      </c>
      <c r="I13" s="12"/>
      <c r="J13" s="0" t="str">
        <f aca="false">IF($B13="NO","NA",IF(I13="","",MIN(I13,$B$6)))</f>
        <v/>
      </c>
      <c r="K13" s="10" t="s">
        <v>952</v>
      </c>
    </row>
    <row r="14" customFormat="false" ht="15" hidden="false" customHeight="false" outlineLevel="0" collapsed="false">
      <c r="A14" s="0" t="s">
        <v>26</v>
      </c>
      <c r="B14" s="0" t="s">
        <v>690</v>
      </c>
      <c r="I14" s="12"/>
      <c r="J14" s="0" t="str">
        <f aca="false">IF($B14="NO","NA",IF(I14="","",MIN(I14,$B$6)))</f>
        <v/>
      </c>
      <c r="K14" s="0" t="s">
        <v>953</v>
      </c>
    </row>
    <row r="15" customFormat="false" ht="15" hidden="false" customHeight="false" outlineLevel="0" collapsed="false">
      <c r="A15" s="0" t="s">
        <v>32</v>
      </c>
      <c r="B15" s="0" t="s">
        <v>690</v>
      </c>
      <c r="I15" s="12"/>
      <c r="J15" s="0" t="str">
        <f aca="false">IF($B15="NO","NA",IF(I15="","",MIN(I15,$B$6)))</f>
        <v/>
      </c>
      <c r="K15" s="0" t="s">
        <v>954</v>
      </c>
    </row>
    <row r="16" customFormat="false" ht="15" hidden="false" customHeight="false" outlineLevel="0" collapsed="false">
      <c r="A16" s="0" t="s">
        <v>38</v>
      </c>
      <c r="B16" s="0" t="s">
        <v>690</v>
      </c>
      <c r="I16" s="12"/>
      <c r="J16" s="0" t="str">
        <f aca="false">IF($B16="NO","NA",IF(I16="","",MIN(I16,$B$6)))</f>
        <v/>
      </c>
      <c r="K16" s="0" t="s">
        <v>955</v>
      </c>
    </row>
    <row r="17" customFormat="false" ht="38.8" hidden="false" customHeight="false" outlineLevel="0" collapsed="false">
      <c r="A17" s="0" t="s">
        <v>43</v>
      </c>
      <c r="B17" s="0" t="s">
        <v>690</v>
      </c>
      <c r="C17" s="0" t="s">
        <v>187</v>
      </c>
      <c r="D17" s="0" t="s">
        <v>956</v>
      </c>
      <c r="E17" s="0" t="s">
        <v>957</v>
      </c>
      <c r="F17" s="0" t="s">
        <v>958</v>
      </c>
      <c r="H17" s="0" t="s">
        <v>188</v>
      </c>
      <c r="I17" s="12"/>
      <c r="J17" s="0" t="str">
        <f aca="false">IF($B17="NO","NA",IF(I17="","",MIN(I17,$B$6)))</f>
        <v/>
      </c>
      <c r="K17" s="10" t="s">
        <v>959</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275</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DPG5j</v>
      </c>
    </row>
    <row r="4" customFormat="false" ht="15" hidden="false" customHeight="false" outlineLevel="0" collapsed="false">
      <c r="A4" s="8" t="s">
        <v>428</v>
      </c>
      <c r="B4" s="3" t="str">
        <f aca="false">VLOOKUP($B$1,'PARASTATAL Questions'!$A:$J,4,0)&amp;""</f>
        <v>SQ</v>
      </c>
    </row>
    <row r="5" customFormat="false" ht="91" hidden="false" customHeight="false" outlineLevel="0" collapsed="false">
      <c r="A5" s="8" t="s">
        <v>0</v>
      </c>
      <c r="B5" s="3" t="str">
        <f aca="false">VLOOKUP($B$1,'PARASTATAL Questions'!$A:$J,5,0)&amp;""</f>
        <v>RTI details and designated Public Information Officer contact/procedure</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975.35" hidden="false" customHeight="false" outlineLevel="0" collapsed="false">
      <c r="A9" s="8" t="s">
        <v>464</v>
      </c>
      <c r="B9" s="3"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37.3" hidden="false" customHeight="false" outlineLevel="0" collapsed="false">
      <c r="A13" s="0" t="s">
        <v>17</v>
      </c>
      <c r="B13" s="0" t="s">
        <v>690</v>
      </c>
      <c r="C13" s="0" t="s">
        <v>209</v>
      </c>
      <c r="D13" s="0" t="s">
        <v>960</v>
      </c>
      <c r="E13" s="0" t="s">
        <v>961</v>
      </c>
      <c r="F13" s="0" t="s">
        <v>962</v>
      </c>
      <c r="H13" s="0" t="s">
        <v>210</v>
      </c>
      <c r="I13" s="12"/>
      <c r="J13" s="0" t="str">
        <f aca="false">IF($B13="NO","NA",IF(I13="","",MIN(I13,$B$6)))</f>
        <v/>
      </c>
      <c r="K13" s="10" t="s">
        <v>963</v>
      </c>
    </row>
    <row r="14" customFormat="false" ht="15" hidden="false" customHeight="false" outlineLevel="0" collapsed="false">
      <c r="A14" s="0" t="s">
        <v>26</v>
      </c>
      <c r="B14" s="0" t="s">
        <v>690</v>
      </c>
      <c r="I14" s="12"/>
      <c r="J14" s="0" t="str">
        <f aca="false">IF($B14="NO","NA",IF(I14="","",MIN(I14,$B$6)))</f>
        <v/>
      </c>
      <c r="K14" s="0" t="s">
        <v>964</v>
      </c>
    </row>
    <row r="15" customFormat="false" ht="15" hidden="false" customHeight="false" outlineLevel="0" collapsed="false">
      <c r="A15" s="0" t="s">
        <v>32</v>
      </c>
      <c r="B15" s="0" t="s">
        <v>690</v>
      </c>
      <c r="I15" s="12"/>
      <c r="J15" s="0" t="str">
        <f aca="false">IF($B15="NO","NA",IF(I15="","",MIN(I15,$B$6)))</f>
        <v/>
      </c>
      <c r="K15" s="0" t="s">
        <v>965</v>
      </c>
    </row>
    <row r="16" customFormat="false" ht="15" hidden="false" customHeight="false" outlineLevel="0" collapsed="false">
      <c r="A16" s="0" t="s">
        <v>38</v>
      </c>
      <c r="B16" s="0" t="s">
        <v>690</v>
      </c>
      <c r="I16" s="12"/>
      <c r="J16" s="0" t="str">
        <f aca="false">IF($B16="NO","NA",IF(I16="","",MIN(I16,$B$6)))</f>
        <v/>
      </c>
      <c r="K16" s="0" t="s">
        <v>966</v>
      </c>
    </row>
    <row r="17" customFormat="false" ht="169.4" hidden="false" customHeight="false" outlineLevel="0" collapsed="false">
      <c r="A17" s="0" t="s">
        <v>43</v>
      </c>
      <c r="B17" s="0" t="s">
        <v>690</v>
      </c>
      <c r="C17" s="0" t="s">
        <v>155</v>
      </c>
      <c r="D17" s="0" t="s">
        <v>967</v>
      </c>
      <c r="E17" s="0" t="s">
        <v>968</v>
      </c>
      <c r="F17" s="0" t="s">
        <v>969</v>
      </c>
      <c r="G17" s="0" t="s">
        <v>797</v>
      </c>
      <c r="H17" s="0" t="s">
        <v>156</v>
      </c>
      <c r="I17" s="12"/>
      <c r="J17" s="0" t="str">
        <f aca="false">IF($B17="NO","NA",IF(I17="","",MIN(I17,$B$6)))</f>
        <v/>
      </c>
      <c r="K17" s="10" t="s">
        <v>970</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286</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DPG5k</v>
      </c>
    </row>
    <row r="4" customFormat="false" ht="15" hidden="false" customHeight="false" outlineLevel="0" collapsed="false">
      <c r="A4" s="8" t="s">
        <v>428</v>
      </c>
      <c r="B4" s="3" t="str">
        <f aca="false">VLOOKUP($B$1,'PARASTATAL Questions'!$A:$J,4,0)&amp;""</f>
        <v>SQ</v>
      </c>
    </row>
    <row r="5" customFormat="false" ht="79.85" hidden="false" customHeight="false" outlineLevel="0" collapsed="false">
      <c r="A5" s="8" t="s">
        <v>0</v>
      </c>
      <c r="B5" s="3" t="str">
        <f aca="false">VLOOKUP($B$1,'PARASTATAL Questions'!$A:$J,5,0)&amp;""</f>
        <v>Procurement / tender notices and awarded-contract details</v>
      </c>
    </row>
    <row r="6" customFormat="false" ht="15" hidden="false" customHeight="false" outlineLevel="0" collapsed="false">
      <c r="A6" s="8" t="s">
        <v>430</v>
      </c>
      <c r="B6" s="3" t="n">
        <f aca="false">VLOOKUP($B$1,'PARASTATAL Questions'!$A:$J,6,0)</f>
        <v>1</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1008.95" hidden="false" customHeight="false" outlineLevel="0" collapsed="false">
      <c r="A9" s="8" t="s">
        <v>464</v>
      </c>
      <c r="B9" s="3"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2" hidden="false" customHeight="false" outlineLevel="0" collapsed="false">
      <c r="A10" s="8" t="s">
        <v>465</v>
      </c>
      <c r="B10" s="3" t="str">
        <f aca="false">VLOOKUP($B$1,'PARASTATAL Questions'!$A:$J,10,0)&amp;""</f>
        <v>Website screenshots/archived URLs with date of access, for each document type</v>
      </c>
    </row>
    <row r="11" customFormat="false" ht="15" hidden="false" customHeight="false" outlineLevel="0" collapsed="false">
      <c r="B11" s="11" t="s">
        <v>678</v>
      </c>
      <c r="I11" s="11" t="s">
        <v>880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5.05" hidden="false" customHeight="false" outlineLevel="0" collapsed="false">
      <c r="A13" s="0" t="s">
        <v>17</v>
      </c>
      <c r="B13" s="0" t="s">
        <v>690</v>
      </c>
      <c r="C13" s="0" t="s">
        <v>288</v>
      </c>
      <c r="E13" s="0" t="s">
        <v>971</v>
      </c>
      <c r="F13" s="0" t="s">
        <v>972</v>
      </c>
      <c r="H13" s="0" t="s">
        <v>289</v>
      </c>
      <c r="I13" s="12"/>
      <c r="J13" s="0" t="str">
        <f aca="false">IF($B13="NO","NA",IF(I13="","",MIN(I13,$B$6)))</f>
        <v/>
      </c>
      <c r="K13" s="10" t="s">
        <v>973</v>
      </c>
    </row>
    <row r="14" customFormat="false" ht="225.35" hidden="false" customHeight="false" outlineLevel="0" collapsed="false">
      <c r="A14" s="0" t="s">
        <v>26</v>
      </c>
      <c r="B14" s="0" t="s">
        <v>690</v>
      </c>
      <c r="C14" s="0" t="s">
        <v>293</v>
      </c>
      <c r="D14" s="0" t="s">
        <v>974</v>
      </c>
      <c r="E14" s="0" t="s">
        <v>975</v>
      </c>
      <c r="F14" s="0" t="s">
        <v>976</v>
      </c>
      <c r="H14" s="0" t="s">
        <v>294</v>
      </c>
      <c r="I14" s="12"/>
      <c r="J14" s="0" t="str">
        <f aca="false">IF($B14="NO","NA",IF(I14="","",MIN(I14,$B$6)))</f>
        <v/>
      </c>
      <c r="K14" s="10" t="s">
        <v>977</v>
      </c>
    </row>
    <row r="15" customFormat="false" ht="15" hidden="false" customHeight="false" outlineLevel="0" collapsed="false">
      <c r="A15" s="0" t="s">
        <v>32</v>
      </c>
      <c r="B15" s="0" t="s">
        <v>690</v>
      </c>
      <c r="I15" s="12"/>
      <c r="J15" s="0" t="str">
        <f aca="false">IF($B15="NO","NA",IF(I15="","",MIN(I15,$B$6)))</f>
        <v/>
      </c>
      <c r="K15" s="0" t="s">
        <v>978</v>
      </c>
    </row>
    <row r="16" customFormat="false" ht="15" hidden="false" customHeight="false" outlineLevel="0" collapsed="false">
      <c r="A16" s="0" t="s">
        <v>38</v>
      </c>
      <c r="B16" s="0" t="s">
        <v>690</v>
      </c>
      <c r="I16" s="12"/>
      <c r="J16" s="0" t="str">
        <f aca="false">IF($B16="NO","NA",IF(I16="","",MIN(I16,$B$6)))</f>
        <v/>
      </c>
      <c r="K16" s="0" t="s">
        <v>979</v>
      </c>
    </row>
    <row r="17" customFormat="false" ht="15" hidden="false" customHeight="false" outlineLevel="0" collapsed="false">
      <c r="A17" s="0" t="s">
        <v>43</v>
      </c>
      <c r="B17" s="0" t="s">
        <v>690</v>
      </c>
      <c r="I17" s="12"/>
      <c r="J17" s="0" t="str">
        <f aca="false">IF($B17="NO","NA",IF(I17="","",MIN(I17,$B$6)))</f>
        <v/>
      </c>
      <c r="K17" s="0" t="s">
        <v>980</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300</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6a</v>
      </c>
    </row>
    <row r="4" customFormat="false" ht="15" hidden="false" customHeight="false" outlineLevel="0" collapsed="false">
      <c r="A4" s="8" t="s">
        <v>428</v>
      </c>
      <c r="B4" s="3" t="str">
        <f aca="false">VLOOKUP($B$1,'PARASTATAL Questions'!$A:$J,4,0)&amp;""</f>
        <v>SQ</v>
      </c>
    </row>
    <row r="5" customFormat="false" ht="102.2" hidden="false" customHeight="false" outlineLevel="0" collapsed="false">
      <c r="A5" s="8" t="s">
        <v>0</v>
      </c>
      <c r="B5" s="3" t="str">
        <f aca="false">VLOOKUP($B$1,'PARASTATAL Questions'!$A:$J,5,0)&amp;""</f>
        <v>Is the parastatal mandated to provide a grievance-redressal mechanism?</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15" hidden="false" customHeight="false" outlineLevel="0" collapsed="false">
      <c r="A8" s="8" t="s">
        <v>463</v>
      </c>
      <c r="B8" s="3" t="str">
        <f aca="false">VLOOKUP($B$1,'PARASTATAL Questions'!$A:$J,8,0)&amp;""</f>
        <v>Common.</v>
      </c>
    </row>
    <row r="9" customFormat="false" ht="214.15" hidden="false" customHeight="false" outlineLevel="0" collapsed="false">
      <c r="A9" s="8" t="s">
        <v>464</v>
      </c>
      <c r="B9" s="3" t="str">
        <f aca="false">VLOOKUP($B$1,'PARASTATAL Questions'!$A:$J,9,0)&amp;""</f>
        <v>Score 5 if  the Parastatal Act/ corresponding subordinate legislation/ citizen or service charter requires a grievance-redressal mechanism (any channel); 0 if not.</v>
      </c>
    </row>
    <row r="10" customFormat="false" ht="113.4" hidden="false" customHeight="false" outlineLevel="0" collapsed="false">
      <c r="A10" s="8" t="s">
        <v>465</v>
      </c>
      <c r="B10" s="3" t="str">
        <f aca="false">VLOOKUP($B$1,'PARASTATAL Questions'!$A:$J,10,0)&amp;""</f>
        <v>Parastatal Act/ corresponding subordinate legislation/ citizen or service charter</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47" hidden="false" customHeight="false" outlineLevel="0" collapsed="false">
      <c r="A13" s="0" t="s">
        <v>17</v>
      </c>
      <c r="B13" s="0" t="s">
        <v>690</v>
      </c>
      <c r="C13" s="0" t="s">
        <v>21</v>
      </c>
      <c r="D13" s="0" t="s">
        <v>981</v>
      </c>
      <c r="E13" s="0" t="s">
        <v>982</v>
      </c>
      <c r="F13" s="0" t="s">
        <v>983</v>
      </c>
      <c r="G13" s="0" t="s">
        <v>984</v>
      </c>
      <c r="H13" s="0" t="s">
        <v>22</v>
      </c>
      <c r="I13" s="12" t="n">
        <v>5</v>
      </c>
      <c r="J13" s="0" t="n">
        <f aca="false">IF($B13="NO","NA",IF(I13="","",MIN(I13,$B$6)))</f>
        <v>5</v>
      </c>
      <c r="K13" s="10" t="s">
        <v>985</v>
      </c>
    </row>
    <row r="14" customFormat="false" ht="15" hidden="false" customHeight="false" outlineLevel="0" collapsed="false">
      <c r="A14" s="0" t="s">
        <v>26</v>
      </c>
      <c r="B14" s="0" t="s">
        <v>690</v>
      </c>
      <c r="I14" s="12"/>
      <c r="J14" s="0" t="str">
        <f aca="false">IF($B14="NO","NA",IF(I14="","",MIN(I14,$B$6)))</f>
        <v/>
      </c>
      <c r="K14" s="0" t="s">
        <v>986</v>
      </c>
    </row>
    <row r="15" customFormat="false" ht="258.95" hidden="false" customHeight="false" outlineLevel="0" collapsed="false">
      <c r="A15" s="0" t="s">
        <v>32</v>
      </c>
      <c r="B15" s="0" t="s">
        <v>690</v>
      </c>
      <c r="C15" s="0" t="s">
        <v>34</v>
      </c>
      <c r="D15" s="0" t="s">
        <v>987</v>
      </c>
      <c r="E15" s="0" t="s">
        <v>988</v>
      </c>
      <c r="F15" s="0" t="s">
        <v>989</v>
      </c>
      <c r="G15" s="0" t="s">
        <v>990</v>
      </c>
      <c r="H15" s="0" t="s">
        <v>35</v>
      </c>
      <c r="I15" s="12" t="n">
        <v>0</v>
      </c>
      <c r="J15" s="0" t="n">
        <f aca="false">IF($B15="NO","NA",IF(I15="","",MIN(I15,$B$6)))</f>
        <v>0</v>
      </c>
      <c r="K15" s="10" t="s">
        <v>991</v>
      </c>
    </row>
    <row r="16" customFormat="false" ht="15" hidden="false" customHeight="false" outlineLevel="0" collapsed="false">
      <c r="A16" s="0" t="s">
        <v>38</v>
      </c>
      <c r="B16" s="0" t="s">
        <v>690</v>
      </c>
      <c r="I16" s="12"/>
      <c r="J16" s="0" t="str">
        <f aca="false">IF($B16="NO","NA",IF(I16="","",MIN(I16,$B$6)))</f>
        <v/>
      </c>
      <c r="K16" s="0" t="s">
        <v>992</v>
      </c>
    </row>
    <row r="17" customFormat="false" ht="15" hidden="false" customHeight="false" outlineLevel="0" collapsed="false">
      <c r="A17" s="0" t="s">
        <v>43</v>
      </c>
      <c r="B17" s="0" t="s">
        <v>690</v>
      </c>
      <c r="C17" s="0" t="s">
        <v>711</v>
      </c>
      <c r="D17" s="0" t="s">
        <v>993</v>
      </c>
      <c r="E17" s="0" t="s">
        <v>994</v>
      </c>
      <c r="F17" s="0" t="s">
        <v>995</v>
      </c>
      <c r="G17" s="0" t="s">
        <v>996</v>
      </c>
      <c r="H17" s="0" t="s">
        <v>716</v>
      </c>
      <c r="I17" s="12"/>
      <c r="J17" s="0" t="str">
        <f aca="false">IF($B17="NO","NA",IF(I17="","",MIN(I17,$B$6)))</f>
        <v/>
      </c>
      <c r="K17" s="0" t="s">
        <v>997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310</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6b</v>
      </c>
    </row>
    <row r="4" customFormat="false" ht="15" hidden="false" customHeight="false" outlineLevel="0" collapsed="false">
      <c r="A4" s="8" t="s">
        <v>428</v>
      </c>
      <c r="B4" s="3" t="str">
        <f aca="false">VLOOKUP($B$1,'PARASTATAL Questions'!$A:$J,4,0)&amp;""</f>
        <v>SQ</v>
      </c>
    </row>
    <row r="5" customFormat="false" ht="113.4" hidden="false" customHeight="false" outlineLevel="0" collapsed="false">
      <c r="A5" s="8" t="s">
        <v>0</v>
      </c>
      <c r="B5" s="3" t="str">
        <f aca="false">VLOOKUP($B$1,'PARASTATAL Questions'!$A:$J,5,0)&amp;""</f>
        <v>Are accessible grievance-redressal channels available and functional in practice?</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2397.75" hidden="false" customHeight="false" outlineLevel="0" collapsed="false">
      <c r="A9" s="8" t="s">
        <v>464</v>
      </c>
      <c r="B9" s="3"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8" hidden="false" customHeight="false" outlineLevel="0" collapsed="false">
      <c r="A10" s="8" t="s">
        <v>465</v>
      </c>
      <c r="B10" s="3" t="str">
        <f aca="false">VLOOKUP($B$1,'PARASTATAL Questions'!$A:$J,10,0)&amp;""</f>
        <v>Relevant parastatal's official website Detailed evidence information provided in the methodology column (I 33)</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8.8" hidden="false" customHeight="false" outlineLevel="0" collapsed="false">
      <c r="A13" s="0" t="s">
        <v>17</v>
      </c>
      <c r="B13" s="0" t="s">
        <v>690</v>
      </c>
      <c r="C13" s="0" t="s">
        <v>288</v>
      </c>
      <c r="D13" s="0" t="s">
        <v>312</v>
      </c>
      <c r="E13" s="0" t="s">
        <v>998</v>
      </c>
      <c r="F13" s="0" t="s">
        <v>999</v>
      </c>
      <c r="H13" s="0" t="s">
        <v>289</v>
      </c>
      <c r="I13" s="12"/>
      <c r="J13" s="0" t="str">
        <f aca="false">IF($B13="NO","NA",IF(I13="","",MIN(I13,$B$6)))</f>
        <v/>
      </c>
      <c r="K13" s="10" t="s">
        <v>1000</v>
      </c>
    </row>
    <row r="14" customFormat="false" ht="303.7" hidden="false" customHeight="false" outlineLevel="0" collapsed="false">
      <c r="A14" s="0" t="s">
        <v>26</v>
      </c>
      <c r="B14" s="0" t="s">
        <v>690</v>
      </c>
      <c r="C14" s="0" t="s">
        <v>180</v>
      </c>
      <c r="D14" s="0" t="s">
        <v>1001</v>
      </c>
      <c r="E14" s="0" t="s">
        <v>1002</v>
      </c>
      <c r="H14" s="0" t="s">
        <v>181</v>
      </c>
      <c r="I14" s="12"/>
      <c r="J14" s="0" t="str">
        <f aca="false">IF($B14="NO","NA",IF(I14="","",MIN(I14,$B$6)))</f>
        <v/>
      </c>
      <c r="K14" s="10" t="s">
        <v>1003</v>
      </c>
    </row>
    <row r="15" customFormat="false" ht="15" hidden="false" customHeight="false" outlineLevel="0" collapsed="false">
      <c r="A15" s="0" t="s">
        <v>32</v>
      </c>
      <c r="B15" s="0" t="s">
        <v>690</v>
      </c>
      <c r="I15" s="12"/>
      <c r="J15" s="0" t="str">
        <f aca="false">IF($B15="NO","NA",IF(I15="","",MIN(I15,$B$6)))</f>
        <v/>
      </c>
      <c r="K15" s="0" t="s">
        <v>1004</v>
      </c>
    </row>
    <row r="16" customFormat="false" ht="15" hidden="false" customHeight="false" outlineLevel="0" collapsed="false">
      <c r="A16" s="0" t="s">
        <v>38</v>
      </c>
      <c r="B16" s="0" t="s">
        <v>690</v>
      </c>
      <c r="I16" s="12"/>
      <c r="J16" s="0" t="str">
        <f aca="false">IF($B16="NO","NA",IF(I16="","",MIN(I16,$B$6)))</f>
        <v/>
      </c>
      <c r="K16" s="0" t="s">
        <v>1005</v>
      </c>
    </row>
    <row r="17" customFormat="false" ht="262.65" hidden="false" customHeight="false" outlineLevel="0" collapsed="false">
      <c r="A17" s="0" t="s">
        <v>43</v>
      </c>
      <c r="B17" s="0" t="s">
        <v>690</v>
      </c>
      <c r="C17" s="0" t="s">
        <v>155</v>
      </c>
      <c r="D17" s="0" t="s">
        <v>1006</v>
      </c>
      <c r="E17" s="0" t="s">
        <v>1007</v>
      </c>
      <c r="G17" s="0" t="s">
        <v>699</v>
      </c>
      <c r="H17" s="0" t="s">
        <v>156</v>
      </c>
      <c r="I17" s="12"/>
      <c r="J17" s="0" t="str">
        <f aca="false">IF($B17="NO","NA",IF(I17="","",MIN(I17,$B$6)))</f>
        <v/>
      </c>
      <c r="K17" s="10" t="s">
        <v>1008</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322</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7a</v>
      </c>
    </row>
    <row r="4" customFormat="false" ht="15" hidden="false" customHeight="false" outlineLevel="0" collapsed="false">
      <c r="A4" s="8" t="s">
        <v>428</v>
      </c>
      <c r="B4" s="3" t="str">
        <f aca="false">VLOOKUP($B$1,'PARASTATAL Questions'!$A:$J,4,0)&amp;""</f>
        <v>SQ</v>
      </c>
    </row>
    <row r="5" customFormat="false" ht="102.2" hidden="false" customHeight="false" outlineLevel="0" collapsed="false">
      <c r="A5" s="8" t="s">
        <v>0</v>
      </c>
      <c r="B5" s="3" t="str">
        <f aca="false">VLOOKUP($B$1,'PARASTATAL Questions'!$A:$J,5,0)&amp;""</f>
        <v>Is citizen participation in the preparation of the parastatal's plans mandated?</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68.65" hidden="false" customHeight="false" outlineLevel="0" collapsed="false">
      <c r="A8" s="8" t="s">
        <v>463</v>
      </c>
      <c r="B8" s="3" t="str">
        <f aca="false">VLOOKUP($B$1,'PARASTATAL Questions'!$A:$J,8,0)&amp;""</f>
        <v>All parastatals excluding Development Authorities</v>
      </c>
    </row>
    <row r="9" customFormat="false" ht="1031.3" hidden="false" customHeight="false" outlineLevel="0" collapsed="false">
      <c r="A9" s="8" t="s">
        <v>464</v>
      </c>
      <c r="B9" s="3"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1" hidden="false" customHeight="false" outlineLevel="0" collapsed="false">
      <c r="A10" s="8" t="s">
        <v>465</v>
      </c>
      <c r="B10" s="3" t="str">
        <f aca="false">VLOOKUP($B$1,'PARASTATAL Questions'!$A:$J,10,0)&amp;""</f>
        <v>Parastatal Act and rules; applicable T&amp;CP Act; State Municipal Act.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82.05" hidden="false" customHeight="false" outlineLevel="0" collapsed="false">
      <c r="A13" s="0" t="s">
        <v>17</v>
      </c>
      <c r="B13" s="0" t="s">
        <v>690</v>
      </c>
      <c r="C13" s="0" t="s">
        <v>21</v>
      </c>
      <c r="D13" s="0" t="s">
        <v>1009</v>
      </c>
      <c r="E13" s="0" t="s">
        <v>1010</v>
      </c>
      <c r="F13" s="0" t="s">
        <v>1011</v>
      </c>
      <c r="G13" s="0" t="s">
        <v>709</v>
      </c>
      <c r="H13" s="0" t="s">
        <v>22</v>
      </c>
      <c r="I13" s="12" t="n">
        <v>0</v>
      </c>
      <c r="J13" s="0" t="n">
        <f aca="false">IF($B13="NO","NA",IF(I13="","",MIN(I13,$B$6)))</f>
        <v>0</v>
      </c>
      <c r="K13" s="10" t="s">
        <v>1012</v>
      </c>
    </row>
    <row r="14" customFormat="false" ht="191.75" hidden="false" customHeight="false" outlineLevel="0" collapsed="false">
      <c r="A14" s="0" t="s">
        <v>26</v>
      </c>
      <c r="B14" s="0" t="s">
        <v>690</v>
      </c>
      <c r="C14" s="0" t="s">
        <v>61</v>
      </c>
      <c r="D14" s="0" t="s">
        <v>1013</v>
      </c>
      <c r="E14" s="0" t="s">
        <v>1014</v>
      </c>
      <c r="F14" s="0" t="s">
        <v>1015</v>
      </c>
      <c r="G14" s="0" t="s">
        <v>694</v>
      </c>
      <c r="H14" s="0" t="s">
        <v>62</v>
      </c>
      <c r="I14" s="12" t="n">
        <v>2.5</v>
      </c>
      <c r="J14" s="0" t="n">
        <f aca="false">IF($B14="NO","NA",IF(I14="","",MIN(I14,$B$6)))</f>
        <v>2.5</v>
      </c>
      <c r="K14" s="10" t="s">
        <v>1016</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370.85" hidden="false" customHeight="false" outlineLevel="0" collapsed="false">
      <c r="A16" s="0" t="s">
        <v>38</v>
      </c>
      <c r="B16" s="0" t="s">
        <v>690</v>
      </c>
      <c r="C16" s="0" t="s">
        <v>330</v>
      </c>
      <c r="D16" s="0" t="s">
        <v>1013</v>
      </c>
      <c r="E16" s="0" t="s">
        <v>1017</v>
      </c>
      <c r="F16" s="0" t="s">
        <v>1018</v>
      </c>
      <c r="G16" s="0" t="s">
        <v>694</v>
      </c>
      <c r="H16" s="0" t="s">
        <v>62</v>
      </c>
      <c r="I16" s="12" t="n">
        <v>2.5</v>
      </c>
      <c r="J16" s="0" t="n">
        <f aca="false">IF($B16="NO","NA",IF(I16="","",MIN(I16,$B$6)))</f>
        <v>2.5</v>
      </c>
      <c r="K16" s="10" t="s">
        <v>1019</v>
      </c>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333</v>
      </c>
      <c r="C1" s="0" t="s">
        <v>677</v>
      </c>
    </row>
    <row r="2" customFormat="false" ht="68.65" hidden="false" customHeight="false" outlineLevel="0" collapsed="false">
      <c r="A2" s="8" t="s">
        <v>427</v>
      </c>
      <c r="B2" s="3" t="str">
        <f aca="false">VLOOKUP($B$1,'PARASTATAL Questions'!$A:$J,3,0)&amp;""</f>
        <v>Decentralised Participatory Governance</v>
      </c>
    </row>
    <row r="3" customFormat="false" ht="15" hidden="false" customHeight="false" outlineLevel="0" collapsed="false">
      <c r="A3" s="8" t="s">
        <v>462</v>
      </c>
      <c r="B3" s="3" t="str">
        <f aca="false">VLOOKUP($B$1,'PARASTATAL Questions'!$A:$J,2,0)&amp;""</f>
        <v>DPG 7b</v>
      </c>
    </row>
    <row r="4" customFormat="false" ht="15" hidden="false" customHeight="false" outlineLevel="0" collapsed="false">
      <c r="A4" s="8" t="s">
        <v>428</v>
      </c>
      <c r="B4" s="3" t="str">
        <f aca="false">VLOOKUP($B$1,'PARASTATAL Questions'!$A:$J,4,0)&amp;""</f>
        <v>SQ</v>
      </c>
    </row>
    <row r="5" customFormat="false" ht="113.4" hidden="false" customHeight="false" outlineLevel="0" collapsed="false">
      <c r="A5" s="8" t="s">
        <v>0</v>
      </c>
      <c r="B5" s="3" t="str">
        <f aca="false">VLOOKUP($B$1,'PARASTATAL Questions'!$A:$J,5,0)&amp;""</f>
        <v>Are citizens consulted in practice in the preparation of plans by the parastatal?</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68.65" hidden="false" customHeight="false" outlineLevel="0" collapsed="false">
      <c r="A8" s="8" t="s">
        <v>463</v>
      </c>
      <c r="B8" s="3" t="str">
        <f aca="false">VLOOKUP($B$1,'PARASTATAL Questions'!$A:$J,8,0)&amp;""</f>
        <v>All parastatals excluding Development Authorities</v>
      </c>
    </row>
    <row r="9" customFormat="false" ht="1008.95" hidden="false" customHeight="false" outlineLevel="0" collapsed="false">
      <c r="A9" s="8" t="s">
        <v>464</v>
      </c>
      <c r="B9" s="3"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95" hidden="false" customHeight="false" outlineLevel="0" collapsed="false">
      <c r="A10" s="8" t="s">
        <v>465</v>
      </c>
      <c r="B10" s="3" t="str">
        <f aca="false">VLOOKUP($B$1,'PARASTATAL Questions'!$A:$J,10,0)&amp;""</f>
        <v>Plan document; consultation reports; public notices; minutes/proceedings of consultations or hearings on the parastatal's official website; media reports.</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C13" s="0" t="s">
        <v>1020</v>
      </c>
      <c r="D13" s="0" t="s">
        <v>1021</v>
      </c>
      <c r="E13" s="0" t="s">
        <v>1022</v>
      </c>
      <c r="F13" s="0" t="s">
        <v>1023</v>
      </c>
      <c r="G13" s="0" t="s">
        <v>1024</v>
      </c>
      <c r="H13" s="0" t="s">
        <v>1025</v>
      </c>
      <c r="I13" s="12" t="n">
        <v>2.5</v>
      </c>
      <c r="J13" s="0" t="n">
        <f aca="false">IF($B13="NO","NA",IF(I13="","",MIN(I13,$B$6)))</f>
        <v>2.5</v>
      </c>
      <c r="K13" s="0" t="s">
        <v>1026</v>
      </c>
    </row>
    <row r="14" customFormat="false" ht="15" hidden="false" customHeight="false" outlineLevel="0" collapsed="false">
      <c r="A14" s="0" t="s">
        <v>26</v>
      </c>
      <c r="B14" s="0" t="s">
        <v>690</v>
      </c>
      <c r="I14" s="12"/>
      <c r="J14" s="0" t="str">
        <f aca="false">IF($B14="NO","NA",IF(I14="","",MIN(I14,$B$6)))</f>
        <v/>
      </c>
      <c r="K14" s="0" t="s">
        <v>1027</v>
      </c>
    </row>
    <row r="15" customFormat="false" ht="15" hidden="false" customHeight="false" outlineLevel="0" collapsed="false">
      <c r="A15" s="13" t="s">
        <v>32</v>
      </c>
      <c r="B15" s="13" t="s">
        <v>734</v>
      </c>
      <c r="C15" s="13"/>
      <c r="D15" s="13"/>
      <c r="E15" s="13"/>
      <c r="F15" s="13"/>
      <c r="G15" s="13"/>
      <c r="H15" s="13"/>
      <c r="I15" s="14"/>
      <c r="J15" s="13" t="str">
        <f aca="false">IF($B15="NO","NA",IF(I15="","",MIN(I15,$B$6)))</f>
        <v>NA</v>
      </c>
      <c r="K15" s="13"/>
    </row>
    <row r="16" customFormat="false" ht="15" hidden="false" customHeight="false" outlineLevel="0" collapsed="false">
      <c r="A16" s="0" t="s">
        <v>38</v>
      </c>
      <c r="B16" s="0" t="s">
        <v>690</v>
      </c>
      <c r="C16" s="0" t="s">
        <v>1028</v>
      </c>
      <c r="D16" s="0" t="s">
        <v>1029</v>
      </c>
      <c r="E16" s="0" t="s">
        <v>1030</v>
      </c>
      <c r="F16" s="0" t="s">
        <v>1031</v>
      </c>
      <c r="G16" s="0" t="s">
        <v>1032</v>
      </c>
      <c r="H16" s="0" t="s">
        <v>1033</v>
      </c>
      <c r="I16" s="12" t="n">
        <v>2.5</v>
      </c>
      <c r="J16" s="0" t="n">
        <f aca="false">IF($B16="NO","NA",IF(I16="","",MIN(I16,$B$6)))</f>
        <v>2.5</v>
      </c>
      <c r="K16" s="0" t="s">
        <v>1034</v>
      </c>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337</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SC-1</v>
      </c>
    </row>
    <row r="4" customFormat="false" ht="15" hidden="false" customHeight="false" outlineLevel="0" collapsed="false">
      <c r="A4" s="8" t="s">
        <v>428</v>
      </c>
      <c r="B4" s="3" t="str">
        <f aca="false">VLOOKUP($B$1,'PARASTATAL Questions'!$A:$J,4,0)&amp;""</f>
        <v>MQ</v>
      </c>
    </row>
    <row r="5" customFormat="false" ht="124.6" hidden="false" customHeight="false" outlineLevel="0" collapsed="false">
      <c r="A5" s="8" t="s">
        <v>0</v>
      </c>
      <c r="B5" s="3" t="str">
        <f aca="false">VLOOKUP($B$1,'PARASTATAL Questions'!$A:$J,5,0)&amp;""</f>
        <v>What proportion of the parastatal's total expenditure is financed through its own revenues?</v>
      </c>
    </row>
    <row r="6" customFormat="false" ht="15" hidden="false" customHeight="false" outlineLevel="0" collapsed="false">
      <c r="A6" s="8" t="s">
        <v>430</v>
      </c>
      <c r="B6" s="3" t="n">
        <f aca="false">VLOOKUP($B$1,'PARASTATAL Questions'!$A:$J,6,0)</f>
        <v>10</v>
      </c>
    </row>
    <row r="7" customFormat="false" ht="35.05" hidden="false" customHeight="false" outlineLevel="0" collapsed="false">
      <c r="A7" s="8" t="s">
        <v>429</v>
      </c>
      <c r="B7" s="3" t="str">
        <f aca="false">VLOOKUP($B$1,'PARASTATAL Questions'!$A:$J,7,0)&amp;""</f>
        <v>Implementation (Numeric)</v>
      </c>
    </row>
    <row r="8" customFormat="false" ht="46.25" hidden="false" customHeight="false" outlineLevel="0" collapsed="false">
      <c r="A8" s="8" t="s">
        <v>463</v>
      </c>
      <c r="B8" s="3" t="str">
        <f aca="false">VLOOKUP($B$1,'PARASTATAL Questions'!$A:$J,8,0)&amp;""</f>
        <v>Revenue-raising parastatals only</v>
      </c>
    </row>
    <row r="9" customFormat="false" ht="337.3" hidden="false" customHeight="false" outlineLevel="0" collapsed="false">
      <c r="A9" s="8" t="s">
        <v>464</v>
      </c>
      <c r="B9" s="3"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2" hidden="false" customHeight="false" outlineLevel="0" collapsed="false">
      <c r="A10" s="8" t="s">
        <v>465</v>
      </c>
      <c r="B10" s="3" t="str">
        <f aca="false">VLOOKUP($B$1,'PARASTATAL Questions'!$A:$J,10,0)&amp;""</f>
        <v>Annual budget of the last three financial years of the relevant parastatal.</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1035</v>
      </c>
    </row>
    <row r="14" customFormat="false" ht="15" hidden="false" customHeight="false" outlineLevel="0" collapsed="false">
      <c r="A14" s="0" t="s">
        <v>26</v>
      </c>
      <c r="B14" s="0" t="s">
        <v>690</v>
      </c>
      <c r="I14" s="12"/>
      <c r="J14" s="0" t="str">
        <f aca="false">IF($B14="NO","NA",IF(I14="","",MIN(I14,$B$6)))</f>
        <v/>
      </c>
      <c r="K14" s="0" t="s">
        <v>1036</v>
      </c>
    </row>
    <row r="15" customFormat="false" ht="15" hidden="false" customHeight="false" outlineLevel="0" collapsed="false">
      <c r="A15" s="0" t="s">
        <v>32</v>
      </c>
      <c r="B15" s="0" t="s">
        <v>690</v>
      </c>
      <c r="I15" s="12"/>
      <c r="J15" s="0" t="str">
        <f aca="false">IF($B15="NO","NA",IF(I15="","",MIN(I15,$B$6)))</f>
        <v/>
      </c>
      <c r="K15" s="0" t="s">
        <v>1037</v>
      </c>
    </row>
    <row r="16" customFormat="false" ht="15" hidden="false" customHeight="false" outlineLevel="0" collapsed="false">
      <c r="A16" s="13" t="s">
        <v>38</v>
      </c>
      <c r="B16" s="13" t="s">
        <v>734</v>
      </c>
      <c r="C16" s="13"/>
      <c r="D16" s="13"/>
      <c r="E16" s="13"/>
      <c r="F16" s="13"/>
      <c r="G16" s="13"/>
      <c r="H16" s="13"/>
      <c r="I16" s="14"/>
      <c r="J16" s="13" t="str">
        <f aca="false">IF($B16="NO","NA",IF(I16="","",MIN(I16,$B$6)))</f>
        <v>NA</v>
      </c>
      <c r="K16" s="13"/>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13" t="s">
        <v>432</v>
      </c>
      <c r="B19" s="13" t="s">
        <v>734</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341</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SC-2</v>
      </c>
    </row>
    <row r="4" customFormat="false" ht="15" hidden="false" customHeight="false" outlineLevel="0" collapsed="false">
      <c r="A4" s="8" t="s">
        <v>428</v>
      </c>
      <c r="B4" s="3" t="str">
        <f aca="false">VLOOKUP($B$1,'PARASTATAL Questions'!$A:$J,4,0)&amp;""</f>
        <v>MQ</v>
      </c>
    </row>
    <row r="5" customFormat="false" ht="91" hidden="false" customHeight="false" outlineLevel="0" collapsed="false">
      <c r="A5" s="8" t="s">
        <v>0</v>
      </c>
      <c r="B5" s="3" t="str">
        <f aca="false">VLOOKUP($B$1,'PARASTATAL Questions'!$A:$J,5,0)&amp;""</f>
        <v>What is the parastatal's per-capita capital expenditure?</v>
      </c>
    </row>
    <row r="6" customFormat="false" ht="15" hidden="false" customHeight="false" outlineLevel="0" collapsed="false">
      <c r="A6" s="8" t="s">
        <v>430</v>
      </c>
      <c r="B6" s="3" t="n">
        <f aca="false">VLOOKUP($B$1,'PARASTATAL Questions'!$A:$J,6,0)</f>
        <v>10</v>
      </c>
    </row>
    <row r="7" customFormat="false" ht="35.05" hidden="false" customHeight="false" outlineLevel="0" collapsed="false">
      <c r="A7" s="8" t="s">
        <v>429</v>
      </c>
      <c r="B7" s="3" t="str">
        <f aca="false">VLOOKUP($B$1,'PARASTATAL Questions'!$A:$J,7,0)&amp;""</f>
        <v>Implementation (Numeric)</v>
      </c>
    </row>
    <row r="8" customFormat="false" ht="102.2" hidden="false" customHeight="false" outlineLevel="0" collapsed="false">
      <c r="A8" s="8" t="s">
        <v>463</v>
      </c>
      <c r="B8" s="3" t="str">
        <f aca="false">VLOOKUP($B$1,'PARASTATAL Questions'!$A:$J,8,0)&amp;""</f>
        <v>Parastatals with an infrastructure-delivery/capital-expenditure mandate.</v>
      </c>
    </row>
    <row r="9" customFormat="false" ht="605.95" hidden="false" customHeight="false" outlineLevel="0" collapsed="false">
      <c r="A9" s="8" t="s">
        <v>464</v>
      </c>
      <c r="B9" s="3"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false" outlineLevel="0" collapsed="false">
      <c r="A10" s="8" t="s">
        <v>465</v>
      </c>
      <c r="B10" s="3" t="str">
        <f aca="false">VLOOKUP($B$1,'PARASTATAL Questions'!$A:$J,10,0)&amp;""</f>
        <v>Latest annual budget and capital-expenditure accounts of the relevant parastatal; population figure with source.</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1038</v>
      </c>
    </row>
    <row r="14" customFormat="false" ht="15" hidden="false" customHeight="false" outlineLevel="0" collapsed="false">
      <c r="A14" s="0" t="s">
        <v>26</v>
      </c>
      <c r="B14" s="0" t="s">
        <v>690</v>
      </c>
      <c r="I14" s="12"/>
      <c r="J14" s="0" t="str">
        <f aca="false">IF($B14="NO","NA",IF(I14="","",MIN(I14,$B$6)))</f>
        <v/>
      </c>
      <c r="K14" s="0" t="s">
        <v>1039</v>
      </c>
    </row>
    <row r="15" customFormat="false" ht="15" hidden="false" customHeight="false" outlineLevel="0" collapsed="false">
      <c r="A15" s="0" t="s">
        <v>32</v>
      </c>
      <c r="B15" s="0" t="s">
        <v>690</v>
      </c>
      <c r="I15" s="12"/>
      <c r="J15" s="0" t="str">
        <f aca="false">IF($B15="NO","NA",IF(I15="","",MIN(I15,$B$6)))</f>
        <v/>
      </c>
      <c r="K15" s="0" t="s">
        <v>1040</v>
      </c>
    </row>
    <row r="16" customFormat="false" ht="214.15" hidden="false" customHeight="false" outlineLevel="0" collapsed="false">
      <c r="A16" s="0" t="s">
        <v>38</v>
      </c>
      <c r="B16" s="0" t="s">
        <v>690</v>
      </c>
      <c r="C16" s="0" t="s">
        <v>150</v>
      </c>
      <c r="D16" s="0" t="s">
        <v>1041</v>
      </c>
      <c r="E16" s="0" t="s">
        <v>1042</v>
      </c>
      <c r="F16" s="0" t="s">
        <v>1043</v>
      </c>
      <c r="G16" s="0" t="s">
        <v>1044</v>
      </c>
      <c r="H16" s="0" t="s">
        <v>151</v>
      </c>
      <c r="I16" s="12"/>
      <c r="J16" s="0" t="str">
        <f aca="false">IF($B16="NO","NA",IF(I16="","",MIN(I16,$B$6)))</f>
        <v/>
      </c>
      <c r="K16" s="10" t="s">
        <v>1045</v>
      </c>
    </row>
    <row r="17" customFormat="false" ht="15" hidden="false" customHeight="false" outlineLevel="0" collapsed="false">
      <c r="A17" s="13" t="s">
        <v>43</v>
      </c>
      <c r="B17" s="13" t="s">
        <v>734</v>
      </c>
      <c r="C17" s="13"/>
      <c r="D17" s="13"/>
      <c r="E17" s="13"/>
      <c r="F17" s="13"/>
      <c r="G17" s="13"/>
      <c r="H17" s="13"/>
      <c r="I17" s="14"/>
      <c r="J17" s="13" t="str">
        <f aca="false">IF($B17="NO","NA",IF(I17="","",MIN(I17,$B$6)))</f>
        <v>NA</v>
      </c>
      <c r="K17" s="13"/>
    </row>
    <row r="18" customFormat="false" ht="15" hidden="false" customHeight="false" outlineLevel="0" collapsed="false">
      <c r="A18" s="13" t="s">
        <v>431</v>
      </c>
      <c r="B18" s="13" t="s">
        <v>734</v>
      </c>
      <c r="C18" s="13"/>
      <c r="D18" s="13"/>
      <c r="E18" s="13"/>
      <c r="F18" s="13"/>
      <c r="G18" s="13"/>
      <c r="H18" s="13"/>
      <c r="I18" s="14"/>
      <c r="J18" s="13" t="str">
        <f aca="false">IF($B18="NO","NA",IF(I18="","",MIN(I18,$B$6)))</f>
        <v>NA</v>
      </c>
      <c r="K18" s="13"/>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348</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SC-3</v>
      </c>
    </row>
    <row r="4" customFormat="false" ht="15" hidden="false" customHeight="false" outlineLevel="0" collapsed="false">
      <c r="A4" s="8" t="s">
        <v>428</v>
      </c>
      <c r="B4" s="3" t="str">
        <f aca="false">VLOOKUP($B$1,'PARASTATAL Questions'!$A:$J,4,0)&amp;""</f>
        <v>MQ</v>
      </c>
    </row>
    <row r="5" customFormat="false" ht="68.65" hidden="false" customHeight="false" outlineLevel="0" collapsed="false">
      <c r="A5" s="8" t="s">
        <v>0</v>
      </c>
      <c r="B5" s="3" t="str">
        <f aca="false">VLOOKUP($B$1,'PARASTATAL Questions'!$A:$J,5,0)&amp;""</f>
        <v>How realistic is the parastatal's annual budget?</v>
      </c>
    </row>
    <row r="6" customFormat="false" ht="15" hidden="false" customHeight="false" outlineLevel="0" collapsed="false">
      <c r="A6" s="8" t="s">
        <v>430</v>
      </c>
      <c r="B6" s="3" t="n">
        <f aca="false">VLOOKUP($B$1,'PARASTATAL Questions'!$A:$J,6,0)</f>
        <v>10</v>
      </c>
    </row>
    <row r="7" customFormat="false" ht="35.05" hidden="false" customHeight="false" outlineLevel="0" collapsed="false">
      <c r="A7" s="8" t="s">
        <v>429</v>
      </c>
      <c r="B7" s="3" t="str">
        <f aca="false">VLOOKUP($B$1,'PARASTATAL Questions'!$A:$J,7,0)&amp;""</f>
        <v>Implementation (Numeric)</v>
      </c>
    </row>
    <row r="8" customFormat="false" ht="68.65" hidden="false" customHeight="false" outlineLevel="0" collapsed="false">
      <c r="A8" s="8" t="s">
        <v>463</v>
      </c>
      <c r="B8" s="3" t="str">
        <f aca="false">VLOOKUP($B$1,'PARASTATAL Questions'!$A:$J,8,0)&amp;""</f>
        <v>Common — all parastatal types with an annual budget.</v>
      </c>
    </row>
    <row r="9" customFormat="false" ht="225.35" hidden="false" customHeight="false" outlineLevel="0" collapsed="false">
      <c r="A9" s="8" t="s">
        <v>464</v>
      </c>
      <c r="B9" s="3" t="str">
        <f aca="false">VLOOKUP($B$1,'PARASTATAL Questions'!$A:$J,9,0)&amp;""</f>
        <v>3 year average of budget variance wherever available (at least 2 years but not more than 5 years); If variance is within 15%, the score will be 10 but anything over 15% will score 0 out of 10</v>
      </c>
    </row>
    <row r="10" customFormat="false" ht="135.8" hidden="false" customHeight="false" outlineLevel="0" collapsed="false">
      <c r="A10" s="8" t="s">
        <v>465</v>
      </c>
      <c r="B10" s="3" t="str">
        <f aca="false">VLOOKUP($B$1,'PARASTATAL Questions'!$A:$J,10,0)&amp;""</f>
        <v>Budget documents and audited accounts for the same financial year, compared side by side</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1046</v>
      </c>
    </row>
    <row r="14" customFormat="false" ht="15" hidden="false" customHeight="false" outlineLevel="0" collapsed="false">
      <c r="A14" s="0" t="s">
        <v>26</v>
      </c>
      <c r="B14" s="0" t="s">
        <v>690</v>
      </c>
      <c r="I14" s="12"/>
      <c r="J14" s="0" t="str">
        <f aca="false">IF($B14="NO","NA",IF(I14="","",MIN(I14,$B$6)))</f>
        <v/>
      </c>
      <c r="K14" s="0" t="s">
        <v>1047</v>
      </c>
    </row>
    <row r="15" customFormat="false" ht="15" hidden="false" customHeight="false" outlineLevel="0" collapsed="false">
      <c r="A15" s="0" t="s">
        <v>32</v>
      </c>
      <c r="B15" s="0" t="s">
        <v>690</v>
      </c>
      <c r="I15" s="12"/>
      <c r="J15" s="0" t="str">
        <f aca="false">IF($B15="NO","NA",IF(I15="","",MIN(I15,$B$6)))</f>
        <v/>
      </c>
      <c r="K15" s="0" t="s">
        <v>1048</v>
      </c>
    </row>
    <row r="16" customFormat="false" ht="15" hidden="false" customHeight="false" outlineLevel="0" collapsed="false">
      <c r="A16" s="0" t="s">
        <v>38</v>
      </c>
      <c r="B16" s="0" t="s">
        <v>690</v>
      </c>
      <c r="I16" s="12"/>
      <c r="J16" s="0" t="str">
        <f aca="false">IF($B16="NO","NA",IF(I16="","",MIN(I16,$B$6)))</f>
        <v/>
      </c>
      <c r="K16" s="0" t="s">
        <v>1049</v>
      </c>
    </row>
    <row r="17" customFormat="false" ht="15" hidden="false" customHeight="false" outlineLevel="0" collapsed="false">
      <c r="A17" s="0" t="s">
        <v>43</v>
      </c>
      <c r="B17" s="0" t="s">
        <v>690</v>
      </c>
      <c r="I17" s="12"/>
      <c r="J17" s="0" t="str">
        <f aca="false">IF($B17="NO","NA",IF(I17="","",MIN(I17,$B$6)))</f>
        <v/>
      </c>
      <c r="K17" s="0" t="s">
        <v>1050</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354</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SC-4a</v>
      </c>
    </row>
    <row r="4" customFormat="false" ht="15" hidden="false" customHeight="false" outlineLevel="0" collapsed="false">
      <c r="A4" s="8" t="s">
        <v>428</v>
      </c>
      <c r="B4" s="3" t="str">
        <f aca="false">VLOOKUP($B$1,'PARASTATAL Questions'!$A:$J,4,0)&amp;""</f>
        <v>SQ</v>
      </c>
    </row>
    <row r="5" customFormat="false" ht="124.6" hidden="false" customHeight="false" outlineLevel="0" collapsed="false">
      <c r="A5" s="8" t="s">
        <v>0</v>
      </c>
      <c r="B5" s="3" t="str">
        <f aca="false">VLOOKUP($B$1,'PARASTATAL Questions'!$A:$J,5,0)&amp;""</f>
        <v>Is a medium-term (3-5 year) and/or long-term (&gt;5 year) fiscal plan legally mandated?</v>
      </c>
    </row>
    <row r="6" customFormat="false" ht="15" hidden="false" customHeight="false" outlineLevel="0" collapsed="false">
      <c r="A6" s="8" t="s">
        <v>430</v>
      </c>
      <c r="B6" s="3" t="n">
        <f aca="false">VLOOKUP($B$1,'PARASTATAL Questions'!$A:$J,6,0)</f>
        <v>5</v>
      </c>
    </row>
    <row r="7" customFormat="false" ht="15" hidden="false" customHeight="false" outlineLevel="0" collapsed="false">
      <c r="A7" s="8" t="s">
        <v>429</v>
      </c>
      <c r="B7" s="3" t="str">
        <f aca="false">VLOOKUP($B$1,'PARASTATAL Questions'!$A:$J,7,0)&amp;""</f>
        <v>Law/Policy</v>
      </c>
    </row>
    <row r="8" customFormat="false" ht="15" hidden="false" customHeight="false" outlineLevel="0" collapsed="false">
      <c r="A8" s="8" t="s">
        <v>463</v>
      </c>
      <c r="B8" s="3" t="str">
        <f aca="false">VLOOKUP($B$1,'PARASTATAL Questions'!$A:$J,8,0)&amp;""</f>
        <v>Common.</v>
      </c>
    </row>
    <row r="9" customFormat="false" ht="214.15" hidden="false" customHeight="false" outlineLevel="0" collapsed="false">
      <c r="A9" s="8" t="s">
        <v>464</v>
      </c>
      <c r="B9" s="3" t="str">
        <f aca="false">VLOOKUP($B$1,'PARASTATAL Questions'!$A:$J,9,0)&amp;""</f>
        <v>Score 5 if enabling act of the relevant parastatal require a fiscal plan of defined horizon (Medium term at 3-5 years and long term at &gt;5 years). Score 0 if no such requirement.</v>
      </c>
    </row>
    <row r="10" customFormat="false" ht="46.25" hidden="false" customHeight="false" outlineLevel="0" collapsed="false">
      <c r="A10" s="8" t="s">
        <v>465</v>
      </c>
      <c r="B10" s="3" t="str">
        <f aca="false">VLOOKUP($B$1,'PARASTATAL Questions'!$A:$J,10,0)&amp;""</f>
        <v>Enabling act of the relevant parastatal</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281.3" hidden="false" customHeight="false" outlineLevel="0" collapsed="false">
      <c r="A13" s="0" t="s">
        <v>17</v>
      </c>
      <c r="B13" s="0" t="s">
        <v>690</v>
      </c>
      <c r="C13" s="0" t="s">
        <v>21</v>
      </c>
      <c r="D13" s="0" t="s">
        <v>1051</v>
      </c>
      <c r="E13" s="0" t="s">
        <v>1052</v>
      </c>
      <c r="F13" s="0" t="s">
        <v>1053</v>
      </c>
      <c r="G13" s="0" t="s">
        <v>1054</v>
      </c>
      <c r="H13" s="0" t="s">
        <v>22</v>
      </c>
      <c r="I13" s="12" t="n">
        <v>0</v>
      </c>
      <c r="J13" s="0" t="n">
        <f aca="false">IF($B13="NO","NA",IF(I13="","",MIN(I13,$B$6)))</f>
        <v>0</v>
      </c>
      <c r="K13" s="10" t="s">
        <v>1055</v>
      </c>
    </row>
    <row r="14" customFormat="false" ht="236.55" hidden="false" customHeight="false" outlineLevel="0" collapsed="false">
      <c r="A14" s="0" t="s">
        <v>26</v>
      </c>
      <c r="B14" s="0" t="s">
        <v>690</v>
      </c>
      <c r="C14" s="0" t="s">
        <v>142</v>
      </c>
      <c r="D14" s="0" t="s">
        <v>1056</v>
      </c>
      <c r="E14" s="0" t="s">
        <v>1057</v>
      </c>
      <c r="F14" s="0" t="s">
        <v>1058</v>
      </c>
      <c r="G14" s="0" t="s">
        <v>846</v>
      </c>
      <c r="H14" s="0" t="s">
        <v>143</v>
      </c>
      <c r="I14" s="12" t="n">
        <v>0</v>
      </c>
      <c r="J14" s="0" t="n">
        <f aca="false">IF($B14="NO","NA",IF(I14="","",MIN(I14,$B$6)))</f>
        <v>0</v>
      </c>
      <c r="K14" s="10" t="s">
        <v>1059</v>
      </c>
    </row>
    <row r="15" customFormat="false" ht="202.95" hidden="false" customHeight="false" outlineLevel="0" collapsed="false">
      <c r="A15" s="0" t="s">
        <v>32</v>
      </c>
      <c r="B15" s="0" t="s">
        <v>690</v>
      </c>
      <c r="C15" s="0" t="s">
        <v>34</v>
      </c>
      <c r="D15" s="0" t="s">
        <v>1060</v>
      </c>
      <c r="E15" s="0" t="s">
        <v>1061</v>
      </c>
      <c r="F15" s="0" t="s">
        <v>1062</v>
      </c>
      <c r="G15" s="0" t="s">
        <v>1063</v>
      </c>
      <c r="H15" s="0" t="s">
        <v>35</v>
      </c>
      <c r="I15" s="12" t="n">
        <v>0</v>
      </c>
      <c r="J15" s="0" t="n">
        <f aca="false">IF($B15="NO","NA",IF(I15="","",MIN(I15,$B$6)))</f>
        <v>0</v>
      </c>
      <c r="K15" s="10" t="s">
        <v>1064</v>
      </c>
    </row>
    <row r="16" customFormat="false" ht="15" hidden="false" customHeight="false" outlineLevel="0" collapsed="false">
      <c r="A16" s="0" t="s">
        <v>38</v>
      </c>
      <c r="B16" s="0" t="s">
        <v>690</v>
      </c>
      <c r="C16" s="0" t="s">
        <v>870</v>
      </c>
      <c r="D16" s="0" t="s">
        <v>829</v>
      </c>
      <c r="E16" s="0" t="s">
        <v>1065</v>
      </c>
      <c r="F16" s="0" t="s">
        <v>1066</v>
      </c>
      <c r="G16" s="0" t="s">
        <v>832</v>
      </c>
      <c r="H16" s="0" t="s">
        <v>151</v>
      </c>
      <c r="I16" s="12" t="n">
        <v>0</v>
      </c>
      <c r="J16" s="0" t="n">
        <f aca="false">IF($B16="NO","NA",IF(I16="","",MIN(I16,$B$6)))</f>
        <v>0</v>
      </c>
      <c r="K16" s="0" t="s">
        <v>1067</v>
      </c>
    </row>
    <row r="17" customFormat="false" ht="15" hidden="false" customHeight="false" outlineLevel="0" collapsed="false">
      <c r="A17" s="0" t="s">
        <v>43</v>
      </c>
      <c r="B17" s="0" t="s">
        <v>690</v>
      </c>
      <c r="C17" s="0" t="s">
        <v>711</v>
      </c>
      <c r="D17" s="0" t="s">
        <v>1068</v>
      </c>
      <c r="E17" s="0" t="s">
        <v>1069</v>
      </c>
      <c r="G17" s="0" t="s">
        <v>858</v>
      </c>
      <c r="H17" s="0" t="s">
        <v>716</v>
      </c>
      <c r="I17" s="12" t="n">
        <v>0</v>
      </c>
      <c r="J17" s="0" t="n">
        <f aca="false">IF($B17="NO","NA",IF(I17="","",MIN(I17,$B$6)))</f>
        <v>0</v>
      </c>
      <c r="K17" s="0" t="s">
        <v>1070</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365</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SC-4b</v>
      </c>
    </row>
    <row r="4" customFormat="false" ht="15" hidden="false" customHeight="false" outlineLevel="0" collapsed="false">
      <c r="A4" s="8" t="s">
        <v>428</v>
      </c>
      <c r="B4" s="3" t="str">
        <f aca="false">VLOOKUP($B$1,'PARASTATAL Questions'!$A:$J,4,0)&amp;""</f>
        <v>SQ</v>
      </c>
    </row>
    <row r="5" customFormat="false" ht="68.65" hidden="false" customHeight="false" outlineLevel="0" collapsed="false">
      <c r="A5" s="8" t="s">
        <v>0</v>
      </c>
      <c r="B5" s="3" t="str">
        <f aca="false">VLOOKUP($B$1,'PARASTATAL Questions'!$A:$J,5,0)&amp;""</f>
        <v>Is the medium/long-term fiscal plan publicly available?</v>
      </c>
    </row>
    <row r="6" customFormat="false" ht="15" hidden="false" customHeight="false" outlineLevel="0" collapsed="false">
      <c r="A6" s="8" t="s">
        <v>430</v>
      </c>
      <c r="B6" s="3" t="n">
        <f aca="false">VLOOKUP($B$1,'PARASTATAL Questions'!$A:$J,6,0)</f>
        <v>5</v>
      </c>
    </row>
    <row r="7" customFormat="false" ht="23.85" hidden="false" customHeight="false" outlineLevel="0" collapsed="false">
      <c r="A7" s="8" t="s">
        <v>429</v>
      </c>
      <c r="B7" s="3" t="str">
        <f aca="false">VLOOKUP($B$1,'PARASTATAL Questions'!$A:$J,7,0)&amp;""</f>
        <v>Implementation</v>
      </c>
    </row>
    <row r="8" customFormat="false" ht="15" hidden="false" customHeight="false" outlineLevel="0" collapsed="false">
      <c r="A8" s="8" t="s">
        <v>463</v>
      </c>
      <c r="B8" s="3" t="str">
        <f aca="false">VLOOKUP($B$1,'PARASTATAL Questions'!$A:$J,8,0)&amp;""</f>
        <v>Common.</v>
      </c>
    </row>
    <row r="9" customFormat="false" ht="135.8" hidden="false" customHeight="false" outlineLevel="0" collapsed="false">
      <c r="A9" s="8" t="s">
        <v>464</v>
      </c>
      <c r="B9" s="3" t="str">
        <f aca="false">VLOOKUP($B$1,'PARASTATAL Questions'!$A:$J,9,0)&amp;""</f>
        <v>Score 5 if the fiscal plan is published online on the relevant parastatal's website. Score 0 if not available.</v>
      </c>
    </row>
    <row r="10" customFormat="false" ht="46.25" hidden="false" customHeight="false" outlineLevel="0" collapsed="false">
      <c r="A10" s="8" t="s">
        <v>465</v>
      </c>
      <c r="B10" s="3" t="str">
        <f aca="false">VLOOKUP($B$1,'PARASTATAL Questions'!$A:$J,10,0)&amp;""</f>
        <v>Website of the relevant parastatal</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1071</v>
      </c>
    </row>
    <row r="14" customFormat="false" ht="15" hidden="false" customHeight="false" outlineLevel="0" collapsed="false">
      <c r="A14" s="0" t="s">
        <v>26</v>
      </c>
      <c r="B14" s="0" t="s">
        <v>690</v>
      </c>
      <c r="I14" s="12"/>
      <c r="J14" s="0" t="str">
        <f aca="false">IF($B14="NO","NA",IF(I14="","",MIN(I14,$B$6)))</f>
        <v/>
      </c>
      <c r="K14" s="0" t="s">
        <v>1072</v>
      </c>
    </row>
    <row r="15" customFormat="false" ht="15" hidden="false" customHeight="false" outlineLevel="0" collapsed="false">
      <c r="A15" s="0" t="s">
        <v>32</v>
      </c>
      <c r="B15" s="0" t="s">
        <v>690</v>
      </c>
      <c r="I15" s="12"/>
      <c r="J15" s="0" t="str">
        <f aca="false">IF($B15="NO","NA",IF(I15="","",MIN(I15,$B$6)))</f>
        <v/>
      </c>
      <c r="K15" s="0" t="s">
        <v>1073</v>
      </c>
    </row>
    <row r="16" customFormat="false" ht="15" hidden="false" customHeight="false" outlineLevel="0" collapsed="false">
      <c r="A16" s="0" t="s">
        <v>38</v>
      </c>
      <c r="B16" s="0" t="s">
        <v>690</v>
      </c>
      <c r="I16" s="12"/>
      <c r="J16" s="0" t="str">
        <f aca="false">IF($B16="NO","NA",IF(I16="","",MIN(I16,$B$6)))</f>
        <v/>
      </c>
      <c r="K16" s="0" t="s">
        <v>1074</v>
      </c>
    </row>
    <row r="17" customFormat="false" ht="15" hidden="false" customHeight="false" outlineLevel="0" collapsed="false">
      <c r="A17" s="0" t="s">
        <v>43</v>
      </c>
      <c r="B17" s="0" t="s">
        <v>690</v>
      </c>
      <c r="C17" s="0" t="s">
        <v>934</v>
      </c>
      <c r="D17" s="0" t="s">
        <v>1075</v>
      </c>
      <c r="E17" s="0" t="s">
        <v>1076</v>
      </c>
      <c r="H17" s="0" t="s">
        <v>188</v>
      </c>
      <c r="I17" s="12"/>
      <c r="J17" s="0" t="str">
        <f aca="false">IF($B17="NO","NA",IF(I17="","",MIN(I17,$B$6)))</f>
        <v/>
      </c>
      <c r="K17" s="0" t="s">
        <v>1077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371</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SC-5</v>
      </c>
    </row>
    <row r="4" customFormat="false" ht="15" hidden="false" customHeight="false" outlineLevel="0" collapsed="false">
      <c r="A4" s="8" t="s">
        <v>428</v>
      </c>
      <c r="B4" s="3" t="str">
        <f aca="false">VLOOKUP($B$1,'PARASTATAL Questions'!$A:$J,4,0)&amp;""</f>
        <v>MQ</v>
      </c>
    </row>
    <row r="5" customFormat="false" ht="124.6" hidden="false" customHeight="false" outlineLevel="0" collapsed="false">
      <c r="A5" s="8" t="s">
        <v>0</v>
      </c>
      <c r="B5" s="3" t="str">
        <f aca="false">VLOOKUP($B$1,'PARASTATAL Questions'!$A:$J,5,0)&amp;""</f>
        <v>Does the law mandate a minimum tenure for the executive authority of the parastatal?</v>
      </c>
    </row>
    <row r="6" customFormat="false" ht="15" hidden="false" customHeight="false" outlineLevel="0" collapsed="false">
      <c r="A6" s="8" t="s">
        <v>430</v>
      </c>
      <c r="B6" s="3" t="n">
        <f aca="false">VLOOKUP($B$1,'PARASTATAL Questions'!$A:$J,6,0)</f>
        <v>10</v>
      </c>
    </row>
    <row r="7" customFormat="false" ht="15" hidden="false" customHeight="false" outlineLevel="0" collapsed="false">
      <c r="A7" s="8" t="s">
        <v>429</v>
      </c>
      <c r="B7" s="3" t="str">
        <f aca="false">VLOOKUP($B$1,'PARASTATAL Questions'!$A:$J,7,0)&amp;""</f>
        <v>Law/Policy</v>
      </c>
    </row>
    <row r="8" customFormat="false" ht="15" hidden="false" customHeight="false" outlineLevel="0" collapsed="false">
      <c r="A8" s="8" t="s">
        <v>463</v>
      </c>
      <c r="B8" s="3" t="str">
        <f aca="false">VLOOKUP($B$1,'PARASTATAL Questions'!$A:$J,8,0)&amp;""</f>
        <v>Common.</v>
      </c>
    </row>
    <row r="9" customFormat="false" ht="885.8" hidden="false" customHeight="false" outlineLevel="0" collapsed="false">
      <c r="A9" s="8" t="s">
        <v>464</v>
      </c>
      <c r="B9" s="3"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false" outlineLevel="0" collapsed="false">
      <c r="A10" s="8" t="s">
        <v>465</v>
      </c>
      <c r="B10" s="3" t="str">
        <f aca="false">VLOOKUP($B$1,'PARASTATAL Questions'!$A:$J,10,0)&amp;""</f>
        <v>Relevant Parastatal Act; rules governing appointment, tenure and removal of the executive authority/chief executive.</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348.5" hidden="false" customHeight="false" outlineLevel="0" collapsed="false">
      <c r="A13" s="0" t="s">
        <v>17</v>
      </c>
      <c r="B13" s="0" t="s">
        <v>690</v>
      </c>
      <c r="C13" s="0" t="s">
        <v>21</v>
      </c>
      <c r="D13" s="0" t="s">
        <v>1078</v>
      </c>
      <c r="E13" s="0" t="s">
        <v>1079</v>
      </c>
      <c r="F13" s="0" t="s">
        <v>1080</v>
      </c>
      <c r="G13" s="0" t="s">
        <v>797</v>
      </c>
      <c r="H13" s="0" t="s">
        <v>22</v>
      </c>
      <c r="I13" s="12" t="n">
        <v>0</v>
      </c>
      <c r="J13" s="0" t="n">
        <f aca="false">IF($B13="NO","NA",IF(I13="","",MIN(I13,$B$6)))</f>
        <v>0</v>
      </c>
      <c r="K13" s="10" t="s">
        <v>1081</v>
      </c>
    </row>
    <row r="14" customFormat="false" ht="15" hidden="false" customHeight="false" outlineLevel="0" collapsed="false">
      <c r="A14" s="0" t="s">
        <v>26</v>
      </c>
      <c r="B14" s="0" t="s">
        <v>690</v>
      </c>
      <c r="C14" s="0" t="s">
        <v>142</v>
      </c>
      <c r="D14" s="0" t="s">
        <v>1082</v>
      </c>
      <c r="E14" s="0" t="s">
        <v>1083</v>
      </c>
      <c r="F14" s="0" t="s">
        <v>1084</v>
      </c>
      <c r="G14" s="0" t="s">
        <v>1085</v>
      </c>
      <c r="H14" s="0" t="s">
        <v>143</v>
      </c>
      <c r="I14" s="12"/>
      <c r="J14" s="0" t="str">
        <f aca="false">IF($B14="NO","NA",IF(I14="","",MIN(I14,$B$6)))</f>
        <v/>
      </c>
      <c r="K14" s="0" t="s">
        <v>1086</v>
      </c>
    </row>
    <row r="15" customFormat="false" ht="35.05" hidden="false" customHeight="false" outlineLevel="0" collapsed="false">
      <c r="A15" s="0" t="s">
        <v>32</v>
      </c>
      <c r="B15" s="0" t="s">
        <v>690</v>
      </c>
      <c r="C15" s="0" t="s">
        <v>34</v>
      </c>
      <c r="D15" s="0" t="s">
        <v>1087</v>
      </c>
      <c r="E15" s="0" t="s">
        <v>1088</v>
      </c>
      <c r="F15" s="0" t="s">
        <v>1089</v>
      </c>
      <c r="G15" s="0" t="s">
        <v>1090</v>
      </c>
      <c r="H15" s="0" t="s">
        <v>35</v>
      </c>
      <c r="I15" s="12" t="n">
        <v>0</v>
      </c>
      <c r="J15" s="0" t="n">
        <f aca="false">IF($B15="NO","NA",IF(I15="","",MIN(I15,$B$6)))</f>
        <v>0</v>
      </c>
      <c r="K15" s="10" t="s">
        <v>1091</v>
      </c>
    </row>
    <row r="16" customFormat="false" ht="202.95" hidden="false" customHeight="false" outlineLevel="0" collapsed="false">
      <c r="A16" s="0" t="s">
        <v>38</v>
      </c>
      <c r="B16" s="0" t="s">
        <v>690</v>
      </c>
      <c r="C16" s="0" t="s">
        <v>382</v>
      </c>
      <c r="D16" s="0" t="s">
        <v>1092</v>
      </c>
      <c r="E16" s="0" t="s">
        <v>1093</v>
      </c>
      <c r="F16" s="0" t="s">
        <v>1094</v>
      </c>
      <c r="G16" s="0" t="s">
        <v>1095</v>
      </c>
      <c r="H16" s="0" t="s">
        <v>383</v>
      </c>
      <c r="I16" s="12" t="n">
        <v>0</v>
      </c>
      <c r="J16" s="0" t="n">
        <f aca="false">IF($B16="NO","NA",IF(I16="","",MIN(I16,$B$6)))</f>
        <v>0</v>
      </c>
      <c r="K16" s="10" t="s">
        <v>1096</v>
      </c>
    </row>
    <row r="17" customFormat="false" ht="15" hidden="false" customHeight="false" outlineLevel="0" collapsed="false">
      <c r="A17" s="0" t="s">
        <v>43</v>
      </c>
      <c r="B17" s="0" t="s">
        <v>690</v>
      </c>
      <c r="I17" s="12"/>
      <c r="J17" s="0" t="str">
        <f aca="false">IF($B17="NO","NA",IF(I17="","",MIN(I17,$B$6)))</f>
        <v/>
      </c>
      <c r="K17" s="0" t="s">
        <v>1097</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387</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SC-6</v>
      </c>
    </row>
    <row r="4" customFormat="false" ht="15" hidden="false" customHeight="false" outlineLevel="0" collapsed="false">
      <c r="A4" s="8" t="s">
        <v>428</v>
      </c>
      <c r="B4" s="3" t="str">
        <f aca="false">VLOOKUP($B$1,'PARASTATAL Questions'!$A:$J,4,0)&amp;""</f>
        <v>MQ</v>
      </c>
    </row>
    <row r="5" customFormat="false" ht="124.6" hidden="false" customHeight="false" outlineLevel="0" collapsed="false">
      <c r="A5" s="8" t="s">
        <v>0</v>
      </c>
      <c r="B5" s="3" t="str">
        <f aca="false">VLOOKUP($B$1,'PARASTATAL Questions'!$A:$J,5,0)&amp;""</f>
        <v>What is the average tenure of the chief executive/executive authority of the parastatal?</v>
      </c>
    </row>
    <row r="6" customFormat="false" ht="15" hidden="false" customHeight="false" outlineLevel="0" collapsed="false">
      <c r="A6" s="8" t="s">
        <v>430</v>
      </c>
      <c r="B6" s="3" t="n">
        <f aca="false">VLOOKUP($B$1,'PARASTATAL Questions'!$A:$J,6,0)</f>
        <v>10</v>
      </c>
    </row>
    <row r="7" customFormat="false" ht="35.05" hidden="false" customHeight="false" outlineLevel="0" collapsed="false">
      <c r="A7" s="8" t="s">
        <v>429</v>
      </c>
      <c r="B7" s="3" t="str">
        <f aca="false">VLOOKUP($B$1,'PARASTATAL Questions'!$A:$J,7,0)&amp;""</f>
        <v>Implementation (Numeric)</v>
      </c>
    </row>
    <row r="8" customFormat="false" ht="124.6" hidden="false" customHeight="false" outlineLevel="0" collapsed="false">
      <c r="A8" s="8" t="s">
        <v>463</v>
      </c>
      <c r="B8" s="3" t="str">
        <f aca="false">VLOOKUP($B$1,'PARASTATAL Questions'!$A:$J,8,0)&amp;""</f>
        <v>Common — all parastatal types with a designated chief executive/executive authority post.</v>
      </c>
    </row>
    <row r="9" customFormat="false" ht="415.65" hidden="false" customHeight="false" outlineLevel="0" collapsed="false">
      <c r="A9" s="8" t="s">
        <v>464</v>
      </c>
      <c r="B9" s="3"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6" hidden="false" customHeight="false" outlineLevel="0" collapsed="false">
      <c r="A10" s="8" t="s">
        <v>465</v>
      </c>
      <c r="B10" s="3" t="str">
        <f aca="false">VLOOKUP($B$1,'PARASTATAL Questions'!$A:$J,10,0)&amp;""</f>
        <v>Newspaper reports, Gazette notifications of appointment/transfer and website of relevant parastatal</v>
      </c>
    </row>
    <row r="11" customFormat="false" ht="15" hidden="false" customHeight="false" outlineLevel="0" collapsed="false">
      <c r="B11" s="11" t="s">
        <v>678</v>
      </c>
      <c r="I11" s="11" t="s">
        <v>860</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1098</v>
      </c>
    </row>
    <row r="14" customFormat="false" ht="35.05" hidden="false" customHeight="false" outlineLevel="0" collapsed="false">
      <c r="A14" s="0" t="s">
        <v>26</v>
      </c>
      <c r="B14" s="0" t="s">
        <v>690</v>
      </c>
      <c r="C14" s="0" t="s">
        <v>390</v>
      </c>
      <c r="D14" s="0" t="s">
        <v>1099</v>
      </c>
      <c r="E14" s="0" t="s">
        <v>1100</v>
      </c>
      <c r="H14" s="0" t="s">
        <v>391</v>
      </c>
      <c r="I14" s="12"/>
      <c r="J14" s="0" t="str">
        <f aca="false">IF($B14="NO","NA",IF(I14="","",MIN(I14,$B$6)))</f>
        <v/>
      </c>
      <c r="K14" s="10" t="s">
        <v>1101</v>
      </c>
    </row>
    <row r="15" customFormat="false" ht="15" hidden="false" customHeight="false" outlineLevel="0" collapsed="false">
      <c r="A15" s="0" t="s">
        <v>32</v>
      </c>
      <c r="B15" s="0" t="s">
        <v>690</v>
      </c>
      <c r="I15" s="12"/>
      <c r="J15" s="0" t="str">
        <f aca="false">IF($B15="NO","NA",IF(I15="","",MIN(I15,$B$6)))</f>
        <v/>
      </c>
      <c r="K15" s="0" t="s">
        <v>1102</v>
      </c>
    </row>
    <row r="16" customFormat="false" ht="15" hidden="false" customHeight="false" outlineLevel="0" collapsed="false">
      <c r="A16" s="0" t="s">
        <v>38</v>
      </c>
      <c r="B16" s="0" t="s">
        <v>690</v>
      </c>
      <c r="C16" s="0" t="s">
        <v>870</v>
      </c>
      <c r="D16" s="0" t="s">
        <v>1103</v>
      </c>
      <c r="E16" s="0" t="s">
        <v>1104</v>
      </c>
      <c r="F16" s="0" t="s">
        <v>1105</v>
      </c>
      <c r="G16" s="0" t="s">
        <v>1106</v>
      </c>
      <c r="H16" s="0" t="s">
        <v>151</v>
      </c>
      <c r="I16" s="12"/>
      <c r="J16" s="0" t="str">
        <f aca="false">IF($B16="NO","NA",IF(I16="","",MIN(I16,$B$6)))</f>
        <v/>
      </c>
      <c r="K16" s="0" t="s">
        <v>1107</v>
      </c>
    </row>
    <row r="17" customFormat="false" ht="38.8" hidden="false" customHeight="false" outlineLevel="0" collapsed="false">
      <c r="A17" s="0" t="s">
        <v>43</v>
      </c>
      <c r="B17" s="0" t="s">
        <v>690</v>
      </c>
      <c r="C17" s="0" t="s">
        <v>155</v>
      </c>
      <c r="D17" s="0" t="s">
        <v>1108</v>
      </c>
      <c r="E17" s="0" t="s">
        <v>1109</v>
      </c>
      <c r="F17" s="0" t="s">
        <v>1110</v>
      </c>
      <c r="G17" s="0" t="s">
        <v>709</v>
      </c>
      <c r="H17" s="0" t="s">
        <v>156</v>
      </c>
      <c r="I17" s="12"/>
      <c r="J17" s="0" t="str">
        <f aca="false">IF($B17="NO","NA",IF(I17="","",MIN(I17,$B$6)))</f>
        <v/>
      </c>
      <c r="K17" s="10" t="s">
        <v>1111</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399</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SC-7a</v>
      </c>
    </row>
    <row r="4" customFormat="false" ht="15" hidden="false" customHeight="false" outlineLevel="0" collapsed="false">
      <c r="A4" s="8" t="s">
        <v>428</v>
      </c>
      <c r="B4" s="3" t="str">
        <f aca="false">VLOOKUP($B$1,'PARASTATAL Questions'!$A:$J,4,0)&amp;""</f>
        <v>SQ</v>
      </c>
    </row>
    <row r="5" customFormat="false" ht="102.2" hidden="false" customHeight="false" outlineLevel="0" collapsed="false">
      <c r="A5" s="8" t="s">
        <v>0</v>
      </c>
      <c r="B5" s="3" t="str">
        <f aca="false">VLOOKUP($B$1,'PARASTATAL Questions'!$A:$J,5,0)&amp;""</f>
        <v>Does the parastatal have adequate staffing capacity to discharge its mandate?</v>
      </c>
    </row>
    <row r="6" customFormat="false" ht="15" hidden="false" customHeight="false" outlineLevel="0" collapsed="false">
      <c r="A6" s="8" t="s">
        <v>430</v>
      </c>
      <c r="B6" s="3" t="n">
        <f aca="false">VLOOKUP($B$1,'PARASTATAL Questions'!$A:$J,6,0)</f>
        <v>5</v>
      </c>
    </row>
    <row r="7" customFormat="false" ht="35.05" hidden="false" customHeight="false" outlineLevel="0" collapsed="false">
      <c r="A7" s="8" t="s">
        <v>429</v>
      </c>
      <c r="B7" s="3" t="str">
        <f aca="false">VLOOKUP($B$1,'PARASTATAL Questions'!$A:$J,7,0)&amp;""</f>
        <v>Implementation (Numeric)</v>
      </c>
    </row>
    <row r="8" customFormat="false" ht="46.25" hidden="false" customHeight="false" outlineLevel="0" collapsed="false">
      <c r="A8" s="8" t="s">
        <v>463</v>
      </c>
      <c r="B8" s="3" t="str">
        <f aca="false">VLOOKUP($B$1,'PARASTATAL Questions'!$A:$J,8,0)&amp;""</f>
        <v>Common — all parastatal types.</v>
      </c>
    </row>
    <row r="9" customFormat="false" ht="538.8" hidden="false" customHeight="false" outlineLevel="0" collapsed="false">
      <c r="A9" s="8" t="s">
        <v>464</v>
      </c>
      <c r="B9" s="3"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8" hidden="false" customHeight="false" outlineLevel="0" collapsed="false">
      <c r="A10" s="8" t="s">
        <v>465</v>
      </c>
      <c r="B10" s="3" t="str">
        <f aca="false">VLOOKUP($B$1,'PARASTATAL Questions'!$A:$J,10,0)&amp;""</f>
        <v>Staffing records on the website/ RTI  and/or formal data request with the parastatal/ annual report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C13" s="0" t="s">
        <v>718</v>
      </c>
      <c r="D13" s="0" t="s">
        <v>1112</v>
      </c>
      <c r="E13" s="0" t="s">
        <v>1113</v>
      </c>
      <c r="F13" s="0" t="s">
        <v>1114</v>
      </c>
      <c r="G13" s="0" t="s">
        <v>1115</v>
      </c>
      <c r="H13" s="0" t="s">
        <v>723</v>
      </c>
      <c r="I13" s="12" t="n">
        <v>3</v>
      </c>
      <c r="J13" s="0" t="n">
        <f aca="false">IF($B13="NO","NA",IF(I13="","",MIN(I13,$B$6)))</f>
        <v>3</v>
      </c>
      <c r="K13" s="0" t="s">
        <v>1116</v>
      </c>
    </row>
    <row r="14" customFormat="false" ht="15" hidden="false" customHeight="false" outlineLevel="0" collapsed="false">
      <c r="A14" s="0" t="s">
        <v>26</v>
      </c>
      <c r="B14" s="0" t="s">
        <v>690</v>
      </c>
      <c r="I14" s="12"/>
      <c r="J14" s="0" t="str">
        <f aca="false">IF($B14="NO","NA",IF(I14="","",MIN(I14,$B$6)))</f>
        <v/>
      </c>
      <c r="K14" s="0" t="s">
        <v>1117</v>
      </c>
    </row>
    <row r="15" customFormat="false" ht="15" hidden="false" customHeight="false" outlineLevel="0" collapsed="false">
      <c r="A15" s="0" t="s">
        <v>32</v>
      </c>
      <c r="B15" s="0" t="s">
        <v>690</v>
      </c>
      <c r="I15" s="12"/>
      <c r="J15" s="0" t="str">
        <f aca="false">IF($B15="NO","NA",IF(I15="","",MIN(I15,$B$6)))</f>
        <v/>
      </c>
      <c r="K15" s="0" t="s">
        <v>1118</v>
      </c>
    </row>
    <row r="16" customFormat="false" ht="15" hidden="false" customHeight="false" outlineLevel="0" collapsed="false">
      <c r="A16" s="0" t="s">
        <v>38</v>
      </c>
      <c r="B16" s="0" t="s">
        <v>690</v>
      </c>
      <c r="I16" s="12"/>
      <c r="J16" s="0" t="str">
        <f aca="false">IF($B16="NO","NA",IF(I16="","",MIN(I16,$B$6)))</f>
        <v/>
      </c>
      <c r="K16" s="0" t="s">
        <v>1119</v>
      </c>
    </row>
    <row r="17" customFormat="false" ht="236.55" hidden="false" customHeight="false" outlineLevel="0" collapsed="false">
      <c r="A17" s="0" t="s">
        <v>43</v>
      </c>
      <c r="B17" s="0" t="s">
        <v>690</v>
      </c>
      <c r="C17" s="0" t="s">
        <v>155</v>
      </c>
      <c r="D17" s="0" t="s">
        <v>1120</v>
      </c>
      <c r="E17" s="0" t="s">
        <v>1121</v>
      </c>
      <c r="F17" s="0" t="s">
        <v>1122</v>
      </c>
      <c r="G17" s="0" t="s">
        <v>699</v>
      </c>
      <c r="H17" s="0" t="s">
        <v>156</v>
      </c>
      <c r="I17" s="12"/>
      <c r="J17" s="0" t="str">
        <f aca="false">IF($B17="NO","NA",IF(I17="","",MIN(I17,$B$6)))</f>
        <v/>
      </c>
      <c r="K17" s="10" t="s">
        <v>1123</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30"/>
    <col collapsed="false" customWidth="true" hidden="false" outlineLevel="0" max="8" min="8" style="0" width="10"/>
    <col collapsed="false" customWidth="true" hidden="false" outlineLevel="0" max="9" min="9" style="0" width="40"/>
  </cols>
  <sheetData>
    <row r="1" customFormat="false" ht="15" hidden="false" customHeight="false" outlineLevel="0" collapsed="false">
      <c r="A1" s="0" t="s">
        <v>676</v>
      </c>
      <c r="B1" s="0" t="s">
        <v>408</v>
      </c>
      <c r="C1" s="0" t="s">
        <v>677</v>
      </c>
    </row>
    <row r="2" customFormat="false" ht="23.85" hidden="false" customHeight="false" outlineLevel="0" collapsed="false">
      <c r="A2" s="8" t="s">
        <v>427</v>
      </c>
      <c r="B2" s="3" t="str">
        <f aca="false">VLOOKUP($B$1,'PARASTATAL Questions'!$A:$J,3,0)&amp;""</f>
        <v>State Capacities</v>
      </c>
    </row>
    <row r="3" customFormat="false" ht="15" hidden="false" customHeight="false" outlineLevel="0" collapsed="false">
      <c r="A3" s="8" t="s">
        <v>462</v>
      </c>
      <c r="B3" s="3" t="str">
        <f aca="false">VLOOKUP($B$1,'PARASTATAL Questions'!$A:$J,2,0)&amp;""</f>
        <v>SC-7b</v>
      </c>
    </row>
    <row r="4" customFormat="false" ht="15" hidden="false" customHeight="false" outlineLevel="0" collapsed="false">
      <c r="A4" s="8" t="s">
        <v>428</v>
      </c>
      <c r="B4" s="3" t="str">
        <f aca="false">VLOOKUP($B$1,'PARASTATAL Questions'!$A:$J,4,0)&amp;""</f>
        <v>SQ</v>
      </c>
    </row>
    <row r="5" customFormat="false" ht="79.85" hidden="false" customHeight="false" outlineLevel="0" collapsed="false">
      <c r="A5" s="8" t="s">
        <v>0</v>
      </c>
      <c r="B5" s="3" t="str">
        <f aca="false">VLOOKUP($B$1,'PARASTATAL Questions'!$A:$J,5,0)&amp;""</f>
        <v>What proportion of the parastatal's workforce is women?</v>
      </c>
    </row>
    <row r="6" customFormat="false" ht="15" hidden="false" customHeight="false" outlineLevel="0" collapsed="false">
      <c r="A6" s="8" t="s">
        <v>430</v>
      </c>
      <c r="B6" s="3" t="n">
        <f aca="false">VLOOKUP($B$1,'PARASTATAL Questions'!$A:$J,6,0)</f>
        <v>5</v>
      </c>
    </row>
    <row r="7" customFormat="false" ht="35.05" hidden="false" customHeight="false" outlineLevel="0" collapsed="false">
      <c r="A7" s="8" t="s">
        <v>429</v>
      </c>
      <c r="B7" s="3" t="str">
        <f aca="false">VLOOKUP($B$1,'PARASTATAL Questions'!$A:$J,7,0)&amp;""</f>
        <v>Implementation (Numeric)</v>
      </c>
    </row>
    <row r="8" customFormat="false" ht="46.25" hidden="false" customHeight="false" outlineLevel="0" collapsed="false">
      <c r="A8" s="8" t="s">
        <v>463</v>
      </c>
      <c r="B8" s="3" t="str">
        <f aca="false">VLOOKUP($B$1,'PARASTATAL Questions'!$A:$J,8,0)&amp;""</f>
        <v>Common — all parastatal types.</v>
      </c>
    </row>
    <row r="9" customFormat="false" ht="684.3" hidden="false" customHeight="false" outlineLevel="0" collapsed="false">
      <c r="A9" s="8" t="s">
        <v>464</v>
      </c>
      <c r="B9" s="3"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8" hidden="false" customHeight="false" outlineLevel="0" collapsed="false">
      <c r="A10" s="8" t="s">
        <v>465</v>
      </c>
      <c r="B10" s="3" t="str">
        <f aca="false">VLOOKUP($B$1,'PARASTATAL Questions'!$A:$J,10,0)&amp;""</f>
        <v>Staffing records on the website/ RTI  and/or formal data request with the parastatal/ annual report</v>
      </c>
    </row>
    <row r="11" customFormat="false" ht="15" hidden="false" customHeight="false" outlineLevel="0" collapsed="false">
      <c r="B11" s="11" t="s">
        <v>678</v>
      </c>
      <c r="I11" s="11" t="s">
        <v>679</v>
      </c>
      <c r="J11" s="11" t="s">
        <v>680</v>
      </c>
    </row>
    <row r="12" customFormat="false" ht="52.2" hidden="false" customHeight="false" outlineLevel="0" collapsed="false">
      <c r="A12" s="1" t="s">
        <v>452</v>
      </c>
      <c r="B12" s="1" t="s">
        <v>681</v>
      </c>
      <c r="C12" s="1" t="s">
        <v>682</v>
      </c>
      <c r="D12" s="1" t="s">
        <v>683</v>
      </c>
      <c r="E12" s="1" t="s">
        <v>684</v>
      </c>
      <c r="F12" s="1" t="s">
        <v>685</v>
      </c>
      <c r="G12" s="1" t="s">
        <v>686</v>
      </c>
      <c r="H12" s="1" t="s">
        <v>12</v>
      </c>
      <c r="I12" s="1" t="s">
        <v>687</v>
      </c>
      <c r="J12" s="1" t="s">
        <v>688</v>
      </c>
      <c r="K12" s="1" t="s">
        <v>689</v>
      </c>
    </row>
    <row r="13" customFormat="false" ht="15" hidden="false" customHeight="false" outlineLevel="0" collapsed="false">
      <c r="A13" s="0" t="s">
        <v>17</v>
      </c>
      <c r="B13" s="0" t="s">
        <v>690</v>
      </c>
      <c r="I13" s="12"/>
      <c r="J13" s="0" t="str">
        <f aca="false">IF($B13="NO","NA",IF(I13="","",MIN(I13,$B$6)))</f>
        <v/>
      </c>
      <c r="K13" s="0" t="s">
        <v>1124</v>
      </c>
    </row>
    <row r="14" customFormat="false" ht="15" hidden="false" customHeight="false" outlineLevel="0" collapsed="false">
      <c r="A14" s="0" t="s">
        <v>26</v>
      </c>
      <c r="B14" s="0" t="s">
        <v>690</v>
      </c>
      <c r="I14" s="12"/>
      <c r="J14" s="0" t="str">
        <f aca="false">IF($B14="NO","NA",IF(I14="","",MIN(I14,$B$6)))</f>
        <v/>
      </c>
      <c r="K14" s="0" t="s">
        <v>1125</v>
      </c>
    </row>
    <row r="15" customFormat="false" ht="15" hidden="false" customHeight="false" outlineLevel="0" collapsed="false">
      <c r="A15" s="0" t="s">
        <v>32</v>
      </c>
      <c r="B15" s="0" t="s">
        <v>690</v>
      </c>
      <c r="I15" s="12"/>
      <c r="J15" s="0" t="str">
        <f aca="false">IF($B15="NO","NA",IF(I15="","",MIN(I15,$B$6)))</f>
        <v/>
      </c>
      <c r="K15" s="0" t="s">
        <v>1126</v>
      </c>
    </row>
    <row r="16" customFormat="false" ht="15" hidden="false" customHeight="false" outlineLevel="0" collapsed="false">
      <c r="A16" s="0" t="s">
        <v>38</v>
      </c>
      <c r="B16" s="0" t="s">
        <v>690</v>
      </c>
      <c r="I16" s="12"/>
      <c r="J16" s="0" t="str">
        <f aca="false">IF($B16="NO","NA",IF(I16="","",MIN(I16,$B$6)))</f>
        <v/>
      </c>
      <c r="K16" s="0" t="s">
        <v>1127</v>
      </c>
    </row>
    <row r="17" customFormat="false" ht="15" hidden="false" customHeight="false" outlineLevel="0" collapsed="false">
      <c r="A17" s="0" t="s">
        <v>43</v>
      </c>
      <c r="B17" s="0" t="s">
        <v>690</v>
      </c>
      <c r="I17" s="12"/>
      <c r="J17" s="0" t="str">
        <f aca="false">IF($B17="NO","NA",IF(I17="","",MIN(I17,$B$6)))</f>
        <v/>
      </c>
      <c r="K17" s="0" t="s">
        <v>1128</v>
      </c>
    </row>
    <row r="18" customFormat="false" ht="15" hidden="false" customHeight="false" outlineLevel="0" collapsed="false">
      <c r="A18" s="0" t="s">
        <v>431</v>
      </c>
      <c r="B18" s="0" t="s">
        <v>690</v>
      </c>
      <c r="I18" s="12"/>
      <c r="J18" s="0" t="str">
        <f aca="false">IF($B18="NO","NA",IF(I18="","",MIN(I18,$B$6)))</f>
        <v/>
      </c>
    </row>
    <row r="19" customFormat="false" ht="15" hidden="false" customHeight="false" outlineLevel="0" collapsed="false">
      <c r="A19" s="0" t="s">
        <v>432</v>
      </c>
      <c r="B19" s="0" t="s">
        <v>690</v>
      </c>
      <c r="I19" s="12"/>
      <c r="J19" s="0"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2026-10-12T11:24:48Z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